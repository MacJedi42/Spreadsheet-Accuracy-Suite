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9.xml" ContentType="application/vnd.openxmlformats-officedocument.spreadsheetml.externalLink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39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46.xml" ContentType="application/vnd.openxmlformats-officedocument.drawing+xml"/>
  <Default Extension="xml" ContentType="application/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drawings/drawing35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42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drawings/drawing11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40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8.xml" ContentType="application/vnd.openxmlformats-officedocument.spreadsheetml.externalLink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6.xml" ContentType="application/vnd.openxmlformats-officedocument.spreadsheetml.externalLink+xml"/>
  <Default Extension="jpeg" ContentType="image/jpeg"/>
  <Default Extension="emf" ContentType="image/x-emf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charts/chart3.xml" ContentType="application/vnd.openxmlformats-officedocument.drawingml.chart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xl/drawings/drawing4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7.xml" ContentType="application/vnd.openxmlformats-officedocument.spreadsheetml.externalLink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37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externalLinks/externalLink3.xml" ContentType="application/vnd.openxmlformats-officedocument.spreadsheetml.externalLink+xml"/>
  <Override PartName="/xl/drawings/drawing22.xml" ContentType="application/vnd.openxmlformats-officedocument.drawing+xml"/>
  <Override PartName="/xl/drawings/drawing3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6570" yWindow="15" windowWidth="8250" windowHeight="7965" tabRatio="912" activeTab="1"/>
  </bookViews>
  <sheets>
    <sheet name="Indice" sheetId="3" r:id="rId1"/>
    <sheet name="Cuadros de nacimiento" sheetId="8" r:id="rId2"/>
    <sheet name="1.1" sheetId="74" r:id="rId3"/>
    <sheet name="1.2" sheetId="75" r:id="rId4"/>
    <sheet name="1.3" sheetId="76" r:id="rId5"/>
    <sheet name="1.4" sheetId="77" r:id="rId6"/>
    <sheet name="1.5" sheetId="78" r:id="rId7"/>
    <sheet name="1.6" sheetId="79" r:id="rId8"/>
    <sheet name="1,7" sheetId="155" r:id="rId9"/>
    <sheet name="1.8" sheetId="132" r:id="rId10"/>
    <sheet name="1.9" sheetId="82" r:id="rId11"/>
    <sheet name="1.10" sheetId="83" r:id="rId12"/>
    <sheet name="1.11" sheetId="156" r:id="rId13"/>
    <sheet name="1.12" sheetId="85" r:id="rId14"/>
    <sheet name="1.13" sheetId="86" r:id="rId15"/>
    <sheet name="1.14" sheetId="87" r:id="rId16"/>
    <sheet name="1.15" sheetId="90" r:id="rId17"/>
    <sheet name="1.16" sheetId="124" r:id="rId18"/>
    <sheet name="Cuadros de defunciones" sheetId="126" r:id="rId19"/>
    <sheet name="2.1" sheetId="91" r:id="rId20"/>
    <sheet name="2.2" sheetId="139" r:id="rId21"/>
    <sheet name="2.3" sheetId="93" r:id="rId22"/>
    <sheet name="2.4" sheetId="140" r:id="rId23"/>
    <sheet name="2.5" sheetId="142" r:id="rId24"/>
    <sheet name="2.6" sheetId="141" r:id="rId25"/>
    <sheet name="2.7" sheetId="143" r:id="rId26"/>
    <sheet name="2.8" sheetId="144" r:id="rId27"/>
    <sheet name="2.9" sheetId="145" r:id="rId28"/>
    <sheet name="2.10" sheetId="146" r:id="rId29"/>
    <sheet name="Cuadros de matrimonios" sheetId="54" r:id="rId30"/>
    <sheet name="3.1" sheetId="102" r:id="rId31"/>
    <sheet name="3.2" sheetId="103" r:id="rId32"/>
    <sheet name="3.3" sheetId="104" r:id="rId33"/>
    <sheet name="3.4" sheetId="105" r:id="rId34"/>
    <sheet name="3.5" sheetId="107" r:id="rId35"/>
    <sheet name="3.6" sheetId="108" r:id="rId36"/>
    <sheet name="3.7" sheetId="137" r:id="rId37"/>
    <sheet name="3.8" sheetId="110" r:id="rId38"/>
    <sheet name="3.9" sheetId="138" r:id="rId39"/>
    <sheet name="Cuadros de divorcios" sheetId="73" r:id="rId40"/>
    <sheet name="4.1" sheetId="114" r:id="rId41"/>
    <sheet name="4.2" sheetId="116" r:id="rId42"/>
    <sheet name="4.3" sheetId="150" r:id="rId43"/>
    <sheet name="4.4" sheetId="118" r:id="rId44"/>
    <sheet name="4.5" sheetId="119" r:id="rId45"/>
    <sheet name="4.6" sheetId="151" r:id="rId46"/>
    <sheet name="4.7" sheetId="152" r:id="rId47"/>
    <sheet name="4.8" sheetId="153" r:id="rId48"/>
  </sheets>
  <externalReferences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_aaa99">'[1]344.13'!#REF!</definedName>
    <definedName name="_dga11">#REF!</definedName>
    <definedName name="_dga12">#REF!</definedName>
    <definedName name="_f">#REF!</definedName>
    <definedName name="_fc">'[2]1.03'!$H$12</definedName>
    <definedName name="_r">'[1]333.02'!#REF!</definedName>
    <definedName name="_TA1">#REF!</definedName>
    <definedName name="_TA2">#REF!</definedName>
    <definedName name="_TA3">#REF!</definedName>
    <definedName name="_TA4">#REF!</definedName>
    <definedName name="_TE1">#REF!</definedName>
    <definedName name="_TE2">#REF!</definedName>
    <definedName name="_TE3">#REF!</definedName>
    <definedName name="_TE4">#REF!</definedName>
    <definedName name="_TO1">#REF!</definedName>
    <definedName name="_TO2">#REF!</definedName>
    <definedName name="_TO3">#REF!</definedName>
    <definedName name="_TO4">#REF!</definedName>
    <definedName name="_uh1">#REF!</definedName>
    <definedName name="_uh2">#REF!</definedName>
    <definedName name="_uh3">#REF!</definedName>
    <definedName name="aa">'[1]333.05'!#REF!</definedName>
    <definedName name="aaaa">#REF!</definedName>
    <definedName name="AC">'[3]6.03'!$L$20</definedName>
    <definedName name="ap">'[1]331-04'!#REF!</definedName>
    <definedName name="_xlnm.Print_Area" localSheetId="2">'1.1'!$A$1:$C$192</definedName>
    <definedName name="_xlnm.Print_Area" localSheetId="11">'1.10'!$A$1:$B$454</definedName>
    <definedName name="_xlnm.Print_Area" localSheetId="13">'1.12'!$A$1:$C$1083</definedName>
    <definedName name="_xlnm.Print_Area" localSheetId="14">'1.13'!$A$1:$G$57</definedName>
    <definedName name="_xlnm.Print_Area" localSheetId="15">'1.14'!$A$1:$G$56</definedName>
    <definedName name="_xlnm.Print_Area" localSheetId="16">'1.15'!$A$1:$K$423</definedName>
    <definedName name="_xlnm.Print_Area" localSheetId="17">'1.16'!$A$1:$J$71</definedName>
    <definedName name="_xlnm.Print_Area" localSheetId="3">'1.2'!$A$1:$L$53</definedName>
    <definedName name="_xlnm.Print_Area" localSheetId="4">'1.3'!$A$1:$K$55</definedName>
    <definedName name="_xlnm.Print_Area" localSheetId="5">'1.4'!$A$1:$E$55</definedName>
    <definedName name="_xlnm.Print_Area" localSheetId="6">'1.5'!$A$1:$D$51</definedName>
    <definedName name="_xlnm.Print_Area" localSheetId="7">'1.6'!$A$1:$E$55</definedName>
    <definedName name="_xlnm.Print_Area" localSheetId="9">'1.8'!$A$1:$C$42</definedName>
    <definedName name="_xlnm.Print_Area" localSheetId="10">'1.9'!$A$1:$F$57</definedName>
    <definedName name="_xlnm.Print_Area" localSheetId="19">'2.1'!$A$1:$F$62</definedName>
    <definedName name="_xlnm.Print_Area" localSheetId="21">'2.3'!$A$1:$C$37</definedName>
    <definedName name="_xlnm.Print_Area" localSheetId="30">'3.1'!$A$1:$E$58</definedName>
    <definedName name="_xlnm.Print_Area" localSheetId="31">'3.2'!$A$1:$C$49</definedName>
    <definedName name="_xlnm.Print_Area" localSheetId="32">'3.3'!$A$1:$K$28</definedName>
    <definedName name="_xlnm.Print_Area" localSheetId="33">'3.4'!$A$1:$D$41</definedName>
    <definedName name="_xlnm.Print_Area" localSheetId="34">'3.5'!$A$1:$F$14</definedName>
    <definedName name="_xlnm.Print_Area" localSheetId="35">'3.6'!$A$1:$B$2050</definedName>
    <definedName name="_xlnm.Print_Area" localSheetId="37">'3.8'!$A$1:$E$50</definedName>
    <definedName name="_xlnm.Print_Area" localSheetId="40">'4.1'!$A$1:$E$54</definedName>
    <definedName name="_xlnm.Print_Area" localSheetId="41">'4.2'!$A$1:$C$49</definedName>
    <definedName name="_xlnm.Print_Area" localSheetId="43">'4.4'!$A$1:$E$37</definedName>
    <definedName name="_xlnm.Print_Area" localSheetId="44">'4.5'!$A$1:$D$49</definedName>
    <definedName name="_xlnm.Print_Area" localSheetId="18">'Cuadros de defunciones'!$A$1:$A$13</definedName>
    <definedName name="_xlnm.Print_Area" localSheetId="39">'Cuadros de divorcios'!$A$1:$A$11</definedName>
    <definedName name="_xlnm.Print_Area" localSheetId="29">'Cuadros de matrimonios'!$A$1:$A$11</definedName>
    <definedName name="_xlnm.Print_Area" localSheetId="1">'Cuadros de nacimiento'!$A$1:$A$19</definedName>
    <definedName name="_xlnm.Print_Area" localSheetId="0">Indice!$A$1:$J$52</definedName>
    <definedName name="asd">#REF!</definedName>
    <definedName name="asdfac">#REF!</definedName>
    <definedName name="b">'[1]333.09'!#REF!</definedName>
    <definedName name="_xlnm.Database">#REF!</definedName>
    <definedName name="bb">'[1]333.05'!#REF!</definedName>
    <definedName name="bbb">#REF!</definedName>
    <definedName name="BVB">#REF!</definedName>
    <definedName name="cb">'[4]2'!$H$13</definedName>
    <definedName name="cc">'[3]8.03'!$E$9</definedName>
    <definedName name="ccuu">#REF!</definedName>
    <definedName name="cerw">'[4]6'!$I$13</definedName>
    <definedName name="cu">#REF!</definedName>
    <definedName name="cuuuu">#REF!</definedName>
    <definedName name="cvc">'[2]6.03'!$D$8</definedName>
    <definedName name="d">'[1]333.09'!#REF!</definedName>
    <definedName name="dfhd">'[4]2'!$B$13</definedName>
    <definedName name="dgii11">#REF!</definedName>
    <definedName name="dgii12">#REF!</definedName>
    <definedName name="di">'[1]333.02'!#REF!</definedName>
    <definedName name="dsd">#REF!</definedName>
    <definedName name="e">#REF!</definedName>
    <definedName name="ecewt">'[4]5'!$B$13</definedName>
    <definedName name="eee">#REF!</definedName>
    <definedName name="eeee">#REF!</definedName>
    <definedName name="er">#REF!</definedName>
    <definedName name="err">#REF!</definedName>
    <definedName name="errr">#REF!</definedName>
    <definedName name="ertetr">#REF!</definedName>
    <definedName name="fff">'[1]333.06'!#REF!</definedName>
    <definedName name="ffff">'[3]5.03'!$B$10</definedName>
    <definedName name="fg">#REF!</definedName>
    <definedName name="fge">'[4]10'!$F$12</definedName>
    <definedName name="fgf">#REF!</definedName>
    <definedName name="fr">#REF!</definedName>
    <definedName name="gdgfds">'[2]4.03'!$B$10</definedName>
    <definedName name="gdsert">'[2]1.03'!$B$11</definedName>
    <definedName name="geb">'[4]8'!$P$13</definedName>
    <definedName name="gf">#REF!</definedName>
    <definedName name="gfdgdgdgdg">'[1]333-10'!#REF!</definedName>
    <definedName name="gg">#REF!</definedName>
    <definedName name="ggg">#REF!</definedName>
    <definedName name="gt">'[5]343-01'!#REF!</definedName>
    <definedName name="gtdfgh">'[2]1.03'!#REF!</definedName>
    <definedName name="hh">#REF!</definedName>
    <definedName name="hhh">#REF!</definedName>
    <definedName name="hhhh">#REF!</definedName>
    <definedName name="hhhhhhhhhhh">'[2]6.03'!$G$8</definedName>
    <definedName name="hhyt">'[4]1'!#REF!</definedName>
    <definedName name="huyhj">'[6]8.03'!$I$8</definedName>
    <definedName name="hyr">'[4]1'!#REF!</definedName>
    <definedName name="i">'[1]333.04'!#REF!</definedName>
    <definedName name="iii">'[3]18.03'!$J$11</definedName>
    <definedName name="iiii">'[3]18.03'!$B$11</definedName>
    <definedName name="iiiii">'[3]18.03'!$H$11</definedName>
    <definedName name="iiiiii">'[3]30.03'!$B$9</definedName>
    <definedName name="ik">'[4]3'!$B$14</definedName>
    <definedName name="iou">'[4]1'!$B$14</definedName>
    <definedName name="jj">'[1]333.04'!#REF!</definedName>
    <definedName name="jjj">'[1]333.06'!#REF!</definedName>
    <definedName name="jul">'[1]333.02'!#REF!</definedName>
    <definedName name="JULIO4">'[7]333-11'!$C$8</definedName>
    <definedName name="jygjyuihjggf">#REF!</definedName>
    <definedName name="kjkl">'[6]8.03'!$H$8</definedName>
    <definedName name="kkk">#REF!</definedName>
    <definedName name="kkkk">'[3]11.03'!$J$11</definedName>
    <definedName name="kkkkk">'[3]12.03'!$B$10</definedName>
    <definedName name="kkkkkk">'[3]13.03'!$B$10</definedName>
    <definedName name="kkkkkkk">'[3]13.03'!$D$10</definedName>
    <definedName name="kl">'[3]15.03'!$D$9</definedName>
    <definedName name="klk">'[3]16.03'!$C$9</definedName>
    <definedName name="kll">'[3]17.03'!$C$9</definedName>
    <definedName name="l">'[1]333.03'!#REF!</definedName>
    <definedName name="leo">#REF!</definedName>
    <definedName name="lili">#REF!</definedName>
    <definedName name="lkl">'[3]16.03'!$E$9</definedName>
    <definedName name="ll">'[1]333.03'!#REF!</definedName>
    <definedName name="llk">'[3]17.03'!$E$9</definedName>
    <definedName name="llll">'[3]10.03'!$H$11</definedName>
    <definedName name="lllll">'[3]14.03'!$D$20</definedName>
    <definedName name="llllll">'[3]14.03'!$H$20</definedName>
    <definedName name="lllllll">'[3]14.03'!$L$20</definedName>
    <definedName name="llllllll">'[3]14.03'!$P$20</definedName>
    <definedName name="lo">'[4]3'!$D$14</definedName>
    <definedName name="m">'[1]333.06'!#REF!</definedName>
    <definedName name="mali">'[1]333.07'!#REF!</definedName>
    <definedName name="mm">'[1]333.06'!#REF!</definedName>
    <definedName name="mmm">'[1]333.06'!#REF!</definedName>
    <definedName name="mmmm">'[2]2.03'!$J$11</definedName>
    <definedName name="mmmmm">'[1]333.06'!#REF!</definedName>
    <definedName name="mmmnmnb">'[2]2.03'!$H$11</definedName>
    <definedName name="mmnb">'[2]2.03'!$B$11</definedName>
    <definedName name="mnm">'[2]5.03'!$D$21</definedName>
    <definedName name="mnmnb">'[2]2.03'!$D$11</definedName>
    <definedName name="monto337021">#REF!</definedName>
    <definedName name="monto337022">#REF!</definedName>
    <definedName name="n">#REF!</definedName>
    <definedName name="nb">'[1]333-10'!#REF!</definedName>
    <definedName name="nmbnvmvbh">'[2]2.03'!$J$13</definedName>
    <definedName name="nn">#REF!</definedName>
    <definedName name="nngvb">'[2]1.03'!$H$11</definedName>
    <definedName name="nnn">#REF!</definedName>
    <definedName name="nnnnnnnnnnh">'[2]1.03'!#REF!</definedName>
    <definedName name="ñ">'[3]25.03'!$G$9</definedName>
    <definedName name="ññ">'[3]31.03'!$D$9</definedName>
    <definedName name="ol">'[4]3'!$H$14</definedName>
    <definedName name="ooo">'[1]333.06'!#REF!</definedName>
    <definedName name="oooo">'[3]29.03'!$D$9</definedName>
    <definedName name="ooooooo">'[3]18.03'!#REF!</definedName>
    <definedName name="op">'[4]1'!$C$14</definedName>
    <definedName name="oppo">'[4]1'!$G$14</definedName>
    <definedName name="p">'[1]333.08'!#REF!</definedName>
    <definedName name="PIO">'[8]333-11'!$E$8</definedName>
    <definedName name="PJ">'[1]331-04'!#REF!</definedName>
    <definedName name="PL">'[1]331-04'!#REF!</definedName>
    <definedName name="po">'[4]3'!$J$14</definedName>
    <definedName name="poko">'[2]1.03'!$D$11</definedName>
    <definedName name="polok">#REF!</definedName>
    <definedName name="popop">'[1]333.04'!#REF!</definedName>
    <definedName name="popp">'[1]333.04'!#REF!</definedName>
    <definedName name="ppp">'[1]333.04'!#REF!</definedName>
    <definedName name="pppp">'[3]31.03'!$B$9</definedName>
    <definedName name="py">#REF!</definedName>
    <definedName name="q">#REF!</definedName>
    <definedName name="qq">#REF!</definedName>
    <definedName name="qqq">#REF!</definedName>
    <definedName name="qqqq">#REF!</definedName>
    <definedName name="re">#REF!</definedName>
    <definedName name="redfred">'[2]1.03'!$J$11</definedName>
    <definedName name="rere">'[2]3.03'!$D$10</definedName>
    <definedName name="res">#REF!</definedName>
    <definedName name="rey">'[4]8'!$B$13</definedName>
    <definedName name="rrrrrr">#REF!</definedName>
    <definedName name="rtvg">'[4]5'!$D$13</definedName>
    <definedName name="rtyh">'[4]1'!#REF!</definedName>
    <definedName name="sd">#REF!</definedName>
    <definedName name="sdfg">'[4]2'!$D$13</definedName>
    <definedName name="sdfgr">'[2]1.03'!#REF!</definedName>
    <definedName name="sdsd">#REF!</definedName>
    <definedName name="sfdg">'[4]2'!$F$13</definedName>
    <definedName name="ss">'[5]343-01'!#REF!</definedName>
    <definedName name="sss">'[1]333.02'!#REF!</definedName>
    <definedName name="ssss">#REF!</definedName>
    <definedName name="sssssd">#REF!</definedName>
    <definedName name="ssssss">#REF!</definedName>
    <definedName name="t">'[1]333.02'!#REF!</definedName>
    <definedName name="tesnac11">#REF!</definedName>
    <definedName name="tesnac12">#REF!</definedName>
    <definedName name="tita">#REF!</definedName>
    <definedName name="_xlnm.Print_Titles" localSheetId="11">'1.10'!$1:$9</definedName>
    <definedName name="_xlnm.Print_Titles" localSheetId="13">'1.12'!$1:$9</definedName>
    <definedName name="_xlnm.Print_Titles" localSheetId="16">'1.15'!$1:$8</definedName>
    <definedName name="_xlnm.Print_Titles" localSheetId="35">'3.6'!$1:$7</definedName>
    <definedName name="_xlnm.Print_Titles" localSheetId="1">'Cuadros de nacimiento'!$1:$1</definedName>
    <definedName name="tre">#REF!</definedName>
    <definedName name="tt">'[1]344.13'!#REF!</definedName>
    <definedName name="TTT">#REF!</definedName>
    <definedName name="TTTT">#REF!</definedName>
    <definedName name="TTTTT">#REF!</definedName>
    <definedName name="u">'[1]333.03'!#REF!</definedName>
    <definedName name="uiyt">'[4]1'!$F$14</definedName>
    <definedName name="utyu">'[4]6'!$B$13</definedName>
    <definedName name="uu">'[1]333.04'!#REF!</definedName>
    <definedName name="uuuuu">'[1]333.04'!#REF!</definedName>
    <definedName name="v">#REF!</definedName>
    <definedName name="VBV">#REF!</definedName>
    <definedName name="vd">'[3]8.03'!$C$9</definedName>
    <definedName name="vfc">#REF!</definedName>
    <definedName name="vfdx">'[2]3.03'!$B$10</definedName>
    <definedName name="vfv">'[1]333.07'!#REF!</definedName>
    <definedName name="vfxv">'[1]333.07'!#REF!</definedName>
    <definedName name="vv">#REF!</definedName>
    <definedName name="vvv">#REF!</definedName>
    <definedName name="vwt">'[4]6'!$P$13</definedName>
    <definedName name="w">#REF!</definedName>
    <definedName name="ww">#REF!</definedName>
    <definedName name="x">'[3]24.03'!$D$20</definedName>
    <definedName name="xx">'[3]27.03'!$B$9</definedName>
    <definedName name="xxx">'[3]27.03'!$D$9</definedName>
    <definedName name="xxxx">'[3]28.03'!$B$9</definedName>
    <definedName name="xzcxz">'[2]1.03'!$B$12</definedName>
    <definedName name="yt">'[9]331-16'!#REF!</definedName>
    <definedName name="yu">#REF!</definedName>
    <definedName name="yuyu">#REF!</definedName>
    <definedName name="yy">'[3]22.03'!$D$10</definedName>
    <definedName name="yyy">'[3]19.03'!$B$11</definedName>
    <definedName name="yyyy">'[3]19.03'!$D$11</definedName>
    <definedName name="yyyyy">'[3]19.03'!$H$11</definedName>
    <definedName name="yyyyyy">'[3]19.03'!$J$11</definedName>
    <definedName name="zas">'[3]26.03'!$D$9</definedName>
    <definedName name="zsz">'[3]25.03'!$D$9</definedName>
    <definedName name="zx">'[3]24.03'!$L$20</definedName>
    <definedName name="zxcv">'[2]5.03'!$P$21</definedName>
    <definedName name="zxcx">'[3]28.03'!$D$9</definedName>
    <definedName name="zxz">'[3]24.03'!$P$20</definedName>
    <definedName name="zxzx">'[3]26.03'!$B$9</definedName>
  </definedNames>
  <calcPr calcId="144525"/>
</workbook>
</file>

<file path=xl/calcChain.xml><?xml version="1.0" encoding="utf-8"?>
<calcChain xmlns="http://schemas.openxmlformats.org/spreadsheetml/2006/main">
  <c r="G10" i="86"/>
  <c r="B10"/>
  <c r="C9" i="151"/>
  <c r="D9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J9"/>
  <c r="AK9"/>
  <c r="AL9"/>
  <c r="AM9"/>
  <c r="AN9"/>
  <c r="AO9"/>
  <c r="AP9"/>
  <c r="AQ9"/>
  <c r="AR9"/>
  <c r="AS9"/>
  <c r="AT9"/>
  <c r="AU9"/>
  <c r="AV9"/>
  <c r="B9"/>
  <c r="C9" i="107"/>
  <c r="D9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J9"/>
  <c r="AK9"/>
  <c r="AL9"/>
  <c r="AM9"/>
  <c r="AN9"/>
  <c r="AO9"/>
  <c r="AP9"/>
  <c r="AQ9"/>
  <c r="AR9"/>
  <c r="AS9"/>
  <c r="AT9"/>
  <c r="AU9"/>
  <c r="AV9"/>
  <c r="AW9"/>
  <c r="AX9"/>
  <c r="AY9"/>
  <c r="AZ9"/>
  <c r="BA9"/>
  <c r="BB9"/>
  <c r="BC9"/>
  <c r="BD9"/>
  <c r="BE9"/>
  <c r="BF9"/>
  <c r="BG9"/>
  <c r="BH9"/>
  <c r="BI9"/>
  <c r="BJ9"/>
  <c r="BK9"/>
  <c r="BL9"/>
  <c r="BM9"/>
  <c r="BN9"/>
  <c r="BO9"/>
  <c r="BP9"/>
  <c r="BQ9"/>
  <c r="BR9"/>
  <c r="BS9"/>
  <c r="BT9"/>
  <c r="BU9"/>
  <c r="BV9"/>
  <c r="BW9"/>
  <c r="BX9"/>
  <c r="BY9"/>
  <c r="BZ9"/>
  <c r="CA9"/>
  <c r="CB9"/>
  <c r="CC9"/>
  <c r="CD9"/>
  <c r="CE9"/>
  <c r="CF9"/>
  <c r="CG9"/>
  <c r="CH9"/>
  <c r="CI9"/>
  <c r="CJ9"/>
  <c r="CK9"/>
  <c r="CL9"/>
  <c r="CM9"/>
  <c r="CN9"/>
  <c r="B9"/>
  <c r="C8" i="93"/>
  <c r="D9" i="91"/>
  <c r="E9"/>
  <c r="F9"/>
  <c r="C23"/>
  <c r="B9" i="155"/>
  <c r="D9"/>
  <c r="C9"/>
  <c r="B12" i="119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11"/>
  <c r="B9" s="1"/>
  <c r="C9"/>
  <c r="D9"/>
  <c r="C8" i="118"/>
  <c r="B8" i="116"/>
  <c r="C8" i="114"/>
  <c r="C12" i="91"/>
  <c r="C13"/>
  <c r="C14"/>
  <c r="C15"/>
  <c r="C16"/>
  <c r="C17"/>
  <c r="C18"/>
  <c r="C19"/>
  <c r="C20"/>
  <c r="C21"/>
  <c r="C22"/>
  <c r="C11"/>
  <c r="C9" s="1"/>
  <c r="C9" i="110"/>
  <c r="D9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11"/>
  <c r="B9" s="1"/>
  <c r="B281" i="108"/>
  <c r="B282"/>
  <c r="B283"/>
  <c r="B284"/>
  <c r="B285"/>
  <c r="B286"/>
  <c r="B287"/>
  <c r="B288"/>
  <c r="B289"/>
  <c r="B290"/>
  <c r="B291"/>
  <c r="B280"/>
  <c r="B382"/>
  <c r="B367"/>
  <c r="B352"/>
  <c r="B337"/>
  <c r="B323"/>
  <c r="B308"/>
  <c r="B293"/>
  <c r="B191"/>
  <c r="B192"/>
  <c r="B193"/>
  <c r="B194"/>
  <c r="B195"/>
  <c r="B196"/>
  <c r="B197"/>
  <c r="B198"/>
  <c r="B199"/>
  <c r="B200"/>
  <c r="B201"/>
  <c r="B190"/>
  <c r="B188" s="1"/>
  <c r="B263"/>
  <c r="B248"/>
  <c r="B233"/>
  <c r="B218"/>
  <c r="B203"/>
  <c r="B41"/>
  <c r="B42"/>
  <c r="B43"/>
  <c r="B44"/>
  <c r="B45"/>
  <c r="B46"/>
  <c r="B47"/>
  <c r="B48"/>
  <c r="B49"/>
  <c r="B50"/>
  <c r="B51"/>
  <c r="B40"/>
  <c r="B173"/>
  <c r="B158"/>
  <c r="B143"/>
  <c r="B128"/>
  <c r="B113"/>
  <c r="B98"/>
  <c r="B83"/>
  <c r="B68"/>
  <c r="B53"/>
  <c r="B23"/>
  <c r="C8" i="105"/>
  <c r="D11" s="1"/>
  <c r="D10"/>
  <c r="D8" s="1"/>
  <c r="C9" i="104"/>
  <c r="D9"/>
  <c r="E9"/>
  <c r="F9"/>
  <c r="G9"/>
  <c r="H9"/>
  <c r="I9"/>
  <c r="J9"/>
  <c r="K9"/>
  <c r="B11"/>
  <c r="B13"/>
  <c r="B14"/>
  <c r="B15"/>
  <c r="B16"/>
  <c r="B17"/>
  <c r="B18"/>
  <c r="B19"/>
  <c r="B20"/>
  <c r="B12"/>
  <c r="B9" i="103"/>
  <c r="C9" i="102"/>
  <c r="C9" i="87"/>
  <c r="D9"/>
  <c r="E9"/>
  <c r="F9"/>
  <c r="G9"/>
  <c r="B9"/>
  <c r="C10" i="86"/>
  <c r="D10"/>
  <c r="E10"/>
  <c r="F10"/>
  <c r="C9" i="82"/>
  <c r="D9"/>
  <c r="E9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9" i="132"/>
  <c r="C9" i="78"/>
  <c r="C9" i="79"/>
  <c r="D9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11"/>
  <c r="D9" i="78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9" i="77"/>
  <c r="D9"/>
  <c r="C9"/>
  <c r="C9" i="76"/>
  <c r="D9"/>
  <c r="E9"/>
  <c r="F9"/>
  <c r="G9"/>
  <c r="H9"/>
  <c r="I9"/>
  <c r="J9"/>
  <c r="K9"/>
  <c r="L9"/>
  <c r="B11"/>
  <c r="B12"/>
  <c r="B13"/>
  <c r="B14"/>
  <c r="B15"/>
  <c r="B16"/>
  <c r="B17"/>
  <c r="B18"/>
  <c r="B19"/>
  <c r="B20"/>
  <c r="B12" i="75"/>
  <c r="B13"/>
  <c r="B14"/>
  <c r="B15"/>
  <c r="B16"/>
  <c r="B17"/>
  <c r="B18"/>
  <c r="B19"/>
  <c r="B11"/>
  <c r="B9" s="1"/>
  <c r="B176" i="74"/>
  <c r="B167"/>
  <c r="B45"/>
  <c r="B38"/>
  <c r="B32"/>
  <c r="B26"/>
  <c r="B9"/>
  <c r="B38" i="108"/>
  <c r="B278"/>
  <c r="D11" i="118"/>
  <c r="D10"/>
  <c r="D8" s="1"/>
  <c r="B9" i="79" l="1"/>
  <c r="B9" i="82"/>
  <c r="B9" i="104"/>
  <c r="B9" i="76"/>
  <c r="B9" i="78"/>
</calcChain>
</file>

<file path=xl/sharedStrings.xml><?xml version="1.0" encoding="utf-8"?>
<sst xmlns="http://schemas.openxmlformats.org/spreadsheetml/2006/main" count="10724" uniqueCount="636">
  <si>
    <t>VOLVER AL ÍNDICE</t>
  </si>
  <si>
    <t>Cuadros de nacimientos</t>
  </si>
  <si>
    <t>Cuadros de defunciones</t>
  </si>
  <si>
    <t>Cuadros de matrimonios</t>
  </si>
  <si>
    <t>Cuadros  de divorcios</t>
  </si>
  <si>
    <t>Ficha Técnica</t>
  </si>
  <si>
    <t>Créditos</t>
  </si>
  <si>
    <t>Presentación</t>
  </si>
  <si>
    <t>Marco teórico</t>
  </si>
  <si>
    <t>Capítulo 1. Estadísticas de nacimientos</t>
  </si>
  <si>
    <t>Capítulo 2. Estadísticas de defunciones</t>
  </si>
  <si>
    <t>Capítulo 3. Estadísticas de matrimonios</t>
  </si>
  <si>
    <t>Capítulo 4.  Estadística de divorcios</t>
  </si>
  <si>
    <t xml:space="preserve">Conclusiones </t>
  </si>
  <si>
    <t>Glosario</t>
  </si>
  <si>
    <t>Bibliografía consultada</t>
  </si>
  <si>
    <t>Cuadro 1.1</t>
  </si>
  <si>
    <t>República Dominicana</t>
  </si>
  <si>
    <t>Características</t>
  </si>
  <si>
    <t>Nacimientos</t>
  </si>
  <si>
    <t>Mes de nacimiento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</si>
  <si>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</si>
  <si>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</si>
  <si>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</si>
  <si>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</si>
  <si>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</si>
  <si>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</si>
  <si>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</si>
  <si>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</si>
  <si>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</si>
  <si>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</si>
  <si>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</si>
  <si>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</si>
  <si>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 especificado</t>
  </si>
  <si>
    <t>Tipo de nacimiento</t>
  </si>
  <si>
    <t>Oportuno</t>
  </si>
  <si>
    <t>Tardío</t>
  </si>
  <si>
    <t>Sexo del registrado</t>
  </si>
  <si>
    <t>Hombre</t>
  </si>
  <si>
    <t>Mujer</t>
  </si>
  <si>
    <t>Zona de residencia de la madre</t>
  </si>
  <si>
    <t>Urbana</t>
  </si>
  <si>
    <t>Rural</t>
  </si>
  <si>
    <t>Nacionalidad de la madre</t>
  </si>
  <si>
    <t>Dominicana</t>
  </si>
  <si>
    <t>No especificada</t>
  </si>
  <si>
    <t>Nacionalidad del padre</t>
  </si>
  <si>
    <t>Soltera</t>
  </si>
  <si>
    <t>Casada</t>
  </si>
  <si>
    <t>Viuda</t>
  </si>
  <si>
    <t>Divorciada o Separada</t>
  </si>
  <si>
    <t>Otro</t>
  </si>
  <si>
    <t>No Especificado</t>
  </si>
  <si>
    <t>Lugar de atención del parto</t>
  </si>
  <si>
    <t>Clínica</t>
  </si>
  <si>
    <t>Hospital</t>
  </si>
  <si>
    <t>Hogar</t>
  </si>
  <si>
    <t xml:space="preserve">     Nota: Elaborado con datos registrados en las Oficialías del Estado Civil</t>
  </si>
  <si>
    <t xml:space="preserve">          Junta Central Electoral</t>
  </si>
  <si>
    <t xml:space="preserve"> Fuente: Oficina Nacional de Estadística, (ONE)</t>
  </si>
  <si>
    <t>Cuadro 1.2</t>
  </si>
  <si>
    <t>Total</t>
  </si>
  <si>
    <t>Menor de 15 años</t>
  </si>
  <si>
    <t>15-19</t>
  </si>
  <si>
    <t>20-24</t>
  </si>
  <si>
    <t>25-29</t>
  </si>
  <si>
    <t>30-34</t>
  </si>
  <si>
    <t>35-39</t>
  </si>
  <si>
    <t>40-44</t>
  </si>
  <si>
    <t>45-49</t>
  </si>
  <si>
    <t>50 años y más</t>
  </si>
  <si>
    <t>Nota: Elaborado con datos registrados en las Oficialías del Estado Civil. Junta Central Electoral</t>
  </si>
  <si>
    <t>Cuadro 1.3</t>
  </si>
  <si>
    <t>Cuadro 1.4</t>
  </si>
  <si>
    <t>Provincia de registro</t>
  </si>
  <si>
    <t>Sexo</t>
  </si>
  <si>
    <t>Distrito Nacional</t>
  </si>
  <si>
    <t>Azua</t>
  </si>
  <si>
    <t>Baoruco</t>
  </si>
  <si>
    <t>Barahona</t>
  </si>
  <si>
    <t>Dajabón</t>
  </si>
  <si>
    <t>Duarte</t>
  </si>
  <si>
    <t>Elías Piña</t>
  </si>
  <si>
    <t>El Seibo</t>
  </si>
  <si>
    <t>Espaillat</t>
  </si>
  <si>
    <t>Independencia</t>
  </si>
  <si>
    <t>La Altagracia</t>
  </si>
  <si>
    <t>La Romana</t>
  </si>
  <si>
    <t>La Vega</t>
  </si>
  <si>
    <t>María Trinidad Sánchez</t>
  </si>
  <si>
    <t>Monte Cristi</t>
  </si>
  <si>
    <t>Pedernales</t>
  </si>
  <si>
    <t>Peravia</t>
  </si>
  <si>
    <t>Puerto Plata</t>
  </si>
  <si>
    <t xml:space="preserve">Hermanas Mirabal </t>
  </si>
  <si>
    <t>Samaná</t>
  </si>
  <si>
    <t>San Cristóbal</t>
  </si>
  <si>
    <t>San Juan</t>
  </si>
  <si>
    <t>San Pedro de Macorís</t>
  </si>
  <si>
    <t>Sánchez Ramírez</t>
  </si>
  <si>
    <t>Santiago</t>
  </si>
  <si>
    <t>Santiago Rodríguez</t>
  </si>
  <si>
    <t>Valverde</t>
  </si>
  <si>
    <t>Monseñor Nouel</t>
  </si>
  <si>
    <t>Monte Plata</t>
  </si>
  <si>
    <t>Hato Mayor</t>
  </si>
  <si>
    <t>San José de Ocoa</t>
  </si>
  <si>
    <t>Santo Domingo</t>
  </si>
  <si>
    <t>Otro País</t>
  </si>
  <si>
    <t>Cuadro 1.5</t>
  </si>
  <si>
    <t>Provincia de ocurrencia</t>
  </si>
  <si>
    <t>Cuadro 1.6</t>
  </si>
  <si>
    <t>Provincia de residencia de la madre</t>
  </si>
  <si>
    <t>Cuadro 1.7</t>
  </si>
  <si>
    <t>Las Charcas</t>
  </si>
  <si>
    <t>Las Yayas de Viajama</t>
  </si>
  <si>
    <t>Padre las Casas</t>
  </si>
  <si>
    <t>Peralta</t>
  </si>
  <si>
    <t>Sabana Yegua</t>
  </si>
  <si>
    <t>Tábara Arriba</t>
  </si>
  <si>
    <t>Guayabal</t>
  </si>
  <si>
    <t>Estebanía</t>
  </si>
  <si>
    <t>Neiba</t>
  </si>
  <si>
    <t>Galván</t>
  </si>
  <si>
    <t>Tamayo</t>
  </si>
  <si>
    <t>Villa Jaragua</t>
  </si>
  <si>
    <t>Los Ríos</t>
  </si>
  <si>
    <t>Cabral</t>
  </si>
  <si>
    <t>Enriquillo</t>
  </si>
  <si>
    <t>Paraíso</t>
  </si>
  <si>
    <t>Vicente Noble</t>
  </si>
  <si>
    <t>Las Salinas</t>
  </si>
  <si>
    <t>Polo</t>
  </si>
  <si>
    <t>Loma de Cabrera</t>
  </si>
  <si>
    <t>Partido</t>
  </si>
  <si>
    <t>Restauración</t>
  </si>
  <si>
    <t>San Francisco de Macorís</t>
  </si>
  <si>
    <t>Arenoso</t>
  </si>
  <si>
    <t>Castillo</t>
  </si>
  <si>
    <t>Pimentel</t>
  </si>
  <si>
    <t>Villa Rivas</t>
  </si>
  <si>
    <t>Comendador</t>
  </si>
  <si>
    <t>Bánica</t>
  </si>
  <si>
    <t>Pedro Santana</t>
  </si>
  <si>
    <t>Miches</t>
  </si>
  <si>
    <t>Moca</t>
  </si>
  <si>
    <t>Cayetano Germosén</t>
  </si>
  <si>
    <t>Gaspar Hernández</t>
  </si>
  <si>
    <t>Jamao al Norte</t>
  </si>
  <si>
    <t>Jimaní</t>
  </si>
  <si>
    <t>Duvergé</t>
  </si>
  <si>
    <t>La Descubierta</t>
  </si>
  <si>
    <t>Postrer Río</t>
  </si>
  <si>
    <t xml:space="preserve"> Higüey</t>
  </si>
  <si>
    <t>San Rafael del Yuma</t>
  </si>
  <si>
    <t>Guaymate</t>
  </si>
  <si>
    <t>Constanza</t>
  </si>
  <si>
    <t>Jarabacoa</t>
  </si>
  <si>
    <t>Jima Abajo</t>
  </si>
  <si>
    <t>Nagua</t>
  </si>
  <si>
    <t>Cabrera</t>
  </si>
  <si>
    <t>El Factor</t>
  </si>
  <si>
    <t>Castañuelas</t>
  </si>
  <si>
    <t>Guayubín</t>
  </si>
  <si>
    <t>Las Matas de Santa Cruz</t>
  </si>
  <si>
    <t>Oviedo</t>
  </si>
  <si>
    <t>Baní</t>
  </si>
  <si>
    <t>Nizao</t>
  </si>
  <si>
    <t>Altamira</t>
  </si>
  <si>
    <t>Guananico</t>
  </si>
  <si>
    <t>Imbert</t>
  </si>
  <si>
    <t>Los Hidalgos</t>
  </si>
  <si>
    <t>Luperón</t>
  </si>
  <si>
    <t>Sosúa</t>
  </si>
  <si>
    <t>Villa Isabela</t>
  </si>
  <si>
    <t>Salcedo</t>
  </si>
  <si>
    <t>Tenares</t>
  </si>
  <si>
    <t>Villa Tapia</t>
  </si>
  <si>
    <t>Sánchez</t>
  </si>
  <si>
    <t>Las Terrenas</t>
  </si>
  <si>
    <t>Sabana Grande de Palenque</t>
  </si>
  <si>
    <t>Bajos de Haina</t>
  </si>
  <si>
    <t>Cambita Garabito</t>
  </si>
  <si>
    <t>Villa Altagracia</t>
  </si>
  <si>
    <t>Yaguate</t>
  </si>
  <si>
    <t>Los Cacaos</t>
  </si>
  <si>
    <t>Bohechío</t>
  </si>
  <si>
    <t>El Cercado</t>
  </si>
  <si>
    <t>Las Matas de Farfán</t>
  </si>
  <si>
    <t>Vallejuelo</t>
  </si>
  <si>
    <t>Los Llanos</t>
  </si>
  <si>
    <t>Ramón Santana</t>
  </si>
  <si>
    <t>Cotuí</t>
  </si>
  <si>
    <t>Cevicos</t>
  </si>
  <si>
    <t>Fantino</t>
  </si>
  <si>
    <t>Bisonó</t>
  </si>
  <si>
    <t>Jánico</t>
  </si>
  <si>
    <t>Licey al Medio</t>
  </si>
  <si>
    <t>San José de las Matas</t>
  </si>
  <si>
    <t>Tamboril</t>
  </si>
  <si>
    <t>Villa González</t>
  </si>
  <si>
    <t>Sabana Iglesia</t>
  </si>
  <si>
    <t>San Ignacio de Sabaneta</t>
  </si>
  <si>
    <t>Villa los Almácigos</t>
  </si>
  <si>
    <t>Monción</t>
  </si>
  <si>
    <t>Mao</t>
  </si>
  <si>
    <t>Esperanza</t>
  </si>
  <si>
    <t>Laguna Salada</t>
  </si>
  <si>
    <t>Bonao</t>
  </si>
  <si>
    <t>Maimón</t>
  </si>
  <si>
    <t>Piedra Blanca</t>
  </si>
  <si>
    <t>Bayaguana</t>
  </si>
  <si>
    <t>Sabana Grande de Boyá</t>
  </si>
  <si>
    <t>Yamasá</t>
  </si>
  <si>
    <t>Sabana de la Mar</t>
  </si>
  <si>
    <t>El Valle</t>
  </si>
  <si>
    <t>Rancho Arriba</t>
  </si>
  <si>
    <t>Santo Domingo Este</t>
  </si>
  <si>
    <t>Santo Domingo Oeste</t>
  </si>
  <si>
    <t>Santo Domingo Norte</t>
  </si>
  <si>
    <t>Boca Chica</t>
  </si>
  <si>
    <t>San Antonio de Guerra</t>
  </si>
  <si>
    <t>Pedro Brand</t>
  </si>
  <si>
    <t>Cuadro 1.9</t>
  </si>
  <si>
    <t>Hermanas Mirabal</t>
  </si>
  <si>
    <t>Cuadro 1.10</t>
  </si>
  <si>
    <t xml:space="preserve">Nacimientos ocurridos, según provincia de residencia y grupos de </t>
  </si>
  <si>
    <t>Provincia de residencia y grupo de edad de la madre al momento del nacimiento del hijo (a)</t>
  </si>
  <si>
    <t>Cuadro 1.11</t>
  </si>
  <si>
    <t>Cuadro 1.12</t>
  </si>
  <si>
    <t xml:space="preserve">Nacimientos ocurridos, según provincia, zona de residencia y </t>
  </si>
  <si>
    <t>Fuente: Oficina Nacional de Estadística, (ONE)</t>
  </si>
  <si>
    <t>Cuadro 1.13</t>
  </si>
  <si>
    <t>Cuadro 1.14</t>
  </si>
  <si>
    <t>Edad de la madre al momento del nacimiento del hijo (a)</t>
  </si>
  <si>
    <t>Cuadro 1.15</t>
  </si>
  <si>
    <t>Cuadro 2.1</t>
  </si>
  <si>
    <t>Mes de la defunción</t>
  </si>
  <si>
    <t>Defunciones</t>
  </si>
  <si>
    <t>Cuadro 2.2</t>
  </si>
  <si>
    <t>Cuadro 2.3</t>
  </si>
  <si>
    <t>Año de ocurrencia agrupada</t>
  </si>
  <si>
    <t>1911-1920</t>
  </si>
  <si>
    <t>1921-1930</t>
  </si>
  <si>
    <t>1931-1940</t>
  </si>
  <si>
    <t>1941-1950</t>
  </si>
  <si>
    <t>1951-1960</t>
  </si>
  <si>
    <t>1961-1970</t>
  </si>
  <si>
    <t>1971-1980</t>
  </si>
  <si>
    <t>1981-1990</t>
  </si>
  <si>
    <t>1991-2000</t>
  </si>
  <si>
    <t>Cuadro 2.4</t>
  </si>
  <si>
    <t xml:space="preserve">Defunciones ocurridas, por sexo, según provincia de residencia </t>
  </si>
  <si>
    <t>Provincia de residencia del fallecido y persona que informó la defunción</t>
  </si>
  <si>
    <t>Médico Tratante</t>
  </si>
  <si>
    <t>Médico no tratante</t>
  </si>
  <si>
    <t>Familiares</t>
  </si>
  <si>
    <t>Cuadro 2.5</t>
  </si>
  <si>
    <t>Provincia de registro y grupo de edad del fallecido</t>
  </si>
  <si>
    <t>1-4</t>
  </si>
  <si>
    <t>5-9</t>
  </si>
  <si>
    <t>10-14</t>
  </si>
  <si>
    <t>50-54</t>
  </si>
  <si>
    <t>55-59</t>
  </si>
  <si>
    <t>60-64</t>
  </si>
  <si>
    <t>65-69</t>
  </si>
  <si>
    <t>70 y mas</t>
  </si>
  <si>
    <t>Cuadro 2.6</t>
  </si>
  <si>
    <t>El Llano</t>
  </si>
  <si>
    <t>Mella</t>
  </si>
  <si>
    <t>Higüey</t>
  </si>
  <si>
    <t>San Gregorio de Nigua</t>
  </si>
  <si>
    <t>Juan de Herrera</t>
  </si>
  <si>
    <t>Cuadro 2.7</t>
  </si>
  <si>
    <t xml:space="preserve">Defunciones ocurridas por zona de residencia del fallecido, </t>
  </si>
  <si>
    <t xml:space="preserve">Provincia de registro y persona que informó la defunción </t>
  </si>
  <si>
    <t>Cuadro 2.8</t>
  </si>
  <si>
    <t xml:space="preserve">Defunciones ocurridas, por sexo del fallecido, según </t>
  </si>
  <si>
    <t>Provincia de nacimiento y grupo de edad del fallecido</t>
  </si>
  <si>
    <t>Sexo del fallecido</t>
  </si>
  <si>
    <t>Cuadro 2.9</t>
  </si>
  <si>
    <t>Zona de ocurrencia</t>
  </si>
  <si>
    <t>Cuadro 2.10</t>
  </si>
  <si>
    <t>Provincia de ocurrencia del fallecimiento y grupo de edad del fallecido</t>
  </si>
  <si>
    <t>Cuadro 3.1</t>
  </si>
  <si>
    <t>Mes de matrimonio</t>
  </si>
  <si>
    <t>Matrimonios</t>
  </si>
  <si>
    <t>Cuadro 3.2</t>
  </si>
  <si>
    <t>Provincia de matrimonio</t>
  </si>
  <si>
    <t>Elías  Piña</t>
  </si>
  <si>
    <t>Cuadro 3.3</t>
  </si>
  <si>
    <t>Grupos de edad de la contrayente</t>
  </si>
  <si>
    <t>Grupos de edad del contrayente</t>
  </si>
  <si>
    <t>50  y más</t>
  </si>
  <si>
    <t>Cuadro 3.4</t>
  </si>
  <si>
    <t>Tipo de matrimonio</t>
  </si>
  <si>
    <t>Civil</t>
  </si>
  <si>
    <t>Canónico</t>
  </si>
  <si>
    <t>Cuadro 3.5</t>
  </si>
  <si>
    <t>Cuadro 3.6</t>
  </si>
  <si>
    <t>Nacionalidad de la contrayente</t>
  </si>
  <si>
    <t>Nacionalidad del contrayente</t>
  </si>
  <si>
    <t>Cuadro 3.7</t>
  </si>
  <si>
    <t>Provincia, municipio y mes de registro</t>
  </si>
  <si>
    <t xml:space="preserve">Julio </t>
  </si>
  <si>
    <t>San Juan de la Maguana</t>
  </si>
  <si>
    <t>Cuadro 3.8</t>
  </si>
  <si>
    <t>Provincia de matrimonio y grupo de edad de la contrayente</t>
  </si>
  <si>
    <t>Grupo de edad del contrayente</t>
  </si>
  <si>
    <t>Cuadro 3.9</t>
  </si>
  <si>
    <t>Cuadro 4.1</t>
  </si>
  <si>
    <t>Mes de registro</t>
  </si>
  <si>
    <t>Divorcios</t>
  </si>
  <si>
    <t>Cuadro 4.2</t>
  </si>
  <si>
    <t>Menor a 15 años</t>
  </si>
  <si>
    <t>Cuadro 4.3</t>
  </si>
  <si>
    <t xml:space="preserve">   Nota: Elaborado con datos registrados en las Oficialías del Estado Civil.                  Junta Central Electoral</t>
  </si>
  <si>
    <t>Cuadro 4.4</t>
  </si>
  <si>
    <t>Provincia y municipio de registro</t>
  </si>
  <si>
    <t>Nota: Elaborado con datos registrados en las Oficialías del Estado Civil. Junta Central Electoral.</t>
  </si>
  <si>
    <t>Cuadro 4.5</t>
  </si>
  <si>
    <t>Causa de divorcio</t>
  </si>
  <si>
    <t>Incompatibilidad de caracteres</t>
  </si>
  <si>
    <t>Mutuo consentimiento</t>
  </si>
  <si>
    <t>Cuadro 4.6</t>
  </si>
  <si>
    <t>Provincia de registro del divorcio</t>
  </si>
  <si>
    <t>Cuadro 4.7</t>
  </si>
  <si>
    <t>Nacionalidad de la divorciada</t>
  </si>
  <si>
    <t>Nacionalidad del divorciado</t>
  </si>
  <si>
    <t>Provincia de residencia del divorciado</t>
  </si>
  <si>
    <t>Provincia de residencia de la divorciada</t>
  </si>
  <si>
    <t xml:space="preserve">Provincia, municipio y mes </t>
  </si>
  <si>
    <t>Porciento</t>
  </si>
  <si>
    <t>No Especificada</t>
  </si>
  <si>
    <t>Porcentaje</t>
  </si>
  <si>
    <t>Estado conyugal de la madre</t>
  </si>
  <si>
    <t>Zona de residencia del fallecido</t>
  </si>
  <si>
    <t>Cuadro 1.16</t>
  </si>
  <si>
    <t>Año de nacimiento y sexo del registrado</t>
  </si>
  <si>
    <t>Año de registro</t>
  </si>
  <si>
    <t>Búlgara</t>
  </si>
  <si>
    <t>Canadiense</t>
  </si>
  <si>
    <t>China</t>
  </si>
  <si>
    <t>Cubana</t>
  </si>
  <si>
    <t>Ecuatoriana</t>
  </si>
  <si>
    <t>Haitiana</t>
  </si>
  <si>
    <t>Hondureña</t>
  </si>
  <si>
    <t>Israelí</t>
  </si>
  <si>
    <t>Italiana</t>
  </si>
  <si>
    <t>Mexicana</t>
  </si>
  <si>
    <t>Rusa</t>
  </si>
  <si>
    <t>Española</t>
  </si>
  <si>
    <t>Suiza</t>
  </si>
  <si>
    <t>Estadounidense</t>
  </si>
  <si>
    <t>Belga</t>
  </si>
  <si>
    <t>Chino</t>
  </si>
  <si>
    <t>Cubano</t>
  </si>
  <si>
    <t>Dominicano</t>
  </si>
  <si>
    <t>Ecuatoriano</t>
  </si>
  <si>
    <t>Francés</t>
  </si>
  <si>
    <t>Alemán</t>
  </si>
  <si>
    <t>Guatemalteco</t>
  </si>
  <si>
    <t>Haitiano</t>
  </si>
  <si>
    <t>Italiano</t>
  </si>
  <si>
    <t>Mexicano</t>
  </si>
  <si>
    <t>Rumano</t>
  </si>
  <si>
    <t>Ruso</t>
  </si>
  <si>
    <t>Español</t>
  </si>
  <si>
    <t>Suizo</t>
  </si>
  <si>
    <t>Montecristi</t>
  </si>
  <si>
    <t>Grupos de edad de la madre al momento del registro</t>
  </si>
  <si>
    <t>Grupos de edad del padre al momento del registro</t>
  </si>
  <si>
    <t>Nota: Elaborado con datos registrados en las Oficialías del Estado Civil, Junta Central Electoral (JCF).</t>
  </si>
  <si>
    <t>Grupos de edad de la madre al momento del nacimiento del hijo (a)</t>
  </si>
  <si>
    <t>Grupos de edad del padre al momento del nacimiento del hijo (a)</t>
  </si>
  <si>
    <t xml:space="preserve"> Fuente: Oficina Nacional de Estadística, (ONE).</t>
  </si>
  <si>
    <t>San Pedro De Macorís</t>
  </si>
  <si>
    <t>Zona de residencia y grupos de edad de la madre al momento del nacimiento del hijo (a)</t>
  </si>
  <si>
    <t>Nacimientos ocurridos, según zona de residencia y grupo</t>
  </si>
  <si>
    <t>Provincia, zona de residencia y grupos de edad de la madre al momento del nacimiento del hijo (a)</t>
  </si>
  <si>
    <t xml:space="preserve">Nacimientos ocurridos por situación conyugal de la madre, </t>
  </si>
  <si>
    <t>Provincia de registro y grupos de edad del padre al momento del registro</t>
  </si>
  <si>
    <t>1.1 Nacimientos ocurridos, según características, 2010</t>
  </si>
  <si>
    <t>1.2 Nacimientos ocurridos por grupos de edad del padre, según grupos de edad de la madre al momento del registro, 2010</t>
  </si>
  <si>
    <t>1.3 Nacimientos ocurridos por grupos de edad del padre, según grupos de edad de la madre al momento del nacimiento del hijo (a), 2010</t>
  </si>
  <si>
    <t>1.4 Nacimientos ocurridos, por sexo, según provincia de registro, 2010</t>
  </si>
  <si>
    <t>1.5 Nacimientos ocurridos, por sexo, según provincia de ocurrencia, 2010</t>
  </si>
  <si>
    <t>1.6 Nacimientos ocurridos, por sexo del registrado, según provincia de residencia de la madre, 2010</t>
  </si>
  <si>
    <t>1.7 Nacimientos ocurridos por tipo, según provincia y municipio de nacimiento, 2010</t>
  </si>
  <si>
    <t>1.8 Nacimientos ocurridos, según sexo del registrado, 2010</t>
  </si>
  <si>
    <t>1.9 Nacimientos ocurridos por zona de residencia, según provincia de residencia de la madre, 2010</t>
  </si>
  <si>
    <t>1.10 Nacimientos ocurridos, según provincia de residencia y grupos de edad de la madre al momento del nacimiento del hijo (a), 2010</t>
  </si>
  <si>
    <t>1.11 Nacimientos ocurridos, según zona de residencia y grupos de edad de la madre al momento del nacimiento del hijo (a), 2010</t>
  </si>
  <si>
    <t>1.12 Nacimientos ocurridos, según provincia, zona de residencia y grupos de edad de la madre al momento del nacimiento del hijo (a), 2010</t>
  </si>
  <si>
    <t>1.13 Nacimientos ocurridos por situación conyugal de la madre, según grupos de edad de la madre al momento del nacimiento del hijo (a), 2010</t>
  </si>
  <si>
    <t>1.14 Nacimientos ocurridos por lugar del parto, según grupos de edad de la madre al momento del nacimiento del hijo (a), 2010</t>
  </si>
  <si>
    <t>1.15 Nacimientos ocurridos por grupo de edad de la madre al momento del registro, según provincia y grupo de edad del padre al momento del registro, 2010</t>
  </si>
  <si>
    <t xml:space="preserve">1.16 Nacimientos ocurridos por año, según año de nacimiento y sexo del registrado, 2001-2010 </t>
  </si>
  <si>
    <t>Austriaca</t>
  </si>
  <si>
    <t>Barbadense</t>
  </si>
  <si>
    <t>Boliviana</t>
  </si>
  <si>
    <t>Brasileña</t>
  </si>
  <si>
    <t>Republica Centroafricana</t>
  </si>
  <si>
    <t>Chilena</t>
  </si>
  <si>
    <t>Colombiana</t>
  </si>
  <si>
    <t>Salvadoreña</t>
  </si>
  <si>
    <t>Etíope</t>
  </si>
  <si>
    <t>France, Metropolitana</t>
  </si>
  <si>
    <t>Húngara</t>
  </si>
  <si>
    <t>Jamaicana</t>
  </si>
  <si>
    <t>Surcoreana</t>
  </si>
  <si>
    <t>Republica Popular Mongolia</t>
  </si>
  <si>
    <t>Antillano</t>
  </si>
  <si>
    <t>Nicaragua</t>
  </si>
  <si>
    <t>Eslovena</t>
  </si>
  <si>
    <t>Surinam</t>
  </si>
  <si>
    <t>Reino Unido</t>
  </si>
  <si>
    <t>Extranjero no especificado</t>
  </si>
  <si>
    <t>Argelino</t>
  </si>
  <si>
    <t>Austriaco</t>
  </si>
  <si>
    <t>Boliviano</t>
  </si>
  <si>
    <t>Brasileño</t>
  </si>
  <si>
    <t>Búlgaro</t>
  </si>
  <si>
    <t>Caimanés</t>
  </si>
  <si>
    <t>Chileno</t>
  </si>
  <si>
    <t>Colombiano</t>
  </si>
  <si>
    <t>Checo</t>
  </si>
  <si>
    <t>Salvadoreño</t>
  </si>
  <si>
    <t>France, Metropolitan</t>
  </si>
  <si>
    <t>Ghanés</t>
  </si>
  <si>
    <t>Granadino</t>
  </si>
  <si>
    <t>Hondureño</t>
  </si>
  <si>
    <t>Húngaro</t>
  </si>
  <si>
    <t>Indio</t>
  </si>
  <si>
    <t>Surcoreano</t>
  </si>
  <si>
    <t>Libanés</t>
  </si>
  <si>
    <t>Namibia</t>
  </si>
  <si>
    <t>Nueva Zelanda</t>
  </si>
  <si>
    <t>Nigeriano</t>
  </si>
  <si>
    <t>Noruega</t>
  </si>
  <si>
    <t>Paraguayo</t>
  </si>
  <si>
    <t>Filipino</t>
  </si>
  <si>
    <t>Puertorriqueño</t>
  </si>
  <si>
    <t>Saudí o saudita</t>
  </si>
  <si>
    <t>Republica de Sudáfrica</t>
  </si>
  <si>
    <t>Sirio</t>
  </si>
  <si>
    <t>Yugoslavo</t>
  </si>
  <si>
    <t>extranjero no especificado</t>
  </si>
  <si>
    <t>Nacimientos ocurridos, según características, 2010</t>
  </si>
  <si>
    <t>Nacimientos ocurridos, por sexo del registrado, según provincia de residencia de la madre, 2010</t>
  </si>
  <si>
    <t>Pepillo Salcedo</t>
  </si>
  <si>
    <t>Villa Vázquez</t>
  </si>
  <si>
    <t>Hato Mayor del Rey</t>
  </si>
  <si>
    <t>Cuadro 1.8</t>
  </si>
  <si>
    <t>No. de nacimientos</t>
  </si>
  <si>
    <t xml:space="preserve">    Nota: Elaborado con datos registrados en las Oficialías del Estado Civil. </t>
  </si>
  <si>
    <t xml:space="preserve">               Junta Central Electoral.</t>
  </si>
  <si>
    <t xml:space="preserve">               </t>
  </si>
  <si>
    <t>Nacimientos ocurridos, según sexo del registrado, 2010</t>
  </si>
  <si>
    <t>Nacimientos ocurridos por zona de residencia, según provincia de residencia de la madre, 2010</t>
  </si>
  <si>
    <t>edad de la madre al momento del nacimiento del hijo (a), 2010</t>
  </si>
  <si>
    <t xml:space="preserve"> de edad de la madre al momento del nacimiento del hijo (a), 2010</t>
  </si>
  <si>
    <t>grupo de edad de la madre al momento del nacimiento del hijo (a), 2010</t>
  </si>
  <si>
    <t>según grupo de edad de la madre al momento del nacimiento del hijo (a), 2010</t>
  </si>
  <si>
    <t>Nacimientos ocurridos por lugar del parto, según grupo de edad de la madre al momento del nacimiento del hijo (a), 2010</t>
  </si>
  <si>
    <t>Nacimientos ocurridos por grupo de edad de la madre al momento del registro, según provincia y grupo de edad del padre al momento del registro, 2010</t>
  </si>
  <si>
    <t>Natimuerto</t>
  </si>
  <si>
    <t>Defunciones ocurridas, por sexo, según mes de la defunción, 2010</t>
  </si>
  <si>
    <t>Matrimonios registrados, según mes, 2010</t>
  </si>
  <si>
    <t>Matrimonios registrados, según provincia de matrimonio, 2010</t>
  </si>
  <si>
    <t>Matrimonios registrados por grupos de edad del contrayente, según grupos de edad de la contrayente, 2010</t>
  </si>
  <si>
    <t>Matrimonios registrados, según tipo de matrimonio, 2010</t>
  </si>
  <si>
    <t>Croata</t>
  </si>
  <si>
    <t>Iraní</t>
  </si>
  <si>
    <t>Marroquí</t>
  </si>
  <si>
    <t>Venezolano</t>
  </si>
  <si>
    <t>Antiguana</t>
  </si>
  <si>
    <t>Australiana</t>
  </si>
  <si>
    <t>Beliceña</t>
  </si>
  <si>
    <t>Caboverdiana</t>
  </si>
  <si>
    <t>Estonia</t>
  </si>
  <si>
    <t>Guatemalteca</t>
  </si>
  <si>
    <t>India</t>
  </si>
  <si>
    <t>Norcoreana</t>
  </si>
  <si>
    <t>Portuguesa</t>
  </si>
  <si>
    <t>Eslovaca</t>
  </si>
  <si>
    <t>Argentino</t>
  </si>
  <si>
    <t>Matrimonios registrados por nacionalidad del contrayente, según nacionalidad de la contrayente, 2010</t>
  </si>
  <si>
    <t>Matrimonios registrados, según provincia, municipio y mes de registro, 2010</t>
  </si>
  <si>
    <t>Matrimonios registrados por grupos de edad del contrayente, según provincia de matrimonio y grupos de edad de la contrayente, 2010</t>
  </si>
  <si>
    <t>civil</t>
  </si>
  <si>
    <t>Matrimonios registrados por tipo, según provincia de matrimonio, 2010</t>
  </si>
  <si>
    <t>Matrimonios registrados por tipo, según provincia de matrimonio y grupos de edad de la contrayente, 2010</t>
  </si>
  <si>
    <t>no especificada</t>
  </si>
  <si>
    <t>Defunciones ocurridas, por sexo, Según provincia y mes de la defunción, 2010</t>
  </si>
  <si>
    <t xml:space="preserve">Sexo </t>
  </si>
  <si>
    <t>Provincia y mes de la defunción</t>
  </si>
  <si>
    <t>Defunciones registradas, según año de ocurrencia, 1911-2010</t>
  </si>
  <si>
    <t>del fallecido y persona que informó la defunción, 2010</t>
  </si>
  <si>
    <t>Nacionalidad</t>
  </si>
  <si>
    <t>Defunciones ocurridas, por sexo, según nacionalidad del fallecido, 2010</t>
  </si>
  <si>
    <t xml:space="preserve"> </t>
  </si>
  <si>
    <t>Comorense</t>
  </si>
  <si>
    <t>menor de un año</t>
  </si>
  <si>
    <t>no especificado</t>
  </si>
  <si>
    <t>Defunciones registradas, por sexo, según provincia de registro y grupos quinquenales, 2010</t>
  </si>
  <si>
    <t>según provincia de registro y persona que informó la defunción, 2010</t>
  </si>
  <si>
    <t>provincia de nacimiento y grupos de edad del fallecido, 2010</t>
  </si>
  <si>
    <t>Defunciones por zona de ocurrencia y sexo, según provincia de registro y edad del fallecido, 2010</t>
  </si>
  <si>
    <t>Defunciones por zona de ocurrencia, según provincia y grupo de edad del fallecido, 2010</t>
  </si>
  <si>
    <t>3.1 Matrimonios registrados, según mes, 2010</t>
  </si>
  <si>
    <t>3.2 Matrimonios registrados, según provincia de matrimonio, 2010</t>
  </si>
  <si>
    <t>3.3 Matrimonios registrados por grupos de edad del contrayente, según grupos de edad de la contrayente, 2010</t>
  </si>
  <si>
    <t>3.4 Matrimonios registrados, según tipo de matrimonio, 2010</t>
  </si>
  <si>
    <t>3.5 Matrimonios registrados por nacionalidad del contrayente, según nacionalidad de la contrayente, 2010</t>
  </si>
  <si>
    <t>3.6 Matrimonios registrados, según provincia, municipio y mes de registro, 2010</t>
  </si>
  <si>
    <t>3.7 Matrimonios registrados por grupos de edad del contrayente, según provincia de matrimonio y grupos de edad de la contrayente, 2010</t>
  </si>
  <si>
    <t>3.8 Matrimonios registrados por tipo, según provincia de matrimonio, 2010</t>
  </si>
  <si>
    <t>3.9 Matrimonios registrados por tipo, según provincia de matrimonio y grupos de edad de la contrayente, 2010</t>
  </si>
  <si>
    <t>2.1 Defunciones ocurridas, por sexo según mes, 2010</t>
  </si>
  <si>
    <t>2.2 Defunciones ocurridas, por sexo, según provincia de ocurrencia del fallecimiento y mes de la defunción, 2010</t>
  </si>
  <si>
    <t>2.3 Defunciones registradas, según año de ocurrencia, 1900-2010</t>
  </si>
  <si>
    <t>2.4 Defunciones ocurridas, por sexo, según provincia de residencia del fallecido y persona que informó la defunción, 2010</t>
  </si>
  <si>
    <t>2.5 Defunciones registradas, por sexo, según provincia de registro y grupos quinquenales, 2010</t>
  </si>
  <si>
    <t>2.6 Defunciones ocurridas, por sexo y nacionalidad del fallecido, según provincia y Municipio, 2010</t>
  </si>
  <si>
    <t>2.7 Defunciones ocurridas por zona de residencia del fallecido, según provincia de registro y persona que informó la defunción, 2010</t>
  </si>
  <si>
    <t>2.8 Defunciones ocurridas, por sexo del fallecido, según provincia de nacimiento y grupo de edad del fallecido, 2010</t>
  </si>
  <si>
    <t>2.9 Defunciones por zona de ocurrencia y sexo, según provincia de registro y edad del fallecido, 2010</t>
  </si>
  <si>
    <t>2.10 Defunciones por zona de ocurrencia, según provincia y grupo de edad del fallecido, 2010</t>
  </si>
  <si>
    <t>4.1 Divorcios registrados, según mes, 2010</t>
  </si>
  <si>
    <t>MES DE REGISTRO</t>
  </si>
  <si>
    <t>Divorcios registrados, según mes, 2010</t>
  </si>
  <si>
    <t>Divorcios registrados, según provincia de registro, 2010</t>
  </si>
  <si>
    <t xml:space="preserve"> Barahona</t>
  </si>
  <si>
    <t xml:space="preserve"> El Seibo</t>
  </si>
  <si>
    <t xml:space="preserve"> La Vega</t>
  </si>
  <si>
    <t xml:space="preserve"> Montecristi</t>
  </si>
  <si>
    <t>Divorcios registrados, según provincia y municipio de registro, 2010</t>
  </si>
  <si>
    <t>Cuadro 4,8</t>
  </si>
  <si>
    <t>4.2 Divorcios registrados, según provincia de registro, 2010</t>
  </si>
  <si>
    <t>4.3 Divorcios registrados, según provincia y municipio de registro, 2010</t>
  </si>
  <si>
    <t>4.4 Divorcios registrados, según causa de divorcio, 2010</t>
  </si>
  <si>
    <t>4.5 Divorcios registrados por causa, según provincia de registro, 2010</t>
  </si>
  <si>
    <t>4.6 Divorcios por nacionalidad del divorciado, según nacionalidad de la divorciada, 2010</t>
  </si>
  <si>
    <t>4.7 Divorcios registrados, según provincia de residencia de los divorciados, 2010</t>
  </si>
  <si>
    <t>4.8 Divorcios registrados, según provincia, municipio y mes, 2010</t>
  </si>
  <si>
    <t>Divorcios registrados, según causa de divorcio, 2010</t>
  </si>
  <si>
    <t>Divorcios registrados por causa, según provincia de registro, 2010</t>
  </si>
  <si>
    <t>Panameño</t>
  </si>
  <si>
    <t>Peruano</t>
  </si>
  <si>
    <t>Uruguayo</t>
  </si>
  <si>
    <t>Eritrea</t>
  </si>
  <si>
    <t>Panameña</t>
  </si>
  <si>
    <t>Peruana</t>
  </si>
  <si>
    <t>Venezolana</t>
  </si>
  <si>
    <t>Divorcios por nacionalidad del divorciado, según nacionalidad de la divorciada, 2010</t>
  </si>
  <si>
    <t>Divorcios registrados, según provincia de residencia de los divorciados, 2010</t>
  </si>
  <si>
    <t>Divorcios registrados, según provincia, municipio y mes, 2010</t>
  </si>
  <si>
    <t>Nacimientos registrados por grupo de edad del padre, según grupo de edad de la madre al momento del registro, 2010</t>
  </si>
  <si>
    <t>Nacimientos ocurridos, por sexo, según provincia de ocurrencia, 2010</t>
  </si>
  <si>
    <t>Nacimientos ocurridos por año, según año de nacimiento y sexo del registrado, 2001-2010</t>
  </si>
  <si>
    <t>Nacimientos ocurridos, por sexo del registrado, según provincia de nacimiento, 2010</t>
  </si>
  <si>
    <t>Provincia de nacimiento</t>
  </si>
  <si>
    <t>Argentina</t>
  </si>
  <si>
    <t>Antillana</t>
  </si>
  <si>
    <t>Uruguaya</t>
  </si>
  <si>
    <t>Noruego</t>
  </si>
  <si>
    <t>Nacimientos ocurridos, por sexo, según provincia de registro, 2010</t>
  </si>
  <si>
    <t>Venezolano (a)</t>
  </si>
  <si>
    <t>Paraguaya</t>
  </si>
  <si>
    <t>Nacimientos ocurridos por grupo de edad del padre, según grupo de edad de la madre al momento del nacimiento del hijo (a), 2010</t>
  </si>
  <si>
    <t>Total país</t>
  </si>
  <si>
    <t>Costarricense</t>
  </si>
  <si>
    <t>Francesa</t>
  </si>
  <si>
    <t>Alemana</t>
  </si>
  <si>
    <t>Libanesa</t>
  </si>
  <si>
    <t>Países Bajos (Holanda)</t>
  </si>
  <si>
    <t>Pakistaní</t>
  </si>
  <si>
    <t>Puertorriqueña</t>
  </si>
  <si>
    <t>Republica popular de Mongolia</t>
  </si>
  <si>
    <t>Omán</t>
  </si>
  <si>
    <t>Países Bajos</t>
  </si>
  <si>
    <t>Nicaragüense</t>
  </si>
  <si>
    <t>Turquía</t>
  </si>
  <si>
    <t>Otro país</t>
  </si>
  <si>
    <t>Total País</t>
  </si>
  <si>
    <t xml:space="preserve">    Nota: Elaborado con datos registrados en las oficialías del estado civil. Junta Central Electoral</t>
  </si>
  <si>
    <t>Danesa</t>
  </si>
  <si>
    <t>Dominiquesa</t>
  </si>
  <si>
    <t>Finlandesa</t>
  </si>
  <si>
    <t>Islandesa</t>
  </si>
  <si>
    <t>Irlandesa</t>
  </si>
  <si>
    <t>Japonesa</t>
  </si>
  <si>
    <t>Letona</t>
  </si>
  <si>
    <t>Checa</t>
  </si>
  <si>
    <t>Mongola</t>
  </si>
  <si>
    <t>Nigeriana</t>
  </si>
  <si>
    <t>Polaca</t>
  </si>
  <si>
    <t>Rumana</t>
  </si>
  <si>
    <t>Sudafricana</t>
  </si>
  <si>
    <t>Sueca</t>
  </si>
  <si>
    <t>Turca</t>
  </si>
  <si>
    <t>Ucraniana</t>
  </si>
  <si>
    <t>Británica</t>
  </si>
  <si>
    <t>Iraquí</t>
  </si>
  <si>
    <t>Albanesa</t>
  </si>
  <si>
    <t>Argelina</t>
  </si>
  <si>
    <t>Andorrana</t>
  </si>
  <si>
    <t>Guayanesa</t>
  </si>
  <si>
    <t>Griega</t>
  </si>
  <si>
    <t>Jamaiquina</t>
  </si>
  <si>
    <t>Mauriciana</t>
  </si>
  <si>
    <t>Filipina</t>
  </si>
  <si>
    <t>Sierraleonesa</t>
  </si>
  <si>
    <t>Eugenio María de Hostos</t>
  </si>
  <si>
    <t>Cristóbal</t>
  </si>
  <si>
    <t>canónico</t>
  </si>
  <si>
    <t>Sancristobaleña</t>
  </si>
  <si>
    <t>Bahameña</t>
  </si>
  <si>
    <t>Bermudesa</t>
  </si>
  <si>
    <t>Letonesa</t>
  </si>
  <si>
    <t>Holandesa</t>
  </si>
  <si>
    <t>Neozelandesa</t>
  </si>
  <si>
    <t>Trinitense, tobaguense</t>
  </si>
  <si>
    <t>Extranjero no Especificada</t>
  </si>
  <si>
    <t>surinamesa</t>
  </si>
  <si>
    <t>yugoslava</t>
  </si>
  <si>
    <t>Bengaladesa</t>
  </si>
  <si>
    <t>Santaluciana</t>
  </si>
  <si>
    <t>Indonesa</t>
  </si>
  <si>
    <t>Moldava</t>
  </si>
  <si>
    <t>Grupo de edad de la madre al momento registro</t>
  </si>
  <si>
    <t>Antárctica</t>
  </si>
  <si>
    <t>Centroafricana</t>
  </si>
  <si>
    <t>Heard And Mc Donald Islands</t>
  </si>
  <si>
    <t>Extranjero no Especificado</t>
  </si>
</sst>
</file>

<file path=xl/styles.xml><?xml version="1.0" encoding="utf-8"?>
<styleSheet xmlns="http://schemas.openxmlformats.org/spreadsheetml/2006/main">
  <numFmts count="4">
    <numFmt numFmtId="44" formatCode="_(&quot;RD$&quot;* #,##0.00_);_(&quot;RD$&quot;* \(#,##0.00\);_(&quot;RD$&quot;* &quot;-&quot;??_);_(@_)"/>
    <numFmt numFmtId="164" formatCode="#,##0.0"/>
    <numFmt numFmtId="165" formatCode="_([$€-2]* #,##0.00_);_([$€-2]* \(#,##0.00\);_([$€-2]* &quot;-&quot;??_)"/>
    <numFmt numFmtId="166" formatCode="###0"/>
  </numFmts>
  <fonts count="28">
    <font>
      <sz val="10"/>
      <name val="Arial"/>
    </font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sz val="8"/>
      <name val="Franklin Gothic Book"/>
      <family val="2"/>
    </font>
    <font>
      <sz val="10"/>
      <name val="Franklin Gothic Demi"/>
      <family val="2"/>
    </font>
    <font>
      <sz val="10"/>
      <name val="Franklin Gothic Book"/>
      <family val="2"/>
    </font>
    <font>
      <u/>
      <sz val="10"/>
      <color indexed="12"/>
      <name val="Franklin Gothic Book"/>
      <family val="2"/>
    </font>
    <font>
      <u/>
      <sz val="11"/>
      <color indexed="12"/>
      <name val="Franklin Gothic Book"/>
      <family val="2"/>
    </font>
    <font>
      <sz val="11"/>
      <name val="Franklin Gothic Book"/>
      <family val="2"/>
    </font>
    <font>
      <u/>
      <sz val="8"/>
      <color indexed="12"/>
      <name val="Franklin Gothic Book"/>
      <family val="2"/>
    </font>
    <font>
      <sz val="16"/>
      <name val="Franklin Gothic Demi"/>
      <family val="2"/>
    </font>
    <font>
      <sz val="14"/>
      <name val="Franklin Gothic Demi"/>
      <family val="2"/>
    </font>
    <font>
      <sz val="14"/>
      <name val="Berlin Sans FB Demi"/>
      <family val="2"/>
    </font>
    <font>
      <sz val="9"/>
      <name val="Arial"/>
      <family val="2"/>
    </font>
    <font>
      <sz val="8"/>
      <name val="Franklin Gothic Demi"/>
      <family val="2"/>
    </font>
    <font>
      <sz val="7"/>
      <name val="Franklin Gothic Book"/>
      <family val="2"/>
    </font>
    <font>
      <sz val="8"/>
      <color indexed="8"/>
      <name val="Franklin Gothic Demi"/>
      <family val="2"/>
    </font>
    <font>
      <sz val="8"/>
      <color indexed="8"/>
      <name val="Franklin Gothic Book"/>
      <family val="2"/>
    </font>
    <font>
      <sz val="9"/>
      <color indexed="8"/>
      <name val="Arial"/>
      <family val="2"/>
    </font>
    <font>
      <sz val="7"/>
      <color indexed="8"/>
      <name val="Arial"/>
      <family val="2"/>
    </font>
    <font>
      <sz val="7"/>
      <name val="Arial"/>
      <family val="2"/>
    </font>
    <font>
      <sz val="10"/>
      <name val="Arial CE"/>
    </font>
    <font>
      <b/>
      <sz val="8"/>
      <name val="Franklin Gothic Book"/>
      <family val="2"/>
    </font>
    <font>
      <sz val="8"/>
      <color theme="1"/>
      <name val="Franklin Gothic Book"/>
      <family val="2"/>
    </font>
    <font>
      <sz val="8"/>
      <color theme="1"/>
      <name val="Franklin Gothic Demi"/>
      <family val="2"/>
    </font>
    <font>
      <sz val="8"/>
      <color rgb="FFFF0000"/>
      <name val="Franklin Gothic Demi"/>
      <family val="2"/>
    </font>
    <font>
      <u/>
      <sz val="14"/>
      <color indexed="12"/>
      <name val="Franklin Gothic Demi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44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2" fillId="0" borderId="0"/>
  </cellStyleXfs>
  <cellXfs count="489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5" applyFill="1"/>
    <xf numFmtId="0" fontId="1" fillId="3" borderId="0" xfId="8" applyFill="1"/>
    <xf numFmtId="0" fontId="1" fillId="3" borderId="0" xfId="6" applyFill="1"/>
    <xf numFmtId="0" fontId="9" fillId="3" borderId="0" xfId="0" applyFont="1" applyFill="1"/>
    <xf numFmtId="0" fontId="8" fillId="4" borderId="0" xfId="2" applyFont="1" applyFill="1" applyAlignment="1" applyProtection="1">
      <alignment horizontal="center"/>
    </xf>
    <xf numFmtId="0" fontId="5" fillId="3" borderId="0" xfId="5" applyFont="1" applyFill="1"/>
    <xf numFmtId="0" fontId="6" fillId="3" borderId="0" xfId="5" applyFont="1" applyFill="1"/>
    <xf numFmtId="0" fontId="7" fillId="4" borderId="0" xfId="2" applyFont="1" applyFill="1" applyBorder="1" applyAlignment="1" applyProtection="1">
      <alignment horizontal="center"/>
    </xf>
    <xf numFmtId="0" fontId="5" fillId="3" borderId="0" xfId="8" applyFont="1" applyFill="1"/>
    <xf numFmtId="0" fontId="6" fillId="3" borderId="0" xfId="8" applyFont="1" applyFill="1"/>
    <xf numFmtId="0" fontId="5" fillId="3" borderId="0" xfId="6" applyFont="1" applyFill="1"/>
    <xf numFmtId="0" fontId="6" fillId="3" borderId="0" xfId="6" applyFont="1" applyFill="1"/>
    <xf numFmtId="0" fontId="10" fillId="0" borderId="0" xfId="2" applyFont="1" applyAlignment="1" applyProtection="1"/>
    <xf numFmtId="0" fontId="4" fillId="3" borderId="0" xfId="0" applyFont="1" applyFill="1"/>
    <xf numFmtId="0" fontId="4" fillId="3" borderId="0" xfId="0" applyFont="1" applyFill="1" applyAlignment="1">
      <alignment wrapText="1"/>
    </xf>
    <xf numFmtId="0" fontId="11" fillId="4" borderId="0" xfId="0" applyFont="1" applyFill="1" applyAlignment="1">
      <alignment horizontal="center"/>
    </xf>
    <xf numFmtId="0" fontId="4" fillId="3" borderId="0" xfId="5" applyFont="1" applyFill="1" applyBorder="1"/>
    <xf numFmtId="0" fontId="4" fillId="3" borderId="0" xfId="5" applyFont="1" applyFill="1"/>
    <xf numFmtId="0" fontId="12" fillId="4" borderId="0" xfId="5" applyFont="1" applyFill="1" applyBorder="1" applyAlignment="1">
      <alignment horizontal="center"/>
    </xf>
    <xf numFmtId="0" fontId="4" fillId="3" borderId="0" xfId="8" applyFont="1" applyFill="1" applyBorder="1"/>
    <xf numFmtId="0" fontId="4" fillId="3" borderId="0" xfId="8" applyFont="1" applyFill="1"/>
    <xf numFmtId="0" fontId="12" fillId="4" borderId="0" xfId="8" applyFont="1" applyFill="1" applyBorder="1" applyAlignment="1">
      <alignment horizontal="center"/>
    </xf>
    <xf numFmtId="0" fontId="12" fillId="4" borderId="0" xfId="6" applyFont="1" applyFill="1" applyBorder="1" applyAlignment="1">
      <alignment horizontal="center"/>
    </xf>
    <xf numFmtId="0" fontId="13" fillId="2" borderId="0" xfId="0" applyFont="1" applyFill="1"/>
    <xf numFmtId="0" fontId="4" fillId="0" borderId="0" xfId="11" applyFont="1" applyBorder="1"/>
    <xf numFmtId="0" fontId="4" fillId="0" borderId="0" xfId="11" applyFont="1" applyBorder="1" applyAlignment="1">
      <alignment horizontal="left" indent="1"/>
    </xf>
    <xf numFmtId="4" fontId="15" fillId="0" borderId="1" xfId="11" applyNumberFormat="1" applyFont="1" applyBorder="1" applyAlignment="1">
      <alignment horizontal="left" wrapText="1" indent="1"/>
    </xf>
    <xf numFmtId="3" fontId="15" fillId="0" borderId="1" xfId="11" applyNumberFormat="1" applyFont="1" applyBorder="1" applyAlignment="1">
      <alignment horizontal="center" wrapText="1"/>
    </xf>
    <xf numFmtId="0" fontId="15" fillId="0" borderId="0" xfId="11" applyFont="1" applyBorder="1"/>
    <xf numFmtId="4" fontId="4" fillId="0" borderId="0" xfId="11" applyNumberFormat="1" applyFont="1" applyBorder="1" applyAlignment="1">
      <alignment horizontal="left" wrapText="1" indent="1"/>
    </xf>
    <xf numFmtId="3" fontId="4" fillId="0" borderId="0" xfId="11" applyNumberFormat="1" applyFont="1" applyBorder="1" applyAlignment="1">
      <alignment horizontal="center" wrapText="1"/>
    </xf>
    <xf numFmtId="3" fontId="15" fillId="0" borderId="0" xfId="11" applyNumberFormat="1" applyFont="1" applyBorder="1" applyAlignment="1">
      <alignment horizontal="left" vertical="top" wrapText="1" indent="1"/>
    </xf>
    <xf numFmtId="3" fontId="15" fillId="0" borderId="0" xfId="11" applyNumberFormat="1" applyFont="1" applyBorder="1" applyAlignment="1">
      <alignment horizontal="right" vertical="center" wrapText="1" indent="4"/>
    </xf>
    <xf numFmtId="3" fontId="4" fillId="0" borderId="0" xfId="11" applyNumberFormat="1" applyFont="1" applyBorder="1" applyAlignment="1">
      <alignment horizontal="left" vertical="top" wrapText="1" indent="1"/>
    </xf>
    <xf numFmtId="3" fontId="4" fillId="0" borderId="0" xfId="11" applyNumberFormat="1" applyFont="1" applyBorder="1" applyAlignment="1">
      <alignment horizontal="right" vertical="center" wrapText="1" indent="4"/>
    </xf>
    <xf numFmtId="0" fontId="4" fillId="0" borderId="2" xfId="11" applyFont="1" applyBorder="1" applyAlignment="1">
      <alignment horizontal="left" indent="1"/>
    </xf>
    <xf numFmtId="0" fontId="4" fillId="0" borderId="2" xfId="11" applyFont="1" applyBorder="1"/>
    <xf numFmtId="0" fontId="16" fillId="0" borderId="0" xfId="11" applyFont="1" applyBorder="1" applyAlignment="1">
      <alignment horizontal="left" indent="1"/>
    </xf>
    <xf numFmtId="0" fontId="16" fillId="0" borderId="0" xfId="11" applyFont="1" applyFill="1" applyBorder="1" applyAlignment="1"/>
    <xf numFmtId="0" fontId="17" fillId="0" borderId="2" xfId="11" applyFont="1" applyBorder="1" applyAlignment="1">
      <alignment horizontal="center" vertical="center" wrapText="1"/>
    </xf>
    <xf numFmtId="0" fontId="17" fillId="0" borderId="0" xfId="11" applyFont="1" applyBorder="1" applyAlignment="1">
      <alignment horizontal="left" vertical="top" wrapText="1" indent="1"/>
    </xf>
    <xf numFmtId="0" fontId="17" fillId="0" borderId="0" xfId="11" applyFont="1" applyBorder="1" applyAlignment="1">
      <alignment horizontal="center" wrapText="1"/>
    </xf>
    <xf numFmtId="3" fontId="17" fillId="0" borderId="0" xfId="11" applyNumberFormat="1" applyFont="1" applyBorder="1" applyAlignment="1">
      <alignment horizontal="right" vertical="top" indent="1"/>
    </xf>
    <xf numFmtId="0" fontId="18" fillId="0" borderId="0" xfId="11" applyFont="1" applyBorder="1" applyAlignment="1">
      <alignment horizontal="left" vertical="top" wrapText="1" indent="1"/>
    </xf>
    <xf numFmtId="3" fontId="4" fillId="0" borderId="0" xfId="11" applyNumberFormat="1" applyFont="1" applyBorder="1" applyAlignment="1">
      <alignment horizontal="right" indent="1"/>
    </xf>
    <xf numFmtId="3" fontId="18" fillId="0" borderId="0" xfId="11" applyNumberFormat="1" applyFont="1" applyBorder="1" applyAlignment="1">
      <alignment horizontal="right" vertical="top" indent="1"/>
    </xf>
    <xf numFmtId="0" fontId="16" fillId="0" borderId="0" xfId="11" applyFont="1"/>
    <xf numFmtId="3" fontId="15" fillId="0" borderId="2" xfId="11" applyNumberFormat="1" applyFont="1" applyBorder="1" applyAlignment="1">
      <alignment horizontal="center" vertical="center" wrapText="1"/>
    </xf>
    <xf numFmtId="4" fontId="15" fillId="0" borderId="0" xfId="11" applyNumberFormat="1" applyFont="1" applyBorder="1" applyAlignment="1">
      <alignment horizontal="left" wrapText="1" indent="1"/>
    </xf>
    <xf numFmtId="3" fontId="15" fillId="0" borderId="0" xfId="11" applyNumberFormat="1" applyFont="1" applyBorder="1" applyAlignment="1">
      <alignment horizontal="center" wrapText="1"/>
    </xf>
    <xf numFmtId="3" fontId="15" fillId="0" borderId="0" xfId="11" applyNumberFormat="1" applyFont="1" applyBorder="1" applyAlignment="1">
      <alignment horizontal="right" vertical="center" wrapText="1" indent="1"/>
    </xf>
    <xf numFmtId="3" fontId="15" fillId="0" borderId="0" xfId="11" applyNumberFormat="1" applyFont="1" applyBorder="1" applyAlignment="1">
      <alignment horizontal="right" vertical="center" wrapText="1" indent="2"/>
    </xf>
    <xf numFmtId="3" fontId="4" fillId="0" borderId="0" xfId="11" applyNumberFormat="1" applyFont="1" applyBorder="1" applyAlignment="1">
      <alignment horizontal="right" vertical="center" wrapText="1" indent="1"/>
    </xf>
    <xf numFmtId="3" fontId="4" fillId="0" borderId="0" xfId="11" applyNumberFormat="1" applyFont="1" applyBorder="1" applyAlignment="1">
      <alignment horizontal="right" vertical="center" wrapText="1" indent="2"/>
    </xf>
    <xf numFmtId="0" fontId="16" fillId="0" borderId="0" xfId="11" applyFont="1" applyFill="1" applyBorder="1" applyAlignment="1">
      <alignment horizontal="left" indent="1"/>
    </xf>
    <xf numFmtId="0" fontId="16" fillId="0" borderId="0" xfId="11" applyFont="1" applyFill="1" applyBorder="1" applyAlignment="1">
      <alignment horizontal="left"/>
    </xf>
    <xf numFmtId="3" fontId="15" fillId="0" borderId="0" xfId="11" applyNumberFormat="1" applyFont="1" applyBorder="1" applyAlignment="1">
      <alignment horizontal="left" vertical="center" wrapText="1" indent="1"/>
    </xf>
    <xf numFmtId="3" fontId="15" fillId="0" borderId="0" xfId="11" applyNumberFormat="1" applyFont="1" applyBorder="1" applyAlignment="1">
      <alignment horizontal="center" vertical="center" wrapText="1"/>
    </xf>
    <xf numFmtId="3" fontId="15" fillId="0" borderId="2" xfId="11" applyNumberFormat="1" applyFont="1" applyBorder="1" applyAlignment="1">
      <alignment horizontal="center" wrapText="1"/>
    </xf>
    <xf numFmtId="3" fontId="15" fillId="0" borderId="0" xfId="11" applyNumberFormat="1" applyFont="1" applyBorder="1" applyAlignment="1">
      <alignment horizontal="right" vertical="center" wrapText="1" indent="3"/>
    </xf>
    <xf numFmtId="3" fontId="4" fillId="0" borderId="0" xfId="11" applyNumberFormat="1" applyFont="1" applyBorder="1" applyAlignment="1">
      <alignment horizontal="right" vertical="center" wrapText="1" indent="5"/>
    </xf>
    <xf numFmtId="0" fontId="15" fillId="0" borderId="0" xfId="12" applyFont="1" applyFill="1" applyBorder="1" applyAlignment="1"/>
    <xf numFmtId="0" fontId="4" fillId="0" borderId="0" xfId="12" applyFont="1" applyFill="1" applyBorder="1"/>
    <xf numFmtId="0" fontId="4" fillId="0" borderId="0" xfId="12" applyFont="1" applyFill="1" applyBorder="1" applyAlignment="1"/>
    <xf numFmtId="3" fontId="15" fillId="0" borderId="0" xfId="12" applyNumberFormat="1" applyFont="1" applyFill="1" applyBorder="1" applyAlignment="1">
      <alignment horizontal="left" vertical="top" wrapText="1" indent="1"/>
    </xf>
    <xf numFmtId="3" fontId="17" fillId="0" borderId="0" xfId="11" applyNumberFormat="1" applyFont="1" applyBorder="1" applyAlignment="1">
      <alignment horizontal="right" vertical="top" indent="3"/>
    </xf>
    <xf numFmtId="3" fontId="15" fillId="0" borderId="0" xfId="12" applyNumberFormat="1" applyFont="1" applyFill="1" applyBorder="1"/>
    <xf numFmtId="0" fontId="15" fillId="0" borderId="0" xfId="12" applyFont="1" applyFill="1" applyBorder="1"/>
    <xf numFmtId="3" fontId="4" fillId="0" borderId="0" xfId="12" applyNumberFormat="1" applyFont="1" applyFill="1" applyBorder="1" applyAlignment="1">
      <alignment horizontal="left" vertical="top" wrapText="1" indent="1"/>
    </xf>
    <xf numFmtId="3" fontId="18" fillId="0" borderId="0" xfId="11" applyNumberFormat="1" applyFont="1" applyBorder="1" applyAlignment="1">
      <alignment horizontal="right" vertical="top" indent="3"/>
    </xf>
    <xf numFmtId="0" fontId="4" fillId="0" borderId="0" xfId="11" applyFont="1" applyBorder="1" applyAlignment="1">
      <alignment horizontal="right" indent="3"/>
    </xf>
    <xf numFmtId="0" fontId="16" fillId="0" borderId="0" xfId="11" applyFont="1" applyFill="1" applyBorder="1"/>
    <xf numFmtId="0" fontId="15" fillId="0" borderId="0" xfId="10" applyFont="1" applyBorder="1"/>
    <xf numFmtId="0" fontId="4" fillId="0" borderId="0" xfId="10" applyFont="1" applyBorder="1"/>
    <xf numFmtId="3" fontId="15" fillId="0" borderId="2" xfId="10" applyNumberFormat="1" applyFont="1" applyBorder="1" applyAlignment="1">
      <alignment horizontal="center" wrapText="1"/>
    </xf>
    <xf numFmtId="4" fontId="4" fillId="0" borderId="0" xfId="10" applyNumberFormat="1" applyFont="1" applyBorder="1" applyAlignment="1">
      <alignment horizontal="left" wrapText="1" indent="1"/>
    </xf>
    <xf numFmtId="3" fontId="4" fillId="0" borderId="0" xfId="10" applyNumberFormat="1" applyFont="1" applyBorder="1" applyAlignment="1">
      <alignment horizontal="center" wrapText="1"/>
    </xf>
    <xf numFmtId="3" fontId="15" fillId="0" borderId="0" xfId="10" applyNumberFormat="1" applyFont="1" applyBorder="1" applyAlignment="1">
      <alignment horizontal="left" vertical="top" wrapText="1" indent="1"/>
    </xf>
    <xf numFmtId="3" fontId="15" fillId="0" borderId="0" xfId="10" applyNumberFormat="1" applyFont="1" applyBorder="1" applyAlignment="1">
      <alignment horizontal="right" vertical="center" wrapText="1" indent="2"/>
    </xf>
    <xf numFmtId="3" fontId="4" fillId="0" borderId="0" xfId="10" applyNumberFormat="1" applyFont="1" applyBorder="1" applyAlignment="1">
      <alignment horizontal="left" vertical="top" wrapText="1" indent="1"/>
    </xf>
    <xf numFmtId="3" fontId="4" fillId="0" borderId="0" xfId="10" applyNumberFormat="1" applyFont="1" applyBorder="1" applyAlignment="1">
      <alignment horizontal="right" vertical="center" wrapText="1" indent="2"/>
    </xf>
    <xf numFmtId="0" fontId="4" fillId="0" borderId="2" xfId="10" applyFont="1" applyBorder="1" applyAlignment="1">
      <alignment horizontal="left" indent="1"/>
    </xf>
    <xf numFmtId="0" fontId="4" fillId="0" borderId="2" xfId="10" applyFont="1" applyBorder="1"/>
    <xf numFmtId="0" fontId="4" fillId="0" borderId="0" xfId="10" applyFont="1" applyBorder="1" applyAlignment="1">
      <alignment horizontal="left" indent="1"/>
    </xf>
    <xf numFmtId="0" fontId="16" fillId="0" borderId="0" xfId="10" applyFont="1" applyFill="1" applyBorder="1" applyAlignment="1">
      <alignment horizontal="left" indent="1"/>
    </xf>
    <xf numFmtId="3" fontId="15" fillId="0" borderId="1" xfId="10" applyNumberFormat="1" applyFont="1" applyBorder="1" applyAlignment="1">
      <alignment horizontal="center" vertical="center" wrapText="1"/>
    </xf>
    <xf numFmtId="4" fontId="4" fillId="0" borderId="0" xfId="10" applyNumberFormat="1" applyFont="1" applyBorder="1" applyAlignment="1">
      <alignment wrapText="1"/>
    </xf>
    <xf numFmtId="3" fontId="15" fillId="0" borderId="1" xfId="10" applyNumberFormat="1" applyFont="1" applyBorder="1" applyAlignment="1">
      <alignment horizontal="left" vertical="center" wrapText="1" indent="1"/>
    </xf>
    <xf numFmtId="0" fontId="4" fillId="0" borderId="0" xfId="9" applyFont="1" applyBorder="1"/>
    <xf numFmtId="0" fontId="15" fillId="0" borderId="0" xfId="9" applyFont="1" applyBorder="1"/>
    <xf numFmtId="3" fontId="15" fillId="0" borderId="0" xfId="9" applyNumberFormat="1" applyFont="1" applyBorder="1" applyAlignment="1">
      <alignment horizontal="left" vertical="top" wrapText="1" indent="1"/>
    </xf>
    <xf numFmtId="1" fontId="15" fillId="0" borderId="0" xfId="9" applyNumberFormat="1" applyFont="1" applyBorder="1" applyAlignment="1">
      <alignment horizontal="center" wrapText="1"/>
    </xf>
    <xf numFmtId="3" fontId="15" fillId="0" borderId="0" xfId="9" applyNumberFormat="1" applyFont="1" applyBorder="1" applyAlignment="1">
      <alignment horizontal="right" vertical="center" wrapText="1" indent="5"/>
    </xf>
    <xf numFmtId="3" fontId="4" fillId="0" borderId="0" xfId="9" applyNumberFormat="1" applyFont="1" applyBorder="1" applyAlignment="1">
      <alignment horizontal="left" vertical="top" wrapText="1" indent="1"/>
    </xf>
    <xf numFmtId="3" fontId="4" fillId="0" borderId="0" xfId="9" applyNumberFormat="1" applyFont="1" applyBorder="1" applyAlignment="1">
      <alignment horizontal="right" vertical="center" wrapText="1" indent="5"/>
    </xf>
    <xf numFmtId="0" fontId="4" fillId="0" borderId="2" xfId="9" applyFont="1" applyBorder="1" applyAlignment="1">
      <alignment horizontal="left" indent="1"/>
    </xf>
    <xf numFmtId="0" fontId="4" fillId="0" borderId="2" xfId="9" applyFont="1" applyBorder="1"/>
    <xf numFmtId="0" fontId="4" fillId="0" borderId="0" xfId="9" applyFont="1" applyBorder="1" applyAlignment="1">
      <alignment horizontal="left" indent="1"/>
    </xf>
    <xf numFmtId="0" fontId="16" fillId="0" borderId="0" xfId="12" applyFont="1" applyFill="1" applyBorder="1" applyAlignment="1"/>
    <xf numFmtId="0" fontId="16" fillId="0" borderId="0" xfId="9" applyFont="1" applyFill="1" applyBorder="1"/>
    <xf numFmtId="3" fontId="15" fillId="0" borderId="2" xfId="9" applyNumberFormat="1" applyFont="1" applyBorder="1" applyAlignment="1">
      <alignment horizontal="center" vertical="center" wrapText="1"/>
    </xf>
    <xf numFmtId="3" fontId="15" fillId="0" borderId="0" xfId="9" applyNumberFormat="1" applyFont="1" applyBorder="1" applyAlignment="1">
      <alignment horizontal="center" wrapText="1"/>
    </xf>
    <xf numFmtId="3" fontId="15" fillId="0" borderId="0" xfId="9" applyNumberFormat="1" applyFont="1" applyBorder="1" applyAlignment="1">
      <alignment horizontal="right" vertical="center" wrapText="1" indent="3"/>
    </xf>
    <xf numFmtId="3" fontId="15" fillId="0" borderId="0" xfId="9" applyNumberFormat="1" applyFont="1" applyBorder="1" applyAlignment="1">
      <alignment horizontal="right" vertical="center" wrapText="1" indent="2"/>
    </xf>
    <xf numFmtId="3" fontId="4" fillId="0" borderId="0" xfId="9" applyNumberFormat="1" applyFont="1" applyBorder="1" applyAlignment="1">
      <alignment horizontal="right" vertical="center" wrapText="1" indent="3"/>
    </xf>
    <xf numFmtId="3" fontId="4" fillId="0" borderId="0" xfId="9" applyNumberFormat="1" applyFont="1" applyBorder="1" applyAlignment="1">
      <alignment horizontal="right" vertical="center" wrapText="1" indent="2"/>
    </xf>
    <xf numFmtId="3" fontId="15" fillId="0" borderId="1" xfId="9" applyNumberFormat="1" applyFont="1" applyBorder="1" applyAlignment="1">
      <alignment horizontal="left" vertical="top" wrapText="1" indent="1"/>
    </xf>
    <xf numFmtId="1" fontId="15" fillId="0" borderId="1" xfId="9" applyNumberFormat="1" applyFont="1" applyBorder="1" applyAlignment="1">
      <alignment horizontal="center" wrapText="1"/>
    </xf>
    <xf numFmtId="0" fontId="16" fillId="0" borderId="0" xfId="9" applyFont="1" applyBorder="1"/>
    <xf numFmtId="3" fontId="4" fillId="0" borderId="0" xfId="9" applyNumberFormat="1" applyFont="1" applyBorder="1" applyAlignment="1">
      <alignment horizontal="center" wrapText="1"/>
    </xf>
    <xf numFmtId="4" fontId="15" fillId="0" borderId="1" xfId="9" applyNumberFormat="1" applyFont="1" applyBorder="1" applyAlignment="1">
      <alignment horizontal="left" vertical="center" wrapText="1" indent="1"/>
    </xf>
    <xf numFmtId="1" fontId="15" fillId="0" borderId="1" xfId="9" applyNumberFormat="1" applyFont="1" applyBorder="1" applyAlignment="1">
      <alignment horizontal="center" vertical="center" wrapText="1"/>
    </xf>
    <xf numFmtId="4" fontId="15" fillId="0" borderId="0" xfId="9" applyNumberFormat="1" applyFont="1" applyBorder="1" applyAlignment="1">
      <alignment horizontal="left" vertical="center" wrapText="1" indent="1"/>
    </xf>
    <xf numFmtId="1" fontId="15" fillId="0" borderId="0" xfId="9" applyNumberFormat="1" applyFont="1" applyBorder="1" applyAlignment="1">
      <alignment horizontal="center" vertical="center" wrapText="1"/>
    </xf>
    <xf numFmtId="3" fontId="4" fillId="0" borderId="0" xfId="9" applyNumberFormat="1" applyFont="1" applyBorder="1" applyAlignment="1">
      <alignment horizontal="right" vertical="center" wrapText="1" indent="4"/>
    </xf>
    <xf numFmtId="3" fontId="15" fillId="0" borderId="2" xfId="9" applyNumberFormat="1" applyFont="1" applyBorder="1" applyAlignment="1">
      <alignment horizontal="center" vertical="center"/>
    </xf>
    <xf numFmtId="3" fontId="15" fillId="0" borderId="0" xfId="9" applyNumberFormat="1" applyFont="1" applyBorder="1" applyAlignment="1">
      <alignment horizontal="center" vertical="center"/>
    </xf>
    <xf numFmtId="3" fontId="15" fillId="0" borderId="0" xfId="9" applyNumberFormat="1" applyFont="1" applyBorder="1" applyAlignment="1">
      <alignment horizontal="right" vertical="top" wrapText="1" indent="2"/>
    </xf>
    <xf numFmtId="3" fontId="4" fillId="0" borderId="0" xfId="9" applyNumberFormat="1" applyFont="1" applyBorder="1" applyAlignment="1">
      <alignment horizontal="right" vertical="top" wrapText="1" indent="2"/>
    </xf>
    <xf numFmtId="0" fontId="1" fillId="0" borderId="0" xfId="7" applyBorder="1"/>
    <xf numFmtId="0" fontId="1" fillId="0" borderId="0" xfId="7" applyBorder="1" applyAlignment="1">
      <alignment horizontal="left" indent="1"/>
    </xf>
    <xf numFmtId="0" fontId="15" fillId="0" borderId="0" xfId="4" applyFont="1" applyBorder="1" applyAlignment="1">
      <alignment horizontal="center"/>
    </xf>
    <xf numFmtId="0" fontId="1" fillId="0" borderId="0" xfId="7"/>
    <xf numFmtId="0" fontId="1" fillId="0" borderId="0" xfId="7" applyBorder="1" applyAlignment="1">
      <alignment horizontal="right"/>
    </xf>
    <xf numFmtId="0" fontId="15" fillId="0" borderId="1" xfId="4" applyFont="1" applyBorder="1" applyAlignment="1">
      <alignment horizontal="left" indent="1"/>
    </xf>
    <xf numFmtId="0" fontId="15" fillId="0" borderId="1" xfId="4" applyFont="1" applyBorder="1" applyAlignment="1">
      <alignment horizontal="center"/>
    </xf>
    <xf numFmtId="0" fontId="15" fillId="0" borderId="0" xfId="4" applyFont="1" applyBorder="1" applyAlignment="1"/>
    <xf numFmtId="0" fontId="15" fillId="0" borderId="0" xfId="4" applyFont="1" applyBorder="1" applyAlignment="1">
      <alignment horizontal="left" indent="1"/>
    </xf>
    <xf numFmtId="0" fontId="15" fillId="0" borderId="0" xfId="7" applyFont="1"/>
    <xf numFmtId="3" fontId="15" fillId="0" borderId="0" xfId="7" applyNumberFormat="1" applyFont="1" applyBorder="1" applyAlignment="1">
      <alignment horizontal="right" vertical="center" wrapText="1" indent="5"/>
    </xf>
    <xf numFmtId="0" fontId="15" fillId="0" borderId="0" xfId="7" applyFont="1" applyBorder="1"/>
    <xf numFmtId="0" fontId="4" fillId="0" borderId="0" xfId="7" applyFont="1"/>
    <xf numFmtId="3" fontId="4" fillId="0" borderId="0" xfId="7" applyNumberFormat="1" applyFont="1" applyBorder="1" applyAlignment="1">
      <alignment horizontal="left" vertical="top" wrapText="1" indent="1"/>
    </xf>
    <xf numFmtId="3" fontId="4" fillId="0" borderId="0" xfId="7" applyNumberFormat="1" applyFont="1" applyBorder="1" applyAlignment="1">
      <alignment horizontal="right" vertical="center" wrapText="1" indent="5"/>
    </xf>
    <xf numFmtId="0" fontId="4" fillId="0" borderId="0" xfId="7" applyFont="1" applyBorder="1"/>
    <xf numFmtId="0" fontId="4" fillId="0" borderId="0" xfId="4" applyFont="1" applyBorder="1"/>
    <xf numFmtId="0" fontId="4" fillId="0" borderId="2" xfId="4" applyFont="1" applyBorder="1" applyAlignment="1">
      <alignment horizontal="left" indent="2"/>
    </xf>
    <xf numFmtId="0" fontId="4" fillId="0" borderId="2" xfId="4" applyFont="1" applyBorder="1"/>
    <xf numFmtId="0" fontId="4" fillId="0" borderId="0" xfId="4" applyFont="1" applyBorder="1" applyAlignment="1">
      <alignment horizontal="left" indent="2"/>
    </xf>
    <xf numFmtId="0" fontId="16" fillId="0" borderId="0" xfId="4" applyFont="1" applyBorder="1"/>
    <xf numFmtId="0" fontId="16" fillId="0" borderId="0" xfId="4" applyFont="1" applyBorder="1" applyAlignment="1"/>
    <xf numFmtId="0" fontId="1" fillId="0" borderId="0" xfId="7" applyBorder="1" applyAlignment="1"/>
    <xf numFmtId="0" fontId="4" fillId="0" borderId="0" xfId="4" applyFont="1" applyBorder="1" applyAlignment="1">
      <alignment horizontal="left" indent="1"/>
    </xf>
    <xf numFmtId="0" fontId="4" fillId="0" borderId="0" xfId="4" applyFont="1" applyBorder="1" applyAlignment="1"/>
    <xf numFmtId="0" fontId="1" fillId="0" borderId="0" xfId="7" applyAlignment="1">
      <alignment horizontal="left" indent="1"/>
    </xf>
    <xf numFmtId="3" fontId="15" fillId="0" borderId="0" xfId="7" applyNumberFormat="1" applyFont="1" applyBorder="1" applyAlignment="1">
      <alignment horizontal="right" vertical="center" wrapText="1" indent="2"/>
    </xf>
    <xf numFmtId="0" fontId="5" fillId="0" borderId="0" xfId="7" applyFont="1" applyBorder="1"/>
    <xf numFmtId="0" fontId="5" fillId="0" borderId="0" xfId="7" applyFont="1"/>
    <xf numFmtId="3" fontId="4" fillId="0" borderId="0" xfId="4" applyNumberFormat="1" applyFont="1" applyBorder="1" applyAlignment="1">
      <alignment horizontal="left" vertical="top" wrapText="1" indent="1"/>
    </xf>
    <xf numFmtId="3" fontId="4" fillId="0" borderId="0" xfId="7" applyNumberFormat="1" applyFont="1" applyBorder="1" applyAlignment="1">
      <alignment horizontal="right" vertical="center" wrapText="1" indent="2"/>
    </xf>
    <xf numFmtId="0" fontId="4" fillId="0" borderId="2" xfId="4" applyFont="1" applyBorder="1" applyAlignment="1">
      <alignment horizontal="left" indent="1"/>
    </xf>
    <xf numFmtId="0" fontId="15" fillId="0" borderId="1" xfId="4" applyFont="1" applyBorder="1" applyAlignment="1">
      <alignment horizontal="left" vertical="center" indent="1"/>
    </xf>
    <xf numFmtId="0" fontId="15" fillId="0" borderId="1" xfId="4" applyFont="1" applyBorder="1" applyAlignment="1">
      <alignment horizontal="center" vertical="center"/>
    </xf>
    <xf numFmtId="3" fontId="15" fillId="0" borderId="0" xfId="4" applyNumberFormat="1" applyFont="1" applyBorder="1" applyAlignment="1">
      <alignment horizontal="right" indent="4"/>
    </xf>
    <xf numFmtId="0" fontId="1" fillId="0" borderId="0" xfId="7" applyBorder="1" applyAlignment="1">
      <alignment horizontal="right" indent="4"/>
    </xf>
    <xf numFmtId="3" fontId="4" fillId="0" borderId="0" xfId="4" applyNumberFormat="1" applyFont="1" applyBorder="1" applyAlignment="1">
      <alignment horizontal="right" vertical="top" wrapText="1" indent="4"/>
    </xf>
    <xf numFmtId="3" fontId="15" fillId="0" borderId="1" xfId="7" applyNumberFormat="1" applyFont="1" applyBorder="1" applyAlignment="1">
      <alignment horizontal="center" vertical="center" wrapText="1"/>
    </xf>
    <xf numFmtId="0" fontId="4" fillId="0" borderId="2" xfId="7" applyFont="1" applyBorder="1" applyAlignment="1">
      <alignment horizontal="left" indent="1"/>
    </xf>
    <xf numFmtId="0" fontId="4" fillId="0" borderId="2" xfId="7" applyFont="1" applyBorder="1"/>
    <xf numFmtId="0" fontId="4" fillId="0" borderId="0" xfId="7" applyFont="1" applyBorder="1" applyAlignment="1">
      <alignment horizontal="left" indent="1"/>
    </xf>
    <xf numFmtId="4" fontId="14" fillId="0" borderId="0" xfId="7" applyNumberFormat="1" applyFont="1" applyBorder="1" applyAlignment="1">
      <alignment horizontal="left" wrapText="1" indent="1"/>
    </xf>
    <xf numFmtId="3" fontId="15" fillId="0" borderId="0" xfId="4" applyNumberFormat="1" applyFont="1" applyBorder="1" applyAlignment="1">
      <alignment horizontal="right" vertical="top" wrapText="1" indent="4"/>
    </xf>
    <xf numFmtId="3" fontId="15" fillId="0" borderId="0" xfId="7" applyNumberFormat="1" applyFont="1" applyBorder="1" applyAlignment="1">
      <alignment horizontal="left" vertical="center" wrapText="1" indent="1"/>
    </xf>
    <xf numFmtId="3" fontId="15" fillId="0" borderId="0" xfId="7" applyNumberFormat="1" applyFont="1" applyBorder="1" applyAlignment="1">
      <alignment horizontal="center" wrapText="1"/>
    </xf>
    <xf numFmtId="0" fontId="16" fillId="0" borderId="0" xfId="7" applyFont="1" applyFill="1" applyBorder="1"/>
    <xf numFmtId="0" fontId="4" fillId="0" borderId="0" xfId="7" applyFont="1" applyAlignment="1">
      <alignment horizontal="left" indent="1"/>
    </xf>
    <xf numFmtId="0" fontId="10" fillId="0" borderId="0" xfId="2" applyFont="1" applyAlignment="1" applyProtection="1">
      <alignment wrapText="1"/>
    </xf>
    <xf numFmtId="0" fontId="4" fillId="3" borderId="0" xfId="6" applyFont="1" applyFill="1" applyBorder="1"/>
    <xf numFmtId="0" fontId="4" fillId="3" borderId="0" xfId="6" applyFont="1" applyFill="1"/>
    <xf numFmtId="164" fontId="15" fillId="0" borderId="0" xfId="9" applyNumberFormat="1" applyFont="1" applyBorder="1" applyAlignment="1">
      <alignment horizontal="right" vertical="center" wrapText="1" indent="3"/>
    </xf>
    <xf numFmtId="164" fontId="4" fillId="0" borderId="0" xfId="9" applyNumberFormat="1" applyFont="1" applyBorder="1" applyAlignment="1">
      <alignment horizontal="right" vertical="center" wrapText="1" indent="3"/>
    </xf>
    <xf numFmtId="164" fontId="15" fillId="0" borderId="0" xfId="4" applyNumberFormat="1" applyFont="1" applyBorder="1" applyAlignment="1">
      <alignment horizontal="right" vertical="top" wrapText="1" indent="2"/>
    </xf>
    <xf numFmtId="3" fontId="4" fillId="0" borderId="0" xfId="4" applyNumberFormat="1" applyFont="1" applyBorder="1" applyAlignment="1">
      <alignment horizontal="right" vertical="top" wrapText="1" indent="2"/>
    </xf>
    <xf numFmtId="164" fontId="4" fillId="0" borderId="0" xfId="4" applyNumberFormat="1" applyFont="1" applyBorder="1" applyAlignment="1">
      <alignment horizontal="right" vertical="top" wrapText="1" indent="2"/>
    </xf>
    <xf numFmtId="1" fontId="4" fillId="3" borderId="0" xfId="13" applyNumberFormat="1" applyFont="1" applyFill="1" applyBorder="1" applyAlignment="1">
      <alignment horizontal="left" indent="1"/>
    </xf>
    <xf numFmtId="0" fontId="4" fillId="3" borderId="0" xfId="13" applyFont="1" applyFill="1" applyBorder="1"/>
    <xf numFmtId="0" fontId="15" fillId="3" borderId="0" xfId="12" applyFont="1" applyFill="1" applyBorder="1" applyAlignment="1">
      <alignment horizontal="center"/>
    </xf>
    <xf numFmtId="1" fontId="15" fillId="3" borderId="0" xfId="12" applyNumberFormat="1" applyFont="1" applyFill="1" applyBorder="1" applyAlignment="1">
      <alignment horizontal="center"/>
    </xf>
    <xf numFmtId="0" fontId="0" fillId="3" borderId="0" xfId="0" applyFill="1" applyBorder="1"/>
    <xf numFmtId="1" fontId="15" fillId="3" borderId="2" xfId="13" applyNumberFormat="1" applyFont="1" applyFill="1" applyBorder="1" applyAlignment="1">
      <alignment horizontal="center" wrapText="1"/>
    </xf>
    <xf numFmtId="1" fontId="15" fillId="3" borderId="0" xfId="13" applyNumberFormat="1" applyFont="1" applyFill="1" applyBorder="1" applyAlignment="1">
      <alignment horizontal="center" vertical="top" wrapText="1"/>
    </xf>
    <xf numFmtId="1" fontId="15" fillId="3" borderId="0" xfId="13" applyNumberFormat="1" applyFont="1" applyFill="1" applyBorder="1" applyAlignment="1">
      <alignment horizontal="center" wrapText="1"/>
    </xf>
    <xf numFmtId="1" fontId="15" fillId="3" borderId="0" xfId="13" applyNumberFormat="1" applyFont="1" applyFill="1" applyBorder="1" applyAlignment="1">
      <alignment horizontal="left" vertical="top" wrapText="1" indent="1"/>
    </xf>
    <xf numFmtId="0" fontId="5" fillId="3" borderId="0" xfId="0" applyFont="1" applyFill="1" applyBorder="1"/>
    <xf numFmtId="1" fontId="4" fillId="3" borderId="0" xfId="13" applyNumberFormat="1" applyFont="1" applyFill="1" applyBorder="1" applyAlignment="1">
      <alignment horizontal="left" vertical="top" wrapText="1" indent="1"/>
    </xf>
    <xf numFmtId="1" fontId="0" fillId="3" borderId="2" xfId="0" applyNumberFormat="1" applyFill="1" applyBorder="1"/>
    <xf numFmtId="0" fontId="19" fillId="5" borderId="2" xfId="0" applyFont="1" applyFill="1" applyBorder="1" applyAlignment="1">
      <alignment horizontal="left" vertical="top" wrapText="1"/>
    </xf>
    <xf numFmtId="0" fontId="0" fillId="3" borderId="2" xfId="0" applyFill="1" applyBorder="1"/>
    <xf numFmtId="166" fontId="19" fillId="5" borderId="2" xfId="0" applyNumberFormat="1" applyFont="1" applyFill="1" applyBorder="1" applyAlignment="1">
      <alignment horizontal="right" vertical="top"/>
    </xf>
    <xf numFmtId="0" fontId="19" fillId="5" borderId="0" xfId="0" applyFont="1" applyFill="1" applyBorder="1" applyAlignment="1">
      <alignment horizontal="left" vertical="top" wrapText="1"/>
    </xf>
    <xf numFmtId="166" fontId="19" fillId="5" borderId="0" xfId="0" applyNumberFormat="1" applyFont="1" applyFill="1" applyBorder="1" applyAlignment="1">
      <alignment horizontal="right" vertical="top"/>
    </xf>
    <xf numFmtId="1" fontId="0" fillId="5" borderId="0" xfId="0" applyNumberFormat="1" applyFont="1" applyFill="1" applyBorder="1" applyAlignment="1">
      <alignment vertical="center"/>
    </xf>
    <xf numFmtId="1" fontId="19" fillId="5" borderId="0" xfId="0" applyNumberFormat="1" applyFont="1" applyFill="1" applyBorder="1" applyAlignment="1">
      <alignment vertical="top" wrapText="1"/>
    </xf>
    <xf numFmtId="1" fontId="0" fillId="3" borderId="0" xfId="0" applyNumberFormat="1" applyFill="1" applyBorder="1"/>
    <xf numFmtId="0" fontId="3" fillId="0" borderId="0" xfId="2" applyAlignment="1" applyProtection="1">
      <alignment wrapText="1"/>
    </xf>
    <xf numFmtId="3" fontId="15" fillId="0" borderId="2" xfId="11" applyNumberFormat="1" applyFont="1" applyBorder="1" applyAlignment="1">
      <alignment horizontal="left" vertical="top" wrapText="1" indent="1"/>
    </xf>
    <xf numFmtId="4" fontId="4" fillId="0" borderId="2" xfId="11" applyNumberFormat="1" applyFont="1" applyBorder="1" applyAlignment="1">
      <alignment horizontal="left" wrapText="1" indent="1"/>
    </xf>
    <xf numFmtId="3" fontId="4" fillId="0" borderId="2" xfId="11" applyNumberFormat="1" applyFont="1" applyBorder="1" applyAlignment="1">
      <alignment horizontal="center" wrapText="1"/>
    </xf>
    <xf numFmtId="0" fontId="16" fillId="0" borderId="0" xfId="11" applyFont="1" applyBorder="1"/>
    <xf numFmtId="0" fontId="16" fillId="0" borderId="0" xfId="11" applyFont="1" applyBorder="1" applyAlignment="1"/>
    <xf numFmtId="3" fontId="15" fillId="0" borderId="2" xfId="11" applyNumberFormat="1" applyFont="1" applyBorder="1" applyAlignment="1">
      <alignment horizontal="right" vertical="center" wrapText="1" indent="1"/>
    </xf>
    <xf numFmtId="3" fontId="15" fillId="0" borderId="2" xfId="11" applyNumberFormat="1" applyFont="1" applyBorder="1" applyAlignment="1">
      <alignment horizontal="left" vertical="center" wrapText="1" indent="1"/>
    </xf>
    <xf numFmtId="0" fontId="5" fillId="0" borderId="0" xfId="0" applyFont="1"/>
    <xf numFmtId="0" fontId="15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3" fontId="18" fillId="0" borderId="2" xfId="11" applyNumberFormat="1" applyFont="1" applyBorder="1" applyAlignment="1">
      <alignment horizontal="right" vertical="top" indent="3"/>
    </xf>
    <xf numFmtId="3" fontId="15" fillId="0" borderId="2" xfId="11" applyNumberFormat="1" applyFont="1" applyBorder="1" applyAlignment="1">
      <alignment horizontal="right" vertical="center" wrapText="1" indent="2"/>
    </xf>
    <xf numFmtId="0" fontId="16" fillId="0" borderId="0" xfId="11" applyFont="1" applyBorder="1" applyAlignment="1">
      <alignment horizontal="right" indent="3"/>
    </xf>
    <xf numFmtId="3" fontId="4" fillId="0" borderId="2" xfId="11" applyNumberFormat="1" applyFont="1" applyBorder="1" applyAlignment="1">
      <alignment horizontal="left" vertical="top" wrapText="1" indent="1"/>
    </xf>
    <xf numFmtId="3" fontId="4" fillId="0" borderId="2" xfId="11" applyNumberFormat="1" applyFont="1" applyBorder="1" applyAlignment="1">
      <alignment horizontal="right" vertical="center" wrapText="1" indent="1"/>
    </xf>
    <xf numFmtId="3" fontId="4" fillId="0" borderId="2" xfId="11" applyNumberFormat="1" applyFont="1" applyBorder="1" applyAlignment="1">
      <alignment horizontal="right" vertical="center" wrapText="1" indent="2"/>
    </xf>
    <xf numFmtId="3" fontId="16" fillId="0" borderId="0" xfId="11" applyNumberFormat="1" applyFont="1" applyBorder="1" applyAlignment="1">
      <alignment horizontal="right" vertical="center" wrapText="1" indent="1"/>
    </xf>
    <xf numFmtId="3" fontId="16" fillId="0" borderId="0" xfId="11" applyNumberFormat="1" applyFont="1" applyBorder="1" applyAlignment="1">
      <alignment horizontal="right" vertical="center" wrapText="1" indent="2"/>
    </xf>
    <xf numFmtId="0" fontId="20" fillId="5" borderId="0" xfId="0" applyFont="1" applyFill="1" applyBorder="1" applyAlignment="1">
      <alignment horizontal="left" vertical="top" wrapText="1"/>
    </xf>
    <xf numFmtId="166" fontId="20" fillId="5" borderId="0" xfId="0" applyNumberFormat="1" applyFont="1" applyFill="1" applyBorder="1" applyAlignment="1">
      <alignment horizontal="right" vertical="top"/>
    </xf>
    <xf numFmtId="0" fontId="21" fillId="3" borderId="0" xfId="0" applyFont="1" applyFill="1" applyBorder="1"/>
    <xf numFmtId="0" fontId="17" fillId="0" borderId="1" xfId="11" applyFont="1" applyBorder="1" applyAlignment="1">
      <alignment horizontal="center" vertical="center" wrapText="1"/>
    </xf>
    <xf numFmtId="0" fontId="0" fillId="0" borderId="2" xfId="0" applyBorder="1"/>
    <xf numFmtId="0" fontId="16" fillId="0" borderId="0" xfId="0" applyFont="1" applyAlignment="1">
      <alignment horizontal="left" vertical="center" wrapText="1" indent="1"/>
    </xf>
    <xf numFmtId="0" fontId="4" fillId="0" borderId="0" xfId="14" applyFont="1" applyFill="1" applyBorder="1"/>
    <xf numFmtId="44" fontId="4" fillId="0" borderId="0" xfId="3" applyFont="1" applyFill="1" applyBorder="1" applyAlignment="1"/>
    <xf numFmtId="0" fontId="4" fillId="0" borderId="0" xfId="14" applyFont="1" applyFill="1" applyBorder="1" applyAlignment="1">
      <alignment horizontal="left" indent="1"/>
    </xf>
    <xf numFmtId="0" fontId="4" fillId="0" borderId="0" xfId="14" applyFont="1" applyFill="1" applyBorder="1" applyAlignment="1">
      <alignment horizontal="left" wrapText="1"/>
    </xf>
    <xf numFmtId="0" fontId="15" fillId="0" borderId="0" xfId="14" applyFont="1" applyFill="1" applyBorder="1" applyAlignment="1">
      <alignment horizontal="center" wrapText="1"/>
    </xf>
    <xf numFmtId="0" fontId="18" fillId="0" borderId="0" xfId="14" applyFont="1" applyFill="1" applyBorder="1" applyAlignment="1">
      <alignment horizontal="left" wrapText="1" indent="1"/>
    </xf>
    <xf numFmtId="0" fontId="17" fillId="0" borderId="0" xfId="14" applyFont="1" applyFill="1" applyBorder="1" applyAlignment="1">
      <alignment horizontal="left" wrapText="1" indent="1"/>
    </xf>
    <xf numFmtId="3" fontId="17" fillId="0" borderId="0" xfId="14" applyNumberFormat="1" applyFont="1" applyFill="1" applyBorder="1" applyAlignment="1">
      <alignment horizontal="right" vertical="center" wrapText="1" indent="4"/>
    </xf>
    <xf numFmtId="0" fontId="15" fillId="0" borderId="0" xfId="14" applyFont="1" applyFill="1" applyBorder="1"/>
    <xf numFmtId="3" fontId="17" fillId="0" borderId="0" xfId="14" applyNumberFormat="1" applyFont="1" applyFill="1" applyBorder="1" applyAlignment="1">
      <alignment horizontal="right" vertical="center" wrapText="1" indent="1"/>
    </xf>
    <xf numFmtId="0" fontId="15" fillId="0" borderId="0" xfId="14" applyFont="1" applyFill="1" applyBorder="1" applyAlignment="1">
      <alignment horizontal="left" wrapText="1"/>
    </xf>
    <xf numFmtId="3" fontId="15" fillId="0" borderId="0" xfId="14" applyNumberFormat="1" applyFont="1" applyFill="1" applyBorder="1" applyAlignment="1">
      <alignment horizontal="right" vertical="center" indent="4"/>
    </xf>
    <xf numFmtId="3" fontId="15" fillId="0" borderId="0" xfId="14" applyNumberFormat="1" applyFont="1" applyFill="1" applyBorder="1" applyAlignment="1">
      <alignment horizontal="right" vertical="center" indent="1"/>
    </xf>
    <xf numFmtId="3" fontId="18" fillId="0" borderId="0" xfId="14" applyNumberFormat="1" applyFont="1" applyFill="1" applyBorder="1" applyAlignment="1">
      <alignment horizontal="right" vertical="center" wrapText="1" indent="4"/>
    </xf>
    <xf numFmtId="3" fontId="18" fillId="0" borderId="0" xfId="14" applyNumberFormat="1" applyFont="1" applyFill="1" applyBorder="1" applyAlignment="1">
      <alignment horizontal="right" vertical="center" wrapText="1" indent="1"/>
    </xf>
    <xf numFmtId="3" fontId="4" fillId="0" borderId="0" xfId="14" applyNumberFormat="1" applyFont="1" applyFill="1" applyBorder="1" applyAlignment="1">
      <alignment horizontal="right" vertical="center" indent="4"/>
    </xf>
    <xf numFmtId="3" fontId="4" fillId="0" borderId="0" xfId="14" applyNumberFormat="1" applyFont="1" applyFill="1" applyBorder="1" applyAlignment="1">
      <alignment horizontal="right" vertical="center" indent="1"/>
    </xf>
    <xf numFmtId="0" fontId="4" fillId="0" borderId="2" xfId="14" applyFont="1" applyFill="1" applyBorder="1"/>
    <xf numFmtId="3" fontId="17" fillId="0" borderId="2" xfId="14" applyNumberFormat="1" applyFont="1" applyFill="1" applyBorder="1" applyAlignment="1">
      <alignment horizontal="right" vertical="center" wrapText="1" indent="1"/>
    </xf>
    <xf numFmtId="0" fontId="4" fillId="0" borderId="0" xfId="14" applyFont="1" applyFill="1" applyBorder="1" applyAlignment="1">
      <alignment horizontal="left" wrapText="1" indent="1"/>
    </xf>
    <xf numFmtId="0" fontId="16" fillId="0" borderId="0" xfId="0" applyFont="1" applyFill="1" applyBorder="1" applyAlignment="1">
      <alignment horizontal="left" indent="1"/>
    </xf>
    <xf numFmtId="0" fontId="15" fillId="0" borderId="2" xfId="11" applyFont="1" applyBorder="1"/>
    <xf numFmtId="3" fontId="15" fillId="0" borderId="0" xfId="11" applyNumberFormat="1" applyFont="1" applyBorder="1" applyAlignment="1">
      <alignment horizontal="left" vertical="top" wrapText="1" indent="5"/>
    </xf>
    <xf numFmtId="3" fontId="15" fillId="0" borderId="0" xfId="11" applyNumberFormat="1" applyFont="1" applyBorder="1" applyAlignment="1">
      <alignment horizontal="left" vertical="top" wrapText="1" indent="6"/>
    </xf>
    <xf numFmtId="3" fontId="15" fillId="0" borderId="0" xfId="11" applyNumberFormat="1" applyFont="1" applyBorder="1" applyAlignment="1">
      <alignment horizontal="left" vertical="top" wrapText="1" indent="7"/>
    </xf>
    <xf numFmtId="3" fontId="4" fillId="0" borderId="0" xfId="12" applyNumberFormat="1" applyFont="1" applyFill="1" applyBorder="1" applyAlignment="1">
      <alignment vertical="top" wrapText="1"/>
    </xf>
    <xf numFmtId="3" fontId="15" fillId="0" borderId="0" xfId="12" applyNumberFormat="1" applyFont="1" applyFill="1" applyBorder="1" applyAlignment="1">
      <alignment vertical="top" wrapText="1"/>
    </xf>
    <xf numFmtId="0" fontId="4" fillId="0" borderId="2" xfId="12" applyFont="1" applyFill="1" applyBorder="1" applyAlignment="1"/>
    <xf numFmtId="3" fontId="15" fillId="0" borderId="0" xfId="12" applyNumberFormat="1" applyFont="1" applyFill="1" applyBorder="1" applyAlignment="1">
      <alignment horizontal="right"/>
    </xf>
    <xf numFmtId="3" fontId="4" fillId="0" borderId="0" xfId="12" applyNumberFormat="1" applyFont="1" applyFill="1" applyBorder="1" applyAlignment="1">
      <alignment horizontal="right" indent="3"/>
    </xf>
    <xf numFmtId="3" fontId="4" fillId="0" borderId="2" xfId="12" applyNumberFormat="1" applyFont="1" applyFill="1" applyBorder="1" applyAlignment="1">
      <alignment horizontal="right"/>
    </xf>
    <xf numFmtId="3" fontId="4" fillId="0" borderId="0" xfId="12" applyNumberFormat="1" applyFont="1" applyFill="1" applyBorder="1" applyAlignment="1">
      <alignment horizontal="right"/>
    </xf>
    <xf numFmtId="3" fontId="15" fillId="0" borderId="0" xfId="0" applyNumberFormat="1" applyFont="1" applyAlignment="1">
      <alignment horizontal="right" indent="4"/>
    </xf>
    <xf numFmtId="3" fontId="4" fillId="0" borderId="0" xfId="0" applyNumberFormat="1" applyFont="1" applyAlignment="1">
      <alignment horizontal="right" indent="4"/>
    </xf>
    <xf numFmtId="3" fontId="15" fillId="0" borderId="0" xfId="11" applyNumberFormat="1" applyFont="1" applyBorder="1" applyAlignment="1">
      <alignment horizontal="right" wrapText="1" indent="1"/>
    </xf>
    <xf numFmtId="3" fontId="15" fillId="0" borderId="0" xfId="11" applyNumberFormat="1" applyFont="1" applyBorder="1" applyAlignment="1">
      <alignment horizontal="right" wrapText="1" indent="2"/>
    </xf>
    <xf numFmtId="3" fontId="4" fillId="0" borderId="0" xfId="0" applyNumberFormat="1" applyFont="1"/>
    <xf numFmtId="3" fontId="15" fillId="0" borderId="0" xfId="0" applyNumberFormat="1" applyFont="1"/>
    <xf numFmtId="0" fontId="4" fillId="0" borderId="0" xfId="0" applyFont="1" applyBorder="1" applyAlignment="1">
      <alignment horizontal="left" indent="1"/>
    </xf>
    <xf numFmtId="3" fontId="4" fillId="0" borderId="0" xfId="0" applyNumberFormat="1" applyFont="1" applyBorder="1"/>
    <xf numFmtId="3" fontId="15" fillId="0" borderId="0" xfId="0" applyNumberFormat="1" applyFont="1" applyAlignment="1">
      <alignment horizontal="right" indent="2"/>
    </xf>
    <xf numFmtId="3" fontId="4" fillId="0" borderId="0" xfId="0" applyNumberFormat="1" applyFont="1" applyAlignment="1">
      <alignment horizontal="right" indent="2"/>
    </xf>
    <xf numFmtId="3" fontId="0" fillId="3" borderId="0" xfId="0" applyNumberFormat="1" applyFill="1" applyBorder="1"/>
    <xf numFmtId="3" fontId="4" fillId="0" borderId="2" xfId="9" applyNumberFormat="1" applyFont="1" applyBorder="1" applyAlignment="1">
      <alignment horizontal="right" vertical="center" wrapText="1" indent="5"/>
    </xf>
    <xf numFmtId="3" fontId="4" fillId="0" borderId="0" xfId="9" applyNumberFormat="1" applyFont="1" applyBorder="1" applyAlignment="1">
      <alignment horizontal="right" indent="3"/>
    </xf>
    <xf numFmtId="0" fontId="4" fillId="0" borderId="0" xfId="9" applyFont="1" applyBorder="1" applyAlignment="1">
      <alignment horizontal="left" indent="2"/>
    </xf>
    <xf numFmtId="0" fontId="4" fillId="0" borderId="2" xfId="9" applyFont="1" applyBorder="1" applyAlignment="1">
      <alignment horizontal="left" indent="2"/>
    </xf>
    <xf numFmtId="0" fontId="4" fillId="0" borderId="0" xfId="9" applyFont="1" applyBorder="1" applyAlignment="1">
      <alignment horizontal="right" indent="5"/>
    </xf>
    <xf numFmtId="0" fontId="0" fillId="0" borderId="0" xfId="0" applyAlignment="1">
      <alignment horizontal="right" indent="5"/>
    </xf>
    <xf numFmtId="3" fontId="4" fillId="0" borderId="0" xfId="9" applyNumberFormat="1" applyFont="1" applyBorder="1" applyAlignment="1">
      <alignment horizontal="right" vertical="top" wrapText="1" indent="5"/>
    </xf>
    <xf numFmtId="3" fontId="15" fillId="0" borderId="0" xfId="9" applyNumberFormat="1" applyFont="1" applyBorder="1" applyAlignment="1">
      <alignment horizontal="right" vertical="top" wrapText="1" indent="5"/>
    </xf>
    <xf numFmtId="0" fontId="4" fillId="0" borderId="2" xfId="9" applyFont="1" applyBorder="1" applyAlignment="1">
      <alignment horizontal="right" indent="5"/>
    </xf>
    <xf numFmtId="3" fontId="4" fillId="0" borderId="0" xfId="4" applyNumberFormat="1" applyFont="1" applyBorder="1" applyAlignment="1">
      <alignment horizontal="right" indent="4"/>
    </xf>
    <xf numFmtId="3" fontId="15" fillId="0" borderId="0" xfId="10" applyNumberFormat="1" applyFont="1" applyBorder="1" applyAlignment="1">
      <alignment horizontal="right" vertical="center" wrapText="1" indent="5"/>
    </xf>
    <xf numFmtId="3" fontId="4" fillId="0" borderId="0" xfId="10" applyNumberFormat="1" applyFont="1" applyBorder="1" applyAlignment="1">
      <alignment horizontal="right" vertical="center" wrapText="1" indent="5"/>
    </xf>
    <xf numFmtId="0" fontId="4" fillId="6" borderId="0" xfId="11" applyFont="1" applyFill="1" applyBorder="1"/>
    <xf numFmtId="0" fontId="4" fillId="6" borderId="0" xfId="11" applyFont="1" applyFill="1" applyBorder="1" applyAlignment="1">
      <alignment horizontal="left" indent="1"/>
    </xf>
    <xf numFmtId="0" fontId="15" fillId="6" borderId="0" xfId="11" applyFont="1" applyFill="1" applyBorder="1"/>
    <xf numFmtId="3" fontId="15" fillId="6" borderId="2" xfId="11" applyNumberFormat="1" applyFont="1" applyFill="1" applyBorder="1" applyAlignment="1">
      <alignment horizontal="center" wrapText="1"/>
    </xf>
    <xf numFmtId="3" fontId="15" fillId="6" borderId="0" xfId="11" applyNumberFormat="1" applyFont="1" applyFill="1" applyBorder="1" applyAlignment="1">
      <alignment horizontal="left" vertical="top" wrapText="1" indent="1"/>
    </xf>
    <xf numFmtId="3" fontId="15" fillId="6" borderId="0" xfId="11" applyNumberFormat="1" applyFont="1" applyFill="1" applyBorder="1" applyAlignment="1">
      <alignment horizontal="center" wrapText="1"/>
    </xf>
    <xf numFmtId="3" fontId="15" fillId="6" borderId="0" xfId="11" applyNumberFormat="1" applyFont="1" applyFill="1" applyBorder="1" applyAlignment="1">
      <alignment horizontal="right" vertical="center" wrapText="1" indent="2"/>
    </xf>
    <xf numFmtId="3" fontId="4" fillId="6" borderId="0" xfId="11" applyNumberFormat="1" applyFont="1" applyFill="1" applyBorder="1" applyAlignment="1">
      <alignment horizontal="left" vertical="top" wrapText="1" indent="1"/>
    </xf>
    <xf numFmtId="3" fontId="4" fillId="6" borderId="0" xfId="11" applyNumberFormat="1" applyFont="1" applyFill="1" applyBorder="1" applyAlignment="1">
      <alignment horizontal="right" vertical="center" wrapText="1" indent="2"/>
    </xf>
    <xf numFmtId="3" fontId="15" fillId="6" borderId="2" xfId="11" applyNumberFormat="1" applyFont="1" applyFill="1" applyBorder="1" applyAlignment="1">
      <alignment horizontal="left" vertical="top" wrapText="1" indent="1"/>
    </xf>
    <xf numFmtId="3" fontId="4" fillId="6" borderId="2" xfId="11" applyNumberFormat="1" applyFont="1" applyFill="1" applyBorder="1" applyAlignment="1">
      <alignment horizontal="right" vertical="center" wrapText="1" indent="2"/>
    </xf>
    <xf numFmtId="0" fontId="16" fillId="6" borderId="0" xfId="11" applyFont="1" applyFill="1" applyBorder="1" applyAlignment="1">
      <alignment horizontal="left" indent="1"/>
    </xf>
    <xf numFmtId="0" fontId="16" fillId="6" borderId="0" xfId="11" applyFont="1" applyFill="1" applyBorder="1" applyAlignment="1">
      <alignment horizontal="left"/>
    </xf>
    <xf numFmtId="0" fontId="4" fillId="6" borderId="0" xfId="0" applyFont="1" applyFill="1"/>
    <xf numFmtId="3" fontId="15" fillId="6" borderId="2" xfId="0" applyNumberFormat="1" applyFont="1" applyFill="1" applyBorder="1" applyAlignment="1">
      <alignment horizontal="center"/>
    </xf>
    <xf numFmtId="0" fontId="15" fillId="6" borderId="0" xfId="0" applyFont="1" applyFill="1"/>
    <xf numFmtId="3" fontId="15" fillId="6" borderId="0" xfId="0" applyNumberFormat="1" applyFont="1" applyFill="1"/>
    <xf numFmtId="3" fontId="4" fillId="6" borderId="0" xfId="0" applyNumberFormat="1" applyFont="1" applyFill="1"/>
    <xf numFmtId="3" fontId="15" fillId="6" borderId="0" xfId="0" applyNumberFormat="1" applyFont="1" applyFill="1" applyAlignment="1">
      <alignment horizontal="right" indent="2"/>
    </xf>
    <xf numFmtId="3" fontId="15" fillId="6" borderId="0" xfId="0" applyNumberFormat="1" applyFont="1" applyFill="1" applyAlignment="1">
      <alignment horizontal="right" indent="3"/>
    </xf>
    <xf numFmtId="3" fontId="4" fillId="6" borderId="0" xfId="0" applyNumberFormat="1" applyFont="1" applyFill="1" applyAlignment="1">
      <alignment horizontal="right" indent="2"/>
    </xf>
    <xf numFmtId="3" fontId="4" fillId="6" borderId="0" xfId="0" applyNumberFormat="1" applyFont="1" applyFill="1" applyAlignment="1">
      <alignment horizontal="right" indent="3"/>
    </xf>
    <xf numFmtId="0" fontId="4" fillId="6" borderId="2" xfId="0" applyFont="1" applyFill="1" applyBorder="1"/>
    <xf numFmtId="3" fontId="4" fillId="6" borderId="2" xfId="0" applyNumberFormat="1" applyFont="1" applyFill="1" applyBorder="1"/>
    <xf numFmtId="0" fontId="16" fillId="6" borderId="0" xfId="10" applyFont="1" applyFill="1" applyBorder="1" applyAlignment="1">
      <alignment horizontal="left" indent="1"/>
    </xf>
    <xf numFmtId="0" fontId="15" fillId="6" borderId="2" xfId="0" applyFont="1" applyFill="1" applyBorder="1" applyAlignment="1">
      <alignment horizontal="center"/>
    </xf>
    <xf numFmtId="0" fontId="15" fillId="6" borderId="0" xfId="0" applyFont="1" applyFill="1" applyAlignment="1">
      <alignment horizontal="left" indent="1"/>
    </xf>
    <xf numFmtId="0" fontId="4" fillId="6" borderId="0" xfId="0" applyFont="1" applyFill="1" applyAlignment="1">
      <alignment horizontal="left" indent="1"/>
    </xf>
    <xf numFmtId="0" fontId="4" fillId="6" borderId="0" xfId="0" applyFont="1" applyFill="1" applyBorder="1" applyAlignment="1">
      <alignment horizontal="left" indent="1"/>
    </xf>
    <xf numFmtId="3" fontId="4" fillId="6" borderId="0" xfId="0" applyNumberFormat="1" applyFont="1" applyFill="1" applyBorder="1" applyAlignment="1">
      <alignment horizontal="right" indent="2"/>
    </xf>
    <xf numFmtId="0" fontId="4" fillId="6" borderId="0" xfId="10" applyFont="1" applyFill="1" applyBorder="1" applyAlignment="1">
      <alignment horizontal="left" indent="1"/>
    </xf>
    <xf numFmtId="0" fontId="0" fillId="6" borderId="0" xfId="0" applyFill="1"/>
    <xf numFmtId="0" fontId="4" fillId="6" borderId="0" xfId="10" applyFont="1" applyFill="1" applyBorder="1" applyAlignment="1">
      <alignment horizontal="center"/>
    </xf>
    <xf numFmtId="3" fontId="4" fillId="6" borderId="0" xfId="0" applyNumberFormat="1" applyFont="1" applyFill="1" applyAlignment="1">
      <alignment horizontal="right" indent="4"/>
    </xf>
    <xf numFmtId="3" fontId="4" fillId="6" borderId="0" xfId="0" applyNumberFormat="1" applyFont="1" applyFill="1" applyAlignment="1">
      <alignment horizontal="right" indent="5"/>
    </xf>
    <xf numFmtId="0" fontId="0" fillId="6" borderId="2" xfId="0" applyFill="1" applyBorder="1"/>
    <xf numFmtId="0" fontId="0" fillId="6" borderId="3" xfId="0" applyFill="1" applyBorder="1"/>
    <xf numFmtId="3" fontId="15" fillId="6" borderId="1" xfId="10" applyNumberFormat="1" applyFont="1" applyFill="1" applyBorder="1" applyAlignment="1">
      <alignment horizontal="center" vertical="center" wrapText="1"/>
    </xf>
    <xf numFmtId="0" fontId="0" fillId="6" borderId="0" xfId="0" applyFill="1" applyBorder="1"/>
    <xf numFmtId="3" fontId="23" fillId="6" borderId="0" xfId="0" applyNumberFormat="1" applyFont="1" applyFill="1" applyAlignment="1">
      <alignment horizontal="right" indent="2"/>
    </xf>
    <xf numFmtId="0" fontId="4" fillId="6" borderId="0" xfId="10" applyFont="1" applyFill="1" applyBorder="1"/>
    <xf numFmtId="3" fontId="15" fillId="6" borderId="2" xfId="10" applyNumberFormat="1" applyFont="1" applyFill="1" applyBorder="1" applyAlignment="1">
      <alignment horizontal="center" vertical="center" wrapText="1"/>
    </xf>
    <xf numFmtId="3" fontId="0" fillId="6" borderId="0" xfId="0" applyNumberFormat="1" applyFill="1" applyAlignment="1">
      <alignment horizontal="right" indent="2"/>
    </xf>
    <xf numFmtId="0" fontId="4" fillId="6" borderId="0" xfId="0" applyFont="1" applyFill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5" fillId="6" borderId="0" xfId="0" applyFont="1" applyFill="1"/>
    <xf numFmtId="3" fontId="4" fillId="6" borderId="2" xfId="0" applyNumberFormat="1" applyFont="1" applyFill="1" applyBorder="1" applyAlignment="1">
      <alignment horizontal="right" indent="4"/>
    </xf>
    <xf numFmtId="0" fontId="4" fillId="6" borderId="0" xfId="0" applyFont="1" applyFill="1" applyBorder="1"/>
    <xf numFmtId="3" fontId="4" fillId="6" borderId="0" xfId="0" applyNumberFormat="1" applyFont="1" applyFill="1" applyBorder="1" applyAlignment="1">
      <alignment horizontal="right" indent="3"/>
    </xf>
    <xf numFmtId="3" fontId="4" fillId="6" borderId="2" xfId="0" applyNumberFormat="1" applyFont="1" applyFill="1" applyBorder="1" applyAlignment="1">
      <alignment horizontal="right" indent="2"/>
    </xf>
    <xf numFmtId="0" fontId="16" fillId="6" borderId="0" xfId="9" applyFont="1" applyFill="1" applyBorder="1"/>
    <xf numFmtId="0" fontId="4" fillId="6" borderId="0" xfId="9" applyFont="1" applyFill="1" applyBorder="1" applyAlignment="1">
      <alignment horizontal="left" indent="1"/>
    </xf>
    <xf numFmtId="0" fontId="4" fillId="6" borderId="0" xfId="9" applyFont="1" applyFill="1" applyBorder="1"/>
    <xf numFmtId="0" fontId="24" fillId="6" borderId="0" xfId="0" applyFont="1" applyFill="1"/>
    <xf numFmtId="0" fontId="25" fillId="6" borderId="2" xfId="0" applyFont="1" applyFill="1" applyBorder="1" applyAlignment="1">
      <alignment horizontal="center"/>
    </xf>
    <xf numFmtId="0" fontId="24" fillId="6" borderId="0" xfId="0" applyFont="1" applyFill="1" applyAlignment="1">
      <alignment horizontal="left" indent="1"/>
    </xf>
    <xf numFmtId="3" fontId="25" fillId="6" borderId="0" xfId="0" applyNumberFormat="1" applyFont="1" applyFill="1"/>
    <xf numFmtId="3" fontId="24" fillId="6" borderId="0" xfId="0" applyNumberFormat="1" applyFont="1" applyFill="1"/>
    <xf numFmtId="0" fontId="25" fillId="6" borderId="0" xfId="0" applyFont="1" applyFill="1" applyAlignment="1">
      <alignment horizontal="left" indent="1"/>
    </xf>
    <xf numFmtId="0" fontId="25" fillId="6" borderId="0" xfId="0" applyFont="1" applyFill="1"/>
    <xf numFmtId="0" fontId="24" fillId="6" borderId="0" xfId="0" applyFont="1" applyFill="1" applyBorder="1" applyAlignment="1">
      <alignment horizontal="left" indent="1"/>
    </xf>
    <xf numFmtId="3" fontId="24" fillId="6" borderId="0" xfId="0" applyNumberFormat="1" applyFont="1" applyFill="1" applyBorder="1"/>
    <xf numFmtId="0" fontId="24" fillId="6" borderId="2" xfId="0" applyFont="1" applyFill="1" applyBorder="1" applyAlignment="1">
      <alignment horizontal="left" indent="1"/>
    </xf>
    <xf numFmtId="3" fontId="24" fillId="6" borderId="2" xfId="0" applyNumberFormat="1" applyFont="1" applyFill="1" applyBorder="1"/>
    <xf numFmtId="3" fontId="15" fillId="6" borderId="1" xfId="7" applyNumberFormat="1" applyFont="1" applyFill="1" applyBorder="1" applyAlignment="1">
      <alignment horizontal="center" vertical="center" wrapText="1"/>
    </xf>
    <xf numFmtId="4" fontId="15" fillId="6" borderId="0" xfId="7" applyNumberFormat="1" applyFont="1" applyFill="1" applyBorder="1" applyAlignment="1">
      <alignment horizontal="center" vertical="center" wrapText="1"/>
    </xf>
    <xf numFmtId="3" fontId="15" fillId="6" borderId="0" xfId="7" applyNumberFormat="1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right" indent="2"/>
    </xf>
    <xf numFmtId="0" fontId="16" fillId="6" borderId="0" xfId="4" applyFont="1" applyFill="1" applyBorder="1" applyAlignment="1"/>
    <xf numFmtId="0" fontId="1" fillId="6" borderId="0" xfId="7" applyFill="1" applyBorder="1" applyAlignment="1"/>
    <xf numFmtId="0" fontId="4" fillId="6" borderId="0" xfId="7" applyFont="1" applyFill="1" applyBorder="1" applyAlignment="1">
      <alignment horizontal="center"/>
    </xf>
    <xf numFmtId="3" fontId="15" fillId="6" borderId="1" xfId="7" applyNumberFormat="1" applyFont="1" applyFill="1" applyBorder="1" applyAlignment="1">
      <alignment horizontal="left" vertical="center" wrapText="1" indent="1"/>
    </xf>
    <xf numFmtId="3" fontId="15" fillId="6" borderId="1" xfId="7" applyNumberFormat="1" applyFont="1" applyFill="1" applyBorder="1" applyAlignment="1">
      <alignment vertical="center" wrapText="1"/>
    </xf>
    <xf numFmtId="0" fontId="16" fillId="6" borderId="0" xfId="7" applyFont="1" applyFill="1" applyBorder="1" applyAlignment="1"/>
    <xf numFmtId="0" fontId="4" fillId="6" borderId="2" xfId="0" applyFont="1" applyFill="1" applyBorder="1" applyAlignment="1">
      <alignment horizontal="left" indent="1"/>
    </xf>
    <xf numFmtId="0" fontId="16" fillId="6" borderId="0" xfId="4" applyFont="1" applyFill="1" applyBorder="1" applyAlignment="1">
      <alignment horizontal="left" indent="1"/>
    </xf>
    <xf numFmtId="0" fontId="16" fillId="6" borderId="0" xfId="0" applyFont="1" applyFill="1"/>
    <xf numFmtId="0" fontId="4" fillId="6" borderId="0" xfId="7" applyFont="1" applyFill="1" applyBorder="1" applyAlignment="1">
      <alignment horizontal="left" indent="1"/>
    </xf>
    <xf numFmtId="0" fontId="4" fillId="6" borderId="0" xfId="7" applyFont="1" applyFill="1" applyBorder="1"/>
    <xf numFmtId="3" fontId="15" fillId="6" borderId="0" xfId="0" applyNumberFormat="1" applyFont="1" applyFill="1" applyAlignment="1">
      <alignment horizontal="right" indent="4"/>
    </xf>
    <xf numFmtId="3" fontId="15" fillId="0" borderId="2" xfId="9" applyNumberFormat="1" applyFont="1" applyBorder="1" applyAlignment="1">
      <alignment horizontal="right" vertical="center" wrapText="1" indent="3"/>
    </xf>
    <xf numFmtId="3" fontId="4" fillId="0" borderId="2" xfId="9" applyNumberFormat="1" applyFont="1" applyBorder="1" applyAlignment="1">
      <alignment horizontal="right" vertical="center" wrapText="1" indent="2"/>
    </xf>
    <xf numFmtId="0" fontId="4" fillId="6" borderId="0" xfId="0" applyFont="1" applyFill="1" applyAlignment="1">
      <alignment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6" borderId="0" xfId="0" applyFont="1" applyFill="1" applyAlignment="1">
      <alignment horizontal="left" indent="2"/>
    </xf>
    <xf numFmtId="3" fontId="4" fillId="0" borderId="0" xfId="11" applyNumberFormat="1" applyFont="1" applyBorder="1"/>
    <xf numFmtId="0" fontId="23" fillId="0" borderId="0" xfId="12" applyFont="1" applyFill="1" applyBorder="1"/>
    <xf numFmtId="3" fontId="4" fillId="0" borderId="0" xfId="0" applyNumberFormat="1" applyFont="1" applyAlignment="1"/>
    <xf numFmtId="0" fontId="4" fillId="0" borderId="0" xfId="0" applyFont="1"/>
    <xf numFmtId="0" fontId="4" fillId="0" borderId="0" xfId="0" applyFont="1" applyBorder="1"/>
    <xf numFmtId="3" fontId="4" fillId="0" borderId="0" xfId="0" applyNumberFormat="1" applyFont="1" applyAlignment="1">
      <alignment horizontal="right" indent="1"/>
    </xf>
    <xf numFmtId="3" fontId="4" fillId="0" borderId="0" xfId="0" applyNumberFormat="1" applyFont="1" applyBorder="1" applyAlignment="1">
      <alignment horizontal="right" indent="4"/>
    </xf>
    <xf numFmtId="0" fontId="15" fillId="0" borderId="0" xfId="0" applyFont="1"/>
    <xf numFmtId="3" fontId="15" fillId="0" borderId="0" xfId="11" applyNumberFormat="1" applyFont="1" applyBorder="1" applyAlignment="1">
      <alignment horizontal="left" vertical="top" wrapText="1" indent="2"/>
    </xf>
    <xf numFmtId="0" fontId="26" fillId="6" borderId="0" xfId="11" applyFont="1" applyFill="1" applyBorder="1"/>
    <xf numFmtId="3" fontId="15" fillId="0" borderId="0" xfId="11" applyNumberFormat="1" applyFont="1" applyBorder="1" applyAlignment="1">
      <alignment horizontal="right" wrapText="1"/>
    </xf>
    <xf numFmtId="3" fontId="15" fillId="0" borderId="0" xfId="9" applyNumberFormat="1" applyFont="1" applyBorder="1" applyAlignment="1">
      <alignment horizontal="right" vertical="center" wrapText="1" indent="4"/>
    </xf>
    <xf numFmtId="0" fontId="15" fillId="0" borderId="0" xfId="11" applyFont="1" applyBorder="1" applyAlignment="1">
      <alignment horizontal="center"/>
    </xf>
    <xf numFmtId="0" fontId="4" fillId="0" borderId="0" xfId="11" applyFont="1" applyBorder="1" applyAlignment="1">
      <alignment horizontal="center"/>
    </xf>
    <xf numFmtId="0" fontId="17" fillId="0" borderId="3" xfId="11" applyFont="1" applyBorder="1" applyAlignment="1">
      <alignment horizontal="left" vertical="center" wrapText="1" indent="1"/>
    </xf>
    <xf numFmtId="0" fontId="17" fillId="0" borderId="2" xfId="11" applyFont="1" applyBorder="1" applyAlignment="1">
      <alignment horizontal="left" vertical="center" wrapText="1" indent="1"/>
    </xf>
    <xf numFmtId="0" fontId="17" fillId="0" borderId="3" xfId="11" applyFont="1" applyBorder="1" applyAlignment="1">
      <alignment horizontal="center" vertical="center" wrapText="1"/>
    </xf>
    <xf numFmtId="0" fontId="17" fillId="0" borderId="2" xfId="11" applyFont="1" applyBorder="1" applyAlignment="1">
      <alignment horizontal="center" vertical="center" wrapText="1"/>
    </xf>
    <xf numFmtId="0" fontId="17" fillId="0" borderId="1" xfId="11" applyFont="1" applyBorder="1" applyAlignment="1">
      <alignment horizontal="center" vertical="center" wrapText="1"/>
    </xf>
    <xf numFmtId="3" fontId="15" fillId="0" borderId="3" xfId="11" applyNumberFormat="1" applyFont="1" applyBorder="1" applyAlignment="1">
      <alignment horizontal="left" vertical="center" wrapText="1" indent="1"/>
    </xf>
    <xf numFmtId="3" fontId="15" fillId="0" borderId="2" xfId="11" applyNumberFormat="1" applyFont="1" applyBorder="1" applyAlignment="1">
      <alignment horizontal="left" vertical="center" wrapText="1" indent="1"/>
    </xf>
    <xf numFmtId="3" fontId="15" fillId="0" borderId="3" xfId="11" applyNumberFormat="1" applyFont="1" applyBorder="1" applyAlignment="1">
      <alignment horizontal="center" vertical="center" wrapText="1"/>
    </xf>
    <xf numFmtId="3" fontId="15" fillId="0" borderId="2" xfId="11" applyNumberFormat="1" applyFont="1" applyBorder="1" applyAlignment="1">
      <alignment horizontal="center" vertical="center" wrapText="1"/>
    </xf>
    <xf numFmtId="3" fontId="15" fillId="0" borderId="1" xfId="11" applyNumberFormat="1" applyFont="1" applyBorder="1" applyAlignment="1">
      <alignment horizontal="center" vertical="center" wrapText="1"/>
    </xf>
    <xf numFmtId="3" fontId="15" fillId="0" borderId="1" xfId="11" applyNumberFormat="1" applyFont="1" applyBorder="1" applyAlignment="1">
      <alignment horizontal="center" wrapText="1"/>
    </xf>
    <xf numFmtId="3" fontId="15" fillId="0" borderId="3" xfId="11" applyNumberFormat="1" applyFont="1" applyBorder="1" applyAlignment="1">
      <alignment horizontal="center" wrapText="1"/>
    </xf>
    <xf numFmtId="3" fontId="15" fillId="0" borderId="2" xfId="11" applyNumberFormat="1" applyFont="1" applyBorder="1" applyAlignment="1">
      <alignment horizontal="center" wrapText="1"/>
    </xf>
    <xf numFmtId="3" fontId="15" fillId="0" borderId="3" xfId="11" applyNumberFormat="1" applyFont="1" applyBorder="1" applyAlignment="1">
      <alignment horizontal="left" vertical="top" wrapText="1" indent="1"/>
    </xf>
    <xf numFmtId="3" fontId="15" fillId="0" borderId="2" xfId="11" applyNumberFormat="1" applyFont="1" applyBorder="1" applyAlignment="1">
      <alignment horizontal="left" vertical="top" wrapText="1" indent="1"/>
    </xf>
    <xf numFmtId="0" fontId="15" fillId="6" borderId="0" xfId="11" applyFont="1" applyFill="1" applyBorder="1" applyAlignment="1">
      <alignment horizontal="center"/>
    </xf>
    <xf numFmtId="0" fontId="4" fillId="6" borderId="0" xfId="11" applyFont="1" applyFill="1" applyBorder="1" applyAlignment="1">
      <alignment horizontal="center"/>
    </xf>
    <xf numFmtId="3" fontId="15" fillId="6" borderId="3" xfId="11" applyNumberFormat="1" applyFont="1" applyFill="1" applyBorder="1" applyAlignment="1">
      <alignment horizontal="left" vertical="center" wrapText="1" indent="1"/>
    </xf>
    <xf numFmtId="3" fontId="15" fillId="6" borderId="2" xfId="11" applyNumberFormat="1" applyFont="1" applyFill="1" applyBorder="1" applyAlignment="1">
      <alignment horizontal="left" vertical="center" wrapText="1" indent="1"/>
    </xf>
    <xf numFmtId="3" fontId="15" fillId="6" borderId="3" xfId="11" applyNumberFormat="1" applyFont="1" applyFill="1" applyBorder="1" applyAlignment="1">
      <alignment horizontal="center" vertical="center" wrapText="1"/>
    </xf>
    <xf numFmtId="3" fontId="15" fillId="6" borderId="2" xfId="11" applyNumberFormat="1" applyFont="1" applyFill="1" applyBorder="1" applyAlignment="1">
      <alignment horizontal="center" vertical="center" wrapText="1"/>
    </xf>
    <xf numFmtId="3" fontId="15" fillId="6" borderId="1" xfId="11" applyNumberFormat="1" applyFont="1" applyFill="1" applyBorder="1" applyAlignment="1">
      <alignment horizontal="center" wrapText="1"/>
    </xf>
    <xf numFmtId="0" fontId="15" fillId="0" borderId="0" xfId="12" applyFont="1" applyFill="1" applyBorder="1" applyAlignment="1">
      <alignment horizontal="center"/>
    </xf>
    <xf numFmtId="0" fontId="4" fillId="0" borderId="0" xfId="12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wrapText="1"/>
    </xf>
    <xf numFmtId="0" fontId="15" fillId="0" borderId="3" xfId="14" applyFont="1" applyFill="1" applyBorder="1" applyAlignment="1">
      <alignment horizontal="left" vertical="center" wrapText="1" indent="1"/>
    </xf>
    <xf numFmtId="0" fontId="15" fillId="0" borderId="2" xfId="14" applyFont="1" applyFill="1" applyBorder="1" applyAlignment="1">
      <alignment horizontal="left" vertical="center" wrapText="1" indent="1"/>
    </xf>
    <xf numFmtId="0" fontId="15" fillId="0" borderId="3" xfId="0" applyFont="1" applyFill="1" applyBorder="1" applyAlignment="1">
      <alignment horizontal="center" vertical="center"/>
    </xf>
    <xf numFmtId="0" fontId="0" fillId="0" borderId="2" xfId="0" applyBorder="1"/>
    <xf numFmtId="0" fontId="16" fillId="0" borderId="0" xfId="0" applyFont="1" applyAlignment="1">
      <alignment horizontal="left" vertical="center" wrapText="1" indent="1"/>
    </xf>
    <xf numFmtId="0" fontId="15" fillId="0" borderId="3" xfId="12" applyFont="1" applyFill="1" applyBorder="1" applyAlignment="1">
      <alignment horizontal="center" wrapText="1"/>
    </xf>
    <xf numFmtId="0" fontId="15" fillId="0" borderId="2" xfId="12" applyFont="1" applyFill="1" applyBorder="1" applyAlignment="1">
      <alignment horizontal="center" wrapText="1"/>
    </xf>
    <xf numFmtId="3" fontId="15" fillId="0" borderId="3" xfId="11" applyNumberFormat="1" applyFont="1" applyFill="1" applyBorder="1" applyAlignment="1">
      <alignment horizontal="center" vertical="center"/>
    </xf>
    <xf numFmtId="3" fontId="15" fillId="0" borderId="2" xfId="11" applyNumberFormat="1" applyFont="1" applyFill="1" applyBorder="1" applyAlignment="1">
      <alignment horizontal="center" vertical="center"/>
    </xf>
    <xf numFmtId="3" fontId="15" fillId="6" borderId="1" xfId="11" applyNumberFormat="1" applyFont="1" applyFill="1" applyBorder="1" applyAlignment="1">
      <alignment horizontal="center" vertical="center" wrapText="1"/>
    </xf>
    <xf numFmtId="1" fontId="15" fillId="3" borderId="3" xfId="13" applyNumberFormat="1" applyFont="1" applyFill="1" applyBorder="1" applyAlignment="1">
      <alignment horizontal="center" vertical="top" wrapText="1"/>
    </xf>
    <xf numFmtId="1" fontId="15" fillId="3" borderId="2" xfId="13" applyNumberFormat="1" applyFont="1" applyFill="1" applyBorder="1" applyAlignment="1">
      <alignment horizontal="center" vertical="top" wrapText="1"/>
    </xf>
    <xf numFmtId="3" fontId="15" fillId="3" borderId="1" xfId="13" applyNumberFormat="1" applyFont="1" applyFill="1" applyBorder="1" applyAlignment="1">
      <alignment horizontal="center" wrapText="1"/>
    </xf>
    <xf numFmtId="0" fontId="15" fillId="3" borderId="0" xfId="12" applyFont="1" applyFill="1" applyBorder="1" applyAlignment="1">
      <alignment horizontal="center"/>
    </xf>
    <xf numFmtId="0" fontId="15" fillId="0" borderId="0" xfId="10" applyFont="1" applyBorder="1" applyAlignment="1">
      <alignment horizontal="center"/>
    </xf>
    <xf numFmtId="3" fontId="15" fillId="0" borderId="3" xfId="10" applyNumberFormat="1" applyFont="1" applyBorder="1" applyAlignment="1">
      <alignment horizontal="left" vertical="center" wrapText="1" indent="1"/>
    </xf>
    <xf numFmtId="3" fontId="15" fillId="0" borderId="2" xfId="10" applyNumberFormat="1" applyFont="1" applyBorder="1" applyAlignment="1">
      <alignment horizontal="left" vertical="center" wrapText="1" indent="1"/>
    </xf>
    <xf numFmtId="3" fontId="15" fillId="0" borderId="3" xfId="10" applyNumberFormat="1" applyFont="1" applyBorder="1" applyAlignment="1">
      <alignment horizontal="center" vertical="center" wrapText="1"/>
    </xf>
    <xf numFmtId="3" fontId="15" fillId="0" borderId="2" xfId="10" applyNumberFormat="1" applyFont="1" applyBorder="1" applyAlignment="1">
      <alignment horizontal="center" vertical="center" wrapText="1"/>
    </xf>
    <xf numFmtId="3" fontId="15" fillId="0" borderId="1" xfId="10" applyNumberFormat="1" applyFont="1" applyBorder="1" applyAlignment="1">
      <alignment horizontal="center" wrapText="1"/>
    </xf>
    <xf numFmtId="0" fontId="4" fillId="0" borderId="0" xfId="10" applyFont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left" wrapText="1"/>
    </xf>
    <xf numFmtId="0" fontId="15" fillId="6" borderId="2" xfId="0" applyFont="1" applyFill="1" applyBorder="1" applyAlignment="1">
      <alignment horizontal="left" wrapText="1"/>
    </xf>
    <xf numFmtId="0" fontId="4" fillId="6" borderId="0" xfId="10" applyFont="1" applyFill="1" applyBorder="1" applyAlignment="1">
      <alignment horizontal="center"/>
    </xf>
    <xf numFmtId="3" fontId="15" fillId="6" borderId="1" xfId="10" applyNumberFormat="1" applyFont="1" applyFill="1" applyBorder="1" applyAlignment="1">
      <alignment horizontal="center" vertical="center" wrapText="1"/>
    </xf>
    <xf numFmtId="3" fontId="15" fillId="6" borderId="3" xfId="10" applyNumberFormat="1" applyFont="1" applyFill="1" applyBorder="1" applyAlignment="1">
      <alignment horizontal="left" vertical="center" wrapText="1" indent="1"/>
    </xf>
    <xf numFmtId="3" fontId="15" fillId="6" borderId="2" xfId="10" applyNumberFormat="1" applyFont="1" applyFill="1" applyBorder="1" applyAlignment="1">
      <alignment horizontal="left" vertical="center" wrapText="1" indent="1"/>
    </xf>
    <xf numFmtId="3" fontId="15" fillId="6" borderId="3" xfId="10" applyNumberFormat="1" applyFont="1" applyFill="1" applyBorder="1" applyAlignment="1">
      <alignment horizontal="center" vertical="center" wrapText="1"/>
    </xf>
    <xf numFmtId="3" fontId="15" fillId="6" borderId="2" xfId="10" applyNumberFormat="1" applyFont="1" applyFill="1" applyBorder="1" applyAlignment="1">
      <alignment horizontal="center" vertical="center" wrapText="1"/>
    </xf>
    <xf numFmtId="0" fontId="15" fillId="6" borderId="0" xfId="10" applyFont="1" applyFill="1" applyBorder="1" applyAlignment="1">
      <alignment horizontal="center"/>
    </xf>
    <xf numFmtId="0" fontId="0" fillId="6" borderId="2" xfId="0" applyFill="1" applyBorder="1"/>
    <xf numFmtId="3" fontId="15" fillId="6" borderId="3" xfId="10" applyNumberFormat="1" applyFont="1" applyFill="1" applyBorder="1" applyAlignment="1">
      <alignment horizontal="left" vertical="center" wrapText="1"/>
    </xf>
    <xf numFmtId="3" fontId="15" fillId="6" borderId="0" xfId="10" applyNumberFormat="1" applyFont="1" applyFill="1" applyBorder="1" applyAlignment="1">
      <alignment horizontal="left" vertical="center" wrapText="1"/>
    </xf>
    <xf numFmtId="3" fontId="15" fillId="6" borderId="2" xfId="10" applyNumberFormat="1" applyFont="1" applyFill="1" applyBorder="1" applyAlignment="1">
      <alignment horizontal="left" vertical="center" wrapText="1"/>
    </xf>
    <xf numFmtId="0" fontId="16" fillId="0" borderId="0" xfId="9" applyFont="1" applyBorder="1" applyAlignment="1">
      <alignment vertical="center" wrapText="1"/>
    </xf>
    <xf numFmtId="1" fontId="15" fillId="0" borderId="3" xfId="9" applyNumberFormat="1" applyFont="1" applyBorder="1" applyAlignment="1">
      <alignment horizontal="center" vertical="center" wrapText="1"/>
    </xf>
    <xf numFmtId="1" fontId="15" fillId="0" borderId="2" xfId="9" applyNumberFormat="1" applyFont="1" applyBorder="1" applyAlignment="1">
      <alignment horizontal="center" vertical="center" wrapText="1"/>
    </xf>
    <xf numFmtId="3" fontId="15" fillId="0" borderId="3" xfId="9" applyNumberFormat="1" applyFont="1" applyBorder="1" applyAlignment="1">
      <alignment horizontal="left" vertical="center" wrapText="1" indent="1"/>
    </xf>
    <xf numFmtId="3" fontId="15" fillId="0" borderId="2" xfId="9" applyNumberFormat="1" applyFont="1" applyBorder="1" applyAlignment="1">
      <alignment horizontal="left" vertical="center" wrapText="1" indent="1"/>
    </xf>
    <xf numFmtId="0" fontId="15" fillId="0" borderId="0" xfId="9" applyFont="1" applyBorder="1" applyAlignment="1">
      <alignment horizontal="center"/>
    </xf>
    <xf numFmtId="0" fontId="4" fillId="0" borderId="0" xfId="9" applyFont="1" applyBorder="1" applyAlignment="1">
      <alignment horizontal="center"/>
    </xf>
    <xf numFmtId="0" fontId="16" fillId="0" borderId="0" xfId="9" applyFont="1" applyFill="1" applyBorder="1" applyAlignment="1">
      <alignment vertical="center" wrapText="1"/>
    </xf>
    <xf numFmtId="3" fontId="15" fillId="0" borderId="1" xfId="9" applyNumberFormat="1" applyFont="1" applyBorder="1" applyAlignment="1">
      <alignment horizontal="center" vertical="center" wrapText="1"/>
    </xf>
    <xf numFmtId="0" fontId="15" fillId="0" borderId="0" xfId="9" applyFont="1" applyFill="1" applyBorder="1" applyAlignment="1">
      <alignment horizontal="center"/>
    </xf>
    <xf numFmtId="3" fontId="15" fillId="0" borderId="3" xfId="9" applyNumberFormat="1" applyFont="1" applyBorder="1" applyAlignment="1">
      <alignment horizontal="center" vertical="center" wrapText="1"/>
    </xf>
    <xf numFmtId="3" fontId="15" fillId="0" borderId="2" xfId="9" applyNumberFormat="1" applyFont="1" applyBorder="1" applyAlignment="1">
      <alignment horizontal="center" vertical="center" wrapText="1"/>
    </xf>
    <xf numFmtId="3" fontId="15" fillId="0" borderId="1" xfId="9" applyNumberFormat="1" applyFont="1" applyBorder="1" applyAlignment="1">
      <alignment horizontal="center" wrapText="1"/>
    </xf>
    <xf numFmtId="0" fontId="16" fillId="6" borderId="0" xfId="9" applyFont="1" applyFill="1" applyBorder="1" applyAlignment="1">
      <alignment horizontal="left" vertical="center" wrapText="1"/>
    </xf>
    <xf numFmtId="0" fontId="15" fillId="6" borderId="0" xfId="9" applyFont="1" applyFill="1" applyBorder="1" applyAlignment="1">
      <alignment horizontal="center"/>
    </xf>
    <xf numFmtId="0" fontId="4" fillId="6" borderId="0" xfId="9" applyFont="1" applyFill="1" applyBorder="1" applyAlignment="1">
      <alignment horizontal="center"/>
    </xf>
    <xf numFmtId="3" fontId="15" fillId="6" borderId="1" xfId="9" applyNumberFormat="1" applyFont="1" applyFill="1" applyBorder="1" applyAlignment="1">
      <alignment horizont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6" borderId="2" xfId="0" applyFont="1" applyFill="1" applyBorder="1" applyAlignment="1">
      <alignment horizontal="center" vertical="center" wrapText="1"/>
    </xf>
    <xf numFmtId="3" fontId="15" fillId="6" borderId="3" xfId="9" applyNumberFormat="1" applyFont="1" applyFill="1" applyBorder="1" applyAlignment="1">
      <alignment horizontal="left" vertical="top" wrapText="1" indent="1"/>
    </xf>
    <xf numFmtId="3" fontId="15" fillId="6" borderId="2" xfId="9" applyNumberFormat="1" applyFont="1" applyFill="1" applyBorder="1" applyAlignment="1">
      <alignment horizontal="left" vertical="top" wrapText="1" indent="1"/>
    </xf>
    <xf numFmtId="3" fontId="15" fillId="0" borderId="3" xfId="9" applyNumberFormat="1" applyFont="1" applyBorder="1" applyAlignment="1">
      <alignment horizontal="left" vertical="center" indent="1"/>
    </xf>
    <xf numFmtId="3" fontId="15" fillId="0" borderId="2" xfId="9" applyNumberFormat="1" applyFont="1" applyBorder="1" applyAlignment="1">
      <alignment horizontal="left" vertical="center" indent="1"/>
    </xf>
    <xf numFmtId="3" fontId="15" fillId="0" borderId="3" xfId="9" applyNumberFormat="1" applyFont="1" applyBorder="1" applyAlignment="1">
      <alignment horizontal="center" vertical="center"/>
    </xf>
    <xf numFmtId="3" fontId="15" fillId="0" borderId="2" xfId="9" applyNumberFormat="1" applyFont="1" applyBorder="1" applyAlignment="1">
      <alignment horizontal="center" vertical="center"/>
    </xf>
    <xf numFmtId="0" fontId="16" fillId="6" borderId="0" xfId="9" applyFont="1" applyFill="1" applyBorder="1" applyAlignment="1">
      <alignment vertical="center" wrapText="1"/>
    </xf>
    <xf numFmtId="3" fontId="15" fillId="6" borderId="3" xfId="9" applyNumberFormat="1" applyFont="1" applyFill="1" applyBorder="1" applyAlignment="1">
      <alignment horizontal="center" vertical="top" wrapText="1"/>
    </xf>
    <xf numFmtId="3" fontId="15" fillId="6" borderId="2" xfId="9" applyNumberFormat="1" applyFont="1" applyFill="1" applyBorder="1" applyAlignment="1">
      <alignment horizontal="center" vertical="top" wrapText="1"/>
    </xf>
    <xf numFmtId="0" fontId="4" fillId="0" borderId="0" xfId="7" applyFont="1" applyBorder="1" applyAlignment="1">
      <alignment horizontal="center"/>
    </xf>
    <xf numFmtId="0" fontId="15" fillId="0" borderId="0" xfId="4" applyFont="1" applyBorder="1" applyAlignment="1">
      <alignment horizontal="center"/>
    </xf>
    <xf numFmtId="0" fontId="4" fillId="0" borderId="0" xfId="4" applyFont="1" applyBorder="1" applyAlignment="1">
      <alignment horizontal="center"/>
    </xf>
    <xf numFmtId="0" fontId="16" fillId="0" borderId="0" xfId="4" applyFont="1" applyBorder="1" applyAlignment="1">
      <alignment horizontal="left" vertical="distributed"/>
    </xf>
    <xf numFmtId="3" fontId="15" fillId="6" borderId="1" xfId="7" applyNumberFormat="1" applyFont="1" applyFill="1" applyBorder="1" applyAlignment="1">
      <alignment horizontal="left" vertical="center" wrapText="1"/>
    </xf>
    <xf numFmtId="0" fontId="4" fillId="6" borderId="0" xfId="7" applyFont="1" applyFill="1" applyBorder="1" applyAlignment="1">
      <alignment horizontal="center"/>
    </xf>
    <xf numFmtId="0" fontId="15" fillId="6" borderId="0" xfId="7" applyFont="1" applyFill="1" applyBorder="1" applyAlignment="1">
      <alignment horizontal="center"/>
    </xf>
    <xf numFmtId="3" fontId="15" fillId="0" borderId="3" xfId="7" applyNumberFormat="1" applyFont="1" applyBorder="1" applyAlignment="1">
      <alignment horizontal="left" vertical="center" wrapText="1" indent="1"/>
    </xf>
    <xf numFmtId="3" fontId="15" fillId="0" borderId="2" xfId="7" applyNumberFormat="1" applyFont="1" applyBorder="1" applyAlignment="1">
      <alignment horizontal="left" vertical="center" wrapText="1" indent="1"/>
    </xf>
    <xf numFmtId="0" fontId="15" fillId="0" borderId="0" xfId="7" applyFont="1" applyBorder="1" applyAlignment="1">
      <alignment horizontal="center"/>
    </xf>
    <xf numFmtId="3" fontId="15" fillId="0" borderId="1" xfId="7" applyNumberFormat="1" applyFont="1" applyBorder="1" applyAlignment="1">
      <alignment horizontal="center" vertical="center" wrapText="1"/>
    </xf>
    <xf numFmtId="3" fontId="15" fillId="0" borderId="3" xfId="7" applyNumberFormat="1" applyFont="1" applyBorder="1" applyAlignment="1">
      <alignment horizontal="center" vertical="center" wrapText="1"/>
    </xf>
    <xf numFmtId="3" fontId="15" fillId="0" borderId="2" xfId="7" applyNumberFormat="1" applyFont="1" applyBorder="1" applyAlignment="1">
      <alignment horizontal="center" vertical="center" wrapText="1"/>
    </xf>
    <xf numFmtId="3" fontId="15" fillId="6" borderId="1" xfId="7" applyNumberFormat="1" applyFont="1" applyFill="1" applyBorder="1" applyAlignment="1">
      <alignment horizontal="center" vertical="center" wrapText="1"/>
    </xf>
    <xf numFmtId="0" fontId="16" fillId="6" borderId="0" xfId="4" applyFont="1" applyFill="1" applyBorder="1" applyAlignment="1">
      <alignment horizontal="center" vertical="distributed"/>
    </xf>
    <xf numFmtId="3" fontId="15" fillId="6" borderId="3" xfId="7" applyNumberFormat="1" applyFont="1" applyFill="1" applyBorder="1" applyAlignment="1">
      <alignment horizontal="center" vertical="center" wrapText="1"/>
    </xf>
    <xf numFmtId="3" fontId="15" fillId="6" borderId="2" xfId="7" applyNumberFormat="1" applyFont="1" applyFill="1" applyBorder="1" applyAlignment="1">
      <alignment horizontal="center" vertical="center" wrapText="1"/>
    </xf>
    <xf numFmtId="3" fontId="15" fillId="6" borderId="3" xfId="7" applyNumberFormat="1" applyFont="1" applyFill="1" applyBorder="1" applyAlignment="1">
      <alignment horizontal="left" vertical="center" wrapText="1" indent="1"/>
    </xf>
    <xf numFmtId="3" fontId="15" fillId="6" borderId="2" xfId="7" applyNumberFormat="1" applyFont="1" applyFill="1" applyBorder="1" applyAlignment="1">
      <alignment horizontal="left" vertical="center" wrapText="1" indent="1"/>
    </xf>
    <xf numFmtId="4" fontId="15" fillId="6" borderId="1" xfId="7" applyNumberFormat="1" applyFont="1" applyFill="1" applyBorder="1" applyAlignment="1">
      <alignment horizontal="center" vertical="center" wrapText="1"/>
    </xf>
    <xf numFmtId="0" fontId="12" fillId="2" borderId="0" xfId="0" applyFont="1" applyFill="1"/>
    <xf numFmtId="0" fontId="27" fillId="2" borderId="0" xfId="2" applyFont="1" applyFill="1" applyAlignment="1" applyProtection="1"/>
  </cellXfs>
  <cellStyles count="15">
    <cellStyle name="Euro" xfId="1"/>
    <cellStyle name="Hipervínculo" xfId="2" builtinId="8"/>
    <cellStyle name="Moneda" xfId="3" builtinId="4"/>
    <cellStyle name="Normal" xfId="0" builtinId="0"/>
    <cellStyle name="Normal_4.2" xfId="4"/>
    <cellStyle name="Normal_Copia de DEFUNCIONES-1" xfId="5"/>
    <cellStyle name="Normal_Copia de divorcios-2" xfId="6"/>
    <cellStyle name="Normal_Copia de divorcios2009" xfId="7"/>
    <cellStyle name="Normal_Copia de matrimonios-2" xfId="8"/>
    <cellStyle name="Normal_Cuadros de matrimonio" xfId="9"/>
    <cellStyle name="Normal_defunciones" xfId="10"/>
    <cellStyle name="Normal_nacimientos" xfId="11"/>
    <cellStyle name="Normal_nacimientosultimos" xfId="12"/>
    <cellStyle name="Normal_para agregar nacimientos (version 1)" xfId="13"/>
    <cellStyle name="Normal_reporte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5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57" Type="http://schemas.openxmlformats.org/officeDocument/2006/relationships/externalLink" Target="externalLinks/externalLink9.xml"/><Relationship Id="rId61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4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800" b="0" i="0" strike="noStrike">
                <a:solidFill>
                  <a:srgbClr val="000000"/>
                </a:solidFill>
                <a:latin typeface="Franklin Gothic Demi"/>
              </a:rPr>
              <a:t>Gráfico 1.8</a:t>
            </a:r>
            <a:endParaRPr lang="es-ES" sz="800" b="0" i="0" strike="noStrike">
              <a:solidFill>
                <a:srgbClr val="000000"/>
              </a:solidFill>
              <a:latin typeface="Franklin Gothic Book"/>
            </a:endParaRP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800" b="0" i="0" strike="noStrike">
                <a:solidFill>
                  <a:srgbClr val="000000"/>
                </a:solidFill>
                <a:latin typeface="Franklin Gothic Book"/>
              </a:rPr>
              <a:t>República Dominicana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800" b="0" i="0" strike="noStrike">
                <a:solidFill>
                  <a:srgbClr val="000000"/>
                </a:solidFill>
                <a:latin typeface="Franklin Gothic Book"/>
              </a:rPr>
              <a:t>Nacimientos ocurridos, según sexo del registrado, 2010</a:t>
            </a:r>
          </a:p>
        </c:rich>
      </c:tx>
      <c:layout>
        <c:manualLayout>
          <c:xMode val="edge"/>
          <c:yMode val="edge"/>
          <c:x val="0.14366226756866662"/>
          <c:y val="1.5576323987538939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3380313848363021"/>
          <c:y val="0.28972050757066431"/>
          <c:w val="0.71831084714850268"/>
          <c:h val="0.51402025536730722"/>
        </c:manualLayout>
      </c:layout>
      <c:barChart>
        <c:barDir val="col"/>
        <c:grouping val="clustered"/>
        <c:ser>
          <c:idx val="0"/>
          <c:order val="0"/>
          <c:tx>
            <c:strRef>
              <c:f>'1.8'!$A$11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rgbClr val="9999FF"/>
            </a:solidFill>
            <a:ln w="25400">
              <a:noFill/>
            </a:ln>
          </c:spPr>
          <c:dLbls>
            <c:showVal val="1"/>
          </c:dLbls>
          <c:cat>
            <c:strRef>
              <c:f>'1.8'!$A$6:$A$7</c:f>
              <c:strCache>
                <c:ptCount val="1"/>
                <c:pt idx="0">
                  <c:v>Sexo</c:v>
                </c:pt>
              </c:strCache>
            </c:strRef>
          </c:cat>
          <c:val>
            <c:numRef>
              <c:f>'1.8'!$B$11</c:f>
              <c:numCache>
                <c:formatCode>#,##0</c:formatCode>
                <c:ptCount val="1"/>
                <c:pt idx="0">
                  <c:v>61975</c:v>
                </c:pt>
              </c:numCache>
            </c:numRef>
          </c:val>
        </c:ser>
        <c:ser>
          <c:idx val="1"/>
          <c:order val="1"/>
          <c:tx>
            <c:strRef>
              <c:f>'1.8'!$A$12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dLbls>
            <c:showVal val="1"/>
          </c:dLbls>
          <c:cat>
            <c:strRef>
              <c:f>'1.8'!$A$6:$A$7</c:f>
              <c:strCache>
                <c:ptCount val="1"/>
                <c:pt idx="0">
                  <c:v>Sexo</c:v>
                </c:pt>
              </c:strCache>
            </c:strRef>
          </c:cat>
          <c:val>
            <c:numRef>
              <c:f>'1.8'!$B$12</c:f>
              <c:numCache>
                <c:formatCode>#,##0</c:formatCode>
                <c:ptCount val="1"/>
                <c:pt idx="0">
                  <c:v>59184</c:v>
                </c:pt>
              </c:numCache>
            </c:numRef>
          </c:val>
        </c:ser>
        <c:dLbls/>
        <c:axId val="74847360"/>
        <c:axId val="74848896"/>
      </c:barChart>
      <c:catAx>
        <c:axId val="7484736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Demi"/>
                <a:ea typeface="Franklin Gothic Demi"/>
                <a:cs typeface="Franklin Gothic Demi"/>
              </a:defRPr>
            </a:pPr>
            <a:endParaRPr lang="es-ES"/>
          </a:p>
        </c:txPr>
        <c:crossAx val="74848896"/>
        <c:crosses val="autoZero"/>
        <c:auto val="1"/>
        <c:lblAlgn val="ctr"/>
        <c:lblOffset val="100"/>
        <c:tickLblSkip val="1"/>
        <c:tickMarkSkip val="1"/>
      </c:catAx>
      <c:valAx>
        <c:axId val="7484889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anklin Gothic Demi"/>
                    <a:ea typeface="Franklin Gothic Demi"/>
                    <a:cs typeface="Franklin Gothic Demi"/>
                  </a:defRPr>
                </a:pPr>
                <a:r>
                  <a:rPr lang="es-ES"/>
                  <a:t>No. de nacimientos 
</a:t>
                </a:r>
              </a:p>
            </c:rich>
          </c:tx>
          <c:layout>
            <c:manualLayout>
              <c:xMode val="edge"/>
              <c:yMode val="edge"/>
              <c:x val="1.4084507042253521E-2"/>
              <c:y val="0.39252467273366559"/>
            </c:manualLayout>
          </c:layout>
          <c:spPr>
            <a:noFill/>
            <a:ln w="25400">
              <a:noFill/>
            </a:ln>
          </c:spPr>
        </c:title>
        <c:numFmt formatCode="#,##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endParaRPr lang="es-ES"/>
          </a:p>
        </c:txPr>
        <c:crossAx val="748473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6197242246127684"/>
          <c:y val="0.87850728939256428"/>
          <c:w val="0.2901411408081031"/>
          <c:h val="6.5420887809584563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Franklin Gothic Book"/>
              <a:ea typeface="Franklin Gothic Book"/>
              <a:cs typeface="Franklin Gothic Book"/>
            </a:defRPr>
          </a:pPr>
          <a:endParaRPr lang="es-ES"/>
        </a:p>
      </c:txPr>
    </c:legend>
    <c:plotVisOnly val="1"/>
    <c:dispBlanksAs val="gap"/>
  </c:chart>
  <c:spPr>
    <a:gradFill rotWithShape="0">
      <a:gsLst>
        <a:gs pos="0">
          <a:srgbClr val="FFCC99"/>
        </a:gs>
        <a:gs pos="100000">
          <a:srgbClr val="CCFFCC"/>
        </a:gs>
      </a:gsLst>
      <a:lin ang="2700000" scaled="1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Franklin Gothic Book"/>
          <a:ea typeface="Franklin Gothic Book"/>
          <a:cs typeface="Franklin Gothic Book"/>
        </a:defRPr>
      </a:pPr>
      <a:endParaRPr lang="es-ES"/>
    </a:p>
  </c:txPr>
  <c:printSettings>
    <c:headerFooter alignWithMargins="0"/>
    <c:pageMargins b="1" l="0.75000000000000022" r="0.75000000000000022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800" b="0" i="0" strike="noStrike">
                <a:solidFill>
                  <a:srgbClr val="000000"/>
                </a:solidFill>
                <a:latin typeface="Franklin Gothic Demi"/>
              </a:rPr>
              <a:t>Gráfico 2.1</a:t>
            </a:r>
            <a:endParaRPr lang="es-ES" sz="800" b="0" i="0" strike="noStrike">
              <a:solidFill>
                <a:srgbClr val="000000"/>
              </a:solidFill>
              <a:latin typeface="Franklin Gothic Book"/>
            </a:endParaRP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800" b="0" i="0" strike="noStrike">
                <a:solidFill>
                  <a:srgbClr val="000000"/>
                </a:solidFill>
                <a:latin typeface="Franklin Gothic Book"/>
              </a:rPr>
              <a:t>República Dominicana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800" b="0" i="0" strike="noStrike">
                <a:solidFill>
                  <a:srgbClr val="000000"/>
                </a:solidFill>
                <a:latin typeface="Franklin Gothic Book"/>
              </a:rPr>
              <a:t>Defunciones ocurridas, por sexo, según mes de la defunción, 2010</a:t>
            </a:r>
          </a:p>
        </c:rich>
      </c:tx>
      <c:layout>
        <c:manualLayout>
          <c:xMode val="edge"/>
          <c:yMode val="edge"/>
          <c:x val="0.16770229808230502"/>
          <c:y val="2.970297029702971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9875816583803591"/>
          <c:y val="0.17623779416556526"/>
          <c:w val="0.53416257068972139"/>
          <c:h val="0.67128777777670345"/>
        </c:manualLayout>
      </c:layout>
      <c:barChart>
        <c:barDir val="bar"/>
        <c:grouping val="clustered"/>
        <c:ser>
          <c:idx val="0"/>
          <c:order val="0"/>
          <c:tx>
            <c:strRef>
              <c:f>'2.1'!$D$7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rgbClr val="008080"/>
            </a:solidFill>
            <a:ln w="25400">
              <a:noFill/>
            </a:ln>
          </c:spPr>
          <c:cat>
            <c:strRef>
              <c:f>'2.1'!$B$11:$B$23</c:f>
              <c:strCache>
                <c:ptCount val="1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No especificada</c:v>
                </c:pt>
              </c:strCache>
            </c:strRef>
          </c:cat>
          <c:val>
            <c:numRef>
              <c:f>'2.1'!$D$11:$D$23</c:f>
              <c:numCache>
                <c:formatCode>#,##0</c:formatCode>
                <c:ptCount val="13"/>
                <c:pt idx="0">
                  <c:v>1893</c:v>
                </c:pt>
                <c:pt idx="1">
                  <c:v>2117</c:v>
                </c:pt>
                <c:pt idx="2">
                  <c:v>2166</c:v>
                </c:pt>
                <c:pt idx="3">
                  <c:v>1822</c:v>
                </c:pt>
                <c:pt idx="4">
                  <c:v>1765</c:v>
                </c:pt>
                <c:pt idx="5">
                  <c:v>1747</c:v>
                </c:pt>
                <c:pt idx="6">
                  <c:v>1987</c:v>
                </c:pt>
                <c:pt idx="7">
                  <c:v>1662</c:v>
                </c:pt>
                <c:pt idx="8">
                  <c:v>1592</c:v>
                </c:pt>
                <c:pt idx="9">
                  <c:v>1645</c:v>
                </c:pt>
                <c:pt idx="10">
                  <c:v>1600</c:v>
                </c:pt>
                <c:pt idx="11">
                  <c:v>1598</c:v>
                </c:pt>
                <c:pt idx="12">
                  <c:v>10</c:v>
                </c:pt>
              </c:numCache>
            </c:numRef>
          </c:val>
        </c:ser>
        <c:ser>
          <c:idx val="1"/>
          <c:order val="1"/>
          <c:tx>
            <c:strRef>
              <c:f>'2.1'!$E$7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rgbClr val="993300"/>
            </a:solidFill>
            <a:ln w="25400">
              <a:noFill/>
            </a:ln>
          </c:spPr>
          <c:cat>
            <c:strRef>
              <c:f>'2.1'!$B$11:$B$23</c:f>
              <c:strCache>
                <c:ptCount val="1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No especificada</c:v>
                </c:pt>
              </c:strCache>
            </c:strRef>
          </c:cat>
          <c:val>
            <c:numRef>
              <c:f>'2.1'!$E$11:$E$23</c:f>
              <c:numCache>
                <c:formatCode>#,##0</c:formatCode>
                <c:ptCount val="13"/>
                <c:pt idx="0">
                  <c:v>1067</c:v>
                </c:pt>
                <c:pt idx="1">
                  <c:v>1140</c:v>
                </c:pt>
                <c:pt idx="2">
                  <c:v>1177</c:v>
                </c:pt>
                <c:pt idx="3">
                  <c:v>958</c:v>
                </c:pt>
                <c:pt idx="4">
                  <c:v>1001</c:v>
                </c:pt>
                <c:pt idx="5">
                  <c:v>1002</c:v>
                </c:pt>
                <c:pt idx="6">
                  <c:v>1225</c:v>
                </c:pt>
                <c:pt idx="7">
                  <c:v>1115</c:v>
                </c:pt>
                <c:pt idx="8">
                  <c:v>959</c:v>
                </c:pt>
                <c:pt idx="9">
                  <c:v>1014</c:v>
                </c:pt>
                <c:pt idx="10">
                  <c:v>956</c:v>
                </c:pt>
                <c:pt idx="11">
                  <c:v>906</c:v>
                </c:pt>
                <c:pt idx="12">
                  <c:v>8</c:v>
                </c:pt>
              </c:numCache>
            </c:numRef>
          </c:val>
        </c:ser>
        <c:ser>
          <c:idx val="2"/>
          <c:order val="2"/>
          <c:tx>
            <c:strRef>
              <c:f>'2.1'!$F$7</c:f>
              <c:strCache>
                <c:ptCount val="1"/>
                <c:pt idx="0">
                  <c:v>Natimuerto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'2.1'!$B$11:$B$23</c:f>
              <c:strCache>
                <c:ptCount val="1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No especificada</c:v>
                </c:pt>
              </c:strCache>
            </c:strRef>
          </c:cat>
          <c:val>
            <c:numRef>
              <c:f>'2.1'!$F$11:$F$23</c:f>
              <c:numCache>
                <c:formatCode>#,##0</c:formatCode>
                <c:ptCount val="13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dLbls/>
        <c:gapWidth val="50"/>
        <c:axId val="76956416"/>
        <c:axId val="76958336"/>
      </c:barChart>
      <c:catAx>
        <c:axId val="7695641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anklin Gothic Demi"/>
                    <a:ea typeface="Franklin Gothic Demi"/>
                    <a:cs typeface="Franklin Gothic Demi"/>
                  </a:defRPr>
                </a:pPr>
                <a:r>
                  <a:rPr lang="es-ES"/>
                  <a:t>Mes </a:t>
                </a:r>
              </a:p>
            </c:rich>
          </c:tx>
          <c:layout>
            <c:manualLayout>
              <c:xMode val="edge"/>
              <c:yMode val="edge"/>
              <c:x val="1.0351966873705997E-2"/>
              <c:y val="0.48712912866089758"/>
            </c:manualLayout>
          </c:layout>
          <c:spPr>
            <a:noFill/>
            <a:ln w="25400">
              <a:noFill/>
            </a:ln>
          </c:spPr>
        </c:title>
        <c:numFmt formatCode="#,##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endParaRPr lang="es-ES"/>
          </a:p>
        </c:txPr>
        <c:crossAx val="76958336"/>
        <c:crosses val="autoZero"/>
        <c:auto val="1"/>
        <c:lblAlgn val="ctr"/>
        <c:lblOffset val="100"/>
        <c:tickLblSkip val="1"/>
        <c:tickMarkSkip val="1"/>
      </c:catAx>
      <c:valAx>
        <c:axId val="76958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anklin Gothic Demi"/>
                    <a:ea typeface="Franklin Gothic Demi"/>
                    <a:cs typeface="Franklin Gothic Demi"/>
                  </a:defRPr>
                </a:pPr>
                <a:r>
                  <a:rPr lang="es-ES"/>
                  <a:t>Defunciones</a:t>
                </a:r>
              </a:p>
            </c:rich>
          </c:tx>
          <c:layout>
            <c:manualLayout>
              <c:xMode val="edge"/>
              <c:yMode val="edge"/>
              <c:x val="0.41822033115425805"/>
              <c:y val="0.91089192068813196"/>
            </c:manualLayout>
          </c:layout>
          <c:spPr>
            <a:noFill/>
            <a:ln w="25400">
              <a:noFill/>
            </a:ln>
          </c:spPr>
        </c:title>
        <c:numFmt formatCode="#,##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endParaRPr lang="es-ES"/>
          </a:p>
        </c:txPr>
        <c:crossAx val="769564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3437026893377464"/>
          <c:y val="0.46138655440347182"/>
          <c:w val="0.15113893372024151"/>
          <c:h val="0.12079228710272599"/>
        </c:manualLayout>
      </c:layout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Franklin Gothic Book"/>
              <a:ea typeface="Franklin Gothic Book"/>
              <a:cs typeface="Franklin Gothic Book"/>
            </a:defRPr>
          </a:pPr>
          <a:endParaRPr lang="es-ES"/>
        </a:p>
      </c:txPr>
    </c:legend>
    <c:plotVisOnly val="1"/>
    <c:dispBlanksAs val="gap"/>
  </c:chart>
  <c:spPr>
    <a:gradFill rotWithShape="0">
      <a:gsLst>
        <a:gs pos="0">
          <a:srgbClr val="FFCC99"/>
        </a:gs>
        <a:gs pos="100000">
          <a:srgbClr val="CCFFCC"/>
        </a:gs>
      </a:gsLst>
      <a:lin ang="2700000" scaled="1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Franklin Gothic Book"/>
          <a:ea typeface="Franklin Gothic Book"/>
          <a:cs typeface="Franklin Gothic Book"/>
        </a:defRPr>
      </a:pPr>
      <a:endParaRPr lang="es-ES"/>
    </a:p>
  </c:txPr>
  <c:printSettings>
    <c:headerFooter alignWithMargins="0"/>
    <c:pageMargins b="1" l="0.75000000000000022" r="0.75000000000000022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800" b="0" i="0" strike="noStrike">
                <a:solidFill>
                  <a:srgbClr val="000000"/>
                </a:solidFill>
                <a:latin typeface="Franklin Gothic Demi"/>
              </a:rPr>
              <a:t>Gráfico 3.1</a:t>
            </a:r>
            <a:endParaRPr lang="es-ES" sz="800" b="0" i="0" strike="noStrike">
              <a:solidFill>
                <a:srgbClr val="000000"/>
              </a:solidFill>
              <a:latin typeface="Franklin Gothic Book"/>
            </a:endParaRP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800" b="0" i="0" strike="noStrike">
                <a:solidFill>
                  <a:srgbClr val="000000"/>
                </a:solidFill>
                <a:latin typeface="Franklin Gothic Book"/>
              </a:rPr>
              <a:t>República Dominicana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800" b="0" i="0" strike="noStrike">
                <a:solidFill>
                  <a:srgbClr val="000000"/>
                </a:solidFill>
                <a:latin typeface="Franklin Gothic Book"/>
              </a:rPr>
              <a:t>Matrimonios registrados, según mes, 2010</a:t>
            </a:r>
          </a:p>
        </c:rich>
      </c:tx>
      <c:layout>
        <c:manualLayout>
          <c:xMode val="edge"/>
          <c:yMode val="edge"/>
          <c:x val="0.28008775708288125"/>
          <c:y val="1.096491228070175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3413591755837745"/>
          <c:y val="0.15789507498773941"/>
          <c:w val="0.70021956652972694"/>
          <c:h val="0.7127208245974350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99CC00"/>
            </a:solidFill>
            <a:ln w="25400">
              <a:noFill/>
            </a:ln>
          </c:spPr>
          <c:cat>
            <c:strRef>
              <c:f>'3.1'!$B$11:$B$22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'3.1'!$C$11:$C$22</c:f>
              <c:numCache>
                <c:formatCode>#,##0</c:formatCode>
                <c:ptCount val="12"/>
                <c:pt idx="0">
                  <c:v>3687</c:v>
                </c:pt>
                <c:pt idx="1">
                  <c:v>3478</c:v>
                </c:pt>
                <c:pt idx="2">
                  <c:v>3965</c:v>
                </c:pt>
                <c:pt idx="3">
                  <c:v>3422</c:v>
                </c:pt>
                <c:pt idx="4">
                  <c:v>3050</c:v>
                </c:pt>
                <c:pt idx="5">
                  <c:v>3125</c:v>
                </c:pt>
                <c:pt idx="6">
                  <c:v>3711</c:v>
                </c:pt>
                <c:pt idx="7">
                  <c:v>3378</c:v>
                </c:pt>
                <c:pt idx="8">
                  <c:v>3095</c:v>
                </c:pt>
                <c:pt idx="9">
                  <c:v>3252</c:v>
                </c:pt>
                <c:pt idx="10">
                  <c:v>3870</c:v>
                </c:pt>
                <c:pt idx="11">
                  <c:v>5764</c:v>
                </c:pt>
              </c:numCache>
            </c:numRef>
          </c:val>
        </c:ser>
        <c:dLbls/>
        <c:gapWidth val="40"/>
        <c:axId val="82825600"/>
        <c:axId val="82827520"/>
      </c:barChart>
      <c:catAx>
        <c:axId val="82825600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anklin Gothic Demi"/>
                    <a:ea typeface="Franklin Gothic Demi"/>
                    <a:cs typeface="Franklin Gothic Demi"/>
                  </a:defRPr>
                </a:pPr>
                <a:r>
                  <a:rPr lang="es-ES"/>
                  <a:t>Mes de matrimonio</a:t>
                </a:r>
              </a:p>
            </c:rich>
          </c:tx>
          <c:layout>
            <c:manualLayout>
              <c:xMode val="edge"/>
              <c:yMode val="edge"/>
              <c:x val="3.2822757111597385E-2"/>
              <c:y val="0.40570267532347942"/>
            </c:manualLayout>
          </c:layout>
          <c:spPr>
            <a:noFill/>
            <a:ln w="25400">
              <a:noFill/>
            </a:ln>
          </c:spPr>
        </c:title>
        <c:numFmt formatCode="#,##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endParaRPr lang="es-ES"/>
          </a:p>
        </c:txPr>
        <c:crossAx val="82827520"/>
        <c:crosses val="autoZero"/>
        <c:auto val="1"/>
        <c:lblAlgn val="ctr"/>
        <c:lblOffset val="100"/>
        <c:tickLblSkip val="1"/>
        <c:tickMarkSkip val="1"/>
      </c:catAx>
      <c:valAx>
        <c:axId val="82827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anklin Gothic Demi"/>
                    <a:ea typeface="Franklin Gothic Demi"/>
                    <a:cs typeface="Franklin Gothic Demi"/>
                  </a:defRPr>
                </a:pPr>
                <a:r>
                  <a:rPr lang="es-ES"/>
                  <a:t>Matrimonios</a:t>
                </a:r>
              </a:p>
            </c:rich>
          </c:tx>
          <c:layout>
            <c:manualLayout>
              <c:xMode val="edge"/>
              <c:yMode val="edge"/>
              <c:x val="0.48796544852024787"/>
              <c:y val="0.93640558088133696"/>
            </c:manualLayout>
          </c:layout>
          <c:spPr>
            <a:noFill/>
            <a:ln w="25400">
              <a:noFill/>
            </a:ln>
          </c:spPr>
        </c:title>
        <c:numFmt formatCode="#,##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endParaRPr lang="es-ES"/>
          </a:p>
        </c:txPr>
        <c:crossAx val="828256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CCFFCC"/>
        </a:gs>
        <a:gs pos="100000">
          <a:srgbClr val="FFCC99"/>
        </a:gs>
      </a:gsLst>
      <a:path path="rect">
        <a:fillToRect l="100000" t="100000"/>
      </a:path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Franklin Gothic Book"/>
          <a:ea typeface="Franklin Gothic Book"/>
          <a:cs typeface="Franklin Gothic Book"/>
        </a:defRPr>
      </a:pPr>
      <a:endParaRPr lang="es-ES"/>
    </a:p>
  </c:txPr>
  <c:printSettings>
    <c:headerFooter alignWithMargins="0"/>
    <c:pageMargins b="1" l="0.75000000000000022" r="0.75000000000000022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900" b="0" i="0" strike="noStrike">
                <a:solidFill>
                  <a:srgbClr val="000000"/>
                </a:solidFill>
                <a:latin typeface="Franklin Gothic Demi"/>
              </a:rPr>
              <a:t>Gráfico 3.4</a:t>
            </a:r>
            <a:endParaRPr lang="es-ES" sz="900" b="0" i="0" strike="noStrike">
              <a:solidFill>
                <a:srgbClr val="000000"/>
              </a:solidFill>
              <a:latin typeface="Franklin Gothic Book"/>
            </a:endParaRPr>
          </a:p>
          <a:p>
            <a:pPr>
              <a:defRPr sz="9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900" b="0" i="0" strike="noStrike">
                <a:solidFill>
                  <a:srgbClr val="000000"/>
                </a:solidFill>
                <a:latin typeface="Franklin Gothic Book"/>
              </a:rPr>
              <a:t>República Dominicana</a:t>
            </a:r>
          </a:p>
          <a:p>
            <a:pPr>
              <a:defRPr sz="9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900" b="0" i="0" strike="noStrike">
                <a:solidFill>
                  <a:srgbClr val="000000"/>
                </a:solidFill>
                <a:latin typeface="Franklin Gothic Book"/>
              </a:rPr>
              <a:t>Matrimonios registrados, según tipo de matrimonio, 2010</a:t>
            </a:r>
          </a:p>
        </c:rich>
      </c:tx>
      <c:layout>
        <c:manualLayout>
          <c:xMode val="edge"/>
          <c:yMode val="edge"/>
          <c:x val="0.15432123067949846"/>
          <c:y val="1.4619883040935677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8750042385620996"/>
          <c:y val="0.28947451078933334"/>
          <c:w val="0.747686875377232"/>
          <c:h val="0.50000142772702982"/>
        </c:manualLayout>
      </c:layout>
      <c:barChart>
        <c:barDir val="col"/>
        <c:grouping val="clustered"/>
        <c:ser>
          <c:idx val="0"/>
          <c:order val="0"/>
          <c:spPr>
            <a:solidFill>
              <a:srgbClr val="339966"/>
            </a:solidFill>
            <a:ln w="25400">
              <a:noFill/>
            </a:ln>
          </c:spPr>
          <c:dLbls>
            <c:showVal val="1"/>
          </c:dLbls>
          <c:cat>
            <c:strRef>
              <c:f>'3.4'!$B$10:$B$11</c:f>
              <c:strCache>
                <c:ptCount val="2"/>
                <c:pt idx="0">
                  <c:v>Civil</c:v>
                </c:pt>
                <c:pt idx="1">
                  <c:v>Canónico</c:v>
                </c:pt>
              </c:strCache>
            </c:strRef>
          </c:cat>
          <c:val>
            <c:numRef>
              <c:f>'3.4'!$C$10:$C$11</c:f>
              <c:numCache>
                <c:formatCode>#,##0</c:formatCode>
                <c:ptCount val="2"/>
                <c:pt idx="0">
                  <c:v>39993</c:v>
                </c:pt>
                <c:pt idx="1">
                  <c:v>3804</c:v>
                </c:pt>
              </c:numCache>
            </c:numRef>
          </c:val>
        </c:ser>
        <c:dLbls/>
        <c:axId val="84335616"/>
        <c:axId val="85484672"/>
      </c:barChart>
      <c:catAx>
        <c:axId val="84335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Franklin Gothic Demi"/>
                    <a:ea typeface="Franklin Gothic Demi"/>
                    <a:cs typeface="Franklin Gothic Demi"/>
                  </a:defRPr>
                </a:pPr>
                <a:r>
                  <a:rPr lang="es-ES"/>
                  <a:t>Tipo de matrimonio</a:t>
                </a:r>
              </a:p>
            </c:rich>
          </c:tx>
          <c:layout>
            <c:manualLayout>
              <c:xMode val="edge"/>
              <c:yMode val="edge"/>
              <c:x val="0.39351949061922836"/>
              <c:y val="0.88596736811407351"/>
            </c:manualLayout>
          </c:layout>
          <c:spPr>
            <a:noFill/>
            <a:ln w="25400">
              <a:noFill/>
            </a:ln>
          </c:spPr>
        </c:title>
        <c:numFmt formatCode="#,##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endParaRPr lang="es-ES"/>
          </a:p>
        </c:txPr>
        <c:crossAx val="85484672"/>
        <c:crosses val="autoZero"/>
        <c:auto val="1"/>
        <c:lblAlgn val="ctr"/>
        <c:lblOffset val="100"/>
        <c:tickLblSkip val="1"/>
        <c:tickMarkSkip val="1"/>
      </c:catAx>
      <c:valAx>
        <c:axId val="85484672"/>
        <c:scaling>
          <c:orientation val="minMax"/>
        </c:scaling>
        <c:axPos val="l"/>
        <c:numFmt formatCode="#,##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endParaRPr lang="es-ES"/>
          </a:p>
        </c:txPr>
        <c:crossAx val="843356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CCFFCC"/>
        </a:gs>
        <a:gs pos="100000">
          <a:srgbClr val="FFCC99"/>
        </a:gs>
      </a:gsLst>
      <a:path path="rect">
        <a:fillToRect l="50000" t="50000" r="50000" b="50000"/>
      </a:path>
    </a:gradFill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Franklin Gothic Book"/>
          <a:ea typeface="Franklin Gothic Book"/>
          <a:cs typeface="Franklin Gothic Book"/>
        </a:defRPr>
      </a:pPr>
      <a:endParaRPr lang="es-ES"/>
    </a:p>
  </c:txPr>
  <c:printSettings>
    <c:headerFooter alignWithMargins="0"/>
    <c:pageMargins b="1" l="0.75000000000000022" r="0.75000000000000022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800" b="0" i="0" strike="noStrike">
                <a:solidFill>
                  <a:srgbClr val="000000"/>
                </a:solidFill>
                <a:latin typeface="Franklin Gothic Demi"/>
              </a:rPr>
              <a:t>Gráfico 4.1</a:t>
            </a:r>
            <a:endParaRPr lang="es-ES" sz="800" b="0" i="0" strike="noStrike">
              <a:solidFill>
                <a:srgbClr val="000000"/>
              </a:solidFill>
              <a:latin typeface="Franklin Gothic Book"/>
            </a:endParaRP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800" b="0" i="0" strike="noStrike">
                <a:solidFill>
                  <a:srgbClr val="000000"/>
                </a:solidFill>
                <a:latin typeface="Franklin Gothic Book"/>
              </a:rPr>
              <a:t>República Dominicana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800" b="0" i="0" strike="noStrike">
                <a:solidFill>
                  <a:srgbClr val="000000"/>
                </a:solidFill>
                <a:latin typeface="Franklin Gothic Book"/>
              </a:rPr>
              <a:t>Divorcios registrados, según mes, 2010</a:t>
            </a:r>
          </a:p>
        </c:rich>
      </c:tx>
      <c:layout>
        <c:manualLayout>
          <c:xMode val="edge"/>
          <c:yMode val="edge"/>
          <c:x val="0.25260471347331576"/>
          <c:y val="1.1600928074245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6822984881044731"/>
          <c:y val="0.15777262180974477"/>
          <c:w val="0.64323080248718933"/>
          <c:h val="0.70069605568445503"/>
        </c:manualLayout>
      </c:layout>
      <c:barChart>
        <c:barDir val="bar"/>
        <c:grouping val="clustered"/>
        <c:ser>
          <c:idx val="0"/>
          <c:order val="0"/>
          <c:tx>
            <c:strRef>
              <c:f>'4.1'!$C$6</c:f>
              <c:strCache>
                <c:ptCount val="1"/>
                <c:pt idx="0">
                  <c:v>Divorcios</c:v>
                </c:pt>
              </c:strCache>
            </c:strRef>
          </c:tx>
          <c:spPr>
            <a:solidFill>
              <a:srgbClr val="339966"/>
            </a:solidFill>
            <a:ln w="25400">
              <a:noFill/>
            </a:ln>
          </c:spPr>
          <c:cat>
            <c:strRef>
              <c:f>'4.1'!$B$10:$B$21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'4.1'!$C$10:$C$21</c:f>
              <c:numCache>
                <c:formatCode>#,##0</c:formatCode>
                <c:ptCount val="12"/>
                <c:pt idx="0">
                  <c:v>1254</c:v>
                </c:pt>
                <c:pt idx="1">
                  <c:v>1325</c:v>
                </c:pt>
                <c:pt idx="2">
                  <c:v>1452</c:v>
                </c:pt>
                <c:pt idx="3">
                  <c:v>1407</c:v>
                </c:pt>
                <c:pt idx="4">
                  <c:v>1406</c:v>
                </c:pt>
                <c:pt idx="5">
                  <c:v>1500</c:v>
                </c:pt>
                <c:pt idx="6">
                  <c:v>1623</c:v>
                </c:pt>
                <c:pt idx="7">
                  <c:v>1661</c:v>
                </c:pt>
                <c:pt idx="8">
                  <c:v>1528</c:v>
                </c:pt>
                <c:pt idx="9">
                  <c:v>1493</c:v>
                </c:pt>
                <c:pt idx="10">
                  <c:v>1593</c:v>
                </c:pt>
                <c:pt idx="11">
                  <c:v>1432</c:v>
                </c:pt>
              </c:numCache>
            </c:numRef>
          </c:val>
        </c:ser>
        <c:dLbls/>
        <c:axId val="82909440"/>
        <c:axId val="82964864"/>
      </c:barChart>
      <c:catAx>
        <c:axId val="82909440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anklin Gothic Demi"/>
                    <a:ea typeface="Franklin Gothic Demi"/>
                    <a:cs typeface="Franklin Gothic Demi"/>
                  </a:defRPr>
                </a:pPr>
                <a:r>
                  <a:rPr lang="es-ES"/>
                  <a:t>Mes de registro</a:t>
                </a:r>
              </a:p>
            </c:rich>
          </c:tx>
          <c:layout>
            <c:manualLayout>
              <c:xMode val="edge"/>
              <c:yMode val="edge"/>
              <c:x val="2.8645833333333332E-2"/>
              <c:y val="0.41531322505800478"/>
            </c:manualLayout>
          </c:layout>
          <c:spPr>
            <a:noFill/>
            <a:ln w="25400">
              <a:noFill/>
            </a:ln>
          </c:spPr>
        </c:title>
        <c:numFmt formatCode="#,##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endParaRPr lang="es-ES"/>
          </a:p>
        </c:txPr>
        <c:crossAx val="82964864"/>
        <c:crosses val="autoZero"/>
        <c:auto val="1"/>
        <c:lblAlgn val="ctr"/>
        <c:lblOffset val="100"/>
        <c:tickLblSkip val="1"/>
        <c:tickMarkSkip val="1"/>
      </c:catAx>
      <c:valAx>
        <c:axId val="82964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anklin Gothic Demi"/>
                    <a:ea typeface="Franklin Gothic Demi"/>
                    <a:cs typeface="Franklin Gothic Demi"/>
                  </a:defRPr>
                </a:pPr>
                <a:r>
                  <a:rPr lang="es-ES"/>
                  <a:t>Divorcios</a:t>
                </a:r>
              </a:p>
            </c:rich>
          </c:tx>
          <c:layout>
            <c:manualLayout>
              <c:xMode val="edge"/>
              <c:yMode val="edge"/>
              <c:x val="0.50000136701662279"/>
              <c:y val="0.93271461716937398"/>
            </c:manualLayout>
          </c:layout>
          <c:spPr>
            <a:noFill/>
            <a:ln w="25400">
              <a:noFill/>
            </a:ln>
          </c:spPr>
        </c:title>
        <c:numFmt formatCode="#,##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endParaRPr lang="es-ES"/>
          </a:p>
        </c:txPr>
        <c:crossAx val="82909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FFCC99"/>
        </a:gs>
        <a:gs pos="100000">
          <a:srgbClr val="CCFFCC"/>
        </a:gs>
      </a:gsLst>
      <a:lin ang="5400000" scaled="1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Franklin Gothic Book"/>
          <a:ea typeface="Franklin Gothic Book"/>
          <a:cs typeface="Franklin Gothic Book"/>
        </a:defRPr>
      </a:pPr>
      <a:endParaRPr lang="es-ES"/>
    </a:p>
  </c:txPr>
  <c:printSettings>
    <c:headerFooter alignWithMargins="0"/>
    <c:pageMargins b="1" l="0.75000000000000022" r="0.75000000000000022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800" b="0" i="0" strike="noStrike">
                <a:solidFill>
                  <a:srgbClr val="000000"/>
                </a:solidFill>
                <a:latin typeface="Franklin Gothic Demi"/>
              </a:rPr>
              <a:t>Gráfico 4.5</a:t>
            </a:r>
            <a:endParaRPr lang="es-ES" sz="800" b="0" i="0" strike="noStrike">
              <a:solidFill>
                <a:srgbClr val="000000"/>
              </a:solidFill>
              <a:latin typeface="Franklin Gothic Book"/>
            </a:endParaRP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800" b="0" i="0" strike="noStrike">
                <a:solidFill>
                  <a:srgbClr val="000000"/>
                </a:solidFill>
                <a:latin typeface="Franklin Gothic Book"/>
              </a:rPr>
              <a:t>República Dominicana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r>
              <a:rPr lang="es-ES" sz="800" b="0" i="0" strike="noStrike">
                <a:solidFill>
                  <a:srgbClr val="000000"/>
                </a:solidFill>
                <a:latin typeface="Franklin Gothic Book"/>
              </a:rPr>
              <a:t>Divorcios registrados, según causa de divorcio, 2010</a:t>
            </a:r>
          </a:p>
        </c:rich>
      </c:tx>
      <c:layout>
        <c:manualLayout>
          <c:xMode val="edge"/>
          <c:yMode val="edge"/>
          <c:x val="0.21777824438611845"/>
          <c:y val="3.71747211895910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333362268581306"/>
          <c:y val="0.28252788104089244"/>
          <c:w val="0.83555736883109533"/>
          <c:h val="0.44609665427509293"/>
        </c:manualLayout>
      </c:layout>
      <c:barChart>
        <c:barDir val="col"/>
        <c:grouping val="clustered"/>
        <c:ser>
          <c:idx val="0"/>
          <c:order val="0"/>
          <c:spPr>
            <a:solidFill>
              <a:srgbClr val="008000"/>
            </a:solidFill>
            <a:ln w="25400">
              <a:noFill/>
            </a:ln>
          </c:spPr>
          <c:cat>
            <c:strRef>
              <c:f>'4.4'!$B$10:$B$11</c:f>
              <c:strCache>
                <c:ptCount val="2"/>
                <c:pt idx="0">
                  <c:v>Incompatibilidad de caracteres</c:v>
                </c:pt>
                <c:pt idx="1">
                  <c:v>Mutuo consentimiento</c:v>
                </c:pt>
              </c:strCache>
            </c:strRef>
          </c:cat>
          <c:val>
            <c:numRef>
              <c:f>'4.4'!$C$10:$C$11</c:f>
              <c:numCache>
                <c:formatCode>#,##0</c:formatCode>
                <c:ptCount val="2"/>
                <c:pt idx="0">
                  <c:v>7507</c:v>
                </c:pt>
                <c:pt idx="1">
                  <c:v>10167</c:v>
                </c:pt>
              </c:numCache>
            </c:numRef>
          </c:val>
        </c:ser>
        <c:dLbls/>
        <c:axId val="86201472"/>
        <c:axId val="86203392"/>
      </c:barChart>
      <c:catAx>
        <c:axId val="86201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Franklin Gothic Demi"/>
                    <a:ea typeface="Franklin Gothic Demi"/>
                    <a:cs typeface="Franklin Gothic Demi"/>
                  </a:defRPr>
                </a:pPr>
                <a:r>
                  <a:rPr lang="es-ES"/>
                  <a:t>Divorcios</a:t>
                </a:r>
              </a:p>
            </c:rich>
          </c:tx>
          <c:layout>
            <c:manualLayout>
              <c:xMode val="edge"/>
              <c:yMode val="edge"/>
              <c:x val="1.7778944298629341E-2"/>
              <c:y val="0.17719950433705081"/>
            </c:manualLayout>
          </c:layout>
          <c:spPr>
            <a:noFill/>
            <a:ln w="25400">
              <a:noFill/>
            </a:ln>
          </c:spPr>
        </c:title>
        <c:numFmt formatCode="#,##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endParaRPr lang="es-ES"/>
          </a:p>
        </c:txPr>
        <c:crossAx val="86203392"/>
        <c:crosses val="autoZero"/>
        <c:auto val="1"/>
        <c:lblAlgn val="ctr"/>
        <c:lblOffset val="100"/>
        <c:tickLblSkip val="1"/>
        <c:tickMarkSkip val="1"/>
      </c:catAx>
      <c:valAx>
        <c:axId val="86203392"/>
        <c:scaling>
          <c:orientation val="minMax"/>
        </c:scaling>
        <c:axPos val="l"/>
        <c:numFmt formatCode="#,##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Franklin Gothic Book"/>
                <a:ea typeface="Franklin Gothic Book"/>
                <a:cs typeface="Franklin Gothic Book"/>
              </a:defRPr>
            </a:pPr>
            <a:endParaRPr lang="es-ES"/>
          </a:p>
        </c:txPr>
        <c:crossAx val="862014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gradFill rotWithShape="0">
      <a:gsLst>
        <a:gs pos="0">
          <a:srgbClr val="FFCC99"/>
        </a:gs>
        <a:gs pos="50000">
          <a:srgbClr val="CCFFCC"/>
        </a:gs>
        <a:gs pos="100000">
          <a:srgbClr val="FFCC99"/>
        </a:gs>
      </a:gsLst>
      <a:lin ang="5400000" scaled="1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Franklin Gothic Book"/>
          <a:ea typeface="Franklin Gothic Book"/>
          <a:cs typeface="Franklin Gothic Book"/>
        </a:defRPr>
      </a:pPr>
      <a:endParaRPr lang="es-ES"/>
    </a:p>
  </c:txPr>
  <c:printSettings>
    <c:headerFooter alignWithMargins="0"/>
    <c:pageMargins b="1" l="0.75000000000000022" r="0.75000000000000022" t="1" header="0" footer="0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uadros de nacimiento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.png"/><Relationship Id="rId1" Type="http://schemas.openxmlformats.org/officeDocument/2006/relationships/hyperlink" Target="../../../Local%20Settings/Temporary%20Internet%20Files/Content.Outlook/Configuraci&#243;n%20local/Archivos%20temporales%20de%20Internet/Content.Outlook/Local%20Settings/Application%20Data/Application%20Data/Application%20Data/Datos%20de%20programa/bellaniris.hilario/Application%20Data/Microsoft/Excel/ESTADISTICASVITALES20012005RD/ESTADISTICASVITALES20012005/Indice/INDICE.htm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Cuadros de nacimiento'!A1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Cuadros de nacimiento'!A1"/><Relationship Id="rId6" Type="http://schemas.openxmlformats.org/officeDocument/2006/relationships/image" Target="../media/image3.jpeg"/><Relationship Id="rId5" Type="http://schemas.openxmlformats.org/officeDocument/2006/relationships/hyperlink" Target="#'Cuadros de nacimiento'!A1"/><Relationship Id="rId4" Type="http://schemas.openxmlformats.org/officeDocument/2006/relationships/image" Target="../media/image5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.png"/><Relationship Id="rId1" Type="http://schemas.openxmlformats.org/officeDocument/2006/relationships/hyperlink" Target="#'Cuadros de nacimiento'!A1"/><Relationship Id="rId4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Cuadros de nacimiento'!A1"/><Relationship Id="rId4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Cuadros de nacimiento'!A1"/><Relationship Id="rId4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Cuadros de nacimiento'!A1"/><Relationship Id="rId4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Cuadros de nacimiento'!A1"/><Relationship Id="rId4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5.emf"/><Relationship Id="rId1" Type="http://schemas.openxmlformats.org/officeDocument/2006/relationships/image" Target="../media/image4.png"/><Relationship Id="rId5" Type="http://schemas.openxmlformats.org/officeDocument/2006/relationships/image" Target="../media/image1.png"/><Relationship Id="rId4" Type="http://schemas.openxmlformats.org/officeDocument/2006/relationships/hyperlink" Target="#'Cuadros de nacimiento'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Cuadros de nacimiento'!A1"/><Relationship Id="rId4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Cuadros de nacimiento'!A1"/><Relationship Id="rId4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.png"/><Relationship Id="rId1" Type="http://schemas.openxmlformats.org/officeDocument/2006/relationships/hyperlink" Target="#'Cuadros de nacimiento'!A1"/><Relationship Id="rId4" Type="http://schemas.openxmlformats.org/officeDocument/2006/relationships/hyperlink" Target="#'Cuadros de nacimiento'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.png"/><Relationship Id="rId1" Type="http://schemas.openxmlformats.org/officeDocument/2006/relationships/hyperlink" Target="#'Cuadros de nacimiento'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Cuadros de nacimiento'!A1"/><Relationship Id="rId5" Type="http://schemas.openxmlformats.org/officeDocument/2006/relationships/image" Target="../media/image3.jpeg"/><Relationship Id="rId4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Cuadros de nacimiento'!A1"/><Relationship Id="rId4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Cuadros de nacimiento'!A1"/><Relationship Id="rId4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'Cuadros de nacimiento'!A1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chart" Target="../charts/chart2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Cuadros de defunciones'!A1"/><Relationship Id="rId1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Cuadros de defunciones'!A1"/><Relationship Id="rId1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Cuadros de defunciones'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Cuadros de defunciones'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Cuadros de defunciones'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Cuadros de defunciones'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Cuadros de defunciones'!A1"/><Relationship Id="rId4" Type="http://schemas.openxmlformats.org/officeDocument/2006/relationships/hyperlink" Target="#'Cuadros de defunciones'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Cuadros de defunciones'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Cuadros de defunciones'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Indice!A1"/><Relationship Id="rId1" Type="http://schemas.openxmlformats.org/officeDocument/2006/relationships/chart" Target="../charts/chart3.xml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Indice!A1"/><Relationship Id="rId4" Type="http://schemas.openxmlformats.org/officeDocument/2006/relationships/image" Target="../media/image5.emf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Indice!A1"/><Relationship Id="rId4" Type="http://schemas.openxmlformats.org/officeDocument/2006/relationships/image" Target="../media/image5.emf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Indice!A1"/><Relationship Id="rId1" Type="http://schemas.openxmlformats.org/officeDocument/2006/relationships/chart" Target="../charts/chart4.xml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Indice!A1"/><Relationship Id="rId4" Type="http://schemas.openxmlformats.org/officeDocument/2006/relationships/image" Target="../media/image5.emf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.png"/><Relationship Id="rId1" Type="http://schemas.openxmlformats.org/officeDocument/2006/relationships/hyperlink" Target="#Indice!A1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Cuadros de divorcios'!A1"/><Relationship Id="rId1" Type="http://schemas.openxmlformats.org/officeDocument/2006/relationships/image" Target="../media/image4.png"/><Relationship Id="rId5" Type="http://schemas.openxmlformats.org/officeDocument/2006/relationships/chart" Target="../charts/chart5.xml"/><Relationship Id="rId4" Type="http://schemas.openxmlformats.org/officeDocument/2006/relationships/image" Target="../media/image5.emf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Cuadros de divorcios'!A1"/><Relationship Id="rId1" Type="http://schemas.openxmlformats.org/officeDocument/2006/relationships/image" Target="../media/image4.png"/><Relationship Id="rId4" Type="http://schemas.openxmlformats.org/officeDocument/2006/relationships/image" Target="../media/image5.emf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Cuadros de divorcios'!A1"/><Relationship Id="rId1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5.emf"/><Relationship Id="rId1" Type="http://schemas.openxmlformats.org/officeDocument/2006/relationships/image" Target="../media/image4.png"/><Relationship Id="rId5" Type="http://schemas.openxmlformats.org/officeDocument/2006/relationships/image" Target="../media/image1.png"/><Relationship Id="rId4" Type="http://schemas.openxmlformats.org/officeDocument/2006/relationships/hyperlink" Target="#'Cuadros de divorcios'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Cuadros de divorcios'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Cuadros de divorcios'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Cuadros de divorcios'!A1"/><Relationship Id="rId4" Type="http://schemas.openxmlformats.org/officeDocument/2006/relationships/image" Target="../media/image5.emf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Cuadros de divorcio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0</xdr:row>
      <xdr:rowOff>152400</xdr:rowOff>
    </xdr:from>
    <xdr:to>
      <xdr:col>9</xdr:col>
      <xdr:colOff>19050</xdr:colOff>
      <xdr:row>2</xdr:row>
      <xdr:rowOff>133350</xdr:rowOff>
    </xdr:to>
    <xdr:sp macro="" textlink="">
      <xdr:nvSpPr>
        <xdr:cNvPr id="3078" name="Text Box 6"/>
        <xdr:cNvSpPr txBox="1">
          <a:spLocks noChangeArrowheads="1" noChangeShapeType="1"/>
        </xdr:cNvSpPr>
      </xdr:nvSpPr>
      <xdr:spPr bwMode="auto">
        <a:xfrm>
          <a:off x="2190750" y="152400"/>
          <a:ext cx="4686300" cy="304800"/>
        </a:xfrm>
        <a:prstGeom prst="rect">
          <a:avLst/>
        </a:prstGeom>
        <a:solidFill>
          <a:srgbClr val="000000">
            <a:alpha val="33000"/>
          </a:srgbClr>
        </a:solidFill>
        <a:ln w="38100" algn="ctr">
          <a:solidFill>
            <a:srgbClr val="003399"/>
          </a:solidFill>
          <a:miter lim="800000"/>
          <a:headEnd/>
          <a:tailEnd/>
        </a:ln>
        <a:effectLst/>
      </xdr:spPr>
      <xdr:txBody>
        <a:bodyPr vertOverflow="clip" wrap="square" lIns="36195" tIns="36195" rIns="36195" bIns="36195" anchor="t" upright="1"/>
        <a:lstStyle/>
        <a:p>
          <a:pPr algn="l" rtl="0">
            <a:defRPr sz="1000"/>
          </a:pPr>
          <a:r>
            <a:rPr lang="es-ES" sz="1400" b="0" i="1" strike="noStrike">
              <a:solidFill>
                <a:srgbClr val="FFFFFF"/>
              </a:solidFill>
              <a:latin typeface="Franklin Gothic Demi"/>
            </a:rPr>
            <a:t>Oficina Nacional de Estadística</a:t>
          </a:r>
        </a:p>
      </xdr:txBody>
    </xdr:sp>
    <xdr:clientData/>
  </xdr:twoCellAnchor>
  <xdr:twoCellAnchor>
    <xdr:from>
      <xdr:col>2</xdr:col>
      <xdr:colOff>371475</xdr:colOff>
      <xdr:row>3</xdr:row>
      <xdr:rowOff>0</xdr:rowOff>
    </xdr:from>
    <xdr:to>
      <xdr:col>9</xdr:col>
      <xdr:colOff>19050</xdr:colOff>
      <xdr:row>4</xdr:row>
      <xdr:rowOff>152400</xdr:rowOff>
    </xdr:to>
    <xdr:sp macro="" textlink="">
      <xdr:nvSpPr>
        <xdr:cNvPr id="3077" name="Text Box 5"/>
        <xdr:cNvSpPr txBox="1">
          <a:spLocks noChangeArrowheads="1" noChangeShapeType="1"/>
        </xdr:cNvSpPr>
      </xdr:nvSpPr>
      <xdr:spPr bwMode="auto">
        <a:xfrm>
          <a:off x="1895475" y="485775"/>
          <a:ext cx="4981575" cy="314325"/>
        </a:xfrm>
        <a:prstGeom prst="rect">
          <a:avLst/>
        </a:prstGeom>
        <a:solidFill>
          <a:srgbClr val="000000">
            <a:alpha val="35001"/>
          </a:srgbClr>
        </a:solidFill>
        <a:ln w="38100" algn="ctr">
          <a:solidFill>
            <a:srgbClr val="003399"/>
          </a:solidFill>
          <a:miter lim="800000"/>
          <a:headEnd/>
          <a:tailEnd/>
        </a:ln>
        <a:effectLst/>
      </xdr:spPr>
      <xdr:txBody>
        <a:bodyPr vertOverflow="clip" wrap="square" lIns="36195" tIns="36195" rIns="36195" bIns="36195" anchor="t" upright="1"/>
        <a:lstStyle/>
        <a:p>
          <a:pPr algn="l" rtl="0">
            <a:defRPr sz="1000"/>
          </a:pPr>
          <a:r>
            <a:rPr lang="es-ES" sz="1400" b="0" i="1" strike="noStrike">
              <a:solidFill>
                <a:srgbClr val="FFFFFF"/>
              </a:solidFill>
              <a:latin typeface="Franklin Gothic Demi"/>
            </a:rPr>
            <a:t>República Dominicana: Estadísticas Vitales. 2010</a:t>
          </a:r>
        </a:p>
      </xdr:txBody>
    </xdr:sp>
    <xdr:clientData/>
  </xdr:twoCellAnchor>
  <xdr:twoCellAnchor>
    <xdr:from>
      <xdr:col>0</xdr:col>
      <xdr:colOff>19050</xdr:colOff>
      <xdr:row>51</xdr:row>
      <xdr:rowOff>0</xdr:rowOff>
    </xdr:from>
    <xdr:to>
      <xdr:col>9</xdr:col>
      <xdr:colOff>219075</xdr:colOff>
      <xdr:row>51</xdr:row>
      <xdr:rowOff>0</xdr:rowOff>
    </xdr:to>
    <xdr:sp macro="" textlink="">
      <xdr:nvSpPr>
        <xdr:cNvPr id="3971" name="Line 4"/>
        <xdr:cNvSpPr>
          <a:spLocks noChangeShapeType="1"/>
        </xdr:cNvSpPr>
      </xdr:nvSpPr>
      <xdr:spPr bwMode="auto">
        <a:xfrm>
          <a:off x="19050" y="10668000"/>
          <a:ext cx="7058025" cy="0"/>
        </a:xfrm>
        <a:prstGeom prst="line">
          <a:avLst/>
        </a:prstGeom>
        <a:noFill/>
        <a:ln w="12700" algn="ctr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104775</xdr:colOff>
      <xdr:row>5</xdr:row>
      <xdr:rowOff>114300</xdr:rowOff>
    </xdr:from>
    <xdr:to>
      <xdr:col>2</xdr:col>
      <xdr:colOff>38100</xdr:colOff>
      <xdr:row>8</xdr:row>
      <xdr:rowOff>9525</xdr:rowOff>
    </xdr:to>
    <xdr:sp macro="" textlink="">
      <xdr:nvSpPr>
        <xdr:cNvPr id="3074" name="Text Box 2"/>
        <xdr:cNvSpPr txBox="1">
          <a:spLocks noChangeArrowheads="1"/>
        </xdr:cNvSpPr>
      </xdr:nvSpPr>
      <xdr:spPr bwMode="auto">
        <a:xfrm>
          <a:off x="104775" y="923925"/>
          <a:ext cx="1457325" cy="381000"/>
        </a:xfrm>
        <a:prstGeom prst="rect">
          <a:avLst/>
        </a:prstGeom>
        <a:solidFill>
          <a:srgbClr val="000000">
            <a:alpha val="12000"/>
          </a:srgbClr>
        </a:solidFill>
        <a:ln w="38100" algn="ctr">
          <a:solidFill>
            <a:srgbClr val="003399"/>
          </a:solidFill>
          <a:miter lim="800000"/>
          <a:headEnd/>
          <a:tailEnd/>
        </a:ln>
        <a:effectLst/>
      </xdr:spPr>
      <xdr:txBody>
        <a:bodyPr vertOverflow="clip" wrap="square" lIns="36576" tIns="36576" rIns="36576" bIns="36576" anchor="t" upright="1"/>
        <a:lstStyle/>
        <a:p>
          <a:pPr algn="l" rtl="0">
            <a:defRPr sz="1000"/>
          </a:pPr>
          <a:r>
            <a:rPr lang="es-ES" sz="2000" b="0" i="1" strike="noStrike">
              <a:solidFill>
                <a:srgbClr val="000000"/>
              </a:solidFill>
              <a:latin typeface="Franklin Gothic Demi"/>
            </a:rPr>
            <a:t>Índice</a:t>
          </a:r>
        </a:p>
      </xdr:txBody>
    </xdr:sp>
    <xdr:clientData/>
  </xdr:twoCellAnchor>
  <xdr:twoCellAnchor>
    <xdr:from>
      <xdr:col>8</xdr:col>
      <xdr:colOff>495300</xdr:colOff>
      <xdr:row>48</xdr:row>
      <xdr:rowOff>104775</xdr:rowOff>
    </xdr:from>
    <xdr:to>
      <xdr:col>9</xdr:col>
      <xdr:colOff>9525</xdr:colOff>
      <xdr:row>50</xdr:row>
      <xdr:rowOff>66675</xdr:rowOff>
    </xdr:to>
    <xdr:pic>
      <xdr:nvPicPr>
        <xdr:cNvPr id="3973" name="Picture 8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591300" y="10287000"/>
          <a:ext cx="2762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0</xdr:row>
      <xdr:rowOff>0</xdr:rowOff>
    </xdr:from>
    <xdr:to>
      <xdr:col>9</xdr:col>
      <xdr:colOff>123825</xdr:colOff>
      <xdr:row>0</xdr:row>
      <xdr:rowOff>0</xdr:rowOff>
    </xdr:to>
    <xdr:pic>
      <xdr:nvPicPr>
        <xdr:cNvPr id="8492" name="Picture 2" descr="Contents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811250" y="0"/>
          <a:ext cx="352425" cy="0"/>
        </a:xfrm>
        <a:prstGeom prst="rect">
          <a:avLst/>
        </a:prstGeom>
        <a:solidFill>
          <a:srgbClr val="000080"/>
        </a:solidFill>
        <a:ln w="9525" algn="ctr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276225</xdr:colOff>
      <xdr:row>0</xdr:row>
      <xdr:rowOff>19050</xdr:rowOff>
    </xdr:from>
    <xdr:to>
      <xdr:col>0</xdr:col>
      <xdr:colOff>552450</xdr:colOff>
      <xdr:row>1</xdr:row>
      <xdr:rowOff>38100</xdr:rowOff>
    </xdr:to>
    <xdr:pic>
      <xdr:nvPicPr>
        <xdr:cNvPr id="8493" name="Picture 3" descr="image007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19050"/>
          <a:ext cx="2762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8</xdr:col>
      <xdr:colOff>390525</xdr:colOff>
      <xdr:row>0</xdr:row>
      <xdr:rowOff>0</xdr:rowOff>
    </xdr:to>
    <xdr:pic>
      <xdr:nvPicPr>
        <xdr:cNvPr id="8193" name="Object 1"/>
        <xdr:cNvPicPr preferRelativeResize="0">
          <a:picLocks noRot="1"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753350" y="0"/>
          <a:ext cx="5915025" cy="0"/>
        </a:xfrm>
        <a:prstGeom prst="rect">
          <a:avLst/>
        </a:prstGeom>
        <a:noFill/>
        <a:ln>
          <a:noFill/>
        </a:ln>
        <a:effectLst/>
        <a:extLst>
          <a:ext uri="{91240B29-F687-4F45-9708-019B960494DF}">
            <a14:hiddenLine xmlns:a14="http://schemas.microsoft.com/office/drawing/2010/main" xmlns="" w="9525" algn="in">
              <a:noFill/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0</xdr:col>
      <xdr:colOff>457200</xdr:colOff>
      <xdr:row>2</xdr:row>
      <xdr:rowOff>114300</xdr:rowOff>
    </xdr:to>
    <xdr:pic>
      <xdr:nvPicPr>
        <xdr:cNvPr id="200130" name="Picture 2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875" y="95250"/>
          <a:ext cx="31432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1323975</xdr:colOff>
      <xdr:row>189</xdr:row>
      <xdr:rowOff>19050</xdr:rowOff>
    </xdr:from>
    <xdr:to>
      <xdr:col>1</xdr:col>
      <xdr:colOff>1504950</xdr:colOff>
      <xdr:row>190</xdr:row>
      <xdr:rowOff>9525</xdr:rowOff>
    </xdr:to>
    <xdr:pic>
      <xdr:nvPicPr>
        <xdr:cNvPr id="200131" name="Picture 4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28736925"/>
          <a:ext cx="19050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866775</xdr:colOff>
      <xdr:row>0</xdr:row>
      <xdr:rowOff>142875</xdr:rowOff>
    </xdr:from>
    <xdr:to>
      <xdr:col>1</xdr:col>
      <xdr:colOff>1504950</xdr:colOff>
      <xdr:row>2</xdr:row>
      <xdr:rowOff>123825</xdr:rowOff>
    </xdr:to>
    <xdr:pic>
      <xdr:nvPicPr>
        <xdr:cNvPr id="200132" name="Picture 5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90800" y="142875"/>
          <a:ext cx="638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0</xdr:rowOff>
    </xdr:from>
    <xdr:to>
      <xdr:col>0</xdr:col>
      <xdr:colOff>428625</xdr:colOff>
      <xdr:row>0</xdr:row>
      <xdr:rowOff>0</xdr:rowOff>
    </xdr:to>
    <xdr:pic>
      <xdr:nvPicPr>
        <xdr:cNvPr id="201601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" y="0"/>
          <a:ext cx="2762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123825</xdr:colOff>
      <xdr:row>0</xdr:row>
      <xdr:rowOff>0</xdr:rowOff>
    </xdr:from>
    <xdr:to>
      <xdr:col>11</xdr:col>
      <xdr:colOff>600075</xdr:colOff>
      <xdr:row>0</xdr:row>
      <xdr:rowOff>0</xdr:rowOff>
    </xdr:to>
    <xdr:pic>
      <xdr:nvPicPr>
        <xdr:cNvPr id="201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724650" y="0"/>
          <a:ext cx="476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276225</xdr:colOff>
      <xdr:row>0</xdr:row>
      <xdr:rowOff>0</xdr:rowOff>
    </xdr:from>
    <xdr:to>
      <xdr:col>11</xdr:col>
      <xdr:colOff>638175</xdr:colOff>
      <xdr:row>0</xdr:row>
      <xdr:rowOff>0</xdr:rowOff>
    </xdr:to>
    <xdr:pic>
      <xdr:nvPicPr>
        <xdr:cNvPr id="20160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876925" y="0"/>
          <a:ext cx="13620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200025</xdr:colOff>
      <xdr:row>0</xdr:row>
      <xdr:rowOff>95250</xdr:rowOff>
    </xdr:from>
    <xdr:to>
      <xdr:col>0</xdr:col>
      <xdr:colOff>504825</xdr:colOff>
      <xdr:row>2</xdr:row>
      <xdr:rowOff>104775</xdr:rowOff>
    </xdr:to>
    <xdr:pic>
      <xdr:nvPicPr>
        <xdr:cNvPr id="201604" name="Picture 4" descr="image007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0025" y="95250"/>
          <a:ext cx="304800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485775</xdr:colOff>
      <xdr:row>0</xdr:row>
      <xdr:rowOff>152400</xdr:rowOff>
    </xdr:from>
    <xdr:to>
      <xdr:col>11</xdr:col>
      <xdr:colOff>590550</xdr:colOff>
      <xdr:row>2</xdr:row>
      <xdr:rowOff>114300</xdr:rowOff>
    </xdr:to>
    <xdr:pic>
      <xdr:nvPicPr>
        <xdr:cNvPr id="201605" name="Picture 7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553200" y="152400"/>
          <a:ext cx="638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190500</xdr:colOff>
      <xdr:row>24</xdr:row>
      <xdr:rowOff>142875</xdr:rowOff>
    </xdr:from>
    <xdr:to>
      <xdr:col>11</xdr:col>
      <xdr:colOff>571500</xdr:colOff>
      <xdr:row>25</xdr:row>
      <xdr:rowOff>133350</xdr:rowOff>
    </xdr:to>
    <xdr:pic>
      <xdr:nvPicPr>
        <xdr:cNvPr id="201606" name="Picture 8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267325" y="3648075"/>
          <a:ext cx="19050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76200</xdr:rowOff>
    </xdr:from>
    <xdr:to>
      <xdr:col>0</xdr:col>
      <xdr:colOff>495300</xdr:colOff>
      <xdr:row>2</xdr:row>
      <xdr:rowOff>123825</xdr:rowOff>
    </xdr:to>
    <xdr:pic>
      <xdr:nvPicPr>
        <xdr:cNvPr id="202178" name="Picture 2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" y="76200"/>
          <a:ext cx="3429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95250</xdr:colOff>
      <xdr:row>0</xdr:row>
      <xdr:rowOff>114300</xdr:rowOff>
    </xdr:from>
    <xdr:to>
      <xdr:col>11</xdr:col>
      <xdr:colOff>733425</xdr:colOff>
      <xdr:row>2</xdr:row>
      <xdr:rowOff>95250</xdr:rowOff>
    </xdr:to>
    <xdr:pic>
      <xdr:nvPicPr>
        <xdr:cNvPr id="202179" name="Picture 4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686675" y="114300"/>
          <a:ext cx="638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114300</xdr:colOff>
      <xdr:row>25</xdr:row>
      <xdr:rowOff>152400</xdr:rowOff>
    </xdr:from>
    <xdr:to>
      <xdr:col>11</xdr:col>
      <xdr:colOff>752475</xdr:colOff>
      <xdr:row>26</xdr:row>
      <xdr:rowOff>142875</xdr:rowOff>
    </xdr:to>
    <xdr:pic>
      <xdr:nvPicPr>
        <xdr:cNvPr id="202180" name="Picture 5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38900" y="3857625"/>
          <a:ext cx="19050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85725</xdr:rowOff>
    </xdr:from>
    <xdr:to>
      <xdr:col>0</xdr:col>
      <xdr:colOff>476250</xdr:colOff>
      <xdr:row>2</xdr:row>
      <xdr:rowOff>114300</xdr:rowOff>
    </xdr:to>
    <xdr:pic>
      <xdr:nvPicPr>
        <xdr:cNvPr id="203202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" y="85725"/>
          <a:ext cx="323850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47</xdr:row>
      <xdr:rowOff>142875</xdr:rowOff>
    </xdr:from>
    <xdr:to>
      <xdr:col>3</xdr:col>
      <xdr:colOff>628650</xdr:colOff>
      <xdr:row>48</xdr:row>
      <xdr:rowOff>133350</xdr:rowOff>
    </xdr:to>
    <xdr:pic>
      <xdr:nvPicPr>
        <xdr:cNvPr id="203203" name="Picture 4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43075" y="7239000"/>
          <a:ext cx="19050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57150</xdr:colOff>
      <xdr:row>0</xdr:row>
      <xdr:rowOff>114300</xdr:rowOff>
    </xdr:from>
    <xdr:to>
      <xdr:col>3</xdr:col>
      <xdr:colOff>695325</xdr:colOff>
      <xdr:row>2</xdr:row>
      <xdr:rowOff>95250</xdr:rowOff>
    </xdr:to>
    <xdr:pic>
      <xdr:nvPicPr>
        <xdr:cNvPr id="203204" name="Picture 5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076575" y="114300"/>
          <a:ext cx="638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76200</xdr:rowOff>
    </xdr:from>
    <xdr:to>
      <xdr:col>0</xdr:col>
      <xdr:colOff>495300</xdr:colOff>
      <xdr:row>2</xdr:row>
      <xdr:rowOff>123825</xdr:rowOff>
    </xdr:to>
    <xdr:pic>
      <xdr:nvPicPr>
        <xdr:cNvPr id="204226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" y="76200"/>
          <a:ext cx="34290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400050</xdr:colOff>
      <xdr:row>49</xdr:row>
      <xdr:rowOff>0</xdr:rowOff>
    </xdr:from>
    <xdr:to>
      <xdr:col>3</xdr:col>
      <xdr:colOff>704850</xdr:colOff>
      <xdr:row>49</xdr:row>
      <xdr:rowOff>152400</xdr:rowOff>
    </xdr:to>
    <xdr:pic>
      <xdr:nvPicPr>
        <xdr:cNvPr id="204227" name="Picture 4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57400" y="7400925"/>
          <a:ext cx="19050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0</xdr:row>
      <xdr:rowOff>152400</xdr:rowOff>
    </xdr:from>
    <xdr:to>
      <xdr:col>3</xdr:col>
      <xdr:colOff>714375</xdr:colOff>
      <xdr:row>2</xdr:row>
      <xdr:rowOff>114300</xdr:rowOff>
    </xdr:to>
    <xdr:pic>
      <xdr:nvPicPr>
        <xdr:cNvPr id="204228" name="Picture 5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333750" y="152400"/>
          <a:ext cx="638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66675</xdr:rowOff>
    </xdr:from>
    <xdr:to>
      <xdr:col>0</xdr:col>
      <xdr:colOff>495300</xdr:colOff>
      <xdr:row>2</xdr:row>
      <xdr:rowOff>95250</xdr:rowOff>
    </xdr:to>
    <xdr:pic>
      <xdr:nvPicPr>
        <xdr:cNvPr id="205250" name="Picture 2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1450" y="66675"/>
          <a:ext cx="32385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666750</xdr:colOff>
      <xdr:row>50</xdr:row>
      <xdr:rowOff>9525</xdr:rowOff>
    </xdr:from>
    <xdr:to>
      <xdr:col>3</xdr:col>
      <xdr:colOff>790575</xdr:colOff>
      <xdr:row>51</xdr:row>
      <xdr:rowOff>0</xdr:rowOff>
    </xdr:to>
    <xdr:pic>
      <xdr:nvPicPr>
        <xdr:cNvPr id="205251" name="Picture 4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476500" y="7572375"/>
          <a:ext cx="19050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190500</xdr:colOff>
      <xdr:row>0</xdr:row>
      <xdr:rowOff>104775</xdr:rowOff>
    </xdr:from>
    <xdr:to>
      <xdr:col>3</xdr:col>
      <xdr:colOff>828675</xdr:colOff>
      <xdr:row>2</xdr:row>
      <xdr:rowOff>66675</xdr:rowOff>
    </xdr:to>
    <xdr:pic>
      <xdr:nvPicPr>
        <xdr:cNvPr id="205252" name="Picture 5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81425" y="104775"/>
          <a:ext cx="638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66675</xdr:rowOff>
    </xdr:from>
    <xdr:to>
      <xdr:col>0</xdr:col>
      <xdr:colOff>495300</xdr:colOff>
      <xdr:row>2</xdr:row>
      <xdr:rowOff>95250</xdr:rowOff>
    </xdr:to>
    <xdr:pic>
      <xdr:nvPicPr>
        <xdr:cNvPr id="868509" name="Picture 2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1450" y="66675"/>
          <a:ext cx="32385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666750</xdr:colOff>
      <xdr:row>49</xdr:row>
      <xdr:rowOff>9525</xdr:rowOff>
    </xdr:from>
    <xdr:to>
      <xdr:col>3</xdr:col>
      <xdr:colOff>504825</xdr:colOff>
      <xdr:row>50</xdr:row>
      <xdr:rowOff>0</xdr:rowOff>
    </xdr:to>
    <xdr:pic>
      <xdr:nvPicPr>
        <xdr:cNvPr id="868510" name="Picture 4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476500" y="7410450"/>
          <a:ext cx="161925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190500</xdr:colOff>
      <xdr:row>0</xdr:row>
      <xdr:rowOff>104775</xdr:rowOff>
    </xdr:from>
    <xdr:to>
      <xdr:col>3</xdr:col>
      <xdr:colOff>762000</xdr:colOff>
      <xdr:row>2</xdr:row>
      <xdr:rowOff>66675</xdr:rowOff>
    </xdr:to>
    <xdr:pic>
      <xdr:nvPicPr>
        <xdr:cNvPr id="868511" name="Picture 5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81425" y="104775"/>
          <a:ext cx="57150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781050</xdr:colOff>
      <xdr:row>1</xdr:row>
      <xdr:rowOff>28575</xdr:rowOff>
    </xdr:from>
    <xdr:to>
      <xdr:col>2</xdr:col>
      <xdr:colOff>28575</xdr:colOff>
      <xdr:row>2</xdr:row>
      <xdr:rowOff>57150</xdr:rowOff>
    </xdr:to>
    <xdr:pic>
      <xdr:nvPicPr>
        <xdr:cNvPr id="261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24125" y="190500"/>
          <a:ext cx="5905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276225</xdr:colOff>
      <xdr:row>40</xdr:row>
      <xdr:rowOff>28575</xdr:rowOff>
    </xdr:from>
    <xdr:to>
      <xdr:col>2</xdr:col>
      <xdr:colOff>352425</xdr:colOff>
      <xdr:row>40</xdr:row>
      <xdr:rowOff>142875</xdr:rowOff>
    </xdr:to>
    <xdr:pic>
      <xdr:nvPicPr>
        <xdr:cNvPr id="261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19300" y="6057900"/>
          <a:ext cx="1419225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18</xdr:row>
      <xdr:rowOff>152400</xdr:rowOff>
    </xdr:from>
    <xdr:to>
      <xdr:col>2</xdr:col>
      <xdr:colOff>304800</xdr:colOff>
      <xdr:row>37</xdr:row>
      <xdr:rowOff>133350</xdr:rowOff>
    </xdr:to>
    <xdr:graphicFrame macro="">
      <xdr:nvGraphicFramePr>
        <xdr:cNvPr id="26171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0</xdr:row>
      <xdr:rowOff>142875</xdr:rowOff>
    </xdr:from>
    <xdr:to>
      <xdr:col>0</xdr:col>
      <xdr:colOff>428625</xdr:colOff>
      <xdr:row>2</xdr:row>
      <xdr:rowOff>104775</xdr:rowOff>
    </xdr:to>
    <xdr:pic>
      <xdr:nvPicPr>
        <xdr:cNvPr id="261720" name="Picture 4" descr="image007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" y="142875"/>
          <a:ext cx="2762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57150</xdr:rowOff>
    </xdr:from>
    <xdr:to>
      <xdr:col>0</xdr:col>
      <xdr:colOff>523875</xdr:colOff>
      <xdr:row>2</xdr:row>
      <xdr:rowOff>95250</xdr:rowOff>
    </xdr:to>
    <xdr:pic>
      <xdr:nvPicPr>
        <xdr:cNvPr id="209346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0" y="57150"/>
          <a:ext cx="333375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361950</xdr:colOff>
      <xdr:row>49</xdr:row>
      <xdr:rowOff>142875</xdr:rowOff>
    </xdr:from>
    <xdr:to>
      <xdr:col>4</xdr:col>
      <xdr:colOff>638175</xdr:colOff>
      <xdr:row>50</xdr:row>
      <xdr:rowOff>133350</xdr:rowOff>
    </xdr:to>
    <xdr:pic>
      <xdr:nvPicPr>
        <xdr:cNvPr id="209347" name="Picture 4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724150" y="7562850"/>
          <a:ext cx="19050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133350</xdr:colOff>
      <xdr:row>1</xdr:row>
      <xdr:rowOff>0</xdr:rowOff>
    </xdr:from>
    <xdr:to>
      <xdr:col>4</xdr:col>
      <xdr:colOff>771525</xdr:colOff>
      <xdr:row>2</xdr:row>
      <xdr:rowOff>123825</xdr:rowOff>
    </xdr:to>
    <xdr:pic>
      <xdr:nvPicPr>
        <xdr:cNvPr id="209348" name="Picture 5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4325" y="142875"/>
          <a:ext cx="638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85725</xdr:rowOff>
    </xdr:from>
    <xdr:to>
      <xdr:col>0</xdr:col>
      <xdr:colOff>514350</xdr:colOff>
      <xdr:row>2</xdr:row>
      <xdr:rowOff>114300</xdr:rowOff>
    </xdr:to>
    <xdr:pic>
      <xdr:nvPicPr>
        <xdr:cNvPr id="210371" name="Picture 2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0" y="85725"/>
          <a:ext cx="323850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2114550</xdr:colOff>
      <xdr:row>449</xdr:row>
      <xdr:rowOff>9525</xdr:rowOff>
    </xdr:from>
    <xdr:to>
      <xdr:col>2</xdr:col>
      <xdr:colOff>152400</xdr:colOff>
      <xdr:row>450</xdr:row>
      <xdr:rowOff>0</xdr:rowOff>
    </xdr:to>
    <xdr:pic>
      <xdr:nvPicPr>
        <xdr:cNvPr id="210372" name="Picture 5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4550" y="65151000"/>
          <a:ext cx="19050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1066800</xdr:colOff>
      <xdr:row>0</xdr:row>
      <xdr:rowOff>123825</xdr:rowOff>
    </xdr:from>
    <xdr:to>
      <xdr:col>2</xdr:col>
      <xdr:colOff>133350</xdr:colOff>
      <xdr:row>2</xdr:row>
      <xdr:rowOff>104775</xdr:rowOff>
    </xdr:to>
    <xdr:pic>
      <xdr:nvPicPr>
        <xdr:cNvPr id="210373" name="Picture 6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362325" y="123825"/>
          <a:ext cx="638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95250</xdr:rowOff>
    </xdr:from>
    <xdr:to>
      <xdr:col>0</xdr:col>
      <xdr:colOff>485775</xdr:colOff>
      <xdr:row>2</xdr:row>
      <xdr:rowOff>114300</xdr:rowOff>
    </xdr:to>
    <xdr:pic>
      <xdr:nvPicPr>
        <xdr:cNvPr id="2" name="Picture 2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1450" y="95250"/>
          <a:ext cx="31432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790575</xdr:colOff>
      <xdr:row>0</xdr:row>
      <xdr:rowOff>114300</xdr:rowOff>
    </xdr:from>
    <xdr:to>
      <xdr:col>2</xdr:col>
      <xdr:colOff>1314450</xdr:colOff>
      <xdr:row>2</xdr:row>
      <xdr:rowOff>76200</xdr:rowOff>
    </xdr:to>
    <xdr:pic>
      <xdr:nvPicPr>
        <xdr:cNvPr id="3" name="Picture 5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790825" y="114300"/>
          <a:ext cx="5238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66675</xdr:colOff>
      <xdr:row>0</xdr:row>
      <xdr:rowOff>114300</xdr:rowOff>
    </xdr:from>
    <xdr:to>
      <xdr:col>1</xdr:col>
      <xdr:colOff>219075</xdr:colOff>
      <xdr:row>2</xdr:row>
      <xdr:rowOff>76200</xdr:rowOff>
    </xdr:to>
    <xdr:pic>
      <xdr:nvPicPr>
        <xdr:cNvPr id="4" name="Picture 2" descr="image007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675" y="114300"/>
          <a:ext cx="31432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95250</xdr:rowOff>
    </xdr:from>
    <xdr:to>
      <xdr:col>0</xdr:col>
      <xdr:colOff>523875</xdr:colOff>
      <xdr:row>2</xdr:row>
      <xdr:rowOff>123825</xdr:rowOff>
    </xdr:to>
    <xdr:pic>
      <xdr:nvPicPr>
        <xdr:cNvPr id="212271" name="Picture 3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0975" y="95250"/>
          <a:ext cx="3429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657225</xdr:colOff>
      <xdr:row>0</xdr:row>
      <xdr:rowOff>142875</xdr:rowOff>
    </xdr:from>
    <xdr:to>
      <xdr:col>1</xdr:col>
      <xdr:colOff>1295400</xdr:colOff>
      <xdr:row>2</xdr:row>
      <xdr:rowOff>104775</xdr:rowOff>
    </xdr:to>
    <xdr:pic>
      <xdr:nvPicPr>
        <xdr:cNvPr id="212272" name="Picture 5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267075" y="142875"/>
          <a:ext cx="638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133350</xdr:rowOff>
    </xdr:from>
    <xdr:to>
      <xdr:col>0</xdr:col>
      <xdr:colOff>447675</xdr:colOff>
      <xdr:row>2</xdr:row>
      <xdr:rowOff>114300</xdr:rowOff>
    </xdr:to>
    <xdr:pic>
      <xdr:nvPicPr>
        <xdr:cNvPr id="213590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1450" y="133350"/>
          <a:ext cx="2762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0</xdr:colOff>
      <xdr:row>0</xdr:row>
      <xdr:rowOff>152400</xdr:rowOff>
    </xdr:from>
    <xdr:to>
      <xdr:col>7</xdr:col>
      <xdr:colOff>0</xdr:colOff>
      <xdr:row>2</xdr:row>
      <xdr:rowOff>47625</xdr:rowOff>
    </xdr:to>
    <xdr:pic>
      <xdr:nvPicPr>
        <xdr:cNvPr id="213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619750" y="142875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133350</xdr:colOff>
      <xdr:row>25</xdr:row>
      <xdr:rowOff>152400</xdr:rowOff>
    </xdr:from>
    <xdr:to>
      <xdr:col>6</xdr:col>
      <xdr:colOff>628650</xdr:colOff>
      <xdr:row>26</xdr:row>
      <xdr:rowOff>142875</xdr:rowOff>
    </xdr:to>
    <xdr:pic>
      <xdr:nvPicPr>
        <xdr:cNvPr id="213592" name="Picture 4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619500" y="3933825"/>
          <a:ext cx="19050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752475</xdr:colOff>
      <xdr:row>1</xdr:row>
      <xdr:rowOff>28575</xdr:rowOff>
    </xdr:from>
    <xdr:to>
      <xdr:col>6</xdr:col>
      <xdr:colOff>628650</xdr:colOff>
      <xdr:row>3</xdr:row>
      <xdr:rowOff>9525</xdr:rowOff>
    </xdr:to>
    <xdr:pic>
      <xdr:nvPicPr>
        <xdr:cNvPr id="213593" name="Picture 5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886325" y="171450"/>
          <a:ext cx="638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76200</xdr:rowOff>
    </xdr:from>
    <xdr:to>
      <xdr:col>0</xdr:col>
      <xdr:colOff>514350</xdr:colOff>
      <xdr:row>2</xdr:row>
      <xdr:rowOff>104775</xdr:rowOff>
    </xdr:to>
    <xdr:pic>
      <xdr:nvPicPr>
        <xdr:cNvPr id="214466" name="Picture 2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0" y="76200"/>
          <a:ext cx="323850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323850</xdr:colOff>
      <xdr:row>24</xdr:row>
      <xdr:rowOff>152400</xdr:rowOff>
    </xdr:from>
    <xdr:to>
      <xdr:col>6</xdr:col>
      <xdr:colOff>704850</xdr:colOff>
      <xdr:row>25</xdr:row>
      <xdr:rowOff>142875</xdr:rowOff>
    </xdr:to>
    <xdr:pic>
      <xdr:nvPicPr>
        <xdr:cNvPr id="214467" name="Picture 4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162425" y="3590925"/>
          <a:ext cx="19050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152400</xdr:colOff>
      <xdr:row>0</xdr:row>
      <xdr:rowOff>114300</xdr:rowOff>
    </xdr:from>
    <xdr:to>
      <xdr:col>6</xdr:col>
      <xdr:colOff>790575</xdr:colOff>
      <xdr:row>2</xdr:row>
      <xdr:rowOff>95250</xdr:rowOff>
    </xdr:to>
    <xdr:pic>
      <xdr:nvPicPr>
        <xdr:cNvPr id="214468" name="Picture 5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514975" y="114300"/>
          <a:ext cx="638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104775</xdr:rowOff>
    </xdr:from>
    <xdr:to>
      <xdr:col>0</xdr:col>
      <xdr:colOff>504825</xdr:colOff>
      <xdr:row>2</xdr:row>
      <xdr:rowOff>123825</xdr:rowOff>
    </xdr:to>
    <xdr:pic>
      <xdr:nvPicPr>
        <xdr:cNvPr id="217538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0" y="104775"/>
          <a:ext cx="314325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400050</xdr:colOff>
      <xdr:row>417</xdr:row>
      <xdr:rowOff>152400</xdr:rowOff>
    </xdr:from>
    <xdr:to>
      <xdr:col>10</xdr:col>
      <xdr:colOff>638175</xdr:colOff>
      <xdr:row>418</xdr:row>
      <xdr:rowOff>142875</xdr:rowOff>
    </xdr:to>
    <xdr:pic>
      <xdr:nvPicPr>
        <xdr:cNvPr id="217539" name="Picture 4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200650" y="60940950"/>
          <a:ext cx="19050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485775</xdr:colOff>
      <xdr:row>0</xdr:row>
      <xdr:rowOff>152400</xdr:rowOff>
    </xdr:from>
    <xdr:to>
      <xdr:col>10</xdr:col>
      <xdr:colOff>552450</xdr:colOff>
      <xdr:row>2</xdr:row>
      <xdr:rowOff>114300</xdr:rowOff>
    </xdr:to>
    <xdr:pic>
      <xdr:nvPicPr>
        <xdr:cNvPr id="217540" name="Picture 5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381750" y="152400"/>
          <a:ext cx="638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304800</xdr:colOff>
      <xdr:row>62</xdr:row>
      <xdr:rowOff>0</xdr:rowOff>
    </xdr:from>
    <xdr:to>
      <xdr:col>9</xdr:col>
      <xdr:colOff>685800</xdr:colOff>
      <xdr:row>62</xdr:row>
      <xdr:rowOff>152400</xdr:rowOff>
    </xdr:to>
    <xdr:pic>
      <xdr:nvPicPr>
        <xdr:cNvPr id="257473" name="Picture 1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34050" y="8058150"/>
          <a:ext cx="19050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38100</xdr:colOff>
      <xdr:row>1</xdr:row>
      <xdr:rowOff>0</xdr:rowOff>
    </xdr:from>
    <xdr:to>
      <xdr:col>9</xdr:col>
      <xdr:colOff>676275</xdr:colOff>
      <xdr:row>2</xdr:row>
      <xdr:rowOff>123825</xdr:rowOff>
    </xdr:to>
    <xdr:pic>
      <xdr:nvPicPr>
        <xdr:cNvPr id="257474" name="Picture 2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991350" y="142875"/>
          <a:ext cx="638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542925</xdr:colOff>
      <xdr:row>0</xdr:row>
      <xdr:rowOff>114300</xdr:rowOff>
    </xdr:from>
    <xdr:to>
      <xdr:col>0</xdr:col>
      <xdr:colOff>866775</xdr:colOff>
      <xdr:row>2</xdr:row>
      <xdr:rowOff>104775</xdr:rowOff>
    </xdr:to>
    <xdr:pic>
      <xdr:nvPicPr>
        <xdr:cNvPr id="257475" name="Picture 3" descr="image007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42925" y="114300"/>
          <a:ext cx="3238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0</xdr:row>
      <xdr:rowOff>47625</xdr:rowOff>
    </xdr:from>
    <xdr:to>
      <xdr:col>0</xdr:col>
      <xdr:colOff>619125</xdr:colOff>
      <xdr:row>1</xdr:row>
      <xdr:rowOff>66675</xdr:rowOff>
    </xdr:to>
    <xdr:pic>
      <xdr:nvPicPr>
        <xdr:cNvPr id="260246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2900" y="47625"/>
          <a:ext cx="2762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27</xdr:row>
      <xdr:rowOff>152400</xdr:rowOff>
    </xdr:from>
    <xdr:to>
      <xdr:col>5</xdr:col>
      <xdr:colOff>657225</xdr:colOff>
      <xdr:row>57</xdr:row>
      <xdr:rowOff>104775</xdr:rowOff>
    </xdr:to>
    <xdr:graphicFrame macro="">
      <xdr:nvGraphicFramePr>
        <xdr:cNvPr id="2184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352425</xdr:colOff>
      <xdr:row>60</xdr:row>
      <xdr:rowOff>28575</xdr:rowOff>
    </xdr:from>
    <xdr:to>
      <xdr:col>5</xdr:col>
      <xdr:colOff>419100</xdr:colOff>
      <xdr:row>60</xdr:row>
      <xdr:rowOff>142875</xdr:rowOff>
    </xdr:to>
    <xdr:pic>
      <xdr:nvPicPr>
        <xdr:cNvPr id="218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62350" y="9210675"/>
          <a:ext cx="1590675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1</xdr:row>
      <xdr:rowOff>47625</xdr:rowOff>
    </xdr:from>
    <xdr:to>
      <xdr:col>4</xdr:col>
      <xdr:colOff>733425</xdr:colOff>
      <xdr:row>2</xdr:row>
      <xdr:rowOff>85725</xdr:rowOff>
    </xdr:to>
    <xdr:pic>
      <xdr:nvPicPr>
        <xdr:cNvPr id="51733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0" y="209550"/>
          <a:ext cx="457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1</xdr:row>
      <xdr:rowOff>28575</xdr:rowOff>
    </xdr:from>
    <xdr:to>
      <xdr:col>0</xdr:col>
      <xdr:colOff>266700</xdr:colOff>
      <xdr:row>2</xdr:row>
      <xdr:rowOff>104775</xdr:rowOff>
    </xdr:to>
    <xdr:pic>
      <xdr:nvPicPr>
        <xdr:cNvPr id="517336" name="Picture 2" descr="image007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90500"/>
          <a:ext cx="2571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35</xdr:row>
      <xdr:rowOff>28575</xdr:rowOff>
    </xdr:from>
    <xdr:to>
      <xdr:col>2</xdr:col>
      <xdr:colOff>1476375</xdr:colOff>
      <xdr:row>35</xdr:row>
      <xdr:rowOff>142875</xdr:rowOff>
    </xdr:to>
    <xdr:pic>
      <xdr:nvPicPr>
        <xdr:cNvPr id="221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14575" y="5276850"/>
          <a:ext cx="1285875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133350</xdr:colOff>
      <xdr:row>1</xdr:row>
      <xdr:rowOff>0</xdr:rowOff>
    </xdr:from>
    <xdr:to>
      <xdr:col>1</xdr:col>
      <xdr:colOff>409575</xdr:colOff>
      <xdr:row>3</xdr:row>
      <xdr:rowOff>0</xdr:rowOff>
    </xdr:to>
    <xdr:pic>
      <xdr:nvPicPr>
        <xdr:cNvPr id="221633" name="Picture 2" descr="image007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3350" y="161925"/>
          <a:ext cx="2762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1085850</xdr:colOff>
      <xdr:row>0</xdr:row>
      <xdr:rowOff>123825</xdr:rowOff>
    </xdr:from>
    <xdr:to>
      <xdr:col>3</xdr:col>
      <xdr:colOff>38100</xdr:colOff>
      <xdr:row>2</xdr:row>
      <xdr:rowOff>38100</xdr:rowOff>
    </xdr:to>
    <xdr:pic>
      <xdr:nvPicPr>
        <xdr:cNvPr id="22163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209925" y="123825"/>
          <a:ext cx="4286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19050</xdr:rowOff>
    </xdr:from>
    <xdr:to>
      <xdr:col>0</xdr:col>
      <xdr:colOff>323850</xdr:colOff>
      <xdr:row>2</xdr:row>
      <xdr:rowOff>95250</xdr:rowOff>
    </xdr:to>
    <xdr:pic>
      <xdr:nvPicPr>
        <xdr:cNvPr id="555211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200" y="180975"/>
          <a:ext cx="2476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342900</xdr:colOff>
      <xdr:row>1</xdr:row>
      <xdr:rowOff>19050</xdr:rowOff>
    </xdr:from>
    <xdr:to>
      <xdr:col>4</xdr:col>
      <xdr:colOff>771525</xdr:colOff>
      <xdr:row>2</xdr:row>
      <xdr:rowOff>95250</xdr:rowOff>
    </xdr:to>
    <xdr:pic>
      <xdr:nvPicPr>
        <xdr:cNvPr id="555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810125" y="180975"/>
          <a:ext cx="4286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0</xdr:rowOff>
    </xdr:from>
    <xdr:to>
      <xdr:col>0</xdr:col>
      <xdr:colOff>323850</xdr:colOff>
      <xdr:row>2</xdr:row>
      <xdr:rowOff>76200</xdr:rowOff>
    </xdr:to>
    <xdr:pic>
      <xdr:nvPicPr>
        <xdr:cNvPr id="594111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200" y="161925"/>
          <a:ext cx="2476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361950</xdr:colOff>
      <xdr:row>1</xdr:row>
      <xdr:rowOff>0</xdr:rowOff>
    </xdr:from>
    <xdr:to>
      <xdr:col>4</xdr:col>
      <xdr:colOff>742950</xdr:colOff>
      <xdr:row>2</xdr:row>
      <xdr:rowOff>57150</xdr:rowOff>
    </xdr:to>
    <xdr:pic>
      <xdr:nvPicPr>
        <xdr:cNvPr id="594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86250" y="161925"/>
          <a:ext cx="3810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152400</xdr:rowOff>
    </xdr:from>
    <xdr:to>
      <xdr:col>0</xdr:col>
      <xdr:colOff>457200</xdr:colOff>
      <xdr:row>2</xdr:row>
      <xdr:rowOff>133350</xdr:rowOff>
    </xdr:to>
    <xdr:pic>
      <xdr:nvPicPr>
        <xdr:cNvPr id="580803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0975" y="152400"/>
          <a:ext cx="27622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333375</xdr:colOff>
      <xdr:row>1</xdr:row>
      <xdr:rowOff>19050</xdr:rowOff>
    </xdr:from>
    <xdr:to>
      <xdr:col>4</xdr:col>
      <xdr:colOff>790575</xdr:colOff>
      <xdr:row>2</xdr:row>
      <xdr:rowOff>38100</xdr:rowOff>
    </xdr:to>
    <xdr:pic>
      <xdr:nvPicPr>
        <xdr:cNvPr id="580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67225" y="180975"/>
          <a:ext cx="457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0</xdr:rowOff>
    </xdr:from>
    <xdr:to>
      <xdr:col>1</xdr:col>
      <xdr:colOff>419100</xdr:colOff>
      <xdr:row>2</xdr:row>
      <xdr:rowOff>95250</xdr:rowOff>
    </xdr:to>
    <xdr:pic>
      <xdr:nvPicPr>
        <xdr:cNvPr id="619703" name="Picture 2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0025" y="161925"/>
          <a:ext cx="3238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361950</xdr:colOff>
      <xdr:row>1</xdr:row>
      <xdr:rowOff>9525</xdr:rowOff>
    </xdr:from>
    <xdr:to>
      <xdr:col>5</xdr:col>
      <xdr:colOff>838200</xdr:colOff>
      <xdr:row>2</xdr:row>
      <xdr:rowOff>66675</xdr:rowOff>
    </xdr:to>
    <xdr:pic>
      <xdr:nvPicPr>
        <xdr:cNvPr id="61970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67225" y="171450"/>
          <a:ext cx="476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0</xdr:rowOff>
    </xdr:from>
    <xdr:to>
      <xdr:col>0</xdr:col>
      <xdr:colOff>419100</xdr:colOff>
      <xdr:row>3</xdr:row>
      <xdr:rowOff>0</xdr:rowOff>
    </xdr:to>
    <xdr:pic>
      <xdr:nvPicPr>
        <xdr:cNvPr id="647429" name="Picture 2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4775" y="171450"/>
          <a:ext cx="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200025</xdr:colOff>
      <xdr:row>1</xdr:row>
      <xdr:rowOff>38100</xdr:rowOff>
    </xdr:from>
    <xdr:to>
      <xdr:col>5</xdr:col>
      <xdr:colOff>723900</xdr:colOff>
      <xdr:row>2</xdr:row>
      <xdr:rowOff>95250</xdr:rowOff>
    </xdr:to>
    <xdr:pic>
      <xdr:nvPicPr>
        <xdr:cNvPr id="64743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105275" y="209550"/>
          <a:ext cx="5238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38100</xdr:colOff>
      <xdr:row>1</xdr:row>
      <xdr:rowOff>9525</xdr:rowOff>
    </xdr:from>
    <xdr:to>
      <xdr:col>1</xdr:col>
      <xdr:colOff>209550</xdr:colOff>
      <xdr:row>3</xdr:row>
      <xdr:rowOff>9525</xdr:rowOff>
    </xdr:to>
    <xdr:pic>
      <xdr:nvPicPr>
        <xdr:cNvPr id="647431" name="Picture 2" descr="image007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100" y="180975"/>
          <a:ext cx="27622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19050</xdr:rowOff>
    </xdr:from>
    <xdr:to>
      <xdr:col>1</xdr:col>
      <xdr:colOff>228600</xdr:colOff>
      <xdr:row>3</xdr:row>
      <xdr:rowOff>19050</xdr:rowOff>
    </xdr:to>
    <xdr:pic>
      <xdr:nvPicPr>
        <xdr:cNvPr id="664745" name="Picture 2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200" y="180975"/>
          <a:ext cx="257175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247650</xdr:colOff>
      <xdr:row>1</xdr:row>
      <xdr:rowOff>9525</xdr:rowOff>
    </xdr:from>
    <xdr:to>
      <xdr:col>15</xdr:col>
      <xdr:colOff>723900</xdr:colOff>
      <xdr:row>2</xdr:row>
      <xdr:rowOff>66675</xdr:rowOff>
    </xdr:to>
    <xdr:pic>
      <xdr:nvPicPr>
        <xdr:cNvPr id="66474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430000" y="171450"/>
          <a:ext cx="47625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133350</xdr:rowOff>
    </xdr:from>
    <xdr:to>
      <xdr:col>1</xdr:col>
      <xdr:colOff>171450</xdr:colOff>
      <xdr:row>2</xdr:row>
      <xdr:rowOff>114300</xdr:rowOff>
    </xdr:to>
    <xdr:pic>
      <xdr:nvPicPr>
        <xdr:cNvPr id="690337" name="Picture 2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133350"/>
          <a:ext cx="27622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381000</xdr:colOff>
      <xdr:row>0</xdr:row>
      <xdr:rowOff>152400</xdr:rowOff>
    </xdr:from>
    <xdr:to>
      <xdr:col>5</xdr:col>
      <xdr:colOff>809625</xdr:colOff>
      <xdr:row>2</xdr:row>
      <xdr:rowOff>47625</xdr:rowOff>
    </xdr:to>
    <xdr:pic>
      <xdr:nvPicPr>
        <xdr:cNvPr id="6903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886200" y="152400"/>
          <a:ext cx="4286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0</xdr:row>
      <xdr:rowOff>9525</xdr:rowOff>
    </xdr:from>
    <xdr:to>
      <xdr:col>0</xdr:col>
      <xdr:colOff>723900</xdr:colOff>
      <xdr:row>1</xdr:row>
      <xdr:rowOff>28575</xdr:rowOff>
    </xdr:to>
    <xdr:pic>
      <xdr:nvPicPr>
        <xdr:cNvPr id="197782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47675" y="9525"/>
          <a:ext cx="2762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27</xdr:row>
      <xdr:rowOff>0</xdr:rowOff>
    </xdr:from>
    <xdr:to>
      <xdr:col>3</xdr:col>
      <xdr:colOff>381000</xdr:colOff>
      <xdr:row>53</xdr:row>
      <xdr:rowOff>133350</xdr:rowOff>
    </xdr:to>
    <xdr:graphicFrame macro="">
      <xdr:nvGraphicFramePr>
        <xdr:cNvPr id="23099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180975</xdr:colOff>
      <xdr:row>1</xdr:row>
      <xdr:rowOff>9525</xdr:rowOff>
    </xdr:from>
    <xdr:to>
      <xdr:col>1</xdr:col>
      <xdr:colOff>457200</xdr:colOff>
      <xdr:row>2</xdr:row>
      <xdr:rowOff>123825</xdr:rowOff>
    </xdr:to>
    <xdr:pic>
      <xdr:nvPicPr>
        <xdr:cNvPr id="230998" name="Picture 2" descr="image007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42975" y="171450"/>
          <a:ext cx="27622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1114425</xdr:colOff>
      <xdr:row>1</xdr:row>
      <xdr:rowOff>38100</xdr:rowOff>
    </xdr:from>
    <xdr:to>
      <xdr:col>3</xdr:col>
      <xdr:colOff>19050</xdr:colOff>
      <xdr:row>2</xdr:row>
      <xdr:rowOff>76200</xdr:rowOff>
    </xdr:to>
    <xdr:pic>
      <xdr:nvPicPr>
        <xdr:cNvPr id="23099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962400" y="200025"/>
          <a:ext cx="476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971550</xdr:colOff>
      <xdr:row>55</xdr:row>
      <xdr:rowOff>152400</xdr:rowOff>
    </xdr:from>
    <xdr:to>
      <xdr:col>3</xdr:col>
      <xdr:colOff>733425</xdr:colOff>
      <xdr:row>56</xdr:row>
      <xdr:rowOff>133350</xdr:rowOff>
    </xdr:to>
    <xdr:pic>
      <xdr:nvPicPr>
        <xdr:cNvPr id="23100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819525" y="8467725"/>
          <a:ext cx="133350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28575</xdr:rowOff>
    </xdr:from>
    <xdr:to>
      <xdr:col>0</xdr:col>
      <xdr:colOff>428625</xdr:colOff>
      <xdr:row>3</xdr:row>
      <xdr:rowOff>19050</xdr:rowOff>
    </xdr:to>
    <xdr:pic>
      <xdr:nvPicPr>
        <xdr:cNvPr id="232896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28650" y="190500"/>
          <a:ext cx="2762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828675</xdr:colOff>
      <xdr:row>0</xdr:row>
      <xdr:rowOff>114299</xdr:rowOff>
    </xdr:from>
    <xdr:to>
      <xdr:col>2</xdr:col>
      <xdr:colOff>0</xdr:colOff>
      <xdr:row>2</xdr:row>
      <xdr:rowOff>0</xdr:rowOff>
    </xdr:to>
    <xdr:pic>
      <xdr:nvPicPr>
        <xdr:cNvPr id="232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762250" y="114299"/>
          <a:ext cx="476250" cy="1905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238125</xdr:colOff>
      <xdr:row>48</xdr:row>
      <xdr:rowOff>9525</xdr:rowOff>
    </xdr:from>
    <xdr:to>
      <xdr:col>1</xdr:col>
      <xdr:colOff>1571625</xdr:colOff>
      <xdr:row>48</xdr:row>
      <xdr:rowOff>123825</xdr:rowOff>
    </xdr:to>
    <xdr:pic>
      <xdr:nvPicPr>
        <xdr:cNvPr id="23289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886075" y="7267575"/>
          <a:ext cx="13335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28575</xdr:rowOff>
    </xdr:from>
    <xdr:to>
      <xdr:col>0</xdr:col>
      <xdr:colOff>466725</xdr:colOff>
      <xdr:row>3</xdr:row>
      <xdr:rowOff>28575</xdr:rowOff>
    </xdr:to>
    <xdr:pic>
      <xdr:nvPicPr>
        <xdr:cNvPr id="233920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0" y="190500"/>
          <a:ext cx="2762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314325</xdr:colOff>
      <xdr:row>1</xdr:row>
      <xdr:rowOff>9525</xdr:rowOff>
    </xdr:from>
    <xdr:to>
      <xdr:col>10</xdr:col>
      <xdr:colOff>790575</xdr:colOff>
      <xdr:row>2</xdr:row>
      <xdr:rowOff>66675</xdr:rowOff>
    </xdr:to>
    <xdr:pic>
      <xdr:nvPicPr>
        <xdr:cNvPr id="233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353425" y="171450"/>
          <a:ext cx="4762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190500</xdr:colOff>
      <xdr:row>26</xdr:row>
      <xdr:rowOff>19050</xdr:rowOff>
    </xdr:from>
    <xdr:to>
      <xdr:col>10</xdr:col>
      <xdr:colOff>790575</xdr:colOff>
      <xdr:row>26</xdr:row>
      <xdr:rowOff>133350</xdr:rowOff>
    </xdr:to>
    <xdr:pic>
      <xdr:nvPicPr>
        <xdr:cNvPr id="23392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496175" y="3905250"/>
          <a:ext cx="13335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17</xdr:row>
      <xdr:rowOff>19050</xdr:rowOff>
    </xdr:from>
    <xdr:to>
      <xdr:col>3</xdr:col>
      <xdr:colOff>904875</xdr:colOff>
      <xdr:row>37</xdr:row>
      <xdr:rowOff>38100</xdr:rowOff>
    </xdr:to>
    <xdr:graphicFrame macro="">
      <xdr:nvGraphicFramePr>
        <xdr:cNvPr id="2350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142875</xdr:colOff>
      <xdr:row>1</xdr:row>
      <xdr:rowOff>28575</xdr:rowOff>
    </xdr:from>
    <xdr:to>
      <xdr:col>1</xdr:col>
      <xdr:colOff>419100</xdr:colOff>
      <xdr:row>3</xdr:row>
      <xdr:rowOff>28575</xdr:rowOff>
    </xdr:to>
    <xdr:pic>
      <xdr:nvPicPr>
        <xdr:cNvPr id="235094" name="Picture 2" descr="image007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04875" y="190500"/>
          <a:ext cx="2762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571500</xdr:colOff>
      <xdr:row>1</xdr:row>
      <xdr:rowOff>38100</xdr:rowOff>
    </xdr:from>
    <xdr:to>
      <xdr:col>4</xdr:col>
      <xdr:colOff>38100</xdr:colOff>
      <xdr:row>2</xdr:row>
      <xdr:rowOff>95250</xdr:rowOff>
    </xdr:to>
    <xdr:pic>
      <xdr:nvPicPr>
        <xdr:cNvPr id="23509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819650" y="200025"/>
          <a:ext cx="4762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39</xdr:row>
      <xdr:rowOff>38100</xdr:rowOff>
    </xdr:from>
    <xdr:to>
      <xdr:col>3</xdr:col>
      <xdr:colOff>895350</xdr:colOff>
      <xdr:row>39</xdr:row>
      <xdr:rowOff>152400</xdr:rowOff>
    </xdr:to>
    <xdr:pic>
      <xdr:nvPicPr>
        <xdr:cNvPr id="23509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248150" y="5800725"/>
          <a:ext cx="89535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133350</xdr:rowOff>
    </xdr:from>
    <xdr:to>
      <xdr:col>0</xdr:col>
      <xdr:colOff>438150</xdr:colOff>
      <xdr:row>2</xdr:row>
      <xdr:rowOff>114300</xdr:rowOff>
    </xdr:to>
    <xdr:pic>
      <xdr:nvPicPr>
        <xdr:cNvPr id="237877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1925" y="133350"/>
          <a:ext cx="2762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91</xdr:col>
      <xdr:colOff>266700</xdr:colOff>
      <xdr:row>1</xdr:row>
      <xdr:rowOff>0</xdr:rowOff>
    </xdr:from>
    <xdr:to>
      <xdr:col>91</xdr:col>
      <xdr:colOff>742950</xdr:colOff>
      <xdr:row>2</xdr:row>
      <xdr:rowOff>57150</xdr:rowOff>
    </xdr:to>
    <xdr:pic>
      <xdr:nvPicPr>
        <xdr:cNvPr id="237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560700" y="161925"/>
          <a:ext cx="4762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133350</xdr:rowOff>
    </xdr:from>
    <xdr:to>
      <xdr:col>0</xdr:col>
      <xdr:colOff>400050</xdr:colOff>
      <xdr:row>2</xdr:row>
      <xdr:rowOff>114300</xdr:rowOff>
    </xdr:to>
    <xdr:pic>
      <xdr:nvPicPr>
        <xdr:cNvPr id="238919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133350"/>
          <a:ext cx="2762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828675</xdr:colOff>
      <xdr:row>1</xdr:row>
      <xdr:rowOff>9525</xdr:rowOff>
    </xdr:from>
    <xdr:to>
      <xdr:col>1</xdr:col>
      <xdr:colOff>1304925</xdr:colOff>
      <xdr:row>2</xdr:row>
      <xdr:rowOff>47625</xdr:rowOff>
    </xdr:to>
    <xdr:pic>
      <xdr:nvPicPr>
        <xdr:cNvPr id="238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286125" y="171450"/>
          <a:ext cx="476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</xdr:row>
      <xdr:rowOff>19050</xdr:rowOff>
    </xdr:from>
    <xdr:to>
      <xdr:col>0</xdr:col>
      <xdr:colOff>457200</xdr:colOff>
      <xdr:row>3</xdr:row>
      <xdr:rowOff>19050</xdr:rowOff>
    </xdr:to>
    <xdr:pic>
      <xdr:nvPicPr>
        <xdr:cNvPr id="447725" name="Picture 2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0975" y="180975"/>
          <a:ext cx="276225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314325</xdr:colOff>
      <xdr:row>1</xdr:row>
      <xdr:rowOff>9525</xdr:rowOff>
    </xdr:from>
    <xdr:to>
      <xdr:col>10</xdr:col>
      <xdr:colOff>790575</xdr:colOff>
      <xdr:row>2</xdr:row>
      <xdr:rowOff>47625</xdr:rowOff>
    </xdr:to>
    <xdr:pic>
      <xdr:nvPicPr>
        <xdr:cNvPr id="44772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420100" y="171450"/>
          <a:ext cx="4476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133350</xdr:rowOff>
    </xdr:from>
    <xdr:to>
      <xdr:col>0</xdr:col>
      <xdr:colOff>428625</xdr:colOff>
      <xdr:row>2</xdr:row>
      <xdr:rowOff>114300</xdr:rowOff>
    </xdr:to>
    <xdr:pic>
      <xdr:nvPicPr>
        <xdr:cNvPr id="241088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" y="133350"/>
          <a:ext cx="2762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314326</xdr:colOff>
      <xdr:row>1</xdr:row>
      <xdr:rowOff>28576</xdr:rowOff>
    </xdr:from>
    <xdr:to>
      <xdr:col>4</xdr:col>
      <xdr:colOff>1</xdr:colOff>
      <xdr:row>2</xdr:row>
      <xdr:rowOff>95251</xdr:rowOff>
    </xdr:to>
    <xdr:pic>
      <xdr:nvPicPr>
        <xdr:cNvPr id="24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829051" y="190501"/>
          <a:ext cx="45720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600075</xdr:colOff>
      <xdr:row>47</xdr:row>
      <xdr:rowOff>152400</xdr:rowOff>
    </xdr:from>
    <xdr:to>
      <xdr:col>3</xdr:col>
      <xdr:colOff>952500</xdr:colOff>
      <xdr:row>48</xdr:row>
      <xdr:rowOff>133350</xdr:rowOff>
    </xdr:to>
    <xdr:pic>
      <xdr:nvPicPr>
        <xdr:cNvPr id="24109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257550" y="7229475"/>
          <a:ext cx="102870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133350</xdr:rowOff>
    </xdr:from>
    <xdr:to>
      <xdr:col>0</xdr:col>
      <xdr:colOff>0</xdr:colOff>
      <xdr:row>5</xdr:row>
      <xdr:rowOff>104775</xdr:rowOff>
    </xdr:to>
    <xdr:pic>
      <xdr:nvPicPr>
        <xdr:cNvPr id="461143" name="Picture 2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19125"/>
          <a:ext cx="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200025</xdr:colOff>
      <xdr:row>0</xdr:row>
      <xdr:rowOff>133350</xdr:rowOff>
    </xdr:from>
    <xdr:to>
      <xdr:col>0</xdr:col>
      <xdr:colOff>476250</xdr:colOff>
      <xdr:row>2</xdr:row>
      <xdr:rowOff>104775</xdr:rowOff>
    </xdr:to>
    <xdr:pic>
      <xdr:nvPicPr>
        <xdr:cNvPr id="461144" name="Picture 2" descr="image007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0025" y="133350"/>
          <a:ext cx="276225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405700</xdr:colOff>
      <xdr:row>0</xdr:row>
      <xdr:rowOff>161440</xdr:rowOff>
    </xdr:from>
    <xdr:to>
      <xdr:col>5</xdr:col>
      <xdr:colOff>63123</xdr:colOff>
      <xdr:row>2</xdr:row>
      <xdr:rowOff>67644</xdr:rowOff>
    </xdr:to>
    <xdr:pic>
      <xdr:nvPicPr>
        <xdr:cNvPr id="46114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289281" y="161440"/>
          <a:ext cx="416194" cy="2290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0</xdr:row>
      <xdr:rowOff>9525</xdr:rowOff>
    </xdr:from>
    <xdr:to>
      <xdr:col>0</xdr:col>
      <xdr:colOff>647700</xdr:colOff>
      <xdr:row>1</xdr:row>
      <xdr:rowOff>28575</xdr:rowOff>
    </xdr:to>
    <xdr:pic>
      <xdr:nvPicPr>
        <xdr:cNvPr id="198806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1475" y="9525"/>
          <a:ext cx="2762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1104900</xdr:colOff>
      <xdr:row>1</xdr:row>
      <xdr:rowOff>19050</xdr:rowOff>
    </xdr:from>
    <xdr:to>
      <xdr:col>2</xdr:col>
      <xdr:colOff>1504950</xdr:colOff>
      <xdr:row>2</xdr:row>
      <xdr:rowOff>76200</xdr:rowOff>
    </xdr:to>
    <xdr:pic>
      <xdr:nvPicPr>
        <xdr:cNvPr id="245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67075" y="180975"/>
          <a:ext cx="4000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152400</xdr:colOff>
      <xdr:row>1</xdr:row>
      <xdr:rowOff>19050</xdr:rowOff>
    </xdr:from>
    <xdr:to>
      <xdr:col>1</xdr:col>
      <xdr:colOff>428625</xdr:colOff>
      <xdr:row>3</xdr:row>
      <xdr:rowOff>0</xdr:rowOff>
    </xdr:to>
    <xdr:pic>
      <xdr:nvPicPr>
        <xdr:cNvPr id="245335" name="Picture 2" descr="image007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14400" y="180975"/>
          <a:ext cx="2762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676275</xdr:colOff>
      <xdr:row>53</xdr:row>
      <xdr:rowOff>28575</xdr:rowOff>
    </xdr:from>
    <xdr:to>
      <xdr:col>3</xdr:col>
      <xdr:colOff>733425</xdr:colOff>
      <xdr:row>53</xdr:row>
      <xdr:rowOff>142875</xdr:rowOff>
    </xdr:to>
    <xdr:pic>
      <xdr:nvPicPr>
        <xdr:cNvPr id="24533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838450" y="8210550"/>
          <a:ext cx="158115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457200</xdr:colOff>
      <xdr:row>25</xdr:row>
      <xdr:rowOff>152400</xdr:rowOff>
    </xdr:from>
    <xdr:to>
      <xdr:col>3</xdr:col>
      <xdr:colOff>428625</xdr:colOff>
      <xdr:row>51</xdr:row>
      <xdr:rowOff>28575</xdr:rowOff>
    </xdr:to>
    <xdr:graphicFrame macro="">
      <xdr:nvGraphicFramePr>
        <xdr:cNvPr id="24533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1</xdr:row>
      <xdr:rowOff>19050</xdr:rowOff>
    </xdr:from>
    <xdr:to>
      <xdr:col>11</xdr:col>
      <xdr:colOff>0</xdr:colOff>
      <xdr:row>2</xdr:row>
      <xdr:rowOff>76200</xdr:rowOff>
    </xdr:to>
    <xdr:pic>
      <xdr:nvPicPr>
        <xdr:cNvPr id="248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29775" y="180975"/>
          <a:ext cx="4000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228600</xdr:colOff>
      <xdr:row>0</xdr:row>
      <xdr:rowOff>152400</xdr:rowOff>
    </xdr:from>
    <xdr:to>
      <xdr:col>0</xdr:col>
      <xdr:colOff>504825</xdr:colOff>
      <xdr:row>2</xdr:row>
      <xdr:rowOff>123825</xdr:rowOff>
    </xdr:to>
    <xdr:pic>
      <xdr:nvPicPr>
        <xdr:cNvPr id="248406" name="Picture 2" descr="image007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8600" y="152400"/>
          <a:ext cx="2762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838200</xdr:colOff>
      <xdr:row>1</xdr:row>
      <xdr:rowOff>76200</xdr:rowOff>
    </xdr:from>
    <xdr:to>
      <xdr:col>1</xdr:col>
      <xdr:colOff>1314450</xdr:colOff>
      <xdr:row>2</xdr:row>
      <xdr:rowOff>104775</xdr:rowOff>
    </xdr:to>
    <xdr:pic>
      <xdr:nvPicPr>
        <xdr:cNvPr id="24840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1300" y="238125"/>
          <a:ext cx="3905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1905000</xdr:colOff>
      <xdr:row>47</xdr:row>
      <xdr:rowOff>57150</xdr:rowOff>
    </xdr:from>
    <xdr:to>
      <xdr:col>2</xdr:col>
      <xdr:colOff>0</xdr:colOff>
      <xdr:row>48</xdr:row>
      <xdr:rowOff>19050</xdr:rowOff>
    </xdr:to>
    <xdr:pic>
      <xdr:nvPicPr>
        <xdr:cNvPr id="24840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05000" y="7334250"/>
          <a:ext cx="1266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838200</xdr:colOff>
      <xdr:row>1</xdr:row>
      <xdr:rowOff>19050</xdr:rowOff>
    </xdr:from>
    <xdr:to>
      <xdr:col>2</xdr:col>
      <xdr:colOff>1238250</xdr:colOff>
      <xdr:row>2</xdr:row>
      <xdr:rowOff>76200</xdr:rowOff>
    </xdr:to>
    <xdr:pic>
      <xdr:nvPicPr>
        <xdr:cNvPr id="740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0350" y="180975"/>
          <a:ext cx="40005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0</xdr:row>
      <xdr:rowOff>114300</xdr:rowOff>
    </xdr:from>
    <xdr:to>
      <xdr:col>1</xdr:col>
      <xdr:colOff>219075</xdr:colOff>
      <xdr:row>2</xdr:row>
      <xdr:rowOff>95250</xdr:rowOff>
    </xdr:to>
    <xdr:pic>
      <xdr:nvPicPr>
        <xdr:cNvPr id="740496" name="Picture 1" descr="image007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6200" y="114300"/>
          <a:ext cx="27622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0</xdr:row>
      <xdr:rowOff>142875</xdr:rowOff>
    </xdr:from>
    <xdr:to>
      <xdr:col>3</xdr:col>
      <xdr:colOff>742950</xdr:colOff>
      <xdr:row>2</xdr:row>
      <xdr:rowOff>9525</xdr:rowOff>
    </xdr:to>
    <xdr:pic>
      <xdr:nvPicPr>
        <xdr:cNvPr id="250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0" y="142875"/>
          <a:ext cx="4000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733425</xdr:colOff>
      <xdr:row>34</xdr:row>
      <xdr:rowOff>9525</xdr:rowOff>
    </xdr:from>
    <xdr:to>
      <xdr:col>4</xdr:col>
      <xdr:colOff>28575</xdr:colOff>
      <xdr:row>34</xdr:row>
      <xdr:rowOff>152400</xdr:rowOff>
    </xdr:to>
    <xdr:pic>
      <xdr:nvPicPr>
        <xdr:cNvPr id="25045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28975" y="5153025"/>
          <a:ext cx="133350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504825</xdr:colOff>
      <xdr:row>16</xdr:row>
      <xdr:rowOff>9525</xdr:rowOff>
    </xdr:from>
    <xdr:to>
      <xdr:col>4</xdr:col>
      <xdr:colOff>257175</xdr:colOff>
      <xdr:row>31</xdr:row>
      <xdr:rowOff>142875</xdr:rowOff>
    </xdr:to>
    <xdr:graphicFrame macro="">
      <xdr:nvGraphicFramePr>
        <xdr:cNvPr id="25045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0</xdr:row>
      <xdr:rowOff>152400</xdr:rowOff>
    </xdr:from>
    <xdr:to>
      <xdr:col>1</xdr:col>
      <xdr:colOff>323850</xdr:colOff>
      <xdr:row>2</xdr:row>
      <xdr:rowOff>114300</xdr:rowOff>
    </xdr:to>
    <xdr:pic>
      <xdr:nvPicPr>
        <xdr:cNvPr id="250456" name="Picture 1" descr="image007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09625" y="152400"/>
          <a:ext cx="2762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</xdr:row>
      <xdr:rowOff>0</xdr:rowOff>
    </xdr:from>
    <xdr:to>
      <xdr:col>0</xdr:col>
      <xdr:colOff>447675</xdr:colOff>
      <xdr:row>2</xdr:row>
      <xdr:rowOff>123825</xdr:rowOff>
    </xdr:to>
    <xdr:pic>
      <xdr:nvPicPr>
        <xdr:cNvPr id="252283" name="Picture 2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1450" y="161925"/>
          <a:ext cx="2762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285750</xdr:colOff>
      <xdr:row>1</xdr:row>
      <xdr:rowOff>38100</xdr:rowOff>
    </xdr:from>
    <xdr:to>
      <xdr:col>3</xdr:col>
      <xdr:colOff>685800</xdr:colOff>
      <xdr:row>2</xdr:row>
      <xdr:rowOff>66675</xdr:rowOff>
    </xdr:to>
    <xdr:pic>
      <xdr:nvPicPr>
        <xdr:cNvPr id="252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590925" y="200025"/>
          <a:ext cx="4000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9525</xdr:rowOff>
    </xdr:from>
    <xdr:to>
      <xdr:col>0</xdr:col>
      <xdr:colOff>466725</xdr:colOff>
      <xdr:row>2</xdr:row>
      <xdr:rowOff>133350</xdr:rowOff>
    </xdr:to>
    <xdr:pic>
      <xdr:nvPicPr>
        <xdr:cNvPr id="778373" name="Picture 3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0" y="171450"/>
          <a:ext cx="2762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47</xdr:col>
      <xdr:colOff>314325</xdr:colOff>
      <xdr:row>1</xdr:row>
      <xdr:rowOff>47625</xdr:rowOff>
    </xdr:from>
    <xdr:to>
      <xdr:col>47</xdr:col>
      <xdr:colOff>714375</xdr:colOff>
      <xdr:row>2</xdr:row>
      <xdr:rowOff>76200</xdr:rowOff>
    </xdr:to>
    <xdr:pic>
      <xdr:nvPicPr>
        <xdr:cNvPr id="77837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6823650" y="209550"/>
          <a:ext cx="4000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123825</xdr:rowOff>
    </xdr:from>
    <xdr:to>
      <xdr:col>0</xdr:col>
      <xdr:colOff>342900</xdr:colOff>
      <xdr:row>2</xdr:row>
      <xdr:rowOff>114300</xdr:rowOff>
    </xdr:to>
    <xdr:pic>
      <xdr:nvPicPr>
        <xdr:cNvPr id="797889" name="Picture 1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675" y="123825"/>
          <a:ext cx="276225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295275</xdr:colOff>
      <xdr:row>1</xdr:row>
      <xdr:rowOff>28575</xdr:rowOff>
    </xdr:from>
    <xdr:to>
      <xdr:col>3</xdr:col>
      <xdr:colOff>0</xdr:colOff>
      <xdr:row>2</xdr:row>
      <xdr:rowOff>47625</xdr:rowOff>
    </xdr:to>
    <xdr:pic>
      <xdr:nvPicPr>
        <xdr:cNvPr id="797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438525" y="190500"/>
          <a:ext cx="4667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1047750</xdr:colOff>
      <xdr:row>273</xdr:row>
      <xdr:rowOff>28575</xdr:rowOff>
    </xdr:from>
    <xdr:to>
      <xdr:col>2</xdr:col>
      <xdr:colOff>752475</xdr:colOff>
      <xdr:row>273</xdr:row>
      <xdr:rowOff>152400</xdr:rowOff>
    </xdr:to>
    <xdr:pic>
      <xdr:nvPicPr>
        <xdr:cNvPr id="79789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81275" y="37204650"/>
          <a:ext cx="131445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0</xdr:rowOff>
    </xdr:from>
    <xdr:to>
      <xdr:col>1</xdr:col>
      <xdr:colOff>142875</xdr:colOff>
      <xdr:row>2</xdr:row>
      <xdr:rowOff>114300</xdr:rowOff>
    </xdr:to>
    <xdr:pic>
      <xdr:nvPicPr>
        <xdr:cNvPr id="804989" name="Picture 2" descr="image007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161925"/>
          <a:ext cx="2667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390525</xdr:colOff>
      <xdr:row>1</xdr:row>
      <xdr:rowOff>0</xdr:rowOff>
    </xdr:from>
    <xdr:to>
      <xdr:col>4</xdr:col>
      <xdr:colOff>0</xdr:colOff>
      <xdr:row>2</xdr:row>
      <xdr:rowOff>0</xdr:rowOff>
    </xdr:to>
    <xdr:pic>
      <xdr:nvPicPr>
        <xdr:cNvPr id="80499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52700" y="161925"/>
          <a:ext cx="37147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lvarez/AppData/Local/Microsoft/Windows/Temporary%20Internet%20Files/Content.IE5/5WQO6569/PUBLICACIONES/DOMINICANA%20EN%20CIFRAS/dominicana%20en%20cifras%20todas%20las%20series%20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Comercio%20Exterior\Transporte\2001-2003\copia%20para%20juan%20Transpor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Comercio%20Exterior\Transporte\2001-2003\2001-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ominicana_cifras%202004\(11)%20Transporte%20333\Transporte%201999%20ene-juni.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lvarez/AppData/Local/Microsoft/Windows/Temporary%20Internet%20Files/Content.IE5/5WQO6569/correccionesdominicana2007/Presupuesto%20Enero%20-%20Junio%20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Depto.%20Economico\Cifras%20Dominicana\TRANSPOR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lvarez/AppData/Local/Microsoft/Windows/Temporary%20Internet%20Files/Content.IE5/5WQO6569/Documents%20and%20Settings/juan.deaza.INE/My%20Documents/Transporte%20Maritimo%20y%20Aereo%20-%202006/Transporte%20Mar&#237;timo%20y%20A&#233;reo%202006,%20Enero-Diciembr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lvarez/AppData/Local/Microsoft/Windows/Temporary%20Internet%20Files/Content.IE5/5WQO6569/Documents%20and%20Settings/juan.deaza.INE/Desktop/MODELO%20VUELO%20REGULARES%20(actualizado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atos%20Procesamiento\Divisiones%20DEE\Div.%20Comercio%20Exterior\Anuario%20Comercio%20Exterior%202005\Comercio%20Exterior%20Anuario%20200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1"/>
      <sheetName val="221-02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-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-01"/>
      <sheetName val="341-02"/>
      <sheetName val="341-03"/>
      <sheetName val="341-04"/>
      <sheetName val="34-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 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I"/>
      <sheetName val="1.03"/>
      <sheetName val="2.03"/>
      <sheetName val="3.03"/>
      <sheetName val="4.03"/>
      <sheetName val="5.03"/>
      <sheetName val="6.03"/>
      <sheetName val="2.03-1"/>
      <sheetName val="3.03-2"/>
    </sheetNames>
    <sheetDataSet>
      <sheetData sheetId="0"/>
      <sheetData sheetId="1">
        <row r="12">
          <cell r="B12">
            <v>1037658</v>
          </cell>
          <cell r="H12">
            <v>7248739</v>
          </cell>
        </row>
      </sheetData>
      <sheetData sheetId="2">
        <row r="11">
          <cell r="B11">
            <v>1037658</v>
          </cell>
          <cell r="D11">
            <v>1029914</v>
          </cell>
          <cell r="H11">
            <v>7248739</v>
          </cell>
          <cell r="J11">
            <v>7801313</v>
          </cell>
        </row>
        <row r="13">
          <cell r="J13">
            <v>479678</v>
          </cell>
        </row>
      </sheetData>
      <sheetData sheetId="3">
        <row r="10">
          <cell r="B10">
            <v>2555</v>
          </cell>
          <cell r="D10">
            <v>2609</v>
          </cell>
        </row>
      </sheetData>
      <sheetData sheetId="4">
        <row r="10">
          <cell r="B10">
            <v>2555</v>
          </cell>
        </row>
      </sheetData>
      <sheetData sheetId="5">
        <row r="21">
          <cell r="D21">
            <v>136020</v>
          </cell>
          <cell r="P21">
            <v>16039</v>
          </cell>
        </row>
      </sheetData>
      <sheetData sheetId="6">
        <row r="8">
          <cell r="D8">
            <v>313</v>
          </cell>
          <cell r="G8">
            <v>233452</v>
          </cell>
        </row>
      </sheetData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1.03"/>
      <sheetName val="2.03"/>
      <sheetName val="Graf.2.03"/>
      <sheetName val="3.03"/>
      <sheetName val="Graf.3.03"/>
      <sheetName val="4.03"/>
      <sheetName val="5.03"/>
      <sheetName val="6.03"/>
      <sheetName val="7.03"/>
      <sheetName val="8.03"/>
      <sheetName val="Graf.8.03"/>
      <sheetName val="9.03"/>
      <sheetName val="Graf.9.03"/>
      <sheetName val="10.03"/>
      <sheetName val="Graf.10.03"/>
      <sheetName val="11.03"/>
      <sheetName val="Graf.11.03"/>
      <sheetName val="12.03"/>
      <sheetName val="13.03"/>
      <sheetName val="14.03"/>
      <sheetName val="15.03"/>
      <sheetName val="16.03"/>
      <sheetName val="Graf.16.03"/>
      <sheetName val="17.03"/>
      <sheetName val="Graf.17.03"/>
      <sheetName val="18.03"/>
      <sheetName val="Graf.18.03"/>
      <sheetName val="19.03"/>
      <sheetName val="Graf.19.03"/>
      <sheetName val="20.03"/>
      <sheetName val="21.03"/>
      <sheetName val="22.03"/>
      <sheetName val="23.03"/>
      <sheetName val="24.03"/>
      <sheetName val="25.03"/>
      <sheetName val="26.03"/>
      <sheetName val="Graf.26.03"/>
      <sheetName val="27.03"/>
      <sheetName val="28.03"/>
      <sheetName val="29.03"/>
      <sheetName val="Graf.29.03"/>
      <sheetName val="30.03"/>
      <sheetName val="31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>
            <v>5140</v>
          </cell>
        </row>
      </sheetData>
      <sheetData sheetId="7" refreshError="1">
        <row r="20">
          <cell r="L20">
            <v>24663</v>
          </cell>
        </row>
      </sheetData>
      <sheetData sheetId="8" refreshError="1"/>
      <sheetData sheetId="9" refreshError="1">
        <row r="9">
          <cell r="C9">
            <v>2084665</v>
          </cell>
          <cell r="E9">
            <v>2154440</v>
          </cell>
        </row>
      </sheetData>
      <sheetData sheetId="10" refreshError="1"/>
      <sheetData sheetId="11" refreshError="1"/>
      <sheetData sheetId="12" refreshError="1"/>
      <sheetData sheetId="13" refreshError="1">
        <row r="11">
          <cell r="H11">
            <v>14013298</v>
          </cell>
        </row>
      </sheetData>
      <sheetData sheetId="14" refreshError="1"/>
      <sheetData sheetId="15" refreshError="1">
        <row r="11">
          <cell r="J11">
            <v>14758828</v>
          </cell>
        </row>
      </sheetData>
      <sheetData sheetId="16" refreshError="1"/>
      <sheetData sheetId="17" refreshError="1">
        <row r="10">
          <cell r="B10">
            <v>5103</v>
          </cell>
        </row>
      </sheetData>
      <sheetData sheetId="18" refreshError="1">
        <row r="10">
          <cell r="B10">
            <v>5103</v>
          </cell>
          <cell r="D10">
            <v>5092</v>
          </cell>
        </row>
      </sheetData>
      <sheetData sheetId="19" refreshError="1">
        <row r="20">
          <cell r="D20">
            <v>281108</v>
          </cell>
          <cell r="H20">
            <v>209876</v>
          </cell>
          <cell r="L20">
            <v>25552</v>
          </cell>
          <cell r="P20">
            <v>25396</v>
          </cell>
        </row>
      </sheetData>
      <sheetData sheetId="20" refreshError="1">
        <row r="9">
          <cell r="D9">
            <v>334</v>
          </cell>
        </row>
      </sheetData>
      <sheetData sheetId="21" refreshError="1">
        <row r="9">
          <cell r="C9">
            <v>1986483</v>
          </cell>
          <cell r="E9">
            <v>1991564</v>
          </cell>
        </row>
      </sheetData>
      <sheetData sheetId="22" refreshError="1"/>
      <sheetData sheetId="23" refreshError="1">
        <row r="9">
          <cell r="C9">
            <v>1183907</v>
          </cell>
          <cell r="E9">
            <v>1162647</v>
          </cell>
        </row>
      </sheetData>
      <sheetData sheetId="24" refreshError="1"/>
      <sheetData sheetId="25" refreshError="1">
        <row r="11">
          <cell r="B11">
            <v>1037658</v>
          </cell>
          <cell r="H11">
            <v>7248739</v>
          </cell>
          <cell r="J11">
            <v>7801313</v>
          </cell>
        </row>
      </sheetData>
      <sheetData sheetId="26" refreshError="1"/>
      <sheetData sheetId="27" refreshError="1">
        <row r="11">
          <cell r="B11">
            <v>1037658</v>
          </cell>
          <cell r="D11">
            <v>1029914</v>
          </cell>
          <cell r="H11">
            <v>7248739</v>
          </cell>
          <cell r="J11">
            <v>7801313</v>
          </cell>
        </row>
      </sheetData>
      <sheetData sheetId="28" refreshError="1"/>
      <sheetData sheetId="29" refreshError="1"/>
      <sheetData sheetId="30" refreshError="1"/>
      <sheetData sheetId="31" refreshError="1">
        <row r="10">
          <cell r="D10">
            <v>2608</v>
          </cell>
        </row>
      </sheetData>
      <sheetData sheetId="32" refreshError="1"/>
      <sheetData sheetId="33" refreshError="1">
        <row r="20">
          <cell r="D20">
            <v>136020</v>
          </cell>
          <cell r="L20">
            <v>14784</v>
          </cell>
          <cell r="P20">
            <v>16039</v>
          </cell>
        </row>
      </sheetData>
      <sheetData sheetId="34" refreshError="1">
        <row r="9">
          <cell r="D9">
            <v>313</v>
          </cell>
          <cell r="G9">
            <v>233452</v>
          </cell>
        </row>
      </sheetData>
      <sheetData sheetId="35" refreshError="1">
        <row r="9">
          <cell r="B9">
            <v>1051781</v>
          </cell>
          <cell r="D9">
            <v>1130648</v>
          </cell>
        </row>
      </sheetData>
      <sheetData sheetId="36" refreshError="1"/>
      <sheetData sheetId="37" refreshError="1">
        <row r="9">
          <cell r="B9">
            <v>1051781</v>
          </cell>
          <cell r="D9">
            <v>1130648</v>
          </cell>
        </row>
      </sheetData>
      <sheetData sheetId="38" refreshError="1">
        <row r="9">
          <cell r="B9">
            <v>1051781</v>
          </cell>
          <cell r="D9">
            <v>1130648</v>
          </cell>
        </row>
      </sheetData>
      <sheetData sheetId="39" refreshError="1">
        <row r="9">
          <cell r="D9">
            <v>759523</v>
          </cell>
        </row>
      </sheetData>
      <sheetData sheetId="40" refreshError="1"/>
      <sheetData sheetId="41" refreshError="1">
        <row r="9">
          <cell r="B9">
            <v>752551</v>
          </cell>
        </row>
      </sheetData>
      <sheetData sheetId="42" refreshError="1">
        <row r="9">
          <cell r="B9">
            <v>748331</v>
          </cell>
          <cell r="D9">
            <v>755873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V. Chart."/>
      <sheetName val="Graf-Chart-1"/>
      <sheetName val="Graf-Chart-2"/>
      <sheetName val="V. Reg."/>
      <sheetName val="Graf-Reg-1"/>
      <sheetName val="Graf-Reg-2"/>
      <sheetName val="Carg. A.G."/>
      <sheetName val="Graf-A.G.1"/>
      <sheetName val="Graf-A.G.2"/>
      <sheetName val="Carg. A.M."/>
      <sheetName val="Graf-A.M.1"/>
      <sheetName val="1"/>
      <sheetName val="Graf.1.1"/>
      <sheetName val="Graf.1.2"/>
      <sheetName val="Graf.1.3"/>
      <sheetName val="2"/>
      <sheetName val="Graf.2.1"/>
      <sheetName val="Graf.2.2"/>
      <sheetName val="3"/>
      <sheetName val="4"/>
      <sheetName val="5"/>
      <sheetName val="6"/>
      <sheetName val="7"/>
      <sheetName val="8"/>
      <sheetName val="9"/>
      <sheetName val="10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>
        <row r="14">
          <cell r="B14">
            <v>1012511</v>
          </cell>
          <cell r="C14">
            <v>778843</v>
          </cell>
          <cell r="F14">
            <v>5067769</v>
          </cell>
          <cell r="G14">
            <v>6379895</v>
          </cell>
        </row>
      </sheetData>
      <sheetData sheetId="12" refreshError="1"/>
      <sheetData sheetId="13" refreshError="1"/>
      <sheetData sheetId="14" refreshError="1"/>
      <sheetData sheetId="15">
        <row r="13">
          <cell r="B13">
            <v>1012511</v>
          </cell>
          <cell r="D13">
            <v>5067769</v>
          </cell>
          <cell r="F13">
            <v>778843</v>
          </cell>
          <cell r="H13">
            <v>6379895</v>
          </cell>
        </row>
      </sheetData>
      <sheetData sheetId="16" refreshError="1"/>
      <sheetData sheetId="17" refreshError="1"/>
      <sheetData sheetId="18">
        <row r="14">
          <cell r="B14">
            <v>1012511</v>
          </cell>
          <cell r="D14">
            <v>778843</v>
          </cell>
          <cell r="H14">
            <v>5067769</v>
          </cell>
          <cell r="J14">
            <v>6379895</v>
          </cell>
        </row>
      </sheetData>
      <sheetData sheetId="19"/>
      <sheetData sheetId="20">
        <row r="13">
          <cell r="B13">
            <v>2648</v>
          </cell>
          <cell r="D13">
            <v>2634</v>
          </cell>
        </row>
      </sheetData>
      <sheetData sheetId="21">
        <row r="13">
          <cell r="B13">
            <v>65524</v>
          </cell>
          <cell r="I13">
            <v>7017</v>
          </cell>
          <cell r="P13">
            <v>72541</v>
          </cell>
        </row>
      </sheetData>
      <sheetData sheetId="22"/>
      <sheetData sheetId="23">
        <row r="13">
          <cell r="B13">
            <v>2598</v>
          </cell>
          <cell r="P13">
            <v>2962</v>
          </cell>
        </row>
      </sheetData>
      <sheetData sheetId="24"/>
      <sheetData sheetId="25">
        <row r="12">
          <cell r="F12">
            <v>188182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ntenido"/>
      <sheetName val="Presentación)"/>
      <sheetName val="Análisis"/>
      <sheetName val="343-01"/>
      <sheetName val="343-02"/>
      <sheetName val="343-03"/>
      <sheetName val="343-04"/>
      <sheetName val="343-05"/>
      <sheetName val="343-06"/>
      <sheetName val="7-8"/>
      <sheetName val="9-10"/>
      <sheetName val="11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1.03"/>
      <sheetName val="2.03"/>
      <sheetName val="3.03"/>
      <sheetName val="4.03"/>
      <sheetName val="5.03"/>
      <sheetName val="8.03"/>
      <sheetName val="8.03 (2)"/>
      <sheetName val="9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333-01"/>
      <sheetName val="333-02"/>
      <sheetName val="Graf.333-02.1"/>
      <sheetName val="333-03"/>
      <sheetName val="Graf.3.06.1"/>
      <sheetName val="333-04"/>
      <sheetName val="333-05"/>
      <sheetName val="333-06"/>
      <sheetName val="333-07"/>
      <sheetName val="333-08"/>
      <sheetName val="333-09"/>
      <sheetName val="333-10"/>
      <sheetName val="333-11"/>
      <sheetName val="Graf. 333-11.1"/>
      <sheetName val="333-12"/>
      <sheetName val="333-13"/>
      <sheetName val="333-14"/>
      <sheetName val="333-15"/>
      <sheetName val="333-16"/>
      <sheetName val="Graf.333-16.1"/>
      <sheetName val="333-17"/>
      <sheetName val="333-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C8">
            <v>3270013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333-01"/>
      <sheetName val="333-02"/>
      <sheetName val="Graf.333-02.1"/>
      <sheetName val="333-03"/>
      <sheetName val="Graf.3.06.1"/>
      <sheetName val="333-04"/>
      <sheetName val="333-05"/>
      <sheetName val="333-06"/>
      <sheetName val="333-07"/>
      <sheetName val="333-08"/>
      <sheetName val="333-09"/>
      <sheetName val="333-10"/>
      <sheetName val="333-11"/>
      <sheetName val="Graf. 333-11.1"/>
      <sheetName val="333-12"/>
      <sheetName val="333-13"/>
      <sheetName val="333-14"/>
      <sheetName val="333-15"/>
      <sheetName val="333-16"/>
      <sheetName val="Graf.333-16.1"/>
      <sheetName val="333-17"/>
      <sheetName val="333-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E8">
            <v>3214051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Importaciones 2005"/>
      <sheetName val="331-1"/>
      <sheetName val="331-2"/>
      <sheetName val="331-3"/>
      <sheetName val="331-5"/>
      <sheetName val="331-10"/>
      <sheetName val="331-11"/>
      <sheetName val="331-11-2"/>
      <sheetName val="331-11.3"/>
      <sheetName val="331-11.4"/>
      <sheetName val="Exportaciones 2005"/>
      <sheetName val="331-12"/>
      <sheetName val="331-12-2"/>
      <sheetName val="331-13"/>
      <sheetName val="331-14 "/>
      <sheetName val="331-15"/>
      <sheetName val="Export. Zona.F"/>
      <sheetName val="331-16"/>
      <sheetName val="331-17"/>
      <sheetName val="331-18"/>
      <sheetName val="331-19"/>
      <sheetName val="331-19-2"/>
      <sheetName val="331-20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CC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6576" tIns="36576" rIns="36576" bIns="36576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CC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6576" tIns="36576" rIns="36576" bIns="36576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2:C22"/>
  <sheetViews>
    <sheetView topLeftCell="A4" zoomScaleNormal="100" workbookViewId="0">
      <selection activeCell="F18" sqref="F18"/>
    </sheetView>
  </sheetViews>
  <sheetFormatPr baseColWidth="10" defaultColWidth="11.42578125" defaultRowHeight="12.75"/>
  <cols>
    <col min="1" max="9" width="11.42578125" style="1"/>
    <col min="10" max="10" width="5.7109375" style="1" customWidth="1"/>
    <col min="11" max="16384" width="11.42578125" style="1"/>
  </cols>
  <sheetData>
    <row r="12" spans="1:3" ht="30" customHeight="1">
      <c r="A12" s="487" t="s">
        <v>5</v>
      </c>
      <c r="B12" s="487"/>
    </row>
    <row r="13" spans="1:3" ht="30" customHeight="1">
      <c r="A13" s="487" t="s">
        <v>6</v>
      </c>
      <c r="B13" s="487"/>
    </row>
    <row r="14" spans="1:3" ht="30" customHeight="1">
      <c r="A14" s="487" t="s">
        <v>7</v>
      </c>
      <c r="B14" s="487"/>
    </row>
    <row r="15" spans="1:3" ht="30" customHeight="1">
      <c r="A15" s="487" t="s">
        <v>8</v>
      </c>
      <c r="B15" s="487"/>
    </row>
    <row r="16" spans="1:3" ht="30" customHeight="1">
      <c r="A16" s="488" t="s">
        <v>9</v>
      </c>
      <c r="B16" s="26"/>
      <c r="C16" s="26"/>
    </row>
    <row r="17" spans="1:3" ht="30" customHeight="1">
      <c r="A17" s="488" t="s">
        <v>10</v>
      </c>
      <c r="B17" s="26"/>
      <c r="C17" s="26"/>
    </row>
    <row r="18" spans="1:3" ht="30" customHeight="1">
      <c r="A18" s="488" t="s">
        <v>11</v>
      </c>
      <c r="B18" s="26"/>
      <c r="C18" s="26"/>
    </row>
    <row r="19" spans="1:3" ht="30" customHeight="1">
      <c r="A19" s="488" t="s">
        <v>12</v>
      </c>
      <c r="B19" s="26"/>
      <c r="C19" s="26"/>
    </row>
    <row r="20" spans="1:3" ht="30" customHeight="1">
      <c r="A20" s="487" t="s">
        <v>13</v>
      </c>
      <c r="B20" s="26"/>
      <c r="C20" s="26"/>
    </row>
    <row r="21" spans="1:3" ht="30" customHeight="1">
      <c r="A21" s="487" t="s">
        <v>14</v>
      </c>
      <c r="B21" s="487"/>
    </row>
    <row r="22" spans="1:3" ht="30" customHeight="1">
      <c r="A22" s="487" t="s">
        <v>15</v>
      </c>
      <c r="B22" s="487"/>
    </row>
  </sheetData>
  <phoneticPr fontId="2" type="noConversion"/>
  <hyperlinks>
    <hyperlink ref="A16" location="'Cuadros de nacimiento'!A1" display="Capítulo 1. Estadísticas de nacimientos"/>
    <hyperlink ref="A17" location="'Cuadros de defunciones'!A1" display="Capítulo 2. Estadísticas de defunciones"/>
    <hyperlink ref="A18" location="'Cuadros de matrimonios'!A1" display="Capítulo 3. Estadísticas de matrimonios"/>
    <hyperlink ref="A19" location="'Cuadros de divorcios'!A1" display="Capítulo 4.  Estadística de divorcios"/>
  </hyperlinks>
  <printOptions horizontalCentered="1"/>
  <pageMargins left="0.35433070866141736" right="0.39370078740157483" top="0.55118110236220474" bottom="0.47244094488188981" header="0" footer="0"/>
  <pageSetup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7"/>
  <dimension ref="A1:J18"/>
  <sheetViews>
    <sheetView tabSelected="1" zoomScaleNormal="100" workbookViewId="0"/>
  </sheetViews>
  <sheetFormatPr baseColWidth="10" defaultColWidth="11.42578125" defaultRowHeight="12.75"/>
  <cols>
    <col min="1" max="1" width="116.28515625" style="2" customWidth="1"/>
    <col min="2" max="2" width="14.28515625" style="2" customWidth="1"/>
    <col min="3" max="16384" width="11.42578125" style="2"/>
  </cols>
  <sheetData>
    <row r="1" spans="1:1" ht="21">
      <c r="A1" s="18" t="s">
        <v>1</v>
      </c>
    </row>
    <row r="2" spans="1:1" s="16" customFormat="1" ht="18.75" customHeight="1">
      <c r="A2" s="169" t="s">
        <v>382</v>
      </c>
    </row>
    <row r="3" spans="1:1" s="16" customFormat="1" ht="18.75" customHeight="1">
      <c r="A3" s="169" t="s">
        <v>383</v>
      </c>
    </row>
    <row r="4" spans="1:1" s="16" customFormat="1" ht="18.75" customHeight="1">
      <c r="A4" s="169" t="s">
        <v>384</v>
      </c>
    </row>
    <row r="5" spans="1:1" s="16" customFormat="1" ht="18.75" customHeight="1">
      <c r="A5" s="169" t="s">
        <v>385</v>
      </c>
    </row>
    <row r="6" spans="1:1" s="16" customFormat="1" ht="18.75" customHeight="1">
      <c r="A6" s="169" t="s">
        <v>386</v>
      </c>
    </row>
    <row r="7" spans="1:1" s="16" customFormat="1" ht="18.75" customHeight="1">
      <c r="A7" s="169" t="s">
        <v>387</v>
      </c>
    </row>
    <row r="8" spans="1:1" s="16" customFormat="1" ht="18.75" customHeight="1">
      <c r="A8" s="169" t="s">
        <v>388</v>
      </c>
    </row>
    <row r="9" spans="1:1" s="16" customFormat="1" ht="18.75" customHeight="1">
      <c r="A9" s="169" t="s">
        <v>389</v>
      </c>
    </row>
    <row r="10" spans="1:1" s="16" customFormat="1" ht="18.75" customHeight="1">
      <c r="A10" s="169" t="s">
        <v>390</v>
      </c>
    </row>
    <row r="11" spans="1:1" s="16" customFormat="1" ht="18.75" customHeight="1">
      <c r="A11" s="169" t="s">
        <v>391</v>
      </c>
    </row>
    <row r="12" spans="1:1" s="16" customFormat="1" ht="18.75" customHeight="1">
      <c r="A12" s="169" t="s">
        <v>392</v>
      </c>
    </row>
    <row r="13" spans="1:1" s="17" customFormat="1" ht="18.75" customHeight="1">
      <c r="A13" s="169" t="s">
        <v>393</v>
      </c>
    </row>
    <row r="14" spans="1:1" s="16" customFormat="1" ht="18.75" customHeight="1">
      <c r="A14" s="169" t="s">
        <v>394</v>
      </c>
    </row>
    <row r="15" spans="1:1" s="16" customFormat="1" ht="18.75" customHeight="1">
      <c r="A15" s="169" t="s">
        <v>395</v>
      </c>
    </row>
    <row r="16" spans="1:1" s="17" customFormat="1" ht="18.75" customHeight="1">
      <c r="A16" s="169" t="s">
        <v>396</v>
      </c>
    </row>
    <row r="17" spans="1:10" s="17" customFormat="1" ht="18.75" customHeight="1">
      <c r="A17" s="169" t="s">
        <v>397</v>
      </c>
      <c r="B17" s="197"/>
      <c r="C17" s="197"/>
      <c r="D17" s="197"/>
      <c r="E17" s="197"/>
      <c r="F17" s="197"/>
      <c r="G17" s="197"/>
      <c r="H17" s="197"/>
      <c r="I17" s="197"/>
      <c r="J17" s="197"/>
    </row>
    <row r="18" spans="1:10" s="6" customFormat="1" ht="18.75" customHeight="1">
      <c r="A18" s="7" t="s">
        <v>0</v>
      </c>
    </row>
  </sheetData>
  <phoneticPr fontId="2" type="noConversion"/>
  <hyperlinks>
    <hyperlink ref="A18" location="Indice!A1" display="VOLVER AL ÍNDICE"/>
    <hyperlink ref="A2" location="'1.1'!A1" display="1.1 Nacimientos ocurridos, según características, 2009"/>
    <hyperlink ref="A3" location="'1.2'!A1" display="1.2 Nacimientos registrados por grupos de edad del padre, según grupos de edad de la madre al momento del registro, 2009"/>
    <hyperlink ref="A4" location="'1.3'!A1" display="1.3 Nacimientos ocurridos por grupos de edad del padre, según grupos de edad de la madre al momento del nacimiento del hijo (a), 2009"/>
    <hyperlink ref="A5" location="'1.4'!A1" display="1.4 Nacimientos ocurridos, por sexo, según provincia de registro, 2009"/>
    <hyperlink ref="A6" location="'1.5'!A1" display="1.5 Nacimientos ocurridos, por sexo, según provincia de ocurrencia, 2009"/>
    <hyperlink ref="A7" location="'1.6'!A1" display="1.6 Nacimientos ocurridos, por sexo del registrado, según provincia de residencia de la madre, 2009"/>
    <hyperlink ref="A8" location="'1.7'!A1" display="1.7 Nacimientos ocurridos por tipo, según provincia y municipio de nacimiento, 2009"/>
    <hyperlink ref="A9" location="'1.8'!A1" display="1.8 Nacimientos ocurridos, según sexo del registrado, 2009"/>
    <hyperlink ref="A10" location="'1.9'!A1" display="1.9 Nacimientos ocurridos por zona de residencia, según provincia de residencia de la madre, 2009"/>
    <hyperlink ref="A11" location="'1.10'!A1" display="1.10 Nacimientos ocurridos, según provincia de residencia y grupos de edad de la madre al momento del nacimiento del hijo (a), 2009"/>
    <hyperlink ref="A12" location="'1.11'!A1" display="1.11 Nacimientos ocurridos, según zona de residencia y grupos de edad de la madre al momento del nacimiento del hijo (a), 2009"/>
    <hyperlink ref="A13" location="'1.12'!A1" display="1.12 Nacimientos ocurridos, según provincia, zona de residencia y grupos de edad de la madre al momento del nacimiento del hijo (a), 2009"/>
    <hyperlink ref="A14" location="'1.13'!A1" display="1.13 Nacimientos ocurridos por estado civil de la madre, según grupos de edad de la madre al momento del nacimiento del hijo (a), 2009"/>
    <hyperlink ref="A15" location="'1.14'!A1" display="1.14 Nacimientos ocurridos por lugar del parto, según grupos de edad de la madre al momento del nacimiento del hijo (a), 2009"/>
    <hyperlink ref="A16" location="'1.17'!A1" display="1.17 Nacimientos ocurridos por grupo de edad de la madre al momento del registro, según provincia y grupo de edad del padre al momento del registro, 2009"/>
    <hyperlink ref="A17:J17" location="'1.16'!A1" display="1.16 Nacimientos registrados por año, según año de nacimiento y sexo del registrado, 2001-2009 "/>
  </hyperlinks>
  <printOptions horizontalCentered="1"/>
  <pageMargins left="0.4" right="0.56999999999999995" top="0.51181102362204722" bottom="3.2283464566929134" header="0" footer="0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5"/>
  <sheetViews>
    <sheetView showGridLines="0" zoomScaleNormal="100" zoomScaleSheetLayoutView="115" workbookViewId="0">
      <selection activeCell="E34" sqref="E34"/>
    </sheetView>
  </sheetViews>
  <sheetFormatPr baseColWidth="10" defaultColWidth="11.42578125" defaultRowHeight="12.75"/>
  <cols>
    <col min="1" max="1" width="25.85546875" style="28" customWidth="1"/>
    <col min="2" max="2" width="23.7109375" style="27" customWidth="1"/>
    <col min="3" max="16384" width="11.42578125" style="27"/>
  </cols>
  <sheetData>
    <row r="1" spans="1:2" ht="11.25" customHeight="1"/>
    <row r="2" spans="1:2" ht="11.25" customHeight="1">
      <c r="A2" s="375" t="s">
        <v>16</v>
      </c>
      <c r="B2" s="375"/>
    </row>
    <row r="3" spans="1:2" ht="11.25" customHeight="1">
      <c r="A3" s="376" t="s">
        <v>17</v>
      </c>
      <c r="B3" s="376"/>
    </row>
    <row r="4" spans="1:2" ht="11.25" customHeight="1">
      <c r="A4" s="376" t="s">
        <v>448</v>
      </c>
      <c r="B4" s="376"/>
    </row>
    <row r="5" spans="1:2" ht="11.25" customHeight="1"/>
    <row r="6" spans="1:2" s="31" customFormat="1" ht="20.25" customHeight="1">
      <c r="A6" s="29" t="s">
        <v>18</v>
      </c>
      <c r="B6" s="30" t="s">
        <v>19</v>
      </c>
    </row>
    <row r="7" spans="1:2" ht="4.5" customHeight="1">
      <c r="A7" s="32"/>
      <c r="B7" s="33"/>
    </row>
    <row r="8" spans="1:2" s="31" customFormat="1" ht="12.75" customHeight="1">
      <c r="A8" s="34" t="s">
        <v>20</v>
      </c>
      <c r="B8" s="35"/>
    </row>
    <row r="9" spans="1:2" s="31" customFormat="1" ht="12.75" customHeight="1">
      <c r="A9" s="292" t="s">
        <v>571</v>
      </c>
      <c r="B9" s="35">
        <f>SUM(B11:B23)</f>
        <v>121159</v>
      </c>
    </row>
    <row r="10" spans="1:2" ht="4.5" customHeight="1">
      <c r="A10" s="32"/>
      <c r="B10" s="33"/>
    </row>
    <row r="11" spans="1:2">
      <c r="A11" s="36" t="s">
        <v>21</v>
      </c>
      <c r="B11" s="37">
        <v>12236</v>
      </c>
    </row>
    <row r="12" spans="1:2">
      <c r="A12" s="36" t="s">
        <v>22</v>
      </c>
      <c r="B12" s="37">
        <v>10089</v>
      </c>
    </row>
    <row r="13" spans="1:2">
      <c r="A13" s="36" t="s">
        <v>23</v>
      </c>
      <c r="B13" s="37">
        <v>10346</v>
      </c>
    </row>
    <row r="14" spans="1:2">
      <c r="A14" s="36" t="s">
        <v>24</v>
      </c>
      <c r="B14" s="37">
        <v>8731</v>
      </c>
    </row>
    <row r="15" spans="1:2">
      <c r="A15" s="36" t="s">
        <v>25</v>
      </c>
      <c r="B15" s="37">
        <v>9073</v>
      </c>
    </row>
    <row r="16" spans="1:2">
      <c r="A16" s="36" t="s">
        <v>26</v>
      </c>
      <c r="B16" s="37">
        <v>9120</v>
      </c>
    </row>
    <row r="17" spans="1:2">
      <c r="A17" s="36" t="s">
        <v>27</v>
      </c>
      <c r="B17" s="37">
        <v>10005</v>
      </c>
    </row>
    <row r="18" spans="1:2">
      <c r="A18" s="36" t="s">
        <v>28</v>
      </c>
      <c r="B18" s="37">
        <v>10924</v>
      </c>
    </row>
    <row r="19" spans="1:2">
      <c r="A19" s="36" t="s">
        <v>29</v>
      </c>
      <c r="B19" s="37">
        <v>12351</v>
      </c>
    </row>
    <row r="20" spans="1:2">
      <c r="A20" s="36" t="s">
        <v>30</v>
      </c>
      <c r="B20" s="37">
        <v>11718</v>
      </c>
    </row>
    <row r="21" spans="1:2">
      <c r="A21" s="36" t="s">
        <v>31</v>
      </c>
      <c r="B21" s="37">
        <v>9944</v>
      </c>
    </row>
    <row r="22" spans="1:2">
      <c r="A22" s="36" t="s">
        <v>32</v>
      </c>
      <c r="B22" s="37">
        <v>6574</v>
      </c>
    </row>
    <row r="23" spans="1:2">
      <c r="A23" s="36" t="s">
        <v>33</v>
      </c>
      <c r="B23" s="37">
        <v>48</v>
      </c>
    </row>
    <row r="24" spans="1:2" ht="4.5" customHeight="1">
      <c r="A24" s="36"/>
      <c r="B24" s="37"/>
    </row>
    <row r="25" spans="1:2" s="31" customFormat="1" ht="12.75" customHeight="1">
      <c r="A25" s="34" t="s">
        <v>34</v>
      </c>
      <c r="B25" s="35"/>
    </row>
    <row r="26" spans="1:2" ht="12.75" customHeight="1">
      <c r="A26" s="292" t="s">
        <v>571</v>
      </c>
      <c r="B26" s="35">
        <f>SUM(B28:B29)</f>
        <v>121159</v>
      </c>
    </row>
    <row r="27" spans="1:2" ht="4.5" customHeight="1">
      <c r="A27" s="32"/>
      <c r="B27" s="33"/>
    </row>
    <row r="28" spans="1:2" ht="12.75" customHeight="1">
      <c r="A28" s="36" t="s">
        <v>35</v>
      </c>
      <c r="B28" s="37">
        <v>113070</v>
      </c>
    </row>
    <row r="29" spans="1:2" ht="12.75" customHeight="1">
      <c r="A29" s="36" t="s">
        <v>36</v>
      </c>
      <c r="B29" s="37">
        <v>8089</v>
      </c>
    </row>
    <row r="30" spans="1:2" ht="4.5" customHeight="1">
      <c r="A30" s="32"/>
      <c r="B30" s="33"/>
    </row>
    <row r="31" spans="1:2" s="31" customFormat="1" ht="12.75" customHeight="1">
      <c r="A31" s="34" t="s">
        <v>37</v>
      </c>
      <c r="B31" s="35"/>
    </row>
    <row r="32" spans="1:2" ht="12.75" customHeight="1">
      <c r="A32" s="292" t="s">
        <v>571</v>
      </c>
      <c r="B32" s="35">
        <f>SUM(B34:B35)</f>
        <v>121159</v>
      </c>
    </row>
    <row r="33" spans="1:2" ht="4.5" customHeight="1">
      <c r="A33" s="32"/>
      <c r="B33" s="33"/>
    </row>
    <row r="34" spans="1:2" ht="12.75" customHeight="1">
      <c r="A34" s="36" t="s">
        <v>38</v>
      </c>
      <c r="B34" s="37">
        <v>61975</v>
      </c>
    </row>
    <row r="35" spans="1:2" ht="12.75" customHeight="1">
      <c r="A35" s="36" t="s">
        <v>39</v>
      </c>
      <c r="B35" s="37">
        <v>59184</v>
      </c>
    </row>
    <row r="36" spans="1:2" ht="4.5" customHeight="1">
      <c r="A36" s="32"/>
      <c r="B36" s="33"/>
    </row>
    <row r="37" spans="1:2" s="31" customFormat="1" ht="12.75" customHeight="1">
      <c r="A37" s="34" t="s">
        <v>40</v>
      </c>
      <c r="B37" s="35"/>
    </row>
    <row r="38" spans="1:2" s="31" customFormat="1" ht="12.75" customHeight="1">
      <c r="A38" s="292" t="s">
        <v>571</v>
      </c>
      <c r="B38" s="35">
        <f>SUM(B40:B42)</f>
        <v>121159</v>
      </c>
    </row>
    <row r="39" spans="1:2" ht="4.5" customHeight="1">
      <c r="A39" s="32"/>
      <c r="B39" s="33"/>
    </row>
    <row r="40" spans="1:2" s="31" customFormat="1" ht="12.75" customHeight="1">
      <c r="A40" s="36" t="s">
        <v>41</v>
      </c>
      <c r="B40" s="37">
        <v>99272</v>
      </c>
    </row>
    <row r="41" spans="1:2" s="31" customFormat="1" ht="12.75" customHeight="1">
      <c r="A41" s="36" t="s">
        <v>42</v>
      </c>
      <c r="B41" s="37">
        <v>20579</v>
      </c>
    </row>
    <row r="42" spans="1:2" s="31" customFormat="1" ht="12.75" customHeight="1">
      <c r="A42" s="36" t="s">
        <v>33</v>
      </c>
      <c r="B42" s="37">
        <v>1308</v>
      </c>
    </row>
    <row r="43" spans="1:2" ht="4.5" customHeight="1">
      <c r="A43" s="32"/>
      <c r="B43" s="33"/>
    </row>
    <row r="44" spans="1:2" s="31" customFormat="1" ht="12.75" customHeight="1">
      <c r="A44" s="34" t="s">
        <v>43</v>
      </c>
      <c r="B44" s="35"/>
    </row>
    <row r="45" spans="1:2" s="31" customFormat="1" ht="12.75" customHeight="1">
      <c r="A45" s="292" t="s">
        <v>571</v>
      </c>
      <c r="B45" s="35">
        <f>SUM(B47:B94)</f>
        <v>121159</v>
      </c>
    </row>
    <row r="46" spans="1:2" ht="4.5" customHeight="1">
      <c r="A46" s="32"/>
      <c r="B46" s="33"/>
    </row>
    <row r="47" spans="1:2" s="31" customFormat="1" ht="12.75" customHeight="1">
      <c r="A47" s="36" t="s">
        <v>563</v>
      </c>
      <c r="B47" s="37">
        <v>5</v>
      </c>
    </row>
    <row r="48" spans="1:2" s="31" customFormat="1" ht="12.75" customHeight="1">
      <c r="A48" s="36" t="s">
        <v>398</v>
      </c>
      <c r="B48" s="37">
        <v>1</v>
      </c>
    </row>
    <row r="49" spans="1:2" s="31" customFormat="1" ht="12.75" customHeight="1">
      <c r="A49" s="36" t="s">
        <v>399</v>
      </c>
      <c r="B49" s="37">
        <v>1</v>
      </c>
    </row>
    <row r="50" spans="1:2" s="31" customFormat="1" ht="12.75" customHeight="1">
      <c r="A50" s="36" t="s">
        <v>400</v>
      </c>
      <c r="B50" s="37">
        <v>4</v>
      </c>
    </row>
    <row r="51" spans="1:2" s="31" customFormat="1" ht="12.75" customHeight="1">
      <c r="A51" s="36" t="s">
        <v>401</v>
      </c>
      <c r="B51" s="37">
        <v>1</v>
      </c>
    </row>
    <row r="52" spans="1:2" s="31" customFormat="1" ht="12.75" customHeight="1">
      <c r="A52" s="36" t="s">
        <v>340</v>
      </c>
      <c r="B52" s="37">
        <v>2</v>
      </c>
    </row>
    <row r="53" spans="1:2" s="31" customFormat="1" ht="12.75" customHeight="1">
      <c r="A53" s="36" t="s">
        <v>341</v>
      </c>
      <c r="B53" s="37">
        <v>8</v>
      </c>
    </row>
    <row r="54" spans="1:2" s="31" customFormat="1" ht="12.75" customHeight="1">
      <c r="A54" s="36" t="s">
        <v>402</v>
      </c>
      <c r="B54" s="37">
        <v>2</v>
      </c>
    </row>
    <row r="55" spans="1:2" s="31" customFormat="1" ht="12.75" customHeight="1">
      <c r="A55" s="36" t="s">
        <v>403</v>
      </c>
      <c r="B55" s="37">
        <v>5</v>
      </c>
    </row>
    <row r="56" spans="1:2" s="31" customFormat="1" ht="12.75" customHeight="1">
      <c r="A56" s="36" t="s">
        <v>342</v>
      </c>
      <c r="B56" s="37">
        <v>34</v>
      </c>
    </row>
    <row r="57" spans="1:2" s="31" customFormat="1" ht="12.75" customHeight="1">
      <c r="A57" s="36" t="s">
        <v>404</v>
      </c>
      <c r="B57" s="37">
        <v>22</v>
      </c>
    </row>
    <row r="58" spans="1:2" s="31" customFormat="1" ht="12.75" customHeight="1">
      <c r="A58" s="36" t="s">
        <v>572</v>
      </c>
      <c r="B58" s="37">
        <v>1</v>
      </c>
    </row>
    <row r="59" spans="1:2" s="31" customFormat="1" ht="12.75" customHeight="1">
      <c r="A59" s="36" t="s">
        <v>343</v>
      </c>
      <c r="B59" s="37">
        <v>11</v>
      </c>
    </row>
    <row r="60" spans="1:2" s="31" customFormat="1" ht="12.75" customHeight="1">
      <c r="A60" s="36" t="s">
        <v>44</v>
      </c>
      <c r="B60" s="37">
        <v>118857</v>
      </c>
    </row>
    <row r="61" spans="1:2" s="31" customFormat="1" ht="12.75" customHeight="1">
      <c r="A61" s="36" t="s">
        <v>344</v>
      </c>
      <c r="B61" s="37">
        <v>4</v>
      </c>
    </row>
    <row r="62" spans="1:2" s="31" customFormat="1" ht="12.75" customHeight="1">
      <c r="A62" s="36" t="s">
        <v>405</v>
      </c>
      <c r="B62" s="37">
        <v>2</v>
      </c>
    </row>
    <row r="63" spans="1:2" s="31" customFormat="1" ht="12.75" customHeight="1">
      <c r="A63" s="36" t="s">
        <v>406</v>
      </c>
      <c r="B63" s="37">
        <v>2</v>
      </c>
    </row>
    <row r="64" spans="1:2" s="31" customFormat="1" ht="12.75" customHeight="1">
      <c r="A64" s="36" t="s">
        <v>407</v>
      </c>
      <c r="B64" s="37">
        <v>2</v>
      </c>
    </row>
    <row r="65" spans="1:2" s="31" customFormat="1" ht="12.75" customHeight="1">
      <c r="A65" s="36" t="s">
        <v>573</v>
      </c>
      <c r="B65" s="37">
        <v>7</v>
      </c>
    </row>
    <row r="66" spans="1:2" s="31" customFormat="1" ht="12.75" customHeight="1">
      <c r="A66" s="36" t="s">
        <v>574</v>
      </c>
      <c r="B66" s="37">
        <v>5</v>
      </c>
    </row>
    <row r="67" spans="1:2" s="31" customFormat="1" ht="12.75" customHeight="1">
      <c r="A67" s="36" t="s">
        <v>345</v>
      </c>
      <c r="B67" s="37">
        <v>1788</v>
      </c>
    </row>
    <row r="68" spans="1:2" s="31" customFormat="1" ht="12.75" customHeight="1">
      <c r="A68" s="36" t="s">
        <v>346</v>
      </c>
      <c r="B68" s="37">
        <v>3</v>
      </c>
    </row>
    <row r="69" spans="1:2" s="31" customFormat="1" ht="12.75" customHeight="1">
      <c r="A69" s="36" t="s">
        <v>408</v>
      </c>
      <c r="B69" s="37">
        <v>1</v>
      </c>
    </row>
    <row r="70" spans="1:2" s="31" customFormat="1" ht="12.75" customHeight="1">
      <c r="A70" s="36" t="s">
        <v>348</v>
      </c>
      <c r="B70" s="37">
        <v>14</v>
      </c>
    </row>
    <row r="71" spans="1:2" s="31" customFormat="1" ht="12.75" customHeight="1">
      <c r="A71" s="36" t="s">
        <v>409</v>
      </c>
      <c r="B71" s="37">
        <v>1</v>
      </c>
    </row>
    <row r="72" spans="1:2" s="31" customFormat="1" ht="12.75" customHeight="1">
      <c r="A72" s="36" t="s">
        <v>410</v>
      </c>
      <c r="B72" s="37">
        <v>1</v>
      </c>
    </row>
    <row r="73" spans="1:2" s="31" customFormat="1" ht="12.75" customHeight="1">
      <c r="A73" s="36" t="s">
        <v>575</v>
      </c>
      <c r="B73" s="37">
        <v>2</v>
      </c>
    </row>
    <row r="74" spans="1:2" s="31" customFormat="1" ht="12.75" customHeight="1">
      <c r="A74" s="36" t="s">
        <v>349</v>
      </c>
      <c r="B74" s="37">
        <v>12</v>
      </c>
    </row>
    <row r="75" spans="1:2" s="31" customFormat="1" ht="12.75" customHeight="1">
      <c r="A75" s="36" t="s">
        <v>411</v>
      </c>
      <c r="B75" s="37">
        <v>4</v>
      </c>
    </row>
    <row r="76" spans="1:2" s="31" customFormat="1" ht="12.75" customHeight="1">
      <c r="A76" s="36" t="s">
        <v>576</v>
      </c>
      <c r="B76" s="37">
        <v>3</v>
      </c>
    </row>
    <row r="77" spans="1:2" s="31" customFormat="1" ht="12.75" customHeight="1">
      <c r="A77" s="36" t="s">
        <v>564</v>
      </c>
      <c r="B77" s="37">
        <v>1</v>
      </c>
    </row>
    <row r="78" spans="1:2" s="31" customFormat="1" ht="12.75" customHeight="1">
      <c r="A78" s="36" t="s">
        <v>413</v>
      </c>
      <c r="B78" s="37">
        <v>3</v>
      </c>
    </row>
    <row r="79" spans="1:2" s="31" customFormat="1" ht="12.75" customHeight="1">
      <c r="A79" s="36" t="s">
        <v>577</v>
      </c>
      <c r="B79" s="37">
        <v>1</v>
      </c>
    </row>
    <row r="80" spans="1:2" s="31" customFormat="1" ht="12.75" customHeight="1">
      <c r="A80" s="36" t="s">
        <v>552</v>
      </c>
      <c r="B80" s="37">
        <v>5</v>
      </c>
    </row>
    <row r="81" spans="1:2" s="31" customFormat="1" ht="12.75" customHeight="1">
      <c r="A81" s="36" t="s">
        <v>569</v>
      </c>
      <c r="B81" s="37">
        <v>2</v>
      </c>
    </row>
    <row r="82" spans="1:2" s="31" customFormat="1" ht="12.75" customHeight="1">
      <c r="A82" s="36" t="s">
        <v>553</v>
      </c>
      <c r="B82" s="37">
        <v>16</v>
      </c>
    </row>
    <row r="83" spans="1:2" s="31" customFormat="1" ht="12.75" customHeight="1">
      <c r="A83" s="36" t="s">
        <v>578</v>
      </c>
      <c r="B83" s="37">
        <v>1</v>
      </c>
    </row>
    <row r="84" spans="1:2" s="31" customFormat="1" ht="12.75" customHeight="1">
      <c r="A84" s="36" t="s">
        <v>350</v>
      </c>
      <c r="B84" s="37">
        <v>6</v>
      </c>
    </row>
    <row r="85" spans="1:2" s="31" customFormat="1" ht="12.75" customHeight="1">
      <c r="A85" s="36" t="s">
        <v>414</v>
      </c>
      <c r="B85" s="37">
        <v>1</v>
      </c>
    </row>
    <row r="86" spans="1:2" s="31" customFormat="1" ht="12.75" customHeight="1">
      <c r="A86" s="36" t="s">
        <v>444</v>
      </c>
      <c r="B86" s="37">
        <v>16</v>
      </c>
    </row>
    <row r="87" spans="1:2" s="31" customFormat="1" ht="12.75" customHeight="1">
      <c r="A87" s="36" t="s">
        <v>351</v>
      </c>
      <c r="B87" s="37">
        <v>12</v>
      </c>
    </row>
    <row r="88" spans="1:2" s="31" customFormat="1" ht="12.75" customHeight="1">
      <c r="A88" s="36" t="s">
        <v>352</v>
      </c>
      <c r="B88" s="37">
        <v>2</v>
      </c>
    </row>
    <row r="89" spans="1:2" s="31" customFormat="1" ht="12.75" customHeight="1">
      <c r="A89" s="36" t="s">
        <v>416</v>
      </c>
      <c r="B89" s="37">
        <v>3</v>
      </c>
    </row>
    <row r="90" spans="1:2" s="31" customFormat="1" ht="12.75" customHeight="1">
      <c r="A90" s="36" t="s">
        <v>353</v>
      </c>
      <c r="B90" s="37">
        <v>61</v>
      </c>
    </row>
    <row r="91" spans="1:2" s="31" customFormat="1" ht="12.75" customHeight="1">
      <c r="A91" s="36" t="s">
        <v>565</v>
      </c>
      <c r="B91" s="37">
        <v>2</v>
      </c>
    </row>
    <row r="92" spans="1:2" s="31" customFormat="1" ht="12.75" customHeight="1">
      <c r="A92" s="36" t="s">
        <v>554</v>
      </c>
      <c r="B92" s="37">
        <v>35</v>
      </c>
    </row>
    <row r="93" spans="1:2" s="31" customFormat="1" ht="12.75" customHeight="1">
      <c r="A93" s="36" t="s">
        <v>417</v>
      </c>
      <c r="B93" s="37">
        <v>4</v>
      </c>
    </row>
    <row r="94" spans="1:2" s="31" customFormat="1" ht="12.75" customHeight="1">
      <c r="A94" s="36" t="s">
        <v>45</v>
      </c>
      <c r="B94" s="37">
        <v>183</v>
      </c>
    </row>
    <row r="95" spans="1:2" ht="4.5" customHeight="1">
      <c r="A95" s="32"/>
      <c r="B95" s="33"/>
    </row>
    <row r="96" spans="1:2" s="31" customFormat="1" ht="12.75" customHeight="1">
      <c r="A96" s="34" t="s">
        <v>46</v>
      </c>
    </row>
    <row r="97" spans="1:3" s="31" customFormat="1" ht="12.75" customHeight="1">
      <c r="A97" s="292" t="s">
        <v>571</v>
      </c>
      <c r="B97" s="35">
        <v>117634</v>
      </c>
    </row>
    <row r="98" spans="1:3" ht="4.5" customHeight="1">
      <c r="A98" s="32"/>
      <c r="B98" s="33"/>
    </row>
    <row r="99" spans="1:3" s="31" customFormat="1" ht="12.75" customHeight="1">
      <c r="A99" s="36" t="s">
        <v>418</v>
      </c>
      <c r="B99" s="37">
        <v>1</v>
      </c>
      <c r="C99" s="37"/>
    </row>
    <row r="100" spans="1:3" s="31" customFormat="1" ht="12.75" customHeight="1">
      <c r="A100" s="36" t="s">
        <v>486</v>
      </c>
      <c r="B100" s="37">
        <v>8</v>
      </c>
      <c r="C100" s="37"/>
    </row>
    <row r="101" spans="1:3" s="31" customFormat="1" ht="12.75" customHeight="1">
      <c r="A101" s="36" t="s">
        <v>419</v>
      </c>
      <c r="B101" s="37">
        <v>1</v>
      </c>
      <c r="C101" s="37"/>
    </row>
    <row r="102" spans="1:3" s="31" customFormat="1" ht="12.75" customHeight="1">
      <c r="A102" s="36" t="s">
        <v>354</v>
      </c>
      <c r="B102" s="37">
        <v>1</v>
      </c>
      <c r="C102" s="37"/>
    </row>
    <row r="103" spans="1:3" s="31" customFormat="1" ht="12.75" customHeight="1">
      <c r="A103" s="36" t="s">
        <v>420</v>
      </c>
      <c r="B103" s="37">
        <v>2</v>
      </c>
      <c r="C103" s="37"/>
    </row>
    <row r="104" spans="1:3" s="31" customFormat="1" ht="12.75" customHeight="1">
      <c r="A104" s="36" t="s">
        <v>421</v>
      </c>
      <c r="B104" s="37">
        <v>3</v>
      </c>
      <c r="C104" s="37"/>
    </row>
    <row r="105" spans="1:3" s="31" customFormat="1" ht="12.75" customHeight="1">
      <c r="A105" s="36" t="s">
        <v>422</v>
      </c>
      <c r="B105" s="37">
        <v>1</v>
      </c>
      <c r="C105" s="37"/>
    </row>
    <row r="106" spans="1:3" s="31" customFormat="1" ht="12.75" customHeight="1">
      <c r="A106" s="36" t="s">
        <v>341</v>
      </c>
      <c r="B106" s="37">
        <v>12</v>
      </c>
      <c r="C106" s="37"/>
    </row>
    <row r="107" spans="1:3" s="31" customFormat="1" ht="12.75" customHeight="1">
      <c r="A107" s="36" t="s">
        <v>423</v>
      </c>
      <c r="B107" s="37">
        <v>1</v>
      </c>
      <c r="C107" s="37"/>
    </row>
    <row r="108" spans="1:3" s="31" customFormat="1" ht="12.75" customHeight="1">
      <c r="A108" s="36" t="s">
        <v>402</v>
      </c>
      <c r="B108" s="37">
        <v>3</v>
      </c>
      <c r="C108" s="37"/>
    </row>
    <row r="109" spans="1:3" s="31" customFormat="1" ht="12.75" customHeight="1">
      <c r="A109" s="36" t="s">
        <v>424</v>
      </c>
      <c r="B109" s="37">
        <v>8</v>
      </c>
      <c r="C109" s="37"/>
    </row>
    <row r="110" spans="1:3" s="31" customFormat="1" ht="12.75" customHeight="1">
      <c r="A110" s="36" t="s">
        <v>355</v>
      </c>
      <c r="B110" s="37">
        <v>35</v>
      </c>
      <c r="C110" s="37"/>
    </row>
    <row r="111" spans="1:3" s="31" customFormat="1" ht="12.75" customHeight="1">
      <c r="A111" s="36" t="s">
        <v>425</v>
      </c>
      <c r="B111" s="37">
        <v>31</v>
      </c>
      <c r="C111" s="37"/>
    </row>
    <row r="112" spans="1:3" s="31" customFormat="1" ht="12.75" customHeight="1">
      <c r="A112" s="36" t="s">
        <v>572</v>
      </c>
      <c r="B112" s="37">
        <v>4</v>
      </c>
      <c r="C112" s="37"/>
    </row>
    <row r="113" spans="1:3" s="31" customFormat="1" ht="12.75" customHeight="1">
      <c r="A113" s="36" t="s">
        <v>356</v>
      </c>
      <c r="B113" s="37">
        <v>15</v>
      </c>
      <c r="C113" s="37"/>
    </row>
    <row r="114" spans="1:3" s="31" customFormat="1" ht="12.75" customHeight="1">
      <c r="A114" s="36" t="s">
        <v>426</v>
      </c>
      <c r="B114" s="37">
        <v>1</v>
      </c>
      <c r="C114" s="37"/>
    </row>
    <row r="115" spans="1:3" s="31" customFormat="1" ht="12.75" customHeight="1">
      <c r="A115" s="36" t="s">
        <v>357</v>
      </c>
      <c r="B115" s="37">
        <v>107069</v>
      </c>
      <c r="C115" s="37"/>
    </row>
    <row r="116" spans="1:3" s="31" customFormat="1" ht="12.75" customHeight="1">
      <c r="A116" s="36" t="s">
        <v>358</v>
      </c>
      <c r="B116" s="37">
        <v>5</v>
      </c>
      <c r="C116" s="37"/>
    </row>
    <row r="117" spans="1:3" s="31" customFormat="1" ht="12.75" customHeight="1">
      <c r="A117" s="36" t="s">
        <v>427</v>
      </c>
      <c r="B117" s="37">
        <v>1</v>
      </c>
      <c r="C117" s="37"/>
    </row>
    <row r="118" spans="1:3" s="31" customFormat="1" ht="12.75" customHeight="1">
      <c r="A118" s="36" t="s">
        <v>406</v>
      </c>
      <c r="B118" s="37">
        <v>1</v>
      </c>
      <c r="C118" s="37"/>
    </row>
    <row r="119" spans="1:3" s="31" customFormat="1" ht="12.75" customHeight="1">
      <c r="A119" s="36" t="s">
        <v>428</v>
      </c>
      <c r="B119" s="37">
        <v>1</v>
      </c>
      <c r="C119" s="37"/>
    </row>
    <row r="120" spans="1:3" s="31" customFormat="1" ht="12.75" customHeight="1">
      <c r="A120" s="36" t="s">
        <v>359</v>
      </c>
      <c r="B120" s="37">
        <v>36</v>
      </c>
      <c r="C120" s="37"/>
    </row>
    <row r="121" spans="1:3" s="31" customFormat="1" ht="12.75" customHeight="1">
      <c r="A121" s="36" t="s">
        <v>360</v>
      </c>
      <c r="B121" s="37">
        <v>17</v>
      </c>
      <c r="C121" s="37"/>
    </row>
    <row r="122" spans="1:3" s="31" customFormat="1" ht="12.75" customHeight="1">
      <c r="A122" s="36" t="s">
        <v>429</v>
      </c>
      <c r="B122" s="37">
        <v>1</v>
      </c>
      <c r="C122" s="37"/>
    </row>
    <row r="123" spans="1:3" s="31" customFormat="1" ht="12.75" customHeight="1">
      <c r="A123" s="36" t="s">
        <v>430</v>
      </c>
      <c r="B123" s="37">
        <v>1</v>
      </c>
      <c r="C123" s="37"/>
    </row>
    <row r="124" spans="1:3" s="31" customFormat="1" ht="12.75" customHeight="1">
      <c r="A124" s="36" t="s">
        <v>361</v>
      </c>
      <c r="B124" s="37">
        <v>5</v>
      </c>
      <c r="C124" s="37"/>
    </row>
    <row r="125" spans="1:3" s="31" customFormat="1" ht="12.75" customHeight="1">
      <c r="A125" s="36" t="s">
        <v>362</v>
      </c>
      <c r="B125" s="37">
        <v>1397</v>
      </c>
      <c r="C125" s="37"/>
    </row>
    <row r="126" spans="1:3" s="31" customFormat="1" ht="12.75" customHeight="1">
      <c r="A126" s="36" t="s">
        <v>431</v>
      </c>
      <c r="B126" s="37">
        <v>2</v>
      </c>
      <c r="C126" s="37"/>
    </row>
    <row r="127" spans="1:3" s="31" customFormat="1" ht="12.75" customHeight="1">
      <c r="A127" s="36" t="s">
        <v>432</v>
      </c>
      <c r="B127" s="37">
        <v>1</v>
      </c>
      <c r="C127" s="37"/>
    </row>
    <row r="128" spans="1:3" s="31" customFormat="1" ht="12.75" customHeight="1">
      <c r="A128" s="36" t="s">
        <v>433</v>
      </c>
      <c r="B128" s="37">
        <v>1</v>
      </c>
      <c r="C128" s="37"/>
    </row>
    <row r="129" spans="1:3" s="31" customFormat="1" ht="12.75" customHeight="1">
      <c r="A129" s="36" t="s">
        <v>347</v>
      </c>
      <c r="B129" s="37">
        <v>2</v>
      </c>
      <c r="C129" s="37"/>
    </row>
    <row r="130" spans="1:3" s="31" customFormat="1" ht="12.75" customHeight="1">
      <c r="A130" s="36" t="s">
        <v>363</v>
      </c>
      <c r="B130" s="37">
        <v>53</v>
      </c>
      <c r="C130" s="37"/>
    </row>
    <row r="131" spans="1:3" s="31" customFormat="1" ht="12.75" customHeight="1">
      <c r="A131" s="36" t="s">
        <v>434</v>
      </c>
      <c r="B131" s="37">
        <v>1</v>
      </c>
      <c r="C131" s="37"/>
    </row>
    <row r="132" spans="1:3" s="31" customFormat="1" ht="12.75" customHeight="1">
      <c r="A132" s="36" t="s">
        <v>435</v>
      </c>
      <c r="B132" s="37">
        <v>2</v>
      </c>
      <c r="C132" s="37"/>
    </row>
    <row r="133" spans="1:3" s="31" customFormat="1" ht="12.75" customHeight="1">
      <c r="A133" s="36" t="s">
        <v>364</v>
      </c>
      <c r="B133" s="37">
        <v>20</v>
      </c>
      <c r="C133" s="37"/>
    </row>
    <row r="134" spans="1:3" s="31" customFormat="1" ht="12.75" customHeight="1">
      <c r="A134" s="36" t="s">
        <v>579</v>
      </c>
      <c r="B134" s="37">
        <v>4</v>
      </c>
      <c r="C134" s="37"/>
    </row>
    <row r="135" spans="1:3" s="31" customFormat="1" ht="12.75" customHeight="1">
      <c r="A135" s="36" t="s">
        <v>580</v>
      </c>
      <c r="B135" s="37">
        <v>1</v>
      </c>
      <c r="C135" s="37"/>
    </row>
    <row r="136" spans="1:3" s="31" customFormat="1" ht="12.75" customHeight="1">
      <c r="A136" s="36" t="s">
        <v>436</v>
      </c>
      <c r="B136" s="37">
        <v>1</v>
      </c>
      <c r="C136" s="37"/>
    </row>
    <row r="137" spans="1:3" s="31" customFormat="1" ht="12.75" customHeight="1">
      <c r="A137" s="36" t="s">
        <v>581</v>
      </c>
      <c r="B137" s="37">
        <v>12</v>
      </c>
      <c r="C137" s="37"/>
    </row>
    <row r="138" spans="1:3" s="31" customFormat="1" ht="12.75" customHeight="1">
      <c r="A138" s="36" t="s">
        <v>412</v>
      </c>
      <c r="B138" s="37">
        <v>3</v>
      </c>
      <c r="C138" s="37"/>
    </row>
    <row r="139" spans="1:3" s="31" customFormat="1" ht="12.75" customHeight="1">
      <c r="A139" s="36" t="s">
        <v>437</v>
      </c>
      <c r="B139" s="37">
        <v>1</v>
      </c>
      <c r="C139" s="37"/>
    </row>
    <row r="140" spans="1:3" s="31" customFormat="1" ht="12.75" customHeight="1">
      <c r="A140" s="36" t="s">
        <v>582</v>
      </c>
      <c r="B140" s="37">
        <v>1</v>
      </c>
      <c r="C140" s="37"/>
    </row>
    <row r="141" spans="1:3" s="31" customFormat="1" ht="12.75" customHeight="1">
      <c r="A141" s="36" t="s">
        <v>438</v>
      </c>
      <c r="B141" s="37">
        <v>1</v>
      </c>
      <c r="C141" s="37"/>
    </row>
    <row r="142" spans="1:3" s="31" customFormat="1" ht="12.75" customHeight="1">
      <c r="A142" s="36" t="s">
        <v>566</v>
      </c>
      <c r="B142" s="37">
        <v>1</v>
      </c>
      <c r="C142" s="37"/>
    </row>
    <row r="143" spans="1:3" s="31" customFormat="1" ht="12.75" customHeight="1">
      <c r="A143" s="36" t="s">
        <v>577</v>
      </c>
      <c r="B143" s="37">
        <v>1</v>
      </c>
      <c r="C143" s="37"/>
    </row>
    <row r="144" spans="1:3" s="31" customFormat="1" ht="12.75" customHeight="1">
      <c r="A144" s="36" t="s">
        <v>548</v>
      </c>
      <c r="B144" s="37">
        <v>1</v>
      </c>
      <c r="C144" s="37"/>
    </row>
    <row r="145" spans="1:3" s="31" customFormat="1" ht="12.75" customHeight="1">
      <c r="A145" s="36" t="s">
        <v>440</v>
      </c>
      <c r="B145" s="37">
        <v>1</v>
      </c>
      <c r="C145" s="37"/>
    </row>
    <row r="146" spans="1:3" s="31" customFormat="1" ht="12.75" customHeight="1">
      <c r="A146" s="36" t="s">
        <v>549</v>
      </c>
      <c r="B146" s="37">
        <v>14</v>
      </c>
      <c r="C146" s="37"/>
    </row>
    <row r="147" spans="1:3" s="31" customFormat="1" ht="12.75" customHeight="1">
      <c r="A147" s="36" t="s">
        <v>441</v>
      </c>
      <c r="B147" s="37">
        <v>1</v>
      </c>
      <c r="C147" s="37"/>
    </row>
    <row r="148" spans="1:3" s="31" customFormat="1" ht="12.75" customHeight="1">
      <c r="A148" s="36" t="s">
        <v>442</v>
      </c>
      <c r="B148" s="37">
        <v>4</v>
      </c>
      <c r="C148" s="37"/>
    </row>
    <row r="149" spans="1:3" s="31" customFormat="1" ht="12.75" customHeight="1">
      <c r="A149" s="36" t="s">
        <v>365</v>
      </c>
      <c r="B149" s="37">
        <v>1</v>
      </c>
      <c r="C149" s="37"/>
    </row>
    <row r="150" spans="1:3" s="31" customFormat="1" ht="12.75" customHeight="1">
      <c r="A150" s="36" t="s">
        <v>366</v>
      </c>
      <c r="B150" s="37">
        <v>4</v>
      </c>
      <c r="C150" s="37"/>
    </row>
    <row r="151" spans="1:3" s="31" customFormat="1" ht="12.75" customHeight="1">
      <c r="A151" s="36" t="s">
        <v>443</v>
      </c>
      <c r="B151" s="37">
        <v>1</v>
      </c>
      <c r="C151" s="37"/>
    </row>
    <row r="152" spans="1:3" s="31" customFormat="1" ht="12.75" customHeight="1">
      <c r="A152" s="36" t="s">
        <v>444</v>
      </c>
      <c r="B152" s="37">
        <v>15</v>
      </c>
      <c r="C152" s="37"/>
    </row>
    <row r="153" spans="1:3" s="31" customFormat="1" ht="12.75" customHeight="1">
      <c r="A153" s="36" t="s">
        <v>367</v>
      </c>
      <c r="B153" s="37">
        <v>49</v>
      </c>
      <c r="C153" s="37"/>
    </row>
    <row r="154" spans="1:3" s="31" customFormat="1" ht="12.75" customHeight="1">
      <c r="A154" s="36" t="s">
        <v>415</v>
      </c>
      <c r="B154" s="37">
        <v>1</v>
      </c>
      <c r="C154" s="37"/>
    </row>
    <row r="155" spans="1:3" s="31" customFormat="1" ht="12.75" customHeight="1">
      <c r="A155" s="36" t="s">
        <v>368</v>
      </c>
      <c r="B155" s="37">
        <v>7</v>
      </c>
      <c r="C155" s="37"/>
    </row>
    <row r="156" spans="1:3" s="31" customFormat="1" ht="12.75" customHeight="1">
      <c r="A156" s="36" t="s">
        <v>445</v>
      </c>
      <c r="B156" s="37">
        <v>1</v>
      </c>
      <c r="C156" s="37"/>
    </row>
    <row r="157" spans="1:3" s="31" customFormat="1" ht="12.75" customHeight="1">
      <c r="A157" s="36" t="s">
        <v>583</v>
      </c>
      <c r="B157" s="37">
        <v>1</v>
      </c>
      <c r="C157" s="37"/>
    </row>
    <row r="158" spans="1:3" s="31" customFormat="1" ht="12.75" customHeight="1">
      <c r="A158" s="36" t="s">
        <v>416</v>
      </c>
      <c r="B158" s="37">
        <v>13</v>
      </c>
      <c r="C158" s="37"/>
    </row>
    <row r="159" spans="1:3" s="31" customFormat="1" ht="12.75" customHeight="1">
      <c r="A159" s="36" t="s">
        <v>353</v>
      </c>
      <c r="B159" s="37">
        <v>347</v>
      </c>
      <c r="C159" s="37"/>
    </row>
    <row r="160" spans="1:3" s="31" customFormat="1" ht="12.75" customHeight="1">
      <c r="A160" s="36" t="s">
        <v>550</v>
      </c>
      <c r="B160" s="37">
        <v>1</v>
      </c>
      <c r="C160" s="37"/>
    </row>
    <row r="161" spans="1:3" s="31" customFormat="1" ht="12.75" customHeight="1">
      <c r="A161" s="36" t="s">
        <v>475</v>
      </c>
      <c r="B161" s="37">
        <v>27</v>
      </c>
      <c r="C161" s="37"/>
    </row>
    <row r="162" spans="1:3" s="31" customFormat="1" ht="12.75" customHeight="1">
      <c r="A162" s="36" t="s">
        <v>446</v>
      </c>
      <c r="B162" s="37">
        <v>1</v>
      </c>
      <c r="C162" s="37"/>
    </row>
    <row r="163" spans="1:3" s="31" customFormat="1" ht="12.75" customHeight="1">
      <c r="A163" s="36" t="s">
        <v>447</v>
      </c>
      <c r="B163" s="37">
        <v>4</v>
      </c>
      <c r="C163" s="37"/>
    </row>
    <row r="164" spans="1:3" s="31" customFormat="1" ht="12.75" customHeight="1">
      <c r="A164" s="36" t="s">
        <v>45</v>
      </c>
      <c r="B164" s="37">
        <v>11896</v>
      </c>
      <c r="C164" s="37"/>
    </row>
    <row r="165" spans="1:3" ht="4.5" customHeight="1">
      <c r="A165" s="32"/>
      <c r="B165" s="33"/>
    </row>
    <row r="166" spans="1:3" s="31" customFormat="1" ht="12.75" customHeight="1">
      <c r="A166" s="34" t="s">
        <v>335</v>
      </c>
      <c r="B166" s="37"/>
    </row>
    <row r="167" spans="1:3" ht="12.75" customHeight="1">
      <c r="A167" s="292" t="s">
        <v>571</v>
      </c>
      <c r="B167" s="35">
        <f>SUM(B169:B173)</f>
        <v>121159</v>
      </c>
    </row>
    <row r="168" spans="1:3" ht="4.5" customHeight="1">
      <c r="A168" s="32"/>
      <c r="B168" s="37"/>
    </row>
    <row r="169" spans="1:3" ht="12.75" customHeight="1">
      <c r="A169" s="36" t="s">
        <v>47</v>
      </c>
      <c r="B169" s="37">
        <v>104495</v>
      </c>
    </row>
    <row r="170" spans="1:3" ht="12.75" customHeight="1">
      <c r="A170" s="36" t="s">
        <v>48</v>
      </c>
      <c r="B170" s="37">
        <v>16286</v>
      </c>
    </row>
    <row r="171" spans="1:3" ht="12.75" customHeight="1">
      <c r="A171" s="36" t="s">
        <v>49</v>
      </c>
      <c r="B171" s="37">
        <v>20</v>
      </c>
    </row>
    <row r="172" spans="1:3" ht="12.75" customHeight="1">
      <c r="A172" s="36" t="s">
        <v>50</v>
      </c>
      <c r="B172" s="37">
        <v>3</v>
      </c>
    </row>
    <row r="173" spans="1:3" ht="12.75" customHeight="1">
      <c r="A173" s="36" t="s">
        <v>52</v>
      </c>
      <c r="B173" s="37">
        <v>355</v>
      </c>
    </row>
    <row r="174" spans="1:3" ht="4.5" customHeight="1">
      <c r="A174" s="32"/>
      <c r="B174" s="37"/>
    </row>
    <row r="175" spans="1:3" s="31" customFormat="1" ht="12.75" customHeight="1">
      <c r="A175" s="34" t="s">
        <v>53</v>
      </c>
      <c r="B175" s="37"/>
    </row>
    <row r="176" spans="1:3" ht="12.75" customHeight="1">
      <c r="A176" s="292" t="s">
        <v>571</v>
      </c>
      <c r="B176" s="35">
        <f>SUM(B178:B182)</f>
        <v>121159</v>
      </c>
    </row>
    <row r="177" spans="1:3" ht="4.5" customHeight="1">
      <c r="A177" s="32"/>
      <c r="B177" s="37"/>
    </row>
    <row r="178" spans="1:3" ht="12.75" customHeight="1">
      <c r="A178" s="36" t="s">
        <v>54</v>
      </c>
      <c r="B178" s="37">
        <v>44879</v>
      </c>
    </row>
    <row r="179" spans="1:3" ht="12.75" customHeight="1">
      <c r="A179" s="36" t="s">
        <v>55</v>
      </c>
      <c r="B179" s="37">
        <v>73997</v>
      </c>
    </row>
    <row r="180" spans="1:3" ht="12.75" customHeight="1">
      <c r="A180" s="36" t="s">
        <v>56</v>
      </c>
      <c r="B180" s="37">
        <v>458</v>
      </c>
    </row>
    <row r="181" spans="1:3" ht="12.75" customHeight="1">
      <c r="A181" s="36" t="s">
        <v>51</v>
      </c>
      <c r="B181" s="37">
        <v>152</v>
      </c>
    </row>
    <row r="182" spans="1:3" ht="12.75" customHeight="1">
      <c r="A182" s="36" t="s">
        <v>33</v>
      </c>
      <c r="B182" s="37">
        <v>1673</v>
      </c>
    </row>
    <row r="183" spans="1:3" ht="4.5" customHeight="1">
      <c r="A183" s="199"/>
      <c r="B183" s="200"/>
    </row>
    <row r="184" spans="1:3" ht="4.5" customHeight="1">
      <c r="A184" s="32"/>
      <c r="B184" s="33"/>
    </row>
    <row r="185" spans="1:3" ht="12.75" customHeight="1">
      <c r="A185" s="201" t="s">
        <v>57</v>
      </c>
      <c r="B185" s="201"/>
    </row>
    <row r="186" spans="1:3" ht="12.75" customHeight="1">
      <c r="A186" s="40" t="s">
        <v>58</v>
      </c>
      <c r="B186" s="202"/>
      <c r="C186" s="201"/>
    </row>
    <row r="187" spans="1:3" ht="12.75" customHeight="1">
      <c r="A187" s="41" t="s">
        <v>59</v>
      </c>
      <c r="B187" s="201"/>
      <c r="C187" s="201"/>
    </row>
    <row r="188" spans="1:3" ht="12.75" customHeight="1">
      <c r="A188" s="27"/>
      <c r="C188" s="201"/>
    </row>
    <row r="189" spans="1:3" ht="12.75" customHeight="1"/>
    <row r="190" spans="1:3" ht="12.75" customHeight="1"/>
    <row r="191" spans="1:3" ht="12.75" customHeight="1"/>
    <row r="192" spans="1:3" ht="12.75" customHeight="1"/>
    <row r="193" ht="12.75" customHeight="1"/>
    <row r="194" ht="12.75" customHeight="1"/>
    <row r="195" ht="12.75" customHeight="1"/>
  </sheetData>
  <mergeCells count="3">
    <mergeCell ref="A2:B2"/>
    <mergeCell ref="A3:B3"/>
    <mergeCell ref="A4:B4"/>
  </mergeCells>
  <phoneticPr fontId="2" type="noConversion"/>
  <printOptions horizontalCentered="1"/>
  <pageMargins left="0.78740157480314965" right="0.78740157480314965" top="0.31496062992125984" bottom="0.27" header="0" footer="0"/>
  <pageSetup scale="9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L35"/>
  <sheetViews>
    <sheetView showGridLines="0" zoomScaleNormal="100" workbookViewId="0">
      <selection activeCell="D34" sqref="D34"/>
    </sheetView>
  </sheetViews>
  <sheetFormatPr baseColWidth="10" defaultColWidth="9.140625" defaultRowHeight="12.75"/>
  <cols>
    <col min="1" max="1" width="18.7109375" style="28" customWidth="1"/>
    <col min="2" max="2" width="9.42578125" style="27" customWidth="1"/>
    <col min="3" max="3" width="9" style="27" customWidth="1"/>
    <col min="4" max="4" width="8.7109375" style="27" customWidth="1"/>
    <col min="5" max="5" width="8.140625" style="27" customWidth="1"/>
    <col min="6" max="6" width="7.5703125" style="27" customWidth="1"/>
    <col min="7" max="7" width="7.140625" style="27" customWidth="1"/>
    <col min="8" max="8" width="7.42578125" style="27" customWidth="1"/>
    <col min="9" max="9" width="7.85546875" style="27" customWidth="1"/>
    <col min="10" max="10" width="7" style="27" customWidth="1"/>
    <col min="11" max="11" width="8" style="27" customWidth="1"/>
    <col min="12" max="12" width="10.140625" style="27" customWidth="1"/>
    <col min="13" max="16384" width="9.140625" style="27"/>
  </cols>
  <sheetData>
    <row r="2" spans="1:12" ht="11.25" customHeight="1">
      <c r="A2" s="375" t="s">
        <v>60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1.25" customHeight="1">
      <c r="A3" s="376" t="s">
        <v>17</v>
      </c>
      <c r="B3" s="376"/>
      <c r="C3" s="376"/>
      <c r="D3" s="376"/>
      <c r="E3" s="376"/>
      <c r="F3" s="376"/>
      <c r="G3" s="376"/>
      <c r="H3" s="376"/>
      <c r="I3" s="376"/>
      <c r="J3" s="376"/>
      <c r="K3" s="376"/>
      <c r="L3" s="376"/>
    </row>
    <row r="4" spans="1:12" ht="11.25" customHeight="1">
      <c r="A4" s="376" t="s">
        <v>558</v>
      </c>
      <c r="B4" s="376"/>
      <c r="C4" s="376"/>
      <c r="D4" s="376"/>
      <c r="E4" s="376"/>
      <c r="F4" s="376"/>
      <c r="G4" s="376"/>
      <c r="H4" s="376"/>
      <c r="I4" s="376"/>
      <c r="J4" s="376"/>
      <c r="K4" s="376"/>
      <c r="L4" s="376"/>
    </row>
    <row r="5" spans="1:12" ht="11.25" customHeight="1"/>
    <row r="6" spans="1:12" s="31" customFormat="1">
      <c r="A6" s="377" t="s">
        <v>370</v>
      </c>
      <c r="B6" s="379" t="s">
        <v>61</v>
      </c>
      <c r="C6" s="381" t="s">
        <v>371</v>
      </c>
      <c r="D6" s="381"/>
      <c r="E6" s="381"/>
      <c r="F6" s="381"/>
      <c r="G6" s="381"/>
      <c r="H6" s="381"/>
      <c r="I6" s="381"/>
      <c r="J6" s="381"/>
      <c r="K6" s="381"/>
      <c r="L6" s="381"/>
    </row>
    <row r="7" spans="1:12" s="31" customFormat="1" ht="24.75" customHeight="1">
      <c r="A7" s="378"/>
      <c r="B7" s="380"/>
      <c r="C7" s="42" t="s">
        <v>62</v>
      </c>
      <c r="D7" s="42" t="s">
        <v>63</v>
      </c>
      <c r="E7" s="42" t="s">
        <v>64</v>
      </c>
      <c r="F7" s="42" t="s">
        <v>65</v>
      </c>
      <c r="G7" s="42" t="s">
        <v>66</v>
      </c>
      <c r="H7" s="42" t="s">
        <v>67</v>
      </c>
      <c r="I7" s="42" t="s">
        <v>68</v>
      </c>
      <c r="J7" s="42" t="s">
        <v>69</v>
      </c>
      <c r="K7" s="42" t="s">
        <v>70</v>
      </c>
      <c r="L7" s="42" t="s">
        <v>45</v>
      </c>
    </row>
    <row r="8" spans="1:12" s="31" customFormat="1" ht="4.5" customHeight="1">
      <c r="A8" s="4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2" s="31" customFormat="1">
      <c r="A9" s="292" t="s">
        <v>571</v>
      </c>
      <c r="B9" s="45">
        <f>SUM(B11:B19)</f>
        <v>196253</v>
      </c>
      <c r="C9" s="45">
        <v>14</v>
      </c>
      <c r="D9" s="45">
        <v>2176</v>
      </c>
      <c r="E9" s="45">
        <v>18681</v>
      </c>
      <c r="F9" s="45">
        <v>28038</v>
      </c>
      <c r="G9" s="45">
        <v>24470</v>
      </c>
      <c r="H9" s="45">
        <v>15178</v>
      </c>
      <c r="I9" s="45">
        <v>7964</v>
      </c>
      <c r="J9" s="45">
        <v>3808</v>
      </c>
      <c r="K9" s="45">
        <v>3131</v>
      </c>
      <c r="L9" s="45">
        <v>14174</v>
      </c>
    </row>
    <row r="10" spans="1:12" ht="4.5" customHeight="1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</row>
    <row r="11" spans="1:12">
      <c r="A11" s="46" t="s">
        <v>63</v>
      </c>
      <c r="B11" s="48">
        <f>C11+D11+E11+F11+G11+H11+I11+J11+K11+L11</f>
        <v>24619</v>
      </c>
      <c r="C11" s="48">
        <v>5</v>
      </c>
      <c r="D11" s="48">
        <v>1611</v>
      </c>
      <c r="E11" s="48">
        <v>8623</v>
      </c>
      <c r="F11" s="48">
        <v>5597</v>
      </c>
      <c r="G11" s="48">
        <v>2333</v>
      </c>
      <c r="H11" s="48">
        <v>1061</v>
      </c>
      <c r="I11" s="48">
        <v>537</v>
      </c>
      <c r="J11" s="48">
        <v>247</v>
      </c>
      <c r="K11" s="48">
        <v>276</v>
      </c>
      <c r="L11" s="48">
        <v>4329</v>
      </c>
    </row>
    <row r="12" spans="1:12">
      <c r="A12" s="46" t="s">
        <v>64</v>
      </c>
      <c r="B12" s="48">
        <f t="shared" ref="B12:B19" si="0">C12+D12+E12+F12+G12+H12+I12+J12+K12+L12</f>
        <v>53752</v>
      </c>
      <c r="C12" s="48">
        <v>5</v>
      </c>
      <c r="D12" s="48">
        <v>719</v>
      </c>
      <c r="E12" s="48">
        <v>10965</v>
      </c>
      <c r="F12" s="48">
        <v>15660</v>
      </c>
      <c r="G12" s="48">
        <v>9085</v>
      </c>
      <c r="H12" s="48">
        <v>3917</v>
      </c>
      <c r="I12" s="48">
        <v>1984</v>
      </c>
      <c r="J12" s="48">
        <v>988</v>
      </c>
      <c r="K12" s="48">
        <v>881</v>
      </c>
      <c r="L12" s="48">
        <v>9548</v>
      </c>
    </row>
    <row r="13" spans="1:12">
      <c r="A13" s="46" t="s">
        <v>65</v>
      </c>
      <c r="B13" s="48">
        <f t="shared" si="0"/>
        <v>47323</v>
      </c>
      <c r="C13" s="48">
        <v>9</v>
      </c>
      <c r="D13" s="48">
        <v>199</v>
      </c>
      <c r="E13" s="48">
        <v>3288</v>
      </c>
      <c r="F13" s="48">
        <v>11412</v>
      </c>
      <c r="G13" s="48">
        <v>12547</v>
      </c>
      <c r="H13" s="48">
        <v>6493</v>
      </c>
      <c r="I13" s="48">
        <v>3116</v>
      </c>
      <c r="J13" s="48">
        <v>1484</v>
      </c>
      <c r="K13" s="48">
        <v>1193</v>
      </c>
      <c r="L13" s="48">
        <v>7582</v>
      </c>
    </row>
    <row r="14" spans="1:12">
      <c r="A14" s="46" t="s">
        <v>66</v>
      </c>
      <c r="B14" s="48">
        <f t="shared" si="0"/>
        <v>32504</v>
      </c>
      <c r="C14" s="48">
        <v>11</v>
      </c>
      <c r="D14" s="48">
        <v>57</v>
      </c>
      <c r="E14" s="48">
        <v>960</v>
      </c>
      <c r="F14" s="48">
        <v>3596</v>
      </c>
      <c r="G14" s="48">
        <v>8455</v>
      </c>
      <c r="H14" s="48">
        <v>7298</v>
      </c>
      <c r="I14" s="48">
        <v>3661</v>
      </c>
      <c r="J14" s="48">
        <v>1624</v>
      </c>
      <c r="K14" s="48">
        <v>1426</v>
      </c>
      <c r="L14" s="48">
        <v>5416</v>
      </c>
    </row>
    <row r="15" spans="1:12">
      <c r="A15" s="46" t="s">
        <v>67</v>
      </c>
      <c r="B15" s="48">
        <f t="shared" si="0"/>
        <v>16226</v>
      </c>
      <c r="C15" s="48">
        <v>6</v>
      </c>
      <c r="D15" s="48">
        <v>31</v>
      </c>
      <c r="E15" s="48">
        <v>234</v>
      </c>
      <c r="F15" s="48">
        <v>849</v>
      </c>
      <c r="G15" s="48">
        <v>2059</v>
      </c>
      <c r="H15" s="48">
        <v>3756</v>
      </c>
      <c r="I15" s="48">
        <v>2945</v>
      </c>
      <c r="J15" s="48">
        <v>1544</v>
      </c>
      <c r="K15" s="48">
        <v>1338</v>
      </c>
      <c r="L15" s="48">
        <v>3464</v>
      </c>
    </row>
    <row r="16" spans="1:12">
      <c r="A16" s="46" t="s">
        <v>68</v>
      </c>
      <c r="B16" s="48">
        <f t="shared" si="0"/>
        <v>6683</v>
      </c>
      <c r="C16" s="48">
        <v>2</v>
      </c>
      <c r="D16" s="48">
        <v>7</v>
      </c>
      <c r="E16" s="48">
        <v>54</v>
      </c>
      <c r="F16" s="48">
        <v>161</v>
      </c>
      <c r="G16" s="48">
        <v>322</v>
      </c>
      <c r="H16" s="48">
        <v>681</v>
      </c>
      <c r="I16" s="48">
        <v>1245</v>
      </c>
      <c r="J16" s="48">
        <v>1082</v>
      </c>
      <c r="K16" s="48">
        <v>1158</v>
      </c>
      <c r="L16" s="48">
        <v>1971</v>
      </c>
    </row>
    <row r="17" spans="1:12">
      <c r="A17" s="46" t="s">
        <v>69</v>
      </c>
      <c r="B17" s="48">
        <f t="shared" si="0"/>
        <v>3077</v>
      </c>
      <c r="C17" s="48">
        <v>1</v>
      </c>
      <c r="D17" s="48">
        <v>4</v>
      </c>
      <c r="E17" s="48">
        <v>11</v>
      </c>
      <c r="F17" s="48">
        <v>21</v>
      </c>
      <c r="G17" s="48">
        <v>46</v>
      </c>
      <c r="H17" s="48">
        <v>133</v>
      </c>
      <c r="I17" s="48">
        <v>258</v>
      </c>
      <c r="J17" s="48">
        <v>447</v>
      </c>
      <c r="K17" s="48">
        <v>961</v>
      </c>
      <c r="L17" s="48">
        <v>1195</v>
      </c>
    </row>
    <row r="18" spans="1:12">
      <c r="A18" s="46" t="s">
        <v>70</v>
      </c>
      <c r="B18" s="48">
        <f t="shared" si="0"/>
        <v>5210</v>
      </c>
      <c r="C18" s="48">
        <v>2</v>
      </c>
      <c r="D18" s="48">
        <v>1</v>
      </c>
      <c r="E18" s="48">
        <v>26</v>
      </c>
      <c r="F18" s="48">
        <v>30</v>
      </c>
      <c r="G18" s="48">
        <v>40</v>
      </c>
      <c r="H18" s="48">
        <v>63</v>
      </c>
      <c r="I18" s="48">
        <v>110</v>
      </c>
      <c r="J18" s="48">
        <v>157</v>
      </c>
      <c r="K18" s="48">
        <v>2071</v>
      </c>
      <c r="L18" s="48">
        <v>2710</v>
      </c>
    </row>
    <row r="19" spans="1:12">
      <c r="A19" s="46" t="s">
        <v>33</v>
      </c>
      <c r="B19" s="48">
        <f t="shared" si="0"/>
        <v>6859</v>
      </c>
      <c r="C19" s="48">
        <v>3</v>
      </c>
      <c r="D19" s="48">
        <v>53</v>
      </c>
      <c r="E19" s="48">
        <v>168</v>
      </c>
      <c r="F19" s="48">
        <v>164</v>
      </c>
      <c r="G19" s="48">
        <v>128</v>
      </c>
      <c r="H19" s="48">
        <v>91</v>
      </c>
      <c r="I19" s="48">
        <v>112</v>
      </c>
      <c r="J19" s="48">
        <v>108</v>
      </c>
      <c r="K19" s="48">
        <v>690</v>
      </c>
      <c r="L19" s="48">
        <v>5342</v>
      </c>
    </row>
    <row r="20" spans="1:12" ht="4.5" customHeight="1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1:12" ht="4.5" customHeight="1"/>
    <row r="22" spans="1:12" s="201" customFormat="1" ht="11.25" customHeight="1">
      <c r="A22" s="49" t="s">
        <v>372</v>
      </c>
    </row>
    <row r="23" spans="1:12" s="201" customFormat="1" ht="11.25" customHeight="1">
      <c r="A23" s="49" t="s">
        <v>375</v>
      </c>
    </row>
    <row r="24" spans="1:12">
      <c r="C24" s="45"/>
    </row>
    <row r="27" spans="1:12" ht="13.5">
      <c r="B27"/>
    </row>
    <row r="28" spans="1:12" ht="13.5">
      <c r="B28"/>
    </row>
    <row r="29" spans="1:12" ht="13.5">
      <c r="B29"/>
    </row>
    <row r="30" spans="1:12" ht="13.5">
      <c r="B30"/>
    </row>
    <row r="31" spans="1:12" ht="13.5">
      <c r="B31"/>
    </row>
    <row r="32" spans="1:12" ht="13.5">
      <c r="B32"/>
    </row>
    <row r="33" spans="2:2" ht="13.5">
      <c r="B33"/>
    </row>
    <row r="34" spans="2:2" ht="13.5">
      <c r="B34"/>
    </row>
    <row r="35" spans="2:2" ht="13.5">
      <c r="B35"/>
    </row>
  </sheetData>
  <mergeCells count="6">
    <mergeCell ref="A6:A7"/>
    <mergeCell ref="B6:B7"/>
    <mergeCell ref="C6:L6"/>
    <mergeCell ref="A2:L2"/>
    <mergeCell ref="A3:L3"/>
    <mergeCell ref="A4:L4"/>
  </mergeCells>
  <phoneticPr fontId="2" type="noConversion"/>
  <printOptions horizontalCentered="1"/>
  <pageMargins left="0.27559055118110237" right="0.15748031496062992" top="0.98425196850393704" bottom="0.98425196850393704" header="0" footer="0"/>
  <pageSetup scale="9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9"/>
  <sheetViews>
    <sheetView showGridLines="0" zoomScaleNormal="100" workbookViewId="0">
      <selection activeCell="B11" sqref="B11:B20"/>
    </sheetView>
  </sheetViews>
  <sheetFormatPr baseColWidth="10" defaultColWidth="11.42578125" defaultRowHeight="12.75"/>
  <cols>
    <col min="1" max="1" width="19.28515625" style="28" customWidth="1"/>
    <col min="2" max="2" width="10" style="27" customWidth="1"/>
    <col min="3" max="3" width="10.42578125" style="27" customWidth="1"/>
    <col min="4" max="4" width="9.28515625" style="27" customWidth="1"/>
    <col min="5" max="5" width="8.85546875" style="27" customWidth="1"/>
    <col min="6" max="7" width="9.42578125" style="27" customWidth="1"/>
    <col min="8" max="8" width="9.28515625" style="27" customWidth="1"/>
    <col min="9" max="9" width="8.85546875" style="27" customWidth="1"/>
    <col min="10" max="10" width="9.5703125" style="27" customWidth="1"/>
    <col min="11" max="11" width="9.42578125" style="27" customWidth="1"/>
    <col min="12" max="16384" width="11.42578125" style="27"/>
  </cols>
  <sheetData>
    <row r="1" spans="1:13" ht="11.25" customHeight="1"/>
    <row r="2" spans="1:13" ht="11.25" customHeight="1">
      <c r="A2" s="375" t="s">
        <v>72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3" ht="11.25" customHeight="1">
      <c r="A3" s="376" t="s">
        <v>17</v>
      </c>
      <c r="B3" s="376"/>
      <c r="C3" s="376"/>
      <c r="D3" s="376"/>
      <c r="E3" s="376"/>
      <c r="F3" s="376"/>
      <c r="G3" s="376"/>
      <c r="H3" s="376"/>
      <c r="I3" s="376"/>
      <c r="J3" s="376"/>
      <c r="K3" s="376"/>
      <c r="L3" s="376"/>
    </row>
    <row r="4" spans="1:13" ht="11.25" customHeight="1">
      <c r="A4" s="376" t="s">
        <v>570</v>
      </c>
      <c r="B4" s="376"/>
      <c r="C4" s="376"/>
      <c r="D4" s="376"/>
      <c r="E4" s="376"/>
      <c r="F4" s="376"/>
      <c r="G4" s="376"/>
      <c r="H4" s="376"/>
      <c r="I4" s="376"/>
      <c r="J4" s="376"/>
      <c r="K4" s="376"/>
      <c r="L4" s="376"/>
    </row>
    <row r="5" spans="1:13" ht="11.25" customHeight="1"/>
    <row r="6" spans="1:13" s="31" customFormat="1" ht="15.75" customHeight="1">
      <c r="A6" s="382" t="s">
        <v>373</v>
      </c>
      <c r="B6" s="384" t="s">
        <v>61</v>
      </c>
      <c r="C6" s="386" t="s">
        <v>374</v>
      </c>
      <c r="D6" s="386"/>
      <c r="E6" s="386"/>
      <c r="F6" s="386"/>
      <c r="G6" s="386"/>
      <c r="H6" s="386"/>
      <c r="I6" s="386"/>
      <c r="J6" s="386"/>
      <c r="K6" s="386"/>
      <c r="L6" s="386"/>
    </row>
    <row r="7" spans="1:13" s="31" customFormat="1" ht="23.25" customHeight="1">
      <c r="A7" s="383"/>
      <c r="B7" s="385"/>
      <c r="C7" s="42" t="s">
        <v>62</v>
      </c>
      <c r="D7" s="42" t="s">
        <v>63</v>
      </c>
      <c r="E7" s="42" t="s">
        <v>64</v>
      </c>
      <c r="F7" s="42" t="s">
        <v>65</v>
      </c>
      <c r="G7" s="42" t="s">
        <v>66</v>
      </c>
      <c r="H7" s="42" t="s">
        <v>67</v>
      </c>
      <c r="I7" s="42" t="s">
        <v>68</v>
      </c>
      <c r="J7" s="42" t="s">
        <v>69</v>
      </c>
      <c r="K7" s="42" t="s">
        <v>70</v>
      </c>
      <c r="L7" s="219" t="s">
        <v>45</v>
      </c>
    </row>
    <row r="8" spans="1:13" s="31" customFormat="1" ht="5.0999999999999996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</row>
    <row r="9" spans="1:13" s="31" customFormat="1" ht="12.75" customHeight="1">
      <c r="A9" s="292" t="s">
        <v>571</v>
      </c>
      <c r="B9" s="53">
        <f>SUM(B11:B20)</f>
        <v>121159</v>
      </c>
      <c r="C9" s="53">
        <f t="shared" ref="C9:L9" si="0">SUM(C11:C20)</f>
        <v>15</v>
      </c>
      <c r="D9" s="53">
        <f t="shared" si="0"/>
        <v>1985</v>
      </c>
      <c r="E9" s="53">
        <f t="shared" si="0"/>
        <v>18897</v>
      </c>
      <c r="F9" s="53">
        <f t="shared" si="0"/>
        <v>28627</v>
      </c>
      <c r="G9" s="53">
        <f t="shared" si="0"/>
        <v>25729</v>
      </c>
      <c r="H9" s="53">
        <f t="shared" si="0"/>
        <v>15650</v>
      </c>
      <c r="I9" s="53">
        <f t="shared" si="0"/>
        <v>8404</v>
      </c>
      <c r="J9" s="53">
        <f t="shared" si="0"/>
        <v>4117</v>
      </c>
      <c r="K9" s="53">
        <f t="shared" si="0"/>
        <v>3216</v>
      </c>
      <c r="L9" s="53">
        <f t="shared" si="0"/>
        <v>14519</v>
      </c>
    </row>
    <row r="10" spans="1:13" s="31" customFormat="1" ht="5.0999999999999996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</row>
    <row r="11" spans="1:13" ht="12.75" customHeight="1">
      <c r="A11" s="36" t="s">
        <v>62</v>
      </c>
      <c r="B11" s="48">
        <f>C11+D11+E11+F11+G11+H11+I11+J11+K11+L11</f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8">
        <v>0</v>
      </c>
      <c r="M11" s="55"/>
    </row>
    <row r="12" spans="1:13" ht="12.75" customHeight="1">
      <c r="A12" s="36" t="s">
        <v>63</v>
      </c>
      <c r="B12" s="48">
        <f t="shared" ref="B12:B19" si="1">C12+D12+E12+F12+G12+H12+I12+J12+K12+L12</f>
        <v>16743</v>
      </c>
      <c r="C12" s="48">
        <v>4</v>
      </c>
      <c r="D12" s="48">
        <v>1146</v>
      </c>
      <c r="E12" s="48">
        <v>6126</v>
      </c>
      <c r="F12" s="48">
        <v>3927</v>
      </c>
      <c r="G12" s="48">
        <v>1592</v>
      </c>
      <c r="H12" s="48">
        <v>724</v>
      </c>
      <c r="I12" s="48">
        <v>347</v>
      </c>
      <c r="J12" s="48">
        <v>169</v>
      </c>
      <c r="K12" s="48">
        <v>164</v>
      </c>
      <c r="L12" s="48">
        <v>2544</v>
      </c>
      <c r="M12" s="55"/>
    </row>
    <row r="13" spans="1:13" ht="12.75" customHeight="1">
      <c r="A13" s="36" t="s">
        <v>64</v>
      </c>
      <c r="B13" s="48">
        <f t="shared" si="1"/>
        <v>39008</v>
      </c>
      <c r="C13" s="48">
        <v>3</v>
      </c>
      <c r="D13" s="48">
        <v>578</v>
      </c>
      <c r="E13" s="48">
        <v>8875</v>
      </c>
      <c r="F13" s="48">
        <v>12001</v>
      </c>
      <c r="G13" s="48">
        <v>6826</v>
      </c>
      <c r="H13" s="48">
        <v>2883</v>
      </c>
      <c r="I13" s="48">
        <v>1425</v>
      </c>
      <c r="J13" s="48">
        <v>715</v>
      </c>
      <c r="K13" s="48">
        <v>598</v>
      </c>
      <c r="L13" s="48">
        <v>5104</v>
      </c>
      <c r="M13" s="55"/>
    </row>
    <row r="14" spans="1:13" ht="12.75" customHeight="1">
      <c r="A14" s="36" t="s">
        <v>65</v>
      </c>
      <c r="B14" s="48">
        <f t="shared" si="1"/>
        <v>33094</v>
      </c>
      <c r="C14" s="48">
        <v>3</v>
      </c>
      <c r="D14" s="48">
        <v>161</v>
      </c>
      <c r="E14" s="48">
        <v>2722</v>
      </c>
      <c r="F14" s="48">
        <v>8988</v>
      </c>
      <c r="G14" s="48">
        <v>9351</v>
      </c>
      <c r="H14" s="48">
        <v>4534</v>
      </c>
      <c r="I14" s="48">
        <v>2169</v>
      </c>
      <c r="J14" s="48">
        <v>1016</v>
      </c>
      <c r="K14" s="48">
        <v>776</v>
      </c>
      <c r="L14" s="48">
        <v>3374</v>
      </c>
      <c r="M14" s="55"/>
    </row>
    <row r="15" spans="1:13" ht="12.75" customHeight="1">
      <c r="A15" s="36" t="s">
        <v>66</v>
      </c>
      <c r="B15" s="48">
        <f t="shared" si="1"/>
        <v>20860</v>
      </c>
      <c r="C15" s="48">
        <v>4</v>
      </c>
      <c r="D15" s="48">
        <v>40</v>
      </c>
      <c r="E15" s="48">
        <v>811</v>
      </c>
      <c r="F15" s="48">
        <v>2815</v>
      </c>
      <c r="G15" s="48">
        <v>6244</v>
      </c>
      <c r="H15" s="48">
        <v>4802</v>
      </c>
      <c r="I15" s="48">
        <v>2335</v>
      </c>
      <c r="J15" s="48">
        <v>1076</v>
      </c>
      <c r="K15" s="48">
        <v>832</v>
      </c>
      <c r="L15" s="48">
        <v>1901</v>
      </c>
      <c r="M15" s="55"/>
    </row>
    <row r="16" spans="1:13" ht="12.75" customHeight="1">
      <c r="A16" s="36" t="s">
        <v>67</v>
      </c>
      <c r="B16" s="48">
        <f t="shared" si="1"/>
        <v>8512</v>
      </c>
      <c r="C16" s="48">
        <v>1</v>
      </c>
      <c r="D16" s="48">
        <v>22</v>
      </c>
      <c r="E16" s="48">
        <v>192</v>
      </c>
      <c r="F16" s="48">
        <v>666</v>
      </c>
      <c r="G16" s="48">
        <v>1447</v>
      </c>
      <c r="H16" s="48">
        <v>2332</v>
      </c>
      <c r="I16" s="48">
        <v>1597</v>
      </c>
      <c r="J16" s="48">
        <v>821</v>
      </c>
      <c r="K16" s="48">
        <v>607</v>
      </c>
      <c r="L16" s="48">
        <v>827</v>
      </c>
      <c r="M16" s="55"/>
    </row>
    <row r="17" spans="1:13" ht="12.75" customHeight="1">
      <c r="A17" s="36" t="s">
        <v>68</v>
      </c>
      <c r="B17" s="48">
        <f t="shared" si="1"/>
        <v>1788</v>
      </c>
      <c r="C17" s="48">
        <v>0</v>
      </c>
      <c r="D17" s="48">
        <v>2</v>
      </c>
      <c r="E17" s="48">
        <v>43</v>
      </c>
      <c r="F17" s="48">
        <v>109</v>
      </c>
      <c r="G17" s="48">
        <v>188</v>
      </c>
      <c r="H17" s="48">
        <v>318</v>
      </c>
      <c r="I17" s="48">
        <v>479</v>
      </c>
      <c r="J17" s="48">
        <v>275</v>
      </c>
      <c r="K17" s="48">
        <v>190</v>
      </c>
      <c r="L17" s="48">
        <v>184</v>
      </c>
      <c r="M17" s="55"/>
    </row>
    <row r="18" spans="1:13" ht="12.75" customHeight="1">
      <c r="A18" s="36" t="s">
        <v>69</v>
      </c>
      <c r="B18" s="48">
        <f t="shared" si="1"/>
        <v>144</v>
      </c>
      <c r="C18" s="48">
        <v>0</v>
      </c>
      <c r="D18" s="48">
        <v>0</v>
      </c>
      <c r="E18" s="48">
        <v>5</v>
      </c>
      <c r="F18" s="48">
        <v>7</v>
      </c>
      <c r="G18" s="48">
        <v>13</v>
      </c>
      <c r="H18" s="48">
        <v>15</v>
      </c>
      <c r="I18" s="48">
        <v>26</v>
      </c>
      <c r="J18" s="48">
        <v>30</v>
      </c>
      <c r="K18" s="48">
        <v>27</v>
      </c>
      <c r="L18" s="48">
        <v>21</v>
      </c>
      <c r="M18" s="55"/>
    </row>
    <row r="19" spans="1:13" ht="12.75" customHeight="1">
      <c r="A19" s="36" t="s">
        <v>70</v>
      </c>
      <c r="B19" s="48">
        <f t="shared" si="1"/>
        <v>30</v>
      </c>
      <c r="C19" s="48">
        <v>0</v>
      </c>
      <c r="D19" s="48">
        <v>0</v>
      </c>
      <c r="E19" s="48">
        <v>2</v>
      </c>
      <c r="F19" s="48">
        <v>4</v>
      </c>
      <c r="G19" s="48">
        <v>3</v>
      </c>
      <c r="H19" s="48">
        <v>3</v>
      </c>
      <c r="I19" s="48">
        <v>5</v>
      </c>
      <c r="J19" s="48">
        <v>1</v>
      </c>
      <c r="K19" s="48">
        <v>12</v>
      </c>
      <c r="L19" s="48">
        <v>0</v>
      </c>
      <c r="M19" s="55"/>
    </row>
    <row r="20" spans="1:13" ht="12.75" customHeight="1">
      <c r="A20" s="46" t="s">
        <v>33</v>
      </c>
      <c r="B20" s="48">
        <f>C20+D20+E20+F20+G20+H20+I20+J20+K20+L20</f>
        <v>980</v>
      </c>
      <c r="C20" s="48">
        <v>0</v>
      </c>
      <c r="D20" s="48">
        <v>36</v>
      </c>
      <c r="E20" s="48">
        <v>121</v>
      </c>
      <c r="F20" s="48">
        <v>110</v>
      </c>
      <c r="G20" s="48">
        <v>65</v>
      </c>
      <c r="H20" s="48">
        <v>39</v>
      </c>
      <c r="I20" s="48">
        <v>21</v>
      </c>
      <c r="J20" s="48">
        <v>14</v>
      </c>
      <c r="K20" s="48">
        <v>10</v>
      </c>
      <c r="L20" s="48">
        <v>564</v>
      </c>
      <c r="M20" s="55"/>
    </row>
    <row r="21" spans="1:13" ht="5.0999999999999996" customHeight="1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3" ht="5.0999999999999996" customHeight="1"/>
    <row r="23" spans="1:13" s="201" customFormat="1" ht="12.75" customHeight="1">
      <c r="A23" s="57" t="s">
        <v>319</v>
      </c>
    </row>
    <row r="24" spans="1:13" s="201" customFormat="1" ht="12.75" customHeight="1">
      <c r="A24" s="58" t="s">
        <v>375</v>
      </c>
    </row>
    <row r="25" spans="1:13" ht="12.75" customHeight="1"/>
    <row r="26" spans="1:13" ht="12.75" customHeight="1"/>
    <row r="27" spans="1:13" ht="12.75" customHeight="1"/>
    <row r="28" spans="1:13" ht="12.75" customHeight="1"/>
    <row r="29" spans="1:13" ht="12.75" customHeight="1"/>
  </sheetData>
  <mergeCells count="6">
    <mergeCell ref="A3:L3"/>
    <mergeCell ref="A2:L2"/>
    <mergeCell ref="A6:A7"/>
    <mergeCell ref="B6:B7"/>
    <mergeCell ref="C6:L6"/>
    <mergeCell ref="A4:L4"/>
  </mergeCells>
  <phoneticPr fontId="2" type="noConversion"/>
  <printOptions horizontalCentered="1"/>
  <pageMargins left="0.24" right="0.23" top="0.98425196850393704" bottom="0.98425196850393704" header="0.47244094488188981" footer="0.39370078740157483"/>
  <pageSetup scale="9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6"/>
  <sheetViews>
    <sheetView showGridLines="0" zoomScaleNormal="100" workbookViewId="0">
      <selection activeCell="A45" sqref="A45:A46"/>
    </sheetView>
  </sheetViews>
  <sheetFormatPr baseColWidth="10" defaultColWidth="11.42578125" defaultRowHeight="12.75" customHeight="1"/>
  <cols>
    <col min="1" max="1" width="24.7109375" style="28" customWidth="1"/>
    <col min="2" max="2" width="10" style="27" customWidth="1"/>
    <col min="3" max="4" width="10.5703125" style="27" customWidth="1"/>
    <col min="5" max="16384" width="11.42578125" style="27"/>
  </cols>
  <sheetData>
    <row r="1" spans="1:4" ht="11.25" customHeight="1"/>
    <row r="2" spans="1:4" s="31" customFormat="1" ht="11.25" customHeight="1">
      <c r="A2" s="375" t="s">
        <v>73</v>
      </c>
      <c r="B2" s="375"/>
      <c r="C2" s="375"/>
      <c r="D2" s="375"/>
    </row>
    <row r="3" spans="1:4" ht="11.25" customHeight="1">
      <c r="A3" s="376" t="s">
        <v>17</v>
      </c>
      <c r="B3" s="376"/>
      <c r="C3" s="376"/>
      <c r="D3" s="376"/>
    </row>
    <row r="4" spans="1:4" ht="11.25" customHeight="1">
      <c r="A4" s="376" t="s">
        <v>567</v>
      </c>
      <c r="B4" s="376"/>
      <c r="C4" s="376"/>
      <c r="D4" s="376"/>
    </row>
    <row r="5" spans="1:4" ht="11.25" customHeight="1"/>
    <row r="6" spans="1:4" s="31" customFormat="1" ht="12.75" customHeight="1">
      <c r="A6" s="382" t="s">
        <v>74</v>
      </c>
      <c r="B6" s="384" t="s">
        <v>61</v>
      </c>
      <c r="C6" s="386" t="s">
        <v>75</v>
      </c>
      <c r="D6" s="386"/>
    </row>
    <row r="7" spans="1:4" s="31" customFormat="1" ht="12.75" customHeight="1">
      <c r="A7" s="383"/>
      <c r="B7" s="385"/>
      <c r="C7" s="50" t="s">
        <v>38</v>
      </c>
      <c r="D7" s="50" t="s">
        <v>39</v>
      </c>
    </row>
    <row r="8" spans="1:4" s="31" customFormat="1" ht="5.0999999999999996" customHeight="1">
      <c r="A8" s="59"/>
      <c r="B8" s="60"/>
      <c r="C8" s="60"/>
      <c r="D8" s="60"/>
    </row>
    <row r="9" spans="1:4" s="31" customFormat="1" ht="12.75" customHeight="1">
      <c r="A9" s="292" t="s">
        <v>571</v>
      </c>
      <c r="B9" s="53">
        <f>SUM(B10:B42)</f>
        <v>121159</v>
      </c>
      <c r="C9" s="53">
        <f>SUM(C10:C42)</f>
        <v>61975</v>
      </c>
      <c r="D9" s="53">
        <f>SUM(D10:D42)</f>
        <v>59184</v>
      </c>
    </row>
    <row r="10" spans="1:4" s="31" customFormat="1" ht="5.0999999999999996" customHeight="1">
      <c r="A10" s="59"/>
      <c r="B10" s="60"/>
      <c r="C10" s="60"/>
      <c r="D10" s="60"/>
    </row>
    <row r="11" spans="1:4" ht="12.75" customHeight="1">
      <c r="A11" s="36" t="s">
        <v>76</v>
      </c>
      <c r="B11" s="55">
        <v>29247</v>
      </c>
      <c r="C11" s="55">
        <v>14824</v>
      </c>
      <c r="D11" s="55">
        <v>14423</v>
      </c>
    </row>
    <row r="12" spans="1:4" ht="12.75" customHeight="1">
      <c r="A12" s="36" t="s">
        <v>77</v>
      </c>
      <c r="B12" s="55">
        <v>3522</v>
      </c>
      <c r="C12" s="55">
        <v>1820</v>
      </c>
      <c r="D12" s="55">
        <v>1702</v>
      </c>
    </row>
    <row r="13" spans="1:4" ht="12.75" customHeight="1">
      <c r="A13" s="36" t="s">
        <v>78</v>
      </c>
      <c r="B13" s="55">
        <v>1112</v>
      </c>
      <c r="C13" s="55">
        <v>573</v>
      </c>
      <c r="D13" s="55">
        <v>539</v>
      </c>
    </row>
    <row r="14" spans="1:4" ht="12.75" customHeight="1">
      <c r="A14" s="36" t="s">
        <v>79</v>
      </c>
      <c r="B14" s="55">
        <v>3174</v>
      </c>
      <c r="C14" s="55">
        <v>1610</v>
      </c>
      <c r="D14" s="55">
        <v>1564</v>
      </c>
    </row>
    <row r="15" spans="1:4" ht="12.75" customHeight="1">
      <c r="A15" s="36" t="s">
        <v>80</v>
      </c>
      <c r="B15" s="55">
        <v>454</v>
      </c>
      <c r="C15" s="55">
        <v>238</v>
      </c>
      <c r="D15" s="55">
        <v>216</v>
      </c>
    </row>
    <row r="16" spans="1:4" ht="12.75" customHeight="1">
      <c r="A16" s="36" t="s">
        <v>81</v>
      </c>
      <c r="B16" s="55">
        <v>4082</v>
      </c>
      <c r="C16" s="55">
        <v>2113</v>
      </c>
      <c r="D16" s="55">
        <v>1969</v>
      </c>
    </row>
    <row r="17" spans="1:4" ht="12.75" customHeight="1">
      <c r="A17" s="36" t="s">
        <v>82</v>
      </c>
      <c r="B17" s="55">
        <v>407</v>
      </c>
      <c r="C17" s="55">
        <v>190</v>
      </c>
      <c r="D17" s="55">
        <v>217</v>
      </c>
    </row>
    <row r="18" spans="1:4" ht="12.75" customHeight="1">
      <c r="A18" s="36" t="s">
        <v>83</v>
      </c>
      <c r="B18" s="55">
        <v>679</v>
      </c>
      <c r="C18" s="55">
        <v>346</v>
      </c>
      <c r="D18" s="55">
        <v>333</v>
      </c>
    </row>
    <row r="19" spans="1:4" ht="12.75" customHeight="1">
      <c r="A19" s="36" t="s">
        <v>84</v>
      </c>
      <c r="B19" s="55">
        <v>2341</v>
      </c>
      <c r="C19" s="55">
        <v>1218</v>
      </c>
      <c r="D19" s="55">
        <v>1123</v>
      </c>
    </row>
    <row r="20" spans="1:4" ht="12.75" customHeight="1">
      <c r="A20" s="36" t="s">
        <v>85</v>
      </c>
      <c r="B20" s="55">
        <v>453</v>
      </c>
      <c r="C20" s="55">
        <v>239</v>
      </c>
      <c r="D20" s="55">
        <v>214</v>
      </c>
    </row>
    <row r="21" spans="1:4" ht="12.75" customHeight="1">
      <c r="A21" s="36" t="s">
        <v>86</v>
      </c>
      <c r="B21" s="55">
        <v>3071</v>
      </c>
      <c r="C21" s="55">
        <v>1564</v>
      </c>
      <c r="D21" s="55">
        <v>1507</v>
      </c>
    </row>
    <row r="22" spans="1:4" ht="12.75" customHeight="1">
      <c r="A22" s="36" t="s">
        <v>87</v>
      </c>
      <c r="B22" s="55">
        <v>3205</v>
      </c>
      <c r="C22" s="55">
        <v>1653</v>
      </c>
      <c r="D22" s="55">
        <v>1552</v>
      </c>
    </row>
    <row r="23" spans="1:4" ht="12.75" customHeight="1">
      <c r="A23" s="36" t="s">
        <v>88</v>
      </c>
      <c r="B23" s="55">
        <v>4580</v>
      </c>
      <c r="C23" s="55">
        <v>2312</v>
      </c>
      <c r="D23" s="55">
        <v>2268</v>
      </c>
    </row>
    <row r="24" spans="1:4" ht="12.75" customHeight="1">
      <c r="A24" s="36" t="s">
        <v>89</v>
      </c>
      <c r="B24" s="55">
        <v>1644</v>
      </c>
      <c r="C24" s="55">
        <v>855</v>
      </c>
      <c r="D24" s="55">
        <v>789</v>
      </c>
    </row>
    <row r="25" spans="1:4" ht="12.75" customHeight="1">
      <c r="A25" s="36" t="s">
        <v>90</v>
      </c>
      <c r="B25" s="55">
        <v>727</v>
      </c>
      <c r="C25" s="55">
        <v>373</v>
      </c>
      <c r="D25" s="55">
        <v>354</v>
      </c>
    </row>
    <row r="26" spans="1:4" ht="12.75" customHeight="1">
      <c r="A26" s="36" t="s">
        <v>91</v>
      </c>
      <c r="B26" s="55">
        <v>178</v>
      </c>
      <c r="C26" s="55">
        <v>85</v>
      </c>
      <c r="D26" s="55">
        <v>93</v>
      </c>
    </row>
    <row r="27" spans="1:4" ht="12.75" customHeight="1">
      <c r="A27" s="36" t="s">
        <v>92</v>
      </c>
      <c r="B27" s="55">
        <v>1938</v>
      </c>
      <c r="C27" s="55">
        <v>970</v>
      </c>
      <c r="D27" s="55">
        <v>968</v>
      </c>
    </row>
    <row r="28" spans="1:4" ht="12.75" customHeight="1">
      <c r="A28" s="36" t="s">
        <v>93</v>
      </c>
      <c r="B28" s="55">
        <v>2874</v>
      </c>
      <c r="C28" s="55">
        <v>1501</v>
      </c>
      <c r="D28" s="55">
        <v>1373</v>
      </c>
    </row>
    <row r="29" spans="1:4" ht="12.75" customHeight="1">
      <c r="A29" s="36" t="s">
        <v>94</v>
      </c>
      <c r="B29" s="55">
        <v>1136</v>
      </c>
      <c r="C29" s="55">
        <v>573</v>
      </c>
      <c r="D29" s="55">
        <v>563</v>
      </c>
    </row>
    <row r="30" spans="1:4" ht="12.75" customHeight="1">
      <c r="A30" s="36" t="s">
        <v>95</v>
      </c>
      <c r="B30" s="55">
        <v>1095</v>
      </c>
      <c r="C30" s="55">
        <v>571</v>
      </c>
      <c r="D30" s="55">
        <v>524</v>
      </c>
    </row>
    <row r="31" spans="1:4" ht="12.75" customHeight="1">
      <c r="A31" s="36" t="s">
        <v>96</v>
      </c>
      <c r="B31" s="55">
        <v>6401</v>
      </c>
      <c r="C31" s="55">
        <v>3402</v>
      </c>
      <c r="D31" s="55">
        <v>2999</v>
      </c>
    </row>
    <row r="32" spans="1:4" ht="12.75" customHeight="1">
      <c r="A32" s="36" t="s">
        <v>97</v>
      </c>
      <c r="B32" s="55">
        <v>2733</v>
      </c>
      <c r="C32" s="55">
        <v>1415</v>
      </c>
      <c r="D32" s="55">
        <v>1318</v>
      </c>
    </row>
    <row r="33" spans="1:4" ht="12.75" customHeight="1">
      <c r="A33" s="36" t="s">
        <v>98</v>
      </c>
      <c r="B33" s="55">
        <v>4241</v>
      </c>
      <c r="C33" s="55">
        <v>2149</v>
      </c>
      <c r="D33" s="55">
        <v>2092</v>
      </c>
    </row>
    <row r="34" spans="1:4" ht="12.75" customHeight="1">
      <c r="A34" s="36" t="s">
        <v>99</v>
      </c>
      <c r="B34" s="55">
        <v>1803</v>
      </c>
      <c r="C34" s="55">
        <v>942</v>
      </c>
      <c r="D34" s="55">
        <v>861</v>
      </c>
    </row>
    <row r="35" spans="1:4" ht="12.75" customHeight="1">
      <c r="A35" s="36" t="s">
        <v>100</v>
      </c>
      <c r="B35" s="55">
        <v>14445</v>
      </c>
      <c r="C35" s="55">
        <v>7414</v>
      </c>
      <c r="D35" s="55">
        <v>7031</v>
      </c>
    </row>
    <row r="36" spans="1:4" ht="12.75" customHeight="1">
      <c r="A36" s="36" t="s">
        <v>101</v>
      </c>
      <c r="B36" s="55">
        <v>908</v>
      </c>
      <c r="C36" s="55">
        <v>460</v>
      </c>
      <c r="D36" s="55">
        <v>448</v>
      </c>
    </row>
    <row r="37" spans="1:4" ht="12.75" customHeight="1">
      <c r="A37" s="36" t="s">
        <v>102</v>
      </c>
      <c r="B37" s="55">
        <v>1722</v>
      </c>
      <c r="C37" s="55">
        <v>835</v>
      </c>
      <c r="D37" s="55">
        <v>887</v>
      </c>
    </row>
    <row r="38" spans="1:4" ht="12.75" customHeight="1">
      <c r="A38" s="36" t="s">
        <v>103</v>
      </c>
      <c r="B38" s="55">
        <v>2156</v>
      </c>
      <c r="C38" s="55">
        <v>1053</v>
      </c>
      <c r="D38" s="55">
        <v>1103</v>
      </c>
    </row>
    <row r="39" spans="1:4" ht="12.75" customHeight="1">
      <c r="A39" s="36" t="s">
        <v>104</v>
      </c>
      <c r="B39" s="55">
        <v>1032</v>
      </c>
      <c r="C39" s="55">
        <v>537</v>
      </c>
      <c r="D39" s="55">
        <v>495</v>
      </c>
    </row>
    <row r="40" spans="1:4" ht="12.75" customHeight="1">
      <c r="A40" s="36" t="s">
        <v>105</v>
      </c>
      <c r="B40" s="55">
        <v>467</v>
      </c>
      <c r="C40" s="55">
        <v>239</v>
      </c>
      <c r="D40" s="55">
        <v>228</v>
      </c>
    </row>
    <row r="41" spans="1:4" ht="12.75" customHeight="1">
      <c r="A41" s="36" t="s">
        <v>106</v>
      </c>
      <c r="B41" s="55">
        <v>482</v>
      </c>
      <c r="C41" s="55">
        <v>248</v>
      </c>
      <c r="D41" s="55">
        <v>234</v>
      </c>
    </row>
    <row r="42" spans="1:4" ht="12.75" customHeight="1">
      <c r="A42" s="36" t="s">
        <v>107</v>
      </c>
      <c r="B42" s="55">
        <v>18850</v>
      </c>
      <c r="C42" s="55">
        <v>9653</v>
      </c>
      <c r="D42" s="55">
        <v>9197</v>
      </c>
    </row>
    <row r="43" spans="1:4" ht="5.0999999999999996" customHeight="1">
      <c r="A43" s="38"/>
      <c r="B43" s="39"/>
      <c r="C43" s="39"/>
      <c r="D43" s="39"/>
    </row>
    <row r="44" spans="1:4" ht="5.0999999999999996" customHeight="1"/>
    <row r="45" spans="1:4" ht="12.75" customHeight="1">
      <c r="A45" s="57" t="s">
        <v>319</v>
      </c>
    </row>
    <row r="46" spans="1:4" ht="12.75" customHeight="1">
      <c r="A46" s="58" t="s">
        <v>375</v>
      </c>
    </row>
  </sheetData>
  <mergeCells count="6">
    <mergeCell ref="C6:D6"/>
    <mergeCell ref="B6:B7"/>
    <mergeCell ref="A6:A7"/>
    <mergeCell ref="A2:D2"/>
    <mergeCell ref="A3:D3"/>
    <mergeCell ref="A4:D4"/>
  </mergeCells>
  <phoneticPr fontId="2" type="noConversion"/>
  <printOptions horizontalCentered="1"/>
  <pageMargins left="0.78740157480314965" right="0.78740157480314965" top="0.98425196850393704" bottom="0.98425196850393704" header="0" footer="0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2:E74"/>
  <sheetViews>
    <sheetView showGridLines="0" workbookViewId="0">
      <selection activeCell="E27" sqref="E27"/>
    </sheetView>
  </sheetViews>
  <sheetFormatPr baseColWidth="10" defaultColWidth="11.42578125" defaultRowHeight="12.75" customHeight="1"/>
  <cols>
    <col min="1" max="1" width="24.85546875" style="28" customWidth="1"/>
    <col min="2" max="4" width="12" style="27" customWidth="1"/>
    <col min="5" max="16384" width="11.42578125" style="27"/>
  </cols>
  <sheetData>
    <row r="2" spans="1:5" ht="11.25" customHeight="1">
      <c r="A2" s="375" t="s">
        <v>109</v>
      </c>
      <c r="B2" s="375"/>
      <c r="C2" s="375"/>
      <c r="D2" s="375"/>
    </row>
    <row r="3" spans="1:5" ht="11.25" customHeight="1">
      <c r="A3" s="376" t="s">
        <v>17</v>
      </c>
      <c r="B3" s="376"/>
      <c r="C3" s="376"/>
      <c r="D3" s="376"/>
    </row>
    <row r="4" spans="1:5" ht="11.25" customHeight="1">
      <c r="A4" s="376" t="s">
        <v>559</v>
      </c>
      <c r="B4" s="376"/>
      <c r="C4" s="376"/>
      <c r="D4" s="376"/>
    </row>
    <row r="5" spans="1:5" ht="11.25" customHeight="1"/>
    <row r="6" spans="1:5" s="31" customFormat="1" ht="12.75" customHeight="1">
      <c r="A6" s="382" t="s">
        <v>110</v>
      </c>
      <c r="B6" s="384" t="s">
        <v>61</v>
      </c>
      <c r="C6" s="386" t="s">
        <v>75</v>
      </c>
      <c r="D6" s="386"/>
    </row>
    <row r="7" spans="1:5" s="31" customFormat="1" ht="12.75" customHeight="1">
      <c r="A7" s="383"/>
      <c r="B7" s="385"/>
      <c r="C7" s="50" t="s">
        <v>38</v>
      </c>
      <c r="D7" s="50" t="s">
        <v>39</v>
      </c>
    </row>
    <row r="8" spans="1:5" s="31" customFormat="1" ht="4.5" customHeight="1">
      <c r="A8" s="59"/>
      <c r="B8" s="60"/>
      <c r="C8" s="60"/>
      <c r="D8" s="60"/>
    </row>
    <row r="9" spans="1:5" s="31" customFormat="1" ht="12.75" customHeight="1">
      <c r="A9" s="292" t="s">
        <v>571</v>
      </c>
      <c r="B9" s="54">
        <f>SUM(B10:B43)</f>
        <v>121159</v>
      </c>
      <c r="C9" s="54">
        <f>SUM(C10:C43)</f>
        <v>61975</v>
      </c>
      <c r="D9" s="54">
        <f>SUM(D10:D43)</f>
        <v>59184</v>
      </c>
    </row>
    <row r="10" spans="1:5" ht="4.5" customHeight="1">
      <c r="A10" s="36"/>
      <c r="B10" s="56"/>
      <c r="C10" s="56"/>
      <c r="D10" s="56"/>
    </row>
    <row r="11" spans="1:5" ht="12.75" customHeight="1">
      <c r="A11" s="36" t="s">
        <v>76</v>
      </c>
      <c r="B11" s="56">
        <f>+C11+D11</f>
        <v>29265</v>
      </c>
      <c r="C11" s="56">
        <v>14839</v>
      </c>
      <c r="D11" s="56">
        <v>14426</v>
      </c>
      <c r="E11" s="56"/>
    </row>
    <row r="12" spans="1:5" ht="12.75" customHeight="1">
      <c r="A12" s="36" t="s">
        <v>77</v>
      </c>
      <c r="B12" s="56">
        <f t="shared" ref="B12:B43" si="0">+C12+D12</f>
        <v>3511</v>
      </c>
      <c r="C12" s="56">
        <v>1815</v>
      </c>
      <c r="D12" s="56">
        <v>1696</v>
      </c>
      <c r="E12" s="56"/>
    </row>
    <row r="13" spans="1:5" ht="12.75" customHeight="1">
      <c r="A13" s="36" t="s">
        <v>78</v>
      </c>
      <c r="B13" s="56">
        <f t="shared" si="0"/>
        <v>1112</v>
      </c>
      <c r="C13" s="56">
        <v>573</v>
      </c>
      <c r="D13" s="56">
        <v>539</v>
      </c>
      <c r="E13" s="56"/>
    </row>
    <row r="14" spans="1:5" ht="12.75" customHeight="1">
      <c r="A14" s="36" t="s">
        <v>79</v>
      </c>
      <c r="B14" s="56">
        <f t="shared" si="0"/>
        <v>3161</v>
      </c>
      <c r="C14" s="56">
        <v>1598</v>
      </c>
      <c r="D14" s="56">
        <v>1563</v>
      </c>
      <c r="E14" s="56"/>
    </row>
    <row r="15" spans="1:5" ht="12.75" customHeight="1">
      <c r="A15" s="36" t="s">
        <v>80</v>
      </c>
      <c r="B15" s="56">
        <f t="shared" si="0"/>
        <v>454</v>
      </c>
      <c r="C15" s="56">
        <v>238</v>
      </c>
      <c r="D15" s="56">
        <v>216</v>
      </c>
      <c r="E15" s="56"/>
    </row>
    <row r="16" spans="1:5" ht="12.75" customHeight="1">
      <c r="A16" s="36" t="s">
        <v>81</v>
      </c>
      <c r="B16" s="56">
        <f t="shared" si="0"/>
        <v>4084</v>
      </c>
      <c r="C16" s="56">
        <v>2114</v>
      </c>
      <c r="D16" s="56">
        <v>1970</v>
      </c>
      <c r="E16" s="56"/>
    </row>
    <row r="17" spans="1:5" ht="12.75" customHeight="1">
      <c r="A17" s="36" t="s">
        <v>82</v>
      </c>
      <c r="B17" s="56">
        <f t="shared" si="0"/>
        <v>406</v>
      </c>
      <c r="C17" s="56">
        <v>189</v>
      </c>
      <c r="D17" s="56">
        <v>217</v>
      </c>
      <c r="E17" s="56"/>
    </row>
    <row r="18" spans="1:5" ht="12.75" customHeight="1">
      <c r="A18" s="36" t="s">
        <v>83</v>
      </c>
      <c r="B18" s="56">
        <f t="shared" si="0"/>
        <v>679</v>
      </c>
      <c r="C18" s="56">
        <v>346</v>
      </c>
      <c r="D18" s="56">
        <v>333</v>
      </c>
      <c r="E18" s="56"/>
    </row>
    <row r="19" spans="1:5" ht="12.75" customHeight="1">
      <c r="A19" s="36" t="s">
        <v>84</v>
      </c>
      <c r="B19" s="56">
        <f t="shared" si="0"/>
        <v>2339</v>
      </c>
      <c r="C19" s="56">
        <v>1216</v>
      </c>
      <c r="D19" s="56">
        <v>1123</v>
      </c>
      <c r="E19" s="56"/>
    </row>
    <row r="20" spans="1:5" ht="12.75" customHeight="1">
      <c r="A20" s="36" t="s">
        <v>85</v>
      </c>
      <c r="B20" s="56">
        <f t="shared" si="0"/>
        <v>455</v>
      </c>
      <c r="C20" s="56">
        <v>239</v>
      </c>
      <c r="D20" s="56">
        <v>216</v>
      </c>
      <c r="E20" s="56"/>
    </row>
    <row r="21" spans="1:5" ht="12.75" customHeight="1">
      <c r="A21" s="36" t="s">
        <v>86</v>
      </c>
      <c r="B21" s="56">
        <f t="shared" si="0"/>
        <v>3071</v>
      </c>
      <c r="C21" s="56">
        <v>1564</v>
      </c>
      <c r="D21" s="56">
        <v>1507</v>
      </c>
      <c r="E21" s="56"/>
    </row>
    <row r="22" spans="1:5" ht="12.75" customHeight="1">
      <c r="A22" s="36" t="s">
        <v>87</v>
      </c>
      <c r="B22" s="56">
        <f t="shared" si="0"/>
        <v>3205</v>
      </c>
      <c r="C22" s="56">
        <v>1653</v>
      </c>
      <c r="D22" s="56">
        <v>1552</v>
      </c>
      <c r="E22" s="56"/>
    </row>
    <row r="23" spans="1:5" ht="12.75" customHeight="1">
      <c r="A23" s="36" t="s">
        <v>88</v>
      </c>
      <c r="B23" s="56">
        <f t="shared" si="0"/>
        <v>4580</v>
      </c>
      <c r="C23" s="56">
        <v>2312</v>
      </c>
      <c r="D23" s="56">
        <v>2268</v>
      </c>
      <c r="E23" s="56"/>
    </row>
    <row r="24" spans="1:5" ht="12.75" customHeight="1">
      <c r="A24" s="36" t="s">
        <v>89</v>
      </c>
      <c r="B24" s="56">
        <f t="shared" si="0"/>
        <v>1644</v>
      </c>
      <c r="C24" s="56">
        <v>855</v>
      </c>
      <c r="D24" s="56">
        <v>789</v>
      </c>
      <c r="E24" s="56"/>
    </row>
    <row r="25" spans="1:5" ht="12.75" customHeight="1">
      <c r="A25" s="36" t="s">
        <v>90</v>
      </c>
      <c r="B25" s="56">
        <f t="shared" si="0"/>
        <v>727</v>
      </c>
      <c r="C25" s="56">
        <v>373</v>
      </c>
      <c r="D25" s="56">
        <v>354</v>
      </c>
      <c r="E25" s="56"/>
    </row>
    <row r="26" spans="1:5" ht="12.75" customHeight="1">
      <c r="A26" s="36" t="s">
        <v>91</v>
      </c>
      <c r="B26" s="56">
        <f t="shared" si="0"/>
        <v>178</v>
      </c>
      <c r="C26" s="56">
        <v>85</v>
      </c>
      <c r="D26" s="56">
        <v>93</v>
      </c>
      <c r="E26" s="56"/>
    </row>
    <row r="27" spans="1:5" ht="12.75" customHeight="1">
      <c r="A27" s="36" t="s">
        <v>92</v>
      </c>
      <c r="B27" s="56">
        <f t="shared" si="0"/>
        <v>1938</v>
      </c>
      <c r="C27" s="56">
        <v>970</v>
      </c>
      <c r="D27" s="56">
        <v>968</v>
      </c>
      <c r="E27" s="56"/>
    </row>
    <row r="28" spans="1:5" ht="12.75" customHeight="1">
      <c r="A28" s="36" t="s">
        <v>93</v>
      </c>
      <c r="B28" s="56">
        <f t="shared" si="0"/>
        <v>2875</v>
      </c>
      <c r="C28" s="56">
        <v>1502</v>
      </c>
      <c r="D28" s="56">
        <v>1373</v>
      </c>
      <c r="E28" s="56"/>
    </row>
    <row r="29" spans="1:5" ht="12.75" customHeight="1">
      <c r="A29" s="36" t="s">
        <v>94</v>
      </c>
      <c r="B29" s="56">
        <f t="shared" si="0"/>
        <v>1136</v>
      </c>
      <c r="C29" s="56">
        <v>573</v>
      </c>
      <c r="D29" s="56">
        <v>563</v>
      </c>
      <c r="E29" s="56"/>
    </row>
    <row r="30" spans="1:5" ht="12.75" customHeight="1">
      <c r="A30" s="36" t="s">
        <v>95</v>
      </c>
      <c r="B30" s="56">
        <f t="shared" si="0"/>
        <v>1095</v>
      </c>
      <c r="C30" s="56">
        <v>571</v>
      </c>
      <c r="D30" s="56">
        <v>524</v>
      </c>
      <c r="E30" s="56"/>
    </row>
    <row r="31" spans="1:5" ht="12.75" customHeight="1">
      <c r="A31" s="36" t="s">
        <v>96</v>
      </c>
      <c r="B31" s="56">
        <f t="shared" si="0"/>
        <v>6397</v>
      </c>
      <c r="C31" s="56">
        <v>3401</v>
      </c>
      <c r="D31" s="56">
        <v>2996</v>
      </c>
      <c r="E31" s="56"/>
    </row>
    <row r="32" spans="1:5" ht="12.75" customHeight="1">
      <c r="A32" s="36" t="s">
        <v>97</v>
      </c>
      <c r="B32" s="56">
        <f t="shared" si="0"/>
        <v>2749</v>
      </c>
      <c r="C32" s="56">
        <v>1426</v>
      </c>
      <c r="D32" s="56">
        <v>1323</v>
      </c>
      <c r="E32" s="56"/>
    </row>
    <row r="33" spans="1:5" ht="12.75" customHeight="1">
      <c r="A33" s="36" t="s">
        <v>98</v>
      </c>
      <c r="B33" s="56">
        <f t="shared" si="0"/>
        <v>4239</v>
      </c>
      <c r="C33" s="56">
        <v>2147</v>
      </c>
      <c r="D33" s="56">
        <v>2092</v>
      </c>
      <c r="E33" s="56"/>
    </row>
    <row r="34" spans="1:5" ht="12.75" customHeight="1">
      <c r="A34" s="36" t="s">
        <v>99</v>
      </c>
      <c r="B34" s="56">
        <f t="shared" si="0"/>
        <v>1800</v>
      </c>
      <c r="C34" s="56">
        <v>940</v>
      </c>
      <c r="D34" s="56">
        <v>860</v>
      </c>
      <c r="E34" s="56"/>
    </row>
    <row r="35" spans="1:5" ht="12.75" customHeight="1">
      <c r="A35" s="36" t="s">
        <v>100</v>
      </c>
      <c r="B35" s="56">
        <f t="shared" si="0"/>
        <v>14444</v>
      </c>
      <c r="C35" s="56">
        <v>7413</v>
      </c>
      <c r="D35" s="56">
        <v>7031</v>
      </c>
      <c r="E35" s="56"/>
    </row>
    <row r="36" spans="1:5" ht="12.75" customHeight="1">
      <c r="A36" s="36" t="s">
        <v>101</v>
      </c>
      <c r="B36" s="56">
        <f t="shared" si="0"/>
        <v>908</v>
      </c>
      <c r="C36" s="56">
        <v>460</v>
      </c>
      <c r="D36" s="56">
        <v>448</v>
      </c>
      <c r="E36" s="56"/>
    </row>
    <row r="37" spans="1:5" ht="12.75" customHeight="1">
      <c r="A37" s="36" t="s">
        <v>102</v>
      </c>
      <c r="B37" s="56">
        <f t="shared" si="0"/>
        <v>1721</v>
      </c>
      <c r="C37" s="56">
        <v>833</v>
      </c>
      <c r="D37" s="56">
        <v>888</v>
      </c>
      <c r="E37" s="56"/>
    </row>
    <row r="38" spans="1:5" ht="12.75" customHeight="1">
      <c r="A38" s="36" t="s">
        <v>103</v>
      </c>
      <c r="B38" s="56">
        <f t="shared" si="0"/>
        <v>2157</v>
      </c>
      <c r="C38" s="56">
        <v>1053</v>
      </c>
      <c r="D38" s="56">
        <v>1104</v>
      </c>
      <c r="E38" s="56"/>
    </row>
    <row r="39" spans="1:5" ht="12.75" customHeight="1">
      <c r="A39" s="36" t="s">
        <v>104</v>
      </c>
      <c r="B39" s="56">
        <f t="shared" si="0"/>
        <v>1015</v>
      </c>
      <c r="C39" s="56">
        <v>527</v>
      </c>
      <c r="D39" s="56">
        <v>488</v>
      </c>
      <c r="E39" s="56"/>
    </row>
    <row r="40" spans="1:5" ht="12.75" customHeight="1">
      <c r="A40" s="36" t="s">
        <v>105</v>
      </c>
      <c r="B40" s="56">
        <f t="shared" si="0"/>
        <v>467</v>
      </c>
      <c r="C40" s="56">
        <v>239</v>
      </c>
      <c r="D40" s="56">
        <v>228</v>
      </c>
      <c r="E40" s="56"/>
    </row>
    <row r="41" spans="1:5" ht="12.75" customHeight="1">
      <c r="A41" s="36" t="s">
        <v>106</v>
      </c>
      <c r="B41" s="56">
        <f t="shared" si="0"/>
        <v>487</v>
      </c>
      <c r="C41" s="56">
        <v>251</v>
      </c>
      <c r="D41" s="56">
        <v>236</v>
      </c>
      <c r="E41" s="56"/>
    </row>
    <row r="42" spans="1:5" ht="12.75" customHeight="1">
      <c r="A42" s="36" t="s">
        <v>107</v>
      </c>
      <c r="B42" s="56">
        <f t="shared" si="0"/>
        <v>18850</v>
      </c>
      <c r="C42" s="56">
        <v>9651</v>
      </c>
      <c r="D42" s="56">
        <v>9199</v>
      </c>
      <c r="E42" s="56"/>
    </row>
    <row r="43" spans="1:5" ht="12.75" customHeight="1">
      <c r="A43" s="36" t="s">
        <v>52</v>
      </c>
      <c r="B43" s="56">
        <f t="shared" si="0"/>
        <v>10</v>
      </c>
      <c r="C43" s="56">
        <v>9</v>
      </c>
      <c r="D43" s="56">
        <v>1</v>
      </c>
      <c r="E43" s="56"/>
    </row>
    <row r="44" spans="1:5" ht="4.5" customHeight="1">
      <c r="A44" s="38"/>
      <c r="B44" s="39"/>
      <c r="C44" s="213"/>
      <c r="D44" s="213"/>
      <c r="E44" s="56"/>
    </row>
    <row r="45" spans="1:5" ht="4.5" customHeight="1">
      <c r="C45" s="56"/>
      <c r="D45" s="56"/>
      <c r="E45" s="56"/>
    </row>
    <row r="46" spans="1:5" ht="11.25" customHeight="1">
      <c r="A46" s="41" t="s">
        <v>319</v>
      </c>
      <c r="C46" s="56"/>
      <c r="D46" s="56"/>
    </row>
    <row r="47" spans="1:5" ht="11.25" customHeight="1">
      <c r="A47" s="41" t="s">
        <v>375</v>
      </c>
      <c r="C47" s="56"/>
      <c r="D47" s="56"/>
    </row>
    <row r="48" spans="1:5" ht="12.75" customHeight="1">
      <c r="C48" s="56"/>
      <c r="D48" s="56"/>
    </row>
    <row r="49" spans="3:4" ht="12.75" customHeight="1">
      <c r="C49" s="56"/>
      <c r="D49" s="56"/>
    </row>
    <row r="50" spans="3:4" ht="12.75" customHeight="1">
      <c r="C50" s="56"/>
      <c r="D50" s="56"/>
    </row>
    <row r="51" spans="3:4" ht="12.75" customHeight="1">
      <c r="C51" s="56"/>
      <c r="D51" s="56"/>
    </row>
    <row r="52" spans="3:4" ht="12.75" customHeight="1">
      <c r="C52" s="56"/>
      <c r="D52" s="56"/>
    </row>
    <row r="53" spans="3:4" ht="12.75" customHeight="1">
      <c r="C53" s="56"/>
      <c r="D53" s="56"/>
    </row>
    <row r="54" spans="3:4" ht="12.75" customHeight="1">
      <c r="C54" s="56"/>
      <c r="D54" s="56"/>
    </row>
    <row r="55" spans="3:4" ht="12.75" customHeight="1">
      <c r="C55" s="56"/>
      <c r="D55" s="56"/>
    </row>
    <row r="56" spans="3:4" ht="12.75" customHeight="1">
      <c r="C56" s="56"/>
      <c r="D56" s="56"/>
    </row>
    <row r="57" spans="3:4" ht="12.75" customHeight="1">
      <c r="C57" s="56"/>
      <c r="D57" s="56"/>
    </row>
    <row r="58" spans="3:4" ht="12.75" customHeight="1">
      <c r="C58" s="56"/>
      <c r="D58" s="56"/>
    </row>
    <row r="59" spans="3:4" ht="12.75" customHeight="1">
      <c r="C59" s="56"/>
      <c r="D59" s="56"/>
    </row>
    <row r="60" spans="3:4" ht="12.75" customHeight="1">
      <c r="C60" s="56"/>
      <c r="D60" s="56"/>
    </row>
    <row r="61" spans="3:4" ht="12.75" customHeight="1">
      <c r="C61" s="56"/>
      <c r="D61" s="56"/>
    </row>
    <row r="62" spans="3:4" ht="12.75" customHeight="1">
      <c r="C62" s="56"/>
      <c r="D62" s="56"/>
    </row>
    <row r="63" spans="3:4" ht="12.75" customHeight="1">
      <c r="C63" s="56"/>
      <c r="D63" s="56"/>
    </row>
    <row r="64" spans="3:4" ht="12.75" customHeight="1">
      <c r="C64" s="56"/>
      <c r="D64" s="56"/>
    </row>
    <row r="65" spans="3:4" ht="12.75" customHeight="1">
      <c r="C65" s="56"/>
      <c r="D65" s="56"/>
    </row>
    <row r="66" spans="3:4" ht="12.75" customHeight="1">
      <c r="C66" s="56"/>
      <c r="D66" s="56"/>
    </row>
    <row r="67" spans="3:4" ht="12.75" customHeight="1">
      <c r="C67" s="56"/>
      <c r="D67" s="56"/>
    </row>
    <row r="68" spans="3:4" ht="12.75" customHeight="1">
      <c r="C68" s="56"/>
      <c r="D68" s="56"/>
    </row>
    <row r="69" spans="3:4" ht="12.75" customHeight="1">
      <c r="C69" s="56"/>
      <c r="D69" s="56"/>
    </row>
    <row r="70" spans="3:4" ht="12.75" customHeight="1">
      <c r="C70" s="56"/>
      <c r="D70" s="56"/>
    </row>
    <row r="71" spans="3:4" ht="12.75" customHeight="1">
      <c r="C71" s="56"/>
      <c r="D71" s="56"/>
    </row>
    <row r="72" spans="3:4" ht="12.75" customHeight="1">
      <c r="C72" s="56"/>
      <c r="D72" s="56"/>
    </row>
    <row r="73" spans="3:4" ht="12.75" customHeight="1">
      <c r="C73" s="56"/>
      <c r="D73" s="56"/>
    </row>
    <row r="74" spans="3:4" ht="12.75" customHeight="1">
      <c r="C74" s="56"/>
      <c r="D74" s="56"/>
    </row>
  </sheetData>
  <mergeCells count="6">
    <mergeCell ref="C6:D6"/>
    <mergeCell ref="B6:B7"/>
    <mergeCell ref="A6:A7"/>
    <mergeCell ref="A2:D2"/>
    <mergeCell ref="A3:D3"/>
    <mergeCell ref="A4:D4"/>
  </mergeCells>
  <phoneticPr fontId="2" type="noConversion"/>
  <printOptions horizontalCentered="1"/>
  <pageMargins left="0.78740157480314965" right="0.78740157480314965" top="0.98425196850393704" bottom="0.98425196850393704" header="0" footer="0"/>
  <pageSetup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2:D55"/>
  <sheetViews>
    <sheetView showGridLines="0" zoomScaleNormal="100" workbookViewId="0">
      <selection activeCell="E26" sqref="E26"/>
    </sheetView>
  </sheetViews>
  <sheetFormatPr baseColWidth="10" defaultColWidth="11.42578125" defaultRowHeight="12.75" customHeight="1"/>
  <cols>
    <col min="1" max="1" width="27.140625" style="28" customWidth="1"/>
    <col min="2" max="2" width="13.7109375" style="27" customWidth="1"/>
    <col min="3" max="3" width="13" style="27" customWidth="1"/>
    <col min="4" max="4" width="13.42578125" style="27" customWidth="1"/>
    <col min="5" max="16384" width="11.42578125" style="27"/>
  </cols>
  <sheetData>
    <row r="2" spans="1:4" ht="11.25" customHeight="1">
      <c r="A2" s="375" t="s">
        <v>111</v>
      </c>
      <c r="B2" s="375"/>
      <c r="C2" s="375"/>
      <c r="D2" s="375"/>
    </row>
    <row r="3" spans="1:4" ht="11.25" customHeight="1">
      <c r="A3" s="376" t="s">
        <v>17</v>
      </c>
      <c r="B3" s="376"/>
      <c r="C3" s="376"/>
      <c r="D3" s="376"/>
    </row>
    <row r="4" spans="1:4" ht="11.25" customHeight="1">
      <c r="A4" s="376" t="s">
        <v>449</v>
      </c>
      <c r="B4" s="376"/>
      <c r="C4" s="376"/>
      <c r="D4" s="376"/>
    </row>
    <row r="5" spans="1:4" ht="11.25" customHeight="1"/>
    <row r="6" spans="1:4" s="31" customFormat="1" ht="12.75" customHeight="1">
      <c r="A6" s="390" t="s">
        <v>112</v>
      </c>
      <c r="B6" s="388" t="s">
        <v>61</v>
      </c>
      <c r="C6" s="387" t="s">
        <v>75</v>
      </c>
      <c r="D6" s="387"/>
    </row>
    <row r="7" spans="1:4" s="31" customFormat="1" ht="12.75" customHeight="1">
      <c r="A7" s="391"/>
      <c r="B7" s="389"/>
      <c r="C7" s="61" t="s">
        <v>38</v>
      </c>
      <c r="D7" s="61" t="s">
        <v>39</v>
      </c>
    </row>
    <row r="8" spans="1:4" s="31" customFormat="1" ht="5.0999999999999996" customHeight="1">
      <c r="A8" s="34"/>
      <c r="B8" s="52"/>
      <c r="C8" s="52"/>
      <c r="D8" s="52"/>
    </row>
    <row r="9" spans="1:4" s="31" customFormat="1" ht="12.75" customHeight="1">
      <c r="A9" s="292" t="s">
        <v>571</v>
      </c>
      <c r="B9" s="54">
        <f>SUM(B11:B44)</f>
        <v>121159</v>
      </c>
      <c r="C9" s="54">
        <f>SUM(C11:C44)</f>
        <v>61975</v>
      </c>
      <c r="D9" s="54">
        <f>SUM(D11:D44)</f>
        <v>59184</v>
      </c>
    </row>
    <row r="10" spans="1:4" s="31" customFormat="1" ht="5.0999999999999996" customHeight="1">
      <c r="A10" s="34"/>
      <c r="B10" s="52"/>
      <c r="C10" s="52"/>
      <c r="D10" s="52"/>
    </row>
    <row r="11" spans="1:4" ht="12.75" customHeight="1">
      <c r="A11" s="36" t="s">
        <v>76</v>
      </c>
      <c r="B11" s="56">
        <f>+C11+D11</f>
        <v>18137</v>
      </c>
      <c r="C11" s="56">
        <v>9184</v>
      </c>
      <c r="D11" s="56">
        <v>8953</v>
      </c>
    </row>
    <row r="12" spans="1:4" ht="12.75" customHeight="1">
      <c r="A12" s="36" t="s">
        <v>77</v>
      </c>
      <c r="B12" s="56">
        <f t="shared" ref="B12:B44" si="0">+C12+D12</f>
        <v>3592</v>
      </c>
      <c r="C12" s="56">
        <v>1853</v>
      </c>
      <c r="D12" s="56">
        <v>1739</v>
      </c>
    </row>
    <row r="13" spans="1:4" ht="12.75" customHeight="1">
      <c r="A13" s="36" t="s">
        <v>78</v>
      </c>
      <c r="B13" s="56">
        <f t="shared" si="0"/>
        <v>1352</v>
      </c>
      <c r="C13" s="56">
        <v>678</v>
      </c>
      <c r="D13" s="56">
        <v>674</v>
      </c>
    </row>
    <row r="14" spans="1:4" ht="12.75" customHeight="1">
      <c r="A14" s="36" t="s">
        <v>79</v>
      </c>
      <c r="B14" s="56">
        <f t="shared" si="0"/>
        <v>2842</v>
      </c>
      <c r="C14" s="56">
        <v>1440</v>
      </c>
      <c r="D14" s="56">
        <v>1402</v>
      </c>
    </row>
    <row r="15" spans="1:4" ht="12.75" customHeight="1">
      <c r="A15" s="36" t="s">
        <v>80</v>
      </c>
      <c r="B15" s="56">
        <f t="shared" si="0"/>
        <v>617</v>
      </c>
      <c r="C15" s="56">
        <v>325</v>
      </c>
      <c r="D15" s="56">
        <v>292</v>
      </c>
    </row>
    <row r="16" spans="1:4" ht="12.75" customHeight="1">
      <c r="A16" s="36" t="s">
        <v>81</v>
      </c>
      <c r="B16" s="56">
        <f t="shared" si="0"/>
        <v>3983</v>
      </c>
      <c r="C16" s="56">
        <v>2056</v>
      </c>
      <c r="D16" s="56">
        <v>1927</v>
      </c>
    </row>
    <row r="17" spans="1:4" ht="12.75" customHeight="1">
      <c r="A17" s="36" t="s">
        <v>82</v>
      </c>
      <c r="B17" s="56">
        <f t="shared" si="0"/>
        <v>538</v>
      </c>
      <c r="C17" s="56">
        <v>258</v>
      </c>
      <c r="D17" s="56">
        <v>280</v>
      </c>
    </row>
    <row r="18" spans="1:4" ht="12.75" customHeight="1">
      <c r="A18" s="36" t="s">
        <v>83</v>
      </c>
      <c r="B18" s="56">
        <f t="shared" si="0"/>
        <v>757</v>
      </c>
      <c r="C18" s="56">
        <v>387</v>
      </c>
      <c r="D18" s="56">
        <v>370</v>
      </c>
    </row>
    <row r="19" spans="1:4" ht="12.75" customHeight="1">
      <c r="A19" s="36" t="s">
        <v>84</v>
      </c>
      <c r="B19" s="56">
        <f t="shared" si="0"/>
        <v>2787</v>
      </c>
      <c r="C19" s="56">
        <v>1474</v>
      </c>
      <c r="D19" s="56">
        <v>1313</v>
      </c>
    </row>
    <row r="20" spans="1:4" ht="12.75" customHeight="1">
      <c r="A20" s="36" t="s">
        <v>85</v>
      </c>
      <c r="B20" s="56">
        <f t="shared" si="0"/>
        <v>621</v>
      </c>
      <c r="C20" s="56">
        <v>329</v>
      </c>
      <c r="D20" s="56">
        <v>292</v>
      </c>
    </row>
    <row r="21" spans="1:4" ht="12.75" customHeight="1">
      <c r="A21" s="36" t="s">
        <v>86</v>
      </c>
      <c r="B21" s="56">
        <f t="shared" si="0"/>
        <v>3227</v>
      </c>
      <c r="C21" s="56">
        <v>1643</v>
      </c>
      <c r="D21" s="56">
        <v>1584</v>
      </c>
    </row>
    <row r="22" spans="1:4" ht="12.75" customHeight="1">
      <c r="A22" s="36" t="s">
        <v>87</v>
      </c>
      <c r="B22" s="56">
        <f t="shared" si="0"/>
        <v>3198</v>
      </c>
      <c r="C22" s="56">
        <v>1640</v>
      </c>
      <c r="D22" s="56">
        <v>1558</v>
      </c>
    </row>
    <row r="23" spans="1:4" ht="12.75" customHeight="1">
      <c r="A23" s="36" t="s">
        <v>88</v>
      </c>
      <c r="B23" s="56">
        <f t="shared" si="0"/>
        <v>4596</v>
      </c>
      <c r="C23" s="56">
        <v>2320</v>
      </c>
      <c r="D23" s="56">
        <v>2276</v>
      </c>
    </row>
    <row r="24" spans="1:4" ht="12.75" customHeight="1">
      <c r="A24" s="36" t="s">
        <v>89</v>
      </c>
      <c r="B24" s="56">
        <f t="shared" si="0"/>
        <v>1532</v>
      </c>
      <c r="C24" s="56">
        <v>793</v>
      </c>
      <c r="D24" s="56">
        <v>739</v>
      </c>
    </row>
    <row r="25" spans="1:4" ht="12.75" customHeight="1">
      <c r="A25" s="36" t="s">
        <v>90</v>
      </c>
      <c r="B25" s="56">
        <f t="shared" si="0"/>
        <v>946</v>
      </c>
      <c r="C25" s="56">
        <v>481</v>
      </c>
      <c r="D25" s="56">
        <v>465</v>
      </c>
    </row>
    <row r="26" spans="1:4" ht="12.75" customHeight="1">
      <c r="A26" s="36" t="s">
        <v>91</v>
      </c>
      <c r="B26" s="56">
        <f t="shared" si="0"/>
        <v>290</v>
      </c>
      <c r="C26" s="56">
        <v>145</v>
      </c>
      <c r="D26" s="56">
        <v>145</v>
      </c>
    </row>
    <row r="27" spans="1:4" ht="12.75" customHeight="1">
      <c r="A27" s="36" t="s">
        <v>92</v>
      </c>
      <c r="B27" s="56">
        <f t="shared" si="0"/>
        <v>2091</v>
      </c>
      <c r="C27" s="56">
        <v>1043</v>
      </c>
      <c r="D27" s="56">
        <v>1048</v>
      </c>
    </row>
    <row r="28" spans="1:4" ht="12.75" customHeight="1">
      <c r="A28" s="36" t="s">
        <v>93</v>
      </c>
      <c r="B28" s="56">
        <f t="shared" si="0"/>
        <v>3169</v>
      </c>
      <c r="C28" s="56">
        <v>1643</v>
      </c>
      <c r="D28" s="56">
        <v>1526</v>
      </c>
    </row>
    <row r="29" spans="1:4" ht="12.75" customHeight="1">
      <c r="A29" s="36" t="s">
        <v>94</v>
      </c>
      <c r="B29" s="56">
        <f t="shared" si="0"/>
        <v>1200</v>
      </c>
      <c r="C29" s="56">
        <v>606</v>
      </c>
      <c r="D29" s="56">
        <v>594</v>
      </c>
    </row>
    <row r="30" spans="1:4" ht="12.75" customHeight="1">
      <c r="A30" s="36" t="s">
        <v>95</v>
      </c>
      <c r="B30" s="56">
        <f t="shared" si="0"/>
        <v>1236</v>
      </c>
      <c r="C30" s="56">
        <v>645</v>
      </c>
      <c r="D30" s="56">
        <v>591</v>
      </c>
    </row>
    <row r="31" spans="1:4" ht="12.75" customHeight="1">
      <c r="A31" s="36" t="s">
        <v>96</v>
      </c>
      <c r="B31" s="56">
        <f t="shared" si="0"/>
        <v>6970</v>
      </c>
      <c r="C31" s="56">
        <v>3704</v>
      </c>
      <c r="D31" s="56">
        <v>3266</v>
      </c>
    </row>
    <row r="32" spans="1:4" ht="12.75" customHeight="1">
      <c r="A32" s="36" t="s">
        <v>97</v>
      </c>
      <c r="B32" s="56">
        <f t="shared" si="0"/>
        <v>2661</v>
      </c>
      <c r="C32" s="56">
        <v>1376</v>
      </c>
      <c r="D32" s="56">
        <v>1285</v>
      </c>
    </row>
    <row r="33" spans="1:4" ht="12.75" customHeight="1">
      <c r="A33" s="36" t="s">
        <v>98</v>
      </c>
      <c r="B33" s="56">
        <f t="shared" si="0"/>
        <v>4059</v>
      </c>
      <c r="C33" s="56">
        <v>2041</v>
      </c>
      <c r="D33" s="56">
        <v>2018</v>
      </c>
    </row>
    <row r="34" spans="1:4" ht="12.75" customHeight="1">
      <c r="A34" s="36" t="s">
        <v>99</v>
      </c>
      <c r="B34" s="56">
        <f t="shared" si="0"/>
        <v>1912</v>
      </c>
      <c r="C34" s="56">
        <v>988</v>
      </c>
      <c r="D34" s="56">
        <v>924</v>
      </c>
    </row>
    <row r="35" spans="1:4" ht="12.75" customHeight="1">
      <c r="A35" s="36" t="s">
        <v>100</v>
      </c>
      <c r="B35" s="56">
        <f t="shared" si="0"/>
        <v>13172</v>
      </c>
      <c r="C35" s="56">
        <v>6765</v>
      </c>
      <c r="D35" s="56">
        <v>6407</v>
      </c>
    </row>
    <row r="36" spans="1:4" ht="12.75" customHeight="1">
      <c r="A36" s="36" t="s">
        <v>101</v>
      </c>
      <c r="B36" s="56">
        <f t="shared" si="0"/>
        <v>836</v>
      </c>
      <c r="C36" s="56">
        <v>417</v>
      </c>
      <c r="D36" s="56">
        <v>419</v>
      </c>
    </row>
    <row r="37" spans="1:4" ht="12.75" customHeight="1">
      <c r="A37" s="36" t="s">
        <v>102</v>
      </c>
      <c r="B37" s="56">
        <f t="shared" si="0"/>
        <v>1711</v>
      </c>
      <c r="C37" s="56">
        <v>838</v>
      </c>
      <c r="D37" s="56">
        <v>873</v>
      </c>
    </row>
    <row r="38" spans="1:4" ht="12.75" customHeight="1">
      <c r="A38" s="36" t="s">
        <v>103</v>
      </c>
      <c r="B38" s="56">
        <f t="shared" si="0"/>
        <v>2211</v>
      </c>
      <c r="C38" s="56">
        <v>1082</v>
      </c>
      <c r="D38" s="56">
        <v>1129</v>
      </c>
    </row>
    <row r="39" spans="1:4" ht="12.75" customHeight="1">
      <c r="A39" s="36" t="s">
        <v>104</v>
      </c>
      <c r="B39" s="56">
        <f t="shared" si="0"/>
        <v>1698</v>
      </c>
      <c r="C39" s="56">
        <v>864</v>
      </c>
      <c r="D39" s="56">
        <v>834</v>
      </c>
    </row>
    <row r="40" spans="1:4" ht="12.75" customHeight="1">
      <c r="A40" s="36" t="s">
        <v>105</v>
      </c>
      <c r="B40" s="56">
        <f t="shared" si="0"/>
        <v>580</v>
      </c>
      <c r="C40" s="56">
        <v>307</v>
      </c>
      <c r="D40" s="56">
        <v>273</v>
      </c>
    </row>
    <row r="41" spans="1:4" ht="12.75" customHeight="1">
      <c r="A41" s="36" t="s">
        <v>106</v>
      </c>
      <c r="B41" s="56">
        <f t="shared" si="0"/>
        <v>577</v>
      </c>
      <c r="C41" s="56">
        <v>290</v>
      </c>
      <c r="D41" s="56">
        <v>287</v>
      </c>
    </row>
    <row r="42" spans="1:4" ht="12.75" customHeight="1">
      <c r="A42" s="36" t="s">
        <v>107</v>
      </c>
      <c r="B42" s="56">
        <f t="shared" si="0"/>
        <v>27715</v>
      </c>
      <c r="C42" s="56">
        <v>14180</v>
      </c>
      <c r="D42" s="56">
        <v>13535</v>
      </c>
    </row>
    <row r="43" spans="1:4" ht="12.75" customHeight="1">
      <c r="A43" s="36" t="s">
        <v>108</v>
      </c>
      <c r="B43" s="56">
        <f t="shared" si="0"/>
        <v>39</v>
      </c>
      <c r="C43" s="56">
        <v>16</v>
      </c>
      <c r="D43" s="56">
        <v>23</v>
      </c>
    </row>
    <row r="44" spans="1:4" ht="12.75" customHeight="1">
      <c r="A44" s="36" t="s">
        <v>52</v>
      </c>
      <c r="B44" s="56">
        <f t="shared" si="0"/>
        <v>307</v>
      </c>
      <c r="C44" s="56">
        <v>164</v>
      </c>
      <c r="D44" s="56">
        <v>143</v>
      </c>
    </row>
    <row r="45" spans="1:4" s="31" customFormat="1" ht="5.0999999999999996" customHeight="1">
      <c r="A45" s="198"/>
      <c r="B45" s="61"/>
      <c r="C45" s="213"/>
      <c r="D45" s="213"/>
    </row>
    <row r="46" spans="1:4" s="31" customFormat="1" ht="5.0999999999999996" customHeight="1">
      <c r="A46" s="34"/>
      <c r="B46" s="52"/>
      <c r="C46" s="56"/>
      <c r="D46" s="56"/>
    </row>
    <row r="47" spans="1:4" ht="11.25" customHeight="1">
      <c r="A47" s="57" t="s">
        <v>319</v>
      </c>
      <c r="C47" s="56"/>
      <c r="D47" s="56"/>
    </row>
    <row r="48" spans="1:4" ht="11.25" customHeight="1">
      <c r="A48" s="58" t="s">
        <v>375</v>
      </c>
      <c r="C48" s="56"/>
      <c r="D48" s="56"/>
    </row>
    <row r="49" spans="3:4" ht="12.75" customHeight="1">
      <c r="C49" s="56"/>
      <c r="D49" s="56"/>
    </row>
    <row r="50" spans="3:4" ht="12.75" customHeight="1">
      <c r="C50" s="56"/>
      <c r="D50" s="56"/>
    </row>
    <row r="51" spans="3:4" ht="12.75" customHeight="1">
      <c r="C51" s="56"/>
      <c r="D51" s="56"/>
    </row>
    <row r="52" spans="3:4" ht="12.75" customHeight="1">
      <c r="C52" s="56"/>
      <c r="D52" s="56"/>
    </row>
    <row r="53" spans="3:4" ht="12.75" customHeight="1">
      <c r="C53" s="56"/>
      <c r="D53" s="56"/>
    </row>
    <row r="54" spans="3:4" ht="12.75" customHeight="1">
      <c r="C54" s="56"/>
      <c r="D54" s="56"/>
    </row>
    <row r="55" spans="3:4" ht="12.75" customHeight="1">
      <c r="C55" s="56"/>
      <c r="D55" s="56"/>
    </row>
  </sheetData>
  <mergeCells count="6">
    <mergeCell ref="C6:D6"/>
    <mergeCell ref="B6:B7"/>
    <mergeCell ref="A6:A7"/>
    <mergeCell ref="A2:D2"/>
    <mergeCell ref="A3:D3"/>
    <mergeCell ref="A4:D4"/>
  </mergeCells>
  <phoneticPr fontId="2" type="noConversion"/>
  <printOptions horizontalCentered="1"/>
  <pageMargins left="0.78740157480314965" right="0.78740157480314965" top="0.98425196850393704" bottom="0.98425196850393704" header="0" footer="0"/>
  <pageSetup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2:D54"/>
  <sheetViews>
    <sheetView workbookViewId="0">
      <selection activeCell="E29" sqref="E29"/>
    </sheetView>
  </sheetViews>
  <sheetFormatPr baseColWidth="10" defaultColWidth="11.42578125" defaultRowHeight="12.75" customHeight="1"/>
  <cols>
    <col min="1" max="1" width="27.140625" style="278" customWidth="1"/>
    <col min="2" max="2" width="13.7109375" style="277" customWidth="1"/>
    <col min="3" max="3" width="13" style="277" customWidth="1"/>
    <col min="4" max="4" width="13.42578125" style="277" customWidth="1"/>
    <col min="5" max="16384" width="11.42578125" style="277"/>
  </cols>
  <sheetData>
    <row r="2" spans="1:4" ht="11.25" customHeight="1">
      <c r="A2" s="392" t="s">
        <v>113</v>
      </c>
      <c r="B2" s="392"/>
      <c r="C2" s="392"/>
      <c r="D2" s="392"/>
    </row>
    <row r="3" spans="1:4" ht="11.25" customHeight="1">
      <c r="A3" s="393" t="s">
        <v>17</v>
      </c>
      <c r="B3" s="393"/>
      <c r="C3" s="393"/>
      <c r="D3" s="393"/>
    </row>
    <row r="4" spans="1:4" ht="11.25" customHeight="1">
      <c r="A4" s="393" t="s">
        <v>561</v>
      </c>
      <c r="B4" s="393"/>
      <c r="C4" s="393"/>
      <c r="D4" s="393"/>
    </row>
    <row r="5" spans="1:4" ht="11.25" customHeight="1"/>
    <row r="6" spans="1:4" s="279" customFormat="1" ht="12.75" customHeight="1">
      <c r="A6" s="394" t="s">
        <v>562</v>
      </c>
      <c r="B6" s="396" t="s">
        <v>61</v>
      </c>
      <c r="C6" s="398" t="s">
        <v>75</v>
      </c>
      <c r="D6" s="398"/>
    </row>
    <row r="7" spans="1:4" s="279" customFormat="1" ht="12.75" customHeight="1">
      <c r="A7" s="395"/>
      <c r="B7" s="397"/>
      <c r="C7" s="280" t="s">
        <v>38</v>
      </c>
      <c r="D7" s="280" t="s">
        <v>39</v>
      </c>
    </row>
    <row r="8" spans="1:4" s="279" customFormat="1" ht="5.0999999999999996" customHeight="1">
      <c r="A8" s="281"/>
      <c r="B8" s="282"/>
      <c r="C8" s="282"/>
      <c r="D8" s="282"/>
    </row>
    <row r="9" spans="1:4" s="279" customFormat="1" ht="12.75" customHeight="1">
      <c r="A9" s="292" t="s">
        <v>571</v>
      </c>
      <c r="B9" s="283">
        <f>SUM(B11:B43)</f>
        <v>121159</v>
      </c>
      <c r="C9" s="283">
        <f>SUM(C11:C43)</f>
        <v>61975</v>
      </c>
      <c r="D9" s="283">
        <f>SUM(D11:D43)</f>
        <v>59184</v>
      </c>
    </row>
    <row r="10" spans="1:4" s="279" customFormat="1" ht="5.0999999999999996" customHeight="1">
      <c r="A10" s="281"/>
      <c r="B10" s="282"/>
      <c r="C10" s="282"/>
      <c r="D10" s="282"/>
    </row>
    <row r="11" spans="1:4" ht="12.75" customHeight="1">
      <c r="A11" s="284" t="s">
        <v>76</v>
      </c>
      <c r="B11" s="285">
        <v>29265</v>
      </c>
      <c r="C11" s="285">
        <v>14839</v>
      </c>
      <c r="D11" s="285">
        <v>14426</v>
      </c>
    </row>
    <row r="12" spans="1:4" ht="12.75" customHeight="1">
      <c r="A12" s="284" t="s">
        <v>77</v>
      </c>
      <c r="B12" s="285">
        <v>3511</v>
      </c>
      <c r="C12" s="285">
        <v>1815</v>
      </c>
      <c r="D12" s="285">
        <v>1696</v>
      </c>
    </row>
    <row r="13" spans="1:4" ht="12.75" customHeight="1">
      <c r="A13" s="284" t="s">
        <v>78</v>
      </c>
      <c r="B13" s="285">
        <v>1112</v>
      </c>
      <c r="C13" s="285">
        <v>573</v>
      </c>
      <c r="D13" s="285">
        <v>539</v>
      </c>
    </row>
    <row r="14" spans="1:4" ht="12.75" customHeight="1">
      <c r="A14" s="284" t="s">
        <v>79</v>
      </c>
      <c r="B14" s="285">
        <v>3161</v>
      </c>
      <c r="C14" s="285">
        <v>1598</v>
      </c>
      <c r="D14" s="285">
        <v>1563</v>
      </c>
    </row>
    <row r="15" spans="1:4" ht="12.75" customHeight="1">
      <c r="A15" s="284" t="s">
        <v>80</v>
      </c>
      <c r="B15" s="285">
        <v>454</v>
      </c>
      <c r="C15" s="285">
        <v>238</v>
      </c>
      <c r="D15" s="285">
        <v>216</v>
      </c>
    </row>
    <row r="16" spans="1:4" ht="12.75" customHeight="1">
      <c r="A16" s="284" t="s">
        <v>81</v>
      </c>
      <c r="B16" s="285">
        <v>4084</v>
      </c>
      <c r="C16" s="285">
        <v>2114</v>
      </c>
      <c r="D16" s="285">
        <v>1970</v>
      </c>
    </row>
    <row r="17" spans="1:4" ht="12.75" customHeight="1">
      <c r="A17" s="284" t="s">
        <v>82</v>
      </c>
      <c r="B17" s="285">
        <v>406</v>
      </c>
      <c r="C17" s="285">
        <v>189</v>
      </c>
      <c r="D17" s="285">
        <v>217</v>
      </c>
    </row>
    <row r="18" spans="1:4" ht="12.75" customHeight="1">
      <c r="A18" s="284" t="s">
        <v>83</v>
      </c>
      <c r="B18" s="285">
        <v>679</v>
      </c>
      <c r="C18" s="285">
        <v>346</v>
      </c>
      <c r="D18" s="285">
        <v>333</v>
      </c>
    </row>
    <row r="19" spans="1:4" ht="12.75" customHeight="1">
      <c r="A19" s="284" t="s">
        <v>84</v>
      </c>
      <c r="B19" s="285">
        <v>2339</v>
      </c>
      <c r="C19" s="285">
        <v>1216</v>
      </c>
      <c r="D19" s="285">
        <v>1123</v>
      </c>
    </row>
    <row r="20" spans="1:4" ht="12.75" customHeight="1">
      <c r="A20" s="284" t="s">
        <v>85</v>
      </c>
      <c r="B20" s="285">
        <v>455</v>
      </c>
      <c r="C20" s="285">
        <v>239</v>
      </c>
      <c r="D20" s="285">
        <v>216</v>
      </c>
    </row>
    <row r="21" spans="1:4" ht="12.75" customHeight="1">
      <c r="A21" s="284" t="s">
        <v>86</v>
      </c>
      <c r="B21" s="285">
        <v>3071</v>
      </c>
      <c r="C21" s="285">
        <v>1564</v>
      </c>
      <c r="D21" s="285">
        <v>1507</v>
      </c>
    </row>
    <row r="22" spans="1:4" ht="12.75" customHeight="1">
      <c r="A22" s="284" t="s">
        <v>87</v>
      </c>
      <c r="B22" s="285">
        <v>3205</v>
      </c>
      <c r="C22" s="285">
        <v>1653</v>
      </c>
      <c r="D22" s="285">
        <v>1552</v>
      </c>
    </row>
    <row r="23" spans="1:4" ht="12.75" customHeight="1">
      <c r="A23" s="284" t="s">
        <v>88</v>
      </c>
      <c r="B23" s="285">
        <v>4580</v>
      </c>
      <c r="C23" s="285">
        <v>2312</v>
      </c>
      <c r="D23" s="285">
        <v>2268</v>
      </c>
    </row>
    <row r="24" spans="1:4" ht="12.75" customHeight="1">
      <c r="A24" s="284" t="s">
        <v>89</v>
      </c>
      <c r="B24" s="285">
        <v>1644</v>
      </c>
      <c r="C24" s="285">
        <v>855</v>
      </c>
      <c r="D24" s="285">
        <v>789</v>
      </c>
    </row>
    <row r="25" spans="1:4" ht="12.75" customHeight="1">
      <c r="A25" s="284" t="s">
        <v>90</v>
      </c>
      <c r="B25" s="285">
        <v>727</v>
      </c>
      <c r="C25" s="285">
        <v>373</v>
      </c>
      <c r="D25" s="285">
        <v>354</v>
      </c>
    </row>
    <row r="26" spans="1:4" ht="12.75" customHeight="1">
      <c r="A26" s="284" t="s">
        <v>91</v>
      </c>
      <c r="B26" s="285">
        <v>178</v>
      </c>
      <c r="C26" s="285">
        <v>85</v>
      </c>
      <c r="D26" s="285">
        <v>93</v>
      </c>
    </row>
    <row r="27" spans="1:4" ht="12.75" customHeight="1">
      <c r="A27" s="284" t="s">
        <v>92</v>
      </c>
      <c r="B27" s="285">
        <v>1938</v>
      </c>
      <c r="C27" s="285">
        <v>970</v>
      </c>
      <c r="D27" s="285">
        <v>968</v>
      </c>
    </row>
    <row r="28" spans="1:4" ht="12.75" customHeight="1">
      <c r="A28" s="284" t="s">
        <v>93</v>
      </c>
      <c r="B28" s="285">
        <v>2875</v>
      </c>
      <c r="C28" s="285">
        <v>1502</v>
      </c>
      <c r="D28" s="285">
        <v>1373</v>
      </c>
    </row>
    <row r="29" spans="1:4" ht="12.75" customHeight="1">
      <c r="A29" s="284" t="s">
        <v>94</v>
      </c>
      <c r="B29" s="285">
        <v>1136</v>
      </c>
      <c r="C29" s="285">
        <v>573</v>
      </c>
      <c r="D29" s="285">
        <v>563</v>
      </c>
    </row>
    <row r="30" spans="1:4" ht="12.75" customHeight="1">
      <c r="A30" s="284" t="s">
        <v>95</v>
      </c>
      <c r="B30" s="285">
        <v>1095</v>
      </c>
      <c r="C30" s="285">
        <v>571</v>
      </c>
      <c r="D30" s="285">
        <v>524</v>
      </c>
    </row>
    <row r="31" spans="1:4" ht="12.75" customHeight="1">
      <c r="A31" s="284" t="s">
        <v>96</v>
      </c>
      <c r="B31" s="285">
        <v>6397</v>
      </c>
      <c r="C31" s="285">
        <v>3401</v>
      </c>
      <c r="D31" s="285">
        <v>2996</v>
      </c>
    </row>
    <row r="32" spans="1:4" ht="12.75" customHeight="1">
      <c r="A32" s="284" t="s">
        <v>97</v>
      </c>
      <c r="B32" s="285">
        <v>2749</v>
      </c>
      <c r="C32" s="285">
        <v>1426</v>
      </c>
      <c r="D32" s="285">
        <v>1323</v>
      </c>
    </row>
    <row r="33" spans="1:4" ht="12.75" customHeight="1">
      <c r="A33" s="284" t="s">
        <v>98</v>
      </c>
      <c r="B33" s="285">
        <v>4239</v>
      </c>
      <c r="C33" s="285">
        <v>2147</v>
      </c>
      <c r="D33" s="285">
        <v>2092</v>
      </c>
    </row>
    <row r="34" spans="1:4" ht="12.75" customHeight="1">
      <c r="A34" s="284" t="s">
        <v>99</v>
      </c>
      <c r="B34" s="285">
        <v>1800</v>
      </c>
      <c r="C34" s="285">
        <v>940</v>
      </c>
      <c r="D34" s="285">
        <v>860</v>
      </c>
    </row>
    <row r="35" spans="1:4" ht="12.75" customHeight="1">
      <c r="A35" s="284" t="s">
        <v>100</v>
      </c>
      <c r="B35" s="285">
        <v>14444</v>
      </c>
      <c r="C35" s="285">
        <v>7413</v>
      </c>
      <c r="D35" s="285">
        <v>7031</v>
      </c>
    </row>
    <row r="36" spans="1:4" ht="12.75" customHeight="1">
      <c r="A36" s="284" t="s">
        <v>101</v>
      </c>
      <c r="B36" s="285">
        <v>908</v>
      </c>
      <c r="C36" s="285">
        <v>460</v>
      </c>
      <c r="D36" s="285">
        <v>448</v>
      </c>
    </row>
    <row r="37" spans="1:4" ht="12.75" customHeight="1">
      <c r="A37" s="284" t="s">
        <v>102</v>
      </c>
      <c r="B37" s="285">
        <v>1721</v>
      </c>
      <c r="C37" s="285">
        <v>833</v>
      </c>
      <c r="D37" s="285">
        <v>888</v>
      </c>
    </row>
    <row r="38" spans="1:4" ht="12.75" customHeight="1">
      <c r="A38" s="284" t="s">
        <v>103</v>
      </c>
      <c r="B38" s="285">
        <v>2157</v>
      </c>
      <c r="C38" s="285">
        <v>1053</v>
      </c>
      <c r="D38" s="285">
        <v>1104</v>
      </c>
    </row>
    <row r="39" spans="1:4" ht="12.75" customHeight="1">
      <c r="A39" s="284" t="s">
        <v>104</v>
      </c>
      <c r="B39" s="285">
        <v>1015</v>
      </c>
      <c r="C39" s="285">
        <v>527</v>
      </c>
      <c r="D39" s="285">
        <v>488</v>
      </c>
    </row>
    <row r="40" spans="1:4" ht="12.75" customHeight="1">
      <c r="A40" s="284" t="s">
        <v>105</v>
      </c>
      <c r="B40" s="285">
        <v>467</v>
      </c>
      <c r="C40" s="285">
        <v>239</v>
      </c>
      <c r="D40" s="285">
        <v>228</v>
      </c>
    </row>
    <row r="41" spans="1:4" ht="12.75" customHeight="1">
      <c r="A41" s="284" t="s">
        <v>106</v>
      </c>
      <c r="B41" s="285">
        <v>487</v>
      </c>
      <c r="C41" s="285">
        <v>251</v>
      </c>
      <c r="D41" s="285">
        <v>236</v>
      </c>
    </row>
    <row r="42" spans="1:4" ht="12.75" customHeight="1">
      <c r="A42" s="284" t="s">
        <v>107</v>
      </c>
      <c r="B42" s="285">
        <v>18850</v>
      </c>
      <c r="C42" s="285">
        <v>9651</v>
      </c>
      <c r="D42" s="285">
        <v>9199</v>
      </c>
    </row>
    <row r="43" spans="1:4" ht="12.75" customHeight="1">
      <c r="A43" s="284" t="s">
        <v>52</v>
      </c>
      <c r="B43" s="285">
        <v>10</v>
      </c>
      <c r="C43" s="285">
        <v>9</v>
      </c>
      <c r="D43" s="285">
        <v>1</v>
      </c>
    </row>
    <row r="44" spans="1:4" s="279" customFormat="1" ht="5.0999999999999996" customHeight="1">
      <c r="A44" s="286"/>
      <c r="B44" s="280"/>
      <c r="C44" s="287"/>
      <c r="D44" s="287"/>
    </row>
    <row r="45" spans="1:4" s="279" customFormat="1" ht="5.0999999999999996" customHeight="1">
      <c r="A45" s="281"/>
      <c r="B45" s="282"/>
      <c r="C45" s="285"/>
      <c r="D45" s="285"/>
    </row>
    <row r="46" spans="1:4" ht="11.25" customHeight="1">
      <c r="A46" s="288" t="s">
        <v>319</v>
      </c>
      <c r="C46" s="285"/>
      <c r="D46" s="285"/>
    </row>
    <row r="47" spans="1:4" ht="11.25" customHeight="1">
      <c r="A47" s="289" t="s">
        <v>375</v>
      </c>
      <c r="C47" s="285"/>
      <c r="D47" s="285"/>
    </row>
    <row r="48" spans="1:4" ht="12.75" customHeight="1">
      <c r="C48" s="285"/>
      <c r="D48" s="285"/>
    </row>
    <row r="49" spans="3:4" ht="12.75" customHeight="1">
      <c r="C49" s="285"/>
      <c r="D49" s="285"/>
    </row>
    <row r="50" spans="3:4" ht="12.75" customHeight="1">
      <c r="C50" s="285"/>
      <c r="D50" s="285"/>
    </row>
    <row r="51" spans="3:4" ht="12.75" customHeight="1">
      <c r="C51" s="285"/>
      <c r="D51" s="285"/>
    </row>
    <row r="52" spans="3:4" ht="12.75" customHeight="1">
      <c r="C52" s="285"/>
      <c r="D52" s="285"/>
    </row>
    <row r="53" spans="3:4" ht="12.75" customHeight="1">
      <c r="C53" s="285"/>
      <c r="D53" s="285"/>
    </row>
    <row r="54" spans="3:4" ht="12.75" customHeight="1">
      <c r="C54" s="285"/>
      <c r="D54" s="285"/>
    </row>
  </sheetData>
  <mergeCells count="6">
    <mergeCell ref="A2:D2"/>
    <mergeCell ref="A3:D3"/>
    <mergeCell ref="A4:D4"/>
    <mergeCell ref="A6:A7"/>
    <mergeCell ref="B6:B7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2:R29"/>
  <sheetViews>
    <sheetView showGridLines="0" zoomScaleNormal="100" zoomScaleSheetLayoutView="100" workbookViewId="0"/>
  </sheetViews>
  <sheetFormatPr baseColWidth="10" defaultColWidth="9.140625" defaultRowHeight="12.75"/>
  <cols>
    <col min="1" max="1" width="26.140625" style="224" customWidth="1"/>
    <col min="2" max="2" width="20.140625" style="222" customWidth="1"/>
    <col min="3" max="3" width="12.85546875" style="222" customWidth="1"/>
    <col min="4" max="16384" width="9.140625" style="222"/>
  </cols>
  <sheetData>
    <row r="2" spans="1:18">
      <c r="A2" s="399" t="s">
        <v>453</v>
      </c>
      <c r="B2" s="399"/>
      <c r="C2" s="64"/>
    </row>
    <row r="3" spans="1:18">
      <c r="A3" s="400" t="s">
        <v>17</v>
      </c>
      <c r="B3" s="400"/>
      <c r="C3" s="66"/>
    </row>
    <row r="4" spans="1:18">
      <c r="A4" s="400" t="s">
        <v>458</v>
      </c>
      <c r="B4" s="400"/>
      <c r="C4" s="223"/>
    </row>
    <row r="5" spans="1:18" ht="12.75" customHeight="1"/>
    <row r="6" spans="1:18" ht="14.25" customHeight="1">
      <c r="A6" s="402" t="s">
        <v>75</v>
      </c>
      <c r="B6" s="404" t="s">
        <v>454</v>
      </c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</row>
    <row r="7" spans="1:18" ht="12.75" customHeight="1">
      <c r="A7" s="403"/>
      <c r="B7" s="405"/>
      <c r="D7" s="226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</row>
    <row r="8" spans="1:18" ht="5.0999999999999996" customHeight="1">
      <c r="A8" s="227"/>
      <c r="B8" s="225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</row>
    <row r="9" spans="1:18" s="230" customFormat="1">
      <c r="A9" s="292" t="s">
        <v>571</v>
      </c>
      <c r="B9" s="229">
        <f>SUM(B11:B12)</f>
        <v>121159</v>
      </c>
      <c r="D9" s="231"/>
      <c r="F9" s="232"/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2"/>
      <c r="R9" s="232"/>
    </row>
    <row r="10" spans="1:18" s="230" customFormat="1" ht="5.0999999999999996" customHeight="1">
      <c r="A10" s="227"/>
      <c r="B10" s="233"/>
      <c r="D10" s="234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</row>
    <row r="11" spans="1:18">
      <c r="A11" s="227" t="s">
        <v>38</v>
      </c>
      <c r="B11" s="235">
        <v>61975</v>
      </c>
      <c r="D11" s="236"/>
      <c r="E11" s="225"/>
      <c r="F11" s="225"/>
      <c r="G11" s="225"/>
      <c r="H11" s="225"/>
      <c r="I11" s="225"/>
      <c r="J11" s="225"/>
      <c r="K11" s="225"/>
      <c r="L11" s="225"/>
      <c r="M11" s="225"/>
      <c r="N11" s="225"/>
      <c r="O11" s="225"/>
      <c r="P11" s="225"/>
      <c r="Q11" s="225"/>
      <c r="R11" s="225"/>
    </row>
    <row r="12" spans="1:18" ht="11.25" customHeight="1">
      <c r="A12" s="227" t="s">
        <v>39</v>
      </c>
      <c r="B12" s="237">
        <v>59184</v>
      </c>
      <c r="D12" s="238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</row>
    <row r="13" spans="1:18" ht="5.25" customHeight="1">
      <c r="A13" s="239"/>
      <c r="B13" s="240"/>
      <c r="D13" s="231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5"/>
      <c r="R13" s="225"/>
    </row>
    <row r="14" spans="1:18" ht="5.0999999999999996" customHeight="1">
      <c r="A14" s="227"/>
      <c r="B14" s="236"/>
      <c r="D14" s="236"/>
    </row>
    <row r="15" spans="1:18" ht="12.75" customHeight="1">
      <c r="A15" s="406" t="s">
        <v>455</v>
      </c>
      <c r="B15" s="406"/>
      <c r="D15" s="236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5"/>
    </row>
    <row r="16" spans="1:18" ht="11.25" customHeight="1">
      <c r="A16" s="221" t="s">
        <v>456</v>
      </c>
      <c r="B16" s="221"/>
      <c r="D16" s="236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</row>
    <row r="17" spans="1:18" ht="11.25" customHeight="1">
      <c r="A17" s="406" t="s">
        <v>231</v>
      </c>
      <c r="B17" s="406"/>
      <c r="D17" s="236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</row>
    <row r="18" spans="1:18" ht="12.75" customHeight="1">
      <c r="A18" s="241"/>
      <c r="B18" s="238"/>
      <c r="D18" s="238"/>
      <c r="E18" s="225"/>
      <c r="F18" s="225"/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5"/>
    </row>
    <row r="19" spans="1:18" ht="12.75" customHeight="1">
      <c r="A19" s="222"/>
      <c r="B19" s="231"/>
      <c r="D19" s="231"/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1:18" ht="12.75" customHeight="1">
      <c r="A20" s="228"/>
      <c r="B20" s="236"/>
      <c r="C20" s="236"/>
      <c r="D20" s="225"/>
      <c r="E20" s="225"/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5"/>
    </row>
    <row r="21" spans="1:18" ht="12.75" customHeight="1">
      <c r="A21" s="227"/>
      <c r="B21" s="236"/>
      <c r="C21" s="236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</row>
    <row r="22" spans="1:18" ht="12.75" customHeight="1">
      <c r="A22" s="227"/>
      <c r="B22" s="236"/>
      <c r="C22" s="236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</row>
    <row r="23" spans="1:18" ht="12.75" customHeight="1"/>
    <row r="24" spans="1:18" ht="12.75" customHeight="1"/>
    <row r="25" spans="1:18" ht="12.75" customHeight="1">
      <c r="A25" s="401"/>
      <c r="B25" s="401"/>
      <c r="C25" s="401"/>
    </row>
    <row r="26" spans="1:18" ht="12.75" customHeight="1">
      <c r="A26" s="242" t="s">
        <v>457</v>
      </c>
    </row>
    <row r="27" spans="1:18" ht="12.75" customHeight="1"/>
    <row r="28" spans="1:18" ht="12.75" customHeight="1"/>
    <row r="29" spans="1:18" ht="12.75" customHeight="1"/>
  </sheetData>
  <mergeCells count="8">
    <mergeCell ref="A2:B2"/>
    <mergeCell ref="A3:B3"/>
    <mergeCell ref="A4:B4"/>
    <mergeCell ref="A25:C25"/>
    <mergeCell ref="A6:A7"/>
    <mergeCell ref="B6:B7"/>
    <mergeCell ref="A15:B15"/>
    <mergeCell ref="A17:B17"/>
  </mergeCells>
  <phoneticPr fontId="2" type="noConversion"/>
  <printOptions horizontalCentered="1"/>
  <pageMargins left="0.78740157480314965" right="0.78740157480314965" top="0.98425196850393704" bottom="0.98425196850393704" header="0.51181102362204722" footer="0.51181102362204722"/>
  <pageSetup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Hoja1"/>
  <dimension ref="A1:E48"/>
  <sheetViews>
    <sheetView showGridLines="0" zoomScaleNormal="100" workbookViewId="0">
      <selection activeCell="F28" sqref="F28"/>
    </sheetView>
  </sheetViews>
  <sheetFormatPr baseColWidth="10" defaultColWidth="11.42578125" defaultRowHeight="12.75" customHeight="1"/>
  <cols>
    <col min="1" max="1" width="23.7109375" style="28" customWidth="1"/>
    <col min="2" max="2" width="11.7109375" style="27" customWidth="1"/>
    <col min="3" max="3" width="12.28515625" style="27" customWidth="1"/>
    <col min="4" max="4" width="12.140625" style="27" customWidth="1"/>
    <col min="5" max="5" width="12.42578125" style="27" customWidth="1"/>
    <col min="6" max="16384" width="11.42578125" style="27"/>
  </cols>
  <sheetData>
    <row r="1" spans="1:5" ht="11.25" customHeight="1"/>
    <row r="2" spans="1:5" ht="11.25" customHeight="1">
      <c r="A2" s="375" t="s">
        <v>223</v>
      </c>
      <c r="B2" s="375"/>
      <c r="C2" s="375"/>
      <c r="D2" s="375"/>
      <c r="E2" s="375"/>
    </row>
    <row r="3" spans="1:5" ht="11.25" customHeight="1">
      <c r="A3" s="376" t="s">
        <v>17</v>
      </c>
      <c r="B3" s="376"/>
      <c r="C3" s="376"/>
      <c r="D3" s="376"/>
      <c r="E3" s="376"/>
    </row>
    <row r="4" spans="1:5" ht="11.25" customHeight="1">
      <c r="A4" s="376" t="s">
        <v>459</v>
      </c>
      <c r="B4" s="376"/>
      <c r="C4" s="376"/>
      <c r="D4" s="376"/>
      <c r="E4" s="376"/>
    </row>
    <row r="5" spans="1:5" ht="11.25" customHeight="1"/>
    <row r="6" spans="1:5" s="31" customFormat="1" ht="12.75" customHeight="1">
      <c r="A6" s="382" t="s">
        <v>112</v>
      </c>
      <c r="B6" s="384" t="s">
        <v>61</v>
      </c>
      <c r="C6" s="386" t="s">
        <v>40</v>
      </c>
      <c r="D6" s="386"/>
      <c r="E6" s="386"/>
    </row>
    <row r="7" spans="1:5" s="31" customFormat="1" ht="12.75" customHeight="1">
      <c r="A7" s="383"/>
      <c r="B7" s="385"/>
      <c r="C7" s="50" t="s">
        <v>41</v>
      </c>
      <c r="D7" s="50" t="s">
        <v>42</v>
      </c>
      <c r="E7" s="50" t="s">
        <v>45</v>
      </c>
    </row>
    <row r="8" spans="1:5" s="31" customFormat="1" ht="5.0999999999999996" customHeight="1">
      <c r="A8" s="34"/>
      <c r="B8" s="52"/>
      <c r="C8" s="52"/>
      <c r="D8" s="52"/>
      <c r="E8" s="52"/>
    </row>
    <row r="9" spans="1:5" s="31" customFormat="1" ht="12.75" customHeight="1">
      <c r="A9" s="292" t="s">
        <v>571</v>
      </c>
      <c r="B9" s="54">
        <f>SUM(B11:B44)</f>
        <v>121159</v>
      </c>
      <c r="C9" s="54">
        <f>SUM(C11:C44)</f>
        <v>99272</v>
      </c>
      <c r="D9" s="54">
        <f>SUM(D11:D44)</f>
        <v>20579</v>
      </c>
      <c r="E9" s="54">
        <f>SUM(E11:E44)</f>
        <v>1308</v>
      </c>
    </row>
    <row r="10" spans="1:5" s="31" customFormat="1" ht="5.0999999999999996" customHeight="1">
      <c r="A10" s="34"/>
      <c r="B10" s="52"/>
      <c r="C10" s="52"/>
      <c r="D10" s="52"/>
      <c r="E10" s="52"/>
    </row>
    <row r="11" spans="1:5" ht="12.75" customHeight="1">
      <c r="A11" s="36" t="s">
        <v>76</v>
      </c>
      <c r="B11" s="56">
        <f>+C11+D11+E11</f>
        <v>18137</v>
      </c>
      <c r="C11" s="56">
        <v>18136</v>
      </c>
      <c r="D11" s="56">
        <v>1</v>
      </c>
      <c r="E11" s="56">
        <v>0</v>
      </c>
    </row>
    <row r="12" spans="1:5" ht="12.75" customHeight="1">
      <c r="A12" s="36" t="s">
        <v>77</v>
      </c>
      <c r="B12" s="56">
        <f t="shared" ref="B12:B44" si="0">+C12+D12+E12</f>
        <v>3592</v>
      </c>
      <c r="C12" s="56">
        <v>3141</v>
      </c>
      <c r="D12" s="56">
        <v>443</v>
      </c>
      <c r="E12" s="56">
        <v>8</v>
      </c>
    </row>
    <row r="13" spans="1:5" ht="12.75" customHeight="1">
      <c r="A13" s="36" t="s">
        <v>78</v>
      </c>
      <c r="B13" s="56">
        <f t="shared" si="0"/>
        <v>1352</v>
      </c>
      <c r="C13" s="56">
        <v>869</v>
      </c>
      <c r="D13" s="56">
        <v>482</v>
      </c>
      <c r="E13" s="56">
        <v>1</v>
      </c>
    </row>
    <row r="14" spans="1:5" ht="12.75" customHeight="1">
      <c r="A14" s="36" t="s">
        <v>79</v>
      </c>
      <c r="B14" s="56">
        <f t="shared" si="0"/>
        <v>2842</v>
      </c>
      <c r="C14" s="56">
        <v>1598</v>
      </c>
      <c r="D14" s="56">
        <v>1225</v>
      </c>
      <c r="E14" s="56">
        <v>19</v>
      </c>
    </row>
    <row r="15" spans="1:5" ht="12.75" customHeight="1">
      <c r="A15" s="36" t="s">
        <v>80</v>
      </c>
      <c r="B15" s="56">
        <f t="shared" si="0"/>
        <v>617</v>
      </c>
      <c r="C15" s="56">
        <v>420</v>
      </c>
      <c r="D15" s="56">
        <v>196</v>
      </c>
      <c r="E15" s="56">
        <v>1</v>
      </c>
    </row>
    <row r="16" spans="1:5" ht="12.75" customHeight="1">
      <c r="A16" s="36" t="s">
        <v>81</v>
      </c>
      <c r="B16" s="56">
        <f t="shared" si="0"/>
        <v>3983</v>
      </c>
      <c r="C16" s="56">
        <v>3090</v>
      </c>
      <c r="D16" s="56">
        <v>892</v>
      </c>
      <c r="E16" s="56">
        <v>1</v>
      </c>
    </row>
    <row r="17" spans="1:5" ht="12.75" customHeight="1">
      <c r="A17" s="36" t="s">
        <v>82</v>
      </c>
      <c r="B17" s="56">
        <f t="shared" si="0"/>
        <v>538</v>
      </c>
      <c r="C17" s="56">
        <v>271</v>
      </c>
      <c r="D17" s="56">
        <v>260</v>
      </c>
      <c r="E17" s="56">
        <v>7</v>
      </c>
    </row>
    <row r="18" spans="1:5" ht="12.75" customHeight="1">
      <c r="A18" s="36" t="s">
        <v>83</v>
      </c>
      <c r="B18" s="56">
        <f t="shared" si="0"/>
        <v>757</v>
      </c>
      <c r="C18" s="56">
        <v>495</v>
      </c>
      <c r="D18" s="56">
        <v>260</v>
      </c>
      <c r="E18" s="56">
        <v>2</v>
      </c>
    </row>
    <row r="19" spans="1:5" ht="12.75" customHeight="1">
      <c r="A19" s="36" t="s">
        <v>84</v>
      </c>
      <c r="B19" s="56">
        <f t="shared" si="0"/>
        <v>2787</v>
      </c>
      <c r="C19" s="56">
        <v>1199</v>
      </c>
      <c r="D19" s="56">
        <v>1574</v>
      </c>
      <c r="E19" s="56">
        <v>14</v>
      </c>
    </row>
    <row r="20" spans="1:5" ht="12.75" customHeight="1">
      <c r="A20" s="36" t="s">
        <v>85</v>
      </c>
      <c r="B20" s="56">
        <f t="shared" si="0"/>
        <v>621</v>
      </c>
      <c r="C20" s="56">
        <v>385</v>
      </c>
      <c r="D20" s="56">
        <v>232</v>
      </c>
      <c r="E20" s="56">
        <v>4</v>
      </c>
    </row>
    <row r="21" spans="1:5" ht="12.75" customHeight="1">
      <c r="A21" s="36" t="s">
        <v>86</v>
      </c>
      <c r="B21" s="56">
        <f t="shared" si="0"/>
        <v>3227</v>
      </c>
      <c r="C21" s="56">
        <v>3191</v>
      </c>
      <c r="D21" s="56">
        <v>29</v>
      </c>
      <c r="E21" s="56">
        <v>7</v>
      </c>
    </row>
    <row r="22" spans="1:5" ht="12.75" customHeight="1">
      <c r="A22" s="36" t="s">
        <v>87</v>
      </c>
      <c r="B22" s="56">
        <f t="shared" si="0"/>
        <v>3198</v>
      </c>
      <c r="C22" s="56">
        <v>2115</v>
      </c>
      <c r="D22" s="56">
        <v>1082</v>
      </c>
      <c r="E22" s="56">
        <v>1</v>
      </c>
    </row>
    <row r="23" spans="1:5" ht="12.75" customHeight="1">
      <c r="A23" s="36" t="s">
        <v>88</v>
      </c>
      <c r="B23" s="56">
        <f t="shared" si="0"/>
        <v>4596</v>
      </c>
      <c r="C23" s="56">
        <v>2097</v>
      </c>
      <c r="D23" s="56">
        <v>2452</v>
      </c>
      <c r="E23" s="56">
        <v>47</v>
      </c>
    </row>
    <row r="24" spans="1:5" ht="12.75" customHeight="1">
      <c r="A24" s="36" t="s">
        <v>89</v>
      </c>
      <c r="B24" s="56">
        <f t="shared" si="0"/>
        <v>1532</v>
      </c>
      <c r="C24" s="56">
        <v>1013</v>
      </c>
      <c r="D24" s="56">
        <v>518</v>
      </c>
      <c r="E24" s="56">
        <v>1</v>
      </c>
    </row>
    <row r="25" spans="1:5" ht="12.75" customHeight="1">
      <c r="A25" s="36" t="s">
        <v>90</v>
      </c>
      <c r="B25" s="56">
        <f t="shared" si="0"/>
        <v>946</v>
      </c>
      <c r="C25" s="56">
        <v>562</v>
      </c>
      <c r="D25" s="56">
        <v>357</v>
      </c>
      <c r="E25" s="56">
        <v>27</v>
      </c>
    </row>
    <row r="26" spans="1:5" ht="12.75" customHeight="1">
      <c r="A26" s="36" t="s">
        <v>91</v>
      </c>
      <c r="B26" s="56">
        <f t="shared" si="0"/>
        <v>290</v>
      </c>
      <c r="C26" s="56">
        <v>197</v>
      </c>
      <c r="D26" s="56">
        <v>93</v>
      </c>
      <c r="E26" s="56">
        <v>0</v>
      </c>
    </row>
    <row r="27" spans="1:5" ht="12.75" customHeight="1">
      <c r="A27" s="36" t="s">
        <v>92</v>
      </c>
      <c r="B27" s="56">
        <f t="shared" si="0"/>
        <v>2091</v>
      </c>
      <c r="C27" s="56">
        <v>1137</v>
      </c>
      <c r="D27" s="56">
        <v>941</v>
      </c>
      <c r="E27" s="56">
        <v>13</v>
      </c>
    </row>
    <row r="28" spans="1:5" ht="12.75" customHeight="1">
      <c r="A28" s="36" t="s">
        <v>93</v>
      </c>
      <c r="B28" s="56">
        <f t="shared" si="0"/>
        <v>3169</v>
      </c>
      <c r="C28" s="56">
        <v>2819</v>
      </c>
      <c r="D28" s="56">
        <v>341</v>
      </c>
      <c r="E28" s="56">
        <v>9</v>
      </c>
    </row>
    <row r="29" spans="1:5" ht="12.75" customHeight="1">
      <c r="A29" s="36" t="s">
        <v>224</v>
      </c>
      <c r="B29" s="56">
        <f t="shared" si="0"/>
        <v>1200</v>
      </c>
      <c r="C29" s="56">
        <v>435</v>
      </c>
      <c r="D29" s="56">
        <v>761</v>
      </c>
      <c r="E29" s="56">
        <v>4</v>
      </c>
    </row>
    <row r="30" spans="1:5" ht="12.75" customHeight="1">
      <c r="A30" s="36" t="s">
        <v>95</v>
      </c>
      <c r="B30" s="56">
        <f t="shared" si="0"/>
        <v>1236</v>
      </c>
      <c r="C30" s="56">
        <v>771</v>
      </c>
      <c r="D30" s="56">
        <v>461</v>
      </c>
      <c r="E30" s="56">
        <v>4</v>
      </c>
    </row>
    <row r="31" spans="1:5" ht="12.75" customHeight="1">
      <c r="A31" s="36" t="s">
        <v>96</v>
      </c>
      <c r="B31" s="56">
        <f t="shared" si="0"/>
        <v>6970</v>
      </c>
      <c r="C31" s="56">
        <v>4447</v>
      </c>
      <c r="D31" s="56">
        <v>2495</v>
      </c>
      <c r="E31" s="56">
        <v>28</v>
      </c>
    </row>
    <row r="32" spans="1:5" ht="12.75" customHeight="1">
      <c r="A32" s="36" t="s">
        <v>97</v>
      </c>
      <c r="B32" s="56">
        <f t="shared" si="0"/>
        <v>2661</v>
      </c>
      <c r="C32" s="56">
        <v>1588</v>
      </c>
      <c r="D32" s="56">
        <v>1068</v>
      </c>
      <c r="E32" s="56">
        <v>5</v>
      </c>
    </row>
    <row r="33" spans="1:5" ht="12.75" customHeight="1">
      <c r="A33" s="36" t="s">
        <v>98</v>
      </c>
      <c r="B33" s="56">
        <f t="shared" si="0"/>
        <v>4059</v>
      </c>
      <c r="C33" s="56">
        <v>3721</v>
      </c>
      <c r="D33" s="56">
        <v>338</v>
      </c>
      <c r="E33" s="56">
        <v>0</v>
      </c>
    </row>
    <row r="34" spans="1:5" ht="12.75" customHeight="1">
      <c r="A34" s="36" t="s">
        <v>99</v>
      </c>
      <c r="B34" s="56">
        <f t="shared" si="0"/>
        <v>1912</v>
      </c>
      <c r="C34" s="56">
        <v>1201</v>
      </c>
      <c r="D34" s="56">
        <v>709</v>
      </c>
      <c r="E34" s="56">
        <v>2</v>
      </c>
    </row>
    <row r="35" spans="1:5" ht="12.75" customHeight="1">
      <c r="A35" s="36" t="s">
        <v>100</v>
      </c>
      <c r="B35" s="56">
        <f t="shared" si="0"/>
        <v>13172</v>
      </c>
      <c r="C35" s="56">
        <v>12620</v>
      </c>
      <c r="D35" s="56">
        <v>507</v>
      </c>
      <c r="E35" s="56">
        <v>45</v>
      </c>
    </row>
    <row r="36" spans="1:5" ht="12.75" customHeight="1">
      <c r="A36" s="36" t="s">
        <v>101</v>
      </c>
      <c r="B36" s="56">
        <f t="shared" si="0"/>
        <v>836</v>
      </c>
      <c r="C36" s="56">
        <v>574</v>
      </c>
      <c r="D36" s="56">
        <v>259</v>
      </c>
      <c r="E36" s="56">
        <v>3</v>
      </c>
    </row>
    <row r="37" spans="1:5" ht="12.75" customHeight="1">
      <c r="A37" s="36" t="s">
        <v>102</v>
      </c>
      <c r="B37" s="56">
        <f t="shared" si="0"/>
        <v>1711</v>
      </c>
      <c r="C37" s="56">
        <v>1279</v>
      </c>
      <c r="D37" s="56">
        <v>353</v>
      </c>
      <c r="E37" s="56">
        <v>79</v>
      </c>
    </row>
    <row r="38" spans="1:5" ht="12.75" customHeight="1">
      <c r="A38" s="36" t="s">
        <v>103</v>
      </c>
      <c r="B38" s="56">
        <f t="shared" si="0"/>
        <v>2211</v>
      </c>
      <c r="C38" s="56">
        <v>900</v>
      </c>
      <c r="D38" s="56">
        <v>1309</v>
      </c>
      <c r="E38" s="56">
        <v>2</v>
      </c>
    </row>
    <row r="39" spans="1:5" ht="12.75" customHeight="1">
      <c r="A39" s="36" t="s">
        <v>104</v>
      </c>
      <c r="B39" s="56">
        <f t="shared" si="0"/>
        <v>1698</v>
      </c>
      <c r="C39" s="56">
        <v>1404</v>
      </c>
      <c r="D39" s="56">
        <v>284</v>
      </c>
      <c r="E39" s="56">
        <v>10</v>
      </c>
    </row>
    <row r="40" spans="1:5" ht="12.75" customHeight="1">
      <c r="A40" s="36" t="s">
        <v>105</v>
      </c>
      <c r="B40" s="56">
        <f t="shared" si="0"/>
        <v>580</v>
      </c>
      <c r="C40" s="56">
        <v>421</v>
      </c>
      <c r="D40" s="56">
        <v>120</v>
      </c>
      <c r="E40" s="56">
        <v>39</v>
      </c>
    </row>
    <row r="41" spans="1:5" ht="12.75" customHeight="1">
      <c r="A41" s="36" t="s">
        <v>106</v>
      </c>
      <c r="B41" s="56">
        <f t="shared" si="0"/>
        <v>577</v>
      </c>
      <c r="C41" s="56">
        <v>475</v>
      </c>
      <c r="D41" s="56">
        <v>98</v>
      </c>
      <c r="E41" s="56">
        <v>4</v>
      </c>
    </row>
    <row r="42" spans="1:5" ht="12.75" customHeight="1">
      <c r="A42" s="36" t="s">
        <v>107</v>
      </c>
      <c r="B42" s="56">
        <f t="shared" si="0"/>
        <v>27715</v>
      </c>
      <c r="C42" s="56">
        <v>26637</v>
      </c>
      <c r="D42" s="56">
        <v>427</v>
      </c>
      <c r="E42" s="56">
        <v>651</v>
      </c>
    </row>
    <row r="43" spans="1:5" ht="12.75" customHeight="1">
      <c r="A43" s="36" t="s">
        <v>108</v>
      </c>
      <c r="B43" s="56">
        <f t="shared" si="0"/>
        <v>39</v>
      </c>
      <c r="C43" s="56">
        <v>25</v>
      </c>
      <c r="D43" s="56">
        <v>0</v>
      </c>
      <c r="E43" s="56">
        <v>14</v>
      </c>
    </row>
    <row r="44" spans="1:5" ht="12.75" customHeight="1">
      <c r="A44" s="36" t="s">
        <v>52</v>
      </c>
      <c r="B44" s="56">
        <f t="shared" si="0"/>
        <v>307</v>
      </c>
      <c r="C44" s="56">
        <v>39</v>
      </c>
      <c r="D44" s="56">
        <v>12</v>
      </c>
      <c r="E44" s="56">
        <v>256</v>
      </c>
    </row>
    <row r="45" spans="1:5" s="31" customFormat="1" ht="5.0999999999999996" customHeight="1">
      <c r="A45" s="198"/>
      <c r="B45" s="61"/>
      <c r="C45" s="61"/>
      <c r="D45" s="61"/>
      <c r="E45" s="61"/>
    </row>
    <row r="46" spans="1:5" s="31" customFormat="1" ht="5.0999999999999996" customHeight="1">
      <c r="A46" s="34"/>
      <c r="B46" s="52"/>
      <c r="C46" s="52"/>
      <c r="D46" s="52"/>
      <c r="E46" s="52"/>
    </row>
    <row r="47" spans="1:5" ht="12.75" customHeight="1">
      <c r="A47" s="57" t="s">
        <v>319</v>
      </c>
    </row>
    <row r="48" spans="1:5" ht="12.75" customHeight="1">
      <c r="A48" s="58" t="s">
        <v>375</v>
      </c>
    </row>
  </sheetData>
  <mergeCells count="6">
    <mergeCell ref="A6:A7"/>
    <mergeCell ref="C6:E6"/>
    <mergeCell ref="B6:B7"/>
    <mergeCell ref="A2:E2"/>
    <mergeCell ref="A3:E3"/>
    <mergeCell ref="A4:E4"/>
  </mergeCells>
  <phoneticPr fontId="2" type="noConversion"/>
  <printOptions horizontalCentered="1"/>
  <pageMargins left="1.1299999999999999" right="0.78740157480314965" top="0.98425196850393704" bottom="0.55000000000000004" header="0" footer="0"/>
  <pageSetup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Hoja2"/>
  <dimension ref="A1:F532"/>
  <sheetViews>
    <sheetView showGridLines="0" zoomScaleNormal="100" zoomScaleSheetLayoutView="100" workbookViewId="0">
      <selection activeCell="E25" sqref="E25"/>
    </sheetView>
  </sheetViews>
  <sheetFormatPr baseColWidth="10" defaultColWidth="11.42578125" defaultRowHeight="12.75" customHeight="1"/>
  <cols>
    <col min="1" max="1" width="34.42578125" style="28" customWidth="1"/>
    <col min="2" max="2" width="23.5703125" style="27" customWidth="1"/>
    <col min="3" max="3" width="14.140625" style="27" customWidth="1"/>
    <col min="4" max="4" width="21.7109375" style="27" customWidth="1"/>
    <col min="5" max="5" width="18.7109375" style="27" customWidth="1"/>
    <col min="6" max="16384" width="11.42578125" style="27"/>
  </cols>
  <sheetData>
    <row r="1" spans="1:6" ht="11.25" customHeight="1"/>
    <row r="2" spans="1:6" ht="11.25" customHeight="1">
      <c r="A2" s="375" t="s">
        <v>225</v>
      </c>
      <c r="B2" s="375"/>
    </row>
    <row r="3" spans="1:6" ht="11.25" customHeight="1">
      <c r="A3" s="376" t="s">
        <v>17</v>
      </c>
      <c r="B3" s="376"/>
    </row>
    <row r="4" spans="1:6" ht="11.25" customHeight="1">
      <c r="A4" s="376" t="s">
        <v>226</v>
      </c>
      <c r="B4" s="376"/>
    </row>
    <row r="5" spans="1:6" ht="11.25" customHeight="1">
      <c r="A5" s="376" t="s">
        <v>460</v>
      </c>
      <c r="B5" s="376"/>
    </row>
    <row r="6" spans="1:6" ht="11.25" customHeight="1"/>
    <row r="7" spans="1:6" s="31" customFormat="1" ht="19.5" customHeight="1">
      <c r="A7" s="382" t="s">
        <v>227</v>
      </c>
      <c r="B7" s="384" t="s">
        <v>19</v>
      </c>
    </row>
    <row r="8" spans="1:6" s="31" customFormat="1" ht="5.25" customHeight="1">
      <c r="A8" s="383"/>
      <c r="B8" s="385"/>
    </row>
    <row r="9" spans="1:6" s="31" customFormat="1" ht="5.0999999999999996" customHeight="1">
      <c r="A9" s="59"/>
      <c r="B9" s="60"/>
    </row>
    <row r="10" spans="1:6" s="31" customFormat="1" ht="12.75" customHeight="1">
      <c r="A10" s="292" t="s">
        <v>571</v>
      </c>
      <c r="B10" s="244">
        <v>121159</v>
      </c>
    </row>
    <row r="11" spans="1:6" s="31" customFormat="1" ht="5.0999999999999996" customHeight="1">
      <c r="A11" s="59"/>
      <c r="B11" s="60"/>
    </row>
    <row r="12" spans="1:6" ht="12.75" customHeight="1">
      <c r="A12" s="36" t="s">
        <v>62</v>
      </c>
      <c r="B12" s="63">
        <v>0</v>
      </c>
      <c r="C12" s="31"/>
      <c r="E12" s="31"/>
      <c r="F12" s="31"/>
    </row>
    <row r="13" spans="1:6" ht="12.75" customHeight="1">
      <c r="A13" s="36" t="s">
        <v>63</v>
      </c>
      <c r="B13" s="63">
        <v>16743</v>
      </c>
      <c r="C13" s="31"/>
      <c r="E13" s="31"/>
      <c r="F13" s="31"/>
    </row>
    <row r="14" spans="1:6" ht="12.75" customHeight="1">
      <c r="A14" s="36" t="s">
        <v>64</v>
      </c>
      <c r="B14" s="63">
        <v>39008</v>
      </c>
      <c r="C14" s="363"/>
      <c r="E14" s="31"/>
      <c r="F14" s="31"/>
    </row>
    <row r="15" spans="1:6" ht="12.75" customHeight="1">
      <c r="A15" s="36" t="s">
        <v>65</v>
      </c>
      <c r="B15" s="63">
        <v>33094</v>
      </c>
      <c r="C15" s="363"/>
      <c r="E15" s="31"/>
      <c r="F15" s="31"/>
    </row>
    <row r="16" spans="1:6" ht="12.75" customHeight="1">
      <c r="A16" s="36" t="s">
        <v>66</v>
      </c>
      <c r="B16" s="63">
        <v>20860</v>
      </c>
      <c r="C16" s="363"/>
      <c r="E16" s="31"/>
      <c r="F16" s="31"/>
    </row>
    <row r="17" spans="1:6" ht="12.75" customHeight="1">
      <c r="A17" s="36" t="s">
        <v>67</v>
      </c>
      <c r="B17" s="63">
        <v>8512</v>
      </c>
      <c r="C17" s="363"/>
      <c r="E17" s="31"/>
      <c r="F17" s="31"/>
    </row>
    <row r="18" spans="1:6" ht="12.75" customHeight="1">
      <c r="A18" s="36" t="s">
        <v>68</v>
      </c>
      <c r="B18" s="63">
        <v>1788</v>
      </c>
      <c r="C18" s="363"/>
      <c r="E18" s="31"/>
      <c r="F18" s="31"/>
    </row>
    <row r="19" spans="1:6" ht="12.75" customHeight="1">
      <c r="A19" s="36" t="s">
        <v>69</v>
      </c>
      <c r="B19" s="63">
        <v>144</v>
      </c>
      <c r="C19" s="363"/>
      <c r="E19" s="31"/>
      <c r="F19" s="31"/>
    </row>
    <row r="20" spans="1:6" ht="12.75" customHeight="1">
      <c r="A20" s="36" t="s">
        <v>70</v>
      </c>
      <c r="B20" s="63">
        <v>30</v>
      </c>
      <c r="C20" s="363"/>
      <c r="E20" s="31"/>
      <c r="F20" s="31"/>
    </row>
    <row r="21" spans="1:6" ht="12.75" customHeight="1">
      <c r="A21" s="36" t="s">
        <v>333</v>
      </c>
      <c r="B21" s="63">
        <v>980</v>
      </c>
      <c r="C21" s="363"/>
      <c r="E21" s="31"/>
      <c r="F21" s="31"/>
    </row>
    <row r="22" spans="1:6" s="31" customFormat="1" ht="5.0999999999999996" customHeight="1">
      <c r="A22" s="59"/>
      <c r="B22" s="63"/>
    </row>
    <row r="23" spans="1:6" s="31" customFormat="1" ht="12.75" customHeight="1">
      <c r="A23" s="34" t="s">
        <v>76</v>
      </c>
      <c r="B23" s="245">
        <v>18137</v>
      </c>
    </row>
    <row r="24" spans="1:6" s="31" customFormat="1" ht="5.0999999999999996" customHeight="1">
      <c r="A24" s="59"/>
      <c r="B24" s="244"/>
    </row>
    <row r="25" spans="1:6" ht="12.75" customHeight="1">
      <c r="A25" s="36" t="s">
        <v>62</v>
      </c>
      <c r="B25" s="63"/>
    </row>
    <row r="26" spans="1:6" ht="12.75" customHeight="1">
      <c r="A26" s="36" t="s">
        <v>63</v>
      </c>
      <c r="B26" s="63">
        <v>1647</v>
      </c>
    </row>
    <row r="27" spans="1:6" ht="12.75" customHeight="1">
      <c r="A27" s="36" t="s">
        <v>64</v>
      </c>
      <c r="B27" s="63">
        <v>4698</v>
      </c>
    </row>
    <row r="28" spans="1:6" ht="12.75" customHeight="1">
      <c r="A28" s="36" t="s">
        <v>65</v>
      </c>
      <c r="B28" s="63">
        <v>5268</v>
      </c>
    </row>
    <row r="29" spans="1:6" ht="12.75" customHeight="1">
      <c r="A29" s="36" t="s">
        <v>66</v>
      </c>
      <c r="B29" s="63">
        <v>4243</v>
      </c>
    </row>
    <row r="30" spans="1:6" ht="12.75" customHeight="1">
      <c r="A30" s="36" t="s">
        <v>67</v>
      </c>
      <c r="B30" s="63">
        <v>1817</v>
      </c>
    </row>
    <row r="31" spans="1:6" ht="12.75" customHeight="1">
      <c r="A31" s="36" t="s">
        <v>68</v>
      </c>
      <c r="B31" s="63">
        <v>403</v>
      </c>
    </row>
    <row r="32" spans="1:6" ht="12.75" customHeight="1">
      <c r="A32" s="36" t="s">
        <v>69</v>
      </c>
      <c r="B32" s="63">
        <v>28</v>
      </c>
    </row>
    <row r="33" spans="1:2" ht="12.75" customHeight="1">
      <c r="A33" s="36" t="s">
        <v>70</v>
      </c>
      <c r="B33" s="63">
        <v>6</v>
      </c>
    </row>
    <row r="34" spans="1:2" ht="12.75" customHeight="1">
      <c r="A34" s="36" t="s">
        <v>333</v>
      </c>
      <c r="B34" s="63">
        <v>27</v>
      </c>
    </row>
    <row r="35" spans="1:2" s="31" customFormat="1" ht="5.0999999999999996" customHeight="1">
      <c r="A35" s="59"/>
      <c r="B35" s="63"/>
    </row>
    <row r="36" spans="1:2" s="31" customFormat="1" ht="12.75" customHeight="1">
      <c r="A36" s="34" t="s">
        <v>77</v>
      </c>
      <c r="B36" s="245">
        <v>3592</v>
      </c>
    </row>
    <row r="37" spans="1:2" s="31" customFormat="1" ht="5.0999999999999996" customHeight="1">
      <c r="A37" s="59"/>
      <c r="B37" s="63"/>
    </row>
    <row r="38" spans="1:2" ht="12.75" customHeight="1">
      <c r="A38" s="36" t="s">
        <v>62</v>
      </c>
      <c r="B38" s="63"/>
    </row>
    <row r="39" spans="1:2" ht="12.75" customHeight="1">
      <c r="A39" s="36" t="s">
        <v>63</v>
      </c>
      <c r="B39" s="63">
        <v>865</v>
      </c>
    </row>
    <row r="40" spans="1:2" ht="12.75" customHeight="1">
      <c r="A40" s="36" t="s">
        <v>64</v>
      </c>
      <c r="B40" s="63">
        <v>1159</v>
      </c>
    </row>
    <row r="41" spans="1:2" ht="12.75" customHeight="1">
      <c r="A41" s="36" t="s">
        <v>65</v>
      </c>
      <c r="B41" s="63">
        <v>828</v>
      </c>
    </row>
    <row r="42" spans="1:2" ht="12.75" customHeight="1">
      <c r="A42" s="36" t="s">
        <v>66</v>
      </c>
      <c r="B42" s="63">
        <v>399</v>
      </c>
    </row>
    <row r="43" spans="1:2" ht="12.75" customHeight="1">
      <c r="A43" s="36" t="s">
        <v>67</v>
      </c>
      <c r="B43" s="63">
        <v>145</v>
      </c>
    </row>
    <row r="44" spans="1:2" ht="12.75" customHeight="1">
      <c r="A44" s="36" t="s">
        <v>68</v>
      </c>
      <c r="B44" s="63">
        <v>28</v>
      </c>
    </row>
    <row r="45" spans="1:2" ht="12.75" customHeight="1">
      <c r="A45" s="36" t="s">
        <v>69</v>
      </c>
      <c r="B45" s="63">
        <v>2</v>
      </c>
    </row>
    <row r="46" spans="1:2" ht="12.75" customHeight="1">
      <c r="A46" s="36" t="s">
        <v>70</v>
      </c>
      <c r="B46" s="63">
        <v>2</v>
      </c>
    </row>
    <row r="47" spans="1:2" ht="12.75" customHeight="1">
      <c r="A47" s="36" t="s">
        <v>333</v>
      </c>
      <c r="B47" s="63">
        <v>164</v>
      </c>
    </row>
    <row r="48" spans="1:2" s="31" customFormat="1" ht="5.0999999999999996" customHeight="1">
      <c r="A48" s="59"/>
      <c r="B48" s="63"/>
    </row>
    <row r="49" spans="1:4" s="31" customFormat="1" ht="12.75" customHeight="1">
      <c r="A49" s="34" t="s">
        <v>78</v>
      </c>
      <c r="B49" s="245">
        <v>1352</v>
      </c>
    </row>
    <row r="50" spans="1:4" s="31" customFormat="1" ht="5.0999999999999996" customHeight="1">
      <c r="A50" s="59"/>
      <c r="B50" s="63"/>
    </row>
    <row r="51" spans="1:4" ht="12.75" customHeight="1">
      <c r="A51" s="36" t="s">
        <v>62</v>
      </c>
      <c r="B51" s="63"/>
    </row>
    <row r="52" spans="1:4" ht="12.75" customHeight="1">
      <c r="A52" s="36" t="s">
        <v>63</v>
      </c>
      <c r="B52" s="63">
        <v>233</v>
      </c>
    </row>
    <row r="53" spans="1:4" ht="12.75" customHeight="1">
      <c r="A53" s="36" t="s">
        <v>64</v>
      </c>
      <c r="B53" s="63">
        <v>477</v>
      </c>
    </row>
    <row r="54" spans="1:4" ht="12.75" customHeight="1">
      <c r="A54" s="36" t="s">
        <v>65</v>
      </c>
      <c r="B54" s="63">
        <v>337</v>
      </c>
    </row>
    <row r="55" spans="1:4" ht="12.75" customHeight="1">
      <c r="A55" s="36" t="s">
        <v>66</v>
      </c>
      <c r="B55" s="63">
        <v>193</v>
      </c>
    </row>
    <row r="56" spans="1:4" ht="12.75" customHeight="1">
      <c r="A56" s="36" t="s">
        <v>67</v>
      </c>
      <c r="B56" s="63">
        <v>83</v>
      </c>
    </row>
    <row r="57" spans="1:4" ht="12.75" customHeight="1">
      <c r="A57" s="36" t="s">
        <v>68</v>
      </c>
      <c r="B57" s="63">
        <v>14</v>
      </c>
    </row>
    <row r="58" spans="1:4" ht="12.75" customHeight="1">
      <c r="A58" s="36" t="s">
        <v>69</v>
      </c>
      <c r="B58" s="63">
        <v>2</v>
      </c>
    </row>
    <row r="59" spans="1:4" ht="12.75" customHeight="1">
      <c r="A59" s="36" t="s">
        <v>70</v>
      </c>
      <c r="B59" s="63">
        <v>1</v>
      </c>
    </row>
    <row r="60" spans="1:4" ht="12.75" customHeight="1">
      <c r="A60" s="36" t="s">
        <v>333</v>
      </c>
      <c r="B60" s="63">
        <v>12</v>
      </c>
    </row>
    <row r="61" spans="1:4" s="31" customFormat="1" ht="5.0999999999999996" customHeight="1">
      <c r="A61" s="59"/>
      <c r="B61" s="63"/>
    </row>
    <row r="62" spans="1:4" s="31" customFormat="1" ht="12.75" customHeight="1">
      <c r="A62" s="34" t="s">
        <v>79</v>
      </c>
      <c r="B62" s="245">
        <v>2842</v>
      </c>
      <c r="D62" s="63"/>
    </row>
    <row r="63" spans="1:4" s="31" customFormat="1" ht="5.0999999999999996" customHeight="1">
      <c r="A63" s="34"/>
      <c r="B63" s="63"/>
      <c r="D63" s="63"/>
    </row>
    <row r="64" spans="1:4" ht="12.75" customHeight="1">
      <c r="A64" s="36" t="s">
        <v>62</v>
      </c>
      <c r="B64" s="63">
        <v>0</v>
      </c>
      <c r="D64" s="63"/>
    </row>
    <row r="65" spans="1:4" ht="12.75" customHeight="1">
      <c r="A65" s="36" t="s">
        <v>63</v>
      </c>
      <c r="B65" s="63">
        <v>484</v>
      </c>
      <c r="D65" s="63"/>
    </row>
    <row r="66" spans="1:4" ht="12.75" customHeight="1">
      <c r="A66" s="36" t="s">
        <v>64</v>
      </c>
      <c r="B66" s="63">
        <v>967</v>
      </c>
      <c r="D66" s="63"/>
    </row>
    <row r="67" spans="1:4" ht="12.75" customHeight="1">
      <c r="A67" s="36" t="s">
        <v>65</v>
      </c>
      <c r="B67" s="63">
        <v>712</v>
      </c>
      <c r="D67" s="63"/>
    </row>
    <row r="68" spans="1:4" ht="12.75" customHeight="1">
      <c r="A68" s="36" t="s">
        <v>66</v>
      </c>
      <c r="B68" s="63">
        <v>428</v>
      </c>
      <c r="D68" s="63"/>
    </row>
    <row r="69" spans="1:4" ht="12.75" customHeight="1">
      <c r="A69" s="36" t="s">
        <v>67</v>
      </c>
      <c r="B69" s="63">
        <v>144</v>
      </c>
      <c r="D69" s="63"/>
    </row>
    <row r="70" spans="1:4" ht="12.75" customHeight="1">
      <c r="A70" s="36" t="s">
        <v>68</v>
      </c>
      <c r="B70" s="63">
        <v>31</v>
      </c>
      <c r="D70" s="63"/>
    </row>
    <row r="71" spans="1:4" ht="12.75" customHeight="1">
      <c r="A71" s="36" t="s">
        <v>69</v>
      </c>
      <c r="B71" s="63">
        <v>1</v>
      </c>
      <c r="D71" s="63"/>
    </row>
    <row r="72" spans="1:4" ht="12.75" customHeight="1">
      <c r="A72" s="36" t="s">
        <v>333</v>
      </c>
      <c r="B72" s="63">
        <v>75</v>
      </c>
      <c r="D72" s="63"/>
    </row>
    <row r="73" spans="1:4" s="31" customFormat="1" ht="5.0999999999999996" customHeight="1">
      <c r="A73" s="59"/>
      <c r="B73" s="63"/>
    </row>
    <row r="74" spans="1:4" s="31" customFormat="1" ht="12.75" customHeight="1">
      <c r="A74" s="34" t="s">
        <v>80</v>
      </c>
      <c r="B74" s="63">
        <v>617</v>
      </c>
      <c r="C74"/>
      <c r="D74"/>
    </row>
    <row r="75" spans="1:4" s="31" customFormat="1" ht="5.0999999999999996" customHeight="1">
      <c r="A75" s="59"/>
      <c r="B75" s="63"/>
    </row>
    <row r="76" spans="1:4" ht="12.75" customHeight="1">
      <c r="A76" s="36" t="s">
        <v>62</v>
      </c>
      <c r="B76" s="63">
        <v>0</v>
      </c>
      <c r="C76"/>
      <c r="D76"/>
    </row>
    <row r="77" spans="1:4" ht="12.75" customHeight="1">
      <c r="A77" s="36" t="s">
        <v>63</v>
      </c>
      <c r="B77" s="63">
        <v>95</v>
      </c>
      <c r="C77"/>
      <c r="D77"/>
    </row>
    <row r="78" spans="1:4" ht="12.75" customHeight="1">
      <c r="A78" s="36" t="s">
        <v>64</v>
      </c>
      <c r="B78" s="63">
        <v>225</v>
      </c>
      <c r="C78"/>
      <c r="D78"/>
    </row>
    <row r="79" spans="1:4" ht="12.75" customHeight="1">
      <c r="A79" s="36" t="s">
        <v>65</v>
      </c>
      <c r="B79" s="63">
        <v>146</v>
      </c>
      <c r="C79"/>
      <c r="D79"/>
    </row>
    <row r="80" spans="1:4" ht="12.75" customHeight="1">
      <c r="A80" s="36" t="s">
        <v>66</v>
      </c>
      <c r="B80" s="63">
        <v>82</v>
      </c>
      <c r="C80"/>
      <c r="D80"/>
    </row>
    <row r="81" spans="1:4" ht="12.75" customHeight="1">
      <c r="A81" s="36" t="s">
        <v>67</v>
      </c>
      <c r="B81" s="63">
        <v>33</v>
      </c>
      <c r="C81"/>
      <c r="D81"/>
    </row>
    <row r="82" spans="1:4" ht="12.75" customHeight="1">
      <c r="A82" s="36" t="s">
        <v>68</v>
      </c>
      <c r="B82" s="63">
        <v>12</v>
      </c>
      <c r="C82"/>
      <c r="D82"/>
    </row>
    <row r="83" spans="1:4" ht="12.75" customHeight="1">
      <c r="A83" s="36" t="s">
        <v>333</v>
      </c>
      <c r="B83" s="63">
        <v>24</v>
      </c>
      <c r="C83"/>
      <c r="D83"/>
    </row>
    <row r="84" spans="1:4" s="31" customFormat="1" ht="5.0999999999999996" customHeight="1">
      <c r="A84" s="59"/>
      <c r="B84" s="63"/>
    </row>
    <row r="85" spans="1:4" s="31" customFormat="1" ht="12.75" customHeight="1">
      <c r="A85" s="34" t="s">
        <v>81</v>
      </c>
      <c r="B85" s="245">
        <v>3983</v>
      </c>
      <c r="C85"/>
      <c r="D85"/>
    </row>
    <row r="86" spans="1:4" s="31" customFormat="1" ht="5.0999999999999996" customHeight="1">
      <c r="A86" s="59"/>
      <c r="B86" s="63"/>
    </row>
    <row r="87" spans="1:4" ht="12.75" customHeight="1">
      <c r="A87" s="36" t="s">
        <v>62</v>
      </c>
      <c r="B87" s="63">
        <v>0</v>
      </c>
      <c r="C87"/>
      <c r="D87"/>
    </row>
    <row r="88" spans="1:4" ht="12.75" customHeight="1">
      <c r="A88" s="36" t="s">
        <v>63</v>
      </c>
      <c r="B88" s="63">
        <v>663</v>
      </c>
      <c r="C88"/>
      <c r="D88"/>
    </row>
    <row r="89" spans="1:4" ht="12.75" customHeight="1">
      <c r="A89" s="36" t="s">
        <v>64</v>
      </c>
      <c r="B89" s="63">
        <v>1372</v>
      </c>
      <c r="C89"/>
      <c r="D89"/>
    </row>
    <row r="90" spans="1:4" ht="12.75" customHeight="1">
      <c r="A90" s="36" t="s">
        <v>65</v>
      </c>
      <c r="B90" s="63">
        <v>1073</v>
      </c>
      <c r="C90"/>
      <c r="D90"/>
    </row>
    <row r="91" spans="1:4" ht="12.75" customHeight="1">
      <c r="A91" s="36" t="s">
        <v>66</v>
      </c>
      <c r="B91" s="63">
        <v>610</v>
      </c>
      <c r="C91"/>
      <c r="D91"/>
    </row>
    <row r="92" spans="1:4" ht="12.75" customHeight="1">
      <c r="A92" s="36" t="s">
        <v>67</v>
      </c>
      <c r="B92" s="63">
        <v>221</v>
      </c>
      <c r="C92"/>
      <c r="D92"/>
    </row>
    <row r="93" spans="1:4" ht="12.75" customHeight="1">
      <c r="A93" s="36" t="s">
        <v>68</v>
      </c>
      <c r="B93" s="63">
        <v>40</v>
      </c>
      <c r="C93"/>
      <c r="D93"/>
    </row>
    <row r="94" spans="1:4" ht="12.75" customHeight="1">
      <c r="A94" s="36" t="s">
        <v>69</v>
      </c>
      <c r="B94" s="63">
        <v>1</v>
      </c>
      <c r="C94"/>
      <c r="D94"/>
    </row>
    <row r="95" spans="1:4" ht="12.75" customHeight="1">
      <c r="A95" s="36" t="s">
        <v>333</v>
      </c>
      <c r="B95" s="63">
        <v>3</v>
      </c>
      <c r="C95"/>
      <c r="D95"/>
    </row>
    <row r="96" spans="1:4" s="31" customFormat="1" ht="5.0999999999999996" customHeight="1">
      <c r="A96" s="59"/>
      <c r="B96" s="63"/>
    </row>
    <row r="97" spans="1:4" s="31" customFormat="1" ht="12.75" customHeight="1">
      <c r="A97" s="34" t="s">
        <v>82</v>
      </c>
      <c r="B97" s="246">
        <v>538</v>
      </c>
      <c r="C97"/>
      <c r="D97"/>
    </row>
    <row r="98" spans="1:4" s="31" customFormat="1" ht="5.0999999999999996" customHeight="1">
      <c r="A98" s="59"/>
      <c r="B98" s="63"/>
    </row>
    <row r="99" spans="1:4" ht="12.75" customHeight="1">
      <c r="A99" s="36" t="s">
        <v>62</v>
      </c>
      <c r="B99" s="63">
        <v>0</v>
      </c>
      <c r="C99"/>
      <c r="D99"/>
    </row>
    <row r="100" spans="1:4" ht="12.75" customHeight="1">
      <c r="A100" s="36" t="s">
        <v>63</v>
      </c>
      <c r="B100" s="63">
        <v>72</v>
      </c>
      <c r="C100"/>
      <c r="D100"/>
    </row>
    <row r="101" spans="1:4" ht="12.75" customHeight="1">
      <c r="A101" s="36" t="s">
        <v>64</v>
      </c>
      <c r="B101" s="63">
        <v>191</v>
      </c>
      <c r="C101"/>
      <c r="D101"/>
    </row>
    <row r="102" spans="1:4" ht="12.75" customHeight="1">
      <c r="A102" s="36" t="s">
        <v>65</v>
      </c>
      <c r="B102" s="63">
        <v>146</v>
      </c>
      <c r="C102"/>
      <c r="D102"/>
    </row>
    <row r="103" spans="1:4" ht="12.75" customHeight="1">
      <c r="A103" s="36" t="s">
        <v>66</v>
      </c>
      <c r="B103" s="63">
        <v>86</v>
      </c>
      <c r="C103"/>
      <c r="D103"/>
    </row>
    <row r="104" spans="1:4" ht="12.75" customHeight="1">
      <c r="A104" s="36" t="s">
        <v>67</v>
      </c>
      <c r="B104" s="63">
        <v>33</v>
      </c>
      <c r="C104"/>
      <c r="D104"/>
    </row>
    <row r="105" spans="1:4" ht="12.75" customHeight="1">
      <c r="A105" s="36" t="s">
        <v>68</v>
      </c>
      <c r="B105" s="63">
        <v>6</v>
      </c>
      <c r="C105"/>
      <c r="D105"/>
    </row>
    <row r="106" spans="1:4" ht="12.75" customHeight="1">
      <c r="A106" s="36" t="s">
        <v>69</v>
      </c>
      <c r="B106" s="63">
        <v>1</v>
      </c>
      <c r="C106"/>
      <c r="D106"/>
    </row>
    <row r="107" spans="1:4" ht="12.75" customHeight="1">
      <c r="A107" s="36" t="s">
        <v>333</v>
      </c>
      <c r="B107" s="63">
        <v>3</v>
      </c>
      <c r="C107"/>
      <c r="D107"/>
    </row>
    <row r="108" spans="1:4" s="31" customFormat="1" ht="5.0999999999999996" customHeight="1">
      <c r="A108" s="59"/>
      <c r="B108" s="63"/>
    </row>
    <row r="109" spans="1:4" s="31" customFormat="1" ht="12.75" customHeight="1">
      <c r="A109" s="34" t="s">
        <v>83</v>
      </c>
      <c r="B109" s="246">
        <v>757</v>
      </c>
      <c r="C109"/>
      <c r="D109"/>
    </row>
    <row r="110" spans="1:4" s="31" customFormat="1" ht="5.0999999999999996" customHeight="1">
      <c r="A110" s="59"/>
      <c r="B110" s="63"/>
    </row>
    <row r="111" spans="1:4" ht="12.75" customHeight="1">
      <c r="A111" s="36" t="s">
        <v>62</v>
      </c>
      <c r="B111" s="63">
        <v>0</v>
      </c>
      <c r="C111"/>
      <c r="D111"/>
    </row>
    <row r="112" spans="1:4" ht="12.75" customHeight="1">
      <c r="A112" s="36" t="s">
        <v>63</v>
      </c>
      <c r="B112" s="63">
        <v>94</v>
      </c>
      <c r="C112"/>
      <c r="D112"/>
    </row>
    <row r="113" spans="1:4" ht="12.75" customHeight="1">
      <c r="A113" s="36" t="s">
        <v>64</v>
      </c>
      <c r="B113" s="63">
        <v>285</v>
      </c>
      <c r="C113"/>
      <c r="D113"/>
    </row>
    <row r="114" spans="1:4" ht="12.75" customHeight="1">
      <c r="A114" s="36" t="s">
        <v>65</v>
      </c>
      <c r="B114" s="63">
        <v>202</v>
      </c>
      <c r="C114"/>
      <c r="D114"/>
    </row>
    <row r="115" spans="1:4" ht="12.75" customHeight="1">
      <c r="A115" s="36" t="s">
        <v>66</v>
      </c>
      <c r="B115" s="63">
        <v>112</v>
      </c>
      <c r="C115"/>
      <c r="D115"/>
    </row>
    <row r="116" spans="1:4" ht="12.75" customHeight="1">
      <c r="A116" s="36" t="s">
        <v>67</v>
      </c>
      <c r="B116" s="63">
        <v>52</v>
      </c>
      <c r="C116"/>
      <c r="D116"/>
    </row>
    <row r="117" spans="1:4" ht="12.75" customHeight="1">
      <c r="A117" s="36" t="s">
        <v>68</v>
      </c>
      <c r="B117" s="63">
        <v>5</v>
      </c>
      <c r="C117"/>
      <c r="D117"/>
    </row>
    <row r="118" spans="1:4" ht="12.75" customHeight="1">
      <c r="A118" s="36" t="s">
        <v>69</v>
      </c>
      <c r="B118" s="63">
        <v>0</v>
      </c>
      <c r="C118"/>
      <c r="D118"/>
    </row>
    <row r="119" spans="1:4" ht="12.75" customHeight="1">
      <c r="A119" s="36" t="s">
        <v>333</v>
      </c>
      <c r="B119" s="63">
        <v>7</v>
      </c>
      <c r="C119"/>
      <c r="D119"/>
    </row>
    <row r="120" spans="1:4" s="31" customFormat="1" ht="5.0999999999999996" customHeight="1">
      <c r="A120" s="59"/>
    </row>
    <row r="121" spans="1:4" s="31" customFormat="1" ht="12.75" customHeight="1">
      <c r="A121" s="34" t="s">
        <v>84</v>
      </c>
      <c r="B121" s="245">
        <v>2787</v>
      </c>
      <c r="C121"/>
      <c r="D121"/>
    </row>
    <row r="122" spans="1:4" s="31" customFormat="1" ht="5.0999999999999996" customHeight="1">
      <c r="A122" s="59"/>
      <c r="B122" s="63"/>
    </row>
    <row r="123" spans="1:4" ht="12.75" customHeight="1">
      <c r="A123" s="36" t="s">
        <v>62</v>
      </c>
      <c r="B123" s="63">
        <v>544</v>
      </c>
      <c r="C123"/>
      <c r="D123"/>
    </row>
    <row r="124" spans="1:4" ht="12.75" customHeight="1">
      <c r="A124" s="36" t="s">
        <v>63</v>
      </c>
      <c r="B124" s="63">
        <v>921</v>
      </c>
      <c r="C124"/>
      <c r="D124"/>
    </row>
    <row r="125" spans="1:4" ht="12.75" customHeight="1">
      <c r="A125" s="36" t="s">
        <v>64</v>
      </c>
      <c r="B125" s="63">
        <v>679</v>
      </c>
      <c r="C125"/>
      <c r="D125"/>
    </row>
    <row r="126" spans="1:4" ht="12.75" customHeight="1">
      <c r="A126" s="36" t="s">
        <v>65</v>
      </c>
      <c r="B126" s="63">
        <v>389</v>
      </c>
      <c r="C126"/>
      <c r="D126"/>
    </row>
    <row r="127" spans="1:4" ht="12.75" customHeight="1">
      <c r="A127" s="36" t="s">
        <v>66</v>
      </c>
      <c r="B127" s="63">
        <v>193</v>
      </c>
      <c r="C127"/>
      <c r="D127"/>
    </row>
    <row r="128" spans="1:4" ht="12.75" customHeight="1">
      <c r="A128" s="36" t="s">
        <v>67</v>
      </c>
      <c r="B128" s="63">
        <v>48</v>
      </c>
      <c r="C128"/>
      <c r="D128"/>
    </row>
    <row r="129" spans="1:4" ht="12.75" customHeight="1">
      <c r="A129" s="36" t="s">
        <v>68</v>
      </c>
      <c r="B129" s="63">
        <v>3</v>
      </c>
      <c r="C129"/>
      <c r="D129"/>
    </row>
    <row r="130" spans="1:4" ht="12.75" customHeight="1">
      <c r="A130" s="36" t="s">
        <v>69</v>
      </c>
      <c r="B130" s="63">
        <v>0</v>
      </c>
      <c r="C130" s="63"/>
      <c r="D130"/>
    </row>
    <row r="131" spans="1:4" ht="12.75" customHeight="1">
      <c r="A131" s="36" t="s">
        <v>70</v>
      </c>
      <c r="B131" s="63">
        <v>10</v>
      </c>
      <c r="C131"/>
      <c r="D131"/>
    </row>
    <row r="132" spans="1:4" ht="12.75" customHeight="1">
      <c r="A132" s="36" t="s">
        <v>333</v>
      </c>
      <c r="C132"/>
      <c r="D132"/>
    </row>
    <row r="133" spans="1:4" s="31" customFormat="1" ht="5.0999999999999996" customHeight="1">
      <c r="A133" s="59"/>
      <c r="B133" s="63"/>
    </row>
    <row r="134" spans="1:4" s="31" customFormat="1" ht="12.75" customHeight="1">
      <c r="A134" s="34" t="s">
        <v>85</v>
      </c>
      <c r="B134" s="246">
        <v>621</v>
      </c>
      <c r="C134"/>
      <c r="D134"/>
    </row>
    <row r="135" spans="1:4" s="31" customFormat="1" ht="5.0999999999999996" customHeight="1">
      <c r="A135" s="59"/>
    </row>
    <row r="136" spans="1:4" ht="12.75" customHeight="1">
      <c r="A136" s="36" t="s">
        <v>62</v>
      </c>
      <c r="B136" s="63">
        <v>99</v>
      </c>
      <c r="D136"/>
    </row>
    <row r="137" spans="1:4" ht="12.75" customHeight="1">
      <c r="A137" s="36" t="s">
        <v>63</v>
      </c>
      <c r="B137" s="63">
        <v>188</v>
      </c>
      <c r="C137"/>
      <c r="D137"/>
    </row>
    <row r="138" spans="1:4" ht="12.75" customHeight="1">
      <c r="A138" s="36" t="s">
        <v>64</v>
      </c>
      <c r="B138" s="63">
        <v>188</v>
      </c>
      <c r="C138"/>
      <c r="D138"/>
    </row>
    <row r="139" spans="1:4" ht="12.75" customHeight="1">
      <c r="A139" s="36" t="s">
        <v>65</v>
      </c>
      <c r="B139" s="63">
        <v>81</v>
      </c>
      <c r="C139"/>
      <c r="D139"/>
    </row>
    <row r="140" spans="1:4" ht="12.75" customHeight="1">
      <c r="A140" s="36" t="s">
        <v>66</v>
      </c>
      <c r="B140" s="63">
        <v>45</v>
      </c>
      <c r="C140"/>
      <c r="D140"/>
    </row>
    <row r="141" spans="1:4" ht="12.75" customHeight="1">
      <c r="A141" s="36" t="s">
        <v>67</v>
      </c>
      <c r="B141" s="63">
        <v>7</v>
      </c>
      <c r="C141"/>
      <c r="D141"/>
    </row>
    <row r="142" spans="1:4" ht="12.75" customHeight="1">
      <c r="A142" s="36" t="s">
        <v>68</v>
      </c>
      <c r="B142" s="63">
        <v>1</v>
      </c>
      <c r="C142"/>
      <c r="D142"/>
    </row>
    <row r="143" spans="1:4" ht="12.75" customHeight="1">
      <c r="A143" s="36" t="s">
        <v>69</v>
      </c>
      <c r="B143" s="63">
        <v>12</v>
      </c>
      <c r="C143"/>
      <c r="D143"/>
    </row>
    <row r="144" spans="1:4" ht="12.75" customHeight="1">
      <c r="A144" s="36" t="s">
        <v>333</v>
      </c>
      <c r="C144"/>
      <c r="D144"/>
    </row>
    <row r="145" spans="1:4" s="31" customFormat="1" ht="5.0999999999999996" customHeight="1">
      <c r="A145" s="59"/>
      <c r="B145" s="63"/>
    </row>
    <row r="146" spans="1:4" s="31" customFormat="1" ht="12.75" customHeight="1">
      <c r="A146" s="34" t="s">
        <v>86</v>
      </c>
      <c r="B146" s="245">
        <v>3227</v>
      </c>
      <c r="C146"/>
      <c r="D146"/>
    </row>
    <row r="147" spans="1:4" s="31" customFormat="1" ht="5.0999999999999996" customHeight="1">
      <c r="A147" s="59"/>
    </row>
    <row r="148" spans="1:4" ht="12.75" customHeight="1">
      <c r="A148" s="36" t="s">
        <v>62</v>
      </c>
      <c r="B148" s="63">
        <v>0</v>
      </c>
      <c r="C148"/>
      <c r="D148"/>
    </row>
    <row r="149" spans="1:4" ht="12.75" customHeight="1">
      <c r="A149" s="36" t="s">
        <v>63</v>
      </c>
      <c r="B149" s="63">
        <v>398</v>
      </c>
      <c r="C149"/>
      <c r="D149"/>
    </row>
    <row r="150" spans="1:4" ht="12.75" customHeight="1">
      <c r="A150" s="36" t="s">
        <v>64</v>
      </c>
      <c r="B150" s="63">
        <v>1076</v>
      </c>
      <c r="C150"/>
      <c r="D150"/>
    </row>
    <row r="151" spans="1:4" ht="12.75" customHeight="1">
      <c r="A151" s="36" t="s">
        <v>65</v>
      </c>
      <c r="B151" s="63">
        <v>938</v>
      </c>
      <c r="C151"/>
      <c r="D151"/>
    </row>
    <row r="152" spans="1:4" ht="12.75" customHeight="1">
      <c r="A152" s="36" t="s">
        <v>66</v>
      </c>
      <c r="B152" s="63">
        <v>541</v>
      </c>
      <c r="C152"/>
      <c r="D152"/>
    </row>
    <row r="153" spans="1:4" ht="12.75" customHeight="1">
      <c r="A153" s="36" t="s">
        <v>67</v>
      </c>
      <c r="B153" s="63">
        <v>209</v>
      </c>
      <c r="C153"/>
      <c r="D153"/>
    </row>
    <row r="154" spans="1:4" ht="12.75" customHeight="1">
      <c r="A154" s="36" t="s">
        <v>68</v>
      </c>
      <c r="B154" s="63">
        <v>46</v>
      </c>
      <c r="C154"/>
      <c r="D154"/>
    </row>
    <row r="155" spans="1:4" ht="12.75" customHeight="1">
      <c r="A155" s="36" t="s">
        <v>69</v>
      </c>
      <c r="B155" s="63">
        <v>6</v>
      </c>
      <c r="C155"/>
      <c r="D155"/>
    </row>
    <row r="156" spans="1:4" ht="12.75" customHeight="1">
      <c r="A156" s="36" t="s">
        <v>70</v>
      </c>
      <c r="B156" s="63">
        <v>1</v>
      </c>
      <c r="C156"/>
      <c r="D156"/>
    </row>
    <row r="157" spans="1:4" ht="12.75" customHeight="1">
      <c r="A157" s="36" t="s">
        <v>333</v>
      </c>
      <c r="B157" s="63">
        <v>12</v>
      </c>
      <c r="C157"/>
      <c r="D157"/>
    </row>
    <row r="158" spans="1:4" s="31" customFormat="1" ht="5.0999999999999996" customHeight="1">
      <c r="A158" s="59"/>
      <c r="B158" s="63"/>
    </row>
    <row r="159" spans="1:4" s="31" customFormat="1" ht="12.75" customHeight="1">
      <c r="A159" s="34" t="s">
        <v>87</v>
      </c>
      <c r="B159" s="245">
        <v>3198</v>
      </c>
      <c r="C159"/>
      <c r="D159"/>
    </row>
    <row r="160" spans="1:4" s="31" customFormat="1" ht="5.0999999999999996" customHeight="1">
      <c r="A160" s="59"/>
    </row>
    <row r="161" spans="1:4" ht="12.75" customHeight="1">
      <c r="A161" s="36" t="s">
        <v>62</v>
      </c>
      <c r="B161" s="63">
        <v>0</v>
      </c>
      <c r="C161" s="63"/>
      <c r="D161"/>
    </row>
    <row r="162" spans="1:4" ht="12.75" customHeight="1">
      <c r="A162" s="36" t="s">
        <v>63</v>
      </c>
      <c r="B162" s="63">
        <v>382</v>
      </c>
      <c r="C162"/>
      <c r="D162"/>
    </row>
    <row r="163" spans="1:4" ht="12.75" customHeight="1">
      <c r="A163" s="36" t="s">
        <v>64</v>
      </c>
      <c r="B163" s="63">
        <v>1063</v>
      </c>
      <c r="C163"/>
      <c r="D163"/>
    </row>
    <row r="164" spans="1:4" ht="12.75" customHeight="1">
      <c r="A164" s="36" t="s">
        <v>65</v>
      </c>
      <c r="B164" s="63">
        <v>907</v>
      </c>
      <c r="C164"/>
      <c r="D164"/>
    </row>
    <row r="165" spans="1:4" ht="12.75" customHeight="1">
      <c r="A165" s="36" t="s">
        <v>66</v>
      </c>
      <c r="B165" s="63">
        <v>547</v>
      </c>
      <c r="C165"/>
      <c r="D165"/>
    </row>
    <row r="166" spans="1:4" ht="12.75" customHeight="1">
      <c r="A166" s="36" t="s">
        <v>67</v>
      </c>
      <c r="B166" s="63">
        <v>234</v>
      </c>
      <c r="C166"/>
      <c r="D166"/>
    </row>
    <row r="167" spans="1:4" ht="12.75" customHeight="1">
      <c r="A167" s="36" t="s">
        <v>68</v>
      </c>
      <c r="B167" s="63">
        <v>59</v>
      </c>
      <c r="C167"/>
      <c r="D167"/>
    </row>
    <row r="168" spans="1:4" ht="12.75" customHeight="1">
      <c r="A168" s="36" t="s">
        <v>69</v>
      </c>
      <c r="B168" s="63">
        <v>3</v>
      </c>
      <c r="C168"/>
      <c r="D168"/>
    </row>
    <row r="169" spans="1:4" ht="12.75" customHeight="1">
      <c r="A169" s="36" t="s">
        <v>70</v>
      </c>
      <c r="B169" s="63">
        <v>1</v>
      </c>
      <c r="C169"/>
      <c r="D169"/>
    </row>
    <row r="170" spans="1:4" ht="12.75" customHeight="1">
      <c r="A170" s="36" t="s">
        <v>333</v>
      </c>
      <c r="B170" s="63">
        <v>2</v>
      </c>
      <c r="C170"/>
      <c r="D170"/>
    </row>
    <row r="171" spans="1:4" s="31" customFormat="1" ht="5.0999999999999996" customHeight="1">
      <c r="A171" s="59"/>
      <c r="B171" s="63"/>
    </row>
    <row r="172" spans="1:4" s="31" customFormat="1" ht="12.75" customHeight="1">
      <c r="A172" s="34" t="s">
        <v>88</v>
      </c>
      <c r="B172" s="245">
        <v>4596</v>
      </c>
      <c r="C172"/>
      <c r="D172"/>
    </row>
    <row r="173" spans="1:4" s="31" customFormat="1" ht="5.0999999999999996" customHeight="1">
      <c r="A173" s="59"/>
      <c r="B173" s="63"/>
    </row>
    <row r="174" spans="1:4" ht="12.75" customHeight="1">
      <c r="A174" s="36" t="s">
        <v>62</v>
      </c>
      <c r="B174" s="63">
        <v>0</v>
      </c>
      <c r="C174"/>
      <c r="D174"/>
    </row>
    <row r="175" spans="1:4" ht="12.75" customHeight="1">
      <c r="A175" s="36" t="s">
        <v>63</v>
      </c>
      <c r="B175" s="63">
        <v>804</v>
      </c>
      <c r="C175"/>
      <c r="D175"/>
    </row>
    <row r="176" spans="1:4" ht="12.75" customHeight="1">
      <c r="A176" s="36" t="s">
        <v>64</v>
      </c>
      <c r="B176" s="63">
        <v>1639</v>
      </c>
      <c r="C176"/>
      <c r="D176"/>
    </row>
    <row r="177" spans="1:4" ht="12.75" customHeight="1">
      <c r="A177" s="36" t="s">
        <v>65</v>
      </c>
      <c r="B177" s="63">
        <v>1094</v>
      </c>
      <c r="C177"/>
      <c r="D177"/>
    </row>
    <row r="178" spans="1:4" ht="12.75" customHeight="1">
      <c r="A178" s="36" t="s">
        <v>66</v>
      </c>
      <c r="B178" s="63">
        <v>659</v>
      </c>
      <c r="C178"/>
      <c r="D178"/>
    </row>
    <row r="179" spans="1:4" ht="12.75" customHeight="1">
      <c r="A179" s="36" t="s">
        <v>67</v>
      </c>
      <c r="B179" s="63">
        <v>245</v>
      </c>
      <c r="C179"/>
      <c r="D179"/>
    </row>
    <row r="180" spans="1:4" ht="12.75" customHeight="1">
      <c r="A180" s="36" t="s">
        <v>68</v>
      </c>
      <c r="B180" s="63">
        <v>72</v>
      </c>
      <c r="C180"/>
      <c r="D180"/>
    </row>
    <row r="181" spans="1:4" ht="12.75" customHeight="1">
      <c r="A181" s="36" t="s">
        <v>69</v>
      </c>
      <c r="B181" s="63">
        <v>5</v>
      </c>
      <c r="C181"/>
      <c r="D181"/>
    </row>
    <row r="182" spans="1:4" ht="12.75" customHeight="1">
      <c r="A182" s="36" t="s">
        <v>70</v>
      </c>
      <c r="B182" s="63">
        <v>0</v>
      </c>
      <c r="C182"/>
      <c r="D182"/>
    </row>
    <row r="183" spans="1:4" ht="12.75" customHeight="1">
      <c r="A183" s="36" t="s">
        <v>333</v>
      </c>
      <c r="B183" s="63">
        <v>78</v>
      </c>
      <c r="C183"/>
      <c r="D183"/>
    </row>
    <row r="184" spans="1:4" s="31" customFormat="1" ht="5.0999999999999996" customHeight="1">
      <c r="A184" s="59"/>
    </row>
    <row r="185" spans="1:4" s="31" customFormat="1" ht="12.75" customHeight="1">
      <c r="A185" s="34" t="s">
        <v>89</v>
      </c>
      <c r="B185" s="245">
        <v>1532</v>
      </c>
      <c r="C185"/>
      <c r="D185"/>
    </row>
    <row r="186" spans="1:4" s="31" customFormat="1" ht="5.0999999999999996" customHeight="1">
      <c r="A186" s="59"/>
      <c r="B186" s="63"/>
    </row>
    <row r="187" spans="1:4" ht="12.75" customHeight="1">
      <c r="A187" s="36" t="s">
        <v>62</v>
      </c>
      <c r="B187" s="63">
        <v>0</v>
      </c>
      <c r="C187"/>
      <c r="D187"/>
    </row>
    <row r="188" spans="1:4" ht="12.75" customHeight="1">
      <c r="A188" s="36" t="s">
        <v>63</v>
      </c>
      <c r="B188" s="63">
        <v>280</v>
      </c>
    </row>
    <row r="189" spans="1:4" ht="12.75" customHeight="1">
      <c r="A189" s="36" t="s">
        <v>64</v>
      </c>
      <c r="B189" s="63">
        <v>547</v>
      </c>
      <c r="C189"/>
      <c r="D189"/>
    </row>
    <row r="190" spans="1:4" ht="12.75" customHeight="1">
      <c r="A190" s="36" t="s">
        <v>65</v>
      </c>
      <c r="B190" s="63">
        <v>411</v>
      </c>
      <c r="C190"/>
      <c r="D190"/>
    </row>
    <row r="191" spans="1:4" ht="12.75" customHeight="1">
      <c r="A191" s="36" t="s">
        <v>66</v>
      </c>
      <c r="B191" s="63">
        <v>195</v>
      </c>
      <c r="C191"/>
      <c r="D191"/>
    </row>
    <row r="192" spans="1:4" ht="12.75" customHeight="1">
      <c r="A192" s="36" t="s">
        <v>67</v>
      </c>
      <c r="B192" s="63">
        <v>73</v>
      </c>
      <c r="C192"/>
      <c r="D192"/>
    </row>
    <row r="193" spans="1:4" ht="12.75" customHeight="1">
      <c r="A193" s="36" t="s">
        <v>68</v>
      </c>
      <c r="B193" s="63">
        <v>14</v>
      </c>
      <c r="C193"/>
      <c r="D193"/>
    </row>
    <row r="194" spans="1:4" ht="12.75" customHeight="1">
      <c r="A194" s="36" t="s">
        <v>69</v>
      </c>
      <c r="B194" s="63">
        <v>5</v>
      </c>
      <c r="C194"/>
      <c r="D194"/>
    </row>
    <row r="195" spans="1:4" ht="12.75" customHeight="1">
      <c r="A195" s="36" t="s">
        <v>333</v>
      </c>
      <c r="B195" s="63">
        <v>7</v>
      </c>
      <c r="C195"/>
      <c r="D195"/>
    </row>
    <row r="196" spans="1:4" s="31" customFormat="1" ht="5.0999999999999996" customHeight="1">
      <c r="A196" s="59"/>
    </row>
    <row r="197" spans="1:4" s="31" customFormat="1" ht="12.75" customHeight="1">
      <c r="A197" s="34" t="s">
        <v>90</v>
      </c>
      <c r="B197" s="246">
        <v>946</v>
      </c>
      <c r="C197"/>
      <c r="D197"/>
    </row>
    <row r="198" spans="1:4" s="31" customFormat="1" ht="5.0999999999999996" customHeight="1">
      <c r="A198" s="59"/>
    </row>
    <row r="199" spans="1:4" ht="12.75" customHeight="1">
      <c r="A199" s="36" t="s">
        <v>62</v>
      </c>
      <c r="B199" s="63">
        <v>0</v>
      </c>
      <c r="C199"/>
      <c r="D199"/>
    </row>
    <row r="200" spans="1:4" ht="12.75" customHeight="1">
      <c r="A200" s="36" t="s">
        <v>63</v>
      </c>
      <c r="B200" s="63">
        <v>158</v>
      </c>
      <c r="C200"/>
      <c r="D200"/>
    </row>
    <row r="201" spans="1:4" ht="12.75" customHeight="1">
      <c r="A201" s="36" t="s">
        <v>64</v>
      </c>
      <c r="B201" s="63">
        <v>351</v>
      </c>
      <c r="C201"/>
      <c r="D201"/>
    </row>
    <row r="202" spans="1:4" ht="12.75" customHeight="1">
      <c r="A202" s="36" t="s">
        <v>65</v>
      </c>
      <c r="B202" s="63">
        <v>210</v>
      </c>
      <c r="C202"/>
      <c r="D202"/>
    </row>
    <row r="203" spans="1:4" ht="12.75" customHeight="1">
      <c r="A203" s="36" t="s">
        <v>66</v>
      </c>
      <c r="B203" s="63">
        <v>125</v>
      </c>
      <c r="C203"/>
      <c r="D203"/>
    </row>
    <row r="204" spans="1:4" ht="12.75" customHeight="1">
      <c r="A204" s="36" t="s">
        <v>67</v>
      </c>
      <c r="B204" s="63">
        <v>34</v>
      </c>
      <c r="C204"/>
      <c r="D204"/>
    </row>
    <row r="205" spans="1:4" ht="12.75" customHeight="1">
      <c r="A205" s="36" t="s">
        <v>68</v>
      </c>
      <c r="B205" s="63">
        <v>9</v>
      </c>
    </row>
    <row r="206" spans="1:4" ht="12.75" customHeight="1">
      <c r="A206" s="36" t="s">
        <v>69</v>
      </c>
      <c r="B206" s="63">
        <v>2</v>
      </c>
    </row>
    <row r="207" spans="1:4" ht="12.75" customHeight="1">
      <c r="A207" s="36" t="s">
        <v>70</v>
      </c>
      <c r="B207" s="63">
        <v>0</v>
      </c>
    </row>
    <row r="208" spans="1:4" ht="12.75" customHeight="1">
      <c r="A208" s="36" t="s">
        <v>333</v>
      </c>
      <c r="B208" s="63">
        <v>57</v>
      </c>
    </row>
    <row r="209" spans="1:2" s="31" customFormat="1" ht="5.0999999999999996" customHeight="1">
      <c r="A209" s="59"/>
    </row>
    <row r="210" spans="1:2" s="31" customFormat="1" ht="12.75" customHeight="1">
      <c r="A210" s="34" t="s">
        <v>91</v>
      </c>
      <c r="B210" s="246">
        <v>290</v>
      </c>
    </row>
    <row r="211" spans="1:2" s="31" customFormat="1" ht="5.0999999999999996" customHeight="1">
      <c r="A211" s="59"/>
      <c r="B211" s="63"/>
    </row>
    <row r="212" spans="1:2" ht="12.75" customHeight="1">
      <c r="A212" s="36" t="s">
        <v>62</v>
      </c>
      <c r="B212" s="63">
        <v>0</v>
      </c>
    </row>
    <row r="213" spans="1:2" ht="12.75" customHeight="1">
      <c r="A213" s="36" t="s">
        <v>63</v>
      </c>
      <c r="B213" s="63">
        <v>51</v>
      </c>
    </row>
    <row r="214" spans="1:2" ht="12.75" customHeight="1">
      <c r="A214" s="36" t="s">
        <v>64</v>
      </c>
      <c r="B214" s="63">
        <v>94</v>
      </c>
    </row>
    <row r="215" spans="1:2" ht="12.75" customHeight="1">
      <c r="A215" s="36" t="s">
        <v>65</v>
      </c>
      <c r="B215" s="63">
        <v>66</v>
      </c>
    </row>
    <row r="216" spans="1:2" ht="12.75" customHeight="1">
      <c r="A216" s="36" t="s">
        <v>66</v>
      </c>
      <c r="B216" s="63">
        <v>51</v>
      </c>
    </row>
    <row r="217" spans="1:2" ht="12.75" customHeight="1">
      <c r="A217" s="36" t="s">
        <v>67</v>
      </c>
      <c r="B217" s="63">
        <v>18</v>
      </c>
    </row>
    <row r="218" spans="1:2" ht="12.75" customHeight="1">
      <c r="A218" s="36" t="s">
        <v>68</v>
      </c>
      <c r="B218" s="63">
        <v>6</v>
      </c>
    </row>
    <row r="219" spans="1:2" ht="12.75" customHeight="1">
      <c r="A219" s="36" t="s">
        <v>70</v>
      </c>
      <c r="B219" s="63">
        <v>1</v>
      </c>
    </row>
    <row r="220" spans="1:2" ht="12.75" customHeight="1">
      <c r="A220" s="36" t="s">
        <v>333</v>
      </c>
      <c r="B220" s="63">
        <v>3</v>
      </c>
    </row>
    <row r="221" spans="1:2" s="31" customFormat="1" ht="5.0999999999999996" customHeight="1">
      <c r="A221" s="59"/>
      <c r="B221" s="63"/>
    </row>
    <row r="222" spans="1:2" s="31" customFormat="1" ht="12.75" customHeight="1">
      <c r="A222" s="34" t="s">
        <v>92</v>
      </c>
      <c r="B222" s="245">
        <v>2091</v>
      </c>
    </row>
    <row r="223" spans="1:2" s="31" customFormat="1" ht="5.0999999999999996" customHeight="1">
      <c r="A223" s="59"/>
      <c r="B223" s="63"/>
    </row>
    <row r="224" spans="1:2" ht="12.75" customHeight="1">
      <c r="A224" s="36" t="s">
        <v>62</v>
      </c>
      <c r="B224" s="63">
        <v>0</v>
      </c>
    </row>
    <row r="225" spans="1:2" ht="12.75" customHeight="1">
      <c r="A225" s="36" t="s">
        <v>63</v>
      </c>
      <c r="B225" s="63">
        <v>276</v>
      </c>
    </row>
    <row r="226" spans="1:2" ht="12.75" customHeight="1">
      <c r="A226" s="36" t="s">
        <v>64</v>
      </c>
      <c r="B226" s="63">
        <v>744</v>
      </c>
    </row>
    <row r="227" spans="1:2" ht="12.75" customHeight="1">
      <c r="A227" s="36" t="s">
        <v>65</v>
      </c>
      <c r="B227" s="63">
        <v>555</v>
      </c>
    </row>
    <row r="228" spans="1:2" ht="12.75" customHeight="1">
      <c r="A228" s="36" t="s">
        <v>66</v>
      </c>
      <c r="B228" s="63">
        <v>338</v>
      </c>
    </row>
    <row r="229" spans="1:2" ht="12.75" customHeight="1">
      <c r="A229" s="36" t="s">
        <v>67</v>
      </c>
      <c r="B229" s="63">
        <v>138</v>
      </c>
    </row>
    <row r="230" spans="1:2" ht="12.75" customHeight="1">
      <c r="A230" s="36" t="s">
        <v>68</v>
      </c>
      <c r="B230" s="63">
        <v>28</v>
      </c>
    </row>
    <row r="231" spans="1:2" ht="12.75" customHeight="1">
      <c r="A231" s="36" t="s">
        <v>69</v>
      </c>
      <c r="B231" s="63">
        <v>1</v>
      </c>
    </row>
    <row r="232" spans="1:2" ht="12.75" customHeight="1">
      <c r="A232" s="36" t="s">
        <v>70</v>
      </c>
      <c r="B232" s="63">
        <v>1</v>
      </c>
    </row>
    <row r="233" spans="1:2" ht="12.75" customHeight="1">
      <c r="A233" s="36" t="s">
        <v>333</v>
      </c>
      <c r="B233" s="63">
        <v>10</v>
      </c>
    </row>
    <row r="234" spans="1:2" s="31" customFormat="1" ht="5.0999999999999996" customHeight="1">
      <c r="A234" s="59"/>
    </row>
    <row r="235" spans="1:2" s="31" customFormat="1" ht="12.75" customHeight="1">
      <c r="A235" s="34" t="s">
        <v>93</v>
      </c>
      <c r="B235" s="245">
        <v>3169</v>
      </c>
    </row>
    <row r="236" spans="1:2" s="31" customFormat="1" ht="5.0999999999999996" customHeight="1">
      <c r="A236" s="59"/>
    </row>
    <row r="237" spans="1:2" ht="12.75" customHeight="1">
      <c r="A237" s="36" t="s">
        <v>62</v>
      </c>
      <c r="B237" s="63">
        <v>0</v>
      </c>
    </row>
    <row r="238" spans="1:2" ht="12.75" customHeight="1">
      <c r="A238" s="36" t="s">
        <v>63</v>
      </c>
      <c r="B238" s="63">
        <v>463</v>
      </c>
    </row>
    <row r="239" spans="1:2" ht="12.75" customHeight="1">
      <c r="A239" s="36" t="s">
        <v>64</v>
      </c>
      <c r="B239" s="63">
        <v>1161</v>
      </c>
    </row>
    <row r="240" spans="1:2" ht="12.75" customHeight="1">
      <c r="A240" s="36" t="s">
        <v>65</v>
      </c>
      <c r="B240" s="63">
        <v>792</v>
      </c>
    </row>
    <row r="241" spans="1:4" ht="12.75" customHeight="1">
      <c r="A241" s="36" t="s">
        <v>66</v>
      </c>
      <c r="B241" s="63">
        <v>474</v>
      </c>
    </row>
    <row r="242" spans="1:4" ht="12.75" customHeight="1">
      <c r="A242" s="36" t="s">
        <v>67</v>
      </c>
      <c r="B242" s="63">
        <v>191</v>
      </c>
    </row>
    <row r="243" spans="1:4" ht="12.75" customHeight="1">
      <c r="A243" s="36" t="s">
        <v>68</v>
      </c>
      <c r="B243" s="63">
        <v>46</v>
      </c>
    </row>
    <row r="244" spans="1:4" ht="12.75" customHeight="1">
      <c r="A244" s="36" t="s">
        <v>69</v>
      </c>
      <c r="B244" s="63">
        <v>2</v>
      </c>
      <c r="C244"/>
      <c r="D244"/>
    </row>
    <row r="245" spans="1:4" ht="12.75" customHeight="1">
      <c r="A245" s="36" t="s">
        <v>333</v>
      </c>
      <c r="B245" s="63">
        <v>40</v>
      </c>
      <c r="C245"/>
      <c r="D245"/>
    </row>
    <row r="246" spans="1:4" s="31" customFormat="1" ht="5.0999999999999996" customHeight="1">
      <c r="A246" s="59"/>
    </row>
    <row r="247" spans="1:4" s="31" customFormat="1" ht="12.75" customHeight="1">
      <c r="A247" s="34" t="s">
        <v>94</v>
      </c>
      <c r="B247" s="245">
        <v>1200</v>
      </c>
      <c r="C247"/>
      <c r="D247"/>
    </row>
    <row r="248" spans="1:4" s="31" customFormat="1" ht="5.0999999999999996" customHeight="1">
      <c r="A248" s="59"/>
    </row>
    <row r="249" spans="1:4" ht="12.75" customHeight="1">
      <c r="A249" s="36" t="s">
        <v>62</v>
      </c>
      <c r="B249" s="63">
        <v>0</v>
      </c>
      <c r="C249"/>
      <c r="D249"/>
    </row>
    <row r="250" spans="1:4" ht="12.75" customHeight="1">
      <c r="A250" s="36" t="s">
        <v>63</v>
      </c>
      <c r="B250" s="63">
        <v>211</v>
      </c>
      <c r="C250"/>
      <c r="D250"/>
    </row>
    <row r="251" spans="1:4" ht="12.75" customHeight="1">
      <c r="A251" s="36" t="s">
        <v>64</v>
      </c>
      <c r="B251" s="63">
        <v>395</v>
      </c>
      <c r="C251"/>
      <c r="D251"/>
    </row>
    <row r="252" spans="1:4" ht="12.75" customHeight="1">
      <c r="A252" s="36" t="s">
        <v>65</v>
      </c>
      <c r="B252" s="63">
        <v>325</v>
      </c>
      <c r="C252"/>
      <c r="D252"/>
    </row>
    <row r="253" spans="1:4" ht="12.75" customHeight="1">
      <c r="A253" s="36" t="s">
        <v>66</v>
      </c>
      <c r="B253" s="63">
        <v>188</v>
      </c>
      <c r="C253"/>
      <c r="D253"/>
    </row>
    <row r="254" spans="1:4" ht="12.75" customHeight="1">
      <c r="A254" s="36" t="s">
        <v>67</v>
      </c>
      <c r="B254" s="63">
        <v>52</v>
      </c>
      <c r="C254"/>
      <c r="D254"/>
    </row>
    <row r="255" spans="1:4" ht="12.75" customHeight="1">
      <c r="A255" s="36" t="s">
        <v>68</v>
      </c>
      <c r="B255" s="63">
        <v>18</v>
      </c>
      <c r="C255"/>
      <c r="D255"/>
    </row>
    <row r="256" spans="1:4" ht="12.75" customHeight="1">
      <c r="A256" s="36" t="s">
        <v>69</v>
      </c>
      <c r="B256" s="63">
        <v>1</v>
      </c>
      <c r="C256"/>
      <c r="D256"/>
    </row>
    <row r="257" spans="1:4" ht="12.75" customHeight="1">
      <c r="A257" s="36" t="s">
        <v>333</v>
      </c>
      <c r="B257" s="63">
        <v>10</v>
      </c>
      <c r="C257"/>
      <c r="D257"/>
    </row>
    <row r="258" spans="1:4" s="31" customFormat="1" ht="5.0999999999999996" customHeight="1">
      <c r="A258" s="59"/>
    </row>
    <row r="259" spans="1:4" s="31" customFormat="1" ht="12.75" customHeight="1">
      <c r="A259" s="34" t="s">
        <v>95</v>
      </c>
      <c r="B259" s="245">
        <v>1236</v>
      </c>
      <c r="C259"/>
      <c r="D259"/>
    </row>
    <row r="260" spans="1:4" s="31" customFormat="1" ht="5.0999999999999996" customHeight="1">
      <c r="A260" s="59"/>
    </row>
    <row r="261" spans="1:4" ht="12.75" customHeight="1">
      <c r="A261" s="36" t="s">
        <v>62</v>
      </c>
      <c r="B261" s="63">
        <v>0</v>
      </c>
      <c r="C261"/>
      <c r="D261"/>
    </row>
    <row r="262" spans="1:4" ht="12.75" customHeight="1">
      <c r="A262" s="36" t="s">
        <v>63</v>
      </c>
      <c r="B262" s="63">
        <v>177</v>
      </c>
      <c r="C262"/>
      <c r="D262"/>
    </row>
    <row r="263" spans="1:4" ht="12.75" customHeight="1">
      <c r="A263" s="36" t="s">
        <v>64</v>
      </c>
      <c r="B263" s="63">
        <v>438</v>
      </c>
      <c r="C263"/>
      <c r="D263"/>
    </row>
    <row r="264" spans="1:4" ht="12.75" customHeight="1">
      <c r="A264" s="36" t="s">
        <v>65</v>
      </c>
      <c r="B264" s="63">
        <v>345</v>
      </c>
      <c r="C264"/>
      <c r="D264"/>
    </row>
    <row r="265" spans="1:4" ht="12.75" customHeight="1">
      <c r="A265" s="36" t="s">
        <v>66</v>
      </c>
      <c r="B265" s="63">
        <v>173</v>
      </c>
      <c r="C265"/>
      <c r="D265"/>
    </row>
    <row r="266" spans="1:4" ht="12.75" customHeight="1">
      <c r="A266" s="36" t="s">
        <v>67</v>
      </c>
      <c r="B266" s="63">
        <v>70</v>
      </c>
      <c r="C266"/>
      <c r="D266"/>
    </row>
    <row r="267" spans="1:4" ht="12.75" customHeight="1">
      <c r="A267" s="36" t="s">
        <v>68</v>
      </c>
      <c r="B267" s="63">
        <v>21</v>
      </c>
      <c r="C267"/>
      <c r="D267"/>
    </row>
    <row r="268" spans="1:4" ht="12.75" customHeight="1">
      <c r="A268" s="36" t="s">
        <v>70</v>
      </c>
      <c r="B268" s="63">
        <v>3</v>
      </c>
      <c r="C268"/>
      <c r="D268"/>
    </row>
    <row r="269" spans="1:4" ht="12.75" customHeight="1">
      <c r="A269" s="36" t="s">
        <v>333</v>
      </c>
      <c r="B269" s="63">
        <v>9</v>
      </c>
      <c r="C269"/>
      <c r="D269"/>
    </row>
    <row r="270" spans="1:4" s="31" customFormat="1" ht="5.0999999999999996" customHeight="1">
      <c r="A270" s="59"/>
      <c r="B270" s="63"/>
    </row>
    <row r="271" spans="1:4" s="31" customFormat="1" ht="12.75" customHeight="1">
      <c r="A271" s="34" t="s">
        <v>96</v>
      </c>
      <c r="B271" s="245">
        <v>6970</v>
      </c>
      <c r="C271"/>
      <c r="D271"/>
    </row>
    <row r="272" spans="1:4" s="31" customFormat="1" ht="5.0999999999999996" customHeight="1">
      <c r="A272" s="59"/>
      <c r="B272" s="63"/>
    </row>
    <row r="273" spans="1:4" ht="12.75" customHeight="1">
      <c r="A273" s="36" t="s">
        <v>62</v>
      </c>
      <c r="B273" s="63">
        <v>0</v>
      </c>
      <c r="C273"/>
      <c r="D273"/>
    </row>
    <row r="274" spans="1:4" ht="12.75" customHeight="1">
      <c r="A274" s="36" t="s">
        <v>63</v>
      </c>
      <c r="B274" s="63">
        <v>872</v>
      </c>
      <c r="C274"/>
      <c r="D274"/>
    </row>
    <row r="275" spans="1:4" ht="12.75" customHeight="1">
      <c r="A275" s="36" t="s">
        <v>64</v>
      </c>
      <c r="B275" s="63">
        <v>2399</v>
      </c>
      <c r="C275"/>
      <c r="D275"/>
    </row>
    <row r="276" spans="1:4" ht="12.75" customHeight="1">
      <c r="A276" s="36" t="s">
        <v>65</v>
      </c>
      <c r="B276" s="63">
        <v>1944</v>
      </c>
      <c r="C276"/>
      <c r="D276"/>
    </row>
    <row r="277" spans="1:4" ht="12.75" customHeight="1">
      <c r="A277" s="36" t="s">
        <v>66</v>
      </c>
      <c r="B277" s="63">
        <v>1151</v>
      </c>
      <c r="C277"/>
      <c r="D277"/>
    </row>
    <row r="278" spans="1:4" ht="12.75" customHeight="1">
      <c r="A278" s="36" t="s">
        <v>67</v>
      </c>
      <c r="B278" s="63">
        <v>462</v>
      </c>
      <c r="C278"/>
      <c r="D278"/>
    </row>
    <row r="279" spans="1:4" ht="12.75" customHeight="1">
      <c r="A279" s="36" t="s">
        <v>68</v>
      </c>
      <c r="B279" s="63">
        <v>81</v>
      </c>
      <c r="C279"/>
      <c r="D279"/>
    </row>
    <row r="280" spans="1:4" ht="12.75" customHeight="1">
      <c r="A280" s="36" t="s">
        <v>69</v>
      </c>
      <c r="B280" s="63">
        <v>6</v>
      </c>
      <c r="C280"/>
      <c r="D280"/>
    </row>
    <row r="281" spans="1:4" ht="12.75" customHeight="1">
      <c r="A281" s="36" t="s">
        <v>70</v>
      </c>
      <c r="B281" s="63">
        <v>0</v>
      </c>
      <c r="C281"/>
      <c r="D281"/>
    </row>
    <row r="282" spans="1:4" ht="12.75" customHeight="1">
      <c r="A282" s="36" t="s">
        <v>333</v>
      </c>
      <c r="B282" s="63">
        <v>55</v>
      </c>
      <c r="C282"/>
      <c r="D282"/>
    </row>
    <row r="283" spans="1:4" s="31" customFormat="1" ht="5.0999999999999996" customHeight="1">
      <c r="A283" s="59"/>
    </row>
    <row r="284" spans="1:4" s="31" customFormat="1" ht="12.75" customHeight="1">
      <c r="A284" s="34" t="s">
        <v>97</v>
      </c>
      <c r="B284" s="245">
        <v>2661</v>
      </c>
      <c r="C284"/>
      <c r="D284"/>
    </row>
    <row r="285" spans="1:4" s="31" customFormat="1" ht="5.0999999999999996" customHeight="1">
      <c r="A285" s="59"/>
      <c r="B285" s="63"/>
    </row>
    <row r="286" spans="1:4" ht="12.75" customHeight="1">
      <c r="A286" s="36" t="s">
        <v>62</v>
      </c>
      <c r="B286" s="63">
        <v>0</v>
      </c>
      <c r="C286"/>
      <c r="D286"/>
    </row>
    <row r="287" spans="1:4" ht="12.75" customHeight="1">
      <c r="A287" s="36" t="s">
        <v>63</v>
      </c>
      <c r="B287" s="63">
        <v>424</v>
      </c>
      <c r="C287"/>
      <c r="D287"/>
    </row>
    <row r="288" spans="1:4" ht="12.75" customHeight="1">
      <c r="A288" s="36" t="s">
        <v>64</v>
      </c>
      <c r="B288" s="63">
        <v>946</v>
      </c>
      <c r="C288"/>
      <c r="D288"/>
    </row>
    <row r="289" spans="1:4" ht="12.75" customHeight="1">
      <c r="A289" s="36" t="s">
        <v>65</v>
      </c>
      <c r="B289" s="63">
        <v>734</v>
      </c>
      <c r="C289"/>
      <c r="D289"/>
    </row>
    <row r="290" spans="1:4" ht="12.75" customHeight="1">
      <c r="A290" s="36" t="s">
        <v>66</v>
      </c>
      <c r="B290" s="63">
        <v>373</v>
      </c>
      <c r="C290"/>
      <c r="D290"/>
    </row>
    <row r="291" spans="1:4" ht="12.75" customHeight="1">
      <c r="A291" s="36" t="s">
        <v>67</v>
      </c>
      <c r="B291" s="63">
        <v>146</v>
      </c>
      <c r="C291"/>
      <c r="D291"/>
    </row>
    <row r="292" spans="1:4" ht="12.75" customHeight="1">
      <c r="A292" s="36" t="s">
        <v>68</v>
      </c>
      <c r="B292" s="63">
        <v>28</v>
      </c>
      <c r="C292"/>
      <c r="D292"/>
    </row>
    <row r="293" spans="1:4" ht="12.75" customHeight="1">
      <c r="A293" s="36" t="s">
        <v>69</v>
      </c>
      <c r="B293" s="63">
        <v>5</v>
      </c>
      <c r="C293"/>
      <c r="D293"/>
    </row>
    <row r="294" spans="1:4" ht="12.75" customHeight="1">
      <c r="A294" s="36" t="s">
        <v>70</v>
      </c>
      <c r="B294" s="63">
        <v>0</v>
      </c>
    </row>
    <row r="295" spans="1:4" ht="12.75" customHeight="1">
      <c r="A295" s="36" t="s">
        <v>333</v>
      </c>
      <c r="B295" s="63">
        <v>5</v>
      </c>
      <c r="C295"/>
      <c r="D295"/>
    </row>
    <row r="296" spans="1:4" s="31" customFormat="1" ht="5.0999999999999996" customHeight="1">
      <c r="A296" s="59"/>
    </row>
    <row r="297" spans="1:4" s="31" customFormat="1" ht="12.75" customHeight="1">
      <c r="A297" s="34" t="s">
        <v>98</v>
      </c>
      <c r="B297" s="245">
        <v>4059</v>
      </c>
      <c r="C297"/>
      <c r="D297"/>
    </row>
    <row r="298" spans="1:4" s="31" customFormat="1" ht="5.0999999999999996" customHeight="1">
      <c r="A298" s="59"/>
      <c r="B298" s="63"/>
    </row>
    <row r="299" spans="1:4" ht="12.75" customHeight="1">
      <c r="A299" s="36" t="s">
        <v>62</v>
      </c>
      <c r="B299" s="63">
        <v>0</v>
      </c>
      <c r="C299"/>
      <c r="D299"/>
    </row>
    <row r="300" spans="1:4" ht="12.75" customHeight="1">
      <c r="A300" s="36" t="s">
        <v>63</v>
      </c>
      <c r="B300" s="63">
        <v>531</v>
      </c>
      <c r="C300"/>
      <c r="D300"/>
    </row>
    <row r="301" spans="1:4" ht="12.75" customHeight="1">
      <c r="A301" s="36" t="s">
        <v>64</v>
      </c>
      <c r="B301" s="63">
        <v>1404</v>
      </c>
      <c r="C301"/>
      <c r="D301"/>
    </row>
    <row r="302" spans="1:4" ht="12.75" customHeight="1">
      <c r="A302" s="36" t="s">
        <v>65</v>
      </c>
      <c r="B302" s="63">
        <v>1127</v>
      </c>
      <c r="C302"/>
      <c r="D302"/>
    </row>
    <row r="303" spans="1:4" ht="12.75" customHeight="1">
      <c r="A303" s="36" t="s">
        <v>66</v>
      </c>
      <c r="B303" s="63">
        <v>643</v>
      </c>
      <c r="C303"/>
      <c r="D303"/>
    </row>
    <row r="304" spans="1:4" ht="12.75" customHeight="1">
      <c r="A304" s="36" t="s">
        <v>67</v>
      </c>
      <c r="B304" s="63">
        <v>282</v>
      </c>
      <c r="C304"/>
      <c r="D304"/>
    </row>
    <row r="305" spans="1:4" ht="12.75" customHeight="1">
      <c r="A305" s="36" t="s">
        <v>68</v>
      </c>
      <c r="B305" s="63">
        <v>63</v>
      </c>
      <c r="C305"/>
      <c r="D305"/>
    </row>
    <row r="306" spans="1:4" ht="12.75" customHeight="1">
      <c r="A306" s="36" t="s">
        <v>69</v>
      </c>
      <c r="B306" s="63">
        <v>2</v>
      </c>
      <c r="C306"/>
      <c r="D306"/>
    </row>
    <row r="307" spans="1:4" ht="12.75" customHeight="1">
      <c r="A307" s="36" t="s">
        <v>70</v>
      </c>
      <c r="B307" s="63">
        <v>1</v>
      </c>
      <c r="C307"/>
      <c r="D307"/>
    </row>
    <row r="308" spans="1:4" ht="12.75" customHeight="1">
      <c r="A308" s="36" t="s">
        <v>333</v>
      </c>
      <c r="B308" s="63">
        <v>6</v>
      </c>
      <c r="C308"/>
      <c r="D308"/>
    </row>
    <row r="309" spans="1:4" ht="5.0999999999999996" customHeight="1">
      <c r="A309" s="36"/>
      <c r="C309"/>
      <c r="D309"/>
    </row>
    <row r="310" spans="1:4" s="31" customFormat="1" ht="12.75" customHeight="1">
      <c r="A310" s="34" t="s">
        <v>99</v>
      </c>
      <c r="B310" s="245">
        <v>1912</v>
      </c>
      <c r="C310"/>
      <c r="D310"/>
    </row>
    <row r="311" spans="1:4" s="31" customFormat="1" ht="5.0999999999999996" customHeight="1">
      <c r="A311" s="59"/>
      <c r="B311" s="63"/>
    </row>
    <row r="312" spans="1:4" ht="12.75" customHeight="1">
      <c r="A312" s="36" t="s">
        <v>62</v>
      </c>
      <c r="B312" s="63">
        <v>0</v>
      </c>
      <c r="C312"/>
      <c r="D312"/>
    </row>
    <row r="313" spans="1:4" ht="12.75" customHeight="1">
      <c r="A313" s="36" t="s">
        <v>63</v>
      </c>
      <c r="B313" s="63">
        <v>352</v>
      </c>
      <c r="C313"/>
      <c r="D313"/>
    </row>
    <row r="314" spans="1:4" ht="12.75" customHeight="1">
      <c r="A314" s="36" t="s">
        <v>64</v>
      </c>
      <c r="B314" s="63">
        <v>710</v>
      </c>
      <c r="C314"/>
      <c r="D314"/>
    </row>
    <row r="315" spans="1:4" ht="12.75" customHeight="1">
      <c r="A315" s="36" t="s">
        <v>65</v>
      </c>
      <c r="B315" s="63">
        <v>473</v>
      </c>
      <c r="C315"/>
      <c r="D315"/>
    </row>
    <row r="316" spans="1:4" ht="12.75" customHeight="1">
      <c r="A316" s="36" t="s">
        <v>66</v>
      </c>
      <c r="B316" s="63">
        <v>245</v>
      </c>
      <c r="C316"/>
      <c r="D316"/>
    </row>
    <row r="317" spans="1:4" ht="12.75" customHeight="1">
      <c r="A317" s="36" t="s">
        <v>67</v>
      </c>
      <c r="B317" s="63">
        <v>103</v>
      </c>
      <c r="C317"/>
      <c r="D317"/>
    </row>
    <row r="318" spans="1:4" ht="12.75" customHeight="1">
      <c r="A318" s="36" t="s">
        <v>68</v>
      </c>
      <c r="B318" s="63">
        <v>17</v>
      </c>
      <c r="C318"/>
      <c r="D318"/>
    </row>
    <row r="319" spans="1:4" ht="12.75" customHeight="1">
      <c r="A319" s="36" t="s">
        <v>69</v>
      </c>
      <c r="B319" s="63">
        <v>3</v>
      </c>
      <c r="C319"/>
      <c r="D319"/>
    </row>
    <row r="320" spans="1:4" ht="12.75" customHeight="1">
      <c r="A320" s="36" t="s">
        <v>333</v>
      </c>
      <c r="B320" s="63">
        <v>9</v>
      </c>
      <c r="C320"/>
      <c r="D320"/>
    </row>
    <row r="321" spans="1:4" s="31" customFormat="1" ht="5.0999999999999996" customHeight="1">
      <c r="A321" s="59"/>
      <c r="B321" s="63"/>
    </row>
    <row r="322" spans="1:4" s="31" customFormat="1" ht="12.75" customHeight="1">
      <c r="A322" s="34" t="s">
        <v>100</v>
      </c>
      <c r="B322" s="245">
        <v>13172</v>
      </c>
      <c r="C322"/>
      <c r="D322"/>
    </row>
    <row r="323" spans="1:4" s="31" customFormat="1" ht="5.0999999999999996" customHeight="1">
      <c r="A323" s="59"/>
      <c r="B323" s="63"/>
    </row>
    <row r="324" spans="1:4" ht="12.75" customHeight="1">
      <c r="A324" s="36" t="s">
        <v>62</v>
      </c>
      <c r="B324" s="63">
        <v>0</v>
      </c>
      <c r="C324"/>
      <c r="D324"/>
    </row>
    <row r="325" spans="1:4" ht="12.75" customHeight="1">
      <c r="A325" s="36" t="s">
        <v>63</v>
      </c>
      <c r="B325" s="63">
        <v>1898</v>
      </c>
      <c r="C325"/>
      <c r="D325"/>
    </row>
    <row r="326" spans="1:4" ht="12.75" customHeight="1">
      <c r="A326" s="36" t="s">
        <v>64</v>
      </c>
      <c r="B326" s="63">
        <v>4305</v>
      </c>
      <c r="C326"/>
      <c r="D326"/>
    </row>
    <row r="327" spans="1:4" ht="12.75" customHeight="1">
      <c r="A327" s="36" t="s">
        <v>65</v>
      </c>
      <c r="B327" s="63">
        <v>3602</v>
      </c>
      <c r="C327"/>
      <c r="D327"/>
    </row>
    <row r="328" spans="1:4" ht="12.75" customHeight="1">
      <c r="A328" s="36" t="s">
        <v>66</v>
      </c>
      <c r="B328" s="63">
        <v>2234</v>
      </c>
      <c r="C328"/>
      <c r="D328"/>
    </row>
    <row r="329" spans="1:4" ht="12.75" customHeight="1">
      <c r="A329" s="36" t="s">
        <v>67</v>
      </c>
      <c r="B329" s="63">
        <v>885</v>
      </c>
      <c r="C329"/>
      <c r="D329"/>
    </row>
    <row r="330" spans="1:4" ht="12.75" customHeight="1">
      <c r="A330" s="36" t="s">
        <v>68</v>
      </c>
      <c r="B330" s="63">
        <v>174</v>
      </c>
      <c r="C330"/>
      <c r="D330"/>
    </row>
    <row r="331" spans="1:4" ht="12.75" customHeight="1">
      <c r="A331" s="36" t="s">
        <v>69</v>
      </c>
      <c r="B331" s="63">
        <v>10</v>
      </c>
      <c r="D331"/>
    </row>
    <row r="332" spans="1:4" ht="12.75" customHeight="1">
      <c r="A332" s="36" t="s">
        <v>70</v>
      </c>
      <c r="B332" s="63">
        <v>4</v>
      </c>
      <c r="C332"/>
      <c r="D332"/>
    </row>
    <row r="333" spans="1:4" ht="12.75" customHeight="1">
      <c r="A333" s="36" t="s">
        <v>333</v>
      </c>
      <c r="B333" s="63">
        <v>60</v>
      </c>
      <c r="C333"/>
      <c r="D333"/>
    </row>
    <row r="334" spans="1:4" s="31" customFormat="1" ht="5.0999999999999996" customHeight="1">
      <c r="A334" s="59"/>
      <c r="B334" s="63"/>
    </row>
    <row r="335" spans="1:4" s="31" customFormat="1" ht="12.75" customHeight="1">
      <c r="A335" s="34" t="s">
        <v>101</v>
      </c>
      <c r="B335" s="63">
        <v>836</v>
      </c>
      <c r="C335"/>
      <c r="D335"/>
    </row>
    <row r="336" spans="1:4" s="31" customFormat="1" ht="5.0999999999999996" customHeight="1">
      <c r="A336" s="59"/>
      <c r="B336" s="63"/>
    </row>
    <row r="337" spans="1:4" ht="12.75" customHeight="1">
      <c r="A337" s="36" t="s">
        <v>62</v>
      </c>
      <c r="B337" s="63">
        <v>0</v>
      </c>
      <c r="C337"/>
      <c r="D337"/>
    </row>
    <row r="338" spans="1:4" ht="12.75" customHeight="1">
      <c r="A338" s="36" t="s">
        <v>63</v>
      </c>
      <c r="B338" s="63">
        <v>125</v>
      </c>
      <c r="C338"/>
      <c r="D338"/>
    </row>
    <row r="339" spans="1:4" ht="12.75" customHeight="1">
      <c r="A339" s="36" t="s">
        <v>64</v>
      </c>
      <c r="B339" s="63">
        <v>268</v>
      </c>
      <c r="C339"/>
      <c r="D339"/>
    </row>
    <row r="340" spans="1:4" ht="12.75" customHeight="1">
      <c r="A340" s="36" t="s">
        <v>65</v>
      </c>
      <c r="B340" s="63">
        <v>212</v>
      </c>
      <c r="C340"/>
      <c r="D340"/>
    </row>
    <row r="341" spans="1:4" ht="12.75" customHeight="1">
      <c r="A341" s="36" t="s">
        <v>66</v>
      </c>
      <c r="B341" s="63">
        <v>122</v>
      </c>
      <c r="C341"/>
      <c r="D341"/>
    </row>
    <row r="342" spans="1:4" ht="12.75" customHeight="1">
      <c r="A342" s="36" t="s">
        <v>67</v>
      </c>
      <c r="B342" s="63">
        <v>50</v>
      </c>
      <c r="C342"/>
      <c r="D342"/>
    </row>
    <row r="343" spans="1:4" ht="12.75" customHeight="1">
      <c r="A343" s="36" t="s">
        <v>68</v>
      </c>
      <c r="B343" s="63">
        <v>8</v>
      </c>
      <c r="C343"/>
      <c r="D343"/>
    </row>
    <row r="344" spans="1:4" ht="12.75" customHeight="1">
      <c r="A344" s="36" t="s">
        <v>69</v>
      </c>
      <c r="B344" s="63">
        <v>2</v>
      </c>
      <c r="D344"/>
    </row>
    <row r="345" spans="1:4" ht="12.75" customHeight="1">
      <c r="A345" s="36" t="s">
        <v>70</v>
      </c>
      <c r="B345" s="63">
        <v>2</v>
      </c>
      <c r="C345" s="63"/>
      <c r="D345"/>
    </row>
    <row r="346" spans="1:4" ht="12.75" customHeight="1">
      <c r="A346" s="36" t="s">
        <v>333</v>
      </c>
      <c r="B346" s="63">
        <v>47</v>
      </c>
      <c r="C346"/>
      <c r="D346"/>
    </row>
    <row r="347" spans="1:4" ht="5.0999999999999996" customHeight="1">
      <c r="A347" s="36"/>
      <c r="C347"/>
      <c r="D347"/>
    </row>
    <row r="348" spans="1:4" s="31" customFormat="1" ht="12.75" customHeight="1">
      <c r="A348" s="34" t="s">
        <v>102</v>
      </c>
      <c r="B348" s="245">
        <v>1711</v>
      </c>
      <c r="C348"/>
      <c r="D348"/>
    </row>
    <row r="349" spans="1:4" s="31" customFormat="1" ht="5.0999999999999996" customHeight="1">
      <c r="A349" s="59"/>
      <c r="B349" s="63"/>
    </row>
    <row r="350" spans="1:4" ht="12.75" customHeight="1">
      <c r="A350" s="36" t="s">
        <v>62</v>
      </c>
      <c r="B350" s="63">
        <v>0</v>
      </c>
      <c r="C350"/>
      <c r="D350"/>
    </row>
    <row r="351" spans="1:4" ht="12.75" customHeight="1">
      <c r="A351" s="36" t="s">
        <v>63</v>
      </c>
      <c r="B351" s="63">
        <v>304</v>
      </c>
      <c r="C351"/>
      <c r="D351"/>
    </row>
    <row r="352" spans="1:4" ht="12.75" customHeight="1">
      <c r="A352" s="36" t="s">
        <v>64</v>
      </c>
      <c r="B352" s="63">
        <v>616</v>
      </c>
      <c r="C352"/>
      <c r="D352"/>
    </row>
    <row r="353" spans="1:4" ht="12.75" customHeight="1">
      <c r="A353" s="36" t="s">
        <v>65</v>
      </c>
      <c r="B353" s="63">
        <v>435</v>
      </c>
      <c r="C353"/>
      <c r="D353"/>
    </row>
    <row r="354" spans="1:4" ht="12.75" customHeight="1">
      <c r="A354" s="36" t="s">
        <v>66</v>
      </c>
      <c r="B354" s="63">
        <v>225</v>
      </c>
      <c r="C354"/>
      <c r="D354"/>
    </row>
    <row r="355" spans="1:4" ht="12.75" customHeight="1">
      <c r="A355" s="36" t="s">
        <v>67</v>
      </c>
      <c r="B355" s="63">
        <v>101</v>
      </c>
      <c r="C355"/>
      <c r="D355"/>
    </row>
    <row r="356" spans="1:4" ht="12.75" customHeight="1">
      <c r="A356" s="36" t="s">
        <v>68</v>
      </c>
      <c r="B356" s="63">
        <v>21</v>
      </c>
      <c r="C356"/>
      <c r="D356"/>
    </row>
    <row r="357" spans="1:4" ht="12.75" customHeight="1">
      <c r="A357" s="36" t="s">
        <v>69</v>
      </c>
      <c r="B357" s="63">
        <v>2</v>
      </c>
      <c r="C357"/>
      <c r="D357"/>
    </row>
    <row r="358" spans="1:4" ht="12.75" customHeight="1">
      <c r="A358" s="36" t="s">
        <v>333</v>
      </c>
      <c r="B358" s="63">
        <v>7</v>
      </c>
      <c r="C358"/>
      <c r="D358"/>
    </row>
    <row r="359" spans="1:4" s="31" customFormat="1" ht="5.0999999999999996" customHeight="1">
      <c r="A359" s="59"/>
      <c r="B359" s="63"/>
    </row>
    <row r="360" spans="1:4" ht="12.75" customHeight="1">
      <c r="A360" s="34" t="s">
        <v>103</v>
      </c>
      <c r="B360" s="245">
        <v>2211</v>
      </c>
    </row>
    <row r="361" spans="1:4" ht="12.75" customHeight="1">
      <c r="A361" s="36" t="s">
        <v>62</v>
      </c>
      <c r="B361" s="63">
        <v>0</v>
      </c>
    </row>
    <row r="362" spans="1:4" ht="12.75" customHeight="1">
      <c r="A362" s="36" t="s">
        <v>63</v>
      </c>
      <c r="B362" s="63">
        <v>393</v>
      </c>
    </row>
    <row r="363" spans="1:4" ht="12.75" customHeight="1">
      <c r="A363" s="36" t="s">
        <v>64</v>
      </c>
      <c r="B363" s="63">
        <v>754</v>
      </c>
    </row>
    <row r="364" spans="1:4" ht="12.75" customHeight="1">
      <c r="A364" s="36" t="s">
        <v>65</v>
      </c>
      <c r="B364" s="63">
        <v>589</v>
      </c>
    </row>
    <row r="365" spans="1:4" ht="12.75" customHeight="1">
      <c r="A365" s="36" t="s">
        <v>66</v>
      </c>
      <c r="B365" s="63">
        <v>304</v>
      </c>
    </row>
    <row r="366" spans="1:4" ht="12.75" customHeight="1">
      <c r="A366" s="36" t="s">
        <v>67</v>
      </c>
      <c r="B366" s="63">
        <v>129</v>
      </c>
    </row>
    <row r="367" spans="1:4" ht="12.75" customHeight="1">
      <c r="A367" s="36" t="s">
        <v>68</v>
      </c>
      <c r="B367" s="63">
        <v>26</v>
      </c>
    </row>
    <row r="368" spans="1:4" ht="12.75" customHeight="1">
      <c r="A368" s="36" t="s">
        <v>69</v>
      </c>
      <c r="B368" s="63">
        <v>1</v>
      </c>
    </row>
    <row r="369" spans="1:2" ht="12.75" customHeight="1">
      <c r="A369" s="36" t="s">
        <v>70</v>
      </c>
      <c r="B369" s="63">
        <v>1</v>
      </c>
    </row>
    <row r="370" spans="1:2" ht="12.75" customHeight="1">
      <c r="A370" s="36" t="s">
        <v>333</v>
      </c>
      <c r="B370" s="63">
        <v>14</v>
      </c>
    </row>
    <row r="371" spans="1:2" s="31" customFormat="1" ht="5.0999999999999996" customHeight="1">
      <c r="A371" s="59"/>
    </row>
    <row r="372" spans="1:2" s="31" customFormat="1" ht="12.75" customHeight="1">
      <c r="A372" s="34" t="s">
        <v>104</v>
      </c>
      <c r="B372" s="245">
        <v>1698</v>
      </c>
    </row>
    <row r="373" spans="1:2" s="31" customFormat="1" ht="5.0999999999999996" customHeight="1">
      <c r="A373" s="59"/>
      <c r="B373" s="63"/>
    </row>
    <row r="374" spans="1:2" ht="12.75" customHeight="1">
      <c r="A374" s="36" t="s">
        <v>62</v>
      </c>
      <c r="B374" s="63">
        <v>0</v>
      </c>
    </row>
    <row r="375" spans="1:2" ht="12.75" customHeight="1">
      <c r="A375" s="36" t="s">
        <v>63</v>
      </c>
      <c r="B375" s="63">
        <v>233</v>
      </c>
    </row>
    <row r="376" spans="1:2" ht="12.75" customHeight="1">
      <c r="A376" s="36" t="s">
        <v>64</v>
      </c>
      <c r="B376" s="63">
        <v>599</v>
      </c>
    </row>
    <row r="377" spans="1:2" ht="12.75" customHeight="1">
      <c r="A377" s="36" t="s">
        <v>65</v>
      </c>
      <c r="B377" s="63">
        <v>469</v>
      </c>
    </row>
    <row r="378" spans="1:2" ht="12.75" customHeight="1">
      <c r="A378" s="36" t="s">
        <v>66</v>
      </c>
      <c r="B378" s="63">
        <v>252</v>
      </c>
    </row>
    <row r="379" spans="1:2" ht="12.75" customHeight="1">
      <c r="A379" s="36" t="s">
        <v>67</v>
      </c>
      <c r="B379" s="63">
        <v>109</v>
      </c>
    </row>
    <row r="380" spans="1:2" ht="12.75" customHeight="1">
      <c r="A380" s="36" t="s">
        <v>68</v>
      </c>
      <c r="B380" s="63">
        <v>30</v>
      </c>
    </row>
    <row r="381" spans="1:2" ht="12.75" customHeight="1">
      <c r="A381" s="36" t="s">
        <v>69</v>
      </c>
      <c r="B381" s="63">
        <v>1</v>
      </c>
    </row>
    <row r="382" spans="1:2" ht="12.75" customHeight="1">
      <c r="A382" s="36" t="s">
        <v>70</v>
      </c>
      <c r="B382" s="63">
        <v>1</v>
      </c>
    </row>
    <row r="383" spans="1:2" ht="12.75" customHeight="1">
      <c r="A383" s="36" t="s">
        <v>333</v>
      </c>
      <c r="B383" s="63">
        <v>4</v>
      </c>
    </row>
    <row r="384" spans="1:2" s="31" customFormat="1" ht="5.0999999999999996" customHeight="1">
      <c r="A384" s="59"/>
    </row>
    <row r="385" spans="1:4" s="31" customFormat="1" ht="12.75" customHeight="1">
      <c r="A385" s="34" t="s">
        <v>105</v>
      </c>
      <c r="B385" s="246">
        <v>580</v>
      </c>
      <c r="C385"/>
      <c r="D385"/>
    </row>
    <row r="386" spans="1:4" s="31" customFormat="1" ht="5.0999999999999996" customHeight="1">
      <c r="A386" s="34"/>
      <c r="B386" s="63"/>
      <c r="C386"/>
      <c r="D386"/>
    </row>
    <row r="387" spans="1:4" ht="12.75" customHeight="1">
      <c r="A387" s="36" t="s">
        <v>62</v>
      </c>
      <c r="B387" s="63">
        <v>0</v>
      </c>
      <c r="C387"/>
      <c r="D387"/>
    </row>
    <row r="388" spans="1:4" ht="12.75" customHeight="1">
      <c r="A388" s="36" t="s">
        <v>63</v>
      </c>
      <c r="B388" s="63">
        <v>86</v>
      </c>
      <c r="C388"/>
      <c r="D388"/>
    </row>
    <row r="389" spans="1:4" ht="12.75" customHeight="1">
      <c r="A389" s="36" t="s">
        <v>64</v>
      </c>
      <c r="B389" s="63">
        <v>194</v>
      </c>
      <c r="C389"/>
      <c r="D389"/>
    </row>
    <row r="390" spans="1:4" ht="12.75" customHeight="1">
      <c r="A390" s="36" t="s">
        <v>65</v>
      </c>
      <c r="B390" s="63">
        <v>163</v>
      </c>
      <c r="C390"/>
      <c r="D390"/>
    </row>
    <row r="391" spans="1:4" ht="12.75" customHeight="1">
      <c r="A391" s="36" t="s">
        <v>66</v>
      </c>
      <c r="B391" s="63">
        <v>87</v>
      </c>
      <c r="C391"/>
      <c r="D391"/>
    </row>
    <row r="392" spans="1:4" ht="12.75" customHeight="1">
      <c r="A392" s="36" t="s">
        <v>67</v>
      </c>
      <c r="B392" s="63">
        <v>38</v>
      </c>
      <c r="C392"/>
      <c r="D392"/>
    </row>
    <row r="393" spans="1:4" ht="12.75" customHeight="1">
      <c r="A393" s="36" t="s">
        <v>68</v>
      </c>
      <c r="B393" s="63">
        <v>7</v>
      </c>
      <c r="C393"/>
      <c r="D393"/>
    </row>
    <row r="394" spans="1:4" ht="12.75" customHeight="1">
      <c r="A394" s="36" t="s">
        <v>333</v>
      </c>
      <c r="B394" s="63">
        <v>5</v>
      </c>
      <c r="C394"/>
      <c r="D394"/>
    </row>
    <row r="395" spans="1:4" s="31" customFormat="1" ht="5.0999999999999996" customHeight="1">
      <c r="A395" s="59"/>
    </row>
    <row r="396" spans="1:4" s="31" customFormat="1" ht="12.75" customHeight="1">
      <c r="A396" s="34" t="s">
        <v>106</v>
      </c>
      <c r="B396" s="246">
        <v>577</v>
      </c>
      <c r="C396"/>
      <c r="D396"/>
    </row>
    <row r="397" spans="1:4" s="31" customFormat="1" ht="5.0999999999999996" customHeight="1">
      <c r="A397" s="59"/>
    </row>
    <row r="398" spans="1:4" ht="12.75" customHeight="1">
      <c r="A398" s="36" t="s">
        <v>62</v>
      </c>
      <c r="B398" s="63">
        <v>0</v>
      </c>
      <c r="C398"/>
      <c r="D398"/>
    </row>
    <row r="399" spans="1:4" ht="12.75" customHeight="1">
      <c r="A399" s="36" t="s">
        <v>63</v>
      </c>
      <c r="B399" s="63">
        <v>121</v>
      </c>
      <c r="C399"/>
      <c r="D399"/>
    </row>
    <row r="400" spans="1:4" ht="12.75" customHeight="1">
      <c r="A400" s="36" t="s">
        <v>64</v>
      </c>
      <c r="B400" s="63">
        <v>198</v>
      </c>
      <c r="C400"/>
      <c r="D400"/>
    </row>
    <row r="401" spans="1:4" ht="12.75" customHeight="1">
      <c r="A401" s="36" t="s">
        <v>65</v>
      </c>
      <c r="B401" s="63">
        <v>144</v>
      </c>
      <c r="C401"/>
      <c r="D401"/>
    </row>
    <row r="402" spans="1:4" ht="12.75" customHeight="1">
      <c r="A402" s="36" t="s">
        <v>66</v>
      </c>
      <c r="B402" s="63">
        <v>78</v>
      </c>
      <c r="C402"/>
      <c r="D402"/>
    </row>
    <row r="403" spans="1:4" ht="12.75" customHeight="1">
      <c r="A403" s="36" t="s">
        <v>67</v>
      </c>
      <c r="B403" s="63">
        <v>20</v>
      </c>
      <c r="C403"/>
      <c r="D403"/>
    </row>
    <row r="404" spans="1:4" ht="12.75" customHeight="1">
      <c r="A404" s="36" t="s">
        <v>68</v>
      </c>
      <c r="B404" s="63">
        <v>6</v>
      </c>
      <c r="C404"/>
      <c r="D404"/>
    </row>
    <row r="405" spans="1:4" ht="12.75" customHeight="1">
      <c r="A405" s="36" t="s">
        <v>333</v>
      </c>
      <c r="B405" s="63">
        <v>10</v>
      </c>
      <c r="C405"/>
      <c r="D405"/>
    </row>
    <row r="406" spans="1:4" s="31" customFormat="1" ht="5.0999999999999996" customHeight="1">
      <c r="A406" s="59"/>
    </row>
    <row r="407" spans="1:4" s="31" customFormat="1" ht="12.75" customHeight="1">
      <c r="A407" s="34" t="s">
        <v>107</v>
      </c>
      <c r="B407" s="245">
        <v>27715</v>
      </c>
      <c r="C407"/>
      <c r="D407"/>
    </row>
    <row r="408" spans="1:4" s="31" customFormat="1" ht="5.0999999999999996" customHeight="1">
      <c r="A408" s="59"/>
    </row>
    <row r="409" spans="1:4" ht="12.75" customHeight="1">
      <c r="A409" s="36" t="s">
        <v>62</v>
      </c>
      <c r="B409" s="63">
        <v>0</v>
      </c>
      <c r="C409"/>
      <c r="D409"/>
    </row>
    <row r="410" spans="1:4" ht="12.75" customHeight="1">
      <c r="A410" s="36" t="s">
        <v>63</v>
      </c>
      <c r="B410" s="63">
        <v>3381</v>
      </c>
      <c r="C410"/>
      <c r="D410"/>
    </row>
    <row r="411" spans="1:4" ht="12.75" customHeight="1">
      <c r="A411" s="36" t="s">
        <v>64</v>
      </c>
      <c r="B411" s="63">
        <v>8568</v>
      </c>
      <c r="C411"/>
      <c r="D411"/>
    </row>
    <row r="412" spans="1:4" ht="12.75" customHeight="1">
      <c r="A412" s="36" t="s">
        <v>65</v>
      </c>
      <c r="B412" s="63">
        <v>7919</v>
      </c>
      <c r="C412"/>
      <c r="D412"/>
    </row>
    <row r="413" spans="1:4" ht="12.75" customHeight="1">
      <c r="A413" s="36" t="s">
        <v>66</v>
      </c>
      <c r="B413" s="63">
        <v>5186</v>
      </c>
      <c r="C413"/>
      <c r="D413"/>
    </row>
    <row r="414" spans="1:4" ht="12.75" customHeight="1">
      <c r="A414" s="36" t="s">
        <v>67</v>
      </c>
      <c r="B414" s="63">
        <v>2144</v>
      </c>
      <c r="C414"/>
      <c r="D414"/>
    </row>
    <row r="415" spans="1:4" ht="12.75" customHeight="1">
      <c r="A415" s="36" t="s">
        <v>68</v>
      </c>
      <c r="B415" s="63">
        <v>411</v>
      </c>
      <c r="C415"/>
      <c r="D415"/>
    </row>
    <row r="416" spans="1:4" ht="12.75" customHeight="1">
      <c r="A416" s="36" t="s">
        <v>69</v>
      </c>
      <c r="B416" s="63">
        <v>43</v>
      </c>
      <c r="C416"/>
      <c r="D416"/>
    </row>
    <row r="417" spans="1:4" ht="12.75" customHeight="1">
      <c r="A417" s="36" t="s">
        <v>70</v>
      </c>
      <c r="B417" s="63">
        <v>8</v>
      </c>
      <c r="C417"/>
      <c r="D417"/>
    </row>
    <row r="418" spans="1:4" ht="12.75" customHeight="1">
      <c r="A418" s="36" t="s">
        <v>333</v>
      </c>
      <c r="B418" s="63">
        <v>55</v>
      </c>
      <c r="C418"/>
      <c r="D418"/>
    </row>
    <row r="419" spans="1:4" s="31" customFormat="1" ht="5.0999999999999996" customHeight="1">
      <c r="A419" s="59"/>
    </row>
    <row r="420" spans="1:4" s="31" customFormat="1" ht="12.75" customHeight="1">
      <c r="A420" s="34" t="s">
        <v>108</v>
      </c>
      <c r="B420" s="246">
        <v>39</v>
      </c>
      <c r="C420"/>
      <c r="D420"/>
    </row>
    <row r="421" spans="1:4" s="31" customFormat="1" ht="5.0999999999999996" customHeight="1">
      <c r="A421" s="59"/>
    </row>
    <row r="422" spans="1:4" ht="12.75" customHeight="1">
      <c r="A422" s="36" t="s">
        <v>62</v>
      </c>
      <c r="B422" s="63">
        <v>0</v>
      </c>
      <c r="C422"/>
      <c r="D422"/>
    </row>
    <row r="423" spans="1:4" ht="12.75" customHeight="1">
      <c r="A423" s="36" t="s">
        <v>63</v>
      </c>
      <c r="B423" s="63">
        <v>1</v>
      </c>
      <c r="C423"/>
      <c r="D423"/>
    </row>
    <row r="424" spans="1:4" ht="12.75" customHeight="1">
      <c r="A424" s="36" t="s">
        <v>64</v>
      </c>
      <c r="B424" s="63">
        <v>6</v>
      </c>
    </row>
    <row r="425" spans="1:4" ht="12.75" customHeight="1">
      <c r="A425" s="36" t="s">
        <v>65</v>
      </c>
      <c r="B425" s="63">
        <v>11</v>
      </c>
    </row>
    <row r="426" spans="1:4" ht="12.75" customHeight="1">
      <c r="A426" s="36" t="s">
        <v>66</v>
      </c>
      <c r="B426" s="63">
        <v>8</v>
      </c>
    </row>
    <row r="427" spans="1:4" ht="12.75" customHeight="1">
      <c r="A427" s="36" t="s">
        <v>67</v>
      </c>
      <c r="B427" s="63">
        <v>4</v>
      </c>
    </row>
    <row r="428" spans="1:4" ht="12.75" customHeight="1">
      <c r="A428" s="36" t="s">
        <v>68</v>
      </c>
      <c r="B428" s="63">
        <v>3</v>
      </c>
    </row>
    <row r="429" spans="1:4" ht="12.75" customHeight="1">
      <c r="A429" s="36" t="s">
        <v>69</v>
      </c>
      <c r="B429" s="63">
        <v>1</v>
      </c>
    </row>
    <row r="430" spans="1:4" ht="12.75" customHeight="1">
      <c r="A430" s="36" t="s">
        <v>333</v>
      </c>
      <c r="B430" s="63">
        <v>5</v>
      </c>
    </row>
    <row r="431" spans="1:4" s="31" customFormat="1" ht="5.0999999999999996" customHeight="1">
      <c r="A431" s="59"/>
    </row>
    <row r="432" spans="1:4" s="31" customFormat="1" ht="12.75" customHeight="1">
      <c r="A432" s="34" t="s">
        <v>52</v>
      </c>
      <c r="B432" s="246">
        <v>307</v>
      </c>
    </row>
    <row r="433" spans="1:2" s="31" customFormat="1" ht="5.0999999999999996" customHeight="1">
      <c r="A433" s="59"/>
    </row>
    <row r="434" spans="1:2" ht="12.75" customHeight="1">
      <c r="A434" s="36" t="s">
        <v>62</v>
      </c>
      <c r="B434" s="63">
        <v>0</v>
      </c>
    </row>
    <row r="435" spans="1:2" ht="12.75" customHeight="1">
      <c r="A435" s="36" t="s">
        <v>63</v>
      </c>
      <c r="B435" s="63">
        <v>26</v>
      </c>
    </row>
    <row r="436" spans="1:2" ht="12.75" customHeight="1">
      <c r="A436" s="36" t="s">
        <v>64</v>
      </c>
      <c r="B436" s="63">
        <v>50</v>
      </c>
    </row>
    <row r="437" spans="1:2" ht="12.75" customHeight="1">
      <c r="A437" s="36" t="s">
        <v>65</v>
      </c>
      <c r="B437" s="63">
        <v>50</v>
      </c>
    </row>
    <row r="438" spans="1:2" ht="12.75" customHeight="1">
      <c r="A438" s="36" t="s">
        <v>66</v>
      </c>
      <c r="B438" s="63">
        <v>38</v>
      </c>
    </row>
    <row r="439" spans="1:2" ht="12.75" customHeight="1">
      <c r="A439" s="36" t="s">
        <v>67</v>
      </c>
      <c r="B439" s="63">
        <v>0</v>
      </c>
    </row>
    <row r="440" spans="1:2" ht="12.75" customHeight="1">
      <c r="A440" s="36" t="s">
        <v>68</v>
      </c>
      <c r="B440" s="63">
        <v>0</v>
      </c>
    </row>
    <row r="441" spans="1:2" ht="12.75" customHeight="1">
      <c r="A441" s="36" t="s">
        <v>69</v>
      </c>
      <c r="B441" s="63">
        <v>9</v>
      </c>
    </row>
    <row r="442" spans="1:2" ht="12.75" customHeight="1">
      <c r="A442" s="36" t="s">
        <v>333</v>
      </c>
      <c r="B442" s="63">
        <v>1</v>
      </c>
    </row>
    <row r="443" spans="1:2" s="31" customFormat="1" ht="5.0999999999999996" customHeight="1">
      <c r="A443" s="204"/>
      <c r="B443" s="243"/>
    </row>
    <row r="444" spans="1:2" s="31" customFormat="1" ht="5.0999999999999996" customHeight="1">
      <c r="A444" s="59"/>
    </row>
    <row r="445" spans="1:2" ht="12.75" customHeight="1">
      <c r="A445" s="57" t="s">
        <v>319</v>
      </c>
    </row>
    <row r="446" spans="1:2" ht="12.75" customHeight="1">
      <c r="A446" s="58" t="s">
        <v>375</v>
      </c>
    </row>
    <row r="450" spans="2:2" ht="12.75" customHeight="1">
      <c r="B450" s="63">
        <v>133</v>
      </c>
    </row>
    <row r="451" spans="2:2" ht="12.75" customHeight="1">
      <c r="B451" s="63"/>
    </row>
    <row r="452" spans="2:2" ht="12.75" customHeight="1">
      <c r="B452" s="63"/>
    </row>
    <row r="453" spans="2:2" ht="12.75" customHeight="1">
      <c r="B453" s="63"/>
    </row>
    <row r="454" spans="2:2" ht="12.75" customHeight="1">
      <c r="B454" s="63"/>
    </row>
    <row r="456" spans="2:2" ht="12.75" customHeight="1">
      <c r="B456" s="63"/>
    </row>
    <row r="457" spans="2:2" ht="12.75" customHeight="1">
      <c r="B457" s="63"/>
    </row>
    <row r="458" spans="2:2" ht="12.75" customHeight="1">
      <c r="B458" s="63"/>
    </row>
    <row r="459" spans="2:2" ht="12.75" customHeight="1">
      <c r="B459" s="63"/>
    </row>
    <row r="460" spans="2:2" ht="12.75" customHeight="1">
      <c r="B460" s="63"/>
    </row>
    <row r="461" spans="2:2" ht="12.75" customHeight="1">
      <c r="B461" s="63"/>
    </row>
    <row r="462" spans="2:2" ht="12.75" customHeight="1">
      <c r="B462" s="63"/>
    </row>
    <row r="463" spans="2:2" ht="12.75" customHeight="1">
      <c r="B463" s="63"/>
    </row>
    <row r="464" spans="2:2" ht="12.75" customHeight="1">
      <c r="B464" s="63"/>
    </row>
    <row r="465" spans="2:2" ht="12.75" customHeight="1">
      <c r="B465" s="63"/>
    </row>
    <row r="466" spans="2:2" ht="12.75" customHeight="1">
      <c r="B466" s="63"/>
    </row>
    <row r="467" spans="2:2" ht="12.75" customHeight="1">
      <c r="B467" s="63"/>
    </row>
    <row r="468" spans="2:2" ht="12.75" customHeight="1">
      <c r="B468" s="63"/>
    </row>
    <row r="469" spans="2:2" ht="12.75" customHeight="1">
      <c r="B469" s="63"/>
    </row>
    <row r="470" spans="2:2" ht="12.75" customHeight="1">
      <c r="B470" s="63"/>
    </row>
    <row r="471" spans="2:2" ht="12.75" customHeight="1">
      <c r="B471" s="63"/>
    </row>
    <row r="472" spans="2:2" ht="12.75" customHeight="1">
      <c r="B472" s="63"/>
    </row>
    <row r="473" spans="2:2" ht="12.75" customHeight="1">
      <c r="B473" s="63"/>
    </row>
    <row r="474" spans="2:2" ht="12.75" customHeight="1">
      <c r="B474" s="63"/>
    </row>
    <row r="475" spans="2:2" ht="12.75" customHeight="1">
      <c r="B475" s="63"/>
    </row>
    <row r="476" spans="2:2" ht="12.75" customHeight="1">
      <c r="B476" s="63"/>
    </row>
    <row r="477" spans="2:2" ht="12.75" customHeight="1">
      <c r="B477" s="63"/>
    </row>
    <row r="478" spans="2:2" ht="12.75" customHeight="1">
      <c r="B478" s="63"/>
    </row>
    <row r="479" spans="2:2" ht="12.75" customHeight="1">
      <c r="B479" s="63"/>
    </row>
    <row r="480" spans="2:2" ht="12.75" customHeight="1">
      <c r="B480" s="63"/>
    </row>
    <row r="482" spans="2:2" ht="12.75" customHeight="1">
      <c r="B482" s="63"/>
    </row>
    <row r="483" spans="2:2" ht="12.75" customHeight="1">
      <c r="B483" s="63"/>
    </row>
    <row r="484" spans="2:2" ht="12.75" customHeight="1">
      <c r="B484" s="63"/>
    </row>
    <row r="485" spans="2:2" ht="12.75" customHeight="1">
      <c r="B485" s="63"/>
    </row>
    <row r="486" spans="2:2" ht="12.75" customHeight="1">
      <c r="B486" s="63"/>
    </row>
    <row r="487" spans="2:2" ht="12.75" customHeight="1">
      <c r="B487" s="63"/>
    </row>
    <row r="488" spans="2:2" ht="12.75" customHeight="1">
      <c r="B488" s="63"/>
    </row>
    <row r="489" spans="2:2" ht="12.75" customHeight="1">
      <c r="B489" s="63"/>
    </row>
    <row r="490" spans="2:2" ht="12.75" customHeight="1">
      <c r="B490" s="63"/>
    </row>
    <row r="491" spans="2:2" ht="12.75" customHeight="1">
      <c r="B491" s="63"/>
    </row>
    <row r="492" spans="2:2" ht="12.75" customHeight="1">
      <c r="B492" s="63"/>
    </row>
    <row r="493" spans="2:2" ht="12.75" customHeight="1">
      <c r="B493" s="63"/>
    </row>
    <row r="494" spans="2:2" ht="12.75" customHeight="1">
      <c r="B494" s="63"/>
    </row>
    <row r="495" spans="2:2" ht="12.75" customHeight="1">
      <c r="B495" s="63"/>
    </row>
    <row r="496" spans="2:2" ht="12.75" customHeight="1">
      <c r="B496" s="63"/>
    </row>
    <row r="497" spans="2:2" ht="12.75" customHeight="1">
      <c r="B497" s="63"/>
    </row>
    <row r="498" spans="2:2" ht="12.75" customHeight="1">
      <c r="B498" s="63"/>
    </row>
    <row r="500" spans="2:2" ht="12.75" customHeight="1">
      <c r="B500" s="63"/>
    </row>
    <row r="501" spans="2:2" ht="12.75" customHeight="1">
      <c r="B501" s="63"/>
    </row>
    <row r="502" spans="2:2" ht="12.75" customHeight="1">
      <c r="B502" s="63"/>
    </row>
    <row r="503" spans="2:2" ht="12.75" customHeight="1">
      <c r="B503" s="63"/>
    </row>
    <row r="504" spans="2:2" ht="12.75" customHeight="1">
      <c r="B504" s="63"/>
    </row>
    <row r="505" spans="2:2" ht="12.75" customHeight="1">
      <c r="B505" s="63"/>
    </row>
    <row r="506" spans="2:2" ht="12.75" customHeight="1">
      <c r="B506" s="63"/>
    </row>
    <row r="507" spans="2:2" ht="12.75" customHeight="1">
      <c r="B507" s="63"/>
    </row>
    <row r="508" spans="2:2" ht="12.75" customHeight="1">
      <c r="B508" s="63"/>
    </row>
    <row r="509" spans="2:2" ht="12.75" customHeight="1">
      <c r="B509" s="63"/>
    </row>
    <row r="510" spans="2:2" ht="12.75" customHeight="1">
      <c r="B510" s="63"/>
    </row>
    <row r="511" spans="2:2" ht="12.75" customHeight="1">
      <c r="B511" s="63"/>
    </row>
    <row r="512" spans="2:2" ht="12.75" customHeight="1">
      <c r="B512" s="63"/>
    </row>
    <row r="513" spans="2:2" ht="12.75" customHeight="1">
      <c r="B513" s="63"/>
    </row>
    <row r="514" spans="2:2" ht="12.75" customHeight="1">
      <c r="B514" s="63"/>
    </row>
    <row r="515" spans="2:2" ht="12.75" customHeight="1">
      <c r="B515" s="63"/>
    </row>
    <row r="516" spans="2:2" ht="12.75" customHeight="1">
      <c r="B516" s="63"/>
    </row>
    <row r="517" spans="2:2" ht="12.75" customHeight="1">
      <c r="B517" s="63"/>
    </row>
    <row r="518" spans="2:2" ht="12.75" customHeight="1">
      <c r="B518" s="63"/>
    </row>
    <row r="519" spans="2:2" ht="12.75" customHeight="1">
      <c r="B519" s="63"/>
    </row>
    <row r="520" spans="2:2" ht="12.75" customHeight="1">
      <c r="B520" s="63"/>
    </row>
    <row r="521" spans="2:2" ht="12.75" customHeight="1">
      <c r="B521" s="63"/>
    </row>
    <row r="522" spans="2:2" ht="12.75" customHeight="1">
      <c r="B522" s="63"/>
    </row>
    <row r="523" spans="2:2" ht="12.75" customHeight="1">
      <c r="B523" s="63"/>
    </row>
    <row r="524" spans="2:2" ht="12.75" customHeight="1">
      <c r="B524" s="63"/>
    </row>
    <row r="525" spans="2:2" ht="12.75" customHeight="1">
      <c r="B525" s="63"/>
    </row>
    <row r="526" spans="2:2" ht="12.75" customHeight="1">
      <c r="B526" s="63"/>
    </row>
    <row r="527" spans="2:2" ht="12.75" customHeight="1">
      <c r="B527" s="63"/>
    </row>
    <row r="528" spans="2:2" ht="12.75" customHeight="1">
      <c r="B528" s="63"/>
    </row>
    <row r="529" spans="2:2" ht="12.75" customHeight="1">
      <c r="B529" s="63"/>
    </row>
    <row r="530" spans="2:2" ht="12.75" customHeight="1">
      <c r="B530" s="63"/>
    </row>
    <row r="531" spans="2:2" ht="12.75" customHeight="1">
      <c r="B531" s="63"/>
    </row>
    <row r="532" spans="2:2" ht="12.75" customHeight="1">
      <c r="B532" s="63"/>
    </row>
  </sheetData>
  <mergeCells count="6">
    <mergeCell ref="B7:B8"/>
    <mergeCell ref="A7:A8"/>
    <mergeCell ref="A2:B2"/>
    <mergeCell ref="A3:B3"/>
    <mergeCell ref="A4:B4"/>
    <mergeCell ref="A5:B5"/>
  </mergeCells>
  <phoneticPr fontId="2" type="noConversion"/>
  <printOptions horizontalCentered="1"/>
  <pageMargins left="0.78740157480314965" right="0.78740157480314965" top="0.70866141732283472" bottom="0.98425196850393704" header="0" footer="0"/>
  <pageSetup scale="98" orientation="portrait" r:id="rId1"/>
  <headerFooter alignWithMargins="0"/>
  <rowBreaks count="8" manualBreakCount="8">
    <brk id="60" max="1" man="1"/>
    <brk id="107" max="1" man="1"/>
    <brk id="157" max="1" man="1"/>
    <brk id="208" max="1" man="1"/>
    <brk id="257" max="1" man="1"/>
    <brk id="309" max="1" man="1"/>
    <brk id="358" max="1" man="1"/>
    <brk id="405" max="1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9"/>
  <sheetViews>
    <sheetView showGridLines="0" workbookViewId="0">
      <selection activeCell="E25" sqref="E25"/>
    </sheetView>
  </sheetViews>
  <sheetFormatPr baseColWidth="10" defaultColWidth="11.42578125" defaultRowHeight="12.75"/>
  <cols>
    <col min="1" max="1" width="2.42578125" customWidth="1"/>
    <col min="2" max="2" width="27.5703125" customWidth="1"/>
    <col min="3" max="3" width="21.5703125" customWidth="1"/>
  </cols>
  <sheetData>
    <row r="1" spans="1:3" ht="13.5">
      <c r="A1" s="28"/>
      <c r="B1" s="27"/>
    </row>
    <row r="2" spans="1:3" ht="13.5">
      <c r="A2" s="375" t="s">
        <v>228</v>
      </c>
      <c r="B2" s="375"/>
      <c r="C2" s="375"/>
    </row>
    <row r="3" spans="1:3" ht="13.5">
      <c r="A3" s="376" t="s">
        <v>17</v>
      </c>
      <c r="B3" s="376"/>
      <c r="C3" s="376"/>
    </row>
    <row r="4" spans="1:3" ht="13.5">
      <c r="A4" s="376" t="s">
        <v>378</v>
      </c>
      <c r="B4" s="376"/>
      <c r="C4" s="376"/>
    </row>
    <row r="5" spans="1:3" ht="13.5">
      <c r="A5" s="376" t="s">
        <v>461</v>
      </c>
      <c r="B5" s="376"/>
      <c r="C5" s="376"/>
    </row>
    <row r="6" spans="1:3" ht="13.5">
      <c r="A6" s="28"/>
      <c r="B6" s="27"/>
    </row>
    <row r="7" spans="1:3" ht="12.75" customHeight="1">
      <c r="A7" s="379" t="s">
        <v>377</v>
      </c>
      <c r="B7" s="379"/>
      <c r="C7" s="379" t="s">
        <v>19</v>
      </c>
    </row>
    <row r="8" spans="1:3">
      <c r="A8" s="380"/>
      <c r="B8" s="380"/>
      <c r="C8" s="380"/>
    </row>
    <row r="9" spans="1:3" ht="5.0999999999999996" customHeight="1"/>
    <row r="10" spans="1:3" ht="13.5">
      <c r="A10" s="370" t="s">
        <v>61</v>
      </c>
      <c r="B10" s="370"/>
      <c r="C10" s="254">
        <v>121159</v>
      </c>
    </row>
    <row r="11" spans="1:3" ht="5.0999999999999996" customHeight="1">
      <c r="A11" s="366"/>
      <c r="B11" s="366"/>
      <c r="C11" s="255"/>
    </row>
    <row r="12" spans="1:3" ht="13.5">
      <c r="A12" s="366"/>
      <c r="B12" s="366" t="s">
        <v>63</v>
      </c>
      <c r="C12" s="255">
        <v>16743</v>
      </c>
    </row>
    <row r="13" spans="1:3" ht="13.5">
      <c r="A13" s="366"/>
      <c r="B13" s="366" t="s">
        <v>64</v>
      </c>
      <c r="C13" s="255">
        <v>39008</v>
      </c>
    </row>
    <row r="14" spans="1:3" ht="13.5">
      <c r="A14" s="366"/>
      <c r="B14" s="366" t="s">
        <v>65</v>
      </c>
      <c r="C14" s="255">
        <v>33094</v>
      </c>
    </row>
    <row r="15" spans="1:3" ht="13.5">
      <c r="A15" s="366"/>
      <c r="B15" s="366" t="s">
        <v>66</v>
      </c>
      <c r="C15" s="255">
        <v>20860</v>
      </c>
    </row>
    <row r="16" spans="1:3" ht="13.5">
      <c r="A16" s="366"/>
      <c r="B16" s="366" t="s">
        <v>67</v>
      </c>
      <c r="C16" s="255">
        <v>8512</v>
      </c>
    </row>
    <row r="17" spans="1:3" ht="13.5">
      <c r="A17" s="366"/>
      <c r="B17" s="366" t="s">
        <v>68</v>
      </c>
      <c r="C17" s="255">
        <v>1788</v>
      </c>
    </row>
    <row r="18" spans="1:3" ht="13.5">
      <c r="A18" s="366"/>
      <c r="B18" s="366" t="s">
        <v>69</v>
      </c>
      <c r="C18" s="255">
        <v>144</v>
      </c>
    </row>
    <row r="19" spans="1:3" ht="13.5">
      <c r="A19" s="366"/>
      <c r="B19" s="366" t="s">
        <v>70</v>
      </c>
      <c r="C19" s="255">
        <v>30</v>
      </c>
    </row>
    <row r="20" spans="1:3" ht="13.5">
      <c r="A20" s="366"/>
      <c r="B20" s="366" t="s">
        <v>45</v>
      </c>
      <c r="C20" s="255">
        <v>980</v>
      </c>
    </row>
    <row r="21" spans="1:3" ht="5.0999999999999996" customHeight="1">
      <c r="A21" s="366"/>
      <c r="B21" s="366"/>
      <c r="C21" s="255"/>
    </row>
    <row r="22" spans="1:3" ht="13.5">
      <c r="A22" s="370" t="s">
        <v>41</v>
      </c>
      <c r="B22" s="370"/>
      <c r="C22" s="254">
        <v>99273</v>
      </c>
    </row>
    <row r="23" spans="1:3" ht="5.0999999999999996" customHeight="1">
      <c r="A23" s="366"/>
      <c r="B23" s="366"/>
      <c r="C23" s="255"/>
    </row>
    <row r="24" spans="1:3" ht="13.5">
      <c r="A24" s="366"/>
      <c r="B24" s="366" t="s">
        <v>63</v>
      </c>
      <c r="C24" s="255">
        <v>13242</v>
      </c>
    </row>
    <row r="25" spans="1:3" ht="13.5">
      <c r="A25" s="366"/>
      <c r="B25" s="366" t="s">
        <v>64</v>
      </c>
      <c r="C25" s="255">
        <v>31277</v>
      </c>
    </row>
    <row r="26" spans="1:3" ht="13.5">
      <c r="A26" s="366"/>
      <c r="B26" s="366" t="s">
        <v>65</v>
      </c>
      <c r="C26" s="255">
        <v>27459</v>
      </c>
    </row>
    <row r="27" spans="1:3" ht="13.5">
      <c r="A27" s="366"/>
      <c r="B27" s="366" t="s">
        <v>66</v>
      </c>
      <c r="C27" s="255">
        <v>17778</v>
      </c>
    </row>
    <row r="28" spans="1:3" ht="13.5">
      <c r="A28" s="366"/>
      <c r="B28" s="366" t="s">
        <v>67</v>
      </c>
      <c r="C28" s="255">
        <v>7316</v>
      </c>
    </row>
    <row r="29" spans="1:3" ht="13.5">
      <c r="A29" s="366"/>
      <c r="B29" s="366" t="s">
        <v>68</v>
      </c>
      <c r="C29" s="255">
        <v>1518</v>
      </c>
    </row>
    <row r="30" spans="1:3" ht="13.5">
      <c r="A30" s="366"/>
      <c r="B30" s="366" t="s">
        <v>69</v>
      </c>
      <c r="C30" s="255">
        <v>118</v>
      </c>
    </row>
    <row r="31" spans="1:3" ht="13.5">
      <c r="A31" s="366"/>
      <c r="B31" s="366" t="s">
        <v>70</v>
      </c>
      <c r="C31" s="255">
        <v>25</v>
      </c>
    </row>
    <row r="32" spans="1:3" ht="13.5">
      <c r="A32" s="366"/>
      <c r="B32" s="366" t="s">
        <v>45</v>
      </c>
      <c r="C32" s="255">
        <v>540</v>
      </c>
    </row>
    <row r="33" spans="1:3" ht="5.0999999999999996" customHeight="1">
      <c r="A33" s="366"/>
      <c r="B33" s="366"/>
      <c r="C33" s="255"/>
    </row>
    <row r="34" spans="1:3" ht="13.5">
      <c r="A34" s="370" t="s">
        <v>42</v>
      </c>
      <c r="B34" s="370"/>
      <c r="C34" s="254">
        <v>20578</v>
      </c>
    </row>
    <row r="35" spans="1:3" ht="5.0999999999999996" customHeight="1">
      <c r="A35" s="366"/>
      <c r="B35" s="366"/>
      <c r="C35" s="255"/>
    </row>
    <row r="36" spans="1:3" ht="13.5">
      <c r="A36" s="366"/>
      <c r="B36" s="366" t="s">
        <v>63</v>
      </c>
      <c r="C36" s="255">
        <v>3399</v>
      </c>
    </row>
    <row r="37" spans="1:3" ht="13.5">
      <c r="A37" s="366"/>
      <c r="B37" s="366" t="s">
        <v>64</v>
      </c>
      <c r="C37" s="255">
        <v>7446</v>
      </c>
    </row>
    <row r="38" spans="1:3" ht="13.5">
      <c r="A38" s="366"/>
      <c r="B38" s="366" t="s">
        <v>65</v>
      </c>
      <c r="C38" s="255">
        <v>5295</v>
      </c>
    </row>
    <row r="39" spans="1:3" ht="13.5">
      <c r="A39" s="366"/>
      <c r="B39" s="366" t="s">
        <v>66</v>
      </c>
      <c r="C39" s="255">
        <v>2823</v>
      </c>
    </row>
    <row r="40" spans="1:3" ht="13.5">
      <c r="A40" s="366"/>
      <c r="B40" s="366" t="s">
        <v>67</v>
      </c>
      <c r="C40" s="255">
        <v>1077</v>
      </c>
    </row>
    <row r="41" spans="1:3" ht="13.5">
      <c r="A41" s="366"/>
      <c r="B41" s="366" t="s">
        <v>68</v>
      </c>
      <c r="C41" s="255">
        <v>238</v>
      </c>
    </row>
    <row r="42" spans="1:3" ht="13.5">
      <c r="A42" s="366"/>
      <c r="B42" s="366" t="s">
        <v>69</v>
      </c>
      <c r="C42" s="255">
        <v>24</v>
      </c>
    </row>
    <row r="43" spans="1:3" ht="13.5">
      <c r="A43" s="366"/>
      <c r="B43" s="366" t="s">
        <v>70</v>
      </c>
      <c r="C43" s="255">
        <v>5</v>
      </c>
    </row>
    <row r="44" spans="1:3" ht="13.5">
      <c r="A44" s="366"/>
      <c r="B44" s="366" t="s">
        <v>45</v>
      </c>
      <c r="C44" s="255">
        <v>271</v>
      </c>
    </row>
    <row r="45" spans="1:3" ht="5.0999999999999996" customHeight="1">
      <c r="A45" s="366"/>
      <c r="B45" s="366"/>
      <c r="C45" s="255"/>
    </row>
    <row r="46" spans="1:3" ht="13.5">
      <c r="A46" s="370" t="s">
        <v>33</v>
      </c>
      <c r="B46" s="370"/>
      <c r="C46" s="254">
        <v>1308</v>
      </c>
    </row>
    <row r="47" spans="1:3" ht="5.0999999999999996" customHeight="1">
      <c r="A47" s="366"/>
      <c r="B47" s="366"/>
      <c r="C47" s="255"/>
    </row>
    <row r="48" spans="1:3" ht="13.5">
      <c r="A48" s="366"/>
      <c r="B48" s="366" t="s">
        <v>63</v>
      </c>
      <c r="C48" s="255">
        <v>102</v>
      </c>
    </row>
    <row r="49" spans="1:3" ht="13.5">
      <c r="A49" s="366"/>
      <c r="B49" s="366" t="s">
        <v>64</v>
      </c>
      <c r="C49" s="255">
        <v>285</v>
      </c>
    </row>
    <row r="50" spans="1:3" ht="13.5">
      <c r="A50" s="366"/>
      <c r="B50" s="366" t="s">
        <v>65</v>
      </c>
      <c r="C50" s="255">
        <v>340</v>
      </c>
    </row>
    <row r="51" spans="1:3" ht="13.5">
      <c r="A51" s="366"/>
      <c r="B51" s="366" t="s">
        <v>66</v>
      </c>
      <c r="C51" s="255">
        <v>259</v>
      </c>
    </row>
    <row r="52" spans="1:3" ht="13.5">
      <c r="A52" s="366"/>
      <c r="B52" s="366" t="s">
        <v>67</v>
      </c>
      <c r="C52" s="255">
        <v>119</v>
      </c>
    </row>
    <row r="53" spans="1:3" ht="13.5">
      <c r="A53" s="366"/>
      <c r="B53" s="366" t="s">
        <v>68</v>
      </c>
      <c r="C53" s="255">
        <v>32</v>
      </c>
    </row>
    <row r="54" spans="1:3" ht="13.5">
      <c r="A54" s="367"/>
      <c r="B54" s="367" t="s">
        <v>69</v>
      </c>
      <c r="C54" s="369">
        <v>2</v>
      </c>
    </row>
    <row r="55" spans="1:3" ht="13.5">
      <c r="A55" s="367"/>
      <c r="B55" s="367" t="s">
        <v>45</v>
      </c>
      <c r="C55" s="369">
        <v>169</v>
      </c>
    </row>
    <row r="56" spans="1:3" ht="5.0999999999999996" customHeight="1">
      <c r="A56" s="220"/>
      <c r="B56" s="220"/>
      <c r="C56" s="220"/>
    </row>
    <row r="57" spans="1:3" ht="5.0999999999999996" customHeight="1"/>
    <row r="58" spans="1:3">
      <c r="A58" s="57" t="s">
        <v>319</v>
      </c>
    </row>
    <row r="59" spans="1:3">
      <c r="A59" s="58" t="s">
        <v>375</v>
      </c>
    </row>
  </sheetData>
  <mergeCells count="6">
    <mergeCell ref="A7:B8"/>
    <mergeCell ref="C7:C8"/>
    <mergeCell ref="A3:C3"/>
    <mergeCell ref="A2:C2"/>
    <mergeCell ref="A4:C4"/>
    <mergeCell ref="A5:C5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2:G1917"/>
  <sheetViews>
    <sheetView showGridLines="0" zoomScaleNormal="100" zoomScaleSheetLayoutView="100" workbookViewId="0">
      <selection activeCell="E34" sqref="E34"/>
    </sheetView>
  </sheetViews>
  <sheetFormatPr baseColWidth="10" defaultColWidth="9.140625" defaultRowHeight="12.75" customHeight="1"/>
  <cols>
    <col min="1" max="1" width="39.140625" style="66" customWidth="1"/>
    <col min="2" max="2" width="20.42578125" style="253" customWidth="1"/>
    <col min="3" max="3" width="16.42578125" style="65" customWidth="1"/>
    <col min="4" max="4" width="17.42578125" style="65" customWidth="1"/>
    <col min="5" max="5" width="15" style="65" customWidth="1"/>
    <col min="6" max="6" width="13.85546875" style="65" customWidth="1"/>
    <col min="7" max="16384" width="9.140625" style="65"/>
  </cols>
  <sheetData>
    <row r="2" spans="1:4" ht="11.25" customHeight="1">
      <c r="A2" s="399" t="s">
        <v>229</v>
      </c>
      <c r="B2" s="399"/>
      <c r="C2" s="64"/>
    </row>
    <row r="3" spans="1:4" ht="11.25" customHeight="1">
      <c r="A3" s="400" t="s">
        <v>17</v>
      </c>
      <c r="B3" s="400"/>
      <c r="C3" s="66"/>
    </row>
    <row r="4" spans="1:4" ht="11.25" customHeight="1">
      <c r="A4" s="400" t="s">
        <v>230</v>
      </c>
      <c r="B4" s="400"/>
      <c r="C4" s="66"/>
    </row>
    <row r="5" spans="1:4" ht="11.25" customHeight="1">
      <c r="A5" s="400" t="s">
        <v>462</v>
      </c>
      <c r="B5" s="400"/>
      <c r="C5" s="66"/>
    </row>
    <row r="6" spans="1:4" ht="11.25" customHeight="1">
      <c r="A6" s="64"/>
      <c r="B6" s="250"/>
    </row>
    <row r="7" spans="1:4" ht="14.1" customHeight="1">
      <c r="A7" s="407" t="s">
        <v>379</v>
      </c>
      <c r="B7" s="409" t="s">
        <v>19</v>
      </c>
    </row>
    <row r="8" spans="1:4" ht="14.1" customHeight="1">
      <c r="A8" s="408"/>
      <c r="B8" s="410"/>
    </row>
    <row r="9" spans="1:4" ht="5.0999999999999996" customHeight="1">
      <c r="A9" s="64"/>
      <c r="B9" s="250"/>
      <c r="D9" s="70"/>
    </row>
    <row r="10" spans="1:4" s="70" customFormat="1" ht="12.75" customHeight="1">
      <c r="A10" s="292" t="s">
        <v>571</v>
      </c>
      <c r="B10" s="254">
        <v>121159</v>
      </c>
      <c r="C10" s="69"/>
      <c r="D10" s="364"/>
    </row>
    <row r="11" spans="1:4" ht="5.0999999999999996" customHeight="1">
      <c r="A11" s="207"/>
      <c r="B11" s="255"/>
    </row>
    <row r="12" spans="1:4" ht="12.75" customHeight="1">
      <c r="A12" s="207" t="s">
        <v>63</v>
      </c>
      <c r="B12" s="255">
        <v>16743</v>
      </c>
    </row>
    <row r="13" spans="1:4" ht="12.75" customHeight="1">
      <c r="A13" s="36" t="s">
        <v>64</v>
      </c>
      <c r="B13" s="255">
        <v>39008</v>
      </c>
    </row>
    <row r="14" spans="1:4" ht="12.75" customHeight="1">
      <c r="A14" s="36" t="s">
        <v>65</v>
      </c>
      <c r="B14" s="255">
        <v>33094</v>
      </c>
    </row>
    <row r="15" spans="1:4" ht="12.75" customHeight="1">
      <c r="A15" s="36" t="s">
        <v>66</v>
      </c>
      <c r="B15" s="255">
        <v>20860</v>
      </c>
    </row>
    <row r="16" spans="1:4" ht="12.75" customHeight="1">
      <c r="A16" s="36" t="s">
        <v>67</v>
      </c>
      <c r="B16" s="255">
        <v>8512</v>
      </c>
    </row>
    <row r="17" spans="1:2" ht="12.75" customHeight="1">
      <c r="A17" s="36" t="s">
        <v>68</v>
      </c>
      <c r="B17" s="255">
        <v>1788</v>
      </c>
    </row>
    <row r="18" spans="1:2" ht="12.75" customHeight="1">
      <c r="A18" s="36" t="s">
        <v>69</v>
      </c>
      <c r="B18" s="255">
        <v>144</v>
      </c>
    </row>
    <row r="19" spans="1:2" ht="12.75" customHeight="1">
      <c r="A19" s="36" t="s">
        <v>70</v>
      </c>
      <c r="B19" s="255">
        <v>30</v>
      </c>
    </row>
    <row r="20" spans="1:2" ht="12.75" customHeight="1">
      <c r="A20" s="36" t="s">
        <v>45</v>
      </c>
      <c r="B20" s="255">
        <v>980</v>
      </c>
    </row>
    <row r="21" spans="1:2" ht="5.0999999999999996" customHeight="1">
      <c r="A21" s="36"/>
      <c r="B21" s="255"/>
    </row>
    <row r="22" spans="1:2" ht="12.75" customHeight="1">
      <c r="A22" s="206" t="s">
        <v>41</v>
      </c>
      <c r="B22" s="254">
        <v>99272</v>
      </c>
    </row>
    <row r="23" spans="1:2" ht="5.0999999999999996" customHeight="1">
      <c r="A23" s="207"/>
      <c r="B23" s="255"/>
    </row>
    <row r="24" spans="1:2" ht="12.75" customHeight="1">
      <c r="A24" s="36" t="s">
        <v>63</v>
      </c>
      <c r="B24" s="255">
        <v>13242</v>
      </c>
    </row>
    <row r="25" spans="1:2" ht="12.75" customHeight="1">
      <c r="A25" s="207" t="s">
        <v>64</v>
      </c>
      <c r="B25" s="255">
        <v>31276</v>
      </c>
    </row>
    <row r="26" spans="1:2" ht="12.75" customHeight="1">
      <c r="A26" s="207" t="s">
        <v>65</v>
      </c>
      <c r="B26" s="255">
        <v>27459</v>
      </c>
    </row>
    <row r="27" spans="1:2" ht="12.75" customHeight="1">
      <c r="A27" s="207" t="s">
        <v>66</v>
      </c>
      <c r="B27" s="255">
        <v>17778</v>
      </c>
    </row>
    <row r="28" spans="1:2" ht="12.75" customHeight="1">
      <c r="A28" s="36" t="s">
        <v>67</v>
      </c>
      <c r="B28" s="255">
        <v>7316</v>
      </c>
    </row>
    <row r="29" spans="1:2" ht="12.75" customHeight="1">
      <c r="A29" s="36" t="s">
        <v>68</v>
      </c>
      <c r="B29" s="255">
        <v>1518</v>
      </c>
    </row>
    <row r="30" spans="1:2" ht="12.75" customHeight="1">
      <c r="A30" s="36" t="s">
        <v>69</v>
      </c>
      <c r="B30" s="255">
        <v>118</v>
      </c>
    </row>
    <row r="31" spans="1:2" ht="12.75" customHeight="1">
      <c r="A31" s="36" t="s">
        <v>70</v>
      </c>
      <c r="B31" s="255">
        <v>25</v>
      </c>
    </row>
    <row r="32" spans="1:2" ht="12.75" customHeight="1">
      <c r="A32" s="36" t="s">
        <v>45</v>
      </c>
      <c r="B32" s="255">
        <v>540</v>
      </c>
    </row>
    <row r="33" spans="1:2" ht="5.0999999999999996" customHeight="1">
      <c r="A33" s="36"/>
      <c r="B33" s="255"/>
    </row>
    <row r="34" spans="1:2" ht="12.75" customHeight="1">
      <c r="A34" s="206" t="s">
        <v>42</v>
      </c>
      <c r="B34" s="254">
        <v>20579</v>
      </c>
    </row>
    <row r="35" spans="1:2" ht="5.0999999999999996" customHeight="1">
      <c r="A35" s="207"/>
      <c r="B35" s="255"/>
    </row>
    <row r="36" spans="1:2" s="70" customFormat="1" ht="12.75" customHeight="1">
      <c r="A36" s="36" t="s">
        <v>63</v>
      </c>
      <c r="B36" s="255">
        <v>3399</v>
      </c>
    </row>
    <row r="37" spans="1:2" ht="12.75" customHeight="1">
      <c r="A37" s="36" t="s">
        <v>64</v>
      </c>
      <c r="B37" s="255">
        <v>7447</v>
      </c>
    </row>
    <row r="38" spans="1:2" ht="12.75" customHeight="1">
      <c r="A38" s="36" t="s">
        <v>65</v>
      </c>
      <c r="B38" s="255">
        <v>5295</v>
      </c>
    </row>
    <row r="39" spans="1:2" ht="12.75" customHeight="1">
      <c r="A39" s="36" t="s">
        <v>66</v>
      </c>
      <c r="B39" s="255">
        <v>2823</v>
      </c>
    </row>
    <row r="40" spans="1:2" ht="12.75" customHeight="1">
      <c r="A40" s="207" t="s">
        <v>67</v>
      </c>
      <c r="B40" s="255">
        <v>1077</v>
      </c>
    </row>
    <row r="41" spans="1:2" ht="12.75" customHeight="1">
      <c r="A41" s="207" t="s">
        <v>68</v>
      </c>
      <c r="B41" s="255">
        <v>238</v>
      </c>
    </row>
    <row r="42" spans="1:2" ht="12.75" customHeight="1">
      <c r="A42" s="207" t="s">
        <v>69</v>
      </c>
      <c r="B42" s="255">
        <v>24</v>
      </c>
    </row>
    <row r="43" spans="1:2" ht="12.75" customHeight="1">
      <c r="A43" s="207" t="s">
        <v>70</v>
      </c>
      <c r="B43" s="255">
        <v>5</v>
      </c>
    </row>
    <row r="44" spans="1:2" ht="12.75" customHeight="1">
      <c r="A44" s="207" t="s">
        <v>45</v>
      </c>
      <c r="B44" s="255">
        <v>271</v>
      </c>
    </row>
    <row r="45" spans="1:2" ht="5.0999999999999996" customHeight="1">
      <c r="A45" s="207"/>
      <c r="B45" s="255"/>
    </row>
    <row r="46" spans="1:2" ht="12.75" customHeight="1">
      <c r="A46" s="206" t="s">
        <v>45</v>
      </c>
      <c r="B46" s="254">
        <v>1308</v>
      </c>
    </row>
    <row r="47" spans="1:2" ht="5.0999999999999996" customHeight="1">
      <c r="A47" s="207"/>
      <c r="B47" s="255"/>
    </row>
    <row r="48" spans="1:2" ht="12.75" customHeight="1">
      <c r="A48" s="207" t="s">
        <v>63</v>
      </c>
      <c r="B48" s="255">
        <v>102</v>
      </c>
    </row>
    <row r="49" spans="1:7" ht="12.75" customHeight="1">
      <c r="A49" s="207" t="s">
        <v>64</v>
      </c>
      <c r="B49" s="255">
        <v>285</v>
      </c>
    </row>
    <row r="50" spans="1:7" s="70" customFormat="1" ht="12.75" customHeight="1">
      <c r="A50" s="207" t="s">
        <v>65</v>
      </c>
      <c r="B50" s="255">
        <v>340</v>
      </c>
    </row>
    <row r="51" spans="1:7" ht="12.75" customHeight="1">
      <c r="A51" s="207" t="s">
        <v>66</v>
      </c>
      <c r="B51" s="255">
        <v>259</v>
      </c>
    </row>
    <row r="52" spans="1:7" ht="12.75" customHeight="1">
      <c r="A52" s="207" t="s">
        <v>67</v>
      </c>
      <c r="B52" s="255">
        <v>119</v>
      </c>
    </row>
    <row r="53" spans="1:7" ht="12.75" customHeight="1">
      <c r="A53" s="207" t="s">
        <v>68</v>
      </c>
      <c r="B53" s="255">
        <v>32</v>
      </c>
    </row>
    <row r="54" spans="1:7" ht="12.75" customHeight="1">
      <c r="A54" s="207" t="s">
        <v>69</v>
      </c>
      <c r="B54" s="255">
        <v>2</v>
      </c>
    </row>
    <row r="55" spans="1:7" ht="12.75" customHeight="1">
      <c r="A55" s="207" t="s">
        <v>45</v>
      </c>
      <c r="B55" s="255">
        <v>169</v>
      </c>
    </row>
    <row r="56" spans="1:7" ht="5.0999999999999996" customHeight="1">
      <c r="A56" s="207"/>
      <c r="B56" s="255"/>
    </row>
    <row r="57" spans="1:7" ht="12.75" customHeight="1">
      <c r="A57" s="206" t="s">
        <v>76</v>
      </c>
      <c r="B57" s="254">
        <v>18137</v>
      </c>
    </row>
    <row r="58" spans="1:7" ht="5.0999999999999996" customHeight="1">
      <c r="A58" s="207"/>
      <c r="B58" s="255"/>
    </row>
    <row r="59" spans="1:7" ht="12.75" customHeight="1">
      <c r="A59" s="207" t="s">
        <v>63</v>
      </c>
      <c r="B59" s="255">
        <v>1647</v>
      </c>
    </row>
    <row r="60" spans="1:7" ht="12.75" customHeight="1">
      <c r="A60" s="207" t="s">
        <v>64</v>
      </c>
      <c r="B60" s="255">
        <v>4698</v>
      </c>
    </row>
    <row r="61" spans="1:7" ht="12.75" customHeight="1">
      <c r="A61" s="207" t="s">
        <v>65</v>
      </c>
      <c r="B61" s="255">
        <v>5268</v>
      </c>
    </row>
    <row r="62" spans="1:7" ht="12.75" customHeight="1">
      <c r="A62" s="207" t="s">
        <v>66</v>
      </c>
      <c r="B62" s="255">
        <v>4243</v>
      </c>
    </row>
    <row r="63" spans="1:7" ht="12.75" customHeight="1">
      <c r="A63" s="207" t="s">
        <v>67</v>
      </c>
      <c r="B63" s="255">
        <v>1817</v>
      </c>
    </row>
    <row r="64" spans="1:7" s="70" customFormat="1" ht="12.75" customHeight="1">
      <c r="A64" s="207" t="s">
        <v>68</v>
      </c>
      <c r="B64" s="255">
        <v>403</v>
      </c>
      <c r="E64" s="205"/>
      <c r="F64" s="68"/>
      <c r="G64" s="205"/>
    </row>
    <row r="65" spans="1:7" ht="12.75" customHeight="1">
      <c r="A65" s="207" t="s">
        <v>69</v>
      </c>
      <c r="B65" s="255">
        <v>28</v>
      </c>
      <c r="E65"/>
      <c r="F65" s="72"/>
      <c r="G65"/>
    </row>
    <row r="66" spans="1:7" ht="12.75" customHeight="1">
      <c r="A66" s="207" t="s">
        <v>70</v>
      </c>
      <c r="B66" s="255">
        <v>6</v>
      </c>
      <c r="E66"/>
      <c r="F66" s="72"/>
      <c r="G66"/>
    </row>
    <row r="67" spans="1:7" ht="12.75" customHeight="1">
      <c r="A67" s="207" t="s">
        <v>45</v>
      </c>
      <c r="B67" s="255">
        <v>27</v>
      </c>
      <c r="E67"/>
      <c r="F67" s="72"/>
      <c r="G67"/>
    </row>
    <row r="68" spans="1:7" ht="5.0999999999999996" customHeight="1">
      <c r="A68" s="207"/>
      <c r="B68" s="255"/>
      <c r="E68"/>
      <c r="F68" s="72"/>
      <c r="G68"/>
    </row>
    <row r="69" spans="1:7" ht="12.75" customHeight="1">
      <c r="A69" s="206" t="s">
        <v>41</v>
      </c>
      <c r="B69" s="254">
        <v>18136</v>
      </c>
      <c r="E69"/>
      <c r="F69" s="72"/>
      <c r="G69"/>
    </row>
    <row r="70" spans="1:7" ht="5.0999999999999996" customHeight="1">
      <c r="A70" s="207"/>
      <c r="B70" s="255"/>
    </row>
    <row r="71" spans="1:7" ht="12.75" customHeight="1">
      <c r="A71" s="207" t="s">
        <v>63</v>
      </c>
      <c r="B71" s="255">
        <v>1647</v>
      </c>
      <c r="E71"/>
      <c r="F71" s="72"/>
      <c r="G71"/>
    </row>
    <row r="72" spans="1:7" ht="12.75" customHeight="1">
      <c r="A72" s="207" t="s">
        <v>64</v>
      </c>
      <c r="B72" s="255">
        <v>4698</v>
      </c>
      <c r="E72"/>
      <c r="F72" s="72"/>
      <c r="G72"/>
    </row>
    <row r="73" spans="1:7" ht="12.75" customHeight="1">
      <c r="A73" s="207" t="s">
        <v>65</v>
      </c>
      <c r="B73" s="255">
        <v>5268</v>
      </c>
      <c r="E73"/>
      <c r="F73" s="72"/>
      <c r="G73"/>
    </row>
    <row r="74" spans="1:7" ht="12.75" customHeight="1">
      <c r="A74" s="207" t="s">
        <v>66</v>
      </c>
      <c r="B74" s="255">
        <v>4243</v>
      </c>
      <c r="E74"/>
      <c r="F74" s="72"/>
      <c r="G74"/>
    </row>
    <row r="75" spans="1:7" ht="12.75" customHeight="1">
      <c r="A75" s="207" t="s">
        <v>67</v>
      </c>
      <c r="B75" s="255">
        <v>1817</v>
      </c>
      <c r="E75" s="205"/>
      <c r="G75" s="205"/>
    </row>
    <row r="76" spans="1:7" ht="12.75" customHeight="1">
      <c r="A76" s="207" t="s">
        <v>68</v>
      </c>
      <c r="B76" s="255">
        <v>403</v>
      </c>
      <c r="E76"/>
      <c r="G76"/>
    </row>
    <row r="77" spans="1:7" ht="12.75" customHeight="1">
      <c r="A77" s="207" t="s">
        <v>69</v>
      </c>
      <c r="B77" s="255">
        <v>28</v>
      </c>
      <c r="E77"/>
      <c r="G77"/>
    </row>
    <row r="78" spans="1:7" s="70" customFormat="1" ht="12.75" customHeight="1">
      <c r="A78" s="207" t="s">
        <v>70</v>
      </c>
      <c r="B78" s="255">
        <v>6</v>
      </c>
      <c r="E78"/>
      <c r="G78"/>
    </row>
    <row r="79" spans="1:7" ht="12.75" customHeight="1">
      <c r="A79" s="207" t="s">
        <v>45</v>
      </c>
      <c r="B79" s="255">
        <v>27</v>
      </c>
      <c r="E79"/>
      <c r="G79"/>
    </row>
    <row r="80" spans="1:7" ht="5.0999999999999996" customHeight="1">
      <c r="A80" s="207"/>
      <c r="B80" s="255"/>
      <c r="E80"/>
      <c r="G80"/>
    </row>
    <row r="81" spans="1:7" ht="12.75" customHeight="1">
      <c r="A81" s="206" t="s">
        <v>77</v>
      </c>
      <c r="B81" s="254">
        <v>3592</v>
      </c>
    </row>
    <row r="82" spans="1:7" ht="5.0999999999999996" customHeight="1">
      <c r="A82" s="207"/>
      <c r="B82" s="255"/>
      <c r="E82"/>
      <c r="G82"/>
    </row>
    <row r="83" spans="1:7" ht="12.75" customHeight="1">
      <c r="A83" s="207" t="s">
        <v>63</v>
      </c>
      <c r="B83" s="255">
        <v>865</v>
      </c>
      <c r="E83"/>
      <c r="G83"/>
    </row>
    <row r="84" spans="1:7" ht="12.75" customHeight="1">
      <c r="A84" s="207" t="s">
        <v>64</v>
      </c>
      <c r="B84" s="255">
        <v>1159</v>
      </c>
      <c r="E84"/>
      <c r="G84"/>
    </row>
    <row r="85" spans="1:7" ht="12.75" customHeight="1">
      <c r="A85" s="207" t="s">
        <v>65</v>
      </c>
      <c r="B85" s="255">
        <v>828</v>
      </c>
      <c r="E85"/>
      <c r="G85"/>
    </row>
    <row r="86" spans="1:7" ht="12.75" customHeight="1">
      <c r="A86" s="207" t="s">
        <v>66</v>
      </c>
      <c r="B86" s="255">
        <v>399</v>
      </c>
      <c r="E86" s="205"/>
      <c r="G86" s="205"/>
    </row>
    <row r="87" spans="1:7" ht="12.75" customHeight="1">
      <c r="A87" s="207" t="s">
        <v>67</v>
      </c>
      <c r="B87" s="255">
        <v>145</v>
      </c>
      <c r="E87"/>
      <c r="G87"/>
    </row>
    <row r="88" spans="1:7" ht="12.75" customHeight="1">
      <c r="A88" s="207" t="s">
        <v>68</v>
      </c>
      <c r="B88" s="255">
        <v>28</v>
      </c>
      <c r="E88"/>
      <c r="G88"/>
    </row>
    <row r="89" spans="1:7" ht="12.75" customHeight="1">
      <c r="A89" s="207" t="s">
        <v>69</v>
      </c>
      <c r="B89" s="255">
        <v>2</v>
      </c>
      <c r="E89"/>
      <c r="G89"/>
    </row>
    <row r="90" spans="1:7" ht="12.75" customHeight="1">
      <c r="A90" s="207" t="s">
        <v>70</v>
      </c>
      <c r="B90" s="255">
        <v>2</v>
      </c>
      <c r="E90"/>
      <c r="G90"/>
    </row>
    <row r="91" spans="1:7" ht="12.75" customHeight="1">
      <c r="A91" s="207" t="s">
        <v>45</v>
      </c>
      <c r="B91" s="255">
        <v>164</v>
      </c>
      <c r="E91"/>
      <c r="G91"/>
    </row>
    <row r="92" spans="1:7" ht="5.0999999999999996" customHeight="1">
      <c r="A92" s="207"/>
      <c r="B92" s="255"/>
    </row>
    <row r="93" spans="1:7" s="70" customFormat="1" ht="12.75" customHeight="1">
      <c r="A93" s="206" t="s">
        <v>41</v>
      </c>
      <c r="B93" s="254">
        <v>3141</v>
      </c>
      <c r="E93"/>
      <c r="G93"/>
    </row>
    <row r="94" spans="1:7" ht="5.0999999999999996" customHeight="1">
      <c r="A94" s="207"/>
      <c r="B94" s="255"/>
      <c r="E94"/>
      <c r="G94"/>
    </row>
    <row r="95" spans="1:7" ht="12.75" customHeight="1">
      <c r="A95" s="207" t="s">
        <v>63</v>
      </c>
      <c r="B95" s="255">
        <v>755</v>
      </c>
      <c r="E95"/>
      <c r="G95"/>
    </row>
    <row r="96" spans="1:7" ht="12.75" customHeight="1">
      <c r="A96" s="207" t="s">
        <v>64</v>
      </c>
      <c r="B96" s="255">
        <v>1015</v>
      </c>
      <c r="E96"/>
      <c r="G96"/>
    </row>
    <row r="97" spans="1:7" ht="12.75" customHeight="1">
      <c r="A97" s="207" t="s">
        <v>65</v>
      </c>
      <c r="B97" s="255">
        <v>717</v>
      </c>
      <c r="E97" s="205"/>
      <c r="G97" s="205"/>
    </row>
    <row r="98" spans="1:7" ht="12.75" customHeight="1">
      <c r="A98" s="207" t="s">
        <v>66</v>
      </c>
      <c r="B98" s="255">
        <v>357</v>
      </c>
      <c r="E98"/>
      <c r="G98"/>
    </row>
    <row r="99" spans="1:7" ht="12.75" customHeight="1">
      <c r="A99" s="207" t="s">
        <v>67</v>
      </c>
      <c r="B99" s="255">
        <v>123</v>
      </c>
      <c r="E99"/>
      <c r="G99"/>
    </row>
    <row r="100" spans="1:7" ht="12.75" customHeight="1">
      <c r="A100" s="207" t="s">
        <v>68</v>
      </c>
      <c r="B100" s="255">
        <v>25</v>
      </c>
      <c r="E100"/>
      <c r="G100"/>
    </row>
    <row r="101" spans="1:7" ht="12.75" customHeight="1">
      <c r="A101" s="207" t="s">
        <v>69</v>
      </c>
      <c r="B101" s="255">
        <v>1</v>
      </c>
    </row>
    <row r="102" spans="1:7" ht="12.75" customHeight="1">
      <c r="A102" s="207" t="s">
        <v>70</v>
      </c>
      <c r="B102" s="255">
        <v>2</v>
      </c>
      <c r="E102"/>
      <c r="G102"/>
    </row>
    <row r="103" spans="1:7" ht="12.75" customHeight="1">
      <c r="A103" s="207" t="s">
        <v>45</v>
      </c>
      <c r="B103" s="255">
        <v>146</v>
      </c>
      <c r="E103"/>
      <c r="G103"/>
    </row>
    <row r="104" spans="1:7" ht="5.0999999999999996" customHeight="1">
      <c r="A104" s="207"/>
      <c r="B104" s="255"/>
      <c r="E104"/>
      <c r="G104"/>
    </row>
    <row r="105" spans="1:7" ht="12.75" customHeight="1">
      <c r="A105" s="206" t="s">
        <v>42</v>
      </c>
      <c r="B105" s="254">
        <v>443</v>
      </c>
      <c r="E105"/>
      <c r="G105"/>
    </row>
    <row r="106" spans="1:7" ht="5.0999999999999996" customHeight="1">
      <c r="A106" s="207"/>
      <c r="B106" s="255"/>
      <c r="G106" s="205"/>
    </row>
    <row r="107" spans="1:7" s="70" customFormat="1" ht="12.75" customHeight="1">
      <c r="A107" s="207" t="s">
        <v>63</v>
      </c>
      <c r="B107" s="255">
        <v>105</v>
      </c>
      <c r="G107"/>
    </row>
    <row r="108" spans="1:7" ht="12.75" customHeight="1">
      <c r="A108" s="207" t="s">
        <v>64</v>
      </c>
      <c r="B108" s="255">
        <v>143</v>
      </c>
      <c r="G108"/>
    </row>
    <row r="109" spans="1:7" ht="12.75" customHeight="1">
      <c r="A109" s="207" t="s">
        <v>65</v>
      </c>
      <c r="B109" s="255">
        <v>110</v>
      </c>
      <c r="G109"/>
    </row>
    <row r="110" spans="1:7" ht="12.75" customHeight="1">
      <c r="A110" s="207" t="s">
        <v>66</v>
      </c>
      <c r="B110" s="255">
        <v>41</v>
      </c>
      <c r="G110"/>
    </row>
    <row r="111" spans="1:7" ht="12.75" customHeight="1">
      <c r="A111" s="207" t="s">
        <v>67</v>
      </c>
      <c r="B111" s="255">
        <v>22</v>
      </c>
      <c r="G111"/>
    </row>
    <row r="112" spans="1:7" ht="12.75" customHeight="1">
      <c r="A112" s="207" t="s">
        <v>68</v>
      </c>
      <c r="B112" s="255">
        <v>3</v>
      </c>
    </row>
    <row r="113" spans="1:7" ht="12.75" customHeight="1">
      <c r="A113" s="207" t="s">
        <v>69</v>
      </c>
      <c r="B113" s="255">
        <v>1</v>
      </c>
      <c r="G113"/>
    </row>
    <row r="114" spans="1:7" ht="12.75" customHeight="1">
      <c r="A114" s="207" t="s">
        <v>45</v>
      </c>
      <c r="B114" s="255">
        <v>18</v>
      </c>
      <c r="G114"/>
    </row>
    <row r="115" spans="1:7" ht="5.0999999999999996" customHeight="1">
      <c r="A115" s="207"/>
      <c r="B115" s="255"/>
      <c r="G115"/>
    </row>
    <row r="116" spans="1:7" ht="12.75" customHeight="1">
      <c r="A116" s="206" t="s">
        <v>45</v>
      </c>
      <c r="B116" s="254">
        <v>8</v>
      </c>
      <c r="G116"/>
    </row>
    <row r="117" spans="1:7" ht="5.0999999999999996" customHeight="1">
      <c r="A117" s="207"/>
      <c r="B117" s="255"/>
      <c r="G117" s="205"/>
    </row>
    <row r="118" spans="1:7" ht="12.75" customHeight="1">
      <c r="A118" s="207" t="s">
        <v>63</v>
      </c>
      <c r="B118" s="255">
        <v>5</v>
      </c>
      <c r="G118"/>
    </row>
    <row r="119" spans="1:7" ht="12.75" customHeight="1">
      <c r="A119" s="207" t="s">
        <v>64</v>
      </c>
      <c r="B119" s="255">
        <v>1</v>
      </c>
      <c r="G119"/>
    </row>
    <row r="120" spans="1:7" ht="12.75" customHeight="1">
      <c r="A120" s="207" t="s">
        <v>65</v>
      </c>
      <c r="B120" s="255">
        <v>1</v>
      </c>
      <c r="G120"/>
    </row>
    <row r="121" spans="1:7" s="70" customFormat="1" ht="12.75" customHeight="1">
      <c r="A121" s="207" t="s">
        <v>66</v>
      </c>
      <c r="B121" s="255">
        <v>1</v>
      </c>
      <c r="G121"/>
    </row>
    <row r="122" spans="1:7" s="70" customFormat="1" ht="5.0999999999999996" customHeight="1">
      <c r="A122" s="207"/>
      <c r="B122" s="255"/>
      <c r="G122"/>
    </row>
    <row r="123" spans="1:7" ht="12.75" customHeight="1">
      <c r="A123" s="206" t="s">
        <v>78</v>
      </c>
      <c r="B123" s="254">
        <v>1352</v>
      </c>
      <c r="G123"/>
    </row>
    <row r="124" spans="1:7" ht="5.0999999999999996" customHeight="1">
      <c r="A124" s="207"/>
      <c r="B124" s="255"/>
    </row>
    <row r="125" spans="1:7" ht="12.75" customHeight="1">
      <c r="A125" s="207" t="s">
        <v>63</v>
      </c>
      <c r="B125" s="255">
        <v>233</v>
      </c>
      <c r="G125"/>
    </row>
    <row r="126" spans="1:7" ht="12.75" customHeight="1">
      <c r="A126" s="207" t="s">
        <v>64</v>
      </c>
      <c r="B126" s="255">
        <v>477</v>
      </c>
      <c r="G126"/>
    </row>
    <row r="127" spans="1:7" ht="12.75" customHeight="1">
      <c r="A127" s="207" t="s">
        <v>65</v>
      </c>
      <c r="B127" s="255">
        <v>337</v>
      </c>
      <c r="G127"/>
    </row>
    <row r="128" spans="1:7" ht="12.75" customHeight="1">
      <c r="A128" s="207" t="s">
        <v>66</v>
      </c>
      <c r="B128" s="255">
        <v>193</v>
      </c>
      <c r="G128"/>
    </row>
    <row r="129" spans="1:7" ht="12.75" customHeight="1">
      <c r="A129" s="207" t="s">
        <v>67</v>
      </c>
      <c r="B129" s="255">
        <v>83</v>
      </c>
      <c r="G129" s="205"/>
    </row>
    <row r="130" spans="1:7" ht="12.75" customHeight="1">
      <c r="A130" s="207" t="s">
        <v>68</v>
      </c>
      <c r="B130" s="255">
        <v>14</v>
      </c>
      <c r="G130"/>
    </row>
    <row r="131" spans="1:7" ht="12.75" customHeight="1">
      <c r="A131" s="207" t="s">
        <v>69</v>
      </c>
      <c r="B131" s="255">
        <v>2</v>
      </c>
      <c r="G131"/>
    </row>
    <row r="132" spans="1:7" ht="12.75" customHeight="1">
      <c r="A132" s="207" t="s">
        <v>70</v>
      </c>
      <c r="B132" s="255">
        <v>1</v>
      </c>
      <c r="G132"/>
    </row>
    <row r="133" spans="1:7" ht="12.75" customHeight="1">
      <c r="A133" s="207" t="s">
        <v>45</v>
      </c>
      <c r="B133" s="255">
        <v>12</v>
      </c>
    </row>
    <row r="134" spans="1:7" ht="5.0999999999999996" customHeight="1">
      <c r="A134" s="207"/>
      <c r="B134" s="255"/>
      <c r="G134"/>
    </row>
    <row r="135" spans="1:7" ht="12.75" customHeight="1">
      <c r="A135" s="206" t="s">
        <v>41</v>
      </c>
      <c r="B135" s="254">
        <v>869</v>
      </c>
      <c r="G135"/>
    </row>
    <row r="136" spans="1:7" ht="5.0999999999999996" customHeight="1">
      <c r="A136" s="207"/>
      <c r="B136" s="255"/>
      <c r="G136"/>
    </row>
    <row r="137" spans="1:7" ht="12.75" customHeight="1">
      <c r="A137" s="207" t="s">
        <v>63</v>
      </c>
      <c r="B137" s="255">
        <v>157</v>
      </c>
      <c r="G137"/>
    </row>
    <row r="138" spans="1:7" s="70" customFormat="1" ht="12.75" customHeight="1">
      <c r="A138" s="207" t="s">
        <v>64</v>
      </c>
      <c r="B138" s="255">
        <v>289</v>
      </c>
      <c r="G138" s="205"/>
    </row>
    <row r="139" spans="1:7" ht="12.75" customHeight="1">
      <c r="A139" s="207" t="s">
        <v>65</v>
      </c>
      <c r="B139" s="255">
        <v>231</v>
      </c>
      <c r="G139"/>
    </row>
    <row r="140" spans="1:7" ht="12.75" customHeight="1">
      <c r="A140" s="207" t="s">
        <v>66</v>
      </c>
      <c r="B140" s="255">
        <v>122</v>
      </c>
      <c r="G140"/>
    </row>
    <row r="141" spans="1:7" ht="12.75" customHeight="1">
      <c r="A141" s="207" t="s">
        <v>67</v>
      </c>
      <c r="B141" s="255">
        <v>55</v>
      </c>
      <c r="G141"/>
    </row>
    <row r="142" spans="1:7" ht="12.75" customHeight="1">
      <c r="A142" s="207" t="s">
        <v>68</v>
      </c>
      <c r="B142" s="255">
        <v>4</v>
      </c>
      <c r="G142"/>
    </row>
    <row r="143" spans="1:7" ht="12.75" customHeight="1">
      <c r="A143" s="207" t="s">
        <v>69</v>
      </c>
      <c r="B143" s="255">
        <v>2</v>
      </c>
      <c r="G143"/>
    </row>
    <row r="144" spans="1:7" ht="12.75" customHeight="1">
      <c r="A144" s="207" t="s">
        <v>45</v>
      </c>
      <c r="B144" s="255">
        <v>9</v>
      </c>
    </row>
    <row r="145" spans="1:7" ht="5.0999999999999996" customHeight="1">
      <c r="A145" s="207"/>
      <c r="B145" s="255"/>
      <c r="G145"/>
    </row>
    <row r="146" spans="1:7" ht="12.75" customHeight="1">
      <c r="A146" s="206" t="s">
        <v>42</v>
      </c>
      <c r="B146" s="254">
        <v>482</v>
      </c>
      <c r="G146"/>
    </row>
    <row r="147" spans="1:7" ht="5.0999999999999996" customHeight="1">
      <c r="A147" s="207"/>
      <c r="B147" s="255"/>
      <c r="G147"/>
    </row>
    <row r="148" spans="1:7" ht="12.75" customHeight="1">
      <c r="A148" s="207" t="s">
        <v>63</v>
      </c>
      <c r="B148" s="255">
        <v>76</v>
      </c>
      <c r="G148"/>
    </row>
    <row r="149" spans="1:7" ht="12.75" customHeight="1">
      <c r="A149" s="207" t="s">
        <v>64</v>
      </c>
      <c r="B149" s="255">
        <v>188</v>
      </c>
      <c r="E149" s="205"/>
      <c r="G149" s="205"/>
    </row>
    <row r="150" spans="1:7" ht="12.75" customHeight="1">
      <c r="A150" s="207" t="s">
        <v>65</v>
      </c>
      <c r="B150" s="255">
        <v>106</v>
      </c>
      <c r="E150"/>
      <c r="F150" s="70"/>
      <c r="G150"/>
    </row>
    <row r="151" spans="1:7" ht="12.75" customHeight="1">
      <c r="A151" s="207" t="s">
        <v>66</v>
      </c>
      <c r="B151" s="255">
        <v>70</v>
      </c>
      <c r="E151"/>
      <c r="G151"/>
    </row>
    <row r="152" spans="1:7" ht="12.75" customHeight="1">
      <c r="A152" s="207" t="s">
        <v>67</v>
      </c>
      <c r="B152" s="255">
        <v>28</v>
      </c>
      <c r="E152"/>
      <c r="G152"/>
    </row>
    <row r="153" spans="1:7" s="70" customFormat="1" ht="12.75" customHeight="1">
      <c r="A153" s="207" t="s">
        <v>68</v>
      </c>
      <c r="B153" s="255">
        <v>10</v>
      </c>
      <c r="E153"/>
      <c r="F153" s="65"/>
      <c r="G153"/>
    </row>
    <row r="154" spans="1:7" ht="12.75" customHeight="1">
      <c r="A154" s="207" t="s">
        <v>70</v>
      </c>
      <c r="B154" s="255">
        <v>1</v>
      </c>
    </row>
    <row r="155" spans="1:7" ht="12.75" customHeight="1">
      <c r="A155" s="207" t="s">
        <v>45</v>
      </c>
      <c r="B155" s="255">
        <v>3</v>
      </c>
      <c r="E155"/>
      <c r="G155"/>
    </row>
    <row r="156" spans="1:7" ht="5.0999999999999996" customHeight="1">
      <c r="A156" s="207"/>
      <c r="B156" s="255"/>
      <c r="E156"/>
      <c r="G156"/>
    </row>
    <row r="157" spans="1:7" ht="12.75" customHeight="1">
      <c r="A157" s="206" t="s">
        <v>45</v>
      </c>
      <c r="B157" s="254">
        <v>1</v>
      </c>
      <c r="E157"/>
      <c r="G157"/>
    </row>
    <row r="158" spans="1:7" ht="5.0999999999999996" customHeight="1">
      <c r="A158" s="207"/>
      <c r="B158" s="255"/>
      <c r="E158"/>
      <c r="G158"/>
    </row>
    <row r="159" spans="1:7" ht="12.75" customHeight="1">
      <c r="A159" s="207" t="s">
        <v>66</v>
      </c>
      <c r="B159" s="255">
        <v>1</v>
      </c>
      <c r="E159"/>
      <c r="G159" s="205"/>
    </row>
    <row r="160" spans="1:7" ht="5.0999999999999996" customHeight="1">
      <c r="A160" s="207"/>
      <c r="B160" s="255"/>
      <c r="E160" s="205"/>
      <c r="G160"/>
    </row>
    <row r="161" spans="1:7" ht="12.75" customHeight="1">
      <c r="A161" s="206" t="s">
        <v>79</v>
      </c>
      <c r="B161" s="254">
        <v>2842</v>
      </c>
      <c r="E161"/>
      <c r="G161"/>
    </row>
    <row r="162" spans="1:7" ht="5.0999999999999996" customHeight="1">
      <c r="A162" s="207"/>
      <c r="B162" s="255"/>
      <c r="E162"/>
      <c r="G162"/>
    </row>
    <row r="163" spans="1:7" ht="12.75" customHeight="1">
      <c r="A163" s="207" t="s">
        <v>63</v>
      </c>
      <c r="B163" s="255">
        <v>484</v>
      </c>
      <c r="E163"/>
      <c r="G163"/>
    </row>
    <row r="164" spans="1:7" ht="12.75" customHeight="1">
      <c r="A164" s="207" t="s">
        <v>64</v>
      </c>
      <c r="B164" s="255">
        <v>967</v>
      </c>
      <c r="E164"/>
      <c r="G164"/>
    </row>
    <row r="165" spans="1:7" ht="12.75" customHeight="1">
      <c r="A165" s="207" t="s">
        <v>65</v>
      </c>
      <c r="B165" s="255">
        <v>712</v>
      </c>
    </row>
    <row r="166" spans="1:7" ht="12.75" customHeight="1">
      <c r="A166" s="207" t="s">
        <v>66</v>
      </c>
      <c r="B166" s="255">
        <v>428</v>
      </c>
      <c r="E166"/>
      <c r="F166" s="70"/>
      <c r="G166"/>
    </row>
    <row r="167" spans="1:7" ht="12.75" customHeight="1">
      <c r="A167" s="207" t="s">
        <v>67</v>
      </c>
      <c r="B167" s="255">
        <v>144</v>
      </c>
      <c r="E167"/>
      <c r="G167"/>
    </row>
    <row r="168" spans="1:7" s="70" customFormat="1" ht="12.75" customHeight="1">
      <c r="A168" s="207" t="s">
        <v>68</v>
      </c>
      <c r="B168" s="255">
        <v>31</v>
      </c>
      <c r="E168"/>
      <c r="F168" s="65"/>
      <c r="G168"/>
    </row>
    <row r="169" spans="1:7" ht="12.75" customHeight="1">
      <c r="A169" s="207" t="s">
        <v>69</v>
      </c>
      <c r="B169" s="255">
        <v>1</v>
      </c>
      <c r="E169"/>
    </row>
    <row r="170" spans="1:7" ht="12.75" customHeight="1">
      <c r="A170" s="207" t="s">
        <v>45</v>
      </c>
      <c r="B170" s="255">
        <v>75</v>
      </c>
      <c r="E170"/>
    </row>
    <row r="171" spans="1:7" ht="5.0999999999999996" customHeight="1">
      <c r="A171" s="207"/>
      <c r="B171" s="255"/>
      <c r="E171" s="205"/>
    </row>
    <row r="172" spans="1:7" ht="12.75" customHeight="1">
      <c r="A172" s="206" t="s">
        <v>41</v>
      </c>
      <c r="B172" s="254">
        <v>1598</v>
      </c>
      <c r="E172"/>
    </row>
    <row r="173" spans="1:7" ht="5.0999999999999996" customHeight="1">
      <c r="A173" s="207"/>
      <c r="B173" s="255"/>
      <c r="E173"/>
    </row>
    <row r="174" spans="1:7" ht="12.75" customHeight="1">
      <c r="A174" s="207" t="s">
        <v>63</v>
      </c>
      <c r="B174" s="255">
        <v>251</v>
      </c>
    </row>
    <row r="175" spans="1:7" ht="12.75" customHeight="1">
      <c r="A175" s="207" t="s">
        <v>64</v>
      </c>
      <c r="B175" s="255">
        <v>533</v>
      </c>
      <c r="E175"/>
    </row>
    <row r="176" spans="1:7" ht="12.75" customHeight="1">
      <c r="A176" s="207" t="s">
        <v>65</v>
      </c>
      <c r="B176" s="255">
        <v>412</v>
      </c>
      <c r="E176"/>
    </row>
    <row r="177" spans="1:6" ht="12.75" customHeight="1">
      <c r="A177" s="207" t="s">
        <v>66</v>
      </c>
      <c r="B177" s="255">
        <v>262</v>
      </c>
      <c r="E177"/>
    </row>
    <row r="178" spans="1:6" ht="12.75" customHeight="1">
      <c r="A178" s="207" t="s">
        <v>67</v>
      </c>
      <c r="B178" s="255">
        <v>90</v>
      </c>
      <c r="E178"/>
    </row>
    <row r="179" spans="1:6" ht="12.75" customHeight="1">
      <c r="A179" s="207" t="s">
        <v>68</v>
      </c>
      <c r="B179" s="255">
        <v>20</v>
      </c>
      <c r="E179" s="205"/>
      <c r="F179" s="68"/>
    </row>
    <row r="180" spans="1:6" ht="12.75" customHeight="1">
      <c r="A180" s="207" t="s">
        <v>69</v>
      </c>
      <c r="B180" s="255">
        <v>1</v>
      </c>
      <c r="E180"/>
      <c r="F180" s="72"/>
    </row>
    <row r="181" spans="1:6" ht="12.75" customHeight="1">
      <c r="A181" s="207" t="s">
        <v>45</v>
      </c>
      <c r="B181" s="255">
        <v>29</v>
      </c>
      <c r="E181"/>
      <c r="F181" s="72"/>
    </row>
    <row r="182" spans="1:6" s="70" customFormat="1" ht="5.0999999999999996" customHeight="1">
      <c r="A182" s="207"/>
      <c r="B182" s="255"/>
      <c r="E182"/>
      <c r="F182" s="72"/>
    </row>
    <row r="183" spans="1:6" ht="12.75" customHeight="1">
      <c r="A183" s="206" t="s">
        <v>42</v>
      </c>
      <c r="B183" s="254">
        <v>1225</v>
      </c>
    </row>
    <row r="184" spans="1:6" ht="5.0999999999999996" customHeight="1">
      <c r="A184" s="207"/>
      <c r="B184" s="255"/>
      <c r="E184"/>
      <c r="F184" s="72"/>
    </row>
    <row r="185" spans="1:6" ht="12.75" customHeight="1">
      <c r="A185" s="207" t="s">
        <v>63</v>
      </c>
      <c r="B185" s="255">
        <v>232</v>
      </c>
      <c r="E185"/>
      <c r="F185" s="72"/>
    </row>
    <row r="186" spans="1:6" ht="12.75" customHeight="1">
      <c r="A186" s="207" t="s">
        <v>64</v>
      </c>
      <c r="B186" s="255">
        <v>433</v>
      </c>
      <c r="E186"/>
      <c r="F186" s="72"/>
    </row>
    <row r="187" spans="1:6" ht="12.75" customHeight="1">
      <c r="A187" s="207" t="s">
        <v>65</v>
      </c>
      <c r="B187" s="255">
        <v>300</v>
      </c>
      <c r="E187"/>
      <c r="F187" s="72"/>
    </row>
    <row r="188" spans="1:6" ht="12.75" customHeight="1">
      <c r="A188" s="207" t="s">
        <v>66</v>
      </c>
      <c r="B188" s="255">
        <v>166</v>
      </c>
      <c r="E188"/>
      <c r="F188" s="72"/>
    </row>
    <row r="189" spans="1:6" ht="12.75" customHeight="1">
      <c r="A189" s="207" t="s">
        <v>67</v>
      </c>
      <c r="B189" s="255">
        <v>54</v>
      </c>
      <c r="E189" s="205"/>
      <c r="F189" s="68"/>
    </row>
    <row r="190" spans="1:6" ht="12.75" customHeight="1">
      <c r="A190" s="207" t="s">
        <v>68</v>
      </c>
      <c r="B190" s="255">
        <v>11</v>
      </c>
      <c r="E190"/>
      <c r="F190" s="72"/>
    </row>
    <row r="191" spans="1:6" ht="12.75" customHeight="1">
      <c r="A191" s="207" t="s">
        <v>45</v>
      </c>
      <c r="B191" s="255">
        <v>29</v>
      </c>
      <c r="E191"/>
      <c r="F191" s="72"/>
    </row>
    <row r="192" spans="1:6" ht="5.0999999999999996" customHeight="1">
      <c r="A192" s="207"/>
      <c r="B192" s="255"/>
    </row>
    <row r="193" spans="1:6" ht="12.75" customHeight="1">
      <c r="A193" s="206" t="s">
        <v>45</v>
      </c>
      <c r="B193" s="254">
        <v>19</v>
      </c>
      <c r="E193"/>
      <c r="F193" s="72"/>
    </row>
    <row r="194" spans="1:6" ht="5.0999999999999996" customHeight="1">
      <c r="A194" s="207"/>
      <c r="B194" s="255"/>
      <c r="E194"/>
      <c r="F194" s="72"/>
    </row>
    <row r="195" spans="1:6" ht="12.75" customHeight="1">
      <c r="A195" s="207" t="s">
        <v>63</v>
      </c>
      <c r="B195" s="255">
        <v>1</v>
      </c>
      <c r="E195"/>
      <c r="F195" s="72"/>
    </row>
    <row r="196" spans="1:6" ht="12.75" customHeight="1">
      <c r="A196" s="207" t="s">
        <v>64</v>
      </c>
      <c r="B196" s="255">
        <v>1</v>
      </c>
      <c r="E196"/>
      <c r="F196" s="72"/>
    </row>
    <row r="197" spans="1:6" s="70" customFormat="1" ht="12.75" customHeight="1">
      <c r="A197" s="207" t="s">
        <v>45</v>
      </c>
      <c r="B197" s="255">
        <v>17</v>
      </c>
      <c r="E197"/>
      <c r="F197" s="72"/>
    </row>
    <row r="198" spans="1:6" ht="5.0999999999999996" customHeight="1">
      <c r="A198" s="207"/>
      <c r="B198" s="255"/>
      <c r="E198"/>
      <c r="F198" s="72"/>
    </row>
    <row r="199" spans="1:6" ht="12.75" customHeight="1">
      <c r="A199" s="206" t="s">
        <v>80</v>
      </c>
      <c r="B199" s="254">
        <v>617</v>
      </c>
      <c r="E199" s="205"/>
      <c r="F199" s="68"/>
    </row>
    <row r="200" spans="1:6" ht="5.0999999999999996" customHeight="1">
      <c r="A200" s="207"/>
      <c r="B200" s="255"/>
      <c r="E200"/>
      <c r="F200" s="72"/>
    </row>
    <row r="201" spans="1:6" ht="12.75" customHeight="1">
      <c r="A201" s="207" t="s">
        <v>63</v>
      </c>
      <c r="B201" s="255">
        <v>95</v>
      </c>
      <c r="E201"/>
      <c r="F201" s="72"/>
    </row>
    <row r="202" spans="1:6" ht="12.75" customHeight="1">
      <c r="A202" s="207" t="s">
        <v>64</v>
      </c>
      <c r="B202" s="255">
        <v>225</v>
      </c>
    </row>
    <row r="203" spans="1:6" ht="12.75" customHeight="1">
      <c r="A203" s="207" t="s">
        <v>65</v>
      </c>
      <c r="B203" s="255">
        <v>146</v>
      </c>
      <c r="E203"/>
      <c r="F203" s="72"/>
    </row>
    <row r="204" spans="1:6" ht="12.75" customHeight="1">
      <c r="A204" s="207" t="s">
        <v>66</v>
      </c>
      <c r="B204" s="255">
        <v>82</v>
      </c>
      <c r="E204"/>
      <c r="F204" s="72"/>
    </row>
    <row r="205" spans="1:6" ht="12.75" customHeight="1">
      <c r="A205" s="207" t="s">
        <v>67</v>
      </c>
      <c r="B205" s="255">
        <v>33</v>
      </c>
      <c r="E205"/>
      <c r="F205" s="72"/>
    </row>
    <row r="206" spans="1:6" ht="12.75" customHeight="1">
      <c r="A206" s="207" t="s">
        <v>68</v>
      </c>
      <c r="B206" s="255">
        <v>12</v>
      </c>
      <c r="E206"/>
      <c r="F206" s="72"/>
    </row>
    <row r="207" spans="1:6" ht="12.75" customHeight="1">
      <c r="A207" s="207" t="s">
        <v>45</v>
      </c>
      <c r="B207" s="255">
        <v>24</v>
      </c>
      <c r="E207"/>
      <c r="F207" s="72"/>
    </row>
    <row r="208" spans="1:6" ht="5.0999999999999996" customHeight="1">
      <c r="A208" s="207"/>
      <c r="B208" s="255"/>
      <c r="E208"/>
      <c r="F208" s="72"/>
    </row>
    <row r="209" spans="1:2" ht="12.75" customHeight="1">
      <c r="A209" s="206" t="s">
        <v>41</v>
      </c>
      <c r="B209" s="254">
        <v>420</v>
      </c>
    </row>
    <row r="210" spans="1:2" ht="5.0999999999999996" customHeight="1">
      <c r="A210" s="207"/>
      <c r="B210" s="255"/>
    </row>
    <row r="211" spans="1:2" s="70" customFormat="1" ht="12.75" customHeight="1">
      <c r="A211" s="207" t="s">
        <v>63</v>
      </c>
      <c r="B211" s="255">
        <v>57</v>
      </c>
    </row>
    <row r="212" spans="1:2" ht="12.75" customHeight="1">
      <c r="A212" s="207" t="s">
        <v>64</v>
      </c>
      <c r="B212" s="255">
        <v>154</v>
      </c>
    </row>
    <row r="213" spans="1:2" ht="12.75" customHeight="1">
      <c r="A213" s="207" t="s">
        <v>65</v>
      </c>
      <c r="B213" s="255">
        <v>110</v>
      </c>
    </row>
    <row r="214" spans="1:2" ht="12.75" customHeight="1">
      <c r="A214" s="207" t="s">
        <v>66</v>
      </c>
      <c r="B214" s="255">
        <v>58</v>
      </c>
    </row>
    <row r="215" spans="1:2" ht="12.75" customHeight="1">
      <c r="A215" s="207" t="s">
        <v>67</v>
      </c>
      <c r="B215" s="255">
        <v>22</v>
      </c>
    </row>
    <row r="216" spans="1:2" ht="12.75" customHeight="1">
      <c r="A216" s="207" t="s">
        <v>68</v>
      </c>
      <c r="B216" s="255">
        <v>10</v>
      </c>
    </row>
    <row r="217" spans="1:2" ht="12.75" customHeight="1">
      <c r="A217" s="207" t="s">
        <v>45</v>
      </c>
      <c r="B217" s="255">
        <v>9</v>
      </c>
    </row>
    <row r="218" spans="1:2" ht="5.0999999999999996" customHeight="1">
      <c r="A218" s="207"/>
      <c r="B218" s="255"/>
    </row>
    <row r="219" spans="1:2" ht="12.75" customHeight="1">
      <c r="A219" s="206" t="s">
        <v>42</v>
      </c>
      <c r="B219" s="254">
        <v>196</v>
      </c>
    </row>
    <row r="220" spans="1:2" ht="5.0999999999999996" customHeight="1">
      <c r="A220" s="207"/>
      <c r="B220" s="255"/>
    </row>
    <row r="221" spans="1:2" ht="12.75" customHeight="1">
      <c r="A221" s="207" t="s">
        <v>63</v>
      </c>
      <c r="B221" s="255">
        <v>38</v>
      </c>
    </row>
    <row r="222" spans="1:2" ht="12.75" customHeight="1">
      <c r="A222" s="207" t="s">
        <v>64</v>
      </c>
      <c r="B222" s="255">
        <v>71</v>
      </c>
    </row>
    <row r="223" spans="1:2" ht="12.75" customHeight="1">
      <c r="A223" s="207" t="s">
        <v>65</v>
      </c>
      <c r="B223" s="255">
        <v>36</v>
      </c>
    </row>
    <row r="224" spans="1:2" ht="12.75" customHeight="1">
      <c r="A224" s="207" t="s">
        <v>66</v>
      </c>
      <c r="B224" s="255">
        <v>24</v>
      </c>
    </row>
    <row r="225" spans="1:2" ht="12.75" customHeight="1">
      <c r="A225" s="207" t="s">
        <v>67</v>
      </c>
      <c r="B225" s="255">
        <v>11</v>
      </c>
    </row>
    <row r="226" spans="1:2" s="70" customFormat="1" ht="12.75" customHeight="1">
      <c r="A226" s="207" t="s">
        <v>68</v>
      </c>
      <c r="B226" s="255">
        <v>2</v>
      </c>
    </row>
    <row r="227" spans="1:2" ht="12.75" customHeight="1">
      <c r="A227" s="207" t="s">
        <v>45</v>
      </c>
      <c r="B227" s="255">
        <v>14</v>
      </c>
    </row>
    <row r="228" spans="1:2" ht="5.0999999999999996" customHeight="1">
      <c r="A228" s="207"/>
      <c r="B228" s="255"/>
    </row>
    <row r="229" spans="1:2" ht="12.75" customHeight="1">
      <c r="A229" s="206" t="s">
        <v>45</v>
      </c>
      <c r="B229" s="254">
        <v>1</v>
      </c>
    </row>
    <row r="230" spans="1:2" ht="5.0999999999999996" customHeight="1">
      <c r="A230" s="207"/>
      <c r="B230" s="255"/>
    </row>
    <row r="231" spans="1:2" ht="12.75" customHeight="1">
      <c r="A231" s="206" t="s">
        <v>81</v>
      </c>
      <c r="B231" s="254">
        <v>3983</v>
      </c>
    </row>
    <row r="232" spans="1:2" ht="12.75" customHeight="1">
      <c r="A232" s="207" t="s">
        <v>63</v>
      </c>
      <c r="B232" s="255">
        <v>663</v>
      </c>
    </row>
    <row r="233" spans="1:2" ht="12.75" customHeight="1">
      <c r="A233" s="207" t="s">
        <v>64</v>
      </c>
      <c r="B233" s="255">
        <v>1372</v>
      </c>
    </row>
    <row r="234" spans="1:2" ht="12.75" customHeight="1">
      <c r="A234" s="207" t="s">
        <v>65</v>
      </c>
      <c r="B234" s="255">
        <v>1073</v>
      </c>
    </row>
    <row r="235" spans="1:2" ht="12.75" customHeight="1">
      <c r="A235" s="207" t="s">
        <v>66</v>
      </c>
      <c r="B235" s="255">
        <v>610</v>
      </c>
    </row>
    <row r="236" spans="1:2" ht="12.75" customHeight="1">
      <c r="A236" s="207" t="s">
        <v>67</v>
      </c>
      <c r="B236" s="255">
        <v>221</v>
      </c>
    </row>
    <row r="237" spans="1:2" ht="12.75" customHeight="1">
      <c r="A237" s="207" t="s">
        <v>68</v>
      </c>
      <c r="B237" s="255">
        <v>40</v>
      </c>
    </row>
    <row r="238" spans="1:2" ht="12.75" customHeight="1">
      <c r="A238" s="207" t="s">
        <v>70</v>
      </c>
      <c r="B238" s="255">
        <v>1</v>
      </c>
    </row>
    <row r="239" spans="1:2" ht="12.75" customHeight="1">
      <c r="A239" s="207" t="s">
        <v>45</v>
      </c>
      <c r="B239" s="255">
        <v>3</v>
      </c>
    </row>
    <row r="240" spans="1:2" s="70" customFormat="1" ht="5.0999999999999996" customHeight="1">
      <c r="A240" s="207"/>
      <c r="B240" s="255"/>
    </row>
    <row r="241" spans="1:2" ht="12.75" customHeight="1">
      <c r="A241" s="206" t="s">
        <v>41</v>
      </c>
      <c r="B241" s="254">
        <v>3090</v>
      </c>
    </row>
    <row r="242" spans="1:2" ht="5.0999999999999996" customHeight="1">
      <c r="A242" s="207"/>
      <c r="B242" s="255"/>
    </row>
    <row r="243" spans="1:2" ht="12.75" customHeight="1">
      <c r="A243" s="207" t="s">
        <v>63</v>
      </c>
      <c r="B243" s="255">
        <v>508</v>
      </c>
    </row>
    <row r="244" spans="1:2" ht="12.75" customHeight="1">
      <c r="A244" s="207" t="s">
        <v>64</v>
      </c>
      <c r="B244" s="255">
        <v>1045</v>
      </c>
    </row>
    <row r="245" spans="1:2" ht="12.75" customHeight="1">
      <c r="A245" s="207" t="s">
        <v>65</v>
      </c>
      <c r="B245" s="255">
        <v>840</v>
      </c>
    </row>
    <row r="246" spans="1:2" ht="12.75" customHeight="1">
      <c r="A246" s="207" t="s">
        <v>66</v>
      </c>
      <c r="B246" s="255">
        <v>481</v>
      </c>
    </row>
    <row r="247" spans="1:2" ht="12.75" customHeight="1">
      <c r="A247" s="207" t="s">
        <v>67</v>
      </c>
      <c r="B247" s="255">
        <v>182</v>
      </c>
    </row>
    <row r="248" spans="1:2" ht="12.75" customHeight="1">
      <c r="A248" s="207" t="s">
        <v>68</v>
      </c>
      <c r="B248" s="255">
        <v>30</v>
      </c>
    </row>
    <row r="249" spans="1:2" ht="12.75" customHeight="1">
      <c r="A249" s="207" t="s">
        <v>70</v>
      </c>
      <c r="B249" s="255">
        <v>1</v>
      </c>
    </row>
    <row r="250" spans="1:2" ht="12.75" customHeight="1">
      <c r="A250" s="207" t="s">
        <v>45</v>
      </c>
      <c r="B250" s="255">
        <v>3</v>
      </c>
    </row>
    <row r="251" spans="1:2" ht="5.0999999999999996" customHeight="1">
      <c r="A251" s="207"/>
      <c r="B251" s="255"/>
    </row>
    <row r="252" spans="1:2" ht="12.75" customHeight="1">
      <c r="A252" s="206" t="s">
        <v>42</v>
      </c>
      <c r="B252" s="254">
        <v>892</v>
      </c>
    </row>
    <row r="253" spans="1:2" ht="5.0999999999999996" customHeight="1">
      <c r="A253" s="207"/>
      <c r="B253" s="255"/>
    </row>
    <row r="254" spans="1:2" ht="12.75" customHeight="1">
      <c r="A254" s="207" t="s">
        <v>63</v>
      </c>
      <c r="B254" s="255">
        <v>155</v>
      </c>
    </row>
    <row r="255" spans="1:2" s="70" customFormat="1" ht="12.75" customHeight="1">
      <c r="A255" s="207" t="s">
        <v>64</v>
      </c>
      <c r="B255" s="255">
        <v>327</v>
      </c>
    </row>
    <row r="256" spans="1:2" ht="12.75" customHeight="1">
      <c r="A256" s="207" t="s">
        <v>65</v>
      </c>
      <c r="B256" s="255">
        <v>233</v>
      </c>
    </row>
    <row r="257" spans="1:2" ht="12.75" customHeight="1">
      <c r="A257" s="207" t="s">
        <v>66</v>
      </c>
      <c r="B257" s="255">
        <v>128</v>
      </c>
    </row>
    <row r="258" spans="1:2" ht="12.75" customHeight="1">
      <c r="A258" s="207" t="s">
        <v>67</v>
      </c>
      <c r="B258" s="255">
        <v>39</v>
      </c>
    </row>
    <row r="259" spans="1:2" ht="12.75" customHeight="1">
      <c r="A259" s="207" t="s">
        <v>68</v>
      </c>
      <c r="B259" s="255">
        <v>10</v>
      </c>
    </row>
    <row r="260" spans="1:2" ht="5.0999999999999996" customHeight="1">
      <c r="A260" s="207"/>
      <c r="B260" s="255"/>
    </row>
    <row r="261" spans="1:2" ht="12.75" customHeight="1">
      <c r="A261" s="206" t="s">
        <v>45</v>
      </c>
      <c r="B261" s="254">
        <v>1</v>
      </c>
    </row>
    <row r="262" spans="1:2" ht="5.0999999999999996" customHeight="1">
      <c r="A262" s="207"/>
      <c r="B262" s="255"/>
    </row>
    <row r="263" spans="1:2" ht="12.75" customHeight="1">
      <c r="A263" s="207" t="s">
        <v>66</v>
      </c>
      <c r="B263" s="255">
        <v>1</v>
      </c>
    </row>
    <row r="264" spans="1:2" ht="5.0999999999999996" customHeight="1">
      <c r="A264" s="207"/>
      <c r="B264" s="255"/>
    </row>
    <row r="265" spans="1:2" ht="12.75" customHeight="1">
      <c r="A265" s="206" t="s">
        <v>82</v>
      </c>
      <c r="B265" s="254">
        <v>538</v>
      </c>
    </row>
    <row r="266" spans="1:2" ht="5.0999999999999996" customHeight="1">
      <c r="A266" s="207"/>
      <c r="B266" s="255"/>
    </row>
    <row r="267" spans="1:2" ht="12.75" customHeight="1">
      <c r="A267" s="207" t="s">
        <v>63</v>
      </c>
      <c r="B267" s="255">
        <v>72</v>
      </c>
    </row>
    <row r="268" spans="1:2" ht="12.75" customHeight="1">
      <c r="A268" s="207" t="s">
        <v>64</v>
      </c>
      <c r="B268" s="255">
        <v>191</v>
      </c>
    </row>
    <row r="269" spans="1:2" ht="12.75" customHeight="1">
      <c r="A269" s="207" t="s">
        <v>65</v>
      </c>
      <c r="B269" s="255">
        <v>146</v>
      </c>
    </row>
    <row r="270" spans="1:2" s="70" customFormat="1" ht="12.75" customHeight="1">
      <c r="A270" s="207" t="s">
        <v>66</v>
      </c>
      <c r="B270" s="255">
        <v>86</v>
      </c>
    </row>
    <row r="271" spans="1:2" ht="12.75" customHeight="1">
      <c r="A271" s="207" t="s">
        <v>67</v>
      </c>
      <c r="B271" s="255">
        <v>33</v>
      </c>
    </row>
    <row r="272" spans="1:2" ht="12.75" customHeight="1">
      <c r="A272" s="207" t="s">
        <v>68</v>
      </c>
      <c r="B272" s="255">
        <v>6</v>
      </c>
    </row>
    <row r="273" spans="1:2" ht="12.75" customHeight="1">
      <c r="A273" s="207" t="s">
        <v>69</v>
      </c>
      <c r="B273" s="255">
        <v>1</v>
      </c>
    </row>
    <row r="274" spans="1:2" ht="12.75" customHeight="1">
      <c r="A274" s="207" t="s">
        <v>45</v>
      </c>
      <c r="B274" s="255">
        <v>3</v>
      </c>
    </row>
    <row r="275" spans="1:2" ht="5.0999999999999996" customHeight="1">
      <c r="A275" s="207"/>
      <c r="B275" s="255"/>
    </row>
    <row r="276" spans="1:2" ht="12.75" customHeight="1">
      <c r="A276" s="206" t="s">
        <v>41</v>
      </c>
      <c r="B276" s="254">
        <v>271</v>
      </c>
    </row>
    <row r="277" spans="1:2" ht="5.0999999999999996" customHeight="1">
      <c r="A277" s="207"/>
      <c r="B277" s="255"/>
    </row>
    <row r="278" spans="1:2" ht="12.75" customHeight="1">
      <c r="A278" s="207" t="s">
        <v>63</v>
      </c>
      <c r="B278" s="255">
        <v>39</v>
      </c>
    </row>
    <row r="279" spans="1:2" ht="12.75" customHeight="1">
      <c r="A279" s="207" t="s">
        <v>64</v>
      </c>
      <c r="B279" s="255">
        <v>94</v>
      </c>
    </row>
    <row r="280" spans="1:2" ht="12.75" customHeight="1">
      <c r="A280" s="207" t="s">
        <v>65</v>
      </c>
      <c r="B280" s="255">
        <v>79</v>
      </c>
    </row>
    <row r="281" spans="1:2" ht="12.75" customHeight="1">
      <c r="A281" s="207" t="s">
        <v>66</v>
      </c>
      <c r="B281" s="255">
        <v>39</v>
      </c>
    </row>
    <row r="282" spans="1:2" ht="12.75" customHeight="1">
      <c r="A282" s="207" t="s">
        <v>67</v>
      </c>
      <c r="B282" s="255">
        <v>16</v>
      </c>
    </row>
    <row r="283" spans="1:2" ht="12.75" customHeight="1">
      <c r="A283" s="207" t="s">
        <v>68</v>
      </c>
      <c r="B283" s="255">
        <v>2</v>
      </c>
    </row>
    <row r="284" spans="1:2" s="70" customFormat="1" ht="12.75" customHeight="1">
      <c r="A284" s="207" t="s">
        <v>69</v>
      </c>
      <c r="B284" s="255">
        <v>1</v>
      </c>
    </row>
    <row r="285" spans="1:2" ht="12.75" customHeight="1">
      <c r="A285" s="207" t="s">
        <v>45</v>
      </c>
      <c r="B285" s="255">
        <v>1</v>
      </c>
    </row>
    <row r="286" spans="1:2" ht="5.0999999999999996" customHeight="1">
      <c r="A286" s="207"/>
      <c r="B286" s="255"/>
    </row>
    <row r="287" spans="1:2" ht="12.75" customHeight="1">
      <c r="A287" s="206" t="s">
        <v>42</v>
      </c>
      <c r="B287" s="254">
        <v>260</v>
      </c>
    </row>
    <row r="288" spans="1:2" ht="5.0999999999999996" customHeight="1">
      <c r="A288" s="207"/>
      <c r="B288" s="255"/>
    </row>
    <row r="289" spans="1:2" ht="12.75" customHeight="1">
      <c r="A289" s="207" t="s">
        <v>63</v>
      </c>
      <c r="B289" s="255">
        <v>33</v>
      </c>
    </row>
    <row r="290" spans="1:2" ht="12.75" customHeight="1">
      <c r="A290" s="207" t="s">
        <v>64</v>
      </c>
      <c r="B290" s="255">
        <v>96</v>
      </c>
    </row>
    <row r="291" spans="1:2" ht="12.75" customHeight="1">
      <c r="A291" s="207" t="s">
        <v>65</v>
      </c>
      <c r="B291" s="255">
        <v>65</v>
      </c>
    </row>
    <row r="292" spans="1:2" ht="12.75" customHeight="1">
      <c r="A292" s="207" t="s">
        <v>66</v>
      </c>
      <c r="B292" s="255">
        <v>46</v>
      </c>
    </row>
    <row r="293" spans="1:2" ht="12.75" customHeight="1">
      <c r="A293" s="207" t="s">
        <v>67</v>
      </c>
      <c r="B293" s="255">
        <v>16</v>
      </c>
    </row>
    <row r="294" spans="1:2" ht="12.75" customHeight="1">
      <c r="A294" s="207" t="s">
        <v>68</v>
      </c>
      <c r="B294" s="255">
        <v>4</v>
      </c>
    </row>
    <row r="295" spans="1:2" ht="5.0999999999999996" customHeight="1">
      <c r="A295" s="207"/>
      <c r="B295" s="255"/>
    </row>
    <row r="296" spans="1:2" ht="12.75" customHeight="1">
      <c r="A296" s="206" t="s">
        <v>45</v>
      </c>
      <c r="B296" s="254">
        <v>7</v>
      </c>
    </row>
    <row r="297" spans="1:2" ht="5.0999999999999996" customHeight="1">
      <c r="A297" s="207"/>
      <c r="B297" s="255"/>
    </row>
    <row r="298" spans="1:2" s="70" customFormat="1" ht="12.75" customHeight="1">
      <c r="A298" s="207" t="s">
        <v>64</v>
      </c>
      <c r="B298" s="255">
        <v>1</v>
      </c>
    </row>
    <row r="299" spans="1:2" ht="12.75" customHeight="1">
      <c r="A299" s="207" t="s">
        <v>65</v>
      </c>
      <c r="B299" s="255">
        <v>2</v>
      </c>
    </row>
    <row r="300" spans="1:2" ht="12.75" customHeight="1">
      <c r="A300" s="207" t="s">
        <v>66</v>
      </c>
      <c r="B300" s="255">
        <v>1</v>
      </c>
    </row>
    <row r="301" spans="1:2" ht="12.75" customHeight="1">
      <c r="A301" s="207" t="s">
        <v>67</v>
      </c>
      <c r="B301" s="255">
        <v>1</v>
      </c>
    </row>
    <row r="302" spans="1:2" ht="12.75" customHeight="1">
      <c r="A302" s="207" t="s">
        <v>45</v>
      </c>
      <c r="B302" s="255">
        <v>2</v>
      </c>
    </row>
    <row r="303" spans="1:2" ht="5.0999999999999996" customHeight="1">
      <c r="A303" s="207"/>
      <c r="B303" s="255"/>
    </row>
    <row r="304" spans="1:2" ht="12.75" customHeight="1">
      <c r="A304" s="206" t="s">
        <v>83</v>
      </c>
      <c r="B304" s="254">
        <v>757</v>
      </c>
    </row>
    <row r="305" spans="1:2" ht="5.0999999999999996" customHeight="1">
      <c r="A305" s="207"/>
      <c r="B305" s="255"/>
    </row>
    <row r="306" spans="1:2" ht="12.75" customHeight="1">
      <c r="A306" s="207" t="s">
        <v>63</v>
      </c>
      <c r="B306" s="255">
        <v>94</v>
      </c>
    </row>
    <row r="307" spans="1:2" ht="12.75" customHeight="1">
      <c r="A307" s="207" t="s">
        <v>64</v>
      </c>
      <c r="B307" s="255">
        <v>285</v>
      </c>
    </row>
    <row r="308" spans="1:2" ht="12.75" customHeight="1">
      <c r="A308" s="207" t="s">
        <v>65</v>
      </c>
      <c r="B308" s="255">
        <v>202</v>
      </c>
    </row>
    <row r="309" spans="1:2" ht="12.75" customHeight="1">
      <c r="A309" s="207" t="s">
        <v>66</v>
      </c>
      <c r="B309" s="255">
        <v>112</v>
      </c>
    </row>
    <row r="310" spans="1:2" ht="12.75" customHeight="1">
      <c r="A310" s="207" t="s">
        <v>67</v>
      </c>
      <c r="B310" s="255">
        <v>52</v>
      </c>
    </row>
    <row r="311" spans="1:2" ht="12.75" customHeight="1">
      <c r="A311" s="207" t="s">
        <v>68</v>
      </c>
      <c r="B311" s="255">
        <v>5</v>
      </c>
    </row>
    <row r="312" spans="1:2" ht="12.75" customHeight="1">
      <c r="A312" s="207" t="s">
        <v>45</v>
      </c>
      <c r="B312" s="255">
        <v>7</v>
      </c>
    </row>
    <row r="313" spans="1:2" s="70" customFormat="1" ht="5.0999999999999996" customHeight="1">
      <c r="A313" s="207"/>
      <c r="B313" s="255"/>
    </row>
    <row r="314" spans="1:2" ht="12.75" customHeight="1">
      <c r="A314" s="206" t="s">
        <v>41</v>
      </c>
      <c r="B314" s="254">
        <v>495</v>
      </c>
    </row>
    <row r="315" spans="1:2" ht="5.0999999999999996" customHeight="1">
      <c r="A315" s="207"/>
      <c r="B315" s="255"/>
    </row>
    <row r="316" spans="1:2" ht="12.75" customHeight="1">
      <c r="A316" s="207" t="s">
        <v>63</v>
      </c>
      <c r="B316" s="255">
        <v>62</v>
      </c>
    </row>
    <row r="317" spans="1:2" ht="12.75" customHeight="1">
      <c r="A317" s="207" t="s">
        <v>64</v>
      </c>
      <c r="B317" s="255">
        <v>178</v>
      </c>
    </row>
    <row r="318" spans="1:2" ht="12.75" customHeight="1">
      <c r="A318" s="207" t="s">
        <v>65</v>
      </c>
      <c r="B318" s="255">
        <v>136</v>
      </c>
    </row>
    <row r="319" spans="1:2" ht="12.75" customHeight="1">
      <c r="A319" s="207" t="s">
        <v>66</v>
      </c>
      <c r="B319" s="255">
        <v>82</v>
      </c>
    </row>
    <row r="320" spans="1:2" ht="12.75" customHeight="1">
      <c r="A320" s="207" t="s">
        <v>67</v>
      </c>
      <c r="B320" s="255">
        <v>32</v>
      </c>
    </row>
    <row r="321" spans="1:2" ht="12.75" customHeight="1">
      <c r="A321" s="207" t="s">
        <v>68</v>
      </c>
      <c r="B321" s="255">
        <v>3</v>
      </c>
    </row>
    <row r="322" spans="1:2" ht="12.75" customHeight="1">
      <c r="A322" s="207" t="s">
        <v>45</v>
      </c>
      <c r="B322" s="255">
        <v>2</v>
      </c>
    </row>
    <row r="323" spans="1:2" ht="5.0999999999999996" customHeight="1">
      <c r="A323" s="207"/>
      <c r="B323" s="255"/>
    </row>
    <row r="324" spans="1:2" ht="12.75" customHeight="1">
      <c r="A324" s="206" t="s">
        <v>42</v>
      </c>
      <c r="B324" s="254">
        <v>260</v>
      </c>
    </row>
    <row r="325" spans="1:2" ht="5.0999999999999996" customHeight="1">
      <c r="A325" s="207"/>
      <c r="B325" s="255"/>
    </row>
    <row r="326" spans="1:2" ht="12.75" customHeight="1">
      <c r="A326" s="207" t="s">
        <v>63</v>
      </c>
      <c r="B326" s="255">
        <v>32</v>
      </c>
    </row>
    <row r="327" spans="1:2" s="70" customFormat="1" ht="12.75" customHeight="1">
      <c r="A327" s="207" t="s">
        <v>64</v>
      </c>
      <c r="B327" s="255">
        <v>106</v>
      </c>
    </row>
    <row r="328" spans="1:2" ht="12.75" customHeight="1">
      <c r="A328" s="207" t="s">
        <v>65</v>
      </c>
      <c r="B328" s="255">
        <v>65</v>
      </c>
    </row>
    <row r="329" spans="1:2" ht="12.75" customHeight="1">
      <c r="A329" s="207" t="s">
        <v>66</v>
      </c>
      <c r="B329" s="255">
        <v>30</v>
      </c>
    </row>
    <row r="330" spans="1:2" ht="12.75" customHeight="1">
      <c r="A330" s="207" t="s">
        <v>67</v>
      </c>
      <c r="B330" s="255">
        <v>20</v>
      </c>
    </row>
    <row r="331" spans="1:2" ht="12.75" customHeight="1">
      <c r="A331" s="207" t="s">
        <v>68</v>
      </c>
      <c r="B331" s="255">
        <v>2</v>
      </c>
    </row>
    <row r="332" spans="1:2" ht="12.75" customHeight="1">
      <c r="A332" s="207" t="s">
        <v>45</v>
      </c>
      <c r="B332" s="255">
        <v>5</v>
      </c>
    </row>
    <row r="333" spans="1:2" ht="5.0999999999999996" customHeight="1">
      <c r="A333" s="207"/>
      <c r="B333" s="255"/>
    </row>
    <row r="334" spans="1:2" ht="12.75" customHeight="1">
      <c r="A334" s="206" t="s">
        <v>45</v>
      </c>
      <c r="B334" s="254">
        <v>2</v>
      </c>
    </row>
    <row r="335" spans="1:2" ht="5.0999999999999996" customHeight="1">
      <c r="A335" s="207"/>
      <c r="B335" s="255"/>
    </row>
    <row r="336" spans="1:2" ht="12.75" customHeight="1">
      <c r="A336" s="207" t="s">
        <v>64</v>
      </c>
      <c r="B336" s="255">
        <v>1</v>
      </c>
    </row>
    <row r="337" spans="1:2" ht="12.75" customHeight="1">
      <c r="A337" s="207" t="s">
        <v>65</v>
      </c>
      <c r="B337" s="255">
        <v>1</v>
      </c>
    </row>
    <row r="338" spans="1:2" ht="5.0999999999999996" customHeight="1">
      <c r="A338" s="207"/>
      <c r="B338" s="255"/>
    </row>
    <row r="339" spans="1:2" ht="12.75" customHeight="1">
      <c r="A339" s="206" t="s">
        <v>84</v>
      </c>
      <c r="B339" s="254">
        <v>2787</v>
      </c>
    </row>
    <row r="340" spans="1:2" ht="5.0999999999999996" customHeight="1">
      <c r="A340" s="207"/>
      <c r="B340" s="255"/>
    </row>
    <row r="341" spans="1:2" ht="12.75" customHeight="1">
      <c r="A341" s="207" t="s">
        <v>63</v>
      </c>
      <c r="B341" s="255">
        <v>544</v>
      </c>
    </row>
    <row r="342" spans="1:2" s="70" customFormat="1" ht="12.75" customHeight="1">
      <c r="A342" s="207" t="s">
        <v>64</v>
      </c>
      <c r="B342" s="255">
        <v>921</v>
      </c>
    </row>
    <row r="343" spans="1:2" ht="12.75" customHeight="1">
      <c r="A343" s="207" t="s">
        <v>65</v>
      </c>
      <c r="B343" s="255">
        <v>679</v>
      </c>
    </row>
    <row r="344" spans="1:2" ht="12.75" customHeight="1">
      <c r="A344" s="207" t="s">
        <v>66</v>
      </c>
      <c r="B344" s="255">
        <v>389</v>
      </c>
    </row>
    <row r="345" spans="1:2" ht="12.75" customHeight="1">
      <c r="A345" s="207" t="s">
        <v>67</v>
      </c>
      <c r="B345" s="255">
        <v>193</v>
      </c>
    </row>
    <row r="346" spans="1:2" ht="12.75" customHeight="1">
      <c r="A346" s="207" t="s">
        <v>68</v>
      </c>
      <c r="B346" s="255">
        <v>48</v>
      </c>
    </row>
    <row r="347" spans="1:2" ht="12.75" customHeight="1">
      <c r="A347" s="207" t="s">
        <v>69</v>
      </c>
      <c r="B347" s="255">
        <v>3</v>
      </c>
    </row>
    <row r="348" spans="1:2" ht="12.75" customHeight="1">
      <c r="A348" s="207" t="s">
        <v>45</v>
      </c>
      <c r="B348" s="255">
        <v>10</v>
      </c>
    </row>
    <row r="349" spans="1:2" ht="5.0999999999999996" customHeight="1">
      <c r="A349" s="207"/>
      <c r="B349" s="255"/>
    </row>
    <row r="350" spans="1:2" ht="12.75" customHeight="1">
      <c r="A350" s="206" t="s">
        <v>41</v>
      </c>
      <c r="B350" s="254">
        <v>1199</v>
      </c>
    </row>
    <row r="351" spans="1:2" ht="5.0999999999999996" customHeight="1">
      <c r="A351" s="207"/>
      <c r="B351" s="255"/>
    </row>
    <row r="352" spans="1:2" ht="12.75" customHeight="1">
      <c r="A352" s="207" t="s">
        <v>63</v>
      </c>
      <c r="B352" s="255">
        <v>218</v>
      </c>
    </row>
    <row r="353" spans="1:2" ht="12.75" customHeight="1">
      <c r="A353" s="207" t="s">
        <v>64</v>
      </c>
      <c r="B353" s="255">
        <v>380</v>
      </c>
    </row>
    <row r="354" spans="1:2" ht="12.75" customHeight="1">
      <c r="A354" s="207" t="s">
        <v>65</v>
      </c>
      <c r="B354" s="255">
        <v>302</v>
      </c>
    </row>
    <row r="355" spans="1:2" ht="12.75" customHeight="1">
      <c r="A355" s="207" t="s">
        <v>66</v>
      </c>
      <c r="B355" s="255">
        <v>172</v>
      </c>
    </row>
    <row r="356" spans="1:2" s="70" customFormat="1" ht="12.75" customHeight="1">
      <c r="A356" s="207" t="s">
        <v>67</v>
      </c>
      <c r="B356" s="255">
        <v>98</v>
      </c>
    </row>
    <row r="357" spans="1:2" ht="12.75" customHeight="1">
      <c r="A357" s="207" t="s">
        <v>68</v>
      </c>
      <c r="B357" s="255">
        <v>22</v>
      </c>
    </row>
    <row r="358" spans="1:2" ht="12.75" customHeight="1">
      <c r="A358" s="207" t="s">
        <v>69</v>
      </c>
      <c r="B358" s="255">
        <v>1</v>
      </c>
    </row>
    <row r="359" spans="1:2" ht="12.75" customHeight="1">
      <c r="A359" s="207" t="s">
        <v>45</v>
      </c>
      <c r="B359" s="255">
        <v>6</v>
      </c>
    </row>
    <row r="360" spans="1:2" ht="5.0999999999999996" customHeight="1">
      <c r="A360" s="207"/>
      <c r="B360" s="255"/>
    </row>
    <row r="361" spans="1:2" ht="12.75" customHeight="1">
      <c r="A361" s="206" t="s">
        <v>42</v>
      </c>
      <c r="B361" s="254">
        <v>1574</v>
      </c>
    </row>
    <row r="362" spans="1:2" ht="5.0999999999999996" customHeight="1">
      <c r="A362" s="207"/>
      <c r="B362" s="255"/>
    </row>
    <row r="363" spans="1:2" ht="12.75" customHeight="1">
      <c r="A363" s="207" t="s">
        <v>63</v>
      </c>
      <c r="B363" s="255">
        <v>322</v>
      </c>
    </row>
    <row r="364" spans="1:2" ht="12.75" customHeight="1">
      <c r="A364" s="207" t="s">
        <v>64</v>
      </c>
      <c r="B364" s="255">
        <v>536</v>
      </c>
    </row>
    <row r="365" spans="1:2" ht="12.75" customHeight="1">
      <c r="A365" s="207" t="s">
        <v>65</v>
      </c>
      <c r="B365" s="255">
        <v>372</v>
      </c>
    </row>
    <row r="366" spans="1:2" ht="12.75" customHeight="1">
      <c r="A366" s="207" t="s">
        <v>66</v>
      </c>
      <c r="B366" s="255">
        <v>217</v>
      </c>
    </row>
    <row r="367" spans="1:2" ht="12.75" customHeight="1">
      <c r="A367" s="207" t="s">
        <v>67</v>
      </c>
      <c r="B367" s="255">
        <v>95</v>
      </c>
    </row>
    <row r="368" spans="1:2" ht="12.75" customHeight="1">
      <c r="A368" s="207" t="s">
        <v>68</v>
      </c>
      <c r="B368" s="255">
        <v>26</v>
      </c>
    </row>
    <row r="369" spans="1:2" ht="12.75" customHeight="1">
      <c r="A369" s="207" t="s">
        <v>69</v>
      </c>
      <c r="B369" s="255">
        <v>2</v>
      </c>
    </row>
    <row r="370" spans="1:2" ht="12.75" customHeight="1">
      <c r="A370" s="207" t="s">
        <v>45</v>
      </c>
      <c r="B370" s="255">
        <v>4</v>
      </c>
    </row>
    <row r="371" spans="1:2" s="70" customFormat="1" ht="5.0999999999999996" customHeight="1">
      <c r="A371" s="207"/>
      <c r="B371" s="255"/>
    </row>
    <row r="372" spans="1:2" ht="12.75" customHeight="1">
      <c r="A372" s="206" t="s">
        <v>45</v>
      </c>
      <c r="B372" s="254">
        <v>14</v>
      </c>
    </row>
    <row r="373" spans="1:2" ht="5.0999999999999996" customHeight="1">
      <c r="A373" s="207"/>
      <c r="B373" s="255"/>
    </row>
    <row r="374" spans="1:2" ht="12.75" customHeight="1">
      <c r="A374" s="207" t="s">
        <v>63</v>
      </c>
      <c r="B374" s="255">
        <v>4</v>
      </c>
    </row>
    <row r="375" spans="1:2" ht="12.75" customHeight="1">
      <c r="A375" s="207" t="s">
        <v>64</v>
      </c>
      <c r="B375" s="255">
        <v>5</v>
      </c>
    </row>
    <row r="376" spans="1:2" ht="12.75" customHeight="1">
      <c r="A376" s="207" t="s">
        <v>65</v>
      </c>
      <c r="B376" s="255">
        <v>5</v>
      </c>
    </row>
    <row r="377" spans="1:2" ht="5.0999999999999996" customHeight="1">
      <c r="A377" s="207"/>
      <c r="B377" s="255"/>
    </row>
    <row r="378" spans="1:2" ht="12.75" customHeight="1">
      <c r="A378" s="206" t="s">
        <v>85</v>
      </c>
      <c r="B378" s="254">
        <v>621</v>
      </c>
    </row>
    <row r="379" spans="1:2" ht="5.0999999999999996" customHeight="1">
      <c r="A379" s="207"/>
      <c r="B379" s="255"/>
    </row>
    <row r="380" spans="1:2" ht="12.75" customHeight="1">
      <c r="A380" s="207" t="s">
        <v>63</v>
      </c>
      <c r="B380" s="255">
        <v>99</v>
      </c>
    </row>
    <row r="381" spans="1:2" ht="12.75" customHeight="1">
      <c r="A381" s="207" t="s">
        <v>64</v>
      </c>
      <c r="B381" s="255">
        <v>188</v>
      </c>
    </row>
    <row r="382" spans="1:2" ht="12.75" customHeight="1">
      <c r="A382" s="207" t="s">
        <v>65</v>
      </c>
      <c r="B382" s="255">
        <v>188</v>
      </c>
    </row>
    <row r="383" spans="1:2" ht="12.75" customHeight="1">
      <c r="A383" s="207" t="s">
        <v>66</v>
      </c>
      <c r="B383" s="255">
        <v>81</v>
      </c>
    </row>
    <row r="384" spans="1:2" ht="12.75" customHeight="1">
      <c r="A384" s="207" t="s">
        <v>67</v>
      </c>
      <c r="B384" s="255">
        <v>45</v>
      </c>
    </row>
    <row r="385" spans="1:2" ht="12.75" customHeight="1">
      <c r="A385" s="207" t="s">
        <v>68</v>
      </c>
      <c r="B385" s="255">
        <v>7</v>
      </c>
    </row>
    <row r="386" spans="1:2" s="70" customFormat="1" ht="12.75" customHeight="1">
      <c r="A386" s="207" t="s">
        <v>69</v>
      </c>
      <c r="B386" s="255">
        <v>1</v>
      </c>
    </row>
    <row r="387" spans="1:2" ht="12.75" customHeight="1">
      <c r="A387" s="207" t="s">
        <v>45</v>
      </c>
      <c r="B387" s="255">
        <v>12</v>
      </c>
    </row>
    <row r="388" spans="1:2" ht="5.0999999999999996" customHeight="1">
      <c r="A388" s="207"/>
      <c r="B388" s="255"/>
    </row>
    <row r="389" spans="1:2" ht="12.75" customHeight="1">
      <c r="A389" s="206" t="s">
        <v>41</v>
      </c>
      <c r="B389" s="254">
        <v>385</v>
      </c>
    </row>
    <row r="390" spans="1:2" ht="5.0999999999999996" customHeight="1">
      <c r="A390" s="207"/>
      <c r="B390" s="255"/>
    </row>
    <row r="391" spans="1:2" ht="12.75" customHeight="1">
      <c r="A391" s="207" t="s">
        <v>63</v>
      </c>
      <c r="B391" s="255">
        <v>66</v>
      </c>
    </row>
    <row r="392" spans="1:2" ht="12.75" customHeight="1">
      <c r="A392" s="207" t="s">
        <v>64</v>
      </c>
      <c r="B392" s="255">
        <v>120</v>
      </c>
    </row>
    <row r="393" spans="1:2" ht="12.75" customHeight="1">
      <c r="A393" s="207" t="s">
        <v>65</v>
      </c>
      <c r="B393" s="255">
        <v>111</v>
      </c>
    </row>
    <row r="394" spans="1:2" ht="12.75" customHeight="1">
      <c r="A394" s="207" t="s">
        <v>66</v>
      </c>
      <c r="B394" s="255">
        <v>46</v>
      </c>
    </row>
    <row r="395" spans="1:2" ht="12.75" customHeight="1">
      <c r="A395" s="207" t="s">
        <v>67</v>
      </c>
      <c r="B395" s="255">
        <v>25</v>
      </c>
    </row>
    <row r="396" spans="1:2" ht="12.75" customHeight="1">
      <c r="A396" s="207" t="s">
        <v>68</v>
      </c>
      <c r="B396" s="255">
        <v>6</v>
      </c>
    </row>
    <row r="397" spans="1:2" ht="12.75" customHeight="1">
      <c r="A397" s="207" t="s">
        <v>69</v>
      </c>
      <c r="B397" s="255">
        <v>1</v>
      </c>
    </row>
    <row r="398" spans="1:2" ht="12.75" customHeight="1">
      <c r="A398" s="207" t="s">
        <v>45</v>
      </c>
      <c r="B398" s="255">
        <v>10</v>
      </c>
    </row>
    <row r="399" spans="1:2" ht="5.0999999999999996" customHeight="1">
      <c r="A399" s="207"/>
      <c r="B399" s="255"/>
    </row>
    <row r="400" spans="1:2" ht="12.75" customHeight="1">
      <c r="A400" s="206" t="s">
        <v>42</v>
      </c>
      <c r="B400" s="254">
        <v>232</v>
      </c>
    </row>
    <row r="401" spans="1:2" s="70" customFormat="1" ht="5.0999999999999996" customHeight="1">
      <c r="A401" s="207"/>
      <c r="B401" s="255"/>
    </row>
    <row r="402" spans="1:2" ht="12.75" customHeight="1">
      <c r="A402" s="207" t="s">
        <v>63</v>
      </c>
      <c r="B402" s="255">
        <v>33</v>
      </c>
    </row>
    <row r="403" spans="1:2" ht="12.75" customHeight="1">
      <c r="A403" s="207" t="s">
        <v>64</v>
      </c>
      <c r="B403" s="255">
        <v>67</v>
      </c>
    </row>
    <row r="404" spans="1:2" ht="12.75" customHeight="1">
      <c r="A404" s="207" t="s">
        <v>65</v>
      </c>
      <c r="B404" s="255">
        <v>75</v>
      </c>
    </row>
    <row r="405" spans="1:2" ht="12.75" customHeight="1">
      <c r="A405" s="207" t="s">
        <v>66</v>
      </c>
      <c r="B405" s="255">
        <v>34</v>
      </c>
    </row>
    <row r="406" spans="1:2" ht="12.75" customHeight="1">
      <c r="A406" s="207" t="s">
        <v>67</v>
      </c>
      <c r="B406" s="255">
        <v>20</v>
      </c>
    </row>
    <row r="407" spans="1:2" ht="12.75" customHeight="1">
      <c r="A407" s="207" t="s">
        <v>68</v>
      </c>
      <c r="B407" s="255">
        <v>1</v>
      </c>
    </row>
    <row r="408" spans="1:2" ht="12.75" customHeight="1">
      <c r="A408" s="207" t="s">
        <v>45</v>
      </c>
      <c r="B408" s="255">
        <v>2</v>
      </c>
    </row>
    <row r="409" spans="1:2" ht="5.0999999999999996" customHeight="1">
      <c r="A409" s="207"/>
      <c r="B409" s="255"/>
    </row>
    <row r="410" spans="1:2" ht="12.75" customHeight="1">
      <c r="A410" s="206" t="s">
        <v>45</v>
      </c>
      <c r="B410" s="254">
        <v>4</v>
      </c>
    </row>
    <row r="411" spans="1:2" ht="5.0999999999999996" customHeight="1">
      <c r="A411" s="207"/>
      <c r="B411" s="255"/>
    </row>
    <row r="412" spans="1:2" ht="12.75" customHeight="1">
      <c r="A412" s="207" t="s">
        <v>64</v>
      </c>
      <c r="B412" s="255">
        <v>1</v>
      </c>
    </row>
    <row r="413" spans="1:2" ht="12.75" customHeight="1">
      <c r="A413" s="207" t="s">
        <v>65</v>
      </c>
      <c r="B413" s="255">
        <v>2</v>
      </c>
    </row>
    <row r="414" spans="1:2" ht="12.75" customHeight="1">
      <c r="A414" s="207" t="s">
        <v>66</v>
      </c>
      <c r="B414" s="255">
        <v>1</v>
      </c>
    </row>
    <row r="415" spans="1:2" s="70" customFormat="1" ht="5.0999999999999996" customHeight="1">
      <c r="A415" s="207"/>
      <c r="B415" s="255"/>
    </row>
    <row r="416" spans="1:2" ht="12.75" customHeight="1">
      <c r="A416" s="206" t="s">
        <v>86</v>
      </c>
      <c r="B416" s="254">
        <v>3227</v>
      </c>
    </row>
    <row r="417" spans="1:2" ht="5.0999999999999996" customHeight="1">
      <c r="A417" s="207"/>
      <c r="B417" s="255"/>
    </row>
    <row r="418" spans="1:2" ht="12.75" customHeight="1">
      <c r="A418" s="207" t="s">
        <v>63</v>
      </c>
      <c r="B418" s="255">
        <v>398</v>
      </c>
    </row>
    <row r="419" spans="1:2" ht="12.75" customHeight="1">
      <c r="A419" s="207" t="s">
        <v>64</v>
      </c>
      <c r="B419" s="255">
        <v>1076</v>
      </c>
    </row>
    <row r="420" spans="1:2" ht="12.75" customHeight="1">
      <c r="A420" s="207" t="s">
        <v>65</v>
      </c>
      <c r="B420" s="255">
        <v>938</v>
      </c>
    </row>
    <row r="421" spans="1:2" ht="12.75" customHeight="1">
      <c r="A421" s="207" t="s">
        <v>66</v>
      </c>
      <c r="B421" s="255">
        <v>541</v>
      </c>
    </row>
    <row r="422" spans="1:2" ht="12.75" customHeight="1">
      <c r="A422" s="207" t="s">
        <v>67</v>
      </c>
      <c r="B422" s="255">
        <v>209</v>
      </c>
    </row>
    <row r="423" spans="1:2" ht="12.75" customHeight="1">
      <c r="A423" s="207" t="s">
        <v>68</v>
      </c>
      <c r="B423" s="255">
        <v>46</v>
      </c>
    </row>
    <row r="424" spans="1:2" ht="12.75" customHeight="1">
      <c r="A424" s="207" t="s">
        <v>69</v>
      </c>
      <c r="B424" s="255">
        <v>6</v>
      </c>
    </row>
    <row r="425" spans="1:2" ht="12.75" customHeight="1">
      <c r="A425" s="207" t="s">
        <v>70</v>
      </c>
      <c r="B425" s="255">
        <v>1</v>
      </c>
    </row>
    <row r="426" spans="1:2" ht="12.75" customHeight="1">
      <c r="A426" s="207" t="s">
        <v>45</v>
      </c>
      <c r="B426" s="255">
        <v>12</v>
      </c>
    </row>
    <row r="427" spans="1:2" ht="5.0999999999999996" customHeight="1">
      <c r="A427" s="207"/>
      <c r="B427" s="255"/>
    </row>
    <row r="428" spans="1:2" ht="12.75" customHeight="1">
      <c r="A428" s="206" t="s">
        <v>41</v>
      </c>
      <c r="B428" s="254">
        <v>3191</v>
      </c>
    </row>
    <row r="429" spans="1:2" ht="5.0999999999999996" customHeight="1">
      <c r="A429" s="207"/>
      <c r="B429" s="255"/>
    </row>
    <row r="430" spans="1:2" s="70" customFormat="1" ht="12.75" customHeight="1">
      <c r="A430" s="207" t="s">
        <v>63</v>
      </c>
      <c r="B430" s="255">
        <v>396</v>
      </c>
    </row>
    <row r="431" spans="1:2" ht="12.75" customHeight="1">
      <c r="A431" s="207" t="s">
        <v>64</v>
      </c>
      <c r="B431" s="255">
        <v>1063</v>
      </c>
    </row>
    <row r="432" spans="1:2" ht="12.75" customHeight="1">
      <c r="A432" s="207" t="s">
        <v>65</v>
      </c>
      <c r="B432" s="255">
        <v>931</v>
      </c>
    </row>
    <row r="433" spans="1:2" ht="12.75" customHeight="1">
      <c r="A433" s="207" t="s">
        <v>66</v>
      </c>
      <c r="B433" s="255">
        <v>534</v>
      </c>
    </row>
    <row r="434" spans="1:2" ht="12.75" customHeight="1">
      <c r="A434" s="207" t="s">
        <v>67</v>
      </c>
      <c r="B434" s="255">
        <v>203</v>
      </c>
    </row>
    <row r="435" spans="1:2" ht="12.75" customHeight="1">
      <c r="A435" s="207" t="s">
        <v>68</v>
      </c>
      <c r="B435" s="255">
        <v>45</v>
      </c>
    </row>
    <row r="436" spans="1:2" ht="12.75" customHeight="1">
      <c r="A436" s="207" t="s">
        <v>69</v>
      </c>
      <c r="B436" s="255">
        <v>6</v>
      </c>
    </row>
    <row r="437" spans="1:2" ht="12.75" customHeight="1">
      <c r="A437" s="207" t="s">
        <v>70</v>
      </c>
      <c r="B437" s="255">
        <v>1</v>
      </c>
    </row>
    <row r="438" spans="1:2" ht="12.75" customHeight="1">
      <c r="A438" s="207" t="s">
        <v>45</v>
      </c>
      <c r="B438" s="255">
        <v>12</v>
      </c>
    </row>
    <row r="439" spans="1:2" ht="5.0999999999999996" customHeight="1">
      <c r="A439" s="207"/>
      <c r="B439" s="255"/>
    </row>
    <row r="440" spans="1:2" ht="12.75" customHeight="1">
      <c r="A440" s="206" t="s">
        <v>42</v>
      </c>
      <c r="B440" s="254">
        <v>29</v>
      </c>
    </row>
    <row r="441" spans="1:2" ht="5.0999999999999996" customHeight="1">
      <c r="A441" s="207"/>
      <c r="B441" s="255"/>
    </row>
    <row r="442" spans="1:2" ht="12.75" customHeight="1">
      <c r="A442" s="207" t="s">
        <v>63</v>
      </c>
      <c r="B442" s="255">
        <v>2</v>
      </c>
    </row>
    <row r="443" spans="1:2" ht="12.75" customHeight="1">
      <c r="A443" s="207" t="s">
        <v>64</v>
      </c>
      <c r="B443" s="255">
        <v>11</v>
      </c>
    </row>
    <row r="444" spans="1:2" s="70" customFormat="1" ht="12.75" customHeight="1">
      <c r="A444" s="207" t="s">
        <v>65</v>
      </c>
      <c r="B444" s="255">
        <v>5</v>
      </c>
    </row>
    <row r="445" spans="1:2" ht="12.75" customHeight="1">
      <c r="A445" s="207" t="s">
        <v>66</v>
      </c>
      <c r="B445" s="255">
        <v>5</v>
      </c>
    </row>
    <row r="446" spans="1:2" ht="12.75" customHeight="1">
      <c r="A446" s="207" t="s">
        <v>67</v>
      </c>
      <c r="B446" s="255">
        <v>6</v>
      </c>
    </row>
    <row r="447" spans="1:2" ht="5.0999999999999996" customHeight="1">
      <c r="A447" s="207"/>
      <c r="B447" s="255"/>
    </row>
    <row r="448" spans="1:2" ht="12.75" customHeight="1">
      <c r="A448" s="206" t="s">
        <v>45</v>
      </c>
      <c r="B448" s="254">
        <v>7</v>
      </c>
    </row>
    <row r="449" spans="1:2" ht="5.0999999999999996" customHeight="1">
      <c r="A449" s="207"/>
      <c r="B449" s="255"/>
    </row>
    <row r="450" spans="1:2" ht="12.75" customHeight="1">
      <c r="A450" s="207" t="s">
        <v>64</v>
      </c>
      <c r="B450" s="255">
        <v>2</v>
      </c>
    </row>
    <row r="451" spans="1:2" ht="12.75" customHeight="1">
      <c r="A451" s="207" t="s">
        <v>65</v>
      </c>
      <c r="B451" s="255">
        <v>2</v>
      </c>
    </row>
    <row r="452" spans="1:2" ht="12.75" customHeight="1">
      <c r="A452" s="207" t="s">
        <v>66</v>
      </c>
      <c r="B452" s="255">
        <v>2</v>
      </c>
    </row>
    <row r="453" spans="1:2" ht="12.75" customHeight="1">
      <c r="A453" s="207" t="s">
        <v>68</v>
      </c>
      <c r="B453" s="255">
        <v>1</v>
      </c>
    </row>
    <row r="454" spans="1:2" ht="5.0999999999999996" customHeight="1">
      <c r="A454" s="207"/>
      <c r="B454" s="255"/>
    </row>
    <row r="455" spans="1:2" ht="12.75" customHeight="1">
      <c r="A455" s="206" t="s">
        <v>87</v>
      </c>
      <c r="B455" s="254">
        <v>3198</v>
      </c>
    </row>
    <row r="456" spans="1:2" ht="5.0999999999999996" customHeight="1">
      <c r="A456" s="207"/>
      <c r="B456" s="255"/>
    </row>
    <row r="457" spans="1:2" ht="12.75" customHeight="1">
      <c r="A457" s="207" t="s">
        <v>63</v>
      </c>
      <c r="B457" s="255">
        <v>382</v>
      </c>
    </row>
    <row r="458" spans="1:2" ht="12.75" customHeight="1">
      <c r="A458" s="207" t="s">
        <v>64</v>
      </c>
      <c r="B458" s="255">
        <v>1063</v>
      </c>
    </row>
    <row r="459" spans="1:2" s="70" customFormat="1" ht="12.75" customHeight="1">
      <c r="A459" s="207" t="s">
        <v>65</v>
      </c>
      <c r="B459" s="255">
        <v>907</v>
      </c>
    </row>
    <row r="460" spans="1:2" ht="12.75" customHeight="1">
      <c r="A460" s="207" t="s">
        <v>66</v>
      </c>
      <c r="B460" s="255">
        <v>547</v>
      </c>
    </row>
    <row r="461" spans="1:2" ht="12.75" customHeight="1">
      <c r="A461" s="207" t="s">
        <v>67</v>
      </c>
      <c r="B461" s="255">
        <v>234</v>
      </c>
    </row>
    <row r="462" spans="1:2" ht="12.75" customHeight="1">
      <c r="A462" s="207" t="s">
        <v>68</v>
      </c>
      <c r="B462" s="255">
        <v>59</v>
      </c>
    </row>
    <row r="463" spans="1:2" ht="12.75" customHeight="1">
      <c r="A463" s="207" t="s">
        <v>69</v>
      </c>
      <c r="B463" s="255">
        <v>3</v>
      </c>
    </row>
    <row r="464" spans="1:2" ht="12.75" customHeight="1">
      <c r="A464" s="207" t="s">
        <v>70</v>
      </c>
      <c r="B464" s="255">
        <v>1</v>
      </c>
    </row>
    <row r="465" spans="1:2" ht="12.75" customHeight="1">
      <c r="A465" s="207" t="s">
        <v>45</v>
      </c>
      <c r="B465" s="255">
        <v>2</v>
      </c>
    </row>
    <row r="466" spans="1:2" ht="5.0999999999999996" customHeight="1">
      <c r="A466" s="207"/>
      <c r="B466" s="255"/>
    </row>
    <row r="467" spans="1:2" ht="12.75" customHeight="1">
      <c r="A467" s="206" t="s">
        <v>41</v>
      </c>
      <c r="B467" s="254">
        <v>2115</v>
      </c>
    </row>
    <row r="468" spans="1:2" ht="5.0999999999999996" customHeight="1">
      <c r="A468" s="207"/>
      <c r="B468" s="255"/>
    </row>
    <row r="469" spans="1:2" ht="12.75" customHeight="1">
      <c r="A469" s="207" t="s">
        <v>63</v>
      </c>
      <c r="B469" s="255">
        <v>223</v>
      </c>
    </row>
    <row r="470" spans="1:2" ht="12.75" customHeight="1">
      <c r="A470" s="207" t="s">
        <v>64</v>
      </c>
      <c r="B470" s="255">
        <v>656</v>
      </c>
    </row>
    <row r="471" spans="1:2" ht="12.75" customHeight="1">
      <c r="A471" s="207" t="s">
        <v>65</v>
      </c>
      <c r="B471" s="255">
        <v>622</v>
      </c>
    </row>
    <row r="472" spans="1:2" ht="12.75" customHeight="1">
      <c r="A472" s="207" t="s">
        <v>66</v>
      </c>
      <c r="B472" s="255">
        <v>394</v>
      </c>
    </row>
    <row r="473" spans="1:2" ht="12.75" customHeight="1">
      <c r="A473" s="207" t="s">
        <v>67</v>
      </c>
      <c r="B473" s="255">
        <v>172</v>
      </c>
    </row>
    <row r="474" spans="1:2" ht="12.75" customHeight="1">
      <c r="A474" s="207" t="s">
        <v>68</v>
      </c>
      <c r="B474" s="255">
        <v>46</v>
      </c>
    </row>
    <row r="475" spans="1:2" s="70" customFormat="1" ht="12.75" customHeight="1">
      <c r="A475" s="207" t="s">
        <v>69</v>
      </c>
      <c r="B475" s="255">
        <v>2</v>
      </c>
    </row>
    <row r="476" spans="1:2" ht="5.0999999999999996" customHeight="1">
      <c r="A476" s="207"/>
      <c r="B476" s="255"/>
    </row>
    <row r="477" spans="1:2" ht="12.75" customHeight="1">
      <c r="A477" s="206" t="s">
        <v>42</v>
      </c>
      <c r="B477" s="254">
        <v>1082</v>
      </c>
    </row>
    <row r="478" spans="1:2" ht="5.0999999999999996" customHeight="1">
      <c r="A478" s="207"/>
      <c r="B478" s="255"/>
    </row>
    <row r="479" spans="1:2" ht="12.75" customHeight="1">
      <c r="A479" s="207" t="s">
        <v>63</v>
      </c>
      <c r="B479" s="255">
        <v>159</v>
      </c>
    </row>
    <row r="480" spans="1:2" ht="12.75" customHeight="1">
      <c r="A480" s="207" t="s">
        <v>64</v>
      </c>
      <c r="B480" s="255">
        <v>406</v>
      </c>
    </row>
    <row r="481" spans="1:2" ht="12.75" customHeight="1">
      <c r="A481" s="207" t="s">
        <v>65</v>
      </c>
      <c r="B481" s="255">
        <v>285</v>
      </c>
    </row>
    <row r="482" spans="1:2" ht="12.75" customHeight="1">
      <c r="A482" s="207" t="s">
        <v>66</v>
      </c>
      <c r="B482" s="255">
        <v>153</v>
      </c>
    </row>
    <row r="483" spans="1:2" ht="12.75" customHeight="1">
      <c r="A483" s="207" t="s">
        <v>67</v>
      </c>
      <c r="B483" s="255">
        <v>62</v>
      </c>
    </row>
    <row r="484" spans="1:2" ht="12.75" customHeight="1">
      <c r="A484" s="207" t="s">
        <v>68</v>
      </c>
      <c r="B484" s="255">
        <v>13</v>
      </c>
    </row>
    <row r="485" spans="1:2" ht="12.75" customHeight="1">
      <c r="A485" s="207" t="s">
        <v>69</v>
      </c>
      <c r="B485" s="255">
        <v>1</v>
      </c>
    </row>
    <row r="486" spans="1:2" ht="12.75" customHeight="1">
      <c r="A486" s="207" t="s">
        <v>70</v>
      </c>
      <c r="B486" s="255">
        <v>1</v>
      </c>
    </row>
    <row r="487" spans="1:2" ht="12.75" customHeight="1">
      <c r="A487" s="207" t="s">
        <v>45</v>
      </c>
      <c r="B487" s="255">
        <v>2</v>
      </c>
    </row>
    <row r="488" spans="1:2" ht="5.0999999999999996" customHeight="1">
      <c r="A488" s="207"/>
      <c r="B488" s="255"/>
    </row>
    <row r="489" spans="1:2" s="70" customFormat="1" ht="12.75" customHeight="1">
      <c r="A489" s="206" t="s">
        <v>45</v>
      </c>
      <c r="B489" s="254">
        <v>1</v>
      </c>
    </row>
    <row r="490" spans="1:2" ht="5.0999999999999996" customHeight="1">
      <c r="A490" s="207"/>
      <c r="B490" s="255"/>
    </row>
    <row r="491" spans="1:2" ht="12.75" customHeight="1">
      <c r="A491" s="207" t="s">
        <v>64</v>
      </c>
      <c r="B491" s="255">
        <v>1</v>
      </c>
    </row>
    <row r="492" spans="1:2" ht="5.0999999999999996" customHeight="1">
      <c r="A492" s="207"/>
      <c r="B492" s="255"/>
    </row>
    <row r="493" spans="1:2" ht="12.75" customHeight="1">
      <c r="A493" s="206" t="s">
        <v>88</v>
      </c>
      <c r="B493" s="254">
        <v>4596</v>
      </c>
    </row>
    <row r="494" spans="1:2" ht="5.0999999999999996" customHeight="1">
      <c r="A494" s="207"/>
      <c r="B494" s="255"/>
    </row>
    <row r="495" spans="1:2" ht="12.75" customHeight="1">
      <c r="A495" s="207" t="s">
        <v>63</v>
      </c>
      <c r="B495" s="255">
        <v>804</v>
      </c>
    </row>
    <row r="496" spans="1:2" ht="12.75" customHeight="1">
      <c r="A496" s="207" t="s">
        <v>64</v>
      </c>
      <c r="B496" s="255">
        <v>1639</v>
      </c>
    </row>
    <row r="497" spans="1:2" ht="12.75" customHeight="1">
      <c r="A497" s="207" t="s">
        <v>65</v>
      </c>
      <c r="B497" s="255">
        <v>1094</v>
      </c>
    </row>
    <row r="498" spans="1:2" ht="12.75" customHeight="1">
      <c r="A498" s="207" t="s">
        <v>66</v>
      </c>
      <c r="B498" s="255">
        <v>659</v>
      </c>
    </row>
    <row r="499" spans="1:2" ht="12.75" customHeight="1">
      <c r="A499" s="207" t="s">
        <v>67</v>
      </c>
      <c r="B499" s="255">
        <v>245</v>
      </c>
    </row>
    <row r="500" spans="1:2" ht="12.75" customHeight="1">
      <c r="A500" s="207" t="s">
        <v>68</v>
      </c>
      <c r="B500" s="255">
        <v>72</v>
      </c>
    </row>
    <row r="501" spans="1:2" ht="12.75" customHeight="1">
      <c r="A501" s="207" t="s">
        <v>69</v>
      </c>
      <c r="B501" s="255">
        <v>5</v>
      </c>
    </row>
    <row r="502" spans="1:2" ht="12.75" customHeight="1">
      <c r="A502" s="207" t="s">
        <v>45</v>
      </c>
      <c r="B502" s="255">
        <v>78</v>
      </c>
    </row>
    <row r="503" spans="1:2" ht="5.0999999999999996" customHeight="1">
      <c r="A503" s="207"/>
      <c r="B503" s="255"/>
    </row>
    <row r="504" spans="1:2" s="70" customFormat="1" ht="12.75" customHeight="1">
      <c r="A504" s="206" t="s">
        <v>41</v>
      </c>
      <c r="B504" s="254">
        <v>2097</v>
      </c>
    </row>
    <row r="505" spans="1:2" ht="5.0999999999999996" customHeight="1">
      <c r="A505" s="207"/>
      <c r="B505" s="255"/>
    </row>
    <row r="506" spans="1:2" ht="12.75" customHeight="1">
      <c r="A506" s="207" t="s">
        <v>63</v>
      </c>
      <c r="B506" s="255">
        <v>358</v>
      </c>
    </row>
    <row r="507" spans="1:2" ht="12.75" customHeight="1">
      <c r="A507" s="207" t="s">
        <v>64</v>
      </c>
      <c r="B507" s="255">
        <v>707</v>
      </c>
    </row>
    <row r="508" spans="1:2" ht="12.75" customHeight="1">
      <c r="A508" s="207" t="s">
        <v>65</v>
      </c>
      <c r="B508" s="255">
        <v>522</v>
      </c>
    </row>
    <row r="509" spans="1:2" ht="12.75" customHeight="1">
      <c r="A509" s="207" t="s">
        <v>66</v>
      </c>
      <c r="B509" s="255">
        <v>329</v>
      </c>
    </row>
    <row r="510" spans="1:2" ht="12.75" customHeight="1">
      <c r="A510" s="207" t="s">
        <v>67</v>
      </c>
      <c r="B510" s="255">
        <v>114</v>
      </c>
    </row>
    <row r="511" spans="1:2" ht="12.75" customHeight="1">
      <c r="A511" s="207" t="s">
        <v>68</v>
      </c>
      <c r="B511" s="255">
        <v>35</v>
      </c>
    </row>
    <row r="512" spans="1:2" ht="12.75" customHeight="1">
      <c r="A512" s="207" t="s">
        <v>69</v>
      </c>
      <c r="B512" s="255">
        <v>1</v>
      </c>
    </row>
    <row r="513" spans="1:2" ht="12.75" customHeight="1">
      <c r="A513" s="207" t="s">
        <v>45</v>
      </c>
      <c r="B513" s="255">
        <v>31</v>
      </c>
    </row>
    <row r="514" spans="1:2" ht="5.0999999999999996" customHeight="1">
      <c r="A514" s="207"/>
      <c r="B514" s="255"/>
    </row>
    <row r="515" spans="1:2" ht="12.75" customHeight="1">
      <c r="A515" s="206" t="s">
        <v>42</v>
      </c>
      <c r="B515" s="254">
        <v>2452</v>
      </c>
    </row>
    <row r="516" spans="1:2" ht="5.0999999999999996" customHeight="1">
      <c r="A516" s="207"/>
      <c r="B516" s="255"/>
    </row>
    <row r="517" spans="1:2" ht="12.75" customHeight="1">
      <c r="A517" s="207" t="s">
        <v>63</v>
      </c>
      <c r="B517" s="255">
        <v>435</v>
      </c>
    </row>
    <row r="518" spans="1:2" ht="12.75" customHeight="1">
      <c r="A518" s="207" t="s">
        <v>64</v>
      </c>
      <c r="B518" s="255">
        <v>922</v>
      </c>
    </row>
    <row r="519" spans="1:2" s="70" customFormat="1" ht="12.75" customHeight="1">
      <c r="A519" s="207" t="s">
        <v>65</v>
      </c>
      <c r="B519" s="255">
        <v>568</v>
      </c>
    </row>
    <row r="520" spans="1:2" ht="12.75" customHeight="1">
      <c r="A520" s="207" t="s">
        <v>66</v>
      </c>
      <c r="B520" s="255">
        <v>317</v>
      </c>
    </row>
    <row r="521" spans="1:2" ht="12.75" customHeight="1">
      <c r="A521" s="207" t="s">
        <v>67</v>
      </c>
      <c r="B521" s="255">
        <v>128</v>
      </c>
    </row>
    <row r="522" spans="1:2" ht="12.75" customHeight="1">
      <c r="A522" s="207" t="s">
        <v>68</v>
      </c>
      <c r="B522" s="255">
        <v>37</v>
      </c>
    </row>
    <row r="523" spans="1:2" ht="12.75" customHeight="1">
      <c r="A523" s="207" t="s">
        <v>69</v>
      </c>
      <c r="B523" s="255">
        <v>4</v>
      </c>
    </row>
    <row r="524" spans="1:2" ht="12.75" customHeight="1">
      <c r="A524" s="207" t="s">
        <v>45</v>
      </c>
      <c r="B524" s="255">
        <v>41</v>
      </c>
    </row>
    <row r="525" spans="1:2" ht="5.0999999999999996" customHeight="1">
      <c r="A525" s="207"/>
      <c r="B525" s="255"/>
    </row>
    <row r="526" spans="1:2" ht="12.75" customHeight="1">
      <c r="A526" s="206" t="s">
        <v>45</v>
      </c>
      <c r="B526" s="254">
        <v>47</v>
      </c>
    </row>
    <row r="527" spans="1:2" ht="5.0999999999999996" customHeight="1">
      <c r="A527" s="207"/>
      <c r="B527" s="255"/>
    </row>
    <row r="528" spans="1:2" ht="12.75" customHeight="1">
      <c r="A528" s="207" t="s">
        <v>63</v>
      </c>
      <c r="B528" s="255">
        <v>11</v>
      </c>
    </row>
    <row r="529" spans="1:2" ht="12.75" customHeight="1">
      <c r="A529" s="207" t="s">
        <v>64</v>
      </c>
      <c r="B529" s="255">
        <v>10</v>
      </c>
    </row>
    <row r="530" spans="1:2" ht="12.75" customHeight="1">
      <c r="A530" s="207" t="s">
        <v>65</v>
      </c>
      <c r="B530" s="255">
        <v>4</v>
      </c>
    </row>
    <row r="531" spans="1:2" ht="12.75" customHeight="1">
      <c r="A531" s="207" t="s">
        <v>66</v>
      </c>
      <c r="B531" s="255">
        <v>13</v>
      </c>
    </row>
    <row r="532" spans="1:2" ht="12.75" customHeight="1">
      <c r="A532" s="207" t="s">
        <v>67</v>
      </c>
      <c r="B532" s="255">
        <v>3</v>
      </c>
    </row>
    <row r="533" spans="1:2" ht="12.75" customHeight="1">
      <c r="A533" s="207" t="s">
        <v>45</v>
      </c>
      <c r="B533" s="255">
        <v>6</v>
      </c>
    </row>
    <row r="534" spans="1:2" s="70" customFormat="1" ht="5.0999999999999996" customHeight="1">
      <c r="A534" s="207"/>
      <c r="B534" s="255"/>
    </row>
    <row r="535" spans="1:2" ht="12.75" customHeight="1">
      <c r="A535" s="206" t="s">
        <v>89</v>
      </c>
      <c r="B535" s="254">
        <v>1532</v>
      </c>
    </row>
    <row r="536" spans="1:2" ht="5.0999999999999996" customHeight="1">
      <c r="A536" s="207"/>
      <c r="B536" s="255"/>
    </row>
    <row r="537" spans="1:2" ht="12.75" customHeight="1">
      <c r="A537" s="207" t="s">
        <v>63</v>
      </c>
      <c r="B537" s="255">
        <v>280</v>
      </c>
    </row>
    <row r="538" spans="1:2" ht="12.75" customHeight="1">
      <c r="A538" s="207" t="s">
        <v>64</v>
      </c>
      <c r="B538" s="255">
        <v>547</v>
      </c>
    </row>
    <row r="539" spans="1:2" ht="12.75" customHeight="1">
      <c r="A539" s="207" t="s">
        <v>65</v>
      </c>
      <c r="B539" s="255">
        <v>411</v>
      </c>
    </row>
    <row r="540" spans="1:2" ht="12.75" customHeight="1">
      <c r="A540" s="207" t="s">
        <v>66</v>
      </c>
      <c r="B540" s="255">
        <v>195</v>
      </c>
    </row>
    <row r="541" spans="1:2" ht="12.75" customHeight="1">
      <c r="A541" s="207" t="s">
        <v>67</v>
      </c>
      <c r="B541" s="255">
        <v>73</v>
      </c>
    </row>
    <row r="542" spans="1:2" ht="12.75" customHeight="1">
      <c r="A542" s="207" t="s">
        <v>68</v>
      </c>
      <c r="B542" s="255">
        <v>14</v>
      </c>
    </row>
    <row r="543" spans="1:2" ht="12.75" customHeight="1">
      <c r="A543" s="207" t="s">
        <v>69</v>
      </c>
      <c r="B543" s="255">
        <v>5</v>
      </c>
    </row>
    <row r="544" spans="1:2" ht="12.75" customHeight="1">
      <c r="A544" s="207" t="s">
        <v>45</v>
      </c>
      <c r="B544" s="255">
        <v>7</v>
      </c>
    </row>
    <row r="545" spans="1:2" ht="5.0999999999999996" customHeight="1">
      <c r="A545" s="207"/>
      <c r="B545" s="255"/>
    </row>
    <row r="546" spans="1:2" ht="12.75" customHeight="1">
      <c r="A546" s="206" t="s">
        <v>41</v>
      </c>
      <c r="B546" s="254">
        <v>1013</v>
      </c>
    </row>
    <row r="547" spans="1:2" ht="5.0999999999999996" customHeight="1">
      <c r="A547" s="207"/>
      <c r="B547" s="255"/>
    </row>
    <row r="548" spans="1:2" ht="12.75" customHeight="1">
      <c r="A548" s="207" t="s">
        <v>63</v>
      </c>
      <c r="B548" s="255">
        <v>181</v>
      </c>
    </row>
    <row r="549" spans="1:2" s="70" customFormat="1" ht="12.75" customHeight="1">
      <c r="A549" s="207" t="s">
        <v>64</v>
      </c>
      <c r="B549" s="255">
        <v>360</v>
      </c>
    </row>
    <row r="550" spans="1:2" ht="12.75" customHeight="1">
      <c r="A550" s="207" t="s">
        <v>65</v>
      </c>
      <c r="B550" s="255">
        <v>277</v>
      </c>
    </row>
    <row r="551" spans="1:2" ht="12.75" customHeight="1">
      <c r="A551" s="207" t="s">
        <v>66</v>
      </c>
      <c r="B551" s="255">
        <v>129</v>
      </c>
    </row>
    <row r="552" spans="1:2" ht="12.75" customHeight="1">
      <c r="A552" s="207" t="s">
        <v>67</v>
      </c>
      <c r="B552" s="255">
        <v>52</v>
      </c>
    </row>
    <row r="553" spans="1:2" ht="12.75" customHeight="1">
      <c r="A553" s="207" t="s">
        <v>68</v>
      </c>
      <c r="B553" s="255">
        <v>8</v>
      </c>
    </row>
    <row r="554" spans="1:2" ht="12.75" customHeight="1">
      <c r="A554" s="207" t="s">
        <v>69</v>
      </c>
      <c r="B554" s="255">
        <v>2</v>
      </c>
    </row>
    <row r="555" spans="1:2" ht="12.75" customHeight="1">
      <c r="A555" s="207" t="s">
        <v>45</v>
      </c>
      <c r="B555" s="255">
        <v>4</v>
      </c>
    </row>
    <row r="556" spans="1:2" ht="5.0999999999999996" customHeight="1">
      <c r="A556" s="207"/>
      <c r="B556" s="255"/>
    </row>
    <row r="557" spans="1:2" ht="12.75" customHeight="1">
      <c r="A557" s="206" t="s">
        <v>42</v>
      </c>
      <c r="B557" s="254">
        <v>518</v>
      </c>
    </row>
    <row r="558" spans="1:2" ht="5.0999999999999996" customHeight="1">
      <c r="A558" s="207"/>
      <c r="B558" s="255"/>
    </row>
    <row r="559" spans="1:2" ht="12.75" customHeight="1">
      <c r="A559" s="207" t="s">
        <v>63</v>
      </c>
      <c r="B559" s="255">
        <v>99</v>
      </c>
    </row>
    <row r="560" spans="1:2" ht="12.75" customHeight="1">
      <c r="A560" s="207" t="s">
        <v>64</v>
      </c>
      <c r="B560" s="255">
        <v>187</v>
      </c>
    </row>
    <row r="561" spans="1:2" ht="12.75" customHeight="1">
      <c r="A561" s="207" t="s">
        <v>65</v>
      </c>
      <c r="B561" s="255">
        <v>134</v>
      </c>
    </row>
    <row r="562" spans="1:2" ht="12.75" customHeight="1">
      <c r="A562" s="207" t="s">
        <v>66</v>
      </c>
      <c r="B562" s="255">
        <v>66</v>
      </c>
    </row>
    <row r="563" spans="1:2" s="70" customFormat="1" ht="12.75" customHeight="1">
      <c r="A563" s="207" t="s">
        <v>67</v>
      </c>
      <c r="B563" s="255">
        <v>20</v>
      </c>
    </row>
    <row r="564" spans="1:2" ht="12.75" customHeight="1">
      <c r="A564" s="207" t="s">
        <v>68</v>
      </c>
      <c r="B564" s="255">
        <v>6</v>
      </c>
    </row>
    <row r="565" spans="1:2" ht="12.75" customHeight="1">
      <c r="A565" s="207" t="s">
        <v>69</v>
      </c>
      <c r="B565" s="255">
        <v>3</v>
      </c>
    </row>
    <row r="566" spans="1:2" ht="12.75" customHeight="1">
      <c r="A566" s="207" t="s">
        <v>45</v>
      </c>
      <c r="B566" s="255">
        <v>3</v>
      </c>
    </row>
    <row r="567" spans="1:2" ht="5.0999999999999996" customHeight="1">
      <c r="A567" s="207"/>
      <c r="B567" s="255"/>
    </row>
    <row r="568" spans="1:2" ht="12.75" customHeight="1">
      <c r="A568" s="206" t="s">
        <v>45</v>
      </c>
      <c r="B568" s="254">
        <v>1</v>
      </c>
    </row>
    <row r="569" spans="1:2" ht="5.0999999999999996" customHeight="1">
      <c r="A569" s="207"/>
      <c r="B569" s="255"/>
    </row>
    <row r="570" spans="1:2" ht="12.75" customHeight="1">
      <c r="A570" s="207" t="s">
        <v>67</v>
      </c>
      <c r="B570" s="255">
        <v>1</v>
      </c>
    </row>
    <row r="571" spans="1:2" ht="5.0999999999999996" customHeight="1">
      <c r="A571" s="207"/>
      <c r="B571" s="255"/>
    </row>
    <row r="572" spans="1:2" ht="12.75" customHeight="1">
      <c r="A572" s="206" t="s">
        <v>90</v>
      </c>
      <c r="B572" s="254">
        <v>946</v>
      </c>
    </row>
    <row r="573" spans="1:2" ht="5.0999999999999996" customHeight="1">
      <c r="A573" s="207"/>
      <c r="B573" s="255"/>
    </row>
    <row r="574" spans="1:2" ht="12.75" customHeight="1">
      <c r="A574" s="207" t="s">
        <v>63</v>
      </c>
      <c r="B574" s="255">
        <v>158</v>
      </c>
    </row>
    <row r="575" spans="1:2" ht="12.75" customHeight="1">
      <c r="A575" s="207" t="s">
        <v>64</v>
      </c>
      <c r="B575" s="255">
        <v>351</v>
      </c>
    </row>
    <row r="576" spans="1:2" ht="12.75" customHeight="1">
      <c r="A576" s="207" t="s">
        <v>65</v>
      </c>
      <c r="B576" s="255">
        <v>210</v>
      </c>
    </row>
    <row r="577" spans="1:2" s="70" customFormat="1" ht="12.75" customHeight="1">
      <c r="A577" s="207" t="s">
        <v>66</v>
      </c>
      <c r="B577" s="255">
        <v>125</v>
      </c>
    </row>
    <row r="578" spans="1:2" ht="12.75" customHeight="1">
      <c r="A578" s="207" t="s">
        <v>67</v>
      </c>
      <c r="B578" s="255">
        <v>34</v>
      </c>
    </row>
    <row r="579" spans="1:2" ht="12.75" customHeight="1">
      <c r="A579" s="207" t="s">
        <v>68</v>
      </c>
      <c r="B579" s="255">
        <v>9</v>
      </c>
    </row>
    <row r="580" spans="1:2" ht="12.75" customHeight="1">
      <c r="A580" s="207" t="s">
        <v>69</v>
      </c>
      <c r="B580" s="255">
        <v>2</v>
      </c>
    </row>
    <row r="581" spans="1:2" ht="12.75" customHeight="1">
      <c r="A581" s="207" t="s">
        <v>45</v>
      </c>
      <c r="B581" s="255">
        <v>57</v>
      </c>
    </row>
    <row r="582" spans="1:2" ht="5.0999999999999996" customHeight="1">
      <c r="A582" s="207"/>
      <c r="B582" s="255"/>
    </row>
    <row r="583" spans="1:2" ht="12.75" customHeight="1">
      <c r="A583" s="206" t="s">
        <v>41</v>
      </c>
      <c r="B583" s="254">
        <v>562</v>
      </c>
    </row>
    <row r="584" spans="1:2" ht="5.0999999999999996" customHeight="1">
      <c r="A584" s="207"/>
      <c r="B584" s="255"/>
    </row>
    <row r="585" spans="1:2" ht="12.75" customHeight="1">
      <c r="A585" s="207" t="s">
        <v>63</v>
      </c>
      <c r="B585" s="255">
        <v>98</v>
      </c>
    </row>
    <row r="586" spans="1:2" ht="12.75" customHeight="1">
      <c r="A586" s="207" t="s">
        <v>64</v>
      </c>
      <c r="B586" s="255">
        <v>204</v>
      </c>
    </row>
    <row r="587" spans="1:2" ht="12.75" customHeight="1">
      <c r="A587" s="207" t="s">
        <v>65</v>
      </c>
      <c r="B587" s="255">
        <v>125</v>
      </c>
    </row>
    <row r="588" spans="1:2" ht="12.75" customHeight="1">
      <c r="A588" s="207" t="s">
        <v>66</v>
      </c>
      <c r="B588" s="255">
        <v>80</v>
      </c>
    </row>
    <row r="589" spans="1:2" ht="12.75" customHeight="1">
      <c r="A589" s="207" t="s">
        <v>67</v>
      </c>
      <c r="B589" s="255">
        <v>18</v>
      </c>
    </row>
    <row r="590" spans="1:2" ht="12.75" customHeight="1">
      <c r="A590" s="207" t="s">
        <v>68</v>
      </c>
      <c r="B590" s="255">
        <v>5</v>
      </c>
    </row>
    <row r="591" spans="1:2" ht="12.75" customHeight="1">
      <c r="A591" s="207" t="s">
        <v>69</v>
      </c>
      <c r="B591" s="255">
        <v>1</v>
      </c>
    </row>
    <row r="592" spans="1:2" s="70" customFormat="1" ht="12.75" customHeight="1">
      <c r="A592" s="207" t="s">
        <v>45</v>
      </c>
      <c r="B592" s="255">
        <v>31</v>
      </c>
    </row>
    <row r="593" spans="1:2" ht="5.0999999999999996" customHeight="1">
      <c r="A593" s="207"/>
      <c r="B593" s="255"/>
    </row>
    <row r="594" spans="1:2" ht="12.75" customHeight="1">
      <c r="A594" s="206" t="s">
        <v>42</v>
      </c>
      <c r="B594" s="254">
        <v>357</v>
      </c>
    </row>
    <row r="595" spans="1:2" ht="5.0999999999999996" customHeight="1">
      <c r="A595" s="207"/>
      <c r="B595" s="255"/>
    </row>
    <row r="596" spans="1:2" ht="12.75" customHeight="1">
      <c r="A596" s="207" t="s">
        <v>63</v>
      </c>
      <c r="B596" s="255">
        <v>58</v>
      </c>
    </row>
    <row r="597" spans="1:2" ht="12.75" customHeight="1">
      <c r="A597" s="207" t="s">
        <v>64</v>
      </c>
      <c r="B597" s="255">
        <v>138</v>
      </c>
    </row>
    <row r="598" spans="1:2" ht="12.75" customHeight="1">
      <c r="A598" s="207" t="s">
        <v>65</v>
      </c>
      <c r="B598" s="255">
        <v>80</v>
      </c>
    </row>
    <row r="599" spans="1:2" ht="12.75" customHeight="1">
      <c r="A599" s="207" t="s">
        <v>66</v>
      </c>
      <c r="B599" s="255">
        <v>43</v>
      </c>
    </row>
    <row r="600" spans="1:2" ht="12.75" customHeight="1">
      <c r="A600" s="207" t="s">
        <v>67</v>
      </c>
      <c r="B600" s="255">
        <v>14</v>
      </c>
    </row>
    <row r="601" spans="1:2" ht="12.75" customHeight="1">
      <c r="A601" s="207" t="s">
        <v>68</v>
      </c>
      <c r="B601" s="255">
        <v>4</v>
      </c>
    </row>
    <row r="602" spans="1:2" ht="12.75" customHeight="1">
      <c r="A602" s="207" t="s">
        <v>69</v>
      </c>
      <c r="B602" s="255">
        <v>1</v>
      </c>
    </row>
    <row r="603" spans="1:2" ht="12.75" customHeight="1">
      <c r="A603" s="207" t="s">
        <v>45</v>
      </c>
      <c r="B603" s="255">
        <v>19</v>
      </c>
    </row>
    <row r="604" spans="1:2" ht="5.0999999999999996" customHeight="1">
      <c r="A604" s="207"/>
      <c r="B604" s="255"/>
    </row>
    <row r="605" spans="1:2" ht="12.75" customHeight="1">
      <c r="A605" s="206" t="s">
        <v>45</v>
      </c>
      <c r="B605" s="254">
        <v>27</v>
      </c>
    </row>
    <row r="606" spans="1:2" s="70" customFormat="1" ht="5.0999999999999996" customHeight="1">
      <c r="A606" s="207"/>
      <c r="B606" s="255"/>
    </row>
    <row r="607" spans="1:2" ht="12.75" customHeight="1">
      <c r="A607" s="207" t="s">
        <v>63</v>
      </c>
      <c r="B607" s="255">
        <v>2</v>
      </c>
    </row>
    <row r="608" spans="1:2" ht="12.75" customHeight="1">
      <c r="A608" s="207" t="s">
        <v>64</v>
      </c>
      <c r="B608" s="255">
        <v>9</v>
      </c>
    </row>
    <row r="609" spans="1:2" ht="12.75" customHeight="1">
      <c r="A609" s="207" t="s">
        <v>65</v>
      </c>
      <c r="B609" s="255">
        <v>5</v>
      </c>
    </row>
    <row r="610" spans="1:2" ht="12.75" customHeight="1">
      <c r="A610" s="207" t="s">
        <v>66</v>
      </c>
      <c r="B610" s="255">
        <v>2</v>
      </c>
    </row>
    <row r="611" spans="1:2" ht="12.75" customHeight="1">
      <c r="A611" s="207" t="s">
        <v>67</v>
      </c>
      <c r="B611" s="255">
        <v>2</v>
      </c>
    </row>
    <row r="612" spans="1:2" ht="12.75" customHeight="1">
      <c r="A612" s="207" t="s">
        <v>45</v>
      </c>
      <c r="B612" s="255">
        <v>7</v>
      </c>
    </row>
    <row r="613" spans="1:2" ht="5.0999999999999996" customHeight="1">
      <c r="A613" s="207"/>
      <c r="B613" s="255"/>
    </row>
    <row r="614" spans="1:2" ht="12.75" customHeight="1">
      <c r="A614" s="206" t="s">
        <v>91</v>
      </c>
      <c r="B614" s="254">
        <v>290</v>
      </c>
    </row>
    <row r="615" spans="1:2" ht="5.0999999999999996" customHeight="1">
      <c r="A615" s="207"/>
      <c r="B615" s="255"/>
    </row>
    <row r="616" spans="1:2" ht="12.75" customHeight="1">
      <c r="A616" s="207" t="s">
        <v>63</v>
      </c>
      <c r="B616" s="255">
        <v>51</v>
      </c>
    </row>
    <row r="617" spans="1:2" ht="12.75" customHeight="1">
      <c r="A617" s="207" t="s">
        <v>64</v>
      </c>
      <c r="B617" s="255">
        <v>94</v>
      </c>
    </row>
    <row r="618" spans="1:2" ht="12.75" customHeight="1">
      <c r="A618" s="207" t="s">
        <v>65</v>
      </c>
      <c r="B618" s="255">
        <v>66</v>
      </c>
    </row>
    <row r="619" spans="1:2" ht="12.75" customHeight="1">
      <c r="A619" s="207" t="s">
        <v>66</v>
      </c>
      <c r="B619" s="255">
        <v>51</v>
      </c>
    </row>
    <row r="620" spans="1:2" ht="12.75" customHeight="1">
      <c r="A620" s="207" t="s">
        <v>67</v>
      </c>
      <c r="B620" s="255">
        <v>18</v>
      </c>
    </row>
    <row r="621" spans="1:2" s="70" customFormat="1" ht="12.75" customHeight="1">
      <c r="A621" s="207" t="s">
        <v>68</v>
      </c>
      <c r="B621" s="255">
        <v>6</v>
      </c>
    </row>
    <row r="622" spans="1:2" ht="12.75" customHeight="1">
      <c r="A622" s="207" t="s">
        <v>69</v>
      </c>
      <c r="B622" s="255">
        <v>1</v>
      </c>
    </row>
    <row r="623" spans="1:2" ht="12.75" customHeight="1">
      <c r="A623" s="207" t="s">
        <v>45</v>
      </c>
      <c r="B623" s="255">
        <v>3</v>
      </c>
    </row>
    <row r="624" spans="1:2" ht="5.0999999999999996" customHeight="1">
      <c r="A624" s="207"/>
      <c r="B624" s="255"/>
    </row>
    <row r="625" spans="1:2" ht="12.75" customHeight="1">
      <c r="A625" s="206" t="s">
        <v>41</v>
      </c>
      <c r="B625" s="254">
        <v>197</v>
      </c>
    </row>
    <row r="626" spans="1:2" ht="5.0999999999999996" customHeight="1">
      <c r="A626" s="207"/>
      <c r="B626" s="255"/>
    </row>
    <row r="627" spans="1:2" ht="12.75" customHeight="1">
      <c r="A627" s="207" t="s">
        <v>63</v>
      </c>
      <c r="B627" s="255">
        <v>34</v>
      </c>
    </row>
    <row r="628" spans="1:2" ht="12.75" customHeight="1">
      <c r="A628" s="207" t="s">
        <v>64</v>
      </c>
      <c r="B628" s="255">
        <v>59</v>
      </c>
    </row>
    <row r="629" spans="1:2" ht="12.75" customHeight="1">
      <c r="A629" s="207" t="s">
        <v>65</v>
      </c>
      <c r="B629" s="255">
        <v>45</v>
      </c>
    </row>
    <row r="630" spans="1:2" ht="12.75" customHeight="1">
      <c r="A630" s="207" t="s">
        <v>66</v>
      </c>
      <c r="B630" s="255">
        <v>37</v>
      </c>
    </row>
    <row r="631" spans="1:2" ht="12.75" customHeight="1">
      <c r="A631" s="207" t="s">
        <v>67</v>
      </c>
      <c r="B631" s="255">
        <v>14</v>
      </c>
    </row>
    <row r="632" spans="1:2" ht="12.75" customHeight="1">
      <c r="A632" s="207" t="s">
        <v>68</v>
      </c>
      <c r="B632" s="255">
        <v>5</v>
      </c>
    </row>
    <row r="633" spans="1:2" ht="12.75" customHeight="1">
      <c r="A633" s="207" t="s">
        <v>69</v>
      </c>
      <c r="B633" s="255">
        <v>1</v>
      </c>
    </row>
    <row r="634" spans="1:2" ht="12.75" customHeight="1">
      <c r="A634" s="207" t="s">
        <v>45</v>
      </c>
      <c r="B634" s="255">
        <v>2</v>
      </c>
    </row>
    <row r="635" spans="1:2" s="70" customFormat="1" ht="5.0999999999999996" customHeight="1">
      <c r="A635" s="207"/>
      <c r="B635" s="255"/>
    </row>
    <row r="636" spans="1:2" ht="12.75" customHeight="1">
      <c r="A636" s="206" t="s">
        <v>42</v>
      </c>
      <c r="B636" s="254">
        <v>93</v>
      </c>
    </row>
    <row r="637" spans="1:2" ht="5.0999999999999996" customHeight="1">
      <c r="A637" s="207"/>
      <c r="B637" s="255"/>
    </row>
    <row r="638" spans="1:2" ht="12.75" customHeight="1">
      <c r="A638" s="207" t="s">
        <v>63</v>
      </c>
      <c r="B638" s="255">
        <v>17</v>
      </c>
    </row>
    <row r="639" spans="1:2" ht="12.75" customHeight="1">
      <c r="A639" s="207" t="s">
        <v>64</v>
      </c>
      <c r="B639" s="255">
        <v>35</v>
      </c>
    </row>
    <row r="640" spans="1:2" ht="12.75" customHeight="1">
      <c r="A640" s="207" t="s">
        <v>65</v>
      </c>
      <c r="B640" s="255">
        <v>21</v>
      </c>
    </row>
    <row r="641" spans="1:2" ht="12.75" customHeight="1">
      <c r="A641" s="207" t="s">
        <v>66</v>
      </c>
      <c r="B641" s="255">
        <v>14</v>
      </c>
    </row>
    <row r="642" spans="1:2" ht="12.75" customHeight="1">
      <c r="A642" s="207" t="s">
        <v>67</v>
      </c>
      <c r="B642" s="255">
        <v>4</v>
      </c>
    </row>
    <row r="643" spans="1:2" ht="12.75" customHeight="1">
      <c r="A643" s="207" t="s">
        <v>68</v>
      </c>
      <c r="B643" s="255">
        <v>1</v>
      </c>
    </row>
    <row r="644" spans="1:2" ht="12.75" customHeight="1">
      <c r="A644" s="207" t="s">
        <v>45</v>
      </c>
      <c r="B644" s="255">
        <v>1</v>
      </c>
    </row>
    <row r="645" spans="1:2" ht="5.0999999999999996" customHeight="1">
      <c r="A645" s="207"/>
      <c r="B645" s="255"/>
    </row>
    <row r="646" spans="1:2" ht="12.75" customHeight="1">
      <c r="A646" s="206" t="s">
        <v>92</v>
      </c>
      <c r="B646" s="254">
        <v>2091</v>
      </c>
    </row>
    <row r="647" spans="1:2" ht="5.0999999999999996" customHeight="1">
      <c r="A647" s="207"/>
      <c r="B647" s="255"/>
    </row>
    <row r="648" spans="1:2" ht="12.75" customHeight="1">
      <c r="A648" s="207" t="s">
        <v>63</v>
      </c>
      <c r="B648" s="255">
        <v>276</v>
      </c>
    </row>
    <row r="649" spans="1:2" ht="12.75" customHeight="1">
      <c r="A649" s="207" t="s">
        <v>64</v>
      </c>
      <c r="B649" s="255">
        <v>744</v>
      </c>
    </row>
    <row r="650" spans="1:2" ht="12.75" customHeight="1">
      <c r="A650" s="207" t="s">
        <v>65</v>
      </c>
      <c r="B650" s="255">
        <v>555</v>
      </c>
    </row>
    <row r="651" spans="1:2" s="70" customFormat="1" ht="12.75" customHeight="1">
      <c r="A651" s="207" t="s">
        <v>66</v>
      </c>
      <c r="B651" s="255">
        <v>338</v>
      </c>
    </row>
    <row r="652" spans="1:2" ht="12.75" customHeight="1">
      <c r="A652" s="207" t="s">
        <v>67</v>
      </c>
      <c r="B652" s="255">
        <v>138</v>
      </c>
    </row>
    <row r="653" spans="1:2" ht="12.75" customHeight="1">
      <c r="A653" s="207" t="s">
        <v>68</v>
      </c>
      <c r="B653" s="255">
        <v>28</v>
      </c>
    </row>
    <row r="654" spans="1:2" ht="12.75" customHeight="1">
      <c r="A654" s="207" t="s">
        <v>69</v>
      </c>
      <c r="B654" s="255">
        <v>1</v>
      </c>
    </row>
    <row r="655" spans="1:2" ht="12.75" customHeight="1">
      <c r="A655" s="207" t="s">
        <v>70</v>
      </c>
      <c r="B655" s="255">
        <v>1</v>
      </c>
    </row>
    <row r="656" spans="1:2" ht="12.75" customHeight="1">
      <c r="A656" s="207" t="s">
        <v>45</v>
      </c>
      <c r="B656" s="255">
        <v>10</v>
      </c>
    </row>
    <row r="657" spans="1:2" ht="5.0999999999999996" customHeight="1">
      <c r="A657" s="207"/>
      <c r="B657" s="255"/>
    </row>
    <row r="658" spans="1:2" ht="12.75" customHeight="1">
      <c r="A658" s="206" t="s">
        <v>41</v>
      </c>
      <c r="B658" s="254">
        <v>1137</v>
      </c>
    </row>
    <row r="659" spans="1:2" ht="5.0999999999999996" customHeight="1">
      <c r="A659" s="207"/>
      <c r="B659" s="255"/>
    </row>
    <row r="660" spans="1:2" ht="12.75" customHeight="1">
      <c r="A660" s="207" t="s">
        <v>63</v>
      </c>
      <c r="B660" s="255">
        <v>151</v>
      </c>
    </row>
    <row r="661" spans="1:2" ht="12.75" customHeight="1">
      <c r="A661" s="207" t="s">
        <v>64</v>
      </c>
      <c r="B661" s="255">
        <v>406</v>
      </c>
    </row>
    <row r="662" spans="1:2" ht="12.75" customHeight="1">
      <c r="A662" s="207" t="s">
        <v>65</v>
      </c>
      <c r="B662" s="255">
        <v>290</v>
      </c>
    </row>
    <row r="663" spans="1:2" ht="12.75" customHeight="1">
      <c r="A663" s="207" t="s">
        <v>66</v>
      </c>
      <c r="B663" s="255">
        <v>177</v>
      </c>
    </row>
    <row r="664" spans="1:2" ht="12.75" customHeight="1">
      <c r="A664" s="207" t="s">
        <v>67</v>
      </c>
      <c r="B664" s="255">
        <v>87</v>
      </c>
    </row>
    <row r="665" spans="1:2" s="70" customFormat="1" ht="12.75" customHeight="1">
      <c r="A665" s="207" t="s">
        <v>68</v>
      </c>
      <c r="B665" s="255">
        <v>20</v>
      </c>
    </row>
    <row r="666" spans="1:2" ht="12.75" customHeight="1">
      <c r="A666" s="207" t="s">
        <v>69</v>
      </c>
      <c r="B666" s="255">
        <v>1</v>
      </c>
    </row>
    <row r="667" spans="1:2" ht="12.75" customHeight="1">
      <c r="A667" s="207" t="s">
        <v>45</v>
      </c>
      <c r="B667" s="255">
        <v>5</v>
      </c>
    </row>
    <row r="668" spans="1:2" ht="5.0999999999999996" customHeight="1">
      <c r="A668" s="207"/>
      <c r="B668" s="255"/>
    </row>
    <row r="669" spans="1:2" ht="12.75" customHeight="1">
      <c r="A669" s="206" t="s">
        <v>42</v>
      </c>
      <c r="B669" s="254">
        <v>941</v>
      </c>
    </row>
    <row r="670" spans="1:2" ht="5.0999999999999996" customHeight="1">
      <c r="A670" s="207"/>
      <c r="B670" s="255"/>
    </row>
    <row r="671" spans="1:2" ht="12.75" customHeight="1">
      <c r="A671" s="207" t="s">
        <v>63</v>
      </c>
      <c r="B671" s="255">
        <v>125</v>
      </c>
    </row>
    <row r="672" spans="1:2" ht="12.75" customHeight="1">
      <c r="A672" s="207" t="s">
        <v>64</v>
      </c>
      <c r="B672" s="255">
        <v>332</v>
      </c>
    </row>
    <row r="673" spans="1:2" ht="12.75" customHeight="1">
      <c r="A673" s="207" t="s">
        <v>65</v>
      </c>
      <c r="B673" s="255">
        <v>260</v>
      </c>
    </row>
    <row r="674" spans="1:2" ht="12.75" customHeight="1">
      <c r="A674" s="207" t="s">
        <v>66</v>
      </c>
      <c r="B674" s="255">
        <v>160</v>
      </c>
    </row>
    <row r="675" spans="1:2" ht="12.75" customHeight="1">
      <c r="A675" s="207" t="s">
        <v>67</v>
      </c>
      <c r="B675" s="255">
        <v>50</v>
      </c>
    </row>
    <row r="676" spans="1:2" ht="12.75" customHeight="1">
      <c r="A676" s="207" t="s">
        <v>68</v>
      </c>
      <c r="B676" s="255">
        <v>8</v>
      </c>
    </row>
    <row r="677" spans="1:2" ht="12.75" customHeight="1">
      <c r="A677" s="207" t="s">
        <v>70</v>
      </c>
      <c r="B677" s="255">
        <v>1</v>
      </c>
    </row>
    <row r="678" spans="1:2" ht="12.75" customHeight="1">
      <c r="A678" s="207" t="s">
        <v>45</v>
      </c>
      <c r="B678" s="255">
        <v>5</v>
      </c>
    </row>
    <row r="679" spans="1:2" s="70" customFormat="1" ht="5.0999999999999996" customHeight="1">
      <c r="A679" s="207"/>
      <c r="B679" s="255"/>
    </row>
    <row r="680" spans="1:2" ht="12.75" customHeight="1">
      <c r="A680" s="206" t="s">
        <v>45</v>
      </c>
      <c r="B680" s="254">
        <v>13</v>
      </c>
    </row>
    <row r="681" spans="1:2" ht="5.0999999999999996" customHeight="1">
      <c r="A681" s="207"/>
      <c r="B681" s="255"/>
    </row>
    <row r="682" spans="1:2" ht="12.75" customHeight="1">
      <c r="A682" s="207" t="s">
        <v>64</v>
      </c>
      <c r="B682" s="255">
        <v>6</v>
      </c>
    </row>
    <row r="683" spans="1:2" ht="12.75" customHeight="1">
      <c r="A683" s="207" t="s">
        <v>65</v>
      </c>
      <c r="B683" s="255">
        <v>5</v>
      </c>
    </row>
    <row r="684" spans="1:2" ht="12.75" customHeight="1">
      <c r="A684" s="207" t="s">
        <v>66</v>
      </c>
      <c r="B684" s="255">
        <v>1</v>
      </c>
    </row>
    <row r="685" spans="1:2" ht="12.75" customHeight="1">
      <c r="A685" s="207" t="s">
        <v>67</v>
      </c>
      <c r="B685" s="255">
        <v>1</v>
      </c>
    </row>
    <row r="686" spans="1:2" ht="5.0999999999999996" customHeight="1">
      <c r="A686" s="207"/>
      <c r="B686" s="255"/>
    </row>
    <row r="687" spans="1:2" ht="12.75" customHeight="1">
      <c r="A687" s="206" t="s">
        <v>93</v>
      </c>
      <c r="B687" s="254">
        <v>3169</v>
      </c>
    </row>
    <row r="688" spans="1:2" ht="5.0999999999999996" customHeight="1">
      <c r="A688" s="207"/>
      <c r="B688" s="255"/>
    </row>
    <row r="689" spans="1:2" ht="12.75" customHeight="1">
      <c r="A689" s="207" t="s">
        <v>63</v>
      </c>
      <c r="B689" s="255">
        <v>463</v>
      </c>
    </row>
    <row r="690" spans="1:2" ht="12.75" customHeight="1">
      <c r="A690" s="207" t="s">
        <v>64</v>
      </c>
      <c r="B690" s="255">
        <v>1161</v>
      </c>
    </row>
    <row r="691" spans="1:2" ht="12.75" customHeight="1">
      <c r="A691" s="207" t="s">
        <v>65</v>
      </c>
      <c r="B691" s="255">
        <v>792</v>
      </c>
    </row>
    <row r="692" spans="1:2" ht="12.75" customHeight="1">
      <c r="A692" s="207" t="s">
        <v>66</v>
      </c>
      <c r="B692" s="255">
        <v>474</v>
      </c>
    </row>
    <row r="693" spans="1:2" ht="12.75" customHeight="1">
      <c r="A693" s="207" t="s">
        <v>67</v>
      </c>
      <c r="B693" s="255">
        <v>191</v>
      </c>
    </row>
    <row r="694" spans="1:2" s="70" customFormat="1" ht="12.75" customHeight="1">
      <c r="A694" s="207" t="s">
        <v>68</v>
      </c>
      <c r="B694" s="255">
        <v>46</v>
      </c>
    </row>
    <row r="695" spans="1:2" ht="12.75" customHeight="1">
      <c r="A695" s="207" t="s">
        <v>69</v>
      </c>
      <c r="B695" s="255">
        <v>2</v>
      </c>
    </row>
    <row r="696" spans="1:2" ht="12.75" customHeight="1">
      <c r="A696" s="207" t="s">
        <v>45</v>
      </c>
      <c r="B696" s="255">
        <v>40</v>
      </c>
    </row>
    <row r="697" spans="1:2" ht="5.0999999999999996" customHeight="1">
      <c r="A697" s="207"/>
      <c r="B697" s="255"/>
    </row>
    <row r="698" spans="1:2" ht="12.75" customHeight="1">
      <c r="A698" s="206" t="s">
        <v>41</v>
      </c>
      <c r="B698" s="254">
        <v>2819</v>
      </c>
    </row>
    <row r="699" spans="1:2" ht="5.0999999999999996" customHeight="1">
      <c r="A699" s="207"/>
      <c r="B699" s="255"/>
    </row>
    <row r="700" spans="1:2" ht="12.75" customHeight="1">
      <c r="A700" s="207" t="s">
        <v>63</v>
      </c>
      <c r="B700" s="255">
        <v>409</v>
      </c>
    </row>
    <row r="701" spans="1:2" ht="12.75" customHeight="1">
      <c r="A701" s="207" t="s">
        <v>64</v>
      </c>
      <c r="B701" s="255">
        <v>1024</v>
      </c>
    </row>
    <row r="702" spans="1:2" ht="12.75" customHeight="1">
      <c r="A702" s="207" t="s">
        <v>65</v>
      </c>
      <c r="B702" s="255">
        <v>713</v>
      </c>
    </row>
    <row r="703" spans="1:2" ht="12.75" customHeight="1">
      <c r="A703" s="207" t="s">
        <v>66</v>
      </c>
      <c r="B703" s="255">
        <v>429</v>
      </c>
    </row>
    <row r="704" spans="1:2" ht="12.75" customHeight="1">
      <c r="A704" s="207" t="s">
        <v>67</v>
      </c>
      <c r="B704" s="255">
        <v>177</v>
      </c>
    </row>
    <row r="705" spans="1:2" ht="12.75" customHeight="1">
      <c r="A705" s="207" t="s">
        <v>68</v>
      </c>
      <c r="B705" s="255">
        <v>43</v>
      </c>
    </row>
    <row r="706" spans="1:2" ht="12.75" customHeight="1">
      <c r="A706" s="207" t="s">
        <v>69</v>
      </c>
      <c r="B706" s="255">
        <v>2</v>
      </c>
    </row>
    <row r="707" spans="1:2" ht="12.75" customHeight="1">
      <c r="A707" s="207" t="s">
        <v>45</v>
      </c>
      <c r="B707" s="255">
        <v>22</v>
      </c>
    </row>
    <row r="708" spans="1:2" ht="5.0999999999999996" customHeight="1">
      <c r="A708" s="207"/>
      <c r="B708" s="255"/>
    </row>
    <row r="709" spans="1:2" s="70" customFormat="1" ht="12.75" customHeight="1">
      <c r="A709" s="206" t="s">
        <v>42</v>
      </c>
      <c r="B709" s="254">
        <v>341</v>
      </c>
    </row>
    <row r="710" spans="1:2" ht="5.0999999999999996" customHeight="1">
      <c r="A710" s="207"/>
      <c r="B710" s="255"/>
    </row>
    <row r="711" spans="1:2" ht="12.75" customHeight="1">
      <c r="A711" s="207" t="s">
        <v>63</v>
      </c>
      <c r="B711" s="255">
        <v>53</v>
      </c>
    </row>
    <row r="712" spans="1:2" ht="12.75" customHeight="1">
      <c r="A712" s="207" t="s">
        <v>64</v>
      </c>
      <c r="B712" s="255">
        <v>134</v>
      </c>
    </row>
    <row r="713" spans="1:2" ht="12.75" customHeight="1">
      <c r="A713" s="207" t="s">
        <v>65</v>
      </c>
      <c r="B713" s="255">
        <v>78</v>
      </c>
    </row>
    <row r="714" spans="1:2" ht="12.75" customHeight="1">
      <c r="A714" s="207" t="s">
        <v>66</v>
      </c>
      <c r="B714" s="255">
        <v>42</v>
      </c>
    </row>
    <row r="715" spans="1:2" ht="12.75" customHeight="1">
      <c r="A715" s="207" t="s">
        <v>67</v>
      </c>
      <c r="B715" s="255">
        <v>14</v>
      </c>
    </row>
    <row r="716" spans="1:2" ht="12.75" customHeight="1">
      <c r="A716" s="207" t="s">
        <v>68</v>
      </c>
      <c r="B716" s="255">
        <v>2</v>
      </c>
    </row>
    <row r="717" spans="1:2" ht="12.75" customHeight="1">
      <c r="A717" s="207" t="s">
        <v>45</v>
      </c>
      <c r="B717" s="255">
        <v>18</v>
      </c>
    </row>
    <row r="718" spans="1:2" ht="5.0999999999999996" customHeight="1">
      <c r="A718" s="207"/>
      <c r="B718" s="255"/>
    </row>
    <row r="719" spans="1:2" ht="12.75" customHeight="1">
      <c r="A719" s="206" t="s">
        <v>45</v>
      </c>
      <c r="B719" s="254">
        <v>9</v>
      </c>
    </row>
    <row r="720" spans="1:2" ht="5.0999999999999996" customHeight="1">
      <c r="A720" s="207"/>
      <c r="B720" s="255"/>
    </row>
    <row r="721" spans="1:2" ht="12.75" customHeight="1">
      <c r="A721" s="207" t="s">
        <v>63</v>
      </c>
      <c r="B721" s="255">
        <v>1</v>
      </c>
    </row>
    <row r="722" spans="1:2" ht="12.75" customHeight="1">
      <c r="A722" s="207" t="s">
        <v>64</v>
      </c>
      <c r="B722" s="255">
        <v>3</v>
      </c>
    </row>
    <row r="723" spans="1:2" s="70" customFormat="1" ht="12.75" customHeight="1">
      <c r="A723" s="207" t="s">
        <v>65</v>
      </c>
      <c r="B723" s="255">
        <v>1</v>
      </c>
    </row>
    <row r="724" spans="1:2" ht="12.75" customHeight="1">
      <c r="A724" s="207" t="s">
        <v>66</v>
      </c>
      <c r="B724" s="255">
        <v>3</v>
      </c>
    </row>
    <row r="725" spans="1:2" ht="12.75" customHeight="1">
      <c r="A725" s="207" t="s">
        <v>68</v>
      </c>
      <c r="B725" s="255">
        <v>1</v>
      </c>
    </row>
    <row r="726" spans="1:2" ht="5.0999999999999996" customHeight="1">
      <c r="A726" s="207"/>
      <c r="B726" s="255"/>
    </row>
    <row r="727" spans="1:2" ht="12.75" customHeight="1">
      <c r="A727" s="206" t="s">
        <v>224</v>
      </c>
      <c r="B727" s="254">
        <v>1200</v>
      </c>
    </row>
    <row r="728" spans="1:2" ht="5.0999999999999996" customHeight="1">
      <c r="A728" s="207"/>
      <c r="B728" s="255"/>
    </row>
    <row r="729" spans="1:2" ht="12.75" customHeight="1">
      <c r="A729" s="207" t="s">
        <v>63</v>
      </c>
      <c r="B729" s="255">
        <v>211</v>
      </c>
    </row>
    <row r="730" spans="1:2" ht="12.75" customHeight="1">
      <c r="A730" s="207" t="s">
        <v>64</v>
      </c>
      <c r="B730" s="255">
        <v>395</v>
      </c>
    </row>
    <row r="731" spans="1:2" ht="12.75" customHeight="1">
      <c r="A731" s="207" t="s">
        <v>65</v>
      </c>
      <c r="B731" s="255">
        <v>325</v>
      </c>
    </row>
    <row r="732" spans="1:2" ht="12.75" customHeight="1">
      <c r="A732" s="207" t="s">
        <v>66</v>
      </c>
      <c r="B732" s="255">
        <v>188</v>
      </c>
    </row>
    <row r="733" spans="1:2" ht="12.75" customHeight="1">
      <c r="A733" s="207" t="s">
        <v>67</v>
      </c>
      <c r="B733" s="255">
        <v>52</v>
      </c>
    </row>
    <row r="734" spans="1:2" ht="12.75" customHeight="1">
      <c r="A734" s="207" t="s">
        <v>68</v>
      </c>
      <c r="B734" s="255">
        <v>18</v>
      </c>
    </row>
    <row r="735" spans="1:2" ht="12.75" customHeight="1">
      <c r="A735" s="207" t="s">
        <v>69</v>
      </c>
      <c r="B735" s="255">
        <v>1</v>
      </c>
    </row>
    <row r="736" spans="1:2" ht="12.75" customHeight="1">
      <c r="A736" s="207" t="s">
        <v>45</v>
      </c>
      <c r="B736" s="255">
        <v>10</v>
      </c>
    </row>
    <row r="737" spans="1:2" s="70" customFormat="1" ht="5.0999999999999996" customHeight="1">
      <c r="A737" s="207"/>
      <c r="B737" s="255"/>
    </row>
    <row r="738" spans="1:2" ht="12.75" customHeight="1">
      <c r="A738" s="206" t="s">
        <v>41</v>
      </c>
      <c r="B738" s="254">
        <v>435</v>
      </c>
    </row>
    <row r="739" spans="1:2" ht="5.0999999999999996" customHeight="1">
      <c r="A739" s="207"/>
      <c r="B739" s="255"/>
    </row>
    <row r="740" spans="1:2" ht="12.75" customHeight="1">
      <c r="A740" s="207" t="s">
        <v>63</v>
      </c>
      <c r="B740" s="255">
        <v>64</v>
      </c>
    </row>
    <row r="741" spans="1:2" ht="12.75" customHeight="1">
      <c r="A741" s="207" t="s">
        <v>64</v>
      </c>
      <c r="B741" s="255">
        <v>149</v>
      </c>
    </row>
    <row r="742" spans="1:2" ht="12.75" customHeight="1">
      <c r="A742" s="207" t="s">
        <v>65</v>
      </c>
      <c r="B742" s="255">
        <v>118</v>
      </c>
    </row>
    <row r="743" spans="1:2" ht="12.75" customHeight="1">
      <c r="A743" s="207" t="s">
        <v>66</v>
      </c>
      <c r="B743" s="255">
        <v>77</v>
      </c>
    </row>
    <row r="744" spans="1:2" ht="12.75" customHeight="1">
      <c r="A744" s="207" t="s">
        <v>67</v>
      </c>
      <c r="B744" s="255">
        <v>21</v>
      </c>
    </row>
    <row r="745" spans="1:2" ht="12.75" customHeight="1">
      <c r="A745" s="207" t="s">
        <v>68</v>
      </c>
      <c r="B745" s="255">
        <v>6</v>
      </c>
    </row>
    <row r="746" spans="1:2" ht="5.0999999999999996" customHeight="1">
      <c r="A746" s="207"/>
      <c r="B746" s="255"/>
    </row>
    <row r="747" spans="1:2" ht="12.75" customHeight="1">
      <c r="A747" s="206" t="s">
        <v>42</v>
      </c>
      <c r="B747" s="254">
        <v>761</v>
      </c>
    </row>
    <row r="748" spans="1:2" ht="5.0999999999999996" customHeight="1">
      <c r="A748" s="207"/>
      <c r="B748" s="255"/>
    </row>
    <row r="749" spans="1:2" ht="12.75" customHeight="1">
      <c r="A749" s="207" t="s">
        <v>63</v>
      </c>
      <c r="B749" s="255">
        <v>146</v>
      </c>
    </row>
    <row r="750" spans="1:2" ht="12.75" customHeight="1">
      <c r="A750" s="207" t="s">
        <v>64</v>
      </c>
      <c r="B750" s="255">
        <v>245</v>
      </c>
    </row>
    <row r="751" spans="1:2" ht="12.75" customHeight="1">
      <c r="A751" s="207" t="s">
        <v>65</v>
      </c>
      <c r="B751" s="255">
        <v>206</v>
      </c>
    </row>
    <row r="752" spans="1:2" s="70" customFormat="1" ht="12.75" customHeight="1">
      <c r="A752" s="207" t="s">
        <v>66</v>
      </c>
      <c r="B752" s="255">
        <v>111</v>
      </c>
    </row>
    <row r="753" spans="1:2" ht="12.75" customHeight="1">
      <c r="A753" s="207" t="s">
        <v>67</v>
      </c>
      <c r="B753" s="255">
        <v>30</v>
      </c>
    </row>
    <row r="754" spans="1:2" ht="12.75" customHeight="1">
      <c r="A754" s="207" t="s">
        <v>68</v>
      </c>
      <c r="B754" s="255">
        <v>12</v>
      </c>
    </row>
    <row r="755" spans="1:2" ht="12.75" customHeight="1">
      <c r="A755" s="207" t="s">
        <v>69</v>
      </c>
      <c r="B755" s="255">
        <v>1</v>
      </c>
    </row>
    <row r="756" spans="1:2" ht="12.75" customHeight="1">
      <c r="A756" s="207" t="s">
        <v>45</v>
      </c>
      <c r="B756" s="255">
        <v>10</v>
      </c>
    </row>
    <row r="757" spans="1:2" ht="5.0999999999999996" customHeight="1">
      <c r="A757" s="207"/>
      <c r="B757" s="255"/>
    </row>
    <row r="758" spans="1:2" ht="12.75" customHeight="1">
      <c r="A758" s="206" t="s">
        <v>45</v>
      </c>
      <c r="B758" s="254">
        <v>4</v>
      </c>
    </row>
    <row r="759" spans="1:2" ht="5.0999999999999996" customHeight="1">
      <c r="A759" s="207"/>
      <c r="B759" s="255"/>
    </row>
    <row r="760" spans="1:2" ht="12.75" customHeight="1">
      <c r="A760" s="207" t="s">
        <v>63</v>
      </c>
      <c r="B760" s="255">
        <v>1</v>
      </c>
    </row>
    <row r="761" spans="1:2" ht="12.75" customHeight="1">
      <c r="A761" s="207" t="s">
        <v>64</v>
      </c>
      <c r="B761" s="255">
        <v>1</v>
      </c>
    </row>
    <row r="762" spans="1:2" ht="12.75" customHeight="1">
      <c r="A762" s="207" t="s">
        <v>65</v>
      </c>
      <c r="B762" s="255">
        <v>1</v>
      </c>
    </row>
    <row r="763" spans="1:2" ht="12.75" customHeight="1">
      <c r="A763" s="207" t="s">
        <v>67</v>
      </c>
      <c r="B763" s="255">
        <v>1</v>
      </c>
    </row>
    <row r="764" spans="1:2" ht="5.0999999999999996" customHeight="1">
      <c r="A764" s="207"/>
      <c r="B764" s="255"/>
    </row>
    <row r="765" spans="1:2" ht="12.75" customHeight="1">
      <c r="A765" s="206" t="s">
        <v>95</v>
      </c>
      <c r="B765" s="254">
        <v>1236</v>
      </c>
    </row>
    <row r="766" spans="1:2" s="70" customFormat="1" ht="5.0999999999999996" customHeight="1">
      <c r="A766" s="207"/>
      <c r="B766" s="255"/>
    </row>
    <row r="767" spans="1:2" ht="12.75" customHeight="1">
      <c r="A767" s="207" t="s">
        <v>63</v>
      </c>
      <c r="B767" s="255">
        <v>177</v>
      </c>
    </row>
    <row r="768" spans="1:2" ht="12.75" customHeight="1">
      <c r="A768" s="207" t="s">
        <v>64</v>
      </c>
      <c r="B768" s="255">
        <v>438</v>
      </c>
    </row>
    <row r="769" spans="1:2" ht="12.75" customHeight="1">
      <c r="A769" s="207" t="s">
        <v>65</v>
      </c>
      <c r="B769" s="255">
        <v>345</v>
      </c>
    </row>
    <row r="770" spans="1:2" ht="12.75" customHeight="1">
      <c r="A770" s="207" t="s">
        <v>66</v>
      </c>
      <c r="B770" s="255">
        <v>173</v>
      </c>
    </row>
    <row r="771" spans="1:2" ht="12.75" customHeight="1">
      <c r="A771" s="207" t="s">
        <v>67</v>
      </c>
      <c r="B771" s="255">
        <v>70</v>
      </c>
    </row>
    <row r="772" spans="1:2" ht="12.75" customHeight="1">
      <c r="A772" s="207" t="s">
        <v>68</v>
      </c>
      <c r="B772" s="255">
        <v>21</v>
      </c>
    </row>
    <row r="773" spans="1:2" ht="12.75" customHeight="1">
      <c r="A773" s="207" t="s">
        <v>69</v>
      </c>
      <c r="B773" s="255">
        <v>3</v>
      </c>
    </row>
    <row r="774" spans="1:2" ht="12.75" customHeight="1">
      <c r="A774" s="207" t="s">
        <v>45</v>
      </c>
      <c r="B774" s="255">
        <v>9</v>
      </c>
    </row>
    <row r="775" spans="1:2" ht="5.0999999999999996" customHeight="1">
      <c r="A775" s="207"/>
      <c r="B775" s="255"/>
    </row>
    <row r="776" spans="1:2" ht="12.75" customHeight="1">
      <c r="A776" s="206" t="s">
        <v>41</v>
      </c>
      <c r="B776" s="254">
        <v>771</v>
      </c>
    </row>
    <row r="777" spans="1:2" ht="5.0999999999999996" customHeight="1">
      <c r="A777" s="207"/>
      <c r="B777" s="255"/>
    </row>
    <row r="778" spans="1:2" ht="12.75" customHeight="1">
      <c r="A778" s="207" t="s">
        <v>63</v>
      </c>
      <c r="B778" s="255">
        <v>114</v>
      </c>
    </row>
    <row r="779" spans="1:2" ht="12.75" customHeight="1">
      <c r="A779" s="207" t="s">
        <v>64</v>
      </c>
      <c r="B779" s="255">
        <v>278</v>
      </c>
    </row>
    <row r="780" spans="1:2" ht="12.75" customHeight="1">
      <c r="A780" s="207" t="s">
        <v>65</v>
      </c>
      <c r="B780" s="255">
        <v>207</v>
      </c>
    </row>
    <row r="781" spans="1:2" s="70" customFormat="1" ht="12.75" customHeight="1">
      <c r="A781" s="207" t="s">
        <v>66</v>
      </c>
      <c r="B781" s="255">
        <v>116</v>
      </c>
    </row>
    <row r="782" spans="1:2" ht="12.75" customHeight="1">
      <c r="A782" s="207" t="s">
        <v>67</v>
      </c>
      <c r="B782" s="255">
        <v>40</v>
      </c>
    </row>
    <row r="783" spans="1:2" ht="12.75" customHeight="1">
      <c r="A783" s="207" t="s">
        <v>68</v>
      </c>
      <c r="B783" s="255">
        <v>9</v>
      </c>
    </row>
    <row r="784" spans="1:2" ht="12.75" customHeight="1">
      <c r="A784" s="207" t="s">
        <v>69</v>
      </c>
      <c r="B784" s="255">
        <v>1</v>
      </c>
    </row>
    <row r="785" spans="1:2" ht="12.75" customHeight="1">
      <c r="A785" s="207" t="s">
        <v>45</v>
      </c>
      <c r="B785" s="255">
        <v>6</v>
      </c>
    </row>
    <row r="786" spans="1:2" ht="5.0999999999999996" customHeight="1">
      <c r="A786" s="207"/>
      <c r="B786" s="255"/>
    </row>
    <row r="787" spans="1:2" ht="12.75" customHeight="1">
      <c r="A787" s="206" t="s">
        <v>42</v>
      </c>
      <c r="B787" s="254">
        <v>461</v>
      </c>
    </row>
    <row r="788" spans="1:2" ht="5.0999999999999996" customHeight="1">
      <c r="A788" s="207"/>
      <c r="B788" s="255"/>
    </row>
    <row r="789" spans="1:2" ht="12.75" customHeight="1">
      <c r="A789" s="207" t="s">
        <v>63</v>
      </c>
      <c r="B789" s="255">
        <v>63</v>
      </c>
    </row>
    <row r="790" spans="1:2" ht="12.75" customHeight="1">
      <c r="A790" s="207" t="s">
        <v>64</v>
      </c>
      <c r="B790" s="255">
        <v>158</v>
      </c>
    </row>
    <row r="791" spans="1:2" ht="12.75" customHeight="1">
      <c r="A791" s="207" t="s">
        <v>65</v>
      </c>
      <c r="B791" s="255">
        <v>138</v>
      </c>
    </row>
    <row r="792" spans="1:2" ht="12.75" customHeight="1">
      <c r="A792" s="207" t="s">
        <v>66</v>
      </c>
      <c r="B792" s="255">
        <v>56</v>
      </c>
    </row>
    <row r="793" spans="1:2" ht="12.75" customHeight="1">
      <c r="A793" s="207" t="s">
        <v>67</v>
      </c>
      <c r="B793" s="255">
        <v>30</v>
      </c>
    </row>
    <row r="794" spans="1:2" ht="12.75" customHeight="1">
      <c r="A794" s="207" t="s">
        <v>68</v>
      </c>
      <c r="B794" s="255">
        <v>12</v>
      </c>
    </row>
    <row r="795" spans="1:2" s="70" customFormat="1" ht="12.75" customHeight="1">
      <c r="A795" s="207" t="s">
        <v>69</v>
      </c>
      <c r="B795" s="255">
        <v>2</v>
      </c>
    </row>
    <row r="796" spans="1:2" ht="12.75" customHeight="1">
      <c r="A796" s="207" t="s">
        <v>45</v>
      </c>
      <c r="B796" s="255">
        <v>2</v>
      </c>
    </row>
    <row r="797" spans="1:2" ht="5.0999999999999996" customHeight="1">
      <c r="A797" s="207"/>
      <c r="B797" s="255"/>
    </row>
    <row r="798" spans="1:2" ht="12.75" customHeight="1">
      <c r="A798" s="206" t="s">
        <v>45</v>
      </c>
      <c r="B798" s="254">
        <v>4</v>
      </c>
    </row>
    <row r="799" spans="1:2" ht="5.0999999999999996" customHeight="1">
      <c r="A799" s="207"/>
      <c r="B799" s="255"/>
    </row>
    <row r="800" spans="1:2" ht="12.75" customHeight="1">
      <c r="A800" s="207" t="s">
        <v>64</v>
      </c>
      <c r="B800" s="255">
        <v>2</v>
      </c>
    </row>
    <row r="801" spans="1:2" ht="12.75" customHeight="1">
      <c r="A801" s="207" t="s">
        <v>66</v>
      </c>
      <c r="B801" s="255">
        <v>1</v>
      </c>
    </row>
    <row r="802" spans="1:2" ht="12.75" customHeight="1">
      <c r="A802" s="207" t="s">
        <v>45</v>
      </c>
      <c r="B802" s="255">
        <v>1</v>
      </c>
    </row>
    <row r="803" spans="1:2" ht="5.0999999999999996" customHeight="1">
      <c r="A803" s="207"/>
      <c r="B803" s="255"/>
    </row>
    <row r="804" spans="1:2" ht="12.75" customHeight="1">
      <c r="A804" s="206" t="s">
        <v>96</v>
      </c>
      <c r="B804" s="254">
        <v>6970</v>
      </c>
    </row>
    <row r="805" spans="1:2" ht="5.0999999999999996" customHeight="1">
      <c r="A805" s="207"/>
      <c r="B805" s="255"/>
    </row>
    <row r="806" spans="1:2" ht="12.75" customHeight="1">
      <c r="A806" s="207" t="s">
        <v>63</v>
      </c>
      <c r="B806" s="255">
        <v>872</v>
      </c>
    </row>
    <row r="807" spans="1:2" ht="12.75" customHeight="1">
      <c r="A807" s="207" t="s">
        <v>64</v>
      </c>
      <c r="B807" s="255">
        <v>2399</v>
      </c>
    </row>
    <row r="808" spans="1:2" ht="12.75" customHeight="1">
      <c r="A808" s="207" t="s">
        <v>65</v>
      </c>
      <c r="B808" s="255">
        <v>1944</v>
      </c>
    </row>
    <row r="809" spans="1:2" ht="12.75" customHeight="1">
      <c r="A809" s="207" t="s">
        <v>66</v>
      </c>
      <c r="B809" s="255">
        <v>1151</v>
      </c>
    </row>
    <row r="810" spans="1:2" s="70" customFormat="1" ht="12.75" customHeight="1">
      <c r="A810" s="207" t="s">
        <v>67</v>
      </c>
      <c r="B810" s="255">
        <v>462</v>
      </c>
    </row>
    <row r="811" spans="1:2" ht="12.75" customHeight="1">
      <c r="A811" s="207" t="s">
        <v>68</v>
      </c>
      <c r="B811" s="255">
        <v>81</v>
      </c>
    </row>
    <row r="812" spans="1:2" ht="12.75" customHeight="1">
      <c r="A812" s="207" t="s">
        <v>69</v>
      </c>
      <c r="B812" s="255">
        <v>6</v>
      </c>
    </row>
    <row r="813" spans="1:2" ht="12.75" customHeight="1">
      <c r="A813" s="207" t="s">
        <v>45</v>
      </c>
      <c r="B813" s="255">
        <v>55</v>
      </c>
    </row>
    <row r="814" spans="1:2" ht="5.0999999999999996" customHeight="1">
      <c r="A814" s="207"/>
      <c r="B814" s="255"/>
    </row>
    <row r="815" spans="1:2" ht="12.75" customHeight="1">
      <c r="A815" s="206" t="s">
        <v>41</v>
      </c>
      <c r="B815" s="254">
        <v>4447</v>
      </c>
    </row>
    <row r="816" spans="1:2" ht="5.0999999999999996" customHeight="1">
      <c r="A816" s="207"/>
      <c r="B816" s="255"/>
    </row>
    <row r="817" spans="1:2" ht="12.75" customHeight="1">
      <c r="A817" s="207" t="s">
        <v>63</v>
      </c>
      <c r="B817" s="255">
        <v>543</v>
      </c>
    </row>
    <row r="818" spans="1:2" ht="12.75" customHeight="1">
      <c r="A818" s="207" t="s">
        <v>64</v>
      </c>
      <c r="B818" s="255">
        <v>1467</v>
      </c>
    </row>
    <row r="819" spans="1:2" ht="12.75" customHeight="1">
      <c r="A819" s="207" t="s">
        <v>65</v>
      </c>
      <c r="B819" s="255">
        <v>1248</v>
      </c>
    </row>
    <row r="820" spans="1:2" ht="12.75" customHeight="1">
      <c r="A820" s="207" t="s">
        <v>66</v>
      </c>
      <c r="B820" s="255">
        <v>781</v>
      </c>
    </row>
    <row r="821" spans="1:2" ht="12.75" customHeight="1">
      <c r="A821" s="207" t="s">
        <v>67</v>
      </c>
      <c r="B821" s="255">
        <v>318</v>
      </c>
    </row>
    <row r="822" spans="1:2" ht="12.75" customHeight="1">
      <c r="A822" s="207" t="s">
        <v>68</v>
      </c>
      <c r="B822" s="255">
        <v>55</v>
      </c>
    </row>
    <row r="823" spans="1:2" ht="12.75" customHeight="1">
      <c r="A823" s="207" t="s">
        <v>69</v>
      </c>
      <c r="B823" s="255">
        <v>4</v>
      </c>
    </row>
    <row r="824" spans="1:2" s="70" customFormat="1" ht="12.75" customHeight="1">
      <c r="A824" s="207" t="s">
        <v>45</v>
      </c>
      <c r="B824" s="255">
        <v>31</v>
      </c>
    </row>
    <row r="825" spans="1:2" ht="5.0999999999999996" customHeight="1">
      <c r="A825" s="207"/>
      <c r="B825" s="255"/>
    </row>
    <row r="826" spans="1:2" ht="12.75" customHeight="1">
      <c r="A826" s="206" t="s">
        <v>42</v>
      </c>
      <c r="B826" s="254">
        <v>2495</v>
      </c>
    </row>
    <row r="827" spans="1:2" ht="5.0999999999999996" customHeight="1">
      <c r="A827" s="207"/>
      <c r="B827" s="255"/>
    </row>
    <row r="828" spans="1:2" ht="12.75" customHeight="1">
      <c r="A828" s="207" t="s">
        <v>63</v>
      </c>
      <c r="B828" s="255">
        <v>320</v>
      </c>
    </row>
    <row r="829" spans="1:2" ht="12.75" customHeight="1">
      <c r="A829" s="207" t="s">
        <v>64</v>
      </c>
      <c r="B829" s="255">
        <v>928</v>
      </c>
    </row>
    <row r="830" spans="1:2" ht="12.75" customHeight="1">
      <c r="A830" s="207" t="s">
        <v>65</v>
      </c>
      <c r="B830" s="255">
        <v>692</v>
      </c>
    </row>
    <row r="831" spans="1:2" ht="12.75" customHeight="1">
      <c r="A831" s="207" t="s">
        <v>66</v>
      </c>
      <c r="B831" s="255">
        <v>366</v>
      </c>
    </row>
    <row r="832" spans="1:2" ht="12.75" customHeight="1">
      <c r="A832" s="207" t="s">
        <v>67</v>
      </c>
      <c r="B832" s="255">
        <v>140</v>
      </c>
    </row>
    <row r="833" spans="1:2" ht="12.75" customHeight="1">
      <c r="A833" s="207" t="s">
        <v>68</v>
      </c>
      <c r="B833" s="255">
        <v>24</v>
      </c>
    </row>
    <row r="834" spans="1:2" ht="12.75" customHeight="1">
      <c r="A834" s="207" t="s">
        <v>69</v>
      </c>
      <c r="B834" s="255">
        <v>2</v>
      </c>
    </row>
    <row r="835" spans="1:2" ht="12.75" customHeight="1">
      <c r="A835" s="207" t="s">
        <v>45</v>
      </c>
      <c r="B835" s="255">
        <v>23</v>
      </c>
    </row>
    <row r="836" spans="1:2" ht="5.0999999999999996" customHeight="1">
      <c r="A836" s="207"/>
      <c r="B836" s="255"/>
    </row>
    <row r="837" spans="1:2" ht="12.75" customHeight="1">
      <c r="A837" s="206" t="s">
        <v>45</v>
      </c>
      <c r="B837" s="254">
        <v>28</v>
      </c>
    </row>
    <row r="838" spans="1:2" ht="5.0999999999999996" customHeight="1">
      <c r="A838" s="207"/>
      <c r="B838" s="255"/>
    </row>
    <row r="839" spans="1:2" s="70" customFormat="1" ht="12.75" customHeight="1">
      <c r="A839" s="207" t="s">
        <v>63</v>
      </c>
      <c r="B839" s="255">
        <v>9</v>
      </c>
    </row>
    <row r="840" spans="1:2" ht="12.75" customHeight="1">
      <c r="A840" s="207" t="s">
        <v>64</v>
      </c>
      <c r="B840" s="255">
        <v>4</v>
      </c>
    </row>
    <row r="841" spans="1:2" ht="12.75" customHeight="1">
      <c r="A841" s="207" t="s">
        <v>65</v>
      </c>
      <c r="B841" s="255">
        <v>4</v>
      </c>
    </row>
    <row r="842" spans="1:2" ht="12.75" customHeight="1">
      <c r="A842" s="207" t="s">
        <v>66</v>
      </c>
      <c r="B842" s="255">
        <v>4</v>
      </c>
    </row>
    <row r="843" spans="1:2" ht="12.75" customHeight="1">
      <c r="A843" s="207" t="s">
        <v>67</v>
      </c>
      <c r="B843" s="255">
        <v>4</v>
      </c>
    </row>
    <row r="844" spans="1:2" ht="12.75" customHeight="1">
      <c r="A844" s="207" t="s">
        <v>68</v>
      </c>
      <c r="B844" s="255">
        <v>2</v>
      </c>
    </row>
    <row r="845" spans="1:2" ht="12.75" customHeight="1">
      <c r="A845" s="207" t="s">
        <v>45</v>
      </c>
      <c r="B845" s="255">
        <v>1</v>
      </c>
    </row>
    <row r="846" spans="1:2" ht="5.0999999999999996" customHeight="1">
      <c r="A846" s="207"/>
      <c r="B846" s="255"/>
    </row>
    <row r="847" spans="1:2" ht="12.75" customHeight="1">
      <c r="A847" s="206" t="s">
        <v>97</v>
      </c>
      <c r="B847" s="254">
        <v>2661</v>
      </c>
    </row>
    <row r="848" spans="1:2" ht="5.0999999999999996" customHeight="1">
      <c r="A848" s="207"/>
      <c r="B848" s="255"/>
    </row>
    <row r="849" spans="1:2" ht="12.75" customHeight="1">
      <c r="A849" s="207" t="s">
        <v>63</v>
      </c>
      <c r="B849" s="255">
        <v>424</v>
      </c>
    </row>
    <row r="850" spans="1:2" ht="12.75" customHeight="1">
      <c r="A850" s="207" t="s">
        <v>64</v>
      </c>
      <c r="B850" s="255">
        <v>946</v>
      </c>
    </row>
    <row r="851" spans="1:2" ht="12.75" customHeight="1">
      <c r="A851" s="207" t="s">
        <v>65</v>
      </c>
      <c r="B851" s="255">
        <v>734</v>
      </c>
    </row>
    <row r="852" spans="1:2" ht="12.75" customHeight="1">
      <c r="A852" s="207" t="s">
        <v>66</v>
      </c>
      <c r="B852" s="255">
        <v>373</v>
      </c>
    </row>
    <row r="853" spans="1:2" s="70" customFormat="1" ht="12.75" customHeight="1">
      <c r="A853" s="207" t="s">
        <v>67</v>
      </c>
      <c r="B853" s="255">
        <v>146</v>
      </c>
    </row>
    <row r="854" spans="1:2" ht="12.75" customHeight="1">
      <c r="A854" s="207" t="s">
        <v>68</v>
      </c>
      <c r="B854" s="255">
        <v>28</v>
      </c>
    </row>
    <row r="855" spans="1:2" ht="12.75" customHeight="1">
      <c r="A855" s="207" t="s">
        <v>69</v>
      </c>
      <c r="B855" s="255">
        <v>5</v>
      </c>
    </row>
    <row r="856" spans="1:2" ht="12.75" customHeight="1">
      <c r="A856" s="207" t="s">
        <v>45</v>
      </c>
      <c r="B856" s="255">
        <v>5</v>
      </c>
    </row>
    <row r="857" spans="1:2" ht="5.0999999999999996" customHeight="1">
      <c r="A857" s="207"/>
      <c r="B857" s="255"/>
    </row>
    <row r="858" spans="1:2" ht="12.75" customHeight="1">
      <c r="A858" s="206" t="s">
        <v>41</v>
      </c>
      <c r="B858" s="254">
        <v>1588</v>
      </c>
    </row>
    <row r="859" spans="1:2" ht="5.0999999999999996" customHeight="1">
      <c r="A859" s="207"/>
      <c r="B859" s="255"/>
    </row>
    <row r="860" spans="1:2" ht="12.75" customHeight="1">
      <c r="A860" s="207" t="s">
        <v>63</v>
      </c>
      <c r="B860" s="255">
        <v>258</v>
      </c>
    </row>
    <row r="861" spans="1:2" ht="12.75" customHeight="1">
      <c r="A861" s="207" t="s">
        <v>64</v>
      </c>
      <c r="B861" s="255">
        <v>545</v>
      </c>
    </row>
    <row r="862" spans="1:2" ht="12.75" customHeight="1">
      <c r="A862" s="207" t="s">
        <v>65</v>
      </c>
      <c r="B862" s="255">
        <v>436</v>
      </c>
    </row>
    <row r="863" spans="1:2" ht="12.75" customHeight="1">
      <c r="A863" s="207" t="s">
        <v>66</v>
      </c>
      <c r="B863" s="255">
        <v>239</v>
      </c>
    </row>
    <row r="864" spans="1:2" ht="12.75" customHeight="1">
      <c r="A864" s="207" t="s">
        <v>67</v>
      </c>
      <c r="B864" s="255">
        <v>85</v>
      </c>
    </row>
    <row r="865" spans="1:2" ht="12.75" customHeight="1">
      <c r="A865" s="207" t="s">
        <v>68</v>
      </c>
      <c r="B865" s="255">
        <v>20</v>
      </c>
    </row>
    <row r="866" spans="1:2" ht="12.75" customHeight="1">
      <c r="A866" s="207" t="s">
        <v>69</v>
      </c>
      <c r="B866" s="255">
        <v>2</v>
      </c>
    </row>
    <row r="867" spans="1:2" ht="12.75" customHeight="1">
      <c r="A867" s="207" t="s">
        <v>45</v>
      </c>
      <c r="B867" s="255">
        <v>3</v>
      </c>
    </row>
    <row r="868" spans="1:2" s="70" customFormat="1" ht="5.0999999999999996" customHeight="1">
      <c r="A868" s="207"/>
      <c r="B868" s="255"/>
    </row>
    <row r="869" spans="1:2" ht="12.75" customHeight="1">
      <c r="A869" s="206" t="s">
        <v>42</v>
      </c>
      <c r="B869" s="254">
        <v>1068</v>
      </c>
    </row>
    <row r="870" spans="1:2" ht="5.0999999999999996" customHeight="1">
      <c r="A870" s="207"/>
      <c r="B870" s="255"/>
    </row>
    <row r="871" spans="1:2" ht="12.75" customHeight="1">
      <c r="A871" s="207" t="s">
        <v>63</v>
      </c>
      <c r="B871" s="255">
        <v>166</v>
      </c>
    </row>
    <row r="872" spans="1:2" ht="12.75" customHeight="1">
      <c r="A872" s="207" t="s">
        <v>64</v>
      </c>
      <c r="B872" s="255">
        <v>399</v>
      </c>
    </row>
    <row r="873" spans="1:2" ht="12.75" customHeight="1">
      <c r="A873" s="207" t="s">
        <v>65</v>
      </c>
      <c r="B873" s="255">
        <v>297</v>
      </c>
    </row>
    <row r="874" spans="1:2" ht="12.75" customHeight="1">
      <c r="A874" s="207" t="s">
        <v>66</v>
      </c>
      <c r="B874" s="255">
        <v>132</v>
      </c>
    </row>
    <row r="875" spans="1:2" ht="12.75" customHeight="1">
      <c r="A875" s="207" t="s">
        <v>67</v>
      </c>
      <c r="B875" s="255">
        <v>61</v>
      </c>
    </row>
    <row r="876" spans="1:2" ht="12.75" customHeight="1">
      <c r="A876" s="207" t="s">
        <v>68</v>
      </c>
      <c r="B876" s="255">
        <v>8</v>
      </c>
    </row>
    <row r="877" spans="1:2" ht="12.75" customHeight="1">
      <c r="A877" s="207" t="s">
        <v>69</v>
      </c>
      <c r="B877" s="255">
        <v>3</v>
      </c>
    </row>
    <row r="878" spans="1:2" ht="12.75" customHeight="1">
      <c r="A878" s="207" t="s">
        <v>45</v>
      </c>
      <c r="B878" s="255">
        <v>2</v>
      </c>
    </row>
    <row r="879" spans="1:2" ht="5.0999999999999996" customHeight="1">
      <c r="A879" s="207"/>
      <c r="B879" s="255"/>
    </row>
    <row r="880" spans="1:2" ht="12.75" customHeight="1">
      <c r="A880" s="206" t="s">
        <v>45</v>
      </c>
      <c r="B880" s="254">
        <v>5</v>
      </c>
    </row>
    <row r="881" spans="1:2" ht="5.0999999999999996" customHeight="1">
      <c r="A881" s="207"/>
      <c r="B881" s="255"/>
    </row>
    <row r="882" spans="1:2" s="70" customFormat="1" ht="12.75" customHeight="1">
      <c r="A882" s="207" t="s">
        <v>64</v>
      </c>
      <c r="B882" s="255">
        <v>2</v>
      </c>
    </row>
    <row r="883" spans="1:2" ht="12.75" customHeight="1">
      <c r="A883" s="207" t="s">
        <v>65</v>
      </c>
      <c r="B883" s="255">
        <v>1</v>
      </c>
    </row>
    <row r="884" spans="1:2" ht="12.75" customHeight="1">
      <c r="A884" s="207" t="s">
        <v>66</v>
      </c>
      <c r="B884" s="255">
        <v>2</v>
      </c>
    </row>
    <row r="885" spans="1:2" ht="5.0999999999999996" customHeight="1">
      <c r="A885" s="207"/>
      <c r="B885" s="255"/>
    </row>
    <row r="886" spans="1:2" ht="12.75" customHeight="1">
      <c r="A886" s="206" t="s">
        <v>98</v>
      </c>
      <c r="B886" s="254">
        <v>4059</v>
      </c>
    </row>
    <row r="887" spans="1:2" ht="5.0999999999999996" customHeight="1">
      <c r="A887" s="207"/>
      <c r="B887" s="255"/>
    </row>
    <row r="888" spans="1:2" ht="12.75" customHeight="1">
      <c r="A888" s="207" t="s">
        <v>63</v>
      </c>
      <c r="B888" s="255">
        <v>531</v>
      </c>
    </row>
    <row r="889" spans="1:2" ht="12.75" customHeight="1">
      <c r="A889" s="207" t="s">
        <v>64</v>
      </c>
      <c r="B889" s="255">
        <v>1404</v>
      </c>
    </row>
    <row r="890" spans="1:2" ht="12.75" customHeight="1">
      <c r="A890" s="207" t="s">
        <v>65</v>
      </c>
      <c r="B890" s="255">
        <v>1127</v>
      </c>
    </row>
    <row r="891" spans="1:2" ht="12.75" customHeight="1">
      <c r="A891" s="207" t="s">
        <v>66</v>
      </c>
      <c r="B891" s="255">
        <v>643</v>
      </c>
    </row>
    <row r="892" spans="1:2" ht="12.75" customHeight="1">
      <c r="A892" s="207" t="s">
        <v>67</v>
      </c>
      <c r="B892" s="255">
        <v>282</v>
      </c>
    </row>
    <row r="893" spans="1:2" ht="12.75" customHeight="1">
      <c r="A893" s="207" t="s">
        <v>68</v>
      </c>
      <c r="B893" s="255">
        <v>63</v>
      </c>
    </row>
    <row r="894" spans="1:2" ht="12.75" customHeight="1">
      <c r="A894" s="207" t="s">
        <v>69</v>
      </c>
      <c r="B894" s="255">
        <v>2</v>
      </c>
    </row>
    <row r="895" spans="1:2" ht="12.75" customHeight="1">
      <c r="A895" s="207" t="s">
        <v>70</v>
      </c>
      <c r="B895" s="255">
        <v>1</v>
      </c>
    </row>
    <row r="896" spans="1:2" s="70" customFormat="1" ht="12.75" customHeight="1">
      <c r="A896" s="207" t="s">
        <v>45</v>
      </c>
      <c r="B896" s="255">
        <v>6</v>
      </c>
    </row>
    <row r="897" spans="1:5" ht="5.0999999999999996" customHeight="1">
      <c r="A897" s="207"/>
      <c r="B897" s="255"/>
    </row>
    <row r="898" spans="1:5" ht="12.75" customHeight="1">
      <c r="A898" s="206" t="s">
        <v>41</v>
      </c>
      <c r="B898" s="254">
        <v>3721</v>
      </c>
    </row>
    <row r="899" spans="1:5" ht="5.0999999999999996" customHeight="1">
      <c r="A899" s="207"/>
      <c r="B899" s="255"/>
    </row>
    <row r="900" spans="1:5" ht="12.75" customHeight="1">
      <c r="A900" s="207" t="s">
        <v>63</v>
      </c>
      <c r="B900" s="255">
        <v>499</v>
      </c>
    </row>
    <row r="901" spans="1:5" ht="12.75" customHeight="1">
      <c r="A901" s="207" t="s">
        <v>64</v>
      </c>
      <c r="B901" s="255">
        <v>1282</v>
      </c>
      <c r="E901" s="31"/>
    </row>
    <row r="902" spans="1:5" ht="12.75" customHeight="1">
      <c r="A902" s="207" t="s">
        <v>65</v>
      </c>
      <c r="B902" s="255">
        <v>1018</v>
      </c>
      <c r="E902" s="27"/>
    </row>
    <row r="903" spans="1:5" ht="12.75" customHeight="1">
      <c r="A903" s="207" t="s">
        <v>66</v>
      </c>
      <c r="B903" s="255">
        <v>590</v>
      </c>
      <c r="E903" s="27"/>
    </row>
    <row r="904" spans="1:5" ht="12.75" customHeight="1">
      <c r="A904" s="207" t="s">
        <v>67</v>
      </c>
      <c r="B904" s="255">
        <v>266</v>
      </c>
      <c r="E904" s="27"/>
    </row>
    <row r="905" spans="1:5" ht="12.75" customHeight="1">
      <c r="A905" s="207" t="s">
        <v>68</v>
      </c>
      <c r="B905" s="255">
        <v>61</v>
      </c>
      <c r="E905" s="27"/>
    </row>
    <row r="906" spans="1:5" ht="12.75" customHeight="1">
      <c r="A906" s="207" t="s">
        <v>69</v>
      </c>
      <c r="B906" s="255">
        <v>2</v>
      </c>
      <c r="E906" s="27"/>
    </row>
    <row r="907" spans="1:5" ht="12.75" customHeight="1">
      <c r="A907" s="207" t="s">
        <v>45</v>
      </c>
      <c r="B907" s="255">
        <v>3</v>
      </c>
    </row>
    <row r="908" spans="1:5" ht="5.0999999999999996" customHeight="1">
      <c r="A908" s="207"/>
      <c r="B908" s="255"/>
    </row>
    <row r="909" spans="1:5" ht="12.75" customHeight="1">
      <c r="A909" s="206" t="s">
        <v>42</v>
      </c>
      <c r="B909" s="254">
        <v>338</v>
      </c>
    </row>
    <row r="910" spans="1:5" ht="5.0999999999999996" customHeight="1">
      <c r="A910" s="207"/>
      <c r="B910" s="255"/>
    </row>
    <row r="911" spans="1:5" s="70" customFormat="1" ht="12.75" customHeight="1">
      <c r="A911" s="207" t="s">
        <v>63</v>
      </c>
      <c r="B911" s="255">
        <v>32</v>
      </c>
    </row>
    <row r="912" spans="1:5" ht="12.75" customHeight="1">
      <c r="A912" s="207" t="s">
        <v>64</v>
      </c>
      <c r="B912" s="255">
        <v>122</v>
      </c>
    </row>
    <row r="913" spans="1:2" ht="12.75" customHeight="1">
      <c r="A913" s="207" t="s">
        <v>65</v>
      </c>
      <c r="B913" s="255">
        <v>109</v>
      </c>
    </row>
    <row r="914" spans="1:2" ht="12.75" customHeight="1">
      <c r="A914" s="207" t="s">
        <v>66</v>
      </c>
      <c r="B914" s="255">
        <v>53</v>
      </c>
    </row>
    <row r="915" spans="1:2" ht="12.75" customHeight="1">
      <c r="A915" s="207" t="s">
        <v>67</v>
      </c>
      <c r="B915" s="255">
        <v>16</v>
      </c>
    </row>
    <row r="916" spans="1:2" ht="12.75" customHeight="1">
      <c r="A916" s="207" t="s">
        <v>68</v>
      </c>
      <c r="B916" s="255">
        <v>2</v>
      </c>
    </row>
    <row r="917" spans="1:2" ht="12.75" customHeight="1">
      <c r="A917" s="207" t="s">
        <v>70</v>
      </c>
      <c r="B917" s="255">
        <v>1</v>
      </c>
    </row>
    <row r="918" spans="1:2" ht="12.75" customHeight="1">
      <c r="A918" s="207" t="s">
        <v>45</v>
      </c>
      <c r="B918" s="255">
        <v>3</v>
      </c>
    </row>
    <row r="919" spans="1:2" ht="5.0999999999999996" customHeight="1">
      <c r="A919" s="207"/>
      <c r="B919" s="255"/>
    </row>
    <row r="920" spans="1:2" ht="12.75" customHeight="1">
      <c r="A920" s="206" t="s">
        <v>99</v>
      </c>
      <c r="B920" s="254">
        <v>1912</v>
      </c>
    </row>
    <row r="921" spans="1:2" ht="5.0999999999999996" customHeight="1">
      <c r="A921" s="207"/>
      <c r="B921" s="255"/>
    </row>
    <row r="922" spans="1:2" ht="12.75" customHeight="1">
      <c r="A922" s="207" t="s">
        <v>63</v>
      </c>
      <c r="B922" s="255">
        <v>352</v>
      </c>
    </row>
    <row r="923" spans="1:2" ht="12.75" customHeight="1">
      <c r="A923" s="207" t="s">
        <v>64</v>
      </c>
      <c r="B923" s="255">
        <v>710</v>
      </c>
    </row>
    <row r="924" spans="1:2" ht="12.75" customHeight="1">
      <c r="A924" s="207" t="s">
        <v>65</v>
      </c>
      <c r="B924" s="255">
        <v>473</v>
      </c>
    </row>
    <row r="925" spans="1:2" s="70" customFormat="1" ht="12.75" customHeight="1">
      <c r="A925" s="207" t="s">
        <v>66</v>
      </c>
      <c r="B925" s="255">
        <v>245</v>
      </c>
    </row>
    <row r="926" spans="1:2" ht="12.75" customHeight="1">
      <c r="A926" s="207" t="s">
        <v>67</v>
      </c>
      <c r="B926" s="255">
        <v>103</v>
      </c>
    </row>
    <row r="927" spans="1:2" ht="12.75" customHeight="1">
      <c r="A927" s="207" t="s">
        <v>68</v>
      </c>
      <c r="B927" s="255">
        <v>17</v>
      </c>
    </row>
    <row r="928" spans="1:2" ht="12.75" customHeight="1">
      <c r="A928" s="207" t="s">
        <v>69</v>
      </c>
      <c r="B928" s="255">
        <v>3</v>
      </c>
    </row>
    <row r="929" spans="1:2" ht="12.75" customHeight="1">
      <c r="A929" s="207" t="s">
        <v>45</v>
      </c>
      <c r="B929" s="255">
        <v>9</v>
      </c>
    </row>
    <row r="930" spans="1:2" ht="5.0999999999999996" customHeight="1">
      <c r="A930" s="207"/>
      <c r="B930" s="255"/>
    </row>
    <row r="931" spans="1:2" ht="12.75" customHeight="1">
      <c r="A931" s="206" t="s">
        <v>41</v>
      </c>
      <c r="B931" s="254">
        <v>1201</v>
      </c>
    </row>
    <row r="932" spans="1:2" ht="5.0999999999999996" customHeight="1">
      <c r="A932" s="207"/>
      <c r="B932" s="255"/>
    </row>
    <row r="933" spans="1:2" ht="12.75" customHeight="1">
      <c r="A933" s="207" t="s">
        <v>63</v>
      </c>
      <c r="B933" s="255">
        <v>222</v>
      </c>
    </row>
    <row r="934" spans="1:2" ht="12.75" customHeight="1">
      <c r="A934" s="207" t="s">
        <v>64</v>
      </c>
      <c r="B934" s="255">
        <v>430</v>
      </c>
    </row>
    <row r="935" spans="1:2" ht="12.75" customHeight="1">
      <c r="A935" s="207" t="s">
        <v>65</v>
      </c>
      <c r="B935" s="255">
        <v>307</v>
      </c>
    </row>
    <row r="936" spans="1:2" ht="12.75" customHeight="1">
      <c r="A936" s="207" t="s">
        <v>66</v>
      </c>
      <c r="B936" s="255">
        <v>151</v>
      </c>
    </row>
    <row r="937" spans="1:2" ht="12.75" customHeight="1">
      <c r="A937" s="207" t="s">
        <v>67</v>
      </c>
      <c r="B937" s="255">
        <v>74</v>
      </c>
    </row>
    <row r="938" spans="1:2" ht="12.75" customHeight="1">
      <c r="A938" s="207" t="s">
        <v>68</v>
      </c>
      <c r="B938" s="255">
        <v>11</v>
      </c>
    </row>
    <row r="939" spans="1:2" ht="12.75" customHeight="1">
      <c r="A939" s="207" t="s">
        <v>69</v>
      </c>
      <c r="B939" s="255">
        <v>2</v>
      </c>
    </row>
    <row r="940" spans="1:2" s="70" customFormat="1" ht="12.75" customHeight="1">
      <c r="A940" s="207" t="s">
        <v>45</v>
      </c>
      <c r="B940" s="255">
        <v>4</v>
      </c>
    </row>
    <row r="941" spans="1:2" ht="5.0999999999999996" customHeight="1">
      <c r="A941" s="207"/>
      <c r="B941" s="255"/>
    </row>
    <row r="942" spans="1:2" ht="12.75" customHeight="1">
      <c r="A942" s="206" t="s">
        <v>42</v>
      </c>
      <c r="B942" s="254">
        <v>709</v>
      </c>
    </row>
    <row r="943" spans="1:2" ht="5.0999999999999996" customHeight="1">
      <c r="A943" s="207"/>
      <c r="B943" s="255"/>
    </row>
    <row r="944" spans="1:2" ht="12.75" customHeight="1">
      <c r="A944" s="207" t="s">
        <v>63</v>
      </c>
      <c r="B944" s="255">
        <v>128</v>
      </c>
    </row>
    <row r="945" spans="1:2" ht="12.75" customHeight="1">
      <c r="A945" s="207" t="s">
        <v>64</v>
      </c>
      <c r="B945" s="255">
        <v>280</v>
      </c>
    </row>
    <row r="946" spans="1:2" ht="12.75" customHeight="1">
      <c r="A946" s="207" t="s">
        <v>65</v>
      </c>
      <c r="B946" s="255">
        <v>166</v>
      </c>
    </row>
    <row r="947" spans="1:2" ht="12.75" customHeight="1">
      <c r="A947" s="207" t="s">
        <v>66</v>
      </c>
      <c r="B947" s="255">
        <v>94</v>
      </c>
    </row>
    <row r="948" spans="1:2" ht="12.75" customHeight="1">
      <c r="A948" s="207" t="s">
        <v>67</v>
      </c>
      <c r="B948" s="255">
        <v>29</v>
      </c>
    </row>
    <row r="949" spans="1:2" ht="12.75" customHeight="1">
      <c r="A949" s="207" t="s">
        <v>68</v>
      </c>
      <c r="B949" s="255">
        <v>6</v>
      </c>
    </row>
    <row r="950" spans="1:2" ht="12.75" customHeight="1">
      <c r="A950" s="207" t="s">
        <v>69</v>
      </c>
      <c r="B950" s="255">
        <v>1</v>
      </c>
    </row>
    <row r="951" spans="1:2" ht="12.75" customHeight="1">
      <c r="A951" s="207" t="s">
        <v>45</v>
      </c>
      <c r="B951" s="255">
        <v>5</v>
      </c>
    </row>
    <row r="952" spans="1:2" ht="5.0999999999999996" customHeight="1">
      <c r="A952" s="207"/>
      <c r="B952" s="255"/>
    </row>
    <row r="953" spans="1:2" ht="12.75" customHeight="1">
      <c r="A953" s="206" t="s">
        <v>45</v>
      </c>
      <c r="B953" s="254">
        <v>2</v>
      </c>
    </row>
    <row r="954" spans="1:2" ht="5.0999999999999996" customHeight="1">
      <c r="A954" s="207"/>
      <c r="B954" s="255"/>
    </row>
    <row r="955" spans="1:2" s="70" customFormat="1" ht="12.75" customHeight="1">
      <c r="A955" s="207" t="s">
        <v>63</v>
      </c>
      <c r="B955" s="255">
        <v>2</v>
      </c>
    </row>
    <row r="956" spans="1:2" ht="5.0999999999999996" customHeight="1">
      <c r="A956" s="207"/>
      <c r="B956" s="255"/>
    </row>
    <row r="957" spans="1:2" ht="12.75" customHeight="1">
      <c r="A957" s="206" t="s">
        <v>100</v>
      </c>
      <c r="B957" s="254">
        <v>13172</v>
      </c>
    </row>
    <row r="958" spans="1:2" ht="5.0999999999999996" customHeight="1">
      <c r="A958" s="207"/>
      <c r="B958" s="255"/>
    </row>
    <row r="959" spans="1:2" ht="12.75" customHeight="1">
      <c r="A959" s="207" t="s">
        <v>63</v>
      </c>
      <c r="B959" s="255">
        <v>1898</v>
      </c>
    </row>
    <row r="960" spans="1:2" ht="12.75" customHeight="1">
      <c r="A960" s="207" t="s">
        <v>64</v>
      </c>
      <c r="B960" s="255">
        <v>4305</v>
      </c>
    </row>
    <row r="961" spans="1:2" ht="12.75" customHeight="1">
      <c r="A961" s="207" t="s">
        <v>65</v>
      </c>
      <c r="B961" s="255">
        <v>3602</v>
      </c>
    </row>
    <row r="962" spans="1:2" ht="12.75" customHeight="1">
      <c r="A962" s="207" t="s">
        <v>66</v>
      </c>
      <c r="B962" s="255">
        <v>2234</v>
      </c>
    </row>
    <row r="963" spans="1:2" ht="12.75" customHeight="1">
      <c r="A963" s="207" t="s">
        <v>67</v>
      </c>
      <c r="B963" s="255">
        <v>885</v>
      </c>
    </row>
    <row r="964" spans="1:2" ht="12.75" customHeight="1">
      <c r="A964" s="207" t="s">
        <v>68</v>
      </c>
      <c r="B964" s="255">
        <v>174</v>
      </c>
    </row>
    <row r="965" spans="1:2" ht="12.75" customHeight="1">
      <c r="A965" s="207" t="s">
        <v>69</v>
      </c>
      <c r="B965" s="255">
        <v>10</v>
      </c>
    </row>
    <row r="966" spans="1:2" ht="12.75" customHeight="1">
      <c r="A966" s="207" t="s">
        <v>70</v>
      </c>
      <c r="B966" s="255">
        <v>4</v>
      </c>
    </row>
    <row r="967" spans="1:2" ht="12.75" customHeight="1">
      <c r="A967" s="207" t="s">
        <v>45</v>
      </c>
      <c r="B967" s="255">
        <v>60</v>
      </c>
    </row>
    <row r="968" spans="1:2" ht="5.0999999999999996" customHeight="1">
      <c r="A968" s="207"/>
      <c r="B968" s="255"/>
    </row>
    <row r="969" spans="1:2" s="70" customFormat="1" ht="12.75" customHeight="1">
      <c r="A969" s="206" t="s">
        <v>41</v>
      </c>
      <c r="B969" s="254">
        <v>12620</v>
      </c>
    </row>
    <row r="970" spans="1:2" ht="5.0999999999999996" customHeight="1">
      <c r="A970" s="207"/>
      <c r="B970" s="255"/>
    </row>
    <row r="971" spans="1:2" ht="12.75" customHeight="1">
      <c r="A971" s="207" t="s">
        <v>63</v>
      </c>
      <c r="B971" s="255">
        <v>1801</v>
      </c>
    </row>
    <row r="972" spans="1:2" ht="12.75" customHeight="1">
      <c r="A972" s="207" t="s">
        <v>64</v>
      </c>
      <c r="B972" s="255">
        <v>4110</v>
      </c>
    </row>
    <row r="973" spans="1:2" ht="12.75" customHeight="1">
      <c r="A973" s="207" t="s">
        <v>65</v>
      </c>
      <c r="B973" s="255">
        <v>3470</v>
      </c>
    </row>
    <row r="974" spans="1:2" ht="12.75" customHeight="1">
      <c r="A974" s="207" t="s">
        <v>66</v>
      </c>
      <c r="B974" s="255">
        <v>2160</v>
      </c>
    </row>
    <row r="975" spans="1:2" ht="12.75" customHeight="1">
      <c r="A975" s="207" t="s">
        <v>67</v>
      </c>
      <c r="B975" s="255">
        <v>856</v>
      </c>
    </row>
    <row r="976" spans="1:2" ht="12.75" customHeight="1">
      <c r="A976" s="207" t="s">
        <v>68</v>
      </c>
      <c r="B976" s="255">
        <v>168</v>
      </c>
    </row>
    <row r="977" spans="1:2" ht="12.75" customHeight="1">
      <c r="A977" s="207" t="s">
        <v>69</v>
      </c>
      <c r="B977" s="255">
        <v>10</v>
      </c>
    </row>
    <row r="978" spans="1:2" ht="12.75" customHeight="1">
      <c r="A978" s="207" t="s">
        <v>70</v>
      </c>
      <c r="B978" s="255">
        <v>4</v>
      </c>
    </row>
    <row r="979" spans="1:2" ht="12.75" customHeight="1">
      <c r="A979" s="207" t="s">
        <v>45</v>
      </c>
      <c r="B979" s="255">
        <v>41</v>
      </c>
    </row>
    <row r="980" spans="1:2" ht="5.0999999999999996" customHeight="1">
      <c r="A980" s="207"/>
      <c r="B980" s="255"/>
    </row>
    <row r="981" spans="1:2" ht="12.75" customHeight="1">
      <c r="A981" s="206" t="s">
        <v>42</v>
      </c>
      <c r="B981" s="254">
        <v>507</v>
      </c>
    </row>
    <row r="982" spans="1:2" ht="5.0999999999999996" customHeight="1">
      <c r="A982" s="207"/>
      <c r="B982" s="255"/>
    </row>
    <row r="983" spans="1:2" ht="12.75" customHeight="1">
      <c r="A983" s="207" t="s">
        <v>63</v>
      </c>
      <c r="B983" s="255">
        <v>88</v>
      </c>
    </row>
    <row r="984" spans="1:2" s="70" customFormat="1" ht="12.75" customHeight="1">
      <c r="A984" s="207" t="s">
        <v>64</v>
      </c>
      <c r="B984" s="255">
        <v>187</v>
      </c>
    </row>
    <row r="985" spans="1:2" ht="12.75" customHeight="1">
      <c r="A985" s="207" t="s">
        <v>65</v>
      </c>
      <c r="B985" s="255">
        <v>120</v>
      </c>
    </row>
    <row r="986" spans="1:2" ht="12.75" customHeight="1">
      <c r="A986" s="207" t="s">
        <v>66</v>
      </c>
      <c r="B986" s="255">
        <v>64</v>
      </c>
    </row>
    <row r="987" spans="1:2" ht="12.75" customHeight="1">
      <c r="A987" s="207" t="s">
        <v>67</v>
      </c>
      <c r="B987" s="255">
        <v>27</v>
      </c>
    </row>
    <row r="988" spans="1:2" ht="12.75" customHeight="1">
      <c r="A988" s="207" t="s">
        <v>68</v>
      </c>
      <c r="B988" s="255">
        <v>6</v>
      </c>
    </row>
    <row r="989" spans="1:2" ht="12.75" customHeight="1">
      <c r="A989" s="207" t="s">
        <v>45</v>
      </c>
      <c r="B989" s="255">
        <v>15</v>
      </c>
    </row>
    <row r="990" spans="1:2" ht="5.0999999999999996" customHeight="1">
      <c r="A990" s="207"/>
      <c r="B990" s="255"/>
    </row>
    <row r="991" spans="1:2" ht="12.75" customHeight="1">
      <c r="A991" s="206" t="s">
        <v>45</v>
      </c>
      <c r="B991" s="254">
        <v>45</v>
      </c>
    </row>
    <row r="992" spans="1:2" ht="5.0999999999999996" customHeight="1">
      <c r="A992" s="207"/>
      <c r="B992" s="255"/>
    </row>
    <row r="993" spans="1:2" ht="12.75" customHeight="1">
      <c r="A993" s="207" t="s">
        <v>63</v>
      </c>
      <c r="B993" s="255">
        <v>9</v>
      </c>
    </row>
    <row r="994" spans="1:2" ht="12.75" customHeight="1">
      <c r="A994" s="207" t="s">
        <v>64</v>
      </c>
      <c r="B994" s="255">
        <v>8</v>
      </c>
    </row>
    <row r="995" spans="1:2" ht="12.75" customHeight="1">
      <c r="A995" s="207" t="s">
        <v>65</v>
      </c>
      <c r="B995" s="255">
        <v>12</v>
      </c>
    </row>
    <row r="996" spans="1:2" ht="12.75" customHeight="1">
      <c r="A996" s="207" t="s">
        <v>66</v>
      </c>
      <c r="B996" s="255">
        <v>10</v>
      </c>
    </row>
    <row r="997" spans="1:2" ht="12.75" customHeight="1">
      <c r="A997" s="207" t="s">
        <v>67</v>
      </c>
      <c r="B997" s="255">
        <v>2</v>
      </c>
    </row>
    <row r="998" spans="1:2" s="70" customFormat="1" ht="12.75" customHeight="1">
      <c r="A998" s="207" t="s">
        <v>45</v>
      </c>
      <c r="B998" s="255">
        <v>4</v>
      </c>
    </row>
    <row r="999" spans="1:2" ht="5.0999999999999996" customHeight="1">
      <c r="A999" s="207"/>
      <c r="B999" s="255"/>
    </row>
    <row r="1000" spans="1:2" ht="12.75" customHeight="1">
      <c r="A1000" s="206" t="s">
        <v>101</v>
      </c>
      <c r="B1000" s="254">
        <v>836</v>
      </c>
    </row>
    <row r="1001" spans="1:2" ht="5.0999999999999996" customHeight="1">
      <c r="A1001" s="207"/>
      <c r="B1001" s="255"/>
    </row>
    <row r="1002" spans="1:2" ht="12.75" customHeight="1">
      <c r="A1002" s="207" t="s">
        <v>63</v>
      </c>
      <c r="B1002" s="255">
        <v>125</v>
      </c>
    </row>
    <row r="1003" spans="1:2" ht="12.75" customHeight="1">
      <c r="A1003" s="207" t="s">
        <v>64</v>
      </c>
      <c r="B1003" s="255">
        <v>268</v>
      </c>
    </row>
    <row r="1004" spans="1:2" ht="12.75" customHeight="1">
      <c r="A1004" s="207" t="s">
        <v>65</v>
      </c>
      <c r="B1004" s="255">
        <v>212</v>
      </c>
    </row>
    <row r="1005" spans="1:2" ht="12.75" customHeight="1">
      <c r="A1005" s="207" t="s">
        <v>66</v>
      </c>
      <c r="B1005" s="255">
        <v>122</v>
      </c>
    </row>
    <row r="1006" spans="1:2" ht="12.75" customHeight="1">
      <c r="A1006" s="207" t="s">
        <v>67</v>
      </c>
      <c r="B1006" s="255">
        <v>50</v>
      </c>
    </row>
    <row r="1007" spans="1:2" ht="12.75" customHeight="1">
      <c r="A1007" s="207" t="s">
        <v>68</v>
      </c>
      <c r="B1007" s="255">
        <v>8</v>
      </c>
    </row>
    <row r="1008" spans="1:2" ht="12.75" customHeight="1">
      <c r="A1008" s="207" t="s">
        <v>69</v>
      </c>
      <c r="B1008" s="255">
        <v>2</v>
      </c>
    </row>
    <row r="1009" spans="1:2" ht="12.75" customHeight="1">
      <c r="A1009" s="207" t="s">
        <v>70</v>
      </c>
      <c r="B1009" s="255">
        <v>2</v>
      </c>
    </row>
    <row r="1010" spans="1:2" ht="12.75" customHeight="1">
      <c r="A1010" s="207" t="s">
        <v>45</v>
      </c>
      <c r="B1010" s="255">
        <v>47</v>
      </c>
    </row>
    <row r="1011" spans="1:2" ht="5.0999999999999996" customHeight="1">
      <c r="A1011" s="207"/>
      <c r="B1011" s="255"/>
    </row>
    <row r="1012" spans="1:2" ht="12.75" customHeight="1">
      <c r="A1012" s="206" t="s">
        <v>41</v>
      </c>
      <c r="B1012" s="254">
        <v>574</v>
      </c>
    </row>
    <row r="1013" spans="1:2" s="70" customFormat="1" ht="5.0999999999999996" customHeight="1">
      <c r="A1013" s="207"/>
      <c r="B1013" s="255"/>
    </row>
    <row r="1014" spans="1:2" ht="12.75" customHeight="1">
      <c r="A1014" s="207" t="s">
        <v>63</v>
      </c>
      <c r="B1014" s="255">
        <v>85</v>
      </c>
    </row>
    <row r="1015" spans="1:2" ht="12.75" customHeight="1">
      <c r="A1015" s="207" t="s">
        <v>64</v>
      </c>
      <c r="B1015" s="255">
        <v>181</v>
      </c>
    </row>
    <row r="1016" spans="1:2" ht="12.75" customHeight="1">
      <c r="A1016" s="207" t="s">
        <v>65</v>
      </c>
      <c r="B1016" s="255">
        <v>140</v>
      </c>
    </row>
    <row r="1017" spans="1:2" ht="12.75" customHeight="1">
      <c r="A1017" s="207" t="s">
        <v>66</v>
      </c>
      <c r="B1017" s="255">
        <v>94</v>
      </c>
    </row>
    <row r="1018" spans="1:2" ht="12.75" customHeight="1">
      <c r="A1018" s="207" t="s">
        <v>67</v>
      </c>
      <c r="B1018" s="255">
        <v>40</v>
      </c>
    </row>
    <row r="1019" spans="1:2" ht="12.75" customHeight="1">
      <c r="A1019" s="207" t="s">
        <v>68</v>
      </c>
      <c r="B1019" s="255">
        <v>4</v>
      </c>
    </row>
    <row r="1020" spans="1:2" ht="12.75" customHeight="1">
      <c r="A1020" s="207" t="s">
        <v>69</v>
      </c>
      <c r="B1020" s="255">
        <v>2</v>
      </c>
    </row>
    <row r="1021" spans="1:2" ht="12.75" customHeight="1">
      <c r="A1021" s="207" t="s">
        <v>70</v>
      </c>
      <c r="B1021" s="255">
        <v>2</v>
      </c>
    </row>
    <row r="1022" spans="1:2" ht="12.75" customHeight="1">
      <c r="A1022" s="207" t="s">
        <v>45</v>
      </c>
      <c r="B1022" s="255">
        <v>26</v>
      </c>
    </row>
    <row r="1023" spans="1:2" ht="5.0999999999999996" customHeight="1">
      <c r="A1023" s="207"/>
      <c r="B1023" s="255"/>
    </row>
    <row r="1024" spans="1:2" ht="12.75" customHeight="1">
      <c r="A1024" s="206" t="s">
        <v>42</v>
      </c>
      <c r="B1024" s="254">
        <v>259</v>
      </c>
    </row>
    <row r="1025" spans="1:2" ht="5.0999999999999996" customHeight="1">
      <c r="A1025" s="207"/>
      <c r="B1025" s="255"/>
    </row>
    <row r="1026" spans="1:2" ht="12.75" customHeight="1">
      <c r="A1026" s="207" t="s">
        <v>63</v>
      </c>
      <c r="B1026" s="255">
        <v>40</v>
      </c>
    </row>
    <row r="1027" spans="1:2" s="70" customFormat="1" ht="12.75" customHeight="1">
      <c r="A1027" s="207" t="s">
        <v>64</v>
      </c>
      <c r="B1027" s="255">
        <v>86</v>
      </c>
    </row>
    <row r="1028" spans="1:2" ht="12.75" customHeight="1">
      <c r="A1028" s="207" t="s">
        <v>65</v>
      </c>
      <c r="B1028" s="255">
        <v>71</v>
      </c>
    </row>
    <row r="1029" spans="1:2" ht="12.75" customHeight="1">
      <c r="A1029" s="207" t="s">
        <v>66</v>
      </c>
      <c r="B1029" s="255">
        <v>28</v>
      </c>
    </row>
    <row r="1030" spans="1:2" ht="12.75" customHeight="1">
      <c r="A1030" s="207" t="s">
        <v>67</v>
      </c>
      <c r="B1030" s="255">
        <v>10</v>
      </c>
    </row>
    <row r="1031" spans="1:2" ht="12.75" customHeight="1">
      <c r="A1031" s="207" t="s">
        <v>68</v>
      </c>
      <c r="B1031" s="255">
        <v>4</v>
      </c>
    </row>
    <row r="1032" spans="1:2" ht="12.75" customHeight="1">
      <c r="A1032" s="207" t="s">
        <v>45</v>
      </c>
      <c r="B1032" s="255">
        <v>20</v>
      </c>
    </row>
    <row r="1033" spans="1:2" ht="5.0999999999999996" customHeight="1">
      <c r="A1033" s="207"/>
      <c r="B1033" s="255"/>
    </row>
    <row r="1034" spans="1:2" ht="12.75" customHeight="1">
      <c r="A1034" s="206" t="s">
        <v>45</v>
      </c>
      <c r="B1034" s="254">
        <v>3</v>
      </c>
    </row>
    <row r="1035" spans="1:2" ht="5.0999999999999996" customHeight="1">
      <c r="A1035" s="207"/>
      <c r="B1035" s="255"/>
    </row>
    <row r="1036" spans="1:2" ht="12.75" customHeight="1">
      <c r="A1036" s="207" t="s">
        <v>64</v>
      </c>
      <c r="B1036" s="255">
        <v>1</v>
      </c>
    </row>
    <row r="1037" spans="1:2" ht="12.75" customHeight="1">
      <c r="A1037" s="207" t="s">
        <v>65</v>
      </c>
      <c r="B1037" s="255">
        <v>1</v>
      </c>
    </row>
    <row r="1038" spans="1:2" ht="12.75" customHeight="1">
      <c r="A1038" s="207" t="s">
        <v>45</v>
      </c>
      <c r="B1038" s="255">
        <v>1</v>
      </c>
    </row>
    <row r="1039" spans="1:2" ht="5.0999999999999996" customHeight="1">
      <c r="A1039" s="207"/>
      <c r="B1039" s="255"/>
    </row>
    <row r="1040" spans="1:2" ht="12.75" customHeight="1">
      <c r="A1040" s="206" t="s">
        <v>102</v>
      </c>
      <c r="B1040" s="254">
        <v>1711</v>
      </c>
    </row>
    <row r="1041" spans="1:2" ht="5.0999999999999996" customHeight="1">
      <c r="A1041" s="207"/>
      <c r="B1041" s="255"/>
    </row>
    <row r="1042" spans="1:2" ht="12.75" customHeight="1">
      <c r="A1042" s="207" t="s">
        <v>63</v>
      </c>
      <c r="B1042" s="255">
        <v>304</v>
      </c>
    </row>
    <row r="1043" spans="1:2" ht="12.75" customHeight="1">
      <c r="A1043" s="207" t="s">
        <v>64</v>
      </c>
      <c r="B1043" s="255">
        <v>616</v>
      </c>
    </row>
    <row r="1044" spans="1:2" s="70" customFormat="1" ht="12.75" customHeight="1">
      <c r="A1044" s="207" t="s">
        <v>65</v>
      </c>
      <c r="B1044" s="255">
        <v>435</v>
      </c>
    </row>
    <row r="1045" spans="1:2" ht="12.75" customHeight="1">
      <c r="A1045" s="207" t="s">
        <v>66</v>
      </c>
      <c r="B1045" s="255">
        <v>225</v>
      </c>
    </row>
    <row r="1046" spans="1:2" ht="12.75" customHeight="1">
      <c r="A1046" s="207" t="s">
        <v>67</v>
      </c>
      <c r="B1046" s="255">
        <v>101</v>
      </c>
    </row>
    <row r="1047" spans="1:2" ht="12.75" customHeight="1">
      <c r="A1047" s="207" t="s">
        <v>68</v>
      </c>
      <c r="B1047" s="255">
        <v>21</v>
      </c>
    </row>
    <row r="1048" spans="1:2" ht="12.75" customHeight="1">
      <c r="A1048" s="207" t="s">
        <v>69</v>
      </c>
      <c r="B1048" s="255">
        <v>2</v>
      </c>
    </row>
    <row r="1049" spans="1:2" ht="12.75" customHeight="1">
      <c r="A1049" s="207" t="s">
        <v>45</v>
      </c>
      <c r="B1049" s="255">
        <v>7</v>
      </c>
    </row>
    <row r="1050" spans="1:2" ht="5.0999999999999996" customHeight="1">
      <c r="A1050" s="207"/>
      <c r="B1050" s="255"/>
    </row>
    <row r="1051" spans="1:2" ht="12.75" customHeight="1">
      <c r="A1051" s="206" t="s">
        <v>41</v>
      </c>
      <c r="B1051" s="254">
        <v>1279</v>
      </c>
    </row>
    <row r="1052" spans="1:2" ht="5.0999999999999996" customHeight="1">
      <c r="A1052" s="206"/>
      <c r="B1052" s="254"/>
    </row>
    <row r="1053" spans="1:2" ht="12.75" customHeight="1">
      <c r="A1053" s="207" t="s">
        <v>63</v>
      </c>
      <c r="B1053" s="255">
        <v>222</v>
      </c>
    </row>
    <row r="1054" spans="1:2" ht="12.75" customHeight="1">
      <c r="A1054" s="207" t="s">
        <v>64</v>
      </c>
      <c r="B1054" s="255">
        <v>446</v>
      </c>
    </row>
    <row r="1055" spans="1:2" ht="12.75" customHeight="1">
      <c r="A1055" s="207" t="s">
        <v>65</v>
      </c>
      <c r="B1055" s="255">
        <v>331</v>
      </c>
    </row>
    <row r="1056" spans="1:2" ht="12.75" customHeight="1">
      <c r="A1056" s="207" t="s">
        <v>66</v>
      </c>
      <c r="B1056" s="255">
        <v>170</v>
      </c>
    </row>
    <row r="1057" spans="1:2" s="70" customFormat="1" ht="12.75" customHeight="1">
      <c r="A1057" s="207" t="s">
        <v>67</v>
      </c>
      <c r="B1057" s="255">
        <v>87</v>
      </c>
    </row>
    <row r="1058" spans="1:2" ht="12.75" customHeight="1">
      <c r="A1058" s="207" t="s">
        <v>68</v>
      </c>
      <c r="B1058" s="255">
        <v>18</v>
      </c>
    </row>
    <row r="1059" spans="1:2" ht="12.75" customHeight="1">
      <c r="A1059" s="207" t="s">
        <v>69</v>
      </c>
      <c r="B1059" s="255">
        <v>1</v>
      </c>
    </row>
    <row r="1060" spans="1:2" ht="12.75" customHeight="1">
      <c r="A1060" s="207" t="s">
        <v>45</v>
      </c>
      <c r="B1060" s="255">
        <v>4</v>
      </c>
    </row>
    <row r="1061" spans="1:2" ht="5.0999999999999996" customHeight="1">
      <c r="A1061" s="207"/>
      <c r="B1061" s="255"/>
    </row>
    <row r="1062" spans="1:2" ht="12.75" customHeight="1">
      <c r="A1062" s="206" t="s">
        <v>42</v>
      </c>
      <c r="B1062" s="254">
        <v>353</v>
      </c>
    </row>
    <row r="1063" spans="1:2" ht="5.0999999999999996" customHeight="1">
      <c r="A1063" s="207"/>
      <c r="B1063" s="255"/>
    </row>
    <row r="1064" spans="1:2" ht="12.75" customHeight="1">
      <c r="A1064" s="207" t="s">
        <v>63</v>
      </c>
      <c r="B1064" s="255">
        <v>67</v>
      </c>
    </row>
    <row r="1065" spans="1:2" ht="12.75" customHeight="1">
      <c r="A1065" s="207" t="s">
        <v>64</v>
      </c>
      <c r="B1065" s="255">
        <v>143</v>
      </c>
    </row>
    <row r="1066" spans="1:2" ht="12.75" customHeight="1">
      <c r="A1066" s="207" t="s">
        <v>65</v>
      </c>
      <c r="B1066" s="255">
        <v>87</v>
      </c>
    </row>
    <row r="1067" spans="1:2" ht="12.75" customHeight="1">
      <c r="A1067" s="207" t="s">
        <v>66</v>
      </c>
      <c r="B1067" s="255">
        <v>42</v>
      </c>
    </row>
    <row r="1068" spans="1:2" ht="12.75" customHeight="1">
      <c r="A1068" s="207" t="s">
        <v>67</v>
      </c>
      <c r="B1068" s="255">
        <v>9</v>
      </c>
    </row>
    <row r="1069" spans="1:2" ht="12.75" customHeight="1">
      <c r="A1069" s="207" t="s">
        <v>68</v>
      </c>
      <c r="B1069" s="255">
        <v>2</v>
      </c>
    </row>
    <row r="1070" spans="1:2" s="70" customFormat="1" ht="12.75" customHeight="1">
      <c r="A1070" s="207" t="s">
        <v>69</v>
      </c>
      <c r="B1070" s="255">
        <v>1</v>
      </c>
    </row>
    <row r="1071" spans="1:2" ht="12.75" customHeight="1">
      <c r="A1071" s="207" t="s">
        <v>45</v>
      </c>
      <c r="B1071" s="255">
        <v>2</v>
      </c>
    </row>
    <row r="1072" spans="1:2" ht="5.0999999999999996" customHeight="1">
      <c r="A1072" s="207"/>
      <c r="B1072" s="255"/>
    </row>
    <row r="1073" spans="1:3" ht="12.75" customHeight="1">
      <c r="A1073" s="206" t="s">
        <v>45</v>
      </c>
      <c r="B1073" s="254">
        <v>79</v>
      </c>
      <c r="C1073" s="31"/>
    </row>
    <row r="1074" spans="1:3" ht="5.0999999999999996" customHeight="1">
      <c r="A1074" s="207"/>
      <c r="B1074" s="255"/>
    </row>
    <row r="1075" spans="1:3" ht="12.75" customHeight="1">
      <c r="A1075" s="207" t="s">
        <v>63</v>
      </c>
      <c r="B1075" s="255">
        <v>15</v>
      </c>
      <c r="C1075" s="66"/>
    </row>
    <row r="1076" spans="1:3" ht="12.75" customHeight="1">
      <c r="A1076" s="207" t="s">
        <v>64</v>
      </c>
      <c r="B1076" s="255">
        <v>27</v>
      </c>
      <c r="C1076" s="66"/>
    </row>
    <row r="1077" spans="1:3" ht="12.75" customHeight="1">
      <c r="A1077" s="207" t="s">
        <v>65</v>
      </c>
      <c r="B1077" s="255">
        <v>17</v>
      </c>
    </row>
    <row r="1078" spans="1:3" ht="12.75" customHeight="1">
      <c r="A1078" s="207" t="s">
        <v>66</v>
      </c>
      <c r="B1078" s="255">
        <v>13</v>
      </c>
    </row>
    <row r="1079" spans="1:3" ht="12.75" customHeight="1">
      <c r="A1079" s="207" t="s">
        <v>67</v>
      </c>
      <c r="B1079" s="255">
        <v>5</v>
      </c>
    </row>
    <row r="1080" spans="1:3" ht="12.75" customHeight="1">
      <c r="A1080" s="207" t="s">
        <v>68</v>
      </c>
      <c r="B1080" s="255">
        <v>1</v>
      </c>
    </row>
    <row r="1081" spans="1:3" ht="12.75" customHeight="1">
      <c r="A1081" s="207" t="s">
        <v>45</v>
      </c>
      <c r="B1081" s="255">
        <v>1</v>
      </c>
    </row>
    <row r="1082" spans="1:3" ht="5.0999999999999996" customHeight="1">
      <c r="A1082" s="207"/>
      <c r="B1082" s="255"/>
    </row>
    <row r="1083" spans="1:3" s="70" customFormat="1" ht="12.75" customHeight="1">
      <c r="A1083" s="206" t="s">
        <v>103</v>
      </c>
      <c r="B1083" s="254">
        <v>2211</v>
      </c>
    </row>
    <row r="1084" spans="1:3" ht="5.0999999999999996" customHeight="1">
      <c r="A1084" s="207"/>
      <c r="B1084" s="255"/>
    </row>
    <row r="1085" spans="1:3" ht="12.75" customHeight="1">
      <c r="A1085" s="207" t="s">
        <v>63</v>
      </c>
      <c r="B1085" s="255">
        <v>393</v>
      </c>
      <c r="C1085" s="66"/>
    </row>
    <row r="1086" spans="1:3" ht="12.75" customHeight="1">
      <c r="A1086" s="207" t="s">
        <v>64</v>
      </c>
      <c r="B1086" s="255">
        <v>754</v>
      </c>
      <c r="C1086" s="66"/>
    </row>
    <row r="1087" spans="1:3" ht="12.75" customHeight="1">
      <c r="A1087" s="207" t="s">
        <v>65</v>
      </c>
      <c r="B1087" s="255">
        <v>589</v>
      </c>
      <c r="C1087" s="66"/>
    </row>
    <row r="1088" spans="1:3" ht="12.75" customHeight="1">
      <c r="A1088" s="207" t="s">
        <v>66</v>
      </c>
      <c r="B1088" s="255">
        <v>304</v>
      </c>
      <c r="C1088" s="66"/>
    </row>
    <row r="1089" spans="1:3" ht="12.75" customHeight="1">
      <c r="A1089" s="207" t="s">
        <v>67</v>
      </c>
      <c r="B1089" s="255">
        <v>129</v>
      </c>
      <c r="C1089" s="66"/>
    </row>
    <row r="1090" spans="1:3" ht="12.75" customHeight="1">
      <c r="A1090" s="207" t="s">
        <v>68</v>
      </c>
      <c r="B1090" s="255">
        <v>26</v>
      </c>
      <c r="C1090" s="66"/>
    </row>
    <row r="1091" spans="1:3" ht="12.75" customHeight="1">
      <c r="A1091" s="207" t="s">
        <v>69</v>
      </c>
      <c r="B1091" s="255">
        <v>1</v>
      </c>
      <c r="C1091" s="66"/>
    </row>
    <row r="1092" spans="1:3" ht="12.75" customHeight="1">
      <c r="A1092" s="207" t="s">
        <v>70</v>
      </c>
      <c r="B1092" s="255">
        <v>1</v>
      </c>
      <c r="C1092" s="66"/>
    </row>
    <row r="1093" spans="1:3" ht="12.75" customHeight="1">
      <c r="A1093" s="207" t="s">
        <v>45</v>
      </c>
      <c r="B1093" s="255">
        <v>14</v>
      </c>
      <c r="C1093" s="66"/>
    </row>
    <row r="1094" spans="1:3" ht="5.0999999999999996" customHeight="1">
      <c r="A1094" s="207"/>
      <c r="B1094" s="255"/>
      <c r="C1094" s="66"/>
    </row>
    <row r="1095" spans="1:3" ht="12.75" customHeight="1">
      <c r="A1095" s="206" t="s">
        <v>41</v>
      </c>
      <c r="B1095" s="254">
        <v>900</v>
      </c>
      <c r="C1095" s="66"/>
    </row>
    <row r="1096" spans="1:3" s="70" customFormat="1" ht="5.0999999999999996" customHeight="1">
      <c r="A1096" s="207"/>
      <c r="B1096" s="255"/>
      <c r="C1096" s="64"/>
    </row>
    <row r="1097" spans="1:3" ht="12.75" customHeight="1">
      <c r="A1097" s="207" t="s">
        <v>63</v>
      </c>
      <c r="B1097" s="255">
        <v>144</v>
      </c>
    </row>
    <row r="1098" spans="1:3" ht="12.75" customHeight="1">
      <c r="A1098" s="207" t="s">
        <v>64</v>
      </c>
      <c r="B1098" s="255">
        <v>307</v>
      </c>
    </row>
    <row r="1099" spans="1:3" ht="12.75" customHeight="1">
      <c r="A1099" s="207" t="s">
        <v>65</v>
      </c>
      <c r="B1099" s="255">
        <v>231</v>
      </c>
    </row>
    <row r="1100" spans="1:3" ht="12.75" customHeight="1">
      <c r="A1100" s="207" t="s">
        <v>66</v>
      </c>
      <c r="B1100" s="255">
        <v>132</v>
      </c>
    </row>
    <row r="1101" spans="1:3" ht="12.75" customHeight="1">
      <c r="A1101" s="207" t="s">
        <v>67</v>
      </c>
      <c r="B1101" s="255">
        <v>65</v>
      </c>
    </row>
    <row r="1102" spans="1:3" ht="12.75" customHeight="1">
      <c r="A1102" s="207" t="s">
        <v>68</v>
      </c>
      <c r="B1102" s="255">
        <v>16</v>
      </c>
    </row>
    <row r="1103" spans="1:3" ht="12.75" customHeight="1">
      <c r="A1103" s="207" t="s">
        <v>45</v>
      </c>
      <c r="B1103" s="255">
        <v>5</v>
      </c>
    </row>
    <row r="1104" spans="1:3" ht="5.0999999999999996" customHeight="1">
      <c r="A1104" s="207"/>
      <c r="B1104" s="255"/>
    </row>
    <row r="1105" spans="1:2" ht="12.75" customHeight="1">
      <c r="A1105" s="206" t="s">
        <v>42</v>
      </c>
      <c r="B1105" s="254">
        <v>1309</v>
      </c>
    </row>
    <row r="1106" spans="1:2" ht="5.0999999999999996" customHeight="1">
      <c r="A1106" s="207"/>
      <c r="B1106" s="255"/>
    </row>
    <row r="1107" spans="1:2" ht="12.75" customHeight="1">
      <c r="A1107" s="207" t="s">
        <v>63</v>
      </c>
      <c r="B1107" s="255">
        <v>249</v>
      </c>
    </row>
    <row r="1108" spans="1:2" ht="12.75" customHeight="1">
      <c r="A1108" s="207" t="s">
        <v>64</v>
      </c>
      <c r="B1108" s="255">
        <v>447</v>
      </c>
    </row>
    <row r="1109" spans="1:2" s="70" customFormat="1" ht="12.75" customHeight="1">
      <c r="A1109" s="207" t="s">
        <v>65</v>
      </c>
      <c r="B1109" s="255">
        <v>358</v>
      </c>
    </row>
    <row r="1110" spans="1:2" ht="12.75" customHeight="1">
      <c r="A1110" s="207" t="s">
        <v>66</v>
      </c>
      <c r="B1110" s="255">
        <v>171</v>
      </c>
    </row>
    <row r="1111" spans="1:2" ht="12.75" customHeight="1">
      <c r="A1111" s="207" t="s">
        <v>67</v>
      </c>
      <c r="B1111" s="255">
        <v>64</v>
      </c>
    </row>
    <row r="1112" spans="1:2" ht="12.75" customHeight="1">
      <c r="A1112" s="207" t="s">
        <v>68</v>
      </c>
      <c r="B1112" s="255">
        <v>10</v>
      </c>
    </row>
    <row r="1113" spans="1:2" ht="12.75" customHeight="1">
      <c r="A1113" s="207" t="s">
        <v>69</v>
      </c>
      <c r="B1113" s="255">
        <v>1</v>
      </c>
    </row>
    <row r="1114" spans="1:2" ht="12.75" customHeight="1">
      <c r="A1114" s="207" t="s">
        <v>70</v>
      </c>
      <c r="B1114" s="255">
        <v>1</v>
      </c>
    </row>
    <row r="1115" spans="1:2" ht="12.75" customHeight="1">
      <c r="A1115" s="207" t="s">
        <v>45</v>
      </c>
      <c r="B1115" s="255">
        <v>8</v>
      </c>
    </row>
    <row r="1116" spans="1:2" ht="5.0999999999999996" customHeight="1">
      <c r="A1116" s="207"/>
      <c r="B1116" s="255"/>
    </row>
    <row r="1117" spans="1:2" ht="12.75" customHeight="1">
      <c r="A1117" s="206" t="s">
        <v>45</v>
      </c>
      <c r="B1117" s="254">
        <v>2</v>
      </c>
    </row>
    <row r="1118" spans="1:2" ht="5.0999999999999996" customHeight="1">
      <c r="A1118" s="207"/>
      <c r="B1118" s="255"/>
    </row>
    <row r="1119" spans="1:2" ht="12.75" customHeight="1">
      <c r="A1119" s="207" t="s">
        <v>66</v>
      </c>
      <c r="B1119" s="255">
        <v>1</v>
      </c>
    </row>
    <row r="1120" spans="1:2" ht="12.75" customHeight="1">
      <c r="A1120" s="207" t="s">
        <v>45</v>
      </c>
      <c r="B1120" s="255">
        <v>1</v>
      </c>
    </row>
    <row r="1121" spans="1:2" ht="5.0999999999999996" customHeight="1">
      <c r="A1121" s="207"/>
      <c r="B1121" s="255"/>
    </row>
    <row r="1122" spans="1:2" s="70" customFormat="1" ht="12.75" customHeight="1">
      <c r="A1122" s="206" t="s">
        <v>104</v>
      </c>
      <c r="B1122" s="254">
        <v>1698</v>
      </c>
    </row>
    <row r="1123" spans="1:2" ht="5.0999999999999996" customHeight="1">
      <c r="A1123" s="207"/>
      <c r="B1123" s="255"/>
    </row>
    <row r="1124" spans="1:2" ht="12.75" customHeight="1">
      <c r="A1124" s="207" t="s">
        <v>63</v>
      </c>
      <c r="B1124" s="255">
        <v>233</v>
      </c>
    </row>
    <row r="1125" spans="1:2" ht="12.75" customHeight="1">
      <c r="A1125" s="207" t="s">
        <v>64</v>
      </c>
      <c r="B1125" s="255">
        <v>599</v>
      </c>
    </row>
    <row r="1126" spans="1:2" ht="12.75" customHeight="1">
      <c r="A1126" s="207" t="s">
        <v>65</v>
      </c>
      <c r="B1126" s="255">
        <v>469</v>
      </c>
    </row>
    <row r="1127" spans="1:2" ht="12.75" customHeight="1">
      <c r="A1127" s="207" t="s">
        <v>66</v>
      </c>
      <c r="B1127" s="255">
        <v>252</v>
      </c>
    </row>
    <row r="1128" spans="1:2" ht="12.75" customHeight="1">
      <c r="A1128" s="207" t="s">
        <v>67</v>
      </c>
      <c r="B1128" s="255">
        <v>109</v>
      </c>
    </row>
    <row r="1129" spans="1:2" ht="12.75" customHeight="1">
      <c r="A1129" s="207" t="s">
        <v>68</v>
      </c>
      <c r="B1129" s="255">
        <v>30</v>
      </c>
    </row>
    <row r="1130" spans="1:2" ht="12.75" customHeight="1">
      <c r="A1130" s="207" t="s">
        <v>69</v>
      </c>
      <c r="B1130" s="255">
        <v>1</v>
      </c>
    </row>
    <row r="1131" spans="1:2" ht="12.75" customHeight="1">
      <c r="A1131" s="207" t="s">
        <v>70</v>
      </c>
      <c r="B1131" s="255">
        <v>1</v>
      </c>
    </row>
    <row r="1132" spans="1:2" ht="12.75" customHeight="1">
      <c r="A1132" s="207" t="s">
        <v>45</v>
      </c>
      <c r="B1132" s="255">
        <v>4</v>
      </c>
    </row>
    <row r="1133" spans="1:2" ht="5.0999999999999996" customHeight="1">
      <c r="A1133" s="207"/>
      <c r="B1133" s="255"/>
    </row>
    <row r="1134" spans="1:2" ht="12.75" customHeight="1">
      <c r="A1134" s="206" t="s">
        <v>41</v>
      </c>
      <c r="B1134" s="254">
        <v>1404</v>
      </c>
    </row>
    <row r="1135" spans="1:2" s="70" customFormat="1" ht="5.0999999999999996" customHeight="1">
      <c r="A1135" s="207"/>
      <c r="B1135" s="255"/>
    </row>
    <row r="1136" spans="1:2" ht="12.75" customHeight="1">
      <c r="A1136" s="207" t="s">
        <v>63</v>
      </c>
      <c r="B1136" s="255">
        <v>204</v>
      </c>
    </row>
    <row r="1137" spans="1:3" ht="12.75" customHeight="1">
      <c r="A1137" s="207" t="s">
        <v>64</v>
      </c>
      <c r="B1137" s="255">
        <v>501</v>
      </c>
    </row>
    <row r="1138" spans="1:3" ht="12.75" customHeight="1">
      <c r="A1138" s="207" t="s">
        <v>65</v>
      </c>
      <c r="B1138" s="255">
        <v>383</v>
      </c>
    </row>
    <row r="1139" spans="1:3" ht="12.75" customHeight="1">
      <c r="A1139" s="207" t="s">
        <v>66</v>
      </c>
      <c r="B1139" s="255">
        <v>198</v>
      </c>
    </row>
    <row r="1140" spans="1:3" ht="12.75" customHeight="1">
      <c r="A1140" s="207" t="s">
        <v>67</v>
      </c>
      <c r="B1140" s="255">
        <v>86</v>
      </c>
    </row>
    <row r="1141" spans="1:3" ht="12.75" customHeight="1">
      <c r="A1141" s="207" t="s">
        <v>68</v>
      </c>
      <c r="B1141" s="255">
        <v>26</v>
      </c>
    </row>
    <row r="1142" spans="1:3" ht="12.75" customHeight="1">
      <c r="A1142" s="207" t="s">
        <v>69</v>
      </c>
      <c r="B1142" s="255">
        <v>1</v>
      </c>
    </row>
    <row r="1143" spans="1:3" ht="12.75" customHeight="1">
      <c r="A1143" s="207" t="s">
        <v>70</v>
      </c>
      <c r="B1143" s="255">
        <v>1</v>
      </c>
    </row>
    <row r="1144" spans="1:3" ht="12.75" customHeight="1">
      <c r="A1144" s="207" t="s">
        <v>45</v>
      </c>
      <c r="B1144" s="255">
        <v>4</v>
      </c>
    </row>
    <row r="1145" spans="1:3" ht="5.0999999999999996" customHeight="1">
      <c r="A1145" s="207"/>
      <c r="B1145" s="255"/>
    </row>
    <row r="1146" spans="1:3" ht="12.75" customHeight="1">
      <c r="A1146" s="206" t="s">
        <v>42</v>
      </c>
      <c r="B1146" s="254">
        <v>284</v>
      </c>
    </row>
    <row r="1147" spans="1:3" ht="5.0999999999999996" customHeight="1">
      <c r="A1147" s="207"/>
      <c r="B1147" s="255"/>
    </row>
    <row r="1148" spans="1:3" s="70" customFormat="1" ht="12.75" customHeight="1">
      <c r="A1148" s="207" t="s">
        <v>63</v>
      </c>
      <c r="B1148" s="255">
        <v>29</v>
      </c>
      <c r="C1148" s="31"/>
    </row>
    <row r="1149" spans="1:3" ht="12.75" customHeight="1">
      <c r="A1149" s="207" t="s">
        <v>64</v>
      </c>
      <c r="B1149" s="255">
        <v>95</v>
      </c>
    </row>
    <row r="1150" spans="1:3" ht="12.75" customHeight="1">
      <c r="A1150" s="207" t="s">
        <v>65</v>
      </c>
      <c r="B1150" s="255">
        <v>86</v>
      </c>
      <c r="C1150" s="27"/>
    </row>
    <row r="1151" spans="1:3" ht="12.75" customHeight="1">
      <c r="A1151" s="207" t="s">
        <v>66</v>
      </c>
      <c r="B1151" s="255">
        <v>50</v>
      </c>
      <c r="C1151" s="27"/>
    </row>
    <row r="1152" spans="1:3" ht="12.75" customHeight="1">
      <c r="A1152" s="207" t="s">
        <v>67</v>
      </c>
      <c r="B1152" s="255">
        <v>22</v>
      </c>
      <c r="C1152" s="27"/>
    </row>
    <row r="1153" spans="1:3" ht="12.75" customHeight="1">
      <c r="A1153" s="207" t="s">
        <v>68</v>
      </c>
      <c r="B1153" s="255">
        <v>2</v>
      </c>
      <c r="C1153" s="27"/>
    </row>
    <row r="1154" spans="1:3" ht="5.0999999999999996" customHeight="1">
      <c r="A1154" s="207"/>
      <c r="B1154" s="255"/>
      <c r="C1154" s="27"/>
    </row>
    <row r="1155" spans="1:3" ht="12.75" customHeight="1">
      <c r="A1155" s="206" t="s">
        <v>45</v>
      </c>
      <c r="B1155" s="254">
        <v>10</v>
      </c>
      <c r="C1155" s="27"/>
    </row>
    <row r="1156" spans="1:3" ht="5.0999999999999996" customHeight="1">
      <c r="A1156" s="207"/>
      <c r="B1156" s="255"/>
      <c r="C1156" s="27"/>
    </row>
    <row r="1157" spans="1:3" ht="12.75" customHeight="1">
      <c r="A1157" s="207" t="s">
        <v>64</v>
      </c>
      <c r="B1157" s="255">
        <v>3</v>
      </c>
      <c r="C1157" s="27"/>
    </row>
    <row r="1158" spans="1:3" ht="12.75" customHeight="1">
      <c r="A1158" s="207" t="s">
        <v>66</v>
      </c>
      <c r="B1158" s="255">
        <v>4</v>
      </c>
      <c r="C1158" s="27"/>
    </row>
    <row r="1159" spans="1:3" ht="12.75" customHeight="1">
      <c r="A1159" s="207" t="s">
        <v>67</v>
      </c>
      <c r="B1159" s="255">
        <v>1</v>
      </c>
      <c r="C1159" s="27"/>
    </row>
    <row r="1160" spans="1:3" ht="12.75" customHeight="1">
      <c r="A1160" s="207" t="s">
        <v>68</v>
      </c>
      <c r="B1160" s="255">
        <v>2</v>
      </c>
    </row>
    <row r="1161" spans="1:3" s="70" customFormat="1" ht="5.0999999999999996" customHeight="1">
      <c r="A1161" s="207"/>
      <c r="B1161" s="255"/>
    </row>
    <row r="1162" spans="1:3" ht="12.75" customHeight="1">
      <c r="A1162" s="206" t="s">
        <v>105</v>
      </c>
      <c r="B1162" s="254">
        <v>580</v>
      </c>
    </row>
    <row r="1163" spans="1:3" ht="5.0999999999999996" customHeight="1">
      <c r="A1163" s="207"/>
      <c r="B1163" s="255"/>
    </row>
    <row r="1164" spans="1:3" ht="12.75" customHeight="1">
      <c r="A1164" s="207" t="s">
        <v>63</v>
      </c>
      <c r="B1164" s="255">
        <v>86</v>
      </c>
    </row>
    <row r="1165" spans="1:3" ht="12.75" customHeight="1">
      <c r="A1165" s="207" t="s">
        <v>64</v>
      </c>
      <c r="B1165" s="255">
        <v>194</v>
      </c>
    </row>
    <row r="1166" spans="1:3" ht="12.75" customHeight="1">
      <c r="A1166" s="207" t="s">
        <v>65</v>
      </c>
      <c r="B1166" s="255">
        <v>163</v>
      </c>
    </row>
    <row r="1167" spans="1:3" ht="12.75" customHeight="1">
      <c r="A1167" s="207" t="s">
        <v>66</v>
      </c>
      <c r="B1167" s="255">
        <v>87</v>
      </c>
    </row>
    <row r="1168" spans="1:3" ht="12.75" customHeight="1">
      <c r="A1168" s="207" t="s">
        <v>67</v>
      </c>
      <c r="B1168" s="255">
        <v>38</v>
      </c>
    </row>
    <row r="1169" spans="1:2" ht="12.75" customHeight="1">
      <c r="A1169" s="207" t="s">
        <v>68</v>
      </c>
      <c r="B1169" s="255">
        <v>7</v>
      </c>
    </row>
    <row r="1170" spans="1:2" ht="12.75" customHeight="1">
      <c r="A1170" s="207" t="s">
        <v>45</v>
      </c>
      <c r="B1170" s="255">
        <v>5</v>
      </c>
    </row>
    <row r="1171" spans="1:2" ht="5.0999999999999996" customHeight="1">
      <c r="A1171" s="207"/>
      <c r="B1171" s="255"/>
    </row>
    <row r="1172" spans="1:2" ht="12.75" customHeight="1">
      <c r="A1172" s="206" t="s">
        <v>41</v>
      </c>
      <c r="B1172" s="254">
        <v>421</v>
      </c>
    </row>
    <row r="1173" spans="1:2" ht="5.0999999999999996" customHeight="1">
      <c r="A1173" s="207"/>
      <c r="B1173" s="255"/>
    </row>
    <row r="1174" spans="1:2" s="70" customFormat="1" ht="12.75" customHeight="1">
      <c r="A1174" s="207" t="s">
        <v>63</v>
      </c>
      <c r="B1174" s="255">
        <v>67</v>
      </c>
    </row>
    <row r="1175" spans="1:2" ht="12.75" customHeight="1">
      <c r="A1175" s="207" t="s">
        <v>64</v>
      </c>
      <c r="B1175" s="255">
        <v>139</v>
      </c>
    </row>
    <row r="1176" spans="1:2" ht="12.75" customHeight="1">
      <c r="A1176" s="207" t="s">
        <v>65</v>
      </c>
      <c r="B1176" s="255">
        <v>112</v>
      </c>
    </row>
    <row r="1177" spans="1:2" ht="12.75" customHeight="1">
      <c r="A1177" s="207" t="s">
        <v>66</v>
      </c>
      <c r="B1177" s="255">
        <v>66</v>
      </c>
    </row>
    <row r="1178" spans="1:2" ht="12.75" customHeight="1">
      <c r="A1178" s="207" t="s">
        <v>67</v>
      </c>
      <c r="B1178" s="255">
        <v>31</v>
      </c>
    </row>
    <row r="1179" spans="1:2" ht="12.75" customHeight="1">
      <c r="A1179" s="207" t="s">
        <v>68</v>
      </c>
      <c r="B1179" s="255">
        <v>5</v>
      </c>
    </row>
    <row r="1180" spans="1:2" ht="12.75" customHeight="1">
      <c r="A1180" s="207" t="s">
        <v>45</v>
      </c>
      <c r="B1180" s="255">
        <v>1</v>
      </c>
    </row>
    <row r="1181" spans="1:2" ht="5.0999999999999996" customHeight="1">
      <c r="A1181" s="207"/>
      <c r="B1181" s="255"/>
    </row>
    <row r="1182" spans="1:2" ht="12.75" customHeight="1">
      <c r="A1182" s="206" t="s">
        <v>42</v>
      </c>
      <c r="B1182" s="254">
        <v>120</v>
      </c>
    </row>
    <row r="1183" spans="1:2" ht="5.0999999999999996" customHeight="1">
      <c r="A1183" s="207"/>
      <c r="B1183" s="255"/>
    </row>
    <row r="1184" spans="1:2" ht="12.75" customHeight="1">
      <c r="A1184" s="207" t="s">
        <v>63</v>
      </c>
      <c r="B1184" s="255">
        <v>17</v>
      </c>
    </row>
    <row r="1185" spans="1:2" ht="12.75" customHeight="1">
      <c r="A1185" s="207" t="s">
        <v>64</v>
      </c>
      <c r="B1185" s="255">
        <v>38</v>
      </c>
    </row>
    <row r="1186" spans="1:2" ht="12.75" customHeight="1">
      <c r="A1186" s="207" t="s">
        <v>65</v>
      </c>
      <c r="B1186" s="255">
        <v>39</v>
      </c>
    </row>
    <row r="1187" spans="1:2" s="70" customFormat="1" ht="12.75" customHeight="1">
      <c r="A1187" s="207" t="s">
        <v>66</v>
      </c>
      <c r="B1187" s="255">
        <v>16</v>
      </c>
    </row>
    <row r="1188" spans="1:2" ht="12.75" customHeight="1">
      <c r="A1188" s="207" t="s">
        <v>67</v>
      </c>
      <c r="B1188" s="255">
        <v>5</v>
      </c>
    </row>
    <row r="1189" spans="1:2" ht="12.75" customHeight="1">
      <c r="A1189" s="207" t="s">
        <v>68</v>
      </c>
      <c r="B1189" s="255">
        <v>1</v>
      </c>
    </row>
    <row r="1190" spans="1:2" ht="12.75" customHeight="1">
      <c r="A1190" s="207" t="s">
        <v>45</v>
      </c>
      <c r="B1190" s="255">
        <v>4</v>
      </c>
    </row>
    <row r="1191" spans="1:2" ht="5.0999999999999996" customHeight="1">
      <c r="A1191" s="207"/>
      <c r="B1191" s="255"/>
    </row>
    <row r="1192" spans="1:2" ht="12.75" customHeight="1">
      <c r="A1192" s="206" t="s">
        <v>45</v>
      </c>
      <c r="B1192" s="254">
        <v>39</v>
      </c>
    </row>
    <row r="1193" spans="1:2" ht="5.0999999999999996" customHeight="1">
      <c r="A1193" s="207"/>
      <c r="B1193" s="255"/>
    </row>
    <row r="1194" spans="1:2" ht="12.75" customHeight="1">
      <c r="A1194" s="207" t="s">
        <v>63</v>
      </c>
      <c r="B1194" s="255">
        <v>2</v>
      </c>
    </row>
    <row r="1195" spans="1:2" ht="12.75" customHeight="1">
      <c r="A1195" s="207" t="s">
        <v>64</v>
      </c>
      <c r="B1195" s="255">
        <v>17</v>
      </c>
    </row>
    <row r="1196" spans="1:2" ht="12.75" customHeight="1">
      <c r="A1196" s="207" t="s">
        <v>65</v>
      </c>
      <c r="B1196" s="255">
        <v>12</v>
      </c>
    </row>
    <row r="1197" spans="1:2" ht="12.75" customHeight="1">
      <c r="A1197" s="207" t="s">
        <v>66</v>
      </c>
      <c r="B1197" s="255">
        <v>5</v>
      </c>
    </row>
    <row r="1198" spans="1:2" ht="12.75" customHeight="1">
      <c r="A1198" s="207" t="s">
        <v>67</v>
      </c>
      <c r="B1198" s="255">
        <v>2</v>
      </c>
    </row>
    <row r="1199" spans="1:2" ht="12.75" customHeight="1">
      <c r="A1199" s="207" t="s">
        <v>68</v>
      </c>
      <c r="B1199" s="255">
        <v>1</v>
      </c>
    </row>
    <row r="1200" spans="1:2" s="70" customFormat="1" ht="5.0999999999999996" customHeight="1">
      <c r="A1200" s="207"/>
      <c r="B1200" s="255"/>
    </row>
    <row r="1201" spans="1:2" ht="12.75" customHeight="1">
      <c r="A1201" s="206" t="s">
        <v>106</v>
      </c>
      <c r="B1201" s="254">
        <v>577</v>
      </c>
    </row>
    <row r="1202" spans="1:2" ht="5.0999999999999996" customHeight="1">
      <c r="A1202" s="207"/>
      <c r="B1202" s="255"/>
    </row>
    <row r="1203" spans="1:2" ht="12.75" customHeight="1">
      <c r="A1203" s="207" t="s">
        <v>63</v>
      </c>
      <c r="B1203" s="255">
        <v>121</v>
      </c>
    </row>
    <row r="1204" spans="1:2" ht="12.75" customHeight="1">
      <c r="A1204" s="207" t="s">
        <v>64</v>
      </c>
      <c r="B1204" s="255">
        <v>198</v>
      </c>
    </row>
    <row r="1205" spans="1:2" ht="12.75" customHeight="1">
      <c r="A1205" s="207" t="s">
        <v>65</v>
      </c>
      <c r="B1205" s="255">
        <v>144</v>
      </c>
    </row>
    <row r="1206" spans="1:2" ht="12.75" customHeight="1">
      <c r="A1206" s="207" t="s">
        <v>66</v>
      </c>
      <c r="B1206" s="255">
        <v>78</v>
      </c>
    </row>
    <row r="1207" spans="1:2" ht="12.75" customHeight="1">
      <c r="A1207" s="207" t="s">
        <v>67</v>
      </c>
      <c r="B1207" s="255">
        <v>20</v>
      </c>
    </row>
    <row r="1208" spans="1:2" ht="12.75" customHeight="1">
      <c r="A1208" s="207" t="s">
        <v>68</v>
      </c>
      <c r="B1208" s="255">
        <v>6</v>
      </c>
    </row>
    <row r="1209" spans="1:2" ht="12.75" customHeight="1">
      <c r="A1209" s="207" t="s">
        <v>45</v>
      </c>
      <c r="B1209" s="255">
        <v>10</v>
      </c>
    </row>
    <row r="1210" spans="1:2" ht="5.0999999999999996" customHeight="1">
      <c r="A1210" s="207"/>
      <c r="B1210" s="255"/>
    </row>
    <row r="1211" spans="1:2" ht="12.75" customHeight="1">
      <c r="A1211" s="206" t="s">
        <v>41</v>
      </c>
      <c r="B1211" s="254">
        <v>475</v>
      </c>
    </row>
    <row r="1212" spans="1:2" ht="5.0999999999999996" customHeight="1">
      <c r="A1212" s="207"/>
      <c r="B1212" s="255"/>
    </row>
    <row r="1213" spans="1:2" s="70" customFormat="1" ht="12.75" customHeight="1">
      <c r="A1213" s="207" t="s">
        <v>63</v>
      </c>
      <c r="B1213" s="255">
        <v>101</v>
      </c>
    </row>
    <row r="1214" spans="1:2" ht="12.75" customHeight="1">
      <c r="A1214" s="207" t="s">
        <v>64</v>
      </c>
      <c r="B1214" s="255">
        <v>163</v>
      </c>
    </row>
    <row r="1215" spans="1:2" ht="12.75" customHeight="1">
      <c r="A1215" s="207" t="s">
        <v>65</v>
      </c>
      <c r="B1215" s="255">
        <v>117</v>
      </c>
    </row>
    <row r="1216" spans="1:2" ht="12.75" customHeight="1">
      <c r="A1216" s="207" t="s">
        <v>66</v>
      </c>
      <c r="B1216" s="255">
        <v>67</v>
      </c>
    </row>
    <row r="1217" spans="1:2" ht="12.75" customHeight="1">
      <c r="A1217" s="207" t="s">
        <v>67</v>
      </c>
      <c r="B1217" s="255">
        <v>18</v>
      </c>
    </row>
    <row r="1218" spans="1:2" ht="12.75" customHeight="1">
      <c r="A1218" s="207" t="s">
        <v>68</v>
      </c>
      <c r="B1218" s="255">
        <v>6</v>
      </c>
    </row>
    <row r="1219" spans="1:2" ht="12.75" customHeight="1">
      <c r="A1219" s="207" t="s">
        <v>45</v>
      </c>
      <c r="B1219" s="255">
        <v>3</v>
      </c>
    </row>
    <row r="1220" spans="1:2" ht="5.0999999999999996" customHeight="1">
      <c r="A1220" s="207"/>
      <c r="B1220" s="255"/>
    </row>
    <row r="1221" spans="1:2" ht="12.75" customHeight="1">
      <c r="A1221" s="206" t="s">
        <v>42</v>
      </c>
      <c r="B1221" s="254">
        <v>98</v>
      </c>
    </row>
    <row r="1222" spans="1:2" ht="5.0999999999999996" customHeight="1">
      <c r="A1222" s="207"/>
      <c r="B1222" s="255"/>
    </row>
    <row r="1223" spans="1:2" ht="12.75" customHeight="1">
      <c r="A1223" s="207" t="s">
        <v>63</v>
      </c>
      <c r="B1223" s="255">
        <v>20</v>
      </c>
    </row>
    <row r="1224" spans="1:2" ht="12.75" customHeight="1">
      <c r="A1224" s="207" t="s">
        <v>64</v>
      </c>
      <c r="B1224" s="255">
        <v>35</v>
      </c>
    </row>
    <row r="1225" spans="1:2" ht="12.75" customHeight="1">
      <c r="A1225" s="207" t="s">
        <v>65</v>
      </c>
      <c r="B1225" s="255">
        <v>27</v>
      </c>
    </row>
    <row r="1226" spans="1:2" s="70" customFormat="1" ht="12.75" customHeight="1">
      <c r="A1226" s="207" t="s">
        <v>66</v>
      </c>
      <c r="B1226" s="255">
        <v>11</v>
      </c>
    </row>
    <row r="1227" spans="1:2" ht="12.75" customHeight="1">
      <c r="A1227" s="207" t="s">
        <v>67</v>
      </c>
      <c r="B1227" s="255">
        <v>2</v>
      </c>
    </row>
    <row r="1228" spans="1:2" ht="12.75" customHeight="1">
      <c r="A1228" s="207" t="s">
        <v>45</v>
      </c>
      <c r="B1228" s="255">
        <v>3</v>
      </c>
    </row>
    <row r="1229" spans="1:2" ht="5.0999999999999996" customHeight="1">
      <c r="A1229" s="207"/>
      <c r="B1229" s="255"/>
    </row>
    <row r="1230" spans="1:2" ht="12.75" customHeight="1">
      <c r="A1230" s="206" t="s">
        <v>45</v>
      </c>
      <c r="B1230" s="254">
        <v>4</v>
      </c>
    </row>
    <row r="1231" spans="1:2" ht="5.0999999999999996" customHeight="1">
      <c r="A1231" s="207"/>
      <c r="B1231" s="255"/>
    </row>
    <row r="1232" spans="1:2" ht="12.75" customHeight="1">
      <c r="A1232" s="207" t="s">
        <v>45</v>
      </c>
      <c r="B1232" s="255">
        <v>4</v>
      </c>
    </row>
    <row r="1233" spans="1:2" ht="5.0999999999999996" customHeight="1">
      <c r="A1233" s="207"/>
      <c r="B1233" s="255"/>
    </row>
    <row r="1234" spans="1:2" ht="12.75" customHeight="1">
      <c r="A1234" s="206" t="s">
        <v>107</v>
      </c>
      <c r="B1234" s="254">
        <v>27715</v>
      </c>
    </row>
    <row r="1235" spans="1:2" ht="5.0999999999999996" customHeight="1">
      <c r="A1235" s="207"/>
      <c r="B1235" s="255"/>
    </row>
    <row r="1236" spans="1:2" ht="12.75" customHeight="1">
      <c r="A1236" s="207" t="s">
        <v>63</v>
      </c>
      <c r="B1236" s="255">
        <v>3381</v>
      </c>
    </row>
    <row r="1237" spans="1:2" ht="12.75" customHeight="1">
      <c r="A1237" s="207" t="s">
        <v>64</v>
      </c>
      <c r="B1237" s="255">
        <v>8568</v>
      </c>
    </row>
    <row r="1238" spans="1:2" ht="12.75" customHeight="1">
      <c r="A1238" s="207" t="s">
        <v>65</v>
      </c>
      <c r="B1238" s="255">
        <v>7919</v>
      </c>
    </row>
    <row r="1239" spans="1:2" s="70" customFormat="1" ht="12.75" customHeight="1">
      <c r="A1239" s="207" t="s">
        <v>66</v>
      </c>
      <c r="B1239" s="255">
        <v>5186</v>
      </c>
    </row>
    <row r="1240" spans="1:2" ht="12.75" customHeight="1">
      <c r="A1240" s="207" t="s">
        <v>67</v>
      </c>
      <c r="B1240" s="255">
        <v>2144</v>
      </c>
    </row>
    <row r="1241" spans="1:2" ht="12.75" customHeight="1">
      <c r="A1241" s="207" t="s">
        <v>68</v>
      </c>
      <c r="B1241" s="255">
        <v>411</v>
      </c>
    </row>
    <row r="1242" spans="1:2" ht="12.75" customHeight="1">
      <c r="A1242" s="207" t="s">
        <v>69</v>
      </c>
      <c r="B1242" s="255">
        <v>43</v>
      </c>
    </row>
    <row r="1243" spans="1:2" ht="12.75" customHeight="1">
      <c r="A1243" s="207" t="s">
        <v>70</v>
      </c>
      <c r="B1243" s="255">
        <v>8</v>
      </c>
    </row>
    <row r="1244" spans="1:2" ht="12.75" customHeight="1">
      <c r="A1244" s="207" t="s">
        <v>45</v>
      </c>
      <c r="B1244" s="255">
        <v>55</v>
      </c>
    </row>
    <row r="1245" spans="1:2" ht="5.0999999999999996" customHeight="1">
      <c r="A1245" s="207"/>
      <c r="B1245" s="255"/>
    </row>
    <row r="1246" spans="1:2" ht="12.75" customHeight="1">
      <c r="A1246" s="206" t="s">
        <v>41</v>
      </c>
      <c r="B1246" s="254">
        <v>26637</v>
      </c>
    </row>
    <row r="1247" spans="1:2" ht="5.0999999999999996" customHeight="1">
      <c r="A1247" s="207"/>
      <c r="B1247" s="255"/>
    </row>
    <row r="1248" spans="1:2" ht="12.75" customHeight="1">
      <c r="A1248" s="207" t="s">
        <v>63</v>
      </c>
      <c r="B1248" s="255">
        <v>3301</v>
      </c>
    </row>
    <row r="1249" spans="1:2" ht="12.75" customHeight="1">
      <c r="A1249" s="207" t="s">
        <v>64</v>
      </c>
      <c r="B1249" s="255">
        <v>8278</v>
      </c>
    </row>
    <row r="1250" spans="1:2" ht="12.75" customHeight="1">
      <c r="A1250" s="207" t="s">
        <v>65</v>
      </c>
      <c r="B1250" s="255">
        <v>7597</v>
      </c>
    </row>
    <row r="1251" spans="1:2" ht="12.75" customHeight="1">
      <c r="A1251" s="207" t="s">
        <v>66</v>
      </c>
      <c r="B1251" s="255">
        <v>4951</v>
      </c>
    </row>
    <row r="1252" spans="1:2" s="70" customFormat="1" ht="12.75" customHeight="1">
      <c r="A1252" s="207" t="s">
        <v>67</v>
      </c>
      <c r="B1252" s="255">
        <v>2026</v>
      </c>
    </row>
    <row r="1253" spans="1:2" ht="12.75" customHeight="1">
      <c r="A1253" s="207" t="s">
        <v>68</v>
      </c>
      <c r="B1253" s="255">
        <v>380</v>
      </c>
    </row>
    <row r="1254" spans="1:2" ht="12.75" customHeight="1">
      <c r="A1254" s="207" t="s">
        <v>69</v>
      </c>
      <c r="B1254" s="255">
        <v>42</v>
      </c>
    </row>
    <row r="1255" spans="1:2" ht="12.75" customHeight="1">
      <c r="A1255" s="207" t="s">
        <v>70</v>
      </c>
      <c r="B1255" s="255">
        <v>8</v>
      </c>
    </row>
    <row r="1256" spans="1:2" ht="12.75" customHeight="1">
      <c r="A1256" s="207" t="s">
        <v>45</v>
      </c>
      <c r="B1256" s="255">
        <v>54</v>
      </c>
    </row>
    <row r="1257" spans="1:2" ht="5.0999999999999996" customHeight="1">
      <c r="A1257" s="207"/>
      <c r="B1257" s="255"/>
    </row>
    <row r="1258" spans="1:2" ht="12.75" customHeight="1">
      <c r="A1258" s="206" t="s">
        <v>42</v>
      </c>
      <c r="B1258" s="254">
        <v>427</v>
      </c>
    </row>
    <row r="1259" spans="1:2" ht="5.0999999999999996" customHeight="1">
      <c r="A1259" s="207"/>
      <c r="B1259" s="255"/>
    </row>
    <row r="1260" spans="1:2" ht="12.75" customHeight="1">
      <c r="A1260" s="207" t="s">
        <v>63</v>
      </c>
      <c r="B1260" s="255">
        <v>60</v>
      </c>
    </row>
    <row r="1261" spans="1:2" ht="12.75" customHeight="1">
      <c r="A1261" s="207" t="s">
        <v>64</v>
      </c>
      <c r="B1261" s="255">
        <v>150</v>
      </c>
    </row>
    <row r="1262" spans="1:2" ht="12.75" customHeight="1">
      <c r="A1262" s="207" t="s">
        <v>65</v>
      </c>
      <c r="B1262" s="255">
        <v>105</v>
      </c>
    </row>
    <row r="1263" spans="1:2" ht="12.75" customHeight="1">
      <c r="A1263" s="207" t="s">
        <v>66</v>
      </c>
      <c r="B1263" s="255">
        <v>72</v>
      </c>
    </row>
    <row r="1264" spans="1:2" ht="12.75" customHeight="1">
      <c r="A1264" s="207" t="s">
        <v>67</v>
      </c>
      <c r="B1264" s="255">
        <v>29</v>
      </c>
    </row>
    <row r="1265" spans="1:3" s="70" customFormat="1" ht="12.75" customHeight="1">
      <c r="A1265" s="207" t="s">
        <v>68</v>
      </c>
      <c r="B1265" s="255">
        <v>9</v>
      </c>
    </row>
    <row r="1266" spans="1:3" ht="12.75" customHeight="1">
      <c r="A1266" s="207" t="s">
        <v>69</v>
      </c>
      <c r="B1266" s="255">
        <v>1</v>
      </c>
    </row>
    <row r="1267" spans="1:3" ht="12.75" customHeight="1">
      <c r="A1267" s="207" t="s">
        <v>45</v>
      </c>
      <c r="B1267" s="255">
        <v>1</v>
      </c>
    </row>
    <row r="1268" spans="1:3" ht="5.0999999999999996" customHeight="1">
      <c r="A1268" s="207"/>
      <c r="B1268" s="255"/>
    </row>
    <row r="1269" spans="1:3" ht="12.75" customHeight="1">
      <c r="A1269" s="206" t="s">
        <v>45</v>
      </c>
      <c r="B1269" s="254">
        <v>651</v>
      </c>
    </row>
    <row r="1270" spans="1:3" ht="5.0999999999999996" customHeight="1">
      <c r="A1270" s="207"/>
      <c r="B1270" s="255"/>
    </row>
    <row r="1271" spans="1:3" ht="12.75" customHeight="1">
      <c r="A1271" s="207" t="s">
        <v>63</v>
      </c>
      <c r="B1271" s="255">
        <v>20</v>
      </c>
    </row>
    <row r="1272" spans="1:3" ht="12.75" customHeight="1">
      <c r="A1272" s="207" t="s">
        <v>64</v>
      </c>
      <c r="B1272" s="255">
        <v>140</v>
      </c>
    </row>
    <row r="1273" spans="1:3" ht="12.75" customHeight="1">
      <c r="A1273" s="207" t="s">
        <v>65</v>
      </c>
      <c r="B1273" s="255">
        <v>217</v>
      </c>
    </row>
    <row r="1274" spans="1:3" ht="12.75" customHeight="1">
      <c r="A1274" s="207" t="s">
        <v>66</v>
      </c>
      <c r="B1274" s="255">
        <v>163</v>
      </c>
    </row>
    <row r="1275" spans="1:3" ht="12.75" customHeight="1">
      <c r="A1275" s="207" t="s">
        <v>67</v>
      </c>
      <c r="B1275" s="255">
        <v>89</v>
      </c>
    </row>
    <row r="1276" spans="1:3" ht="12.75" customHeight="1">
      <c r="A1276" s="207" t="s">
        <v>68</v>
      </c>
      <c r="B1276" s="255">
        <v>22</v>
      </c>
    </row>
    <row r="1277" spans="1:3" ht="5.0999999999999996" customHeight="1">
      <c r="A1277" s="207"/>
      <c r="B1277" s="255"/>
    </row>
    <row r="1278" spans="1:3" s="70" customFormat="1" ht="12.75" customHeight="1">
      <c r="A1278" s="206" t="s">
        <v>108</v>
      </c>
      <c r="B1278" s="254">
        <v>39</v>
      </c>
    </row>
    <row r="1279" spans="1:3" ht="5.0999999999999996" customHeight="1">
      <c r="A1279" s="207"/>
      <c r="B1279" s="255"/>
    </row>
    <row r="1280" spans="1:3" ht="12.75" customHeight="1">
      <c r="A1280" s="207" t="s">
        <v>63</v>
      </c>
      <c r="B1280" s="255">
        <v>1</v>
      </c>
      <c r="C1280" s="31"/>
    </row>
    <row r="1281" spans="1:3" ht="12.75" customHeight="1">
      <c r="A1281" s="207" t="s">
        <v>64</v>
      </c>
      <c r="B1281" s="255">
        <v>6</v>
      </c>
      <c r="C1281" s="27"/>
    </row>
    <row r="1282" spans="1:3" ht="12.75" customHeight="1">
      <c r="A1282" s="207" t="s">
        <v>65</v>
      </c>
      <c r="B1282" s="255">
        <v>11</v>
      </c>
      <c r="C1282" s="27"/>
    </row>
    <row r="1283" spans="1:3" ht="12.75" customHeight="1">
      <c r="A1283" s="207" t="s">
        <v>66</v>
      </c>
      <c r="B1283" s="255">
        <v>8</v>
      </c>
      <c r="C1283" s="27"/>
    </row>
    <row r="1284" spans="1:3" ht="12.75" customHeight="1">
      <c r="A1284" s="207" t="s">
        <v>67</v>
      </c>
      <c r="B1284" s="255">
        <v>4</v>
      </c>
      <c r="C1284" s="27"/>
    </row>
    <row r="1285" spans="1:3" ht="12.75" customHeight="1">
      <c r="A1285" s="207" t="s">
        <v>68</v>
      </c>
      <c r="B1285" s="255">
        <v>3</v>
      </c>
      <c r="C1285" s="27"/>
    </row>
    <row r="1286" spans="1:3" ht="12.75" customHeight="1">
      <c r="A1286" s="207" t="s">
        <v>69</v>
      </c>
      <c r="B1286" s="255">
        <v>1</v>
      </c>
    </row>
    <row r="1287" spans="1:3" ht="12.75" customHeight="1">
      <c r="A1287" s="207" t="s">
        <v>45</v>
      </c>
      <c r="B1287" s="255">
        <v>5</v>
      </c>
    </row>
    <row r="1288" spans="1:3" ht="5.0999999999999996" customHeight="1">
      <c r="A1288" s="207"/>
      <c r="B1288" s="255"/>
    </row>
    <row r="1289" spans="1:3" ht="12.75" customHeight="1">
      <c r="A1289" s="206" t="s">
        <v>41</v>
      </c>
      <c r="B1289" s="254">
        <v>25</v>
      </c>
    </row>
    <row r="1290" spans="1:3" ht="5.0999999999999996" customHeight="1">
      <c r="A1290" s="207"/>
      <c r="B1290" s="255"/>
    </row>
    <row r="1291" spans="1:3" s="70" customFormat="1" ht="12.75" customHeight="1">
      <c r="A1291" s="207" t="s">
        <v>64</v>
      </c>
      <c r="B1291" s="255">
        <v>5</v>
      </c>
    </row>
    <row r="1292" spans="1:3" ht="12.75" customHeight="1">
      <c r="A1292" s="207" t="s">
        <v>65</v>
      </c>
      <c r="B1292" s="255">
        <v>8</v>
      </c>
    </row>
    <row r="1293" spans="1:3" ht="12.75" customHeight="1">
      <c r="A1293" s="207" t="s">
        <v>66</v>
      </c>
      <c r="B1293" s="255">
        <v>5</v>
      </c>
    </row>
    <row r="1294" spans="1:3" ht="12.75" customHeight="1">
      <c r="A1294" s="207" t="s">
        <v>67</v>
      </c>
      <c r="B1294" s="255">
        <v>3</v>
      </c>
    </row>
    <row r="1295" spans="1:3" ht="12.75" customHeight="1">
      <c r="A1295" s="207" t="s">
        <v>68</v>
      </c>
      <c r="B1295" s="255">
        <v>1</v>
      </c>
    </row>
    <row r="1296" spans="1:3" ht="12.75" customHeight="1">
      <c r="A1296" s="207" t="s">
        <v>45</v>
      </c>
      <c r="B1296" s="255">
        <v>3</v>
      </c>
    </row>
    <row r="1297" spans="1:2" ht="5.0999999999999996" customHeight="1">
      <c r="A1297" s="207"/>
      <c r="B1297" s="255"/>
    </row>
    <row r="1298" spans="1:2" ht="12.75" customHeight="1">
      <c r="A1298" s="206" t="s">
        <v>45</v>
      </c>
      <c r="B1298" s="254">
        <v>14</v>
      </c>
    </row>
    <row r="1299" spans="1:2" ht="5.0999999999999996" customHeight="1">
      <c r="A1299" s="207"/>
      <c r="B1299" s="255"/>
    </row>
    <row r="1300" spans="1:2" ht="12.75" customHeight="1">
      <c r="A1300" s="207" t="s">
        <v>63</v>
      </c>
      <c r="B1300" s="255">
        <v>1</v>
      </c>
    </row>
    <row r="1301" spans="1:2" ht="12.75" customHeight="1">
      <c r="A1301" s="207" t="s">
        <v>64</v>
      </c>
      <c r="B1301" s="255">
        <v>1</v>
      </c>
    </row>
    <row r="1302" spans="1:2" ht="12.75" customHeight="1">
      <c r="A1302" s="207" t="s">
        <v>65</v>
      </c>
      <c r="B1302" s="255">
        <v>3</v>
      </c>
    </row>
    <row r="1303" spans="1:2" ht="12.75" customHeight="1">
      <c r="A1303" s="207" t="s">
        <v>66</v>
      </c>
      <c r="B1303" s="255">
        <v>3</v>
      </c>
    </row>
    <row r="1304" spans="1:2" s="70" customFormat="1" ht="12.75" customHeight="1">
      <c r="A1304" s="207" t="s">
        <v>67</v>
      </c>
      <c r="B1304" s="255">
        <v>1</v>
      </c>
    </row>
    <row r="1305" spans="1:2" ht="12.75" customHeight="1">
      <c r="A1305" s="207" t="s">
        <v>68</v>
      </c>
      <c r="B1305" s="255">
        <v>2</v>
      </c>
    </row>
    <row r="1306" spans="1:2" ht="12.75" customHeight="1">
      <c r="A1306" s="207" t="s">
        <v>69</v>
      </c>
      <c r="B1306" s="255">
        <v>1</v>
      </c>
    </row>
    <row r="1307" spans="1:2" ht="12.75" customHeight="1">
      <c r="A1307" s="207" t="s">
        <v>45</v>
      </c>
      <c r="B1307" s="255">
        <v>2</v>
      </c>
    </row>
    <row r="1308" spans="1:2" ht="5.0999999999999996" customHeight="1">
      <c r="A1308" s="207"/>
      <c r="B1308" s="255"/>
    </row>
    <row r="1309" spans="1:2" ht="12.75" customHeight="1">
      <c r="A1309" s="206" t="s">
        <v>333</v>
      </c>
      <c r="B1309" s="254">
        <v>307</v>
      </c>
    </row>
    <row r="1310" spans="1:2" ht="5.0999999999999996" customHeight="1">
      <c r="A1310" s="207"/>
      <c r="B1310" s="255"/>
    </row>
    <row r="1311" spans="1:2" ht="12.75" customHeight="1">
      <c r="A1311" s="207" t="s">
        <v>63</v>
      </c>
      <c r="B1311" s="255">
        <v>26</v>
      </c>
    </row>
    <row r="1312" spans="1:2" ht="12.75" customHeight="1">
      <c r="A1312" s="207" t="s">
        <v>64</v>
      </c>
      <c r="B1312" s="255">
        <v>50</v>
      </c>
    </row>
    <row r="1313" spans="1:2" ht="12.75" customHeight="1">
      <c r="A1313" s="207" t="s">
        <v>65</v>
      </c>
      <c r="B1313" s="255">
        <v>50</v>
      </c>
    </row>
    <row r="1314" spans="1:2" ht="12.75" customHeight="1">
      <c r="A1314" s="207" t="s">
        <v>66</v>
      </c>
      <c r="B1314" s="255">
        <v>38</v>
      </c>
    </row>
    <row r="1315" spans="1:2" ht="12.75" customHeight="1">
      <c r="A1315" s="207" t="s">
        <v>67</v>
      </c>
      <c r="B1315" s="255">
        <v>9</v>
      </c>
    </row>
    <row r="1316" spans="1:2" ht="12.75" customHeight="1">
      <c r="A1316" s="207" t="s">
        <v>69</v>
      </c>
      <c r="B1316" s="255">
        <v>1</v>
      </c>
    </row>
    <row r="1317" spans="1:2" s="70" customFormat="1" ht="12.75" customHeight="1">
      <c r="A1317" s="207" t="s">
        <v>45</v>
      </c>
      <c r="B1317" s="255">
        <v>133</v>
      </c>
    </row>
    <row r="1318" spans="1:2" ht="5.0999999999999996" customHeight="1">
      <c r="A1318" s="207"/>
      <c r="B1318" s="255"/>
    </row>
    <row r="1319" spans="1:2" ht="12.75" customHeight="1">
      <c r="A1319" s="206" t="s">
        <v>41</v>
      </c>
      <c r="B1319" s="254">
        <v>39</v>
      </c>
    </row>
    <row r="1320" spans="1:2" ht="5.0999999999999996" customHeight="1">
      <c r="A1320" s="207"/>
      <c r="B1320" s="255"/>
    </row>
    <row r="1321" spans="1:2" ht="12.75" customHeight="1">
      <c r="A1321" s="207" t="s">
        <v>63</v>
      </c>
      <c r="B1321" s="255">
        <v>7</v>
      </c>
    </row>
    <row r="1322" spans="1:2" ht="12.75" customHeight="1">
      <c r="A1322" s="207" t="s">
        <v>64</v>
      </c>
      <c r="B1322" s="255">
        <v>11</v>
      </c>
    </row>
    <row r="1323" spans="1:2" ht="12.75" customHeight="1">
      <c r="A1323" s="207" t="s">
        <v>65</v>
      </c>
      <c r="B1323" s="255">
        <v>5</v>
      </c>
    </row>
    <row r="1324" spans="1:2" ht="12.75" customHeight="1">
      <c r="A1324" s="207" t="s">
        <v>66</v>
      </c>
      <c r="B1324" s="255">
        <v>10</v>
      </c>
    </row>
    <row r="1325" spans="1:2" ht="12.75" customHeight="1">
      <c r="A1325" s="207" t="s">
        <v>67</v>
      </c>
      <c r="B1325" s="255">
        <v>3</v>
      </c>
    </row>
    <row r="1326" spans="1:2" ht="12.75" customHeight="1">
      <c r="A1326" s="207" t="s">
        <v>45</v>
      </c>
      <c r="B1326" s="255">
        <v>3</v>
      </c>
    </row>
    <row r="1327" spans="1:2" ht="5.0999999999999996" customHeight="1">
      <c r="A1327" s="207"/>
      <c r="B1327" s="255"/>
    </row>
    <row r="1328" spans="1:2" ht="12.75" customHeight="1">
      <c r="A1328" s="206" t="s">
        <v>42</v>
      </c>
      <c r="B1328" s="254">
        <v>12</v>
      </c>
    </row>
    <row r="1329" spans="1:2" ht="5.0999999999999996" customHeight="1">
      <c r="A1329" s="207"/>
      <c r="B1329" s="255"/>
    </row>
    <row r="1330" spans="1:2" s="70" customFormat="1" ht="12.75" customHeight="1">
      <c r="A1330" s="207" t="s">
        <v>64</v>
      </c>
      <c r="B1330" s="255">
        <v>1</v>
      </c>
    </row>
    <row r="1331" spans="1:2" ht="12.75" customHeight="1">
      <c r="A1331" s="207" t="s">
        <v>65</v>
      </c>
      <c r="B1331" s="255">
        <v>1</v>
      </c>
    </row>
    <row r="1332" spans="1:2" ht="12.75" customHeight="1">
      <c r="A1332" s="207" t="s">
        <v>66</v>
      </c>
      <c r="B1332" s="255">
        <v>1</v>
      </c>
    </row>
    <row r="1333" spans="1:2" ht="12.75" customHeight="1">
      <c r="A1333" s="207" t="s">
        <v>45</v>
      </c>
      <c r="B1333" s="255">
        <v>9</v>
      </c>
    </row>
    <row r="1334" spans="1:2" ht="5.0999999999999996" customHeight="1">
      <c r="A1334" s="207"/>
      <c r="B1334" s="255"/>
    </row>
    <row r="1335" spans="1:2" ht="12.75" customHeight="1">
      <c r="A1335" s="206" t="s">
        <v>45</v>
      </c>
      <c r="B1335" s="254">
        <v>256</v>
      </c>
    </row>
    <row r="1336" spans="1:2" ht="5.0999999999999996" customHeight="1">
      <c r="A1336" s="207"/>
      <c r="B1336" s="255"/>
    </row>
    <row r="1337" spans="1:2" ht="12.75" customHeight="1">
      <c r="A1337" s="207" t="s">
        <v>63</v>
      </c>
      <c r="B1337" s="255">
        <v>19</v>
      </c>
    </row>
    <row r="1338" spans="1:2" ht="12.75" customHeight="1">
      <c r="A1338" s="207" t="s">
        <v>64</v>
      </c>
      <c r="B1338" s="255">
        <v>38</v>
      </c>
    </row>
    <row r="1339" spans="1:2" ht="12.75" customHeight="1">
      <c r="A1339" s="207" t="s">
        <v>65</v>
      </c>
      <c r="B1339" s="255">
        <v>44</v>
      </c>
    </row>
    <row r="1340" spans="1:2" ht="12.75" customHeight="1">
      <c r="A1340" s="207" t="s">
        <v>66</v>
      </c>
      <c r="B1340" s="255">
        <v>27</v>
      </c>
    </row>
    <row r="1341" spans="1:2" ht="12.75" customHeight="1">
      <c r="A1341" s="207" t="s">
        <v>67</v>
      </c>
      <c r="B1341" s="255">
        <v>6</v>
      </c>
    </row>
    <row r="1342" spans="1:2" ht="12.75" customHeight="1">
      <c r="A1342" s="207" t="s">
        <v>69</v>
      </c>
      <c r="B1342" s="255">
        <v>1</v>
      </c>
    </row>
    <row r="1343" spans="1:2" s="70" customFormat="1" ht="12.75" customHeight="1">
      <c r="A1343" s="207" t="s">
        <v>45</v>
      </c>
      <c r="B1343" s="255">
        <v>121</v>
      </c>
    </row>
    <row r="1344" spans="1:2" ht="5.0999999999999996" customHeight="1">
      <c r="A1344" s="198"/>
      <c r="B1344" s="208"/>
    </row>
    <row r="1345" spans="1:2" ht="5.0999999999999996" customHeight="1">
      <c r="A1345" s="34"/>
      <c r="B1345" s="72"/>
    </row>
    <row r="1346" spans="1:2" ht="12.75" customHeight="1">
      <c r="A1346" s="41" t="s">
        <v>319</v>
      </c>
      <c r="B1346" s="72"/>
    </row>
    <row r="1347" spans="1:2" ht="12.75" customHeight="1">
      <c r="A1347" s="41" t="s">
        <v>375</v>
      </c>
      <c r="B1347" s="72"/>
    </row>
    <row r="1348" spans="1:2" ht="12.75" customHeight="1">
      <c r="A1348" s="28"/>
      <c r="B1348" s="72"/>
    </row>
    <row r="1349" spans="1:2" ht="12.75" customHeight="1">
      <c r="A1349" s="71"/>
      <c r="B1349" s="72"/>
    </row>
    <row r="1350" spans="1:2" ht="12.75" customHeight="1">
      <c r="A1350" s="71"/>
      <c r="B1350" s="72"/>
    </row>
    <row r="1351" spans="1:2" ht="12.75" customHeight="1">
      <c r="A1351" s="71"/>
      <c r="B1351" s="72"/>
    </row>
    <row r="1352" spans="1:2" ht="12.75" customHeight="1">
      <c r="A1352" s="71"/>
      <c r="B1352" s="72"/>
    </row>
    <row r="1353" spans="1:2" ht="12.75" customHeight="1">
      <c r="A1353" s="71"/>
      <c r="B1353" s="72"/>
    </row>
    <row r="1354" spans="1:2" ht="12.75" customHeight="1">
      <c r="A1354" s="71"/>
      <c r="B1354" s="72"/>
    </row>
    <row r="1355" spans="1:2" ht="12.75" customHeight="1">
      <c r="A1355" s="71"/>
      <c r="B1355" s="72"/>
    </row>
    <row r="1356" spans="1:2" s="70" customFormat="1" ht="12.75" customHeight="1">
      <c r="A1356" s="67"/>
      <c r="B1356" s="68"/>
    </row>
    <row r="1357" spans="1:2" ht="12.75" customHeight="1">
      <c r="A1357" s="71"/>
      <c r="B1357" s="72"/>
    </row>
    <row r="1358" spans="1:2" ht="12.75" customHeight="1">
      <c r="A1358" s="71"/>
      <c r="B1358" s="72"/>
    </row>
    <row r="1359" spans="1:2" ht="12.75" customHeight="1">
      <c r="A1359" s="71"/>
      <c r="B1359" s="72"/>
    </row>
    <row r="1360" spans="1:2" ht="12.75" customHeight="1">
      <c r="A1360" s="71"/>
      <c r="B1360" s="72"/>
    </row>
    <row r="1361" spans="1:2" ht="12.75" customHeight="1">
      <c r="A1361" s="71"/>
      <c r="B1361" s="72"/>
    </row>
    <row r="1362" spans="1:2" ht="12.75" customHeight="1">
      <c r="A1362" s="71"/>
      <c r="B1362" s="72"/>
    </row>
    <row r="1363" spans="1:2" ht="12.75" customHeight="1">
      <c r="A1363" s="71"/>
      <c r="B1363" s="72"/>
    </row>
    <row r="1364" spans="1:2" ht="12.75" customHeight="1">
      <c r="A1364" s="71"/>
      <c r="B1364" s="72"/>
    </row>
    <row r="1365" spans="1:2" ht="12.75" customHeight="1">
      <c r="A1365" s="71"/>
      <c r="B1365" s="72"/>
    </row>
    <row r="1366" spans="1:2" ht="12.75" customHeight="1">
      <c r="A1366" s="71"/>
      <c r="B1366" s="72"/>
    </row>
    <row r="1367" spans="1:2" ht="12.75" customHeight="1">
      <c r="A1367" s="71"/>
      <c r="B1367" s="72"/>
    </row>
    <row r="1368" spans="1:2" ht="12.75" customHeight="1">
      <c r="A1368" s="71"/>
      <c r="B1368" s="72"/>
    </row>
    <row r="1369" spans="1:2" s="70" customFormat="1" ht="12.75" customHeight="1">
      <c r="A1369" s="67"/>
      <c r="B1369" s="68"/>
    </row>
    <row r="1370" spans="1:2" ht="12.75" customHeight="1">
      <c r="A1370" s="71"/>
      <c r="B1370" s="72"/>
    </row>
    <row r="1371" spans="1:2" ht="12.75" customHeight="1">
      <c r="A1371" s="71"/>
      <c r="B1371" s="72"/>
    </row>
    <row r="1372" spans="1:2" ht="12.75" customHeight="1">
      <c r="A1372" s="71"/>
      <c r="B1372" s="72"/>
    </row>
    <row r="1373" spans="1:2" ht="12.75" customHeight="1">
      <c r="A1373" s="71"/>
      <c r="B1373" s="72"/>
    </row>
    <row r="1374" spans="1:2" ht="12.75" customHeight="1">
      <c r="A1374" s="71"/>
      <c r="B1374" s="72"/>
    </row>
    <row r="1375" spans="1:2" ht="12.75" customHeight="1">
      <c r="A1375" s="71"/>
      <c r="B1375" s="72"/>
    </row>
    <row r="1376" spans="1:2" ht="12.75" customHeight="1">
      <c r="A1376" s="71"/>
      <c r="B1376" s="72"/>
    </row>
    <row r="1377" spans="1:2" ht="12.75" customHeight="1">
      <c r="A1377" s="71"/>
      <c r="B1377" s="72"/>
    </row>
    <row r="1378" spans="1:2" ht="12.75" customHeight="1">
      <c r="A1378" s="71"/>
      <c r="B1378" s="72"/>
    </row>
    <row r="1379" spans="1:2" ht="12.75" customHeight="1">
      <c r="A1379" s="71"/>
      <c r="B1379" s="72"/>
    </row>
    <row r="1380" spans="1:2" ht="12.75" customHeight="1">
      <c r="A1380" s="71"/>
      <c r="B1380" s="72"/>
    </row>
    <row r="1381" spans="1:2" ht="12.75" customHeight="1">
      <c r="A1381" s="71"/>
      <c r="B1381" s="72"/>
    </row>
    <row r="1382" spans="1:2" s="70" customFormat="1" ht="12.75" customHeight="1">
      <c r="A1382" s="67"/>
      <c r="B1382" s="68"/>
    </row>
    <row r="1383" spans="1:2" ht="12.75" customHeight="1">
      <c r="A1383" s="71"/>
      <c r="B1383" s="72"/>
    </row>
    <row r="1384" spans="1:2" ht="12.75" customHeight="1">
      <c r="A1384" s="71"/>
      <c r="B1384" s="72"/>
    </row>
    <row r="1385" spans="1:2" ht="12.75" customHeight="1">
      <c r="A1385" s="71"/>
      <c r="B1385" s="72"/>
    </row>
    <row r="1386" spans="1:2" ht="12.75" customHeight="1">
      <c r="A1386" s="71"/>
      <c r="B1386" s="72"/>
    </row>
    <row r="1387" spans="1:2" ht="12.75" customHeight="1">
      <c r="A1387" s="71"/>
      <c r="B1387" s="72"/>
    </row>
    <row r="1388" spans="1:2" ht="12.75" customHeight="1">
      <c r="A1388" s="71"/>
      <c r="B1388" s="72"/>
    </row>
    <row r="1389" spans="1:2" ht="12.75" customHeight="1">
      <c r="A1389" s="71"/>
      <c r="B1389" s="72"/>
    </row>
    <row r="1390" spans="1:2" ht="12.75" customHeight="1">
      <c r="A1390" s="71"/>
      <c r="B1390" s="72"/>
    </row>
    <row r="1391" spans="1:2" ht="12.75" customHeight="1">
      <c r="A1391" s="71"/>
      <c r="B1391" s="72"/>
    </row>
    <row r="1392" spans="1:2" ht="12.75" customHeight="1">
      <c r="A1392" s="71"/>
      <c r="B1392" s="72"/>
    </row>
    <row r="1393" spans="1:2" ht="12.75" customHeight="1">
      <c r="A1393" s="71"/>
      <c r="B1393" s="72"/>
    </row>
    <row r="1394" spans="1:2" ht="12.75" customHeight="1">
      <c r="A1394" s="71"/>
      <c r="B1394" s="72"/>
    </row>
    <row r="1395" spans="1:2" s="70" customFormat="1" ht="12.75" customHeight="1">
      <c r="A1395" s="67"/>
      <c r="B1395" s="68"/>
    </row>
    <row r="1396" spans="1:2" ht="12.75" customHeight="1">
      <c r="A1396" s="71"/>
      <c r="B1396" s="72"/>
    </row>
    <row r="1397" spans="1:2" ht="12.75" customHeight="1">
      <c r="A1397" s="71"/>
      <c r="B1397" s="72"/>
    </row>
    <row r="1398" spans="1:2" ht="12.75" customHeight="1">
      <c r="A1398" s="71"/>
      <c r="B1398" s="72"/>
    </row>
    <row r="1399" spans="1:2" ht="12.75" customHeight="1">
      <c r="A1399" s="71"/>
      <c r="B1399" s="72"/>
    </row>
    <row r="1400" spans="1:2" ht="12.75" customHeight="1">
      <c r="A1400" s="71"/>
      <c r="B1400" s="72"/>
    </row>
    <row r="1401" spans="1:2" ht="12.75" customHeight="1">
      <c r="A1401" s="71"/>
      <c r="B1401" s="72"/>
    </row>
    <row r="1402" spans="1:2" ht="12.75" customHeight="1">
      <c r="A1402" s="71"/>
      <c r="B1402" s="72"/>
    </row>
    <row r="1403" spans="1:2" ht="12.75" customHeight="1">
      <c r="A1403" s="71"/>
      <c r="B1403" s="72"/>
    </row>
    <row r="1404" spans="1:2" ht="12.75" customHeight="1">
      <c r="A1404" s="71"/>
      <c r="B1404" s="72"/>
    </row>
    <row r="1405" spans="1:2" ht="12.75" customHeight="1">
      <c r="A1405" s="71"/>
      <c r="B1405" s="72"/>
    </row>
    <row r="1406" spans="1:2" ht="12.75" customHeight="1">
      <c r="A1406" s="71"/>
      <c r="B1406" s="72"/>
    </row>
    <row r="1407" spans="1:2" ht="12.75" customHeight="1">
      <c r="A1407" s="71"/>
      <c r="B1407" s="72"/>
    </row>
    <row r="1408" spans="1:2" s="70" customFormat="1" ht="12.75" customHeight="1">
      <c r="A1408" s="67"/>
      <c r="B1408" s="68"/>
    </row>
    <row r="1409" spans="1:2" ht="12.75" customHeight="1">
      <c r="A1409" s="71"/>
      <c r="B1409" s="72"/>
    </row>
    <row r="1410" spans="1:2" ht="12.75" customHeight="1">
      <c r="A1410" s="71"/>
      <c r="B1410" s="72"/>
    </row>
    <row r="1411" spans="1:2" ht="12.75" customHeight="1">
      <c r="A1411" s="71"/>
      <c r="B1411" s="72"/>
    </row>
    <row r="1412" spans="1:2" ht="12.75" customHeight="1">
      <c r="A1412" s="71"/>
      <c r="B1412" s="72"/>
    </row>
    <row r="1413" spans="1:2" ht="12.75" customHeight="1">
      <c r="A1413" s="71"/>
      <c r="B1413" s="72"/>
    </row>
    <row r="1414" spans="1:2" ht="12.75" customHeight="1">
      <c r="A1414" s="71"/>
      <c r="B1414" s="72"/>
    </row>
    <row r="1415" spans="1:2" ht="12.75" customHeight="1">
      <c r="A1415" s="71"/>
      <c r="B1415" s="72"/>
    </row>
    <row r="1416" spans="1:2" ht="12.75" customHeight="1">
      <c r="A1416" s="71"/>
      <c r="B1416" s="72"/>
    </row>
    <row r="1417" spans="1:2" ht="12.75" customHeight="1">
      <c r="A1417" s="71"/>
      <c r="B1417" s="72"/>
    </row>
    <row r="1418" spans="1:2" ht="12.75" customHeight="1">
      <c r="A1418" s="71"/>
      <c r="B1418" s="72"/>
    </row>
    <row r="1419" spans="1:2" ht="12.75" customHeight="1">
      <c r="A1419" s="71"/>
      <c r="B1419" s="72"/>
    </row>
    <row r="1420" spans="1:2" ht="12.75" customHeight="1">
      <c r="A1420" s="71"/>
      <c r="B1420" s="72"/>
    </row>
    <row r="1421" spans="1:2" s="70" customFormat="1" ht="12.75" customHeight="1">
      <c r="A1421" s="67"/>
      <c r="B1421" s="68"/>
    </row>
    <row r="1422" spans="1:2" ht="12.75" customHeight="1">
      <c r="A1422" s="71"/>
      <c r="B1422" s="72"/>
    </row>
    <row r="1423" spans="1:2" ht="12.75" customHeight="1">
      <c r="A1423" s="71"/>
      <c r="B1423" s="72"/>
    </row>
    <row r="1424" spans="1:2" ht="12.75" customHeight="1">
      <c r="A1424" s="71"/>
      <c r="B1424" s="72"/>
    </row>
    <row r="1425" spans="1:2" ht="12.75" customHeight="1">
      <c r="A1425" s="71"/>
      <c r="B1425" s="72"/>
    </row>
    <row r="1426" spans="1:2" ht="12.75" customHeight="1">
      <c r="A1426" s="71"/>
      <c r="B1426" s="72"/>
    </row>
    <row r="1427" spans="1:2" ht="12.75" customHeight="1">
      <c r="A1427" s="71"/>
      <c r="B1427" s="72"/>
    </row>
    <row r="1428" spans="1:2" ht="12.75" customHeight="1">
      <c r="A1428" s="71"/>
      <c r="B1428" s="72"/>
    </row>
    <row r="1429" spans="1:2" ht="12.75" customHeight="1">
      <c r="A1429" s="71"/>
      <c r="B1429" s="72"/>
    </row>
    <row r="1430" spans="1:2" ht="12.75" customHeight="1">
      <c r="A1430" s="71"/>
      <c r="B1430" s="72"/>
    </row>
    <row r="1431" spans="1:2" ht="12.75" customHeight="1">
      <c r="A1431" s="71"/>
      <c r="B1431" s="72"/>
    </row>
    <row r="1432" spans="1:2" ht="12.75" customHeight="1">
      <c r="A1432" s="71"/>
      <c r="B1432" s="72"/>
    </row>
    <row r="1433" spans="1:2" ht="12.75" customHeight="1">
      <c r="A1433" s="71"/>
      <c r="B1433" s="72"/>
    </row>
    <row r="1434" spans="1:2" s="70" customFormat="1" ht="12.75" customHeight="1">
      <c r="A1434" s="67"/>
      <c r="B1434" s="68"/>
    </row>
    <row r="1435" spans="1:2" ht="12.75" customHeight="1">
      <c r="A1435" s="71"/>
      <c r="B1435" s="72"/>
    </row>
    <row r="1436" spans="1:2" ht="12.75" customHeight="1">
      <c r="A1436" s="71"/>
      <c r="B1436" s="72"/>
    </row>
    <row r="1437" spans="1:2" ht="12.75" customHeight="1">
      <c r="A1437" s="71"/>
      <c r="B1437" s="72"/>
    </row>
    <row r="1438" spans="1:2" ht="12.75" customHeight="1">
      <c r="A1438" s="71"/>
      <c r="B1438" s="72"/>
    </row>
    <row r="1439" spans="1:2" ht="12.75" customHeight="1">
      <c r="A1439" s="71"/>
      <c r="B1439" s="72"/>
    </row>
    <row r="1440" spans="1:2" ht="12.75" customHeight="1">
      <c r="A1440" s="71"/>
      <c r="B1440" s="72"/>
    </row>
    <row r="1441" spans="1:2" ht="12.75" customHeight="1">
      <c r="A1441" s="71"/>
      <c r="B1441" s="72"/>
    </row>
    <row r="1442" spans="1:2" ht="12.75" customHeight="1">
      <c r="A1442" s="71"/>
      <c r="B1442" s="72"/>
    </row>
    <row r="1443" spans="1:2" ht="12.75" customHeight="1">
      <c r="A1443" s="71"/>
      <c r="B1443" s="72"/>
    </row>
    <row r="1444" spans="1:2" ht="12.75" customHeight="1">
      <c r="A1444" s="71"/>
      <c r="B1444" s="72"/>
    </row>
    <row r="1445" spans="1:2" ht="12.75" customHeight="1">
      <c r="A1445" s="71"/>
      <c r="B1445" s="72"/>
    </row>
    <row r="1446" spans="1:2" ht="12.75" customHeight="1">
      <c r="A1446" s="71"/>
      <c r="B1446" s="72"/>
    </row>
    <row r="1447" spans="1:2" s="70" customFormat="1" ht="12.75" customHeight="1">
      <c r="A1447" s="67"/>
      <c r="B1447" s="68"/>
    </row>
    <row r="1448" spans="1:2" ht="12.75" customHeight="1">
      <c r="A1448" s="71"/>
      <c r="B1448" s="72"/>
    </row>
    <row r="1449" spans="1:2" ht="12.75" customHeight="1">
      <c r="A1449" s="71"/>
      <c r="B1449" s="72"/>
    </row>
    <row r="1450" spans="1:2" ht="12.75" customHeight="1">
      <c r="A1450" s="71"/>
      <c r="B1450" s="72"/>
    </row>
    <row r="1451" spans="1:2" ht="12.75" customHeight="1">
      <c r="A1451" s="71"/>
      <c r="B1451" s="72"/>
    </row>
    <row r="1452" spans="1:2" ht="12.75" customHeight="1">
      <c r="A1452" s="71"/>
      <c r="B1452" s="72"/>
    </row>
    <row r="1453" spans="1:2" ht="12.75" customHeight="1">
      <c r="A1453" s="71"/>
      <c r="B1453" s="72"/>
    </row>
    <row r="1454" spans="1:2" ht="12.75" customHeight="1">
      <c r="A1454" s="71"/>
      <c r="B1454" s="72"/>
    </row>
    <row r="1455" spans="1:2" ht="12.75" customHeight="1">
      <c r="A1455" s="71"/>
      <c r="B1455" s="72"/>
    </row>
    <row r="1456" spans="1:2" ht="12.75" customHeight="1">
      <c r="A1456" s="71"/>
      <c r="B1456" s="72"/>
    </row>
    <row r="1457" spans="1:2" ht="12.75" customHeight="1">
      <c r="A1457" s="71"/>
      <c r="B1457" s="72"/>
    </row>
    <row r="1458" spans="1:2" ht="12.75" customHeight="1">
      <c r="A1458" s="71"/>
      <c r="B1458" s="72"/>
    </row>
    <row r="1459" spans="1:2" ht="12.75" customHeight="1">
      <c r="A1459" s="71"/>
      <c r="B1459" s="72"/>
    </row>
    <row r="1460" spans="1:2" s="70" customFormat="1" ht="12.75" customHeight="1">
      <c r="A1460" s="67"/>
      <c r="B1460" s="68"/>
    </row>
    <row r="1461" spans="1:2" ht="12.75" customHeight="1">
      <c r="A1461" s="71"/>
      <c r="B1461" s="72"/>
    </row>
    <row r="1462" spans="1:2" ht="12.75" customHeight="1">
      <c r="A1462" s="71"/>
      <c r="B1462" s="72"/>
    </row>
    <row r="1463" spans="1:2" ht="12.75" customHeight="1">
      <c r="A1463" s="247"/>
      <c r="B1463" s="72"/>
    </row>
    <row r="1464" spans="1:2" ht="12.75" customHeight="1">
      <c r="A1464" s="247"/>
      <c r="B1464" s="72"/>
    </row>
    <row r="1465" spans="1:2" ht="12.75" customHeight="1">
      <c r="A1465" s="247"/>
      <c r="B1465" s="72"/>
    </row>
    <row r="1466" spans="1:2" ht="12.75" customHeight="1">
      <c r="A1466" s="247"/>
      <c r="B1466" s="72"/>
    </row>
    <row r="1467" spans="1:2" ht="12.75" customHeight="1">
      <c r="A1467" s="247"/>
      <c r="B1467" s="72"/>
    </row>
    <row r="1468" spans="1:2" ht="12.75" customHeight="1">
      <c r="A1468" s="247"/>
      <c r="B1468" s="72"/>
    </row>
    <row r="1469" spans="1:2" ht="12.75" customHeight="1">
      <c r="A1469" s="247"/>
      <c r="B1469" s="72"/>
    </row>
    <row r="1470" spans="1:2" ht="12.75" customHeight="1">
      <c r="A1470" s="247"/>
      <c r="B1470" s="72"/>
    </row>
    <row r="1471" spans="1:2" ht="12.75" customHeight="1">
      <c r="A1471" s="247"/>
      <c r="B1471" s="72"/>
    </row>
    <row r="1472" spans="1:2" ht="12.75" customHeight="1">
      <c r="A1472" s="247"/>
      <c r="B1472" s="72"/>
    </row>
    <row r="1473" spans="1:2" s="70" customFormat="1" ht="12.75" customHeight="1">
      <c r="A1473" s="248"/>
      <c r="B1473" s="68"/>
    </row>
    <row r="1474" spans="1:2" ht="12.75" customHeight="1">
      <c r="A1474" s="247"/>
      <c r="B1474" s="72"/>
    </row>
    <row r="1475" spans="1:2" ht="12.75" customHeight="1">
      <c r="A1475" s="247"/>
      <c r="B1475" s="72"/>
    </row>
    <row r="1476" spans="1:2" ht="12.75" customHeight="1">
      <c r="A1476" s="247"/>
      <c r="B1476" s="72"/>
    </row>
    <row r="1477" spans="1:2" ht="12.75" customHeight="1">
      <c r="A1477" s="247"/>
      <c r="B1477" s="72"/>
    </row>
    <row r="1478" spans="1:2" ht="12.75" customHeight="1">
      <c r="A1478" s="247"/>
      <c r="B1478" s="72"/>
    </row>
    <row r="1479" spans="1:2" ht="12.75" customHeight="1">
      <c r="A1479" s="247"/>
      <c r="B1479" s="72"/>
    </row>
    <row r="1480" spans="1:2" ht="12.75" customHeight="1">
      <c r="A1480" s="247"/>
      <c r="B1480" s="72"/>
    </row>
    <row r="1481" spans="1:2" ht="12.75" customHeight="1">
      <c r="A1481" s="247"/>
      <c r="B1481" s="72"/>
    </row>
    <row r="1482" spans="1:2" ht="12.75" customHeight="1">
      <c r="A1482" s="247"/>
      <c r="B1482" s="72"/>
    </row>
    <row r="1483" spans="1:2" ht="12.75" customHeight="1">
      <c r="A1483" s="247"/>
      <c r="B1483" s="72"/>
    </row>
    <row r="1484" spans="1:2" ht="12.75" customHeight="1">
      <c r="A1484" s="247"/>
      <c r="B1484" s="72"/>
    </row>
    <row r="1485" spans="1:2" ht="12.75" customHeight="1">
      <c r="A1485" s="247"/>
      <c r="B1485" s="72"/>
    </row>
    <row r="1486" spans="1:2" s="70" customFormat="1" ht="12.75" customHeight="1">
      <c r="A1486" s="248"/>
      <c r="B1486" s="68"/>
    </row>
    <row r="1487" spans="1:2" ht="12.75" customHeight="1">
      <c r="A1487" s="247"/>
      <c r="B1487" s="72"/>
    </row>
    <row r="1488" spans="1:2" ht="12.75" customHeight="1">
      <c r="A1488" s="247"/>
      <c r="B1488" s="72"/>
    </row>
    <row r="1489" spans="1:2" ht="12.75" customHeight="1">
      <c r="A1489" s="247"/>
      <c r="B1489" s="72"/>
    </row>
    <row r="1490" spans="1:2" ht="12.75" customHeight="1">
      <c r="A1490" s="247"/>
      <c r="B1490" s="72"/>
    </row>
    <row r="1491" spans="1:2" ht="12.75" customHeight="1">
      <c r="A1491" s="247"/>
      <c r="B1491" s="72"/>
    </row>
    <row r="1492" spans="1:2" ht="12.75" customHeight="1">
      <c r="A1492" s="247"/>
      <c r="B1492" s="72"/>
    </row>
    <row r="1493" spans="1:2" ht="12.75" customHeight="1">
      <c r="A1493" s="247"/>
      <c r="B1493" s="72"/>
    </row>
    <row r="1494" spans="1:2" ht="12.75" customHeight="1">
      <c r="A1494" s="247"/>
      <c r="B1494" s="72"/>
    </row>
    <row r="1495" spans="1:2" ht="12.75" customHeight="1">
      <c r="A1495" s="247"/>
      <c r="B1495" s="72"/>
    </row>
    <row r="1496" spans="1:2" ht="12.75" customHeight="1">
      <c r="A1496" s="247"/>
      <c r="B1496" s="72"/>
    </row>
    <row r="1497" spans="1:2" ht="12.75" customHeight="1">
      <c r="A1497" s="247"/>
      <c r="B1497" s="72"/>
    </row>
    <row r="1498" spans="1:2" ht="12.75" customHeight="1">
      <c r="A1498" s="247"/>
      <c r="B1498" s="72"/>
    </row>
    <row r="1499" spans="1:2" s="70" customFormat="1" ht="12.75" customHeight="1">
      <c r="A1499" s="248"/>
      <c r="B1499" s="68"/>
    </row>
    <row r="1500" spans="1:2" ht="12.75" customHeight="1">
      <c r="A1500" s="247"/>
      <c r="B1500" s="72"/>
    </row>
    <row r="1501" spans="1:2" ht="12.75" customHeight="1">
      <c r="A1501" s="247"/>
      <c r="B1501" s="72"/>
    </row>
    <row r="1502" spans="1:2" ht="12.75" customHeight="1">
      <c r="A1502" s="247"/>
      <c r="B1502" s="72"/>
    </row>
    <row r="1503" spans="1:2" ht="12.75" customHeight="1">
      <c r="A1503" s="247"/>
      <c r="B1503" s="72"/>
    </row>
    <row r="1504" spans="1:2" ht="12.75" customHeight="1">
      <c r="A1504" s="247"/>
      <c r="B1504" s="72"/>
    </row>
    <row r="1505" spans="1:2" ht="12.75" customHeight="1">
      <c r="A1505" s="247"/>
      <c r="B1505" s="72"/>
    </row>
    <row r="1506" spans="1:2" ht="12.75" customHeight="1">
      <c r="A1506" s="247"/>
      <c r="B1506" s="72"/>
    </row>
    <row r="1507" spans="1:2" ht="12.75" customHeight="1">
      <c r="A1507" s="247"/>
      <c r="B1507" s="72"/>
    </row>
    <row r="1508" spans="1:2" ht="12.75" customHeight="1">
      <c r="A1508" s="247"/>
      <c r="B1508" s="72"/>
    </row>
    <row r="1509" spans="1:2" ht="12.75" customHeight="1">
      <c r="A1509" s="247"/>
      <c r="B1509" s="72"/>
    </row>
    <row r="1510" spans="1:2" ht="12.75" customHeight="1">
      <c r="A1510" s="247"/>
      <c r="B1510" s="72"/>
    </row>
    <row r="1511" spans="1:2" ht="12.75" customHeight="1">
      <c r="A1511" s="247"/>
      <c r="B1511" s="72"/>
    </row>
    <row r="1512" spans="1:2" s="70" customFormat="1" ht="12.75" customHeight="1">
      <c r="A1512" s="248"/>
      <c r="B1512" s="68"/>
    </row>
    <row r="1513" spans="1:2" ht="12.75" customHeight="1">
      <c r="A1513" s="247"/>
      <c r="B1513" s="72"/>
    </row>
    <row r="1514" spans="1:2" ht="12.75" customHeight="1">
      <c r="A1514" s="247"/>
      <c r="B1514" s="72"/>
    </row>
    <row r="1515" spans="1:2" ht="12.75" customHeight="1">
      <c r="A1515" s="247"/>
      <c r="B1515" s="72"/>
    </row>
    <row r="1516" spans="1:2" ht="12.75" customHeight="1">
      <c r="A1516" s="247"/>
      <c r="B1516" s="72"/>
    </row>
    <row r="1517" spans="1:2" ht="12.75" customHeight="1">
      <c r="A1517" s="247"/>
      <c r="B1517" s="72"/>
    </row>
    <row r="1518" spans="1:2" ht="12.75" customHeight="1">
      <c r="A1518" s="247"/>
      <c r="B1518" s="72"/>
    </row>
    <row r="1519" spans="1:2" ht="12.75" customHeight="1">
      <c r="A1519" s="247"/>
      <c r="B1519" s="72"/>
    </row>
    <row r="1520" spans="1:2" ht="12.75" customHeight="1">
      <c r="A1520" s="247"/>
      <c r="B1520" s="72"/>
    </row>
    <row r="1521" spans="1:2" ht="12.75" customHeight="1">
      <c r="A1521" s="247"/>
      <c r="B1521" s="72"/>
    </row>
    <row r="1522" spans="1:2" ht="12.75" customHeight="1">
      <c r="A1522" s="247"/>
      <c r="B1522" s="72"/>
    </row>
    <row r="1523" spans="1:2" ht="12.75" customHeight="1">
      <c r="A1523" s="247"/>
      <c r="B1523" s="72"/>
    </row>
    <row r="1524" spans="1:2" ht="12.75" customHeight="1">
      <c r="A1524" s="247"/>
      <c r="B1524" s="72"/>
    </row>
    <row r="1525" spans="1:2" s="70" customFormat="1" ht="12.75" customHeight="1">
      <c r="A1525" s="248"/>
      <c r="B1525" s="68"/>
    </row>
    <row r="1526" spans="1:2" ht="12.75" customHeight="1">
      <c r="A1526" s="247"/>
      <c r="B1526" s="72"/>
    </row>
    <row r="1527" spans="1:2" ht="12.75" customHeight="1">
      <c r="A1527" s="247"/>
      <c r="B1527" s="72"/>
    </row>
    <row r="1528" spans="1:2" ht="12.75" customHeight="1">
      <c r="A1528" s="247"/>
      <c r="B1528" s="72"/>
    </row>
    <row r="1529" spans="1:2" ht="12.75" customHeight="1">
      <c r="A1529" s="247"/>
      <c r="B1529" s="72"/>
    </row>
    <row r="1530" spans="1:2" ht="12.75" customHeight="1">
      <c r="A1530" s="247"/>
      <c r="B1530" s="72"/>
    </row>
    <row r="1531" spans="1:2" ht="12.75" customHeight="1">
      <c r="A1531" s="247"/>
      <c r="B1531" s="72"/>
    </row>
    <row r="1532" spans="1:2" ht="12.75" customHeight="1">
      <c r="A1532" s="247"/>
      <c r="B1532" s="72"/>
    </row>
    <row r="1533" spans="1:2" ht="12.75" customHeight="1">
      <c r="A1533" s="247"/>
      <c r="B1533" s="72"/>
    </row>
    <row r="1534" spans="1:2" ht="12.75" customHeight="1">
      <c r="A1534" s="247"/>
      <c r="B1534" s="72"/>
    </row>
    <row r="1535" spans="1:2" ht="12.75" customHeight="1">
      <c r="A1535" s="247"/>
      <c r="B1535" s="72"/>
    </row>
    <row r="1536" spans="1:2" ht="12.75" customHeight="1">
      <c r="A1536" s="247"/>
      <c r="B1536" s="72"/>
    </row>
    <row r="1537" spans="1:2" ht="12.75" customHeight="1">
      <c r="A1537" s="247"/>
      <c r="B1537" s="72"/>
    </row>
    <row r="1538" spans="1:2" s="70" customFormat="1" ht="12.75" customHeight="1">
      <c r="A1538" s="248"/>
      <c r="B1538" s="68"/>
    </row>
    <row r="1539" spans="1:2" ht="12.75" customHeight="1">
      <c r="A1539" s="247"/>
      <c r="B1539" s="72"/>
    </row>
    <row r="1540" spans="1:2" ht="12.75" customHeight="1">
      <c r="A1540" s="247"/>
      <c r="B1540" s="72"/>
    </row>
    <row r="1541" spans="1:2" ht="12.75" customHeight="1">
      <c r="A1541" s="247"/>
      <c r="B1541" s="72"/>
    </row>
    <row r="1542" spans="1:2" ht="12.75" customHeight="1">
      <c r="A1542" s="247"/>
      <c r="B1542" s="72"/>
    </row>
    <row r="1543" spans="1:2" ht="12.75" customHeight="1">
      <c r="A1543" s="247"/>
      <c r="B1543" s="72"/>
    </row>
    <row r="1544" spans="1:2" ht="12.75" customHeight="1">
      <c r="A1544" s="247"/>
      <c r="B1544" s="72"/>
    </row>
    <row r="1545" spans="1:2" ht="12.75" customHeight="1">
      <c r="A1545" s="247"/>
      <c r="B1545" s="72"/>
    </row>
    <row r="1546" spans="1:2" ht="12.75" customHeight="1">
      <c r="A1546" s="247"/>
      <c r="B1546" s="72"/>
    </row>
    <row r="1547" spans="1:2" ht="12.75" customHeight="1">
      <c r="A1547" s="247"/>
      <c r="B1547" s="72"/>
    </row>
    <row r="1548" spans="1:2" ht="12.75" customHeight="1">
      <c r="A1548" s="247"/>
      <c r="B1548" s="72"/>
    </row>
    <row r="1549" spans="1:2" ht="12.75" customHeight="1">
      <c r="A1549" s="247"/>
      <c r="B1549" s="72"/>
    </row>
    <row r="1550" spans="1:2" ht="12.75" customHeight="1">
      <c r="A1550" s="247"/>
      <c r="B1550" s="72"/>
    </row>
    <row r="1551" spans="1:2" s="70" customFormat="1" ht="12.75" customHeight="1">
      <c r="A1551" s="248"/>
      <c r="B1551" s="68"/>
    </row>
    <row r="1552" spans="1:2" ht="12.75" customHeight="1">
      <c r="A1552" s="247"/>
      <c r="B1552" s="72"/>
    </row>
    <row r="1553" spans="1:2" ht="12.75" customHeight="1">
      <c r="A1553" s="247"/>
      <c r="B1553" s="72"/>
    </row>
    <row r="1554" spans="1:2" ht="12.75" customHeight="1">
      <c r="A1554" s="247"/>
      <c r="B1554" s="72"/>
    </row>
    <row r="1555" spans="1:2" ht="12.75" customHeight="1">
      <c r="A1555" s="247"/>
      <c r="B1555" s="72"/>
    </row>
    <row r="1556" spans="1:2" ht="12.75" customHeight="1">
      <c r="A1556" s="247"/>
      <c r="B1556" s="72"/>
    </row>
    <row r="1557" spans="1:2" ht="12.75" customHeight="1">
      <c r="A1557" s="247"/>
      <c r="B1557" s="72"/>
    </row>
    <row r="1558" spans="1:2" ht="12.75" customHeight="1">
      <c r="A1558" s="247"/>
      <c r="B1558" s="72"/>
    </row>
    <row r="1559" spans="1:2" ht="12.75" customHeight="1">
      <c r="A1559" s="247"/>
      <c r="B1559" s="72"/>
    </row>
    <row r="1560" spans="1:2" ht="12.75" customHeight="1">
      <c r="A1560" s="247"/>
      <c r="B1560" s="72"/>
    </row>
    <row r="1561" spans="1:2" ht="12.75" customHeight="1">
      <c r="A1561" s="247"/>
      <c r="B1561" s="72"/>
    </row>
    <row r="1562" spans="1:2" ht="12.75" customHeight="1">
      <c r="A1562" s="247"/>
      <c r="B1562" s="72"/>
    </row>
    <row r="1563" spans="1:2" ht="12.75" customHeight="1">
      <c r="A1563" s="247"/>
      <c r="B1563" s="72"/>
    </row>
    <row r="1564" spans="1:2" s="70" customFormat="1" ht="12.75" customHeight="1">
      <c r="A1564" s="248"/>
      <c r="B1564" s="68"/>
    </row>
    <row r="1565" spans="1:2" ht="12.75" customHeight="1">
      <c r="A1565" s="247"/>
      <c r="B1565" s="72"/>
    </row>
    <row r="1566" spans="1:2" ht="12.75" customHeight="1">
      <c r="A1566" s="247"/>
      <c r="B1566" s="72"/>
    </row>
    <row r="1567" spans="1:2" ht="12.75" customHeight="1">
      <c r="A1567" s="247"/>
      <c r="B1567" s="72"/>
    </row>
    <row r="1568" spans="1:2" ht="12.75" customHeight="1">
      <c r="A1568" s="247"/>
      <c r="B1568" s="72"/>
    </row>
    <row r="1569" spans="1:2" ht="12.75" customHeight="1">
      <c r="A1569" s="247"/>
      <c r="B1569" s="72"/>
    </row>
    <row r="1570" spans="1:2" ht="12.75" customHeight="1">
      <c r="A1570" s="247"/>
      <c r="B1570" s="72"/>
    </row>
    <row r="1571" spans="1:2" ht="12.75" customHeight="1">
      <c r="A1571" s="247"/>
      <c r="B1571" s="72"/>
    </row>
    <row r="1572" spans="1:2" ht="12.75" customHeight="1">
      <c r="A1572" s="247"/>
      <c r="B1572" s="72"/>
    </row>
    <row r="1573" spans="1:2" ht="12.75" customHeight="1">
      <c r="A1573" s="247"/>
      <c r="B1573" s="72"/>
    </row>
    <row r="1574" spans="1:2" ht="12.75" customHeight="1">
      <c r="A1574" s="247"/>
      <c r="B1574" s="72"/>
    </row>
    <row r="1575" spans="1:2" ht="12.75" customHeight="1">
      <c r="A1575" s="247"/>
      <c r="B1575" s="72"/>
    </row>
    <row r="1576" spans="1:2" ht="12.75" customHeight="1">
      <c r="A1576" s="247"/>
      <c r="B1576" s="72"/>
    </row>
    <row r="1577" spans="1:2" s="70" customFormat="1" ht="12.75" customHeight="1">
      <c r="A1577" s="248"/>
      <c r="B1577" s="68"/>
    </row>
    <row r="1578" spans="1:2" ht="12.75" customHeight="1">
      <c r="A1578" s="247"/>
      <c r="B1578" s="72"/>
    </row>
    <row r="1579" spans="1:2" ht="12.75" customHeight="1">
      <c r="A1579" s="247"/>
      <c r="B1579" s="72"/>
    </row>
    <row r="1580" spans="1:2" ht="12.75" customHeight="1">
      <c r="A1580" s="247"/>
      <c r="B1580" s="72"/>
    </row>
    <row r="1581" spans="1:2" ht="12.75" customHeight="1">
      <c r="A1581" s="247"/>
      <c r="B1581" s="72"/>
    </row>
    <row r="1582" spans="1:2" ht="12.75" customHeight="1">
      <c r="A1582" s="247"/>
      <c r="B1582" s="72"/>
    </row>
    <row r="1583" spans="1:2" ht="12.75" customHeight="1">
      <c r="A1583" s="247"/>
      <c r="B1583" s="72"/>
    </row>
    <row r="1584" spans="1:2" ht="12.75" customHeight="1">
      <c r="A1584" s="247"/>
      <c r="B1584" s="72"/>
    </row>
    <row r="1585" spans="1:2" ht="12.75" customHeight="1">
      <c r="A1585" s="247"/>
      <c r="B1585" s="72"/>
    </row>
    <row r="1586" spans="1:2" ht="12.75" customHeight="1">
      <c r="A1586" s="247"/>
      <c r="B1586" s="72"/>
    </row>
    <row r="1587" spans="1:2" ht="12.75" customHeight="1">
      <c r="A1587" s="247"/>
      <c r="B1587" s="72"/>
    </row>
    <row r="1588" spans="1:2" ht="12.75" customHeight="1">
      <c r="A1588" s="247"/>
      <c r="B1588" s="72"/>
    </row>
    <row r="1589" spans="1:2" ht="12.75" customHeight="1">
      <c r="A1589" s="247"/>
      <c r="B1589" s="72"/>
    </row>
    <row r="1590" spans="1:2" s="70" customFormat="1" ht="12.75" customHeight="1">
      <c r="A1590" s="248"/>
      <c r="B1590" s="68"/>
    </row>
    <row r="1591" spans="1:2" ht="12.75" customHeight="1">
      <c r="A1591" s="247"/>
      <c r="B1591" s="72"/>
    </row>
    <row r="1592" spans="1:2" ht="12.75" customHeight="1">
      <c r="A1592" s="247"/>
      <c r="B1592" s="72"/>
    </row>
    <row r="1593" spans="1:2" ht="12.75" customHeight="1">
      <c r="A1593" s="247"/>
      <c r="B1593" s="72"/>
    </row>
    <row r="1594" spans="1:2" ht="12.75" customHeight="1">
      <c r="A1594" s="247"/>
      <c r="B1594" s="72"/>
    </row>
    <row r="1595" spans="1:2" ht="12.75" customHeight="1">
      <c r="A1595" s="247"/>
      <c r="B1595" s="72"/>
    </row>
    <row r="1596" spans="1:2" ht="12.75" customHeight="1">
      <c r="A1596" s="247"/>
      <c r="B1596" s="72"/>
    </row>
    <row r="1597" spans="1:2" ht="12.75" customHeight="1">
      <c r="A1597" s="247"/>
      <c r="B1597" s="72"/>
    </row>
    <row r="1598" spans="1:2" ht="12.75" customHeight="1">
      <c r="A1598" s="247"/>
      <c r="B1598" s="72"/>
    </row>
    <row r="1599" spans="1:2" ht="12.75" customHeight="1">
      <c r="A1599" s="247"/>
      <c r="B1599" s="72"/>
    </row>
    <row r="1600" spans="1:2" ht="12.75" customHeight="1">
      <c r="A1600" s="247"/>
      <c r="B1600" s="72"/>
    </row>
    <row r="1601" spans="1:2" ht="12.75" customHeight="1">
      <c r="A1601" s="247"/>
      <c r="B1601" s="72"/>
    </row>
    <row r="1602" spans="1:2" ht="12.75" customHeight="1">
      <c r="A1602" s="247"/>
      <c r="B1602" s="72"/>
    </row>
    <row r="1603" spans="1:2" s="70" customFormat="1" ht="12.75" customHeight="1">
      <c r="A1603" s="248"/>
      <c r="B1603" s="68"/>
    </row>
    <row r="1604" spans="1:2" ht="12.75" customHeight="1">
      <c r="A1604" s="247"/>
      <c r="B1604" s="72"/>
    </row>
    <row r="1605" spans="1:2" ht="12.75" customHeight="1">
      <c r="A1605" s="247"/>
      <c r="B1605" s="72"/>
    </row>
    <row r="1606" spans="1:2" ht="12.75" customHeight="1">
      <c r="A1606" s="247"/>
      <c r="B1606" s="72"/>
    </row>
    <row r="1607" spans="1:2" ht="12.75" customHeight="1">
      <c r="A1607" s="247"/>
      <c r="B1607" s="72"/>
    </row>
    <row r="1608" spans="1:2" ht="12.75" customHeight="1">
      <c r="A1608" s="247"/>
      <c r="B1608" s="72"/>
    </row>
    <row r="1609" spans="1:2" ht="12.75" customHeight="1">
      <c r="A1609" s="247"/>
      <c r="B1609" s="72"/>
    </row>
    <row r="1610" spans="1:2" ht="12.75" customHeight="1">
      <c r="A1610" s="247"/>
      <c r="B1610" s="72"/>
    </row>
    <row r="1611" spans="1:2" ht="12.75" customHeight="1">
      <c r="A1611" s="247"/>
      <c r="B1611" s="72"/>
    </row>
    <row r="1612" spans="1:2" ht="12.75" customHeight="1">
      <c r="A1612" s="247"/>
      <c r="B1612" s="72"/>
    </row>
    <row r="1613" spans="1:2" ht="12.75" customHeight="1">
      <c r="A1613" s="247"/>
      <c r="B1613" s="72"/>
    </row>
    <row r="1614" spans="1:2" ht="12.75" customHeight="1">
      <c r="A1614" s="247"/>
      <c r="B1614" s="72"/>
    </row>
    <row r="1615" spans="1:2" ht="12.75" customHeight="1">
      <c r="A1615" s="247"/>
      <c r="B1615" s="72"/>
    </row>
    <row r="1616" spans="1:2" s="70" customFormat="1" ht="12.75" customHeight="1">
      <c r="A1616" s="248"/>
      <c r="B1616" s="68"/>
    </row>
    <row r="1617" spans="1:2" ht="12.75" customHeight="1">
      <c r="A1617" s="247"/>
      <c r="B1617" s="72"/>
    </row>
    <row r="1618" spans="1:2" ht="12.75" customHeight="1">
      <c r="A1618" s="247"/>
      <c r="B1618" s="72"/>
    </row>
    <row r="1619" spans="1:2" ht="12.75" customHeight="1">
      <c r="A1619" s="247"/>
      <c r="B1619" s="72"/>
    </row>
    <row r="1620" spans="1:2" ht="12.75" customHeight="1">
      <c r="A1620" s="247"/>
      <c r="B1620" s="72"/>
    </row>
    <row r="1621" spans="1:2" ht="12.75" customHeight="1">
      <c r="A1621" s="247"/>
      <c r="B1621" s="72"/>
    </row>
    <row r="1622" spans="1:2" ht="12.75" customHeight="1">
      <c r="A1622" s="247"/>
      <c r="B1622" s="72"/>
    </row>
    <row r="1623" spans="1:2" ht="12.75" customHeight="1">
      <c r="A1623" s="247"/>
      <c r="B1623" s="72"/>
    </row>
    <row r="1624" spans="1:2" ht="12.75" customHeight="1">
      <c r="A1624" s="247"/>
      <c r="B1624" s="72"/>
    </row>
    <row r="1625" spans="1:2" ht="12.75" customHeight="1">
      <c r="A1625" s="247"/>
      <c r="B1625" s="72"/>
    </row>
    <row r="1626" spans="1:2" ht="12.75" customHeight="1">
      <c r="A1626" s="247"/>
      <c r="B1626" s="72"/>
    </row>
    <row r="1627" spans="1:2" ht="12.75" customHeight="1">
      <c r="A1627" s="247"/>
      <c r="B1627" s="72"/>
    </row>
    <row r="1628" spans="1:2" ht="12.75" customHeight="1">
      <c r="A1628" s="247"/>
      <c r="B1628" s="72"/>
    </row>
    <row r="1629" spans="1:2" s="70" customFormat="1" ht="12.75" customHeight="1">
      <c r="A1629" s="248"/>
      <c r="B1629" s="68"/>
    </row>
    <row r="1630" spans="1:2" ht="12.75" customHeight="1">
      <c r="A1630" s="247"/>
      <c r="B1630" s="72"/>
    </row>
    <row r="1631" spans="1:2" ht="12.75" customHeight="1">
      <c r="A1631" s="247"/>
      <c r="B1631" s="72"/>
    </row>
    <row r="1632" spans="1:2" ht="12.75" customHeight="1">
      <c r="A1632" s="247"/>
      <c r="B1632" s="72"/>
    </row>
    <row r="1633" spans="1:2" ht="12.75" customHeight="1">
      <c r="A1633" s="247"/>
      <c r="B1633" s="72"/>
    </row>
    <row r="1634" spans="1:2" ht="12.75" customHeight="1">
      <c r="A1634" s="247"/>
      <c r="B1634" s="72"/>
    </row>
    <row r="1635" spans="1:2" ht="12.75" customHeight="1">
      <c r="A1635" s="247"/>
      <c r="B1635" s="72"/>
    </row>
    <row r="1636" spans="1:2" ht="12.75" customHeight="1">
      <c r="A1636" s="247"/>
      <c r="B1636" s="72"/>
    </row>
    <row r="1637" spans="1:2" ht="12.75" customHeight="1">
      <c r="A1637" s="247"/>
      <c r="B1637" s="72"/>
    </row>
    <row r="1638" spans="1:2" ht="12.75" customHeight="1">
      <c r="A1638" s="247"/>
      <c r="B1638" s="72"/>
    </row>
    <row r="1639" spans="1:2" ht="12.75" customHeight="1">
      <c r="A1639" s="247"/>
      <c r="B1639" s="72"/>
    </row>
    <row r="1640" spans="1:2" ht="12.75" customHeight="1">
      <c r="A1640" s="247"/>
      <c r="B1640" s="72"/>
    </row>
    <row r="1641" spans="1:2" ht="12.75" customHeight="1">
      <c r="A1641" s="247"/>
      <c r="B1641" s="72"/>
    </row>
    <row r="1642" spans="1:2" s="70" customFormat="1" ht="12.75" customHeight="1">
      <c r="A1642" s="248"/>
      <c r="B1642" s="68"/>
    </row>
    <row r="1643" spans="1:2" ht="12.75" customHeight="1">
      <c r="A1643" s="247"/>
      <c r="B1643" s="72"/>
    </row>
    <row r="1644" spans="1:2" ht="12.75" customHeight="1">
      <c r="A1644" s="247"/>
      <c r="B1644" s="72"/>
    </row>
    <row r="1645" spans="1:2" ht="12.75" customHeight="1">
      <c r="A1645" s="247"/>
      <c r="B1645" s="72"/>
    </row>
    <row r="1646" spans="1:2" ht="12.75" customHeight="1">
      <c r="A1646" s="247"/>
      <c r="B1646" s="72"/>
    </row>
    <row r="1647" spans="1:2" ht="12.75" customHeight="1">
      <c r="A1647" s="247"/>
      <c r="B1647" s="72"/>
    </row>
    <row r="1648" spans="1:2" ht="12.75" customHeight="1">
      <c r="A1648" s="247"/>
      <c r="B1648" s="72"/>
    </row>
    <row r="1649" spans="1:2" ht="12.75" customHeight="1">
      <c r="A1649" s="247"/>
      <c r="B1649" s="72"/>
    </row>
    <row r="1650" spans="1:2" ht="12.75" customHeight="1">
      <c r="A1650" s="247"/>
      <c r="B1650" s="72"/>
    </row>
    <row r="1651" spans="1:2" ht="12.75" customHeight="1">
      <c r="A1651" s="247"/>
      <c r="B1651" s="72"/>
    </row>
    <row r="1652" spans="1:2" ht="12.75" customHeight="1">
      <c r="A1652" s="247"/>
      <c r="B1652" s="72"/>
    </row>
    <row r="1653" spans="1:2" ht="12.75" customHeight="1">
      <c r="A1653" s="247"/>
      <c r="B1653" s="72"/>
    </row>
    <row r="1654" spans="1:2" ht="12.75" customHeight="1">
      <c r="A1654" s="247"/>
      <c r="B1654" s="72"/>
    </row>
    <row r="1655" spans="1:2" s="70" customFormat="1" ht="12.75" customHeight="1">
      <c r="A1655" s="248"/>
      <c r="B1655" s="68"/>
    </row>
    <row r="1656" spans="1:2" ht="12.75" customHeight="1">
      <c r="A1656" s="247"/>
      <c r="B1656" s="72"/>
    </row>
    <row r="1657" spans="1:2" ht="12.75" customHeight="1">
      <c r="A1657" s="247"/>
      <c r="B1657" s="72"/>
    </row>
    <row r="1658" spans="1:2" ht="12.75" customHeight="1">
      <c r="A1658" s="247"/>
      <c r="B1658" s="72"/>
    </row>
    <row r="1659" spans="1:2" ht="12.75" customHeight="1">
      <c r="A1659" s="247"/>
      <c r="B1659" s="72"/>
    </row>
    <row r="1660" spans="1:2" ht="12.75" customHeight="1">
      <c r="A1660" s="247"/>
      <c r="B1660" s="72"/>
    </row>
    <row r="1661" spans="1:2" ht="12.75" customHeight="1">
      <c r="A1661" s="247"/>
      <c r="B1661" s="72"/>
    </row>
    <row r="1662" spans="1:2" ht="12.75" customHeight="1">
      <c r="A1662" s="247"/>
      <c r="B1662" s="72"/>
    </row>
    <row r="1663" spans="1:2" ht="12.75" customHeight="1">
      <c r="A1663" s="247"/>
      <c r="B1663" s="72"/>
    </row>
    <row r="1664" spans="1:2" ht="12.75" customHeight="1">
      <c r="A1664" s="247"/>
      <c r="B1664" s="72"/>
    </row>
    <row r="1665" spans="1:2" ht="12.75" customHeight="1">
      <c r="A1665" s="247"/>
      <c r="B1665" s="72"/>
    </row>
    <row r="1666" spans="1:2" ht="12.75" customHeight="1">
      <c r="A1666" s="247"/>
      <c r="B1666" s="72"/>
    </row>
    <row r="1667" spans="1:2" ht="12.75" customHeight="1">
      <c r="A1667" s="247"/>
      <c r="B1667" s="72"/>
    </row>
    <row r="1668" spans="1:2" s="70" customFormat="1" ht="12.75" customHeight="1">
      <c r="A1668" s="248"/>
      <c r="B1668" s="68"/>
    </row>
    <row r="1669" spans="1:2" ht="12.75" customHeight="1">
      <c r="A1669" s="247"/>
      <c r="B1669" s="72"/>
    </row>
    <row r="1670" spans="1:2" ht="12.75" customHeight="1">
      <c r="A1670" s="247"/>
      <c r="B1670" s="72"/>
    </row>
    <row r="1671" spans="1:2" ht="12.75" customHeight="1">
      <c r="A1671" s="247"/>
      <c r="B1671" s="72"/>
    </row>
    <row r="1672" spans="1:2" ht="12.75" customHeight="1">
      <c r="A1672" s="247"/>
      <c r="B1672" s="72"/>
    </row>
    <row r="1673" spans="1:2" ht="12.75" customHeight="1">
      <c r="A1673" s="247"/>
      <c r="B1673" s="72"/>
    </row>
    <row r="1674" spans="1:2" ht="12.75" customHeight="1">
      <c r="A1674" s="247"/>
      <c r="B1674" s="72"/>
    </row>
    <row r="1675" spans="1:2" ht="12.75" customHeight="1">
      <c r="A1675" s="247"/>
      <c r="B1675" s="72"/>
    </row>
    <row r="1676" spans="1:2" ht="12.75" customHeight="1">
      <c r="A1676" s="247"/>
      <c r="B1676" s="72"/>
    </row>
    <row r="1677" spans="1:2" ht="12.75" customHeight="1">
      <c r="A1677" s="247"/>
      <c r="B1677" s="72"/>
    </row>
    <row r="1678" spans="1:2" ht="12.75" customHeight="1">
      <c r="A1678" s="247"/>
      <c r="B1678" s="72"/>
    </row>
    <row r="1679" spans="1:2" ht="12.75" customHeight="1">
      <c r="A1679" s="247"/>
      <c r="B1679" s="72"/>
    </row>
    <row r="1680" spans="1:2" ht="12.75" customHeight="1">
      <c r="A1680" s="247"/>
      <c r="B1680" s="72"/>
    </row>
    <row r="1681" spans="1:2" s="70" customFormat="1" ht="12.75" customHeight="1">
      <c r="A1681" s="248"/>
      <c r="B1681" s="68"/>
    </row>
    <row r="1682" spans="1:2" ht="12.75" customHeight="1">
      <c r="A1682" s="247"/>
      <c r="B1682" s="72"/>
    </row>
    <row r="1683" spans="1:2" ht="12.75" customHeight="1">
      <c r="A1683" s="247"/>
      <c r="B1683" s="72"/>
    </row>
    <row r="1684" spans="1:2" ht="12.75" customHeight="1">
      <c r="A1684" s="247"/>
      <c r="B1684" s="72"/>
    </row>
    <row r="1685" spans="1:2" ht="12.75" customHeight="1">
      <c r="A1685" s="247"/>
      <c r="B1685" s="72"/>
    </row>
    <row r="1686" spans="1:2" ht="12.75" customHeight="1">
      <c r="A1686" s="247"/>
      <c r="B1686" s="72"/>
    </row>
    <row r="1687" spans="1:2" ht="12.75" customHeight="1">
      <c r="A1687" s="247"/>
      <c r="B1687" s="72"/>
    </row>
    <row r="1688" spans="1:2" ht="12.75" customHeight="1">
      <c r="A1688" s="247"/>
      <c r="B1688" s="72"/>
    </row>
    <row r="1689" spans="1:2" ht="12.75" customHeight="1">
      <c r="A1689" s="247"/>
      <c r="B1689" s="72"/>
    </row>
    <row r="1690" spans="1:2" ht="12.75" customHeight="1">
      <c r="A1690" s="247"/>
      <c r="B1690" s="72"/>
    </row>
    <row r="1691" spans="1:2" ht="12.75" customHeight="1">
      <c r="A1691" s="247"/>
      <c r="B1691" s="72"/>
    </row>
    <row r="1692" spans="1:2" ht="12.75" customHeight="1">
      <c r="A1692" s="247"/>
      <c r="B1692" s="72"/>
    </row>
    <row r="1693" spans="1:2" ht="12.75" customHeight="1">
      <c r="A1693" s="247"/>
      <c r="B1693" s="72"/>
    </row>
    <row r="1694" spans="1:2" s="70" customFormat="1" ht="12.75" customHeight="1">
      <c r="A1694" s="248"/>
      <c r="B1694" s="68"/>
    </row>
    <row r="1695" spans="1:2" ht="12.75" customHeight="1">
      <c r="A1695" s="247"/>
      <c r="B1695" s="72"/>
    </row>
    <row r="1696" spans="1:2" ht="12.75" customHeight="1">
      <c r="A1696" s="247"/>
      <c r="B1696" s="72"/>
    </row>
    <row r="1697" spans="1:2" ht="12.75" customHeight="1">
      <c r="A1697" s="247"/>
      <c r="B1697" s="72"/>
    </row>
    <row r="1698" spans="1:2" ht="12.75" customHeight="1">
      <c r="A1698" s="247"/>
      <c r="B1698" s="72"/>
    </row>
    <row r="1699" spans="1:2" ht="12.75" customHeight="1">
      <c r="A1699" s="247"/>
      <c r="B1699" s="72"/>
    </row>
    <row r="1700" spans="1:2" ht="12.75" customHeight="1">
      <c r="A1700" s="247"/>
      <c r="B1700" s="72"/>
    </row>
    <row r="1701" spans="1:2" ht="12.75" customHeight="1">
      <c r="A1701" s="247"/>
      <c r="B1701" s="72"/>
    </row>
    <row r="1702" spans="1:2" ht="12.75" customHeight="1">
      <c r="A1702" s="247"/>
      <c r="B1702" s="72"/>
    </row>
    <row r="1703" spans="1:2" ht="12.75" customHeight="1">
      <c r="A1703" s="247"/>
      <c r="B1703" s="72"/>
    </row>
    <row r="1704" spans="1:2" ht="12.75" customHeight="1">
      <c r="A1704" s="247"/>
      <c r="B1704" s="72"/>
    </row>
    <row r="1705" spans="1:2" ht="12.75" customHeight="1">
      <c r="A1705" s="247"/>
      <c r="B1705" s="72"/>
    </row>
    <row r="1706" spans="1:2" ht="12.75" customHeight="1">
      <c r="A1706" s="247"/>
      <c r="B1706" s="72"/>
    </row>
    <row r="1707" spans="1:2" s="70" customFormat="1" ht="12.75" customHeight="1">
      <c r="A1707" s="248"/>
      <c r="B1707" s="68"/>
    </row>
    <row r="1708" spans="1:2" ht="12.75" customHeight="1">
      <c r="A1708" s="247"/>
      <c r="B1708" s="72"/>
    </row>
    <row r="1709" spans="1:2" ht="12.75" customHeight="1">
      <c r="A1709" s="247"/>
      <c r="B1709" s="72"/>
    </row>
    <row r="1710" spans="1:2" ht="12.75" customHeight="1">
      <c r="A1710" s="247"/>
      <c r="B1710" s="72"/>
    </row>
    <row r="1711" spans="1:2" ht="12.75" customHeight="1">
      <c r="A1711" s="247"/>
      <c r="B1711" s="72"/>
    </row>
    <row r="1712" spans="1:2" ht="12.75" customHeight="1">
      <c r="A1712" s="247"/>
      <c r="B1712" s="72"/>
    </row>
    <row r="1713" spans="1:2" ht="12.75" customHeight="1">
      <c r="A1713" s="247"/>
      <c r="B1713" s="72"/>
    </row>
    <row r="1714" spans="1:2" ht="12.75" customHeight="1">
      <c r="A1714" s="247"/>
      <c r="B1714" s="72"/>
    </row>
    <row r="1715" spans="1:2" ht="12.75" customHeight="1">
      <c r="A1715" s="247"/>
      <c r="B1715" s="72"/>
    </row>
    <row r="1716" spans="1:2" ht="12.75" customHeight="1">
      <c r="A1716" s="247"/>
      <c r="B1716" s="72"/>
    </row>
    <row r="1717" spans="1:2" ht="12.75" customHeight="1">
      <c r="A1717" s="247"/>
      <c r="B1717" s="72"/>
    </row>
    <row r="1718" spans="1:2" ht="12.75" customHeight="1">
      <c r="A1718" s="247"/>
      <c r="B1718" s="72"/>
    </row>
    <row r="1719" spans="1:2" ht="12.75" customHeight="1">
      <c r="A1719" s="247"/>
      <c r="B1719" s="72"/>
    </row>
    <row r="1720" spans="1:2" s="70" customFormat="1" ht="12.75" customHeight="1">
      <c r="A1720" s="248"/>
      <c r="B1720" s="68"/>
    </row>
    <row r="1721" spans="1:2" ht="12.75" customHeight="1">
      <c r="A1721" s="247"/>
      <c r="B1721" s="72"/>
    </row>
    <row r="1722" spans="1:2" ht="12.75" customHeight="1">
      <c r="A1722" s="247"/>
      <c r="B1722" s="72"/>
    </row>
    <row r="1723" spans="1:2" ht="12.75" customHeight="1">
      <c r="A1723" s="247"/>
      <c r="B1723" s="72"/>
    </row>
    <row r="1724" spans="1:2" ht="12.75" customHeight="1">
      <c r="A1724" s="247"/>
      <c r="B1724" s="72"/>
    </row>
    <row r="1725" spans="1:2" ht="12.75" customHeight="1">
      <c r="A1725" s="247"/>
      <c r="B1725" s="72"/>
    </row>
    <row r="1726" spans="1:2" ht="12.75" customHeight="1">
      <c r="A1726" s="247"/>
      <c r="B1726" s="72"/>
    </row>
    <row r="1727" spans="1:2" ht="12.75" customHeight="1">
      <c r="A1727" s="247"/>
      <c r="B1727" s="72"/>
    </row>
    <row r="1728" spans="1:2" ht="12.75" customHeight="1">
      <c r="A1728" s="247"/>
      <c r="B1728" s="72"/>
    </row>
    <row r="1729" spans="1:2" ht="12.75" customHeight="1">
      <c r="A1729" s="247"/>
      <c r="B1729" s="72"/>
    </row>
    <row r="1730" spans="1:2" ht="12.75" customHeight="1">
      <c r="A1730" s="247"/>
      <c r="B1730" s="72"/>
    </row>
    <row r="1731" spans="1:2" ht="12.75" customHeight="1">
      <c r="A1731" s="247"/>
      <c r="B1731" s="72"/>
    </row>
    <row r="1732" spans="1:2" ht="12.75" customHeight="1">
      <c r="A1732" s="247"/>
      <c r="B1732" s="72"/>
    </row>
    <row r="1733" spans="1:2" s="70" customFormat="1" ht="12.75" customHeight="1">
      <c r="A1733" s="248"/>
      <c r="B1733" s="68"/>
    </row>
    <row r="1734" spans="1:2" ht="12.75" customHeight="1">
      <c r="A1734" s="247"/>
      <c r="B1734" s="72"/>
    </row>
    <row r="1735" spans="1:2" ht="12.75" customHeight="1">
      <c r="A1735" s="247"/>
      <c r="B1735" s="72"/>
    </row>
    <row r="1736" spans="1:2" ht="12.75" customHeight="1">
      <c r="A1736" s="247"/>
      <c r="B1736" s="72"/>
    </row>
    <row r="1737" spans="1:2" ht="12.75" customHeight="1">
      <c r="A1737" s="247"/>
      <c r="B1737" s="72"/>
    </row>
    <row r="1738" spans="1:2" ht="12.75" customHeight="1">
      <c r="A1738" s="247"/>
      <c r="B1738" s="72"/>
    </row>
    <row r="1739" spans="1:2" ht="12.75" customHeight="1">
      <c r="A1739" s="247"/>
      <c r="B1739" s="72"/>
    </row>
    <row r="1740" spans="1:2" ht="12.75" customHeight="1">
      <c r="A1740" s="247"/>
      <c r="B1740" s="72"/>
    </row>
    <row r="1741" spans="1:2" ht="12.75" customHeight="1">
      <c r="A1741" s="247"/>
      <c r="B1741" s="72"/>
    </row>
    <row r="1742" spans="1:2" ht="12.75" customHeight="1">
      <c r="A1742" s="247"/>
      <c r="B1742" s="72"/>
    </row>
    <row r="1743" spans="1:2" ht="12.75" customHeight="1">
      <c r="A1743" s="247"/>
      <c r="B1743" s="72"/>
    </row>
    <row r="1744" spans="1:2" ht="12.75" customHeight="1">
      <c r="A1744" s="247"/>
      <c r="B1744" s="72"/>
    </row>
    <row r="1745" spans="1:2" ht="12.75" customHeight="1">
      <c r="A1745" s="247"/>
      <c r="B1745" s="72"/>
    </row>
    <row r="1746" spans="1:2" s="70" customFormat="1" ht="12.75" customHeight="1">
      <c r="A1746" s="248"/>
      <c r="B1746" s="68"/>
    </row>
    <row r="1747" spans="1:2" ht="12.75" customHeight="1">
      <c r="A1747" s="247"/>
      <c r="B1747" s="72"/>
    </row>
    <row r="1748" spans="1:2" ht="12.75" customHeight="1">
      <c r="A1748" s="247"/>
      <c r="B1748" s="72"/>
    </row>
    <row r="1749" spans="1:2" ht="12.75" customHeight="1">
      <c r="A1749" s="247"/>
      <c r="B1749" s="72"/>
    </row>
    <row r="1750" spans="1:2" ht="12.75" customHeight="1">
      <c r="A1750" s="247"/>
      <c r="B1750" s="72"/>
    </row>
    <row r="1751" spans="1:2" ht="12.75" customHeight="1">
      <c r="A1751" s="247"/>
      <c r="B1751" s="72"/>
    </row>
    <row r="1752" spans="1:2" ht="12.75" customHeight="1">
      <c r="A1752" s="247"/>
      <c r="B1752" s="72"/>
    </row>
    <row r="1753" spans="1:2" ht="12.75" customHeight="1">
      <c r="A1753" s="247"/>
      <c r="B1753" s="72"/>
    </row>
    <row r="1754" spans="1:2" ht="12.75" customHeight="1">
      <c r="A1754" s="247"/>
      <c r="B1754" s="72"/>
    </row>
    <row r="1755" spans="1:2" ht="12.75" customHeight="1">
      <c r="A1755" s="247"/>
      <c r="B1755" s="72"/>
    </row>
    <row r="1756" spans="1:2" ht="12.75" customHeight="1">
      <c r="A1756" s="247"/>
      <c r="B1756" s="72"/>
    </row>
    <row r="1757" spans="1:2" ht="12.75" customHeight="1">
      <c r="A1757" s="247"/>
      <c r="B1757" s="72"/>
    </row>
    <row r="1758" spans="1:2" ht="12.75" customHeight="1">
      <c r="A1758" s="247"/>
      <c r="B1758" s="251"/>
    </row>
    <row r="1759" spans="1:2" s="70" customFormat="1" ht="12.75" customHeight="1">
      <c r="A1759" s="248"/>
      <c r="B1759" s="68"/>
    </row>
    <row r="1760" spans="1:2" ht="12.75" customHeight="1">
      <c r="A1760" s="247"/>
      <c r="B1760" s="251"/>
    </row>
    <row r="1761" spans="1:2" ht="12.75" customHeight="1">
      <c r="A1761" s="247"/>
      <c r="B1761" s="72"/>
    </row>
    <row r="1762" spans="1:2" ht="12.75" customHeight="1">
      <c r="A1762" s="247"/>
      <c r="B1762" s="72"/>
    </row>
    <row r="1763" spans="1:2" ht="12.75" customHeight="1">
      <c r="A1763" s="247"/>
      <c r="B1763" s="72"/>
    </row>
    <row r="1764" spans="1:2" ht="12.75" customHeight="1">
      <c r="A1764" s="247"/>
      <c r="B1764" s="72"/>
    </row>
    <row r="1765" spans="1:2" ht="12.75" customHeight="1">
      <c r="A1765" s="247"/>
      <c r="B1765" s="72"/>
    </row>
    <row r="1766" spans="1:2" ht="12.75" customHeight="1">
      <c r="A1766" s="247"/>
      <c r="B1766" s="72"/>
    </row>
    <row r="1767" spans="1:2" ht="12.75" customHeight="1">
      <c r="A1767" s="247"/>
      <c r="B1767" s="72"/>
    </row>
    <row r="1768" spans="1:2" ht="12.75" customHeight="1">
      <c r="A1768" s="247"/>
      <c r="B1768" s="72"/>
    </row>
    <row r="1769" spans="1:2" ht="12.75" customHeight="1">
      <c r="A1769" s="247"/>
      <c r="B1769" s="72"/>
    </row>
    <row r="1770" spans="1:2" ht="12.75" customHeight="1">
      <c r="A1770" s="247"/>
      <c r="B1770" s="72"/>
    </row>
    <row r="1771" spans="1:2" ht="12.75" customHeight="1">
      <c r="A1771" s="247"/>
      <c r="B1771" s="251"/>
    </row>
    <row r="1772" spans="1:2" s="70" customFormat="1" ht="12.75" customHeight="1">
      <c r="A1772" s="248"/>
      <c r="B1772" s="68"/>
    </row>
    <row r="1773" spans="1:2" ht="12.75" customHeight="1">
      <c r="A1773" s="247"/>
      <c r="B1773" s="251"/>
    </row>
    <row r="1774" spans="1:2" ht="12.75" customHeight="1">
      <c r="A1774" s="247"/>
      <c r="B1774" s="72"/>
    </row>
    <row r="1775" spans="1:2" ht="12.75" customHeight="1">
      <c r="A1775" s="247"/>
      <c r="B1775" s="72"/>
    </row>
    <row r="1776" spans="1:2" ht="12.75" customHeight="1">
      <c r="A1776" s="247"/>
      <c r="B1776" s="72"/>
    </row>
    <row r="1777" spans="1:2" ht="12.75" customHeight="1">
      <c r="A1777" s="247"/>
      <c r="B1777" s="72"/>
    </row>
    <row r="1778" spans="1:2" ht="12.75" customHeight="1">
      <c r="A1778" s="247"/>
      <c r="B1778" s="72"/>
    </row>
    <row r="1779" spans="1:2" ht="12.75" customHeight="1">
      <c r="A1779" s="247"/>
      <c r="B1779" s="72"/>
    </row>
    <row r="1780" spans="1:2" ht="12.75" customHeight="1">
      <c r="A1780" s="247"/>
      <c r="B1780" s="72"/>
    </row>
    <row r="1781" spans="1:2" ht="12.75" customHeight="1">
      <c r="A1781" s="247"/>
      <c r="B1781" s="72"/>
    </row>
    <row r="1782" spans="1:2" ht="12.75" customHeight="1">
      <c r="A1782" s="247"/>
      <c r="B1782" s="72"/>
    </row>
    <row r="1783" spans="1:2" ht="12.75" customHeight="1">
      <c r="A1783" s="247"/>
      <c r="B1783" s="72"/>
    </row>
    <row r="1784" spans="1:2" ht="12.75" customHeight="1">
      <c r="A1784" s="247"/>
      <c r="B1784" s="251"/>
    </row>
    <row r="1785" spans="1:2" s="70" customFormat="1" ht="12.75" customHeight="1">
      <c r="A1785" s="248"/>
      <c r="B1785" s="68"/>
    </row>
    <row r="1786" spans="1:2" ht="12.75" customHeight="1">
      <c r="A1786" s="247"/>
      <c r="B1786" s="251"/>
    </row>
    <row r="1787" spans="1:2" ht="12.75" customHeight="1">
      <c r="A1787" s="247"/>
      <c r="B1787" s="72"/>
    </row>
    <row r="1788" spans="1:2" ht="12.75" customHeight="1">
      <c r="A1788" s="247"/>
      <c r="B1788" s="72"/>
    </row>
    <row r="1789" spans="1:2" ht="12.75" customHeight="1">
      <c r="A1789" s="247"/>
      <c r="B1789" s="72"/>
    </row>
    <row r="1790" spans="1:2" ht="12.75" customHeight="1">
      <c r="A1790" s="247"/>
      <c r="B1790" s="72"/>
    </row>
    <row r="1791" spans="1:2" ht="12.75" customHeight="1">
      <c r="A1791" s="247"/>
      <c r="B1791" s="72"/>
    </row>
    <row r="1792" spans="1:2" ht="12.75" customHeight="1">
      <c r="A1792" s="247"/>
      <c r="B1792" s="72"/>
    </row>
    <row r="1793" spans="1:2" ht="12.75" customHeight="1">
      <c r="A1793" s="247"/>
      <c r="B1793" s="72"/>
    </row>
    <row r="1794" spans="1:2" ht="12.75" customHeight="1">
      <c r="A1794" s="247"/>
      <c r="B1794" s="72"/>
    </row>
    <row r="1795" spans="1:2" ht="12.75" customHeight="1">
      <c r="A1795" s="247"/>
      <c r="B1795" s="72"/>
    </row>
    <row r="1796" spans="1:2" ht="12.75" customHeight="1">
      <c r="A1796" s="247"/>
      <c r="B1796" s="72"/>
    </row>
    <row r="1797" spans="1:2" ht="12.75" customHeight="1">
      <c r="A1797" s="247"/>
      <c r="B1797" s="251"/>
    </row>
    <row r="1798" spans="1:2" s="70" customFormat="1" ht="12.75" customHeight="1">
      <c r="A1798" s="248"/>
      <c r="B1798" s="68"/>
    </row>
    <row r="1799" spans="1:2" ht="12.75" customHeight="1">
      <c r="A1799" s="247"/>
      <c r="B1799" s="251"/>
    </row>
    <row r="1800" spans="1:2" ht="12.75" customHeight="1">
      <c r="A1800" s="247"/>
      <c r="B1800" s="72"/>
    </row>
    <row r="1801" spans="1:2" ht="12.75" customHeight="1">
      <c r="A1801" s="247"/>
      <c r="B1801" s="72"/>
    </row>
    <row r="1802" spans="1:2" ht="12.75" customHeight="1">
      <c r="A1802" s="247"/>
      <c r="B1802" s="72"/>
    </row>
    <row r="1803" spans="1:2" ht="12.75" customHeight="1">
      <c r="A1803" s="247"/>
      <c r="B1803" s="72"/>
    </row>
    <row r="1804" spans="1:2" ht="12.75" customHeight="1">
      <c r="A1804" s="247"/>
      <c r="B1804" s="72"/>
    </row>
    <row r="1805" spans="1:2" ht="12.75" customHeight="1">
      <c r="A1805" s="247"/>
      <c r="B1805" s="72"/>
    </row>
    <row r="1806" spans="1:2" ht="12.75" customHeight="1">
      <c r="A1806" s="247"/>
      <c r="B1806" s="72"/>
    </row>
    <row r="1807" spans="1:2" ht="12.75" customHeight="1">
      <c r="A1807" s="247"/>
      <c r="B1807" s="72"/>
    </row>
    <row r="1808" spans="1:2" ht="12.75" customHeight="1">
      <c r="A1808" s="247"/>
      <c r="B1808" s="72"/>
    </row>
    <row r="1809" spans="1:2" ht="12.75" customHeight="1">
      <c r="A1809" s="247"/>
      <c r="B1809" s="72"/>
    </row>
    <row r="1810" spans="1:2" ht="12.75" customHeight="1">
      <c r="A1810" s="247"/>
      <c r="B1810" s="251"/>
    </row>
    <row r="1811" spans="1:2" s="70" customFormat="1" ht="12.75" customHeight="1">
      <c r="A1811" s="248"/>
      <c r="B1811" s="68"/>
    </row>
    <row r="1812" spans="1:2" ht="12.75" customHeight="1">
      <c r="A1812" s="247"/>
      <c r="B1812" s="251"/>
    </row>
    <row r="1813" spans="1:2" ht="12.75" customHeight="1">
      <c r="A1813" s="247"/>
      <c r="B1813" s="72"/>
    </row>
    <row r="1814" spans="1:2" ht="12.75" customHeight="1">
      <c r="A1814" s="247"/>
      <c r="B1814" s="72"/>
    </row>
    <row r="1815" spans="1:2" ht="12.75" customHeight="1">
      <c r="A1815" s="247"/>
      <c r="B1815" s="72"/>
    </row>
    <row r="1816" spans="1:2" ht="12.75" customHeight="1">
      <c r="A1816" s="247"/>
      <c r="B1816" s="72"/>
    </row>
    <row r="1817" spans="1:2" ht="12.75" customHeight="1">
      <c r="A1817" s="247"/>
      <c r="B1817" s="72"/>
    </row>
    <row r="1818" spans="1:2" ht="12.75" customHeight="1">
      <c r="A1818" s="247"/>
      <c r="B1818" s="72"/>
    </row>
    <row r="1819" spans="1:2" ht="12.75" customHeight="1">
      <c r="A1819" s="247"/>
      <c r="B1819" s="72"/>
    </row>
    <row r="1820" spans="1:2" ht="12.75" customHeight="1">
      <c r="A1820" s="247"/>
      <c r="B1820" s="72"/>
    </row>
    <row r="1821" spans="1:2" ht="12.75" customHeight="1">
      <c r="A1821" s="247"/>
      <c r="B1821" s="72"/>
    </row>
    <row r="1822" spans="1:2" ht="12.75" customHeight="1">
      <c r="A1822" s="247"/>
      <c r="B1822" s="72"/>
    </row>
    <row r="1823" spans="1:2" ht="12.75" customHeight="1">
      <c r="A1823" s="247"/>
      <c r="B1823" s="251"/>
    </row>
    <row r="1824" spans="1:2" s="70" customFormat="1" ht="12.75" customHeight="1">
      <c r="A1824" s="248"/>
      <c r="B1824" s="68"/>
    </row>
    <row r="1825" spans="1:4" ht="12.75" customHeight="1">
      <c r="A1825" s="247"/>
      <c r="B1825" s="251"/>
    </row>
    <row r="1826" spans="1:4" ht="12.75" customHeight="1">
      <c r="A1826" s="247"/>
      <c r="B1826" s="72"/>
      <c r="C1826" s="27"/>
      <c r="D1826" s="27"/>
    </row>
    <row r="1827" spans="1:4" ht="12.75" customHeight="1">
      <c r="A1827" s="247"/>
      <c r="B1827" s="72"/>
      <c r="C1827" s="27"/>
      <c r="D1827" s="27"/>
    </row>
    <row r="1828" spans="1:4" ht="12.75" customHeight="1">
      <c r="A1828" s="247"/>
      <c r="B1828" s="72"/>
      <c r="C1828" s="27"/>
      <c r="D1828" s="27"/>
    </row>
    <row r="1829" spans="1:4" ht="12.75" customHeight="1">
      <c r="A1829" s="247"/>
      <c r="B1829" s="72"/>
      <c r="C1829" s="27"/>
      <c r="D1829" s="27"/>
    </row>
    <row r="1830" spans="1:4" ht="12.75" customHeight="1">
      <c r="A1830" s="247"/>
      <c r="B1830" s="72"/>
      <c r="C1830" s="27"/>
      <c r="D1830" s="27"/>
    </row>
    <row r="1831" spans="1:4" ht="12.75" customHeight="1">
      <c r="A1831" s="247"/>
      <c r="B1831" s="72"/>
      <c r="C1831" s="27"/>
    </row>
    <row r="1832" spans="1:4" ht="12.75" customHeight="1">
      <c r="A1832" s="247"/>
      <c r="B1832" s="72"/>
      <c r="C1832" s="27"/>
      <c r="D1832" s="27"/>
    </row>
    <row r="1833" spans="1:4" ht="12.75" customHeight="1">
      <c r="A1833" s="247"/>
      <c r="B1833" s="72"/>
      <c r="C1833" s="27"/>
      <c r="D1833" s="27"/>
    </row>
    <row r="1834" spans="1:4" ht="12.75" customHeight="1">
      <c r="A1834" s="247"/>
      <c r="B1834" s="72"/>
    </row>
    <row r="1835" spans="1:4" ht="12.75" customHeight="1">
      <c r="A1835" s="247"/>
      <c r="B1835" s="72"/>
    </row>
    <row r="1836" spans="1:4" ht="12.75" customHeight="1">
      <c r="A1836" s="247"/>
      <c r="B1836" s="251"/>
    </row>
    <row r="1837" spans="1:4" s="70" customFormat="1" ht="12.75" customHeight="1">
      <c r="A1837" s="248"/>
      <c r="B1837" s="68"/>
    </row>
    <row r="1838" spans="1:4" ht="12.75" customHeight="1">
      <c r="A1838" s="247"/>
      <c r="B1838" s="251"/>
    </row>
    <row r="1839" spans="1:4" ht="12.75" customHeight="1">
      <c r="A1839" s="247"/>
      <c r="B1839" s="72"/>
    </row>
    <row r="1840" spans="1:4" ht="12.75" customHeight="1">
      <c r="A1840" s="247"/>
      <c r="B1840" s="72"/>
    </row>
    <row r="1841" spans="1:3" ht="12.75" customHeight="1">
      <c r="A1841" s="247"/>
      <c r="B1841" s="72"/>
    </row>
    <row r="1842" spans="1:3" ht="12.75" customHeight="1">
      <c r="A1842" s="247"/>
      <c r="B1842" s="72"/>
    </row>
    <row r="1843" spans="1:3" ht="12.75" customHeight="1">
      <c r="A1843" s="247"/>
      <c r="B1843" s="72"/>
    </row>
    <row r="1844" spans="1:3" ht="12.75" customHeight="1">
      <c r="A1844" s="247"/>
      <c r="B1844" s="72"/>
    </row>
    <row r="1845" spans="1:3" ht="12.75" customHeight="1">
      <c r="A1845" s="247"/>
      <c r="B1845" s="72"/>
    </row>
    <row r="1846" spans="1:3" ht="12.75" customHeight="1">
      <c r="A1846" s="247"/>
      <c r="B1846" s="72"/>
    </row>
    <row r="1847" spans="1:3" ht="12.75" customHeight="1">
      <c r="A1847" s="247"/>
      <c r="B1847" s="72"/>
    </row>
    <row r="1848" spans="1:3" ht="12.75" customHeight="1">
      <c r="A1848" s="247"/>
      <c r="B1848" s="72"/>
    </row>
    <row r="1849" spans="1:3" ht="12.75" customHeight="1">
      <c r="A1849" s="247"/>
      <c r="B1849" s="251"/>
    </row>
    <row r="1850" spans="1:3" s="70" customFormat="1" ht="12.75" customHeight="1">
      <c r="A1850" s="248"/>
      <c r="B1850" s="68"/>
    </row>
    <row r="1851" spans="1:3" ht="12.75" customHeight="1">
      <c r="A1851" s="247"/>
      <c r="B1851" s="251"/>
    </row>
    <row r="1852" spans="1:3" ht="12.75" customHeight="1">
      <c r="A1852" s="247"/>
      <c r="B1852" s="72"/>
      <c r="C1852" s="31"/>
    </row>
    <row r="1853" spans="1:3" ht="12.75" customHeight="1">
      <c r="A1853" s="247"/>
      <c r="B1853" s="72"/>
    </row>
    <row r="1854" spans="1:3" ht="12.75" customHeight="1">
      <c r="A1854" s="247"/>
      <c r="B1854" s="72"/>
      <c r="C1854" s="27"/>
    </row>
    <row r="1855" spans="1:3" ht="12.75" customHeight="1">
      <c r="A1855" s="247"/>
      <c r="B1855" s="72"/>
      <c r="C1855" s="27"/>
    </row>
    <row r="1856" spans="1:3" ht="12.75" customHeight="1">
      <c r="A1856" s="247"/>
      <c r="B1856" s="72"/>
      <c r="C1856" s="27"/>
    </row>
    <row r="1857" spans="1:3" ht="12.75" customHeight="1">
      <c r="A1857" s="247"/>
      <c r="B1857" s="72"/>
      <c r="C1857" s="27"/>
    </row>
    <row r="1858" spans="1:3" ht="12.75" customHeight="1">
      <c r="A1858" s="247"/>
      <c r="B1858" s="72"/>
    </row>
    <row r="1859" spans="1:3" ht="12.75" customHeight="1">
      <c r="A1859" s="247"/>
      <c r="B1859" s="72"/>
    </row>
    <row r="1860" spans="1:3" ht="12.75" customHeight="1">
      <c r="A1860" s="247"/>
      <c r="B1860" s="72"/>
    </row>
    <row r="1861" spans="1:3" ht="12.75" customHeight="1">
      <c r="A1861" s="247"/>
      <c r="B1861" s="72"/>
    </row>
    <row r="1862" spans="1:3" ht="12.75" customHeight="1">
      <c r="A1862" s="247"/>
      <c r="B1862" s="251"/>
    </row>
    <row r="1863" spans="1:3" s="70" customFormat="1" ht="12.75" customHeight="1">
      <c r="A1863" s="248"/>
      <c r="B1863" s="68"/>
    </row>
    <row r="1864" spans="1:3" ht="12.75" customHeight="1">
      <c r="A1864" s="247"/>
      <c r="B1864" s="251"/>
    </row>
    <row r="1865" spans="1:3" ht="12.75" customHeight="1">
      <c r="A1865" s="247"/>
      <c r="B1865" s="72"/>
    </row>
    <row r="1866" spans="1:3" ht="12.75" customHeight="1">
      <c r="A1866" s="247"/>
      <c r="B1866" s="72"/>
    </row>
    <row r="1867" spans="1:3" ht="12.75" customHeight="1">
      <c r="A1867" s="247"/>
      <c r="B1867" s="72"/>
    </row>
    <row r="1868" spans="1:3" ht="12.75" customHeight="1">
      <c r="A1868" s="247"/>
      <c r="B1868" s="72"/>
    </row>
    <row r="1869" spans="1:3" ht="12.75" customHeight="1">
      <c r="A1869" s="247"/>
      <c r="B1869" s="72"/>
    </row>
    <row r="1870" spans="1:3" ht="12.75" customHeight="1">
      <c r="A1870" s="247"/>
      <c r="B1870" s="72"/>
    </row>
    <row r="1871" spans="1:3" ht="12.75" customHeight="1">
      <c r="A1871" s="247"/>
      <c r="B1871" s="72"/>
    </row>
    <row r="1872" spans="1:3" ht="12.75" customHeight="1">
      <c r="A1872" s="247"/>
      <c r="B1872" s="72"/>
    </row>
    <row r="1873" spans="1:2" ht="12.75" customHeight="1">
      <c r="A1873" s="247"/>
      <c r="B1873" s="72"/>
    </row>
    <row r="1874" spans="1:2" ht="12.75" customHeight="1">
      <c r="A1874" s="247"/>
      <c r="B1874" s="72"/>
    </row>
    <row r="1875" spans="1:2" ht="12.75" customHeight="1">
      <c r="A1875" s="247"/>
      <c r="B1875" s="251"/>
    </row>
    <row r="1876" spans="1:2" s="70" customFormat="1" ht="12.75" customHeight="1">
      <c r="A1876" s="248"/>
      <c r="B1876" s="68"/>
    </row>
    <row r="1877" spans="1:2" ht="12.75" customHeight="1">
      <c r="A1877" s="247"/>
      <c r="B1877" s="251"/>
    </row>
    <row r="1878" spans="1:2" ht="12.75" customHeight="1">
      <c r="A1878" s="247"/>
      <c r="B1878" s="72"/>
    </row>
    <row r="1879" spans="1:2" ht="12.75" customHeight="1">
      <c r="A1879" s="247"/>
      <c r="B1879" s="72"/>
    </row>
    <row r="1880" spans="1:2" ht="12.75" customHeight="1">
      <c r="A1880" s="247"/>
      <c r="B1880" s="72"/>
    </row>
    <row r="1881" spans="1:2" ht="12.75" customHeight="1">
      <c r="A1881" s="247"/>
      <c r="B1881" s="72"/>
    </row>
    <row r="1882" spans="1:2" ht="12.75" customHeight="1">
      <c r="A1882" s="247"/>
      <c r="B1882" s="72"/>
    </row>
    <row r="1883" spans="1:2" ht="12.75" customHeight="1">
      <c r="A1883" s="247"/>
      <c r="B1883" s="72"/>
    </row>
    <row r="1884" spans="1:2" ht="12.75" customHeight="1">
      <c r="A1884" s="247"/>
      <c r="B1884" s="72"/>
    </row>
    <row r="1885" spans="1:2" ht="12.75" customHeight="1">
      <c r="A1885" s="247"/>
      <c r="B1885" s="72"/>
    </row>
    <row r="1886" spans="1:2" ht="12.75" customHeight="1">
      <c r="A1886" s="247"/>
      <c r="B1886" s="72"/>
    </row>
    <row r="1887" spans="1:2" ht="12.75" customHeight="1">
      <c r="A1887" s="247"/>
      <c r="B1887" s="72"/>
    </row>
    <row r="1888" spans="1:2" ht="12.75" customHeight="1">
      <c r="A1888" s="247"/>
      <c r="B1888" s="251"/>
    </row>
    <row r="1889" spans="1:4" s="70" customFormat="1" ht="12.75" customHeight="1">
      <c r="A1889" s="248"/>
      <c r="B1889" s="68"/>
    </row>
    <row r="1890" spans="1:4" ht="12.75" customHeight="1">
      <c r="A1890" s="247"/>
      <c r="B1890" s="251"/>
    </row>
    <row r="1891" spans="1:4" ht="12.75" customHeight="1">
      <c r="A1891" s="247"/>
      <c r="B1891" s="72"/>
      <c r="C1891" s="31"/>
      <c r="D1891" s="31"/>
    </row>
    <row r="1892" spans="1:4" ht="12.75" customHeight="1">
      <c r="A1892" s="247"/>
      <c r="B1892" s="72"/>
      <c r="C1892" s="27"/>
    </row>
    <row r="1893" spans="1:4" ht="12.75" customHeight="1">
      <c r="A1893" s="247"/>
      <c r="B1893" s="72"/>
      <c r="C1893" s="27"/>
    </row>
    <row r="1894" spans="1:4" ht="12.75" customHeight="1">
      <c r="A1894" s="247"/>
      <c r="B1894" s="72"/>
      <c r="C1894" s="27"/>
    </row>
    <row r="1895" spans="1:4" ht="12.75" customHeight="1">
      <c r="A1895" s="247"/>
      <c r="B1895" s="72"/>
      <c r="C1895" s="27"/>
      <c r="D1895" s="27"/>
    </row>
    <row r="1896" spans="1:4" ht="12.75" customHeight="1">
      <c r="A1896" s="247"/>
      <c r="B1896" s="72"/>
    </row>
    <row r="1897" spans="1:4" ht="12.75" customHeight="1">
      <c r="A1897" s="247"/>
      <c r="B1897" s="72"/>
    </row>
    <row r="1898" spans="1:4" ht="12.75" customHeight="1">
      <c r="A1898" s="247"/>
      <c r="B1898" s="72"/>
    </row>
    <row r="1899" spans="1:4" ht="12.75" customHeight="1">
      <c r="A1899" s="247"/>
      <c r="B1899" s="72"/>
    </row>
    <row r="1900" spans="1:4" ht="12.75" customHeight="1">
      <c r="A1900" s="247"/>
      <c r="B1900" s="72"/>
    </row>
    <row r="1901" spans="1:4" ht="12.75" customHeight="1">
      <c r="A1901" s="247"/>
      <c r="B1901" s="251"/>
    </row>
    <row r="1902" spans="1:4" s="70" customFormat="1" ht="12.75" customHeight="1">
      <c r="A1902" s="248"/>
      <c r="B1902" s="68"/>
    </row>
    <row r="1903" spans="1:4" ht="12.75" customHeight="1">
      <c r="A1903" s="247"/>
      <c r="B1903" s="251"/>
    </row>
    <row r="1904" spans="1:4" ht="12.75" customHeight="1">
      <c r="A1904" s="247"/>
      <c r="B1904" s="72"/>
    </row>
    <row r="1905" spans="1:2" ht="12.75" customHeight="1">
      <c r="A1905" s="247"/>
      <c r="B1905" s="72"/>
    </row>
    <row r="1906" spans="1:2" ht="12.75" customHeight="1">
      <c r="A1906" s="247"/>
      <c r="B1906" s="72"/>
    </row>
    <row r="1907" spans="1:2" ht="12.75" customHeight="1">
      <c r="A1907" s="247"/>
      <c r="B1907" s="72"/>
    </row>
    <row r="1908" spans="1:2" ht="12.75" customHeight="1">
      <c r="A1908" s="247"/>
      <c r="B1908" s="72"/>
    </row>
    <row r="1909" spans="1:2" ht="12.75" customHeight="1">
      <c r="A1909" s="247"/>
      <c r="B1909" s="72"/>
    </row>
    <row r="1910" spans="1:2" ht="12.75" customHeight="1">
      <c r="A1910" s="247"/>
      <c r="B1910" s="72"/>
    </row>
    <row r="1911" spans="1:2" ht="12.75" customHeight="1">
      <c r="A1911" s="247"/>
      <c r="B1911" s="72"/>
    </row>
    <row r="1912" spans="1:2" ht="12.75" customHeight="1">
      <c r="A1912" s="247"/>
      <c r="B1912" s="72"/>
    </row>
    <row r="1913" spans="1:2" ht="12.75" customHeight="1">
      <c r="A1913" s="247"/>
      <c r="B1913" s="72"/>
    </row>
    <row r="1914" spans="1:2" ht="12.75" customHeight="1">
      <c r="A1914" s="249"/>
      <c r="B1914" s="252"/>
    </row>
    <row r="1916" spans="1:2" s="66" customFormat="1" ht="12.75" customHeight="1">
      <c r="B1916" s="253"/>
    </row>
    <row r="1917" spans="1:2" s="66" customFormat="1" ht="12.75" customHeight="1">
      <c r="B1917" s="253"/>
    </row>
  </sheetData>
  <mergeCells count="6">
    <mergeCell ref="A7:A8"/>
    <mergeCell ref="B7:B8"/>
    <mergeCell ref="A2:B2"/>
    <mergeCell ref="A3:B3"/>
    <mergeCell ref="A4:B4"/>
    <mergeCell ref="A5:B5"/>
  </mergeCells>
  <phoneticPr fontId="2" type="noConversion"/>
  <printOptions horizontalCentered="1"/>
  <pageMargins left="0.78740157480314965" right="0.78740157480314965" top="0.32" bottom="0.27" header="0" footer="0"/>
  <pageSetup scale="72" orientation="portrait" r:id="rId1"/>
  <headerFooter alignWithMargins="0"/>
  <rowBreaks count="27" manualBreakCount="27">
    <brk id="79" max="2" man="1"/>
    <brk id="163" max="2" man="1"/>
    <brk id="239" max="2" man="1"/>
    <brk id="317" max="2" man="1"/>
    <brk id="394" max="2" man="1"/>
    <brk id="469" max="2" man="1"/>
    <brk id="546" max="2" man="1"/>
    <brk id="625" max="2" man="1"/>
    <brk id="705" max="2" man="1"/>
    <brk id="785" max="2" man="1"/>
    <brk id="863" max="2" man="1"/>
    <brk id="942" max="2" man="1"/>
    <brk id="1007" max="2" man="1"/>
    <brk id="1083" max="2" man="1"/>
    <brk id="1133" max="2" man="1"/>
    <brk id="1198" max="2" man="1"/>
    <brk id="1250" max="2" man="1"/>
    <brk id="1315" max="2" man="1"/>
    <brk id="1380" max="2" man="1"/>
    <brk id="1445" max="2" man="1"/>
    <brk id="1510" max="2" man="1"/>
    <brk id="1575" max="2" man="1"/>
    <brk id="1640" max="2" man="1"/>
    <brk id="1705" max="2" man="1"/>
    <brk id="1770" max="2" man="1"/>
    <brk id="1835" max="2" man="1"/>
    <brk id="1900" max="2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Hoja4">
    <tabColor theme="4" tint="0.59999389629810485"/>
  </sheetPr>
  <dimension ref="A1:I1835"/>
  <sheetViews>
    <sheetView showGridLines="0" zoomScaleNormal="100" workbookViewId="0">
      <selection activeCell="G11" sqref="G11"/>
    </sheetView>
  </sheetViews>
  <sheetFormatPr baseColWidth="10" defaultColWidth="11.42578125" defaultRowHeight="12.75" customHeight="1"/>
  <cols>
    <col min="1" max="1" width="19.28515625" style="28" customWidth="1"/>
    <col min="2" max="2" width="11.42578125" style="27"/>
    <col min="3" max="3" width="10.7109375" style="27" customWidth="1"/>
    <col min="4" max="4" width="10.85546875" style="27" customWidth="1"/>
    <col min="5" max="5" width="9.7109375" style="27" customWidth="1"/>
    <col min="6" max="6" width="11.42578125" style="27"/>
    <col min="7" max="7" width="10.85546875" style="27" customWidth="1"/>
    <col min="8" max="16384" width="11.42578125" style="27"/>
  </cols>
  <sheetData>
    <row r="1" spans="1:9" ht="11.25" customHeight="1"/>
    <row r="2" spans="1:9" ht="11.25" customHeight="1">
      <c r="A2" s="375" t="s">
        <v>232</v>
      </c>
      <c r="B2" s="375"/>
      <c r="C2" s="375"/>
      <c r="D2" s="375"/>
      <c r="E2" s="375"/>
      <c r="F2" s="375"/>
      <c r="G2" s="375"/>
    </row>
    <row r="3" spans="1:9" ht="11.25" customHeight="1">
      <c r="A3" s="376" t="s">
        <v>17</v>
      </c>
      <c r="B3" s="376"/>
      <c r="C3" s="376"/>
      <c r="D3" s="376"/>
      <c r="E3" s="376"/>
      <c r="F3" s="376"/>
      <c r="G3" s="376"/>
    </row>
    <row r="4" spans="1:9" ht="11.25" customHeight="1">
      <c r="A4" s="376" t="s">
        <v>380</v>
      </c>
      <c r="B4" s="376"/>
      <c r="C4" s="376"/>
      <c r="D4" s="376"/>
      <c r="E4" s="376"/>
      <c r="F4" s="376"/>
      <c r="G4" s="376"/>
    </row>
    <row r="5" spans="1:9" ht="11.25" customHeight="1">
      <c r="A5" s="376" t="s">
        <v>463</v>
      </c>
      <c r="B5" s="376"/>
      <c r="C5" s="376"/>
      <c r="D5" s="376"/>
      <c r="E5" s="376"/>
      <c r="F5" s="376"/>
      <c r="G5" s="376"/>
    </row>
    <row r="6" spans="1:9" ht="11.25" customHeight="1"/>
    <row r="7" spans="1:9" s="31" customFormat="1" ht="12.75" customHeight="1">
      <c r="A7" s="382" t="s">
        <v>373</v>
      </c>
      <c r="B7" s="384" t="s">
        <v>61</v>
      </c>
      <c r="C7" s="386" t="s">
        <v>335</v>
      </c>
      <c r="D7" s="386"/>
      <c r="E7" s="386"/>
      <c r="F7" s="386"/>
      <c r="G7" s="386"/>
    </row>
    <row r="8" spans="1:9" s="31" customFormat="1" ht="33.75" customHeight="1">
      <c r="A8" s="383"/>
      <c r="B8" s="385"/>
      <c r="C8" s="209" t="s">
        <v>47</v>
      </c>
      <c r="D8" s="203" t="s">
        <v>48</v>
      </c>
      <c r="E8" s="50" t="s">
        <v>49</v>
      </c>
      <c r="F8" s="50" t="s">
        <v>50</v>
      </c>
      <c r="G8" s="50" t="s">
        <v>52</v>
      </c>
    </row>
    <row r="9" spans="1:9" s="31" customFormat="1" ht="5.0999999999999996" customHeight="1">
      <c r="A9" s="34"/>
      <c r="B9" s="52"/>
      <c r="C9" s="52"/>
      <c r="D9" s="52"/>
      <c r="E9" s="52"/>
      <c r="F9" s="52"/>
      <c r="G9" s="52"/>
    </row>
    <row r="10" spans="1:9" s="31" customFormat="1" ht="12.75" customHeight="1">
      <c r="A10" s="303" t="s">
        <v>571</v>
      </c>
      <c r="B10" s="53">
        <f>SUM(B12:B20)</f>
        <v>121159</v>
      </c>
      <c r="C10" s="53">
        <f t="shared" ref="C10:F10" si="0">SUM(C12:C20)</f>
        <v>104494</v>
      </c>
      <c r="D10" s="53">
        <f t="shared" si="0"/>
        <v>16287</v>
      </c>
      <c r="E10" s="54">
        <f t="shared" si="0"/>
        <v>20</v>
      </c>
      <c r="F10" s="62">
        <f t="shared" si="0"/>
        <v>3</v>
      </c>
      <c r="G10" s="54">
        <f>SUM(G12:G20)</f>
        <v>355</v>
      </c>
      <c r="I10" s="372"/>
    </row>
    <row r="11" spans="1:9" s="31" customFormat="1" ht="5.0999999999999996" customHeight="1">
      <c r="A11" s="371"/>
      <c r="B11" s="52"/>
      <c r="C11" s="52"/>
      <c r="D11" s="52"/>
      <c r="E11" s="256"/>
      <c r="F11" s="257"/>
      <c r="G11" s="256"/>
    </row>
    <row r="12" spans="1:9" ht="12.75" customHeight="1">
      <c r="A12" s="207" t="s">
        <v>63</v>
      </c>
      <c r="B12" s="368">
        <v>16743</v>
      </c>
      <c r="C12" s="368">
        <v>16306</v>
      </c>
      <c r="D12" s="368">
        <v>402</v>
      </c>
      <c r="E12" s="263">
        <v>2</v>
      </c>
      <c r="F12" s="263">
        <v>0</v>
      </c>
      <c r="G12" s="263">
        <v>33</v>
      </c>
      <c r="I12" s="365"/>
    </row>
    <row r="13" spans="1:9" ht="12.75" customHeight="1">
      <c r="A13" s="207" t="s">
        <v>64</v>
      </c>
      <c r="B13" s="368">
        <v>39008</v>
      </c>
      <c r="C13" s="368">
        <v>36015</v>
      </c>
      <c r="D13" s="368">
        <v>2903</v>
      </c>
      <c r="E13" s="263">
        <v>9</v>
      </c>
      <c r="F13" s="263">
        <v>0</v>
      </c>
      <c r="G13" s="263">
        <v>81</v>
      </c>
      <c r="I13" s="365"/>
    </row>
    <row r="14" spans="1:9" ht="12.75" customHeight="1">
      <c r="A14" s="207" t="s">
        <v>65</v>
      </c>
      <c r="B14" s="368">
        <v>33094</v>
      </c>
      <c r="C14" s="368">
        <v>27537</v>
      </c>
      <c r="D14" s="368">
        <v>5494</v>
      </c>
      <c r="E14" s="263">
        <v>8</v>
      </c>
      <c r="F14" s="263">
        <v>3</v>
      </c>
      <c r="G14" s="263">
        <v>52</v>
      </c>
      <c r="I14" s="365"/>
    </row>
    <row r="15" spans="1:9" ht="12.75" customHeight="1">
      <c r="A15" s="207" t="s">
        <v>66</v>
      </c>
      <c r="B15" s="368">
        <v>20860</v>
      </c>
      <c r="C15" s="368">
        <v>15984</v>
      </c>
      <c r="D15" s="368">
        <v>4847</v>
      </c>
      <c r="E15" s="263">
        <v>1</v>
      </c>
      <c r="F15" s="263">
        <v>0</v>
      </c>
      <c r="G15" s="263">
        <v>28</v>
      </c>
      <c r="I15" s="365"/>
    </row>
    <row r="16" spans="1:9" ht="12.75" customHeight="1">
      <c r="A16" s="207" t="s">
        <v>67</v>
      </c>
      <c r="B16" s="368">
        <v>8512</v>
      </c>
      <c r="C16" s="368">
        <v>6354</v>
      </c>
      <c r="D16" s="368">
        <v>2149</v>
      </c>
      <c r="E16" s="263">
        <v>0</v>
      </c>
      <c r="F16" s="263">
        <v>0</v>
      </c>
      <c r="G16" s="263">
        <v>9</v>
      </c>
      <c r="I16" s="365"/>
    </row>
    <row r="17" spans="1:9" ht="12.75" customHeight="1">
      <c r="A17" s="207" t="s">
        <v>68</v>
      </c>
      <c r="B17" s="368">
        <v>1788</v>
      </c>
      <c r="C17" s="368">
        <v>1345</v>
      </c>
      <c r="D17" s="368">
        <v>437</v>
      </c>
      <c r="E17" s="263">
        <v>0</v>
      </c>
      <c r="F17" s="263">
        <v>0</v>
      </c>
      <c r="G17" s="263">
        <v>6</v>
      </c>
      <c r="I17" s="365"/>
    </row>
    <row r="18" spans="1:9" ht="12.75" customHeight="1">
      <c r="A18" s="207" t="s">
        <v>69</v>
      </c>
      <c r="B18" s="368">
        <v>144</v>
      </c>
      <c r="C18" s="368">
        <v>116</v>
      </c>
      <c r="D18" s="368">
        <v>28</v>
      </c>
      <c r="E18" s="263">
        <v>0</v>
      </c>
      <c r="F18" s="263">
        <v>0</v>
      </c>
      <c r="G18" s="263">
        <v>0</v>
      </c>
      <c r="I18" s="365"/>
    </row>
    <row r="19" spans="1:9" ht="12.75" customHeight="1">
      <c r="A19" s="207" t="s">
        <v>70</v>
      </c>
      <c r="B19" s="368">
        <v>30</v>
      </c>
      <c r="C19" s="368">
        <v>25</v>
      </c>
      <c r="D19" s="368">
        <v>5</v>
      </c>
      <c r="E19" s="263">
        <v>0</v>
      </c>
      <c r="F19" s="263">
        <v>0</v>
      </c>
      <c r="G19" s="263">
        <v>0</v>
      </c>
      <c r="I19" s="365"/>
    </row>
    <row r="20" spans="1:9" ht="12.75" customHeight="1">
      <c r="A20" s="207" t="s">
        <v>45</v>
      </c>
      <c r="B20" s="368">
        <v>980</v>
      </c>
      <c r="C20" s="368">
        <v>812</v>
      </c>
      <c r="D20" s="368">
        <v>22</v>
      </c>
      <c r="E20" s="263">
        <v>0</v>
      </c>
      <c r="F20" s="263">
        <v>0</v>
      </c>
      <c r="G20" s="263">
        <v>146</v>
      </c>
      <c r="I20" s="365"/>
    </row>
    <row r="21" spans="1:9" s="31" customFormat="1" ht="5.0999999999999996" customHeight="1">
      <c r="A21" s="198"/>
      <c r="B21" s="61"/>
      <c r="C21" s="61"/>
      <c r="D21" s="61"/>
      <c r="E21" s="61"/>
      <c r="F21" s="61"/>
      <c r="G21" s="61"/>
    </row>
    <row r="22" spans="1:9" s="31" customFormat="1" ht="5.0999999999999996" customHeight="1">
      <c r="A22" s="34"/>
      <c r="B22" s="52"/>
      <c r="C22" s="52"/>
      <c r="D22" s="52"/>
      <c r="E22" s="52"/>
      <c r="F22" s="52"/>
      <c r="G22" s="52"/>
    </row>
    <row r="23" spans="1:9" s="201" customFormat="1" ht="12.75" customHeight="1">
      <c r="A23" s="41" t="s">
        <v>319</v>
      </c>
      <c r="B23" s="210"/>
    </row>
    <row r="24" spans="1:9" s="201" customFormat="1" ht="12.75" customHeight="1">
      <c r="A24" s="41" t="s">
        <v>375</v>
      </c>
      <c r="B24" s="210"/>
    </row>
    <row r="25" spans="1:9" ht="12.75" customHeight="1">
      <c r="B25" s="73"/>
    </row>
    <row r="26" spans="1:9" ht="12.75" customHeight="1">
      <c r="B26" s="73"/>
    </row>
    <row r="27" spans="1:9" ht="12.75" customHeight="1">
      <c r="B27" s="73"/>
    </row>
    <row r="28" spans="1:9" ht="12.75" customHeight="1">
      <c r="B28" s="73"/>
    </row>
    <row r="29" spans="1:9" ht="12.75" customHeight="1">
      <c r="B29" s="73"/>
    </row>
    <row r="30" spans="1:9" ht="12.75" customHeight="1">
      <c r="B30" s="73"/>
    </row>
    <row r="31" spans="1:9" ht="12.75" customHeight="1">
      <c r="B31" s="73"/>
    </row>
    <row r="32" spans="1:9" ht="12.75" customHeight="1">
      <c r="B32" s="73"/>
    </row>
    <row r="33" spans="2:2" ht="12.75" customHeight="1">
      <c r="B33" s="73"/>
    </row>
    <row r="34" spans="2:2" ht="12.75" customHeight="1">
      <c r="B34" s="73"/>
    </row>
    <row r="35" spans="2:2" ht="12.75" customHeight="1">
      <c r="B35" s="73"/>
    </row>
    <row r="36" spans="2:2" ht="12.75" customHeight="1">
      <c r="B36" s="73"/>
    </row>
    <row r="37" spans="2:2" ht="12.75" customHeight="1">
      <c r="B37" s="73"/>
    </row>
    <row r="38" spans="2:2" ht="12.75" customHeight="1">
      <c r="B38" s="73"/>
    </row>
    <row r="39" spans="2:2" ht="12.75" customHeight="1">
      <c r="B39" s="73"/>
    </row>
    <row r="40" spans="2:2" ht="12.75" customHeight="1">
      <c r="B40" s="73"/>
    </row>
    <row r="41" spans="2:2" ht="12.75" customHeight="1">
      <c r="B41" s="73"/>
    </row>
    <row r="42" spans="2:2" ht="12.75" customHeight="1">
      <c r="B42" s="73"/>
    </row>
    <row r="43" spans="2:2" ht="12.75" customHeight="1">
      <c r="B43" s="73"/>
    </row>
    <row r="44" spans="2:2" ht="12.75" customHeight="1">
      <c r="B44" s="73"/>
    </row>
    <row r="45" spans="2:2" ht="12.75" customHeight="1">
      <c r="B45" s="73"/>
    </row>
    <row r="46" spans="2:2" ht="12.75" customHeight="1">
      <c r="B46" s="73"/>
    </row>
    <row r="47" spans="2:2" ht="12.75" customHeight="1">
      <c r="B47" s="73"/>
    </row>
    <row r="48" spans="2:2" ht="12.75" customHeight="1">
      <c r="B48" s="73"/>
    </row>
    <row r="49" spans="2:2" ht="12.75" customHeight="1">
      <c r="B49" s="73"/>
    </row>
    <row r="50" spans="2:2" ht="12.75" customHeight="1">
      <c r="B50" s="73"/>
    </row>
    <row r="51" spans="2:2" ht="12.75" customHeight="1">
      <c r="B51" s="73"/>
    </row>
    <row r="52" spans="2:2" ht="12.75" customHeight="1">
      <c r="B52" s="73"/>
    </row>
    <row r="53" spans="2:2" ht="12.75" customHeight="1">
      <c r="B53" s="73"/>
    </row>
    <row r="54" spans="2:2" ht="12.75" customHeight="1">
      <c r="B54" s="73"/>
    </row>
    <row r="55" spans="2:2" ht="12.75" customHeight="1">
      <c r="B55" s="73"/>
    </row>
    <row r="56" spans="2:2" ht="12.75" customHeight="1">
      <c r="B56" s="73"/>
    </row>
    <row r="57" spans="2:2" ht="12.75" customHeight="1">
      <c r="B57" s="73"/>
    </row>
    <row r="58" spans="2:2" ht="12.75" customHeight="1">
      <c r="B58" s="73"/>
    </row>
    <row r="59" spans="2:2" ht="12.75" customHeight="1">
      <c r="B59" s="73"/>
    </row>
    <row r="60" spans="2:2" ht="12.75" customHeight="1">
      <c r="B60" s="73"/>
    </row>
    <row r="61" spans="2:2" ht="12.75" customHeight="1">
      <c r="B61" s="73"/>
    </row>
    <row r="62" spans="2:2" ht="12.75" customHeight="1">
      <c r="B62" s="73"/>
    </row>
    <row r="63" spans="2:2" ht="12.75" customHeight="1">
      <c r="B63" s="73"/>
    </row>
    <row r="64" spans="2:2" ht="12.75" customHeight="1">
      <c r="B64" s="73"/>
    </row>
    <row r="65" spans="2:2" ht="12.75" customHeight="1">
      <c r="B65" s="73"/>
    </row>
    <row r="66" spans="2:2" ht="12.75" customHeight="1">
      <c r="B66" s="73"/>
    </row>
    <row r="67" spans="2:2" ht="12.75" customHeight="1">
      <c r="B67" s="73"/>
    </row>
    <row r="68" spans="2:2" ht="12.75" customHeight="1">
      <c r="B68" s="73"/>
    </row>
    <row r="69" spans="2:2" ht="12.75" customHeight="1">
      <c r="B69" s="73"/>
    </row>
    <row r="70" spans="2:2" ht="12.75" customHeight="1">
      <c r="B70" s="73"/>
    </row>
    <row r="71" spans="2:2" ht="12.75" customHeight="1">
      <c r="B71" s="73"/>
    </row>
    <row r="72" spans="2:2" ht="12.75" customHeight="1">
      <c r="B72" s="73"/>
    </row>
    <row r="73" spans="2:2" ht="12.75" customHeight="1">
      <c r="B73" s="73"/>
    </row>
    <row r="74" spans="2:2" ht="12.75" customHeight="1">
      <c r="B74" s="73"/>
    </row>
    <row r="75" spans="2:2" ht="12.75" customHeight="1">
      <c r="B75" s="73"/>
    </row>
    <row r="76" spans="2:2" ht="12.75" customHeight="1">
      <c r="B76" s="73"/>
    </row>
    <row r="77" spans="2:2" ht="12.75" customHeight="1">
      <c r="B77" s="73"/>
    </row>
    <row r="78" spans="2:2" ht="12.75" customHeight="1">
      <c r="B78" s="73"/>
    </row>
    <row r="79" spans="2:2" ht="12.75" customHeight="1">
      <c r="B79" s="73"/>
    </row>
    <row r="80" spans="2:2" ht="12.75" customHeight="1">
      <c r="B80" s="73"/>
    </row>
    <row r="81" spans="2:2" ht="12.75" customHeight="1">
      <c r="B81" s="73"/>
    </row>
    <row r="82" spans="2:2" ht="12.75" customHeight="1">
      <c r="B82" s="73"/>
    </row>
    <row r="83" spans="2:2" ht="12.75" customHeight="1">
      <c r="B83" s="73"/>
    </row>
    <row r="84" spans="2:2" ht="12.75" customHeight="1">
      <c r="B84" s="73"/>
    </row>
    <row r="85" spans="2:2" ht="12.75" customHeight="1">
      <c r="B85" s="73"/>
    </row>
    <row r="86" spans="2:2" ht="12.75" customHeight="1">
      <c r="B86" s="73"/>
    </row>
    <row r="87" spans="2:2" ht="12.75" customHeight="1">
      <c r="B87" s="73"/>
    </row>
    <row r="88" spans="2:2" ht="12.75" customHeight="1">
      <c r="B88" s="73"/>
    </row>
    <row r="89" spans="2:2" ht="12.75" customHeight="1">
      <c r="B89" s="73"/>
    </row>
    <row r="90" spans="2:2" ht="12.75" customHeight="1">
      <c r="B90" s="73"/>
    </row>
    <row r="91" spans="2:2" ht="12.75" customHeight="1">
      <c r="B91" s="73"/>
    </row>
    <row r="92" spans="2:2" ht="12.75" customHeight="1">
      <c r="B92" s="73"/>
    </row>
    <row r="93" spans="2:2" ht="12.75" customHeight="1">
      <c r="B93" s="73"/>
    </row>
    <row r="94" spans="2:2" ht="12.75" customHeight="1">
      <c r="B94" s="73"/>
    </row>
    <row r="95" spans="2:2" ht="12.75" customHeight="1">
      <c r="B95" s="73"/>
    </row>
    <row r="96" spans="2:2" ht="12.75" customHeight="1">
      <c r="B96" s="73"/>
    </row>
    <row r="97" spans="2:2" ht="12.75" customHeight="1">
      <c r="B97" s="73"/>
    </row>
    <row r="98" spans="2:2" ht="12.75" customHeight="1">
      <c r="B98" s="73"/>
    </row>
    <row r="99" spans="2:2" ht="12.75" customHeight="1">
      <c r="B99" s="73"/>
    </row>
    <row r="100" spans="2:2" ht="12.75" customHeight="1">
      <c r="B100" s="73"/>
    </row>
    <row r="101" spans="2:2" ht="12.75" customHeight="1">
      <c r="B101" s="73"/>
    </row>
    <row r="102" spans="2:2" ht="12.75" customHeight="1">
      <c r="B102" s="73"/>
    </row>
    <row r="103" spans="2:2" ht="12.75" customHeight="1">
      <c r="B103" s="73"/>
    </row>
    <row r="104" spans="2:2" ht="12.75" customHeight="1">
      <c r="B104" s="73"/>
    </row>
    <row r="105" spans="2:2" ht="12.75" customHeight="1">
      <c r="B105" s="73"/>
    </row>
    <row r="106" spans="2:2" ht="12.75" customHeight="1">
      <c r="B106" s="73"/>
    </row>
    <row r="107" spans="2:2" ht="12.75" customHeight="1">
      <c r="B107" s="73"/>
    </row>
    <row r="108" spans="2:2" ht="12.75" customHeight="1">
      <c r="B108" s="73"/>
    </row>
    <row r="109" spans="2:2" ht="12.75" customHeight="1">
      <c r="B109" s="73"/>
    </row>
    <row r="110" spans="2:2" ht="12.75" customHeight="1">
      <c r="B110" s="73"/>
    </row>
    <row r="111" spans="2:2" ht="12.75" customHeight="1">
      <c r="B111" s="73"/>
    </row>
    <row r="112" spans="2:2" ht="12.75" customHeight="1">
      <c r="B112" s="73"/>
    </row>
    <row r="113" spans="2:2" ht="12.75" customHeight="1">
      <c r="B113" s="73"/>
    </row>
    <row r="114" spans="2:2" ht="12.75" customHeight="1">
      <c r="B114" s="73"/>
    </row>
    <row r="115" spans="2:2" ht="12.75" customHeight="1">
      <c r="B115" s="73"/>
    </row>
    <row r="116" spans="2:2" ht="12.75" customHeight="1">
      <c r="B116" s="73"/>
    </row>
    <row r="117" spans="2:2" ht="12.75" customHeight="1">
      <c r="B117" s="73"/>
    </row>
    <row r="118" spans="2:2" ht="12.75" customHeight="1">
      <c r="B118" s="73"/>
    </row>
    <row r="119" spans="2:2" ht="12.75" customHeight="1">
      <c r="B119" s="73"/>
    </row>
    <row r="120" spans="2:2" ht="12.75" customHeight="1">
      <c r="B120" s="73"/>
    </row>
    <row r="121" spans="2:2" ht="12.75" customHeight="1">
      <c r="B121" s="73"/>
    </row>
    <row r="122" spans="2:2" ht="12.75" customHeight="1">
      <c r="B122" s="73"/>
    </row>
    <row r="123" spans="2:2" ht="12.75" customHeight="1">
      <c r="B123" s="73"/>
    </row>
    <row r="124" spans="2:2" ht="12.75" customHeight="1">
      <c r="B124" s="73"/>
    </row>
    <row r="125" spans="2:2" ht="12.75" customHeight="1">
      <c r="B125" s="73"/>
    </row>
    <row r="126" spans="2:2" ht="12.75" customHeight="1">
      <c r="B126" s="73"/>
    </row>
    <row r="127" spans="2:2" ht="12.75" customHeight="1">
      <c r="B127" s="73"/>
    </row>
    <row r="128" spans="2:2" ht="12.75" customHeight="1">
      <c r="B128" s="73"/>
    </row>
    <row r="129" spans="2:2" ht="12.75" customHeight="1">
      <c r="B129" s="73"/>
    </row>
    <row r="130" spans="2:2" ht="12.75" customHeight="1">
      <c r="B130" s="73"/>
    </row>
    <row r="131" spans="2:2" ht="12.75" customHeight="1">
      <c r="B131" s="73"/>
    </row>
    <row r="132" spans="2:2" ht="12.75" customHeight="1">
      <c r="B132" s="73"/>
    </row>
    <row r="133" spans="2:2" ht="12.75" customHeight="1">
      <c r="B133" s="73"/>
    </row>
    <row r="134" spans="2:2" ht="12.75" customHeight="1">
      <c r="B134" s="73"/>
    </row>
    <row r="135" spans="2:2" ht="12.75" customHeight="1">
      <c r="B135" s="73"/>
    </row>
    <row r="136" spans="2:2" ht="12.75" customHeight="1">
      <c r="B136" s="73"/>
    </row>
    <row r="137" spans="2:2" ht="12.75" customHeight="1">
      <c r="B137" s="73"/>
    </row>
    <row r="138" spans="2:2" ht="12.75" customHeight="1">
      <c r="B138" s="73"/>
    </row>
    <row r="139" spans="2:2" ht="12.75" customHeight="1">
      <c r="B139" s="73"/>
    </row>
    <row r="140" spans="2:2" ht="12.75" customHeight="1">
      <c r="B140" s="73"/>
    </row>
    <row r="141" spans="2:2" ht="12.75" customHeight="1">
      <c r="B141" s="73"/>
    </row>
    <row r="142" spans="2:2" ht="12.75" customHeight="1">
      <c r="B142" s="73"/>
    </row>
    <row r="143" spans="2:2" ht="12.75" customHeight="1">
      <c r="B143" s="73"/>
    </row>
    <row r="144" spans="2:2" ht="12.75" customHeight="1">
      <c r="B144" s="73"/>
    </row>
    <row r="145" spans="2:2" ht="12.75" customHeight="1">
      <c r="B145" s="73"/>
    </row>
    <row r="146" spans="2:2" ht="12.75" customHeight="1">
      <c r="B146" s="73"/>
    </row>
    <row r="147" spans="2:2" ht="12.75" customHeight="1">
      <c r="B147" s="73"/>
    </row>
    <row r="148" spans="2:2" ht="12.75" customHeight="1">
      <c r="B148" s="73"/>
    </row>
    <row r="149" spans="2:2" ht="12.75" customHeight="1">
      <c r="B149" s="73"/>
    </row>
    <row r="150" spans="2:2" ht="12.75" customHeight="1">
      <c r="B150" s="73"/>
    </row>
    <row r="151" spans="2:2" ht="12.75" customHeight="1">
      <c r="B151" s="73"/>
    </row>
    <row r="152" spans="2:2" ht="12.75" customHeight="1">
      <c r="B152" s="73"/>
    </row>
    <row r="153" spans="2:2" ht="12.75" customHeight="1">
      <c r="B153" s="73"/>
    </row>
    <row r="154" spans="2:2" ht="12.75" customHeight="1">
      <c r="B154" s="73"/>
    </row>
    <row r="155" spans="2:2" ht="12.75" customHeight="1">
      <c r="B155" s="73"/>
    </row>
    <row r="156" spans="2:2" ht="12.75" customHeight="1">
      <c r="B156" s="73"/>
    </row>
    <row r="157" spans="2:2" ht="12.75" customHeight="1">
      <c r="B157" s="73"/>
    </row>
    <row r="158" spans="2:2" ht="12.75" customHeight="1">
      <c r="B158" s="73"/>
    </row>
    <row r="159" spans="2:2" ht="12.75" customHeight="1">
      <c r="B159" s="73"/>
    </row>
    <row r="160" spans="2:2" ht="12.75" customHeight="1">
      <c r="B160" s="73"/>
    </row>
    <row r="161" spans="2:2" ht="12.75" customHeight="1">
      <c r="B161" s="73"/>
    </row>
    <row r="162" spans="2:2" ht="12.75" customHeight="1">
      <c r="B162" s="73"/>
    </row>
    <row r="163" spans="2:2" ht="12.75" customHeight="1">
      <c r="B163" s="73"/>
    </row>
    <row r="164" spans="2:2" ht="12.75" customHeight="1">
      <c r="B164" s="73"/>
    </row>
    <row r="165" spans="2:2" ht="12.75" customHeight="1">
      <c r="B165" s="73"/>
    </row>
    <row r="166" spans="2:2" ht="12.75" customHeight="1">
      <c r="B166" s="73"/>
    </row>
    <row r="167" spans="2:2" ht="12.75" customHeight="1">
      <c r="B167" s="73"/>
    </row>
    <row r="168" spans="2:2" ht="12.75" customHeight="1">
      <c r="B168" s="73"/>
    </row>
    <row r="169" spans="2:2" ht="12.75" customHeight="1">
      <c r="B169" s="73"/>
    </row>
    <row r="170" spans="2:2" ht="12.75" customHeight="1">
      <c r="B170" s="73"/>
    </row>
    <row r="171" spans="2:2" ht="12.75" customHeight="1">
      <c r="B171" s="73"/>
    </row>
    <row r="172" spans="2:2" ht="12.75" customHeight="1">
      <c r="B172" s="73"/>
    </row>
    <row r="173" spans="2:2" ht="12.75" customHeight="1">
      <c r="B173" s="73"/>
    </row>
    <row r="174" spans="2:2" ht="12.75" customHeight="1">
      <c r="B174" s="73"/>
    </row>
    <row r="175" spans="2:2" ht="12.75" customHeight="1">
      <c r="B175" s="73"/>
    </row>
    <row r="176" spans="2:2" ht="12.75" customHeight="1">
      <c r="B176" s="73"/>
    </row>
    <row r="177" spans="2:2" ht="12.75" customHeight="1">
      <c r="B177" s="73"/>
    </row>
    <row r="178" spans="2:2" ht="12.75" customHeight="1">
      <c r="B178" s="73"/>
    </row>
    <row r="179" spans="2:2" ht="12.75" customHeight="1">
      <c r="B179" s="73"/>
    </row>
    <row r="180" spans="2:2" ht="12.75" customHeight="1">
      <c r="B180" s="73"/>
    </row>
    <row r="181" spans="2:2" ht="12.75" customHeight="1">
      <c r="B181" s="73"/>
    </row>
    <row r="182" spans="2:2" ht="12.75" customHeight="1">
      <c r="B182" s="73"/>
    </row>
    <row r="183" spans="2:2" ht="12.75" customHeight="1">
      <c r="B183" s="73"/>
    </row>
    <row r="184" spans="2:2" ht="12.75" customHeight="1">
      <c r="B184" s="73"/>
    </row>
    <row r="185" spans="2:2" ht="12.75" customHeight="1">
      <c r="B185" s="73"/>
    </row>
    <row r="186" spans="2:2" ht="12.75" customHeight="1">
      <c r="B186" s="73"/>
    </row>
    <row r="187" spans="2:2" ht="12.75" customHeight="1">
      <c r="B187" s="73"/>
    </row>
    <row r="188" spans="2:2" ht="12.75" customHeight="1">
      <c r="B188" s="73"/>
    </row>
    <row r="189" spans="2:2" ht="12.75" customHeight="1">
      <c r="B189" s="73"/>
    </row>
    <row r="190" spans="2:2" ht="12.75" customHeight="1">
      <c r="B190" s="73"/>
    </row>
    <row r="191" spans="2:2" ht="12.75" customHeight="1">
      <c r="B191" s="73"/>
    </row>
    <row r="192" spans="2:2" ht="12.75" customHeight="1">
      <c r="B192" s="73"/>
    </row>
    <row r="193" spans="2:2" ht="12.75" customHeight="1">
      <c r="B193" s="73"/>
    </row>
    <row r="194" spans="2:2" ht="12.75" customHeight="1">
      <c r="B194" s="73"/>
    </row>
    <row r="195" spans="2:2" ht="12.75" customHeight="1">
      <c r="B195" s="73"/>
    </row>
    <row r="196" spans="2:2" ht="12.75" customHeight="1">
      <c r="B196" s="73"/>
    </row>
    <row r="197" spans="2:2" ht="12.75" customHeight="1">
      <c r="B197" s="73"/>
    </row>
    <row r="198" spans="2:2" ht="12.75" customHeight="1">
      <c r="B198" s="73"/>
    </row>
    <row r="199" spans="2:2" ht="12.75" customHeight="1">
      <c r="B199" s="73"/>
    </row>
    <row r="200" spans="2:2" ht="12.75" customHeight="1">
      <c r="B200" s="73"/>
    </row>
    <row r="201" spans="2:2" ht="12.75" customHeight="1">
      <c r="B201" s="73"/>
    </row>
    <row r="202" spans="2:2" ht="12.75" customHeight="1">
      <c r="B202" s="73"/>
    </row>
    <row r="203" spans="2:2" ht="12.75" customHeight="1">
      <c r="B203" s="73"/>
    </row>
    <row r="204" spans="2:2" ht="12.75" customHeight="1">
      <c r="B204" s="73"/>
    </row>
    <row r="205" spans="2:2" ht="12.75" customHeight="1">
      <c r="B205" s="73"/>
    </row>
    <row r="206" spans="2:2" ht="12.75" customHeight="1">
      <c r="B206" s="73"/>
    </row>
    <row r="207" spans="2:2" ht="12.75" customHeight="1">
      <c r="B207" s="73"/>
    </row>
    <row r="208" spans="2:2" ht="12.75" customHeight="1">
      <c r="B208" s="73"/>
    </row>
    <row r="209" spans="2:2" ht="12.75" customHeight="1">
      <c r="B209" s="73"/>
    </row>
    <row r="210" spans="2:2" ht="12.75" customHeight="1">
      <c r="B210" s="73"/>
    </row>
    <row r="211" spans="2:2" ht="12.75" customHeight="1">
      <c r="B211" s="73"/>
    </row>
    <row r="212" spans="2:2" ht="12.75" customHeight="1">
      <c r="B212" s="73"/>
    </row>
    <row r="213" spans="2:2" ht="12.75" customHeight="1">
      <c r="B213" s="73"/>
    </row>
    <row r="214" spans="2:2" ht="12.75" customHeight="1">
      <c r="B214" s="73"/>
    </row>
    <row r="215" spans="2:2" ht="12.75" customHeight="1">
      <c r="B215" s="73"/>
    </row>
    <row r="216" spans="2:2" ht="12.75" customHeight="1">
      <c r="B216" s="73"/>
    </row>
    <row r="217" spans="2:2" ht="12.75" customHeight="1">
      <c r="B217" s="73"/>
    </row>
    <row r="218" spans="2:2" ht="12.75" customHeight="1">
      <c r="B218" s="73"/>
    </row>
    <row r="219" spans="2:2" ht="12.75" customHeight="1">
      <c r="B219" s="73"/>
    </row>
    <row r="220" spans="2:2" ht="12.75" customHeight="1">
      <c r="B220" s="73"/>
    </row>
    <row r="221" spans="2:2" ht="12.75" customHeight="1">
      <c r="B221" s="73"/>
    </row>
    <row r="222" spans="2:2" ht="12.75" customHeight="1">
      <c r="B222" s="73"/>
    </row>
    <row r="223" spans="2:2" ht="12.75" customHeight="1">
      <c r="B223" s="73"/>
    </row>
    <row r="224" spans="2:2" ht="12.75" customHeight="1">
      <c r="B224" s="73"/>
    </row>
    <row r="225" spans="2:2" ht="12.75" customHeight="1">
      <c r="B225" s="73"/>
    </row>
    <row r="226" spans="2:2" ht="12.75" customHeight="1">
      <c r="B226" s="73"/>
    </row>
    <row r="227" spans="2:2" ht="12.75" customHeight="1">
      <c r="B227" s="73"/>
    </row>
    <row r="228" spans="2:2" ht="12.75" customHeight="1">
      <c r="B228" s="73"/>
    </row>
    <row r="229" spans="2:2" ht="12.75" customHeight="1">
      <c r="B229" s="73"/>
    </row>
    <row r="230" spans="2:2" ht="12.75" customHeight="1">
      <c r="B230" s="73"/>
    </row>
    <row r="231" spans="2:2" ht="12.75" customHeight="1">
      <c r="B231" s="73"/>
    </row>
    <row r="232" spans="2:2" ht="12.75" customHeight="1">
      <c r="B232" s="73"/>
    </row>
    <row r="233" spans="2:2" ht="12.75" customHeight="1">
      <c r="B233" s="73"/>
    </row>
    <row r="234" spans="2:2" ht="12.75" customHeight="1">
      <c r="B234" s="73"/>
    </row>
    <row r="235" spans="2:2" ht="12.75" customHeight="1">
      <c r="B235" s="73"/>
    </row>
    <row r="236" spans="2:2" ht="12.75" customHeight="1">
      <c r="B236" s="73"/>
    </row>
    <row r="237" spans="2:2" ht="12.75" customHeight="1">
      <c r="B237" s="73"/>
    </row>
    <row r="238" spans="2:2" ht="12.75" customHeight="1">
      <c r="B238" s="73"/>
    </row>
    <row r="239" spans="2:2" ht="12.75" customHeight="1">
      <c r="B239" s="73"/>
    </row>
    <row r="240" spans="2:2" ht="12.75" customHeight="1">
      <c r="B240" s="73"/>
    </row>
    <row r="241" spans="2:2" ht="12.75" customHeight="1">
      <c r="B241" s="73"/>
    </row>
    <row r="242" spans="2:2" ht="12.75" customHeight="1">
      <c r="B242" s="73"/>
    </row>
    <row r="243" spans="2:2" ht="12.75" customHeight="1">
      <c r="B243" s="73"/>
    </row>
    <row r="244" spans="2:2" ht="12.75" customHeight="1">
      <c r="B244" s="73"/>
    </row>
    <row r="245" spans="2:2" ht="12.75" customHeight="1">
      <c r="B245" s="73"/>
    </row>
    <row r="246" spans="2:2" ht="12.75" customHeight="1">
      <c r="B246" s="73"/>
    </row>
    <row r="247" spans="2:2" ht="12.75" customHeight="1">
      <c r="B247" s="73"/>
    </row>
    <row r="248" spans="2:2" ht="12.75" customHeight="1">
      <c r="B248" s="73"/>
    </row>
    <row r="249" spans="2:2" ht="12.75" customHeight="1">
      <c r="B249" s="73"/>
    </row>
    <row r="250" spans="2:2" ht="12.75" customHeight="1">
      <c r="B250" s="73"/>
    </row>
    <row r="251" spans="2:2" ht="12.75" customHeight="1">
      <c r="B251" s="73"/>
    </row>
    <row r="252" spans="2:2" ht="12.75" customHeight="1">
      <c r="B252" s="73"/>
    </row>
    <row r="253" spans="2:2" ht="12.75" customHeight="1">
      <c r="B253" s="73"/>
    </row>
    <row r="254" spans="2:2" ht="12.75" customHeight="1">
      <c r="B254" s="73"/>
    </row>
    <row r="255" spans="2:2" ht="12.75" customHeight="1">
      <c r="B255" s="73"/>
    </row>
    <row r="256" spans="2:2" ht="12.75" customHeight="1">
      <c r="B256" s="73"/>
    </row>
    <row r="257" spans="2:2" ht="12.75" customHeight="1">
      <c r="B257" s="73"/>
    </row>
    <row r="258" spans="2:2" ht="12.75" customHeight="1">
      <c r="B258" s="73"/>
    </row>
    <row r="259" spans="2:2" ht="12.75" customHeight="1">
      <c r="B259" s="73"/>
    </row>
    <row r="260" spans="2:2" ht="12.75" customHeight="1">
      <c r="B260" s="73"/>
    </row>
    <row r="261" spans="2:2" ht="12.75" customHeight="1">
      <c r="B261" s="73"/>
    </row>
    <row r="262" spans="2:2" ht="12.75" customHeight="1">
      <c r="B262" s="73"/>
    </row>
    <row r="263" spans="2:2" ht="12.75" customHeight="1">
      <c r="B263" s="73"/>
    </row>
    <row r="264" spans="2:2" ht="12.75" customHeight="1">
      <c r="B264" s="73"/>
    </row>
    <row r="265" spans="2:2" ht="12.75" customHeight="1">
      <c r="B265" s="73"/>
    </row>
    <row r="266" spans="2:2" ht="12.75" customHeight="1">
      <c r="B266" s="73"/>
    </row>
    <row r="267" spans="2:2" ht="12.75" customHeight="1">
      <c r="B267" s="73"/>
    </row>
    <row r="268" spans="2:2" ht="12.75" customHeight="1">
      <c r="B268" s="73"/>
    </row>
    <row r="269" spans="2:2" ht="12.75" customHeight="1">
      <c r="B269" s="73"/>
    </row>
    <row r="270" spans="2:2" ht="12.75" customHeight="1">
      <c r="B270" s="73"/>
    </row>
    <row r="271" spans="2:2" ht="12.75" customHeight="1">
      <c r="B271" s="73"/>
    </row>
    <row r="272" spans="2:2" ht="12.75" customHeight="1">
      <c r="B272" s="73"/>
    </row>
    <row r="273" spans="2:2" ht="12.75" customHeight="1">
      <c r="B273" s="73"/>
    </row>
    <row r="274" spans="2:2" ht="12.75" customHeight="1">
      <c r="B274" s="73"/>
    </row>
    <row r="275" spans="2:2" ht="12.75" customHeight="1">
      <c r="B275" s="73"/>
    </row>
    <row r="276" spans="2:2" ht="12.75" customHeight="1">
      <c r="B276" s="73"/>
    </row>
    <row r="277" spans="2:2" ht="12.75" customHeight="1">
      <c r="B277" s="73"/>
    </row>
    <row r="278" spans="2:2" ht="12.75" customHeight="1">
      <c r="B278" s="73"/>
    </row>
    <row r="279" spans="2:2" ht="12.75" customHeight="1">
      <c r="B279" s="73"/>
    </row>
    <row r="280" spans="2:2" ht="12.75" customHeight="1">
      <c r="B280" s="73"/>
    </row>
    <row r="281" spans="2:2" ht="12.75" customHeight="1">
      <c r="B281" s="73"/>
    </row>
    <row r="282" spans="2:2" ht="12.75" customHeight="1">
      <c r="B282" s="73"/>
    </row>
    <row r="283" spans="2:2" ht="12.75" customHeight="1">
      <c r="B283" s="73"/>
    </row>
    <row r="284" spans="2:2" ht="12.75" customHeight="1">
      <c r="B284" s="73"/>
    </row>
    <row r="285" spans="2:2" ht="12.75" customHeight="1">
      <c r="B285" s="73"/>
    </row>
    <row r="286" spans="2:2" ht="12.75" customHeight="1">
      <c r="B286" s="73"/>
    </row>
    <row r="287" spans="2:2" ht="12.75" customHeight="1">
      <c r="B287" s="73"/>
    </row>
    <row r="288" spans="2:2" ht="12.75" customHeight="1">
      <c r="B288" s="73"/>
    </row>
    <row r="289" spans="2:2" ht="12.75" customHeight="1">
      <c r="B289" s="73"/>
    </row>
    <row r="290" spans="2:2" ht="12.75" customHeight="1">
      <c r="B290" s="73"/>
    </row>
    <row r="291" spans="2:2" ht="12.75" customHeight="1">
      <c r="B291" s="73"/>
    </row>
    <row r="292" spans="2:2" ht="12.75" customHeight="1">
      <c r="B292" s="73"/>
    </row>
    <row r="293" spans="2:2" ht="12.75" customHeight="1">
      <c r="B293" s="73"/>
    </row>
    <row r="294" spans="2:2" ht="12.75" customHeight="1">
      <c r="B294" s="73"/>
    </row>
    <row r="295" spans="2:2" ht="12.75" customHeight="1">
      <c r="B295" s="73"/>
    </row>
    <row r="296" spans="2:2" ht="12.75" customHeight="1">
      <c r="B296" s="73"/>
    </row>
    <row r="297" spans="2:2" ht="12.75" customHeight="1">
      <c r="B297" s="73"/>
    </row>
    <row r="298" spans="2:2" ht="12.75" customHeight="1">
      <c r="B298" s="73"/>
    </row>
    <row r="299" spans="2:2" ht="12.75" customHeight="1">
      <c r="B299" s="73"/>
    </row>
    <row r="300" spans="2:2" ht="12.75" customHeight="1">
      <c r="B300" s="73"/>
    </row>
    <row r="301" spans="2:2" ht="12.75" customHeight="1">
      <c r="B301" s="73"/>
    </row>
    <row r="302" spans="2:2" ht="12.75" customHeight="1">
      <c r="B302" s="73"/>
    </row>
    <row r="303" spans="2:2" ht="12.75" customHeight="1">
      <c r="B303" s="73"/>
    </row>
    <row r="304" spans="2:2" ht="12.75" customHeight="1">
      <c r="B304" s="73"/>
    </row>
    <row r="305" spans="2:2" ht="12.75" customHeight="1">
      <c r="B305" s="73"/>
    </row>
    <row r="306" spans="2:2" ht="12.75" customHeight="1">
      <c r="B306" s="73"/>
    </row>
    <row r="307" spans="2:2" ht="12.75" customHeight="1">
      <c r="B307" s="73"/>
    </row>
    <row r="308" spans="2:2" ht="12.75" customHeight="1">
      <c r="B308" s="73"/>
    </row>
    <row r="309" spans="2:2" ht="12.75" customHeight="1">
      <c r="B309" s="73"/>
    </row>
    <row r="310" spans="2:2" ht="12.75" customHeight="1">
      <c r="B310" s="73"/>
    </row>
    <row r="311" spans="2:2" ht="12.75" customHeight="1">
      <c r="B311" s="73"/>
    </row>
    <row r="312" spans="2:2" ht="12.75" customHeight="1">
      <c r="B312" s="73"/>
    </row>
    <row r="313" spans="2:2" ht="12.75" customHeight="1">
      <c r="B313" s="73"/>
    </row>
    <row r="314" spans="2:2" ht="12.75" customHeight="1">
      <c r="B314" s="73"/>
    </row>
    <row r="315" spans="2:2" ht="12.75" customHeight="1">
      <c r="B315" s="73"/>
    </row>
    <row r="316" spans="2:2" ht="12.75" customHeight="1">
      <c r="B316" s="73"/>
    </row>
    <row r="317" spans="2:2" ht="12.75" customHeight="1">
      <c r="B317" s="73"/>
    </row>
    <row r="318" spans="2:2" ht="12.75" customHeight="1">
      <c r="B318" s="73"/>
    </row>
    <row r="319" spans="2:2" ht="12.75" customHeight="1">
      <c r="B319" s="73"/>
    </row>
    <row r="320" spans="2:2" ht="12.75" customHeight="1">
      <c r="B320" s="73"/>
    </row>
    <row r="321" spans="2:2" ht="12.75" customHeight="1">
      <c r="B321" s="73"/>
    </row>
    <row r="322" spans="2:2" ht="12.75" customHeight="1">
      <c r="B322" s="73"/>
    </row>
    <row r="323" spans="2:2" ht="12.75" customHeight="1">
      <c r="B323" s="73"/>
    </row>
    <row r="324" spans="2:2" ht="12.75" customHeight="1">
      <c r="B324" s="73"/>
    </row>
    <row r="325" spans="2:2" ht="12.75" customHeight="1">
      <c r="B325" s="73"/>
    </row>
    <row r="326" spans="2:2" ht="12.75" customHeight="1">
      <c r="B326" s="73"/>
    </row>
    <row r="327" spans="2:2" ht="12.75" customHeight="1">
      <c r="B327" s="73"/>
    </row>
    <row r="328" spans="2:2" ht="12.75" customHeight="1">
      <c r="B328" s="73"/>
    </row>
    <row r="329" spans="2:2" ht="12.75" customHeight="1">
      <c r="B329" s="73"/>
    </row>
    <row r="330" spans="2:2" ht="12.75" customHeight="1">
      <c r="B330" s="73"/>
    </row>
    <row r="331" spans="2:2" ht="12.75" customHeight="1">
      <c r="B331" s="73"/>
    </row>
    <row r="332" spans="2:2" ht="12.75" customHeight="1">
      <c r="B332" s="73"/>
    </row>
    <row r="333" spans="2:2" ht="12.75" customHeight="1">
      <c r="B333" s="73"/>
    </row>
    <row r="334" spans="2:2" ht="12.75" customHeight="1">
      <c r="B334" s="73"/>
    </row>
    <row r="335" spans="2:2" ht="12.75" customHeight="1">
      <c r="B335" s="73"/>
    </row>
    <row r="336" spans="2:2" ht="12.75" customHeight="1">
      <c r="B336" s="73"/>
    </row>
    <row r="337" spans="2:2" ht="12.75" customHeight="1">
      <c r="B337" s="73"/>
    </row>
    <row r="338" spans="2:2" ht="12.75" customHeight="1">
      <c r="B338" s="73"/>
    </row>
    <row r="339" spans="2:2" ht="12.75" customHeight="1">
      <c r="B339" s="73"/>
    </row>
    <row r="340" spans="2:2" ht="12.75" customHeight="1">
      <c r="B340" s="73"/>
    </row>
    <row r="341" spans="2:2" ht="12.75" customHeight="1">
      <c r="B341" s="73"/>
    </row>
    <row r="342" spans="2:2" ht="12.75" customHeight="1">
      <c r="B342" s="73"/>
    </row>
    <row r="343" spans="2:2" ht="12.75" customHeight="1">
      <c r="B343" s="73"/>
    </row>
    <row r="344" spans="2:2" ht="12.75" customHeight="1">
      <c r="B344" s="73"/>
    </row>
    <row r="345" spans="2:2" ht="12.75" customHeight="1">
      <c r="B345" s="73"/>
    </row>
    <row r="346" spans="2:2" ht="12.75" customHeight="1">
      <c r="B346" s="73"/>
    </row>
    <row r="347" spans="2:2" ht="12.75" customHeight="1">
      <c r="B347" s="73"/>
    </row>
    <row r="348" spans="2:2" ht="12.75" customHeight="1">
      <c r="B348" s="73"/>
    </row>
    <row r="349" spans="2:2" ht="12.75" customHeight="1">
      <c r="B349" s="73"/>
    </row>
    <row r="350" spans="2:2" ht="12.75" customHeight="1">
      <c r="B350" s="73"/>
    </row>
    <row r="351" spans="2:2" ht="12.75" customHeight="1">
      <c r="B351" s="73"/>
    </row>
    <row r="352" spans="2:2" ht="12.75" customHeight="1">
      <c r="B352" s="73"/>
    </row>
    <row r="353" spans="2:2" ht="12.75" customHeight="1">
      <c r="B353" s="73"/>
    </row>
    <row r="354" spans="2:2" ht="12.75" customHeight="1">
      <c r="B354" s="73"/>
    </row>
    <row r="355" spans="2:2" ht="12.75" customHeight="1">
      <c r="B355" s="73"/>
    </row>
    <row r="356" spans="2:2" ht="12.75" customHeight="1">
      <c r="B356" s="73"/>
    </row>
    <row r="357" spans="2:2" ht="12.75" customHeight="1">
      <c r="B357" s="73"/>
    </row>
    <row r="358" spans="2:2" ht="12.75" customHeight="1">
      <c r="B358" s="73"/>
    </row>
    <row r="359" spans="2:2" ht="12.75" customHeight="1">
      <c r="B359" s="73"/>
    </row>
    <row r="360" spans="2:2" ht="12.75" customHeight="1">
      <c r="B360" s="73"/>
    </row>
    <row r="361" spans="2:2" ht="12.75" customHeight="1">
      <c r="B361" s="73"/>
    </row>
    <row r="362" spans="2:2" ht="12.75" customHeight="1">
      <c r="B362" s="73"/>
    </row>
    <row r="363" spans="2:2" ht="12.75" customHeight="1">
      <c r="B363" s="73"/>
    </row>
    <row r="364" spans="2:2" ht="12.75" customHeight="1">
      <c r="B364" s="73"/>
    </row>
    <row r="365" spans="2:2" ht="12.75" customHeight="1">
      <c r="B365" s="73"/>
    </row>
    <row r="366" spans="2:2" ht="12.75" customHeight="1">
      <c r="B366" s="73"/>
    </row>
    <row r="367" spans="2:2" ht="12.75" customHeight="1">
      <c r="B367" s="73"/>
    </row>
    <row r="368" spans="2:2" ht="12.75" customHeight="1">
      <c r="B368" s="73"/>
    </row>
    <row r="369" spans="2:2" ht="12.75" customHeight="1">
      <c r="B369" s="73"/>
    </row>
    <row r="370" spans="2:2" ht="12.75" customHeight="1">
      <c r="B370" s="73"/>
    </row>
    <row r="371" spans="2:2" ht="12.75" customHeight="1">
      <c r="B371" s="73"/>
    </row>
    <row r="372" spans="2:2" ht="12.75" customHeight="1">
      <c r="B372" s="73"/>
    </row>
    <row r="373" spans="2:2" ht="12.75" customHeight="1">
      <c r="B373" s="73"/>
    </row>
    <row r="374" spans="2:2" ht="12.75" customHeight="1">
      <c r="B374" s="73"/>
    </row>
    <row r="375" spans="2:2" ht="12.75" customHeight="1">
      <c r="B375" s="73"/>
    </row>
    <row r="376" spans="2:2" ht="12.75" customHeight="1">
      <c r="B376" s="73"/>
    </row>
    <row r="377" spans="2:2" ht="12.75" customHeight="1">
      <c r="B377" s="73"/>
    </row>
    <row r="378" spans="2:2" ht="12.75" customHeight="1">
      <c r="B378" s="73"/>
    </row>
    <row r="379" spans="2:2" ht="12.75" customHeight="1">
      <c r="B379" s="73"/>
    </row>
    <row r="380" spans="2:2" ht="12.75" customHeight="1">
      <c r="B380" s="73"/>
    </row>
    <row r="381" spans="2:2" ht="12.75" customHeight="1">
      <c r="B381" s="73"/>
    </row>
    <row r="382" spans="2:2" ht="12.75" customHeight="1">
      <c r="B382" s="73"/>
    </row>
    <row r="383" spans="2:2" ht="12.75" customHeight="1">
      <c r="B383" s="73"/>
    </row>
    <row r="384" spans="2:2" ht="12.75" customHeight="1">
      <c r="B384" s="73"/>
    </row>
    <row r="385" spans="2:2" ht="12.75" customHeight="1">
      <c r="B385" s="73"/>
    </row>
    <row r="386" spans="2:2" ht="12.75" customHeight="1">
      <c r="B386" s="73"/>
    </row>
    <row r="387" spans="2:2" ht="12.75" customHeight="1">
      <c r="B387" s="73"/>
    </row>
    <row r="388" spans="2:2" ht="12.75" customHeight="1">
      <c r="B388" s="73"/>
    </row>
    <row r="389" spans="2:2" ht="12.75" customHeight="1">
      <c r="B389" s="73"/>
    </row>
    <row r="390" spans="2:2" ht="12.75" customHeight="1">
      <c r="B390" s="73"/>
    </row>
    <row r="391" spans="2:2" ht="12.75" customHeight="1">
      <c r="B391" s="73"/>
    </row>
    <row r="392" spans="2:2" ht="12.75" customHeight="1">
      <c r="B392" s="73"/>
    </row>
    <row r="393" spans="2:2" ht="12.75" customHeight="1">
      <c r="B393" s="73"/>
    </row>
    <row r="394" spans="2:2" ht="12.75" customHeight="1">
      <c r="B394" s="73"/>
    </row>
    <row r="395" spans="2:2" ht="12.75" customHeight="1">
      <c r="B395" s="73"/>
    </row>
    <row r="396" spans="2:2" ht="12.75" customHeight="1">
      <c r="B396" s="73"/>
    </row>
    <row r="397" spans="2:2" ht="12.75" customHeight="1">
      <c r="B397" s="73"/>
    </row>
    <row r="398" spans="2:2" ht="12.75" customHeight="1">
      <c r="B398" s="73"/>
    </row>
    <row r="399" spans="2:2" ht="12.75" customHeight="1">
      <c r="B399" s="73"/>
    </row>
    <row r="400" spans="2:2" ht="12.75" customHeight="1">
      <c r="B400" s="73"/>
    </row>
    <row r="401" spans="2:2" ht="12.75" customHeight="1">
      <c r="B401" s="73"/>
    </row>
    <row r="402" spans="2:2" ht="12.75" customHeight="1">
      <c r="B402" s="73"/>
    </row>
    <row r="403" spans="2:2" ht="12.75" customHeight="1">
      <c r="B403" s="73"/>
    </row>
    <row r="404" spans="2:2" ht="12.75" customHeight="1">
      <c r="B404" s="73"/>
    </row>
    <row r="405" spans="2:2" ht="12.75" customHeight="1">
      <c r="B405" s="73"/>
    </row>
    <row r="406" spans="2:2" ht="12.75" customHeight="1">
      <c r="B406" s="73"/>
    </row>
    <row r="407" spans="2:2" ht="12.75" customHeight="1">
      <c r="B407" s="73"/>
    </row>
    <row r="408" spans="2:2" ht="12.75" customHeight="1">
      <c r="B408" s="73"/>
    </row>
    <row r="409" spans="2:2" ht="12.75" customHeight="1">
      <c r="B409" s="73"/>
    </row>
    <row r="410" spans="2:2" ht="12.75" customHeight="1">
      <c r="B410" s="73"/>
    </row>
    <row r="411" spans="2:2" ht="12.75" customHeight="1">
      <c r="B411" s="73"/>
    </row>
    <row r="412" spans="2:2" ht="12.75" customHeight="1">
      <c r="B412" s="73"/>
    </row>
    <row r="413" spans="2:2" ht="12.75" customHeight="1">
      <c r="B413" s="73"/>
    </row>
    <row r="414" spans="2:2" ht="12.75" customHeight="1">
      <c r="B414" s="73"/>
    </row>
    <row r="415" spans="2:2" ht="12.75" customHeight="1">
      <c r="B415" s="73"/>
    </row>
    <row r="416" spans="2:2" ht="12.75" customHeight="1">
      <c r="B416" s="73"/>
    </row>
    <row r="417" spans="2:2" ht="12.75" customHeight="1">
      <c r="B417" s="73"/>
    </row>
    <row r="418" spans="2:2" ht="12.75" customHeight="1">
      <c r="B418" s="73"/>
    </row>
    <row r="419" spans="2:2" ht="12.75" customHeight="1">
      <c r="B419" s="73"/>
    </row>
    <row r="420" spans="2:2" ht="12.75" customHeight="1">
      <c r="B420" s="73"/>
    </row>
    <row r="421" spans="2:2" ht="12.75" customHeight="1">
      <c r="B421" s="73"/>
    </row>
    <row r="422" spans="2:2" ht="12.75" customHeight="1">
      <c r="B422" s="73"/>
    </row>
    <row r="423" spans="2:2" ht="12.75" customHeight="1">
      <c r="B423" s="73"/>
    </row>
    <row r="424" spans="2:2" ht="12.75" customHeight="1">
      <c r="B424" s="73"/>
    </row>
    <row r="425" spans="2:2" ht="12.75" customHeight="1">
      <c r="B425" s="73"/>
    </row>
    <row r="426" spans="2:2" ht="12.75" customHeight="1">
      <c r="B426" s="73"/>
    </row>
    <row r="427" spans="2:2" ht="12.75" customHeight="1">
      <c r="B427" s="73"/>
    </row>
    <row r="428" spans="2:2" ht="12.75" customHeight="1">
      <c r="B428" s="73"/>
    </row>
    <row r="429" spans="2:2" ht="12.75" customHeight="1">
      <c r="B429" s="73"/>
    </row>
    <row r="430" spans="2:2" ht="12.75" customHeight="1">
      <c r="B430" s="73"/>
    </row>
    <row r="431" spans="2:2" ht="12.75" customHeight="1">
      <c r="B431" s="73"/>
    </row>
    <row r="432" spans="2:2" ht="12.75" customHeight="1">
      <c r="B432" s="73"/>
    </row>
    <row r="433" spans="2:2" ht="12.75" customHeight="1">
      <c r="B433" s="73"/>
    </row>
    <row r="434" spans="2:2" ht="12.75" customHeight="1">
      <c r="B434" s="73"/>
    </row>
    <row r="435" spans="2:2" ht="12.75" customHeight="1">
      <c r="B435" s="73"/>
    </row>
    <row r="436" spans="2:2" ht="12.75" customHeight="1">
      <c r="B436" s="73"/>
    </row>
    <row r="437" spans="2:2" ht="12.75" customHeight="1">
      <c r="B437" s="73"/>
    </row>
    <row r="438" spans="2:2" ht="12.75" customHeight="1">
      <c r="B438" s="73"/>
    </row>
    <row r="439" spans="2:2" ht="12.75" customHeight="1">
      <c r="B439" s="73"/>
    </row>
    <row r="440" spans="2:2" ht="12.75" customHeight="1">
      <c r="B440" s="73"/>
    </row>
    <row r="441" spans="2:2" ht="12.75" customHeight="1">
      <c r="B441" s="73"/>
    </row>
    <row r="442" spans="2:2" ht="12.75" customHeight="1">
      <c r="B442" s="73"/>
    </row>
    <row r="443" spans="2:2" ht="12.75" customHeight="1">
      <c r="B443" s="73"/>
    </row>
    <row r="444" spans="2:2" ht="12.75" customHeight="1">
      <c r="B444" s="73"/>
    </row>
    <row r="445" spans="2:2" ht="12.75" customHeight="1">
      <c r="B445" s="73"/>
    </row>
    <row r="446" spans="2:2" ht="12.75" customHeight="1">
      <c r="B446" s="73"/>
    </row>
    <row r="447" spans="2:2" ht="12.75" customHeight="1">
      <c r="B447" s="73"/>
    </row>
    <row r="448" spans="2:2" ht="12.75" customHeight="1">
      <c r="B448" s="73"/>
    </row>
    <row r="449" spans="2:2" ht="12.75" customHeight="1">
      <c r="B449" s="73"/>
    </row>
    <row r="450" spans="2:2" ht="12.75" customHeight="1">
      <c r="B450" s="73"/>
    </row>
    <row r="451" spans="2:2" ht="12.75" customHeight="1">
      <c r="B451" s="73"/>
    </row>
    <row r="452" spans="2:2" ht="12.75" customHeight="1">
      <c r="B452" s="73"/>
    </row>
    <row r="453" spans="2:2" ht="12.75" customHeight="1">
      <c r="B453" s="73"/>
    </row>
    <row r="454" spans="2:2" ht="12.75" customHeight="1">
      <c r="B454" s="73"/>
    </row>
    <row r="455" spans="2:2" ht="12.75" customHeight="1">
      <c r="B455" s="73"/>
    </row>
    <row r="456" spans="2:2" ht="12.75" customHeight="1">
      <c r="B456" s="73"/>
    </row>
    <row r="457" spans="2:2" ht="12.75" customHeight="1">
      <c r="B457" s="73"/>
    </row>
    <row r="458" spans="2:2" ht="12.75" customHeight="1">
      <c r="B458" s="73"/>
    </row>
    <row r="459" spans="2:2" ht="12.75" customHeight="1">
      <c r="B459" s="73"/>
    </row>
    <row r="460" spans="2:2" ht="12.75" customHeight="1">
      <c r="B460" s="73"/>
    </row>
    <row r="461" spans="2:2" ht="12.75" customHeight="1">
      <c r="B461" s="73"/>
    </row>
    <row r="462" spans="2:2" ht="12.75" customHeight="1">
      <c r="B462" s="73"/>
    </row>
    <row r="463" spans="2:2" ht="12.75" customHeight="1">
      <c r="B463" s="73"/>
    </row>
    <row r="464" spans="2:2" ht="12.75" customHeight="1">
      <c r="B464" s="73"/>
    </row>
    <row r="465" spans="2:2" ht="12.75" customHeight="1">
      <c r="B465" s="73"/>
    </row>
    <row r="466" spans="2:2" ht="12.75" customHeight="1">
      <c r="B466" s="73"/>
    </row>
    <row r="467" spans="2:2" ht="12.75" customHeight="1">
      <c r="B467" s="73"/>
    </row>
    <row r="468" spans="2:2" ht="12.75" customHeight="1">
      <c r="B468" s="73"/>
    </row>
    <row r="469" spans="2:2" ht="12.75" customHeight="1">
      <c r="B469" s="73"/>
    </row>
    <row r="470" spans="2:2" ht="12.75" customHeight="1">
      <c r="B470" s="73"/>
    </row>
    <row r="471" spans="2:2" ht="12.75" customHeight="1">
      <c r="B471" s="73"/>
    </row>
    <row r="472" spans="2:2" ht="12.75" customHeight="1">
      <c r="B472" s="73"/>
    </row>
    <row r="473" spans="2:2" ht="12.75" customHeight="1">
      <c r="B473" s="73"/>
    </row>
    <row r="474" spans="2:2" ht="12.75" customHeight="1">
      <c r="B474" s="73"/>
    </row>
    <row r="475" spans="2:2" ht="12.75" customHeight="1">
      <c r="B475" s="73"/>
    </row>
    <row r="476" spans="2:2" ht="12.75" customHeight="1">
      <c r="B476" s="73"/>
    </row>
    <row r="477" spans="2:2" ht="12.75" customHeight="1">
      <c r="B477" s="73"/>
    </row>
    <row r="478" spans="2:2" ht="12.75" customHeight="1">
      <c r="B478" s="73"/>
    </row>
    <row r="479" spans="2:2" ht="12.75" customHeight="1">
      <c r="B479" s="73"/>
    </row>
    <row r="480" spans="2:2" ht="12.75" customHeight="1">
      <c r="B480" s="73"/>
    </row>
    <row r="481" spans="2:2" ht="12.75" customHeight="1">
      <c r="B481" s="73"/>
    </row>
    <row r="482" spans="2:2" ht="12.75" customHeight="1">
      <c r="B482" s="73"/>
    </row>
    <row r="483" spans="2:2" ht="12.75" customHeight="1">
      <c r="B483" s="73"/>
    </row>
    <row r="484" spans="2:2" ht="12.75" customHeight="1">
      <c r="B484" s="73"/>
    </row>
    <row r="485" spans="2:2" ht="12.75" customHeight="1">
      <c r="B485" s="73"/>
    </row>
    <row r="486" spans="2:2" ht="12.75" customHeight="1">
      <c r="B486" s="73"/>
    </row>
    <row r="487" spans="2:2" ht="12.75" customHeight="1">
      <c r="B487" s="73"/>
    </row>
    <row r="488" spans="2:2" ht="12.75" customHeight="1">
      <c r="B488" s="73"/>
    </row>
    <row r="489" spans="2:2" ht="12.75" customHeight="1">
      <c r="B489" s="73"/>
    </row>
    <row r="490" spans="2:2" ht="12.75" customHeight="1">
      <c r="B490" s="73"/>
    </row>
    <row r="491" spans="2:2" ht="12.75" customHeight="1">
      <c r="B491" s="73"/>
    </row>
    <row r="492" spans="2:2" ht="12.75" customHeight="1">
      <c r="B492" s="73"/>
    </row>
    <row r="493" spans="2:2" ht="12.75" customHeight="1">
      <c r="B493" s="73"/>
    </row>
    <row r="494" spans="2:2" ht="12.75" customHeight="1">
      <c r="B494" s="73"/>
    </row>
    <row r="495" spans="2:2" ht="12.75" customHeight="1">
      <c r="B495" s="73"/>
    </row>
    <row r="496" spans="2:2" ht="12.75" customHeight="1">
      <c r="B496" s="73"/>
    </row>
    <row r="497" spans="2:2" ht="12.75" customHeight="1">
      <c r="B497" s="73"/>
    </row>
    <row r="498" spans="2:2" ht="12.75" customHeight="1">
      <c r="B498" s="73"/>
    </row>
    <row r="499" spans="2:2" ht="12.75" customHeight="1">
      <c r="B499" s="73"/>
    </row>
    <row r="500" spans="2:2" ht="12.75" customHeight="1">
      <c r="B500" s="73"/>
    </row>
    <row r="501" spans="2:2" ht="12.75" customHeight="1">
      <c r="B501" s="73"/>
    </row>
    <row r="502" spans="2:2" ht="12.75" customHeight="1">
      <c r="B502" s="73"/>
    </row>
    <row r="503" spans="2:2" ht="12.75" customHeight="1">
      <c r="B503" s="73"/>
    </row>
    <row r="504" spans="2:2" ht="12.75" customHeight="1">
      <c r="B504" s="73"/>
    </row>
    <row r="505" spans="2:2" ht="12.75" customHeight="1">
      <c r="B505" s="73"/>
    </row>
    <row r="506" spans="2:2" ht="12.75" customHeight="1">
      <c r="B506" s="73"/>
    </row>
    <row r="507" spans="2:2" ht="12.75" customHeight="1">
      <c r="B507" s="73"/>
    </row>
    <row r="508" spans="2:2" ht="12.75" customHeight="1">
      <c r="B508" s="73"/>
    </row>
    <row r="509" spans="2:2" ht="12.75" customHeight="1">
      <c r="B509" s="73"/>
    </row>
    <row r="510" spans="2:2" ht="12.75" customHeight="1">
      <c r="B510" s="73"/>
    </row>
    <row r="511" spans="2:2" ht="12.75" customHeight="1">
      <c r="B511" s="73"/>
    </row>
    <row r="512" spans="2:2" ht="12.75" customHeight="1">
      <c r="B512" s="73"/>
    </row>
    <row r="513" spans="2:2" ht="12.75" customHeight="1">
      <c r="B513" s="73"/>
    </row>
    <row r="514" spans="2:2" ht="12.75" customHeight="1">
      <c r="B514" s="73"/>
    </row>
    <row r="515" spans="2:2" ht="12.75" customHeight="1">
      <c r="B515" s="73"/>
    </row>
    <row r="516" spans="2:2" ht="12.75" customHeight="1">
      <c r="B516" s="73"/>
    </row>
    <row r="517" spans="2:2" ht="12.75" customHeight="1">
      <c r="B517" s="73"/>
    </row>
    <row r="518" spans="2:2" ht="12.75" customHeight="1">
      <c r="B518" s="73"/>
    </row>
    <row r="519" spans="2:2" ht="12.75" customHeight="1">
      <c r="B519" s="73"/>
    </row>
    <row r="520" spans="2:2" ht="12.75" customHeight="1">
      <c r="B520" s="73"/>
    </row>
    <row r="521" spans="2:2" ht="12.75" customHeight="1">
      <c r="B521" s="73"/>
    </row>
    <row r="522" spans="2:2" ht="12.75" customHeight="1">
      <c r="B522" s="73"/>
    </row>
    <row r="523" spans="2:2" ht="12.75" customHeight="1">
      <c r="B523" s="73"/>
    </row>
    <row r="524" spans="2:2" ht="12.75" customHeight="1">
      <c r="B524" s="73"/>
    </row>
    <row r="525" spans="2:2" ht="12.75" customHeight="1">
      <c r="B525" s="73"/>
    </row>
    <row r="526" spans="2:2" ht="12.75" customHeight="1">
      <c r="B526" s="73"/>
    </row>
    <row r="527" spans="2:2" ht="12.75" customHeight="1">
      <c r="B527" s="73"/>
    </row>
    <row r="528" spans="2:2" ht="12.75" customHeight="1">
      <c r="B528" s="73"/>
    </row>
    <row r="529" spans="2:2" ht="12.75" customHeight="1">
      <c r="B529" s="73"/>
    </row>
    <row r="530" spans="2:2" ht="12.75" customHeight="1">
      <c r="B530" s="73"/>
    </row>
    <row r="531" spans="2:2" ht="12.75" customHeight="1">
      <c r="B531" s="73"/>
    </row>
    <row r="532" spans="2:2" ht="12.75" customHeight="1">
      <c r="B532" s="73"/>
    </row>
    <row r="533" spans="2:2" ht="12.75" customHeight="1">
      <c r="B533" s="73"/>
    </row>
    <row r="534" spans="2:2" ht="12.75" customHeight="1">
      <c r="B534" s="73"/>
    </row>
    <row r="535" spans="2:2" ht="12.75" customHeight="1">
      <c r="B535" s="73"/>
    </row>
    <row r="536" spans="2:2" ht="12.75" customHeight="1">
      <c r="B536" s="73"/>
    </row>
    <row r="537" spans="2:2" ht="12.75" customHeight="1">
      <c r="B537" s="73"/>
    </row>
    <row r="538" spans="2:2" ht="12.75" customHeight="1">
      <c r="B538" s="73"/>
    </row>
    <row r="539" spans="2:2" ht="12.75" customHeight="1">
      <c r="B539" s="73"/>
    </row>
    <row r="540" spans="2:2" ht="12.75" customHeight="1">
      <c r="B540" s="73"/>
    </row>
    <row r="541" spans="2:2" ht="12.75" customHeight="1">
      <c r="B541" s="73"/>
    </row>
    <row r="542" spans="2:2" ht="12.75" customHeight="1">
      <c r="B542" s="73"/>
    </row>
    <row r="543" spans="2:2" ht="12.75" customHeight="1">
      <c r="B543" s="73"/>
    </row>
    <row r="544" spans="2:2" ht="12.75" customHeight="1">
      <c r="B544" s="73"/>
    </row>
    <row r="545" spans="2:2" ht="12.75" customHeight="1">
      <c r="B545" s="73"/>
    </row>
    <row r="546" spans="2:2" ht="12.75" customHeight="1">
      <c r="B546" s="73"/>
    </row>
    <row r="547" spans="2:2" ht="12.75" customHeight="1">
      <c r="B547" s="73"/>
    </row>
    <row r="548" spans="2:2" ht="12.75" customHeight="1">
      <c r="B548" s="73"/>
    </row>
    <row r="549" spans="2:2" ht="12.75" customHeight="1">
      <c r="B549" s="73"/>
    </row>
    <row r="550" spans="2:2" ht="12.75" customHeight="1">
      <c r="B550" s="73"/>
    </row>
    <row r="551" spans="2:2" ht="12.75" customHeight="1">
      <c r="B551" s="73"/>
    </row>
    <row r="552" spans="2:2" ht="12.75" customHeight="1">
      <c r="B552" s="73"/>
    </row>
    <row r="553" spans="2:2" ht="12.75" customHeight="1">
      <c r="B553" s="73"/>
    </row>
    <row r="554" spans="2:2" ht="12.75" customHeight="1">
      <c r="B554" s="73"/>
    </row>
    <row r="555" spans="2:2" ht="12.75" customHeight="1">
      <c r="B555" s="73"/>
    </row>
    <row r="556" spans="2:2" ht="12.75" customHeight="1">
      <c r="B556" s="73"/>
    </row>
    <row r="557" spans="2:2" ht="12.75" customHeight="1">
      <c r="B557" s="73"/>
    </row>
    <row r="558" spans="2:2" ht="12.75" customHeight="1">
      <c r="B558" s="73"/>
    </row>
    <row r="559" spans="2:2" ht="12.75" customHeight="1">
      <c r="B559" s="73"/>
    </row>
    <row r="560" spans="2:2" ht="12.75" customHeight="1">
      <c r="B560" s="73"/>
    </row>
    <row r="561" spans="2:2" ht="12.75" customHeight="1">
      <c r="B561" s="73"/>
    </row>
    <row r="562" spans="2:2" ht="12.75" customHeight="1">
      <c r="B562" s="73"/>
    </row>
    <row r="563" spans="2:2" ht="12.75" customHeight="1">
      <c r="B563" s="73"/>
    </row>
    <row r="564" spans="2:2" ht="12.75" customHeight="1">
      <c r="B564" s="73"/>
    </row>
    <row r="565" spans="2:2" ht="12.75" customHeight="1">
      <c r="B565" s="73"/>
    </row>
    <row r="566" spans="2:2" ht="12.75" customHeight="1">
      <c r="B566" s="73"/>
    </row>
    <row r="567" spans="2:2" ht="12.75" customHeight="1">
      <c r="B567" s="73"/>
    </row>
    <row r="568" spans="2:2" ht="12.75" customHeight="1">
      <c r="B568" s="73"/>
    </row>
    <row r="569" spans="2:2" ht="12.75" customHeight="1">
      <c r="B569" s="73"/>
    </row>
    <row r="570" spans="2:2" ht="12.75" customHeight="1">
      <c r="B570" s="73"/>
    </row>
    <row r="571" spans="2:2" ht="12.75" customHeight="1">
      <c r="B571" s="73"/>
    </row>
    <row r="572" spans="2:2" ht="12.75" customHeight="1">
      <c r="B572" s="73"/>
    </row>
    <row r="573" spans="2:2" ht="12.75" customHeight="1">
      <c r="B573" s="73"/>
    </row>
    <row r="574" spans="2:2" ht="12.75" customHeight="1">
      <c r="B574" s="73"/>
    </row>
    <row r="575" spans="2:2" ht="12.75" customHeight="1">
      <c r="B575" s="73"/>
    </row>
    <row r="576" spans="2:2" ht="12.75" customHeight="1">
      <c r="B576" s="73"/>
    </row>
    <row r="577" spans="2:2" ht="12.75" customHeight="1">
      <c r="B577" s="73"/>
    </row>
    <row r="578" spans="2:2" ht="12.75" customHeight="1">
      <c r="B578" s="73"/>
    </row>
    <row r="579" spans="2:2" ht="12.75" customHeight="1">
      <c r="B579" s="73"/>
    </row>
    <row r="580" spans="2:2" ht="12.75" customHeight="1">
      <c r="B580" s="73"/>
    </row>
    <row r="581" spans="2:2" ht="12.75" customHeight="1">
      <c r="B581" s="73"/>
    </row>
    <row r="582" spans="2:2" ht="12.75" customHeight="1">
      <c r="B582" s="73"/>
    </row>
    <row r="583" spans="2:2" ht="12.75" customHeight="1">
      <c r="B583" s="73"/>
    </row>
    <row r="584" spans="2:2" ht="12.75" customHeight="1">
      <c r="B584" s="73"/>
    </row>
    <row r="585" spans="2:2" ht="12.75" customHeight="1">
      <c r="B585" s="73"/>
    </row>
    <row r="586" spans="2:2" ht="12.75" customHeight="1">
      <c r="B586" s="73"/>
    </row>
    <row r="587" spans="2:2" ht="12.75" customHeight="1">
      <c r="B587" s="73"/>
    </row>
    <row r="588" spans="2:2" ht="12.75" customHeight="1">
      <c r="B588" s="73"/>
    </row>
    <row r="589" spans="2:2" ht="12.75" customHeight="1">
      <c r="B589" s="73"/>
    </row>
    <row r="590" spans="2:2" ht="12.75" customHeight="1">
      <c r="B590" s="73"/>
    </row>
    <row r="591" spans="2:2" ht="12.75" customHeight="1">
      <c r="B591" s="73"/>
    </row>
    <row r="592" spans="2:2" ht="12.75" customHeight="1">
      <c r="B592" s="73"/>
    </row>
    <row r="593" spans="2:2" ht="12.75" customHeight="1">
      <c r="B593" s="73"/>
    </row>
    <row r="594" spans="2:2" ht="12.75" customHeight="1">
      <c r="B594" s="73"/>
    </row>
    <row r="595" spans="2:2" ht="12.75" customHeight="1">
      <c r="B595" s="73"/>
    </row>
    <row r="596" spans="2:2" ht="12.75" customHeight="1">
      <c r="B596" s="73"/>
    </row>
    <row r="597" spans="2:2" ht="12.75" customHeight="1">
      <c r="B597" s="73"/>
    </row>
    <row r="598" spans="2:2" ht="12.75" customHeight="1">
      <c r="B598" s="73"/>
    </row>
    <row r="599" spans="2:2" ht="12.75" customHeight="1">
      <c r="B599" s="73"/>
    </row>
    <row r="600" spans="2:2" ht="12.75" customHeight="1">
      <c r="B600" s="73"/>
    </row>
    <row r="601" spans="2:2" ht="12.75" customHeight="1">
      <c r="B601" s="73"/>
    </row>
    <row r="602" spans="2:2" ht="12.75" customHeight="1">
      <c r="B602" s="73"/>
    </row>
    <row r="603" spans="2:2" ht="12.75" customHeight="1">
      <c r="B603" s="73"/>
    </row>
    <row r="604" spans="2:2" ht="12.75" customHeight="1">
      <c r="B604" s="73"/>
    </row>
    <row r="605" spans="2:2" ht="12.75" customHeight="1">
      <c r="B605" s="73"/>
    </row>
    <row r="606" spans="2:2" ht="12.75" customHeight="1">
      <c r="B606" s="73"/>
    </row>
    <row r="607" spans="2:2" ht="12.75" customHeight="1">
      <c r="B607" s="73"/>
    </row>
    <row r="608" spans="2:2" ht="12.75" customHeight="1">
      <c r="B608" s="73"/>
    </row>
    <row r="609" spans="2:2" ht="12.75" customHeight="1">
      <c r="B609" s="73"/>
    </row>
    <row r="610" spans="2:2" ht="12.75" customHeight="1">
      <c r="B610" s="73"/>
    </row>
    <row r="611" spans="2:2" ht="12.75" customHeight="1">
      <c r="B611" s="73"/>
    </row>
    <row r="612" spans="2:2" ht="12.75" customHeight="1">
      <c r="B612" s="73"/>
    </row>
    <row r="613" spans="2:2" ht="12.75" customHeight="1">
      <c r="B613" s="73"/>
    </row>
    <row r="614" spans="2:2" ht="12.75" customHeight="1">
      <c r="B614" s="73"/>
    </row>
    <row r="615" spans="2:2" ht="12.75" customHeight="1">
      <c r="B615" s="73"/>
    </row>
    <row r="616" spans="2:2" ht="12.75" customHeight="1">
      <c r="B616" s="73"/>
    </row>
    <row r="617" spans="2:2" ht="12.75" customHeight="1">
      <c r="B617" s="73"/>
    </row>
    <row r="618" spans="2:2" ht="12.75" customHeight="1">
      <c r="B618" s="73"/>
    </row>
    <row r="619" spans="2:2" ht="12.75" customHeight="1">
      <c r="B619" s="73"/>
    </row>
    <row r="620" spans="2:2" ht="12.75" customHeight="1">
      <c r="B620" s="73"/>
    </row>
    <row r="621" spans="2:2" ht="12.75" customHeight="1">
      <c r="B621" s="73"/>
    </row>
    <row r="622" spans="2:2" ht="12.75" customHeight="1">
      <c r="B622" s="73"/>
    </row>
    <row r="623" spans="2:2" ht="12.75" customHeight="1">
      <c r="B623" s="73"/>
    </row>
    <row r="624" spans="2:2" ht="12.75" customHeight="1">
      <c r="B624" s="73"/>
    </row>
    <row r="625" spans="2:2" ht="12.75" customHeight="1">
      <c r="B625" s="73"/>
    </row>
    <row r="626" spans="2:2" ht="12.75" customHeight="1">
      <c r="B626" s="73"/>
    </row>
    <row r="627" spans="2:2" ht="12.75" customHeight="1">
      <c r="B627" s="73"/>
    </row>
    <row r="628" spans="2:2" ht="12.75" customHeight="1">
      <c r="B628" s="73"/>
    </row>
    <row r="629" spans="2:2" ht="12.75" customHeight="1">
      <c r="B629" s="73"/>
    </row>
    <row r="630" spans="2:2" ht="12.75" customHeight="1">
      <c r="B630" s="73"/>
    </row>
    <row r="631" spans="2:2" ht="12.75" customHeight="1">
      <c r="B631" s="73"/>
    </row>
    <row r="632" spans="2:2" ht="12.75" customHeight="1">
      <c r="B632" s="73"/>
    </row>
    <row r="633" spans="2:2" ht="12.75" customHeight="1">
      <c r="B633" s="73"/>
    </row>
    <row r="634" spans="2:2" ht="12.75" customHeight="1">
      <c r="B634" s="73"/>
    </row>
    <row r="635" spans="2:2" ht="12.75" customHeight="1">
      <c r="B635" s="73"/>
    </row>
    <row r="636" spans="2:2" ht="12.75" customHeight="1">
      <c r="B636" s="73"/>
    </row>
    <row r="637" spans="2:2" ht="12.75" customHeight="1">
      <c r="B637" s="73"/>
    </row>
    <row r="638" spans="2:2" ht="12.75" customHeight="1">
      <c r="B638" s="73"/>
    </row>
    <row r="639" spans="2:2" ht="12.75" customHeight="1">
      <c r="B639" s="73"/>
    </row>
    <row r="640" spans="2:2" ht="12.75" customHeight="1">
      <c r="B640" s="73"/>
    </row>
    <row r="641" spans="2:2" ht="12.75" customHeight="1">
      <c r="B641" s="73"/>
    </row>
    <row r="642" spans="2:2" ht="12.75" customHeight="1">
      <c r="B642" s="73"/>
    </row>
    <row r="643" spans="2:2" ht="12.75" customHeight="1">
      <c r="B643" s="73"/>
    </row>
    <row r="644" spans="2:2" ht="12.75" customHeight="1">
      <c r="B644" s="73"/>
    </row>
    <row r="645" spans="2:2" ht="12.75" customHeight="1">
      <c r="B645" s="73"/>
    </row>
    <row r="646" spans="2:2" ht="12.75" customHeight="1">
      <c r="B646" s="73"/>
    </row>
    <row r="647" spans="2:2" ht="12.75" customHeight="1">
      <c r="B647" s="73"/>
    </row>
    <row r="648" spans="2:2" ht="12.75" customHeight="1">
      <c r="B648" s="73"/>
    </row>
    <row r="649" spans="2:2" ht="12.75" customHeight="1">
      <c r="B649" s="73"/>
    </row>
    <row r="650" spans="2:2" ht="12.75" customHeight="1">
      <c r="B650" s="73"/>
    </row>
    <row r="651" spans="2:2" ht="12.75" customHeight="1">
      <c r="B651" s="73"/>
    </row>
    <row r="652" spans="2:2" ht="12.75" customHeight="1">
      <c r="B652" s="73"/>
    </row>
    <row r="653" spans="2:2" ht="12.75" customHeight="1">
      <c r="B653" s="73"/>
    </row>
    <row r="654" spans="2:2" ht="12.75" customHeight="1">
      <c r="B654" s="73"/>
    </row>
    <row r="655" spans="2:2" ht="12.75" customHeight="1">
      <c r="B655" s="73"/>
    </row>
    <row r="656" spans="2:2" ht="12.75" customHeight="1">
      <c r="B656" s="73"/>
    </row>
    <row r="657" spans="2:2" ht="12.75" customHeight="1">
      <c r="B657" s="73"/>
    </row>
    <row r="658" spans="2:2" ht="12.75" customHeight="1">
      <c r="B658" s="73"/>
    </row>
    <row r="659" spans="2:2" ht="12.75" customHeight="1">
      <c r="B659" s="73"/>
    </row>
    <row r="660" spans="2:2" ht="12.75" customHeight="1">
      <c r="B660" s="73"/>
    </row>
    <row r="661" spans="2:2" ht="12.75" customHeight="1">
      <c r="B661" s="73"/>
    </row>
    <row r="662" spans="2:2" ht="12.75" customHeight="1">
      <c r="B662" s="73"/>
    </row>
    <row r="663" spans="2:2" ht="12.75" customHeight="1">
      <c r="B663" s="73"/>
    </row>
    <row r="664" spans="2:2" ht="12.75" customHeight="1">
      <c r="B664" s="73"/>
    </row>
    <row r="665" spans="2:2" ht="12.75" customHeight="1">
      <c r="B665" s="73"/>
    </row>
    <row r="666" spans="2:2" ht="12.75" customHeight="1">
      <c r="B666" s="73"/>
    </row>
    <row r="667" spans="2:2" ht="12.75" customHeight="1">
      <c r="B667" s="73"/>
    </row>
    <row r="668" spans="2:2" ht="12.75" customHeight="1">
      <c r="B668" s="73"/>
    </row>
    <row r="669" spans="2:2" ht="12.75" customHeight="1">
      <c r="B669" s="73"/>
    </row>
    <row r="670" spans="2:2" ht="12.75" customHeight="1">
      <c r="B670" s="73"/>
    </row>
    <row r="671" spans="2:2" ht="12.75" customHeight="1">
      <c r="B671" s="73"/>
    </row>
    <row r="672" spans="2:2" ht="12.75" customHeight="1">
      <c r="B672" s="73"/>
    </row>
    <row r="673" spans="2:2" ht="12.75" customHeight="1">
      <c r="B673" s="73"/>
    </row>
    <row r="674" spans="2:2" ht="12.75" customHeight="1">
      <c r="B674" s="73"/>
    </row>
    <row r="675" spans="2:2" ht="12.75" customHeight="1">
      <c r="B675" s="73"/>
    </row>
    <row r="676" spans="2:2" ht="12.75" customHeight="1">
      <c r="B676" s="73"/>
    </row>
    <row r="677" spans="2:2" ht="12.75" customHeight="1">
      <c r="B677" s="73"/>
    </row>
    <row r="678" spans="2:2" ht="12.75" customHeight="1">
      <c r="B678" s="73"/>
    </row>
    <row r="679" spans="2:2" ht="12.75" customHeight="1">
      <c r="B679" s="73"/>
    </row>
    <row r="680" spans="2:2" ht="12.75" customHeight="1">
      <c r="B680" s="73"/>
    </row>
    <row r="681" spans="2:2" ht="12.75" customHeight="1">
      <c r="B681" s="73"/>
    </row>
    <row r="682" spans="2:2" ht="12.75" customHeight="1">
      <c r="B682" s="73"/>
    </row>
    <row r="683" spans="2:2" ht="12.75" customHeight="1">
      <c r="B683" s="73"/>
    </row>
    <row r="684" spans="2:2" ht="12.75" customHeight="1">
      <c r="B684" s="73"/>
    </row>
    <row r="685" spans="2:2" ht="12.75" customHeight="1">
      <c r="B685" s="73"/>
    </row>
    <row r="686" spans="2:2" ht="12.75" customHeight="1">
      <c r="B686" s="73"/>
    </row>
    <row r="687" spans="2:2" ht="12.75" customHeight="1">
      <c r="B687" s="73"/>
    </row>
    <row r="688" spans="2:2" ht="12.75" customHeight="1">
      <c r="B688" s="73"/>
    </row>
    <row r="689" spans="2:2" ht="12.75" customHeight="1">
      <c r="B689" s="73"/>
    </row>
    <row r="690" spans="2:2" ht="12.75" customHeight="1">
      <c r="B690" s="73"/>
    </row>
    <row r="691" spans="2:2" ht="12.75" customHeight="1">
      <c r="B691" s="73"/>
    </row>
    <row r="692" spans="2:2" ht="12.75" customHeight="1">
      <c r="B692" s="73"/>
    </row>
    <row r="693" spans="2:2" ht="12.75" customHeight="1">
      <c r="B693" s="73"/>
    </row>
    <row r="694" spans="2:2" ht="12.75" customHeight="1">
      <c r="B694" s="73"/>
    </row>
    <row r="695" spans="2:2" ht="12.75" customHeight="1">
      <c r="B695" s="73"/>
    </row>
    <row r="696" spans="2:2" ht="12.75" customHeight="1">
      <c r="B696" s="73"/>
    </row>
    <row r="697" spans="2:2" ht="12.75" customHeight="1">
      <c r="B697" s="73"/>
    </row>
    <row r="698" spans="2:2" ht="12.75" customHeight="1">
      <c r="B698" s="73"/>
    </row>
    <row r="699" spans="2:2" ht="12.75" customHeight="1">
      <c r="B699" s="73"/>
    </row>
    <row r="700" spans="2:2" ht="12.75" customHeight="1">
      <c r="B700" s="73"/>
    </row>
    <row r="701" spans="2:2" ht="12.75" customHeight="1">
      <c r="B701" s="73"/>
    </row>
    <row r="702" spans="2:2" ht="12.75" customHeight="1">
      <c r="B702" s="73"/>
    </row>
    <row r="703" spans="2:2" ht="12.75" customHeight="1">
      <c r="B703" s="73"/>
    </row>
    <row r="704" spans="2:2" ht="12.75" customHeight="1">
      <c r="B704" s="73"/>
    </row>
    <row r="705" spans="2:2" ht="12.75" customHeight="1">
      <c r="B705" s="73"/>
    </row>
    <row r="706" spans="2:2" ht="12.75" customHeight="1">
      <c r="B706" s="73"/>
    </row>
    <row r="707" spans="2:2" ht="12.75" customHeight="1">
      <c r="B707" s="73"/>
    </row>
    <row r="708" spans="2:2" ht="12.75" customHeight="1">
      <c r="B708" s="73"/>
    </row>
    <row r="709" spans="2:2" ht="12.75" customHeight="1">
      <c r="B709" s="73"/>
    </row>
    <row r="710" spans="2:2" ht="12.75" customHeight="1">
      <c r="B710" s="73"/>
    </row>
    <row r="711" spans="2:2" ht="12.75" customHeight="1">
      <c r="B711" s="73"/>
    </row>
    <row r="712" spans="2:2" ht="12.75" customHeight="1">
      <c r="B712" s="73"/>
    </row>
    <row r="713" spans="2:2" ht="12.75" customHeight="1">
      <c r="B713" s="73"/>
    </row>
    <row r="714" spans="2:2" ht="12.75" customHeight="1">
      <c r="B714" s="73"/>
    </row>
    <row r="715" spans="2:2" ht="12.75" customHeight="1">
      <c r="B715" s="73"/>
    </row>
    <row r="716" spans="2:2" ht="12.75" customHeight="1">
      <c r="B716" s="73"/>
    </row>
    <row r="717" spans="2:2" ht="12.75" customHeight="1">
      <c r="B717" s="73"/>
    </row>
    <row r="718" spans="2:2" ht="12.75" customHeight="1">
      <c r="B718" s="73"/>
    </row>
    <row r="719" spans="2:2" ht="12.75" customHeight="1">
      <c r="B719" s="73"/>
    </row>
    <row r="720" spans="2:2" ht="12.75" customHeight="1">
      <c r="B720" s="73"/>
    </row>
    <row r="721" spans="2:2" ht="12.75" customHeight="1">
      <c r="B721" s="73"/>
    </row>
    <row r="722" spans="2:2" ht="12.75" customHeight="1">
      <c r="B722" s="73"/>
    </row>
    <row r="723" spans="2:2" ht="12.75" customHeight="1">
      <c r="B723" s="73"/>
    </row>
    <row r="724" spans="2:2" ht="12.75" customHeight="1">
      <c r="B724" s="73"/>
    </row>
    <row r="725" spans="2:2" ht="12.75" customHeight="1">
      <c r="B725" s="73"/>
    </row>
    <row r="726" spans="2:2" ht="12.75" customHeight="1">
      <c r="B726" s="73"/>
    </row>
    <row r="727" spans="2:2" ht="12.75" customHeight="1">
      <c r="B727" s="73"/>
    </row>
    <row r="728" spans="2:2" ht="12.75" customHeight="1">
      <c r="B728" s="73"/>
    </row>
    <row r="729" spans="2:2" ht="12.75" customHeight="1">
      <c r="B729" s="73"/>
    </row>
    <row r="730" spans="2:2" ht="12.75" customHeight="1">
      <c r="B730" s="73"/>
    </row>
    <row r="731" spans="2:2" ht="12.75" customHeight="1">
      <c r="B731" s="73"/>
    </row>
    <row r="732" spans="2:2" ht="12.75" customHeight="1">
      <c r="B732" s="73"/>
    </row>
    <row r="733" spans="2:2" ht="12.75" customHeight="1">
      <c r="B733" s="73"/>
    </row>
    <row r="734" spans="2:2" ht="12.75" customHeight="1">
      <c r="B734" s="73"/>
    </row>
    <row r="735" spans="2:2" ht="12.75" customHeight="1">
      <c r="B735" s="73"/>
    </row>
    <row r="736" spans="2:2" ht="12.75" customHeight="1">
      <c r="B736" s="73"/>
    </row>
    <row r="737" spans="2:2" ht="12.75" customHeight="1">
      <c r="B737" s="73"/>
    </row>
    <row r="738" spans="2:2" ht="12.75" customHeight="1">
      <c r="B738" s="73"/>
    </row>
    <row r="739" spans="2:2" ht="12.75" customHeight="1">
      <c r="B739" s="73"/>
    </row>
    <row r="740" spans="2:2" ht="12.75" customHeight="1">
      <c r="B740" s="73"/>
    </row>
    <row r="741" spans="2:2" ht="12.75" customHeight="1">
      <c r="B741" s="73"/>
    </row>
    <row r="742" spans="2:2" ht="12.75" customHeight="1">
      <c r="B742" s="73"/>
    </row>
    <row r="743" spans="2:2" ht="12.75" customHeight="1">
      <c r="B743" s="73"/>
    </row>
    <row r="744" spans="2:2" ht="12.75" customHeight="1">
      <c r="B744" s="73"/>
    </row>
    <row r="745" spans="2:2" ht="12.75" customHeight="1">
      <c r="B745" s="73"/>
    </row>
    <row r="746" spans="2:2" ht="12.75" customHeight="1">
      <c r="B746" s="73"/>
    </row>
    <row r="747" spans="2:2" ht="12.75" customHeight="1">
      <c r="B747" s="73"/>
    </row>
    <row r="748" spans="2:2" ht="12.75" customHeight="1">
      <c r="B748" s="73"/>
    </row>
    <row r="749" spans="2:2" ht="12.75" customHeight="1">
      <c r="B749" s="73"/>
    </row>
    <row r="750" spans="2:2" ht="12.75" customHeight="1">
      <c r="B750" s="73"/>
    </row>
    <row r="751" spans="2:2" ht="12.75" customHeight="1">
      <c r="B751" s="73"/>
    </row>
    <row r="752" spans="2:2" ht="12.75" customHeight="1">
      <c r="B752" s="73"/>
    </row>
    <row r="753" spans="2:2" ht="12.75" customHeight="1">
      <c r="B753" s="73"/>
    </row>
    <row r="754" spans="2:2" ht="12.75" customHeight="1">
      <c r="B754" s="73"/>
    </row>
    <row r="755" spans="2:2" ht="12.75" customHeight="1">
      <c r="B755" s="73"/>
    </row>
    <row r="756" spans="2:2" ht="12.75" customHeight="1">
      <c r="B756" s="73"/>
    </row>
    <row r="757" spans="2:2" ht="12.75" customHeight="1">
      <c r="B757" s="73"/>
    </row>
    <row r="758" spans="2:2" ht="12.75" customHeight="1">
      <c r="B758" s="73"/>
    </row>
    <row r="759" spans="2:2" ht="12.75" customHeight="1">
      <c r="B759" s="73"/>
    </row>
    <row r="760" spans="2:2" ht="12.75" customHeight="1">
      <c r="B760" s="73"/>
    </row>
    <row r="761" spans="2:2" ht="12.75" customHeight="1">
      <c r="B761" s="73"/>
    </row>
    <row r="762" spans="2:2" ht="12.75" customHeight="1">
      <c r="B762" s="73"/>
    </row>
    <row r="763" spans="2:2" ht="12.75" customHeight="1">
      <c r="B763" s="73"/>
    </row>
    <row r="764" spans="2:2" ht="12.75" customHeight="1">
      <c r="B764" s="73"/>
    </row>
    <row r="765" spans="2:2" ht="12.75" customHeight="1">
      <c r="B765" s="73"/>
    </row>
    <row r="766" spans="2:2" ht="12.75" customHeight="1">
      <c r="B766" s="73"/>
    </row>
    <row r="767" spans="2:2" ht="12.75" customHeight="1">
      <c r="B767" s="73"/>
    </row>
    <row r="768" spans="2:2" ht="12.75" customHeight="1">
      <c r="B768" s="73"/>
    </row>
    <row r="769" spans="2:2" ht="12.75" customHeight="1">
      <c r="B769" s="73"/>
    </row>
    <row r="770" spans="2:2" ht="12.75" customHeight="1">
      <c r="B770" s="73"/>
    </row>
    <row r="771" spans="2:2" ht="12.75" customHeight="1">
      <c r="B771" s="73"/>
    </row>
    <row r="772" spans="2:2" ht="12.75" customHeight="1">
      <c r="B772" s="73"/>
    </row>
    <row r="773" spans="2:2" ht="12.75" customHeight="1">
      <c r="B773" s="73"/>
    </row>
    <row r="774" spans="2:2" ht="12.75" customHeight="1">
      <c r="B774" s="73"/>
    </row>
    <row r="775" spans="2:2" ht="12.75" customHeight="1">
      <c r="B775" s="73"/>
    </row>
    <row r="776" spans="2:2" ht="12.75" customHeight="1">
      <c r="B776" s="73"/>
    </row>
    <row r="777" spans="2:2" ht="12.75" customHeight="1">
      <c r="B777" s="73"/>
    </row>
    <row r="778" spans="2:2" ht="12.75" customHeight="1">
      <c r="B778" s="73"/>
    </row>
    <row r="779" spans="2:2" ht="12.75" customHeight="1">
      <c r="B779" s="73"/>
    </row>
    <row r="780" spans="2:2" ht="12.75" customHeight="1">
      <c r="B780" s="73"/>
    </row>
    <row r="781" spans="2:2" ht="12.75" customHeight="1">
      <c r="B781" s="73"/>
    </row>
    <row r="782" spans="2:2" ht="12.75" customHeight="1">
      <c r="B782" s="73"/>
    </row>
    <row r="783" spans="2:2" ht="12.75" customHeight="1">
      <c r="B783" s="73"/>
    </row>
    <row r="784" spans="2:2" ht="12.75" customHeight="1">
      <c r="B784" s="73"/>
    </row>
    <row r="785" spans="2:2" ht="12.75" customHeight="1">
      <c r="B785" s="73"/>
    </row>
    <row r="786" spans="2:2" ht="12.75" customHeight="1">
      <c r="B786" s="73"/>
    </row>
    <row r="787" spans="2:2" ht="12.75" customHeight="1">
      <c r="B787" s="73"/>
    </row>
    <row r="788" spans="2:2" ht="12.75" customHeight="1">
      <c r="B788" s="73"/>
    </row>
    <row r="789" spans="2:2" ht="12.75" customHeight="1">
      <c r="B789" s="73"/>
    </row>
    <row r="790" spans="2:2" ht="12.75" customHeight="1">
      <c r="B790" s="73"/>
    </row>
    <row r="791" spans="2:2" ht="12.75" customHeight="1">
      <c r="B791" s="73"/>
    </row>
    <row r="792" spans="2:2" ht="12.75" customHeight="1">
      <c r="B792" s="73"/>
    </row>
    <row r="793" spans="2:2" ht="12.75" customHeight="1">
      <c r="B793" s="73"/>
    </row>
    <row r="794" spans="2:2" ht="12.75" customHeight="1">
      <c r="B794" s="73"/>
    </row>
    <row r="795" spans="2:2" ht="12.75" customHeight="1">
      <c r="B795" s="73"/>
    </row>
    <row r="796" spans="2:2" ht="12.75" customHeight="1">
      <c r="B796" s="73"/>
    </row>
    <row r="797" spans="2:2" ht="12.75" customHeight="1">
      <c r="B797" s="73"/>
    </row>
    <row r="798" spans="2:2" ht="12.75" customHeight="1">
      <c r="B798" s="73"/>
    </row>
    <row r="799" spans="2:2" ht="12.75" customHeight="1">
      <c r="B799" s="73"/>
    </row>
    <row r="800" spans="2:2" ht="12.75" customHeight="1">
      <c r="B800" s="73"/>
    </row>
    <row r="801" spans="2:2" ht="12.75" customHeight="1">
      <c r="B801" s="73"/>
    </row>
    <row r="802" spans="2:2" ht="12.75" customHeight="1">
      <c r="B802" s="73"/>
    </row>
    <row r="803" spans="2:2" ht="12.75" customHeight="1">
      <c r="B803" s="73"/>
    </row>
    <row r="804" spans="2:2" ht="12.75" customHeight="1">
      <c r="B804" s="73"/>
    </row>
    <row r="805" spans="2:2" ht="12.75" customHeight="1">
      <c r="B805" s="73"/>
    </row>
    <row r="806" spans="2:2" ht="12.75" customHeight="1">
      <c r="B806" s="73"/>
    </row>
    <row r="807" spans="2:2" ht="12.75" customHeight="1">
      <c r="B807" s="73"/>
    </row>
    <row r="808" spans="2:2" ht="12.75" customHeight="1">
      <c r="B808" s="73"/>
    </row>
    <row r="809" spans="2:2" ht="12.75" customHeight="1">
      <c r="B809" s="73"/>
    </row>
    <row r="810" spans="2:2" ht="12.75" customHeight="1">
      <c r="B810" s="73"/>
    </row>
    <row r="811" spans="2:2" ht="12.75" customHeight="1">
      <c r="B811" s="73"/>
    </row>
    <row r="812" spans="2:2" ht="12.75" customHeight="1">
      <c r="B812" s="73"/>
    </row>
    <row r="813" spans="2:2" ht="12.75" customHeight="1">
      <c r="B813" s="73"/>
    </row>
    <row r="814" spans="2:2" ht="12.75" customHeight="1">
      <c r="B814" s="73"/>
    </row>
    <row r="815" spans="2:2" ht="12.75" customHeight="1">
      <c r="B815" s="73"/>
    </row>
    <row r="816" spans="2:2" ht="12.75" customHeight="1">
      <c r="B816" s="73"/>
    </row>
    <row r="817" spans="2:2" ht="12.75" customHeight="1">
      <c r="B817" s="73"/>
    </row>
    <row r="818" spans="2:2" ht="12.75" customHeight="1">
      <c r="B818" s="73"/>
    </row>
    <row r="819" spans="2:2" ht="12.75" customHeight="1">
      <c r="B819" s="73"/>
    </row>
    <row r="820" spans="2:2" ht="12.75" customHeight="1">
      <c r="B820" s="73"/>
    </row>
    <row r="821" spans="2:2" ht="12.75" customHeight="1">
      <c r="B821" s="73"/>
    </row>
    <row r="822" spans="2:2" ht="12.75" customHeight="1">
      <c r="B822" s="73"/>
    </row>
    <row r="823" spans="2:2" ht="12.75" customHeight="1">
      <c r="B823" s="73"/>
    </row>
    <row r="824" spans="2:2" ht="12.75" customHeight="1">
      <c r="B824" s="73"/>
    </row>
    <row r="825" spans="2:2" ht="12.75" customHeight="1">
      <c r="B825" s="73"/>
    </row>
    <row r="826" spans="2:2" ht="12.75" customHeight="1">
      <c r="B826" s="73"/>
    </row>
    <row r="827" spans="2:2" ht="12.75" customHeight="1">
      <c r="B827" s="73"/>
    </row>
    <row r="828" spans="2:2" ht="12.75" customHeight="1">
      <c r="B828" s="73"/>
    </row>
    <row r="829" spans="2:2" ht="12.75" customHeight="1">
      <c r="B829" s="73"/>
    </row>
    <row r="830" spans="2:2" ht="12.75" customHeight="1">
      <c r="B830" s="73"/>
    </row>
    <row r="831" spans="2:2" ht="12.75" customHeight="1">
      <c r="B831" s="73"/>
    </row>
    <row r="832" spans="2:2" ht="12.75" customHeight="1">
      <c r="B832" s="73"/>
    </row>
    <row r="833" spans="2:2" ht="12.75" customHeight="1">
      <c r="B833" s="73"/>
    </row>
    <row r="834" spans="2:2" ht="12.75" customHeight="1">
      <c r="B834" s="73"/>
    </row>
    <row r="835" spans="2:2" ht="12.75" customHeight="1">
      <c r="B835" s="73"/>
    </row>
    <row r="836" spans="2:2" ht="12.75" customHeight="1">
      <c r="B836" s="73"/>
    </row>
    <row r="837" spans="2:2" ht="12.75" customHeight="1">
      <c r="B837" s="73"/>
    </row>
    <row r="838" spans="2:2" ht="12.75" customHeight="1">
      <c r="B838" s="73"/>
    </row>
    <row r="839" spans="2:2" ht="12.75" customHeight="1">
      <c r="B839" s="73"/>
    </row>
    <row r="840" spans="2:2" ht="12.75" customHeight="1">
      <c r="B840" s="73"/>
    </row>
    <row r="841" spans="2:2" ht="12.75" customHeight="1">
      <c r="B841" s="73"/>
    </row>
    <row r="842" spans="2:2" ht="12.75" customHeight="1">
      <c r="B842" s="73"/>
    </row>
    <row r="843" spans="2:2" ht="12.75" customHeight="1">
      <c r="B843" s="73"/>
    </row>
    <row r="844" spans="2:2" ht="12.75" customHeight="1">
      <c r="B844" s="73"/>
    </row>
    <row r="845" spans="2:2" ht="12.75" customHeight="1">
      <c r="B845" s="73"/>
    </row>
    <row r="846" spans="2:2" ht="12.75" customHeight="1">
      <c r="B846" s="73"/>
    </row>
    <row r="847" spans="2:2" ht="12.75" customHeight="1">
      <c r="B847" s="73"/>
    </row>
    <row r="848" spans="2:2" ht="12.75" customHeight="1">
      <c r="B848" s="73"/>
    </row>
    <row r="849" spans="2:2" ht="12.75" customHeight="1">
      <c r="B849" s="73"/>
    </row>
    <row r="850" spans="2:2" ht="12.75" customHeight="1">
      <c r="B850" s="73"/>
    </row>
    <row r="851" spans="2:2" ht="12.75" customHeight="1">
      <c r="B851" s="73"/>
    </row>
    <row r="852" spans="2:2" ht="12.75" customHeight="1">
      <c r="B852" s="73"/>
    </row>
    <row r="853" spans="2:2" ht="12.75" customHeight="1">
      <c r="B853" s="73"/>
    </row>
    <row r="854" spans="2:2" ht="12.75" customHeight="1">
      <c r="B854" s="73"/>
    </row>
    <row r="855" spans="2:2" ht="12.75" customHeight="1">
      <c r="B855" s="73"/>
    </row>
    <row r="856" spans="2:2" ht="12.75" customHeight="1">
      <c r="B856" s="73"/>
    </row>
    <row r="857" spans="2:2" ht="12.75" customHeight="1">
      <c r="B857" s="73"/>
    </row>
    <row r="858" spans="2:2" ht="12.75" customHeight="1">
      <c r="B858" s="73"/>
    </row>
    <row r="859" spans="2:2" ht="12.75" customHeight="1">
      <c r="B859" s="73"/>
    </row>
    <row r="860" spans="2:2" ht="12.75" customHeight="1">
      <c r="B860" s="73"/>
    </row>
    <row r="861" spans="2:2" ht="12.75" customHeight="1">
      <c r="B861" s="73"/>
    </row>
    <row r="862" spans="2:2" ht="12.75" customHeight="1">
      <c r="B862" s="73"/>
    </row>
    <row r="863" spans="2:2" ht="12.75" customHeight="1">
      <c r="B863" s="73"/>
    </row>
    <row r="864" spans="2:2" ht="12.75" customHeight="1">
      <c r="B864" s="73"/>
    </row>
    <row r="865" spans="2:2" ht="12.75" customHeight="1">
      <c r="B865" s="73"/>
    </row>
    <row r="866" spans="2:2" ht="12.75" customHeight="1">
      <c r="B866" s="73"/>
    </row>
    <row r="867" spans="2:2" ht="12.75" customHeight="1">
      <c r="B867" s="73"/>
    </row>
    <row r="868" spans="2:2" ht="12.75" customHeight="1">
      <c r="B868" s="73"/>
    </row>
    <row r="869" spans="2:2" ht="12.75" customHeight="1">
      <c r="B869" s="73"/>
    </row>
    <row r="870" spans="2:2" ht="12.75" customHeight="1">
      <c r="B870" s="73"/>
    </row>
    <row r="871" spans="2:2" ht="12.75" customHeight="1">
      <c r="B871" s="73"/>
    </row>
    <row r="872" spans="2:2" ht="12.75" customHeight="1">
      <c r="B872" s="73"/>
    </row>
    <row r="873" spans="2:2" ht="12.75" customHeight="1">
      <c r="B873" s="73"/>
    </row>
    <row r="874" spans="2:2" ht="12.75" customHeight="1">
      <c r="B874" s="73"/>
    </row>
    <row r="875" spans="2:2" ht="12.75" customHeight="1">
      <c r="B875" s="73"/>
    </row>
    <row r="876" spans="2:2" ht="12.75" customHeight="1">
      <c r="B876" s="73"/>
    </row>
    <row r="877" spans="2:2" ht="12.75" customHeight="1">
      <c r="B877" s="73"/>
    </row>
    <row r="878" spans="2:2" ht="12.75" customHeight="1">
      <c r="B878" s="73"/>
    </row>
    <row r="879" spans="2:2" ht="12.75" customHeight="1">
      <c r="B879" s="73"/>
    </row>
    <row r="880" spans="2:2" ht="12.75" customHeight="1">
      <c r="B880" s="73"/>
    </row>
    <row r="881" spans="2:2" ht="12.75" customHeight="1">
      <c r="B881" s="73"/>
    </row>
    <row r="882" spans="2:2" ht="12.75" customHeight="1">
      <c r="B882" s="73"/>
    </row>
    <row r="883" spans="2:2" ht="12.75" customHeight="1">
      <c r="B883" s="73"/>
    </row>
    <row r="884" spans="2:2" ht="12.75" customHeight="1">
      <c r="B884" s="73"/>
    </row>
    <row r="885" spans="2:2" ht="12.75" customHeight="1">
      <c r="B885" s="73"/>
    </row>
    <row r="886" spans="2:2" ht="12.75" customHeight="1">
      <c r="B886" s="73"/>
    </row>
    <row r="887" spans="2:2" ht="12.75" customHeight="1">
      <c r="B887" s="73"/>
    </row>
    <row r="888" spans="2:2" ht="12.75" customHeight="1">
      <c r="B888" s="73"/>
    </row>
    <row r="889" spans="2:2" ht="12.75" customHeight="1">
      <c r="B889" s="73"/>
    </row>
    <row r="890" spans="2:2" ht="12.75" customHeight="1">
      <c r="B890" s="73"/>
    </row>
    <row r="891" spans="2:2" ht="12.75" customHeight="1">
      <c r="B891" s="73"/>
    </row>
    <row r="892" spans="2:2" ht="12.75" customHeight="1">
      <c r="B892" s="73"/>
    </row>
    <row r="893" spans="2:2" ht="12.75" customHeight="1">
      <c r="B893" s="73"/>
    </row>
    <row r="894" spans="2:2" ht="12.75" customHeight="1">
      <c r="B894" s="73"/>
    </row>
    <row r="895" spans="2:2" ht="12.75" customHeight="1">
      <c r="B895" s="73"/>
    </row>
    <row r="896" spans="2:2" ht="12.75" customHeight="1">
      <c r="B896" s="73"/>
    </row>
    <row r="897" spans="2:2" ht="12.75" customHeight="1">
      <c r="B897" s="73"/>
    </row>
    <row r="898" spans="2:2" ht="12.75" customHeight="1">
      <c r="B898" s="73"/>
    </row>
    <row r="899" spans="2:2" ht="12.75" customHeight="1">
      <c r="B899" s="73"/>
    </row>
    <row r="900" spans="2:2" ht="12.75" customHeight="1">
      <c r="B900" s="73"/>
    </row>
    <row r="901" spans="2:2" ht="12.75" customHeight="1">
      <c r="B901" s="73"/>
    </row>
    <row r="902" spans="2:2" ht="12.75" customHeight="1">
      <c r="B902" s="73"/>
    </row>
    <row r="903" spans="2:2" ht="12.75" customHeight="1">
      <c r="B903" s="73"/>
    </row>
    <row r="904" spans="2:2" ht="12.75" customHeight="1">
      <c r="B904" s="73"/>
    </row>
    <row r="905" spans="2:2" ht="12.75" customHeight="1">
      <c r="B905" s="73"/>
    </row>
    <row r="906" spans="2:2" ht="12.75" customHeight="1">
      <c r="B906" s="73"/>
    </row>
    <row r="907" spans="2:2" ht="12.75" customHeight="1">
      <c r="B907" s="73"/>
    </row>
    <row r="908" spans="2:2" ht="12.75" customHeight="1">
      <c r="B908" s="73"/>
    </row>
    <row r="909" spans="2:2" ht="12.75" customHeight="1">
      <c r="B909" s="73"/>
    </row>
    <row r="910" spans="2:2" ht="12.75" customHeight="1">
      <c r="B910" s="73"/>
    </row>
    <row r="911" spans="2:2" ht="12.75" customHeight="1">
      <c r="B911" s="73"/>
    </row>
    <row r="912" spans="2:2" ht="12.75" customHeight="1">
      <c r="B912" s="73"/>
    </row>
    <row r="913" spans="2:2" ht="12.75" customHeight="1">
      <c r="B913" s="73"/>
    </row>
    <row r="914" spans="2:2" ht="12.75" customHeight="1">
      <c r="B914" s="73"/>
    </row>
    <row r="915" spans="2:2" ht="12.75" customHeight="1">
      <c r="B915" s="73"/>
    </row>
    <row r="916" spans="2:2" ht="12.75" customHeight="1">
      <c r="B916" s="73"/>
    </row>
    <row r="917" spans="2:2" ht="12.75" customHeight="1">
      <c r="B917" s="73"/>
    </row>
    <row r="918" spans="2:2" ht="12.75" customHeight="1">
      <c r="B918" s="73"/>
    </row>
    <row r="919" spans="2:2" ht="12.75" customHeight="1">
      <c r="B919" s="73"/>
    </row>
    <row r="920" spans="2:2" ht="12.75" customHeight="1">
      <c r="B920" s="73"/>
    </row>
    <row r="921" spans="2:2" ht="12.75" customHeight="1">
      <c r="B921" s="73"/>
    </row>
    <row r="922" spans="2:2" ht="12.75" customHeight="1">
      <c r="B922" s="73"/>
    </row>
    <row r="923" spans="2:2" ht="12.75" customHeight="1">
      <c r="B923" s="73"/>
    </row>
    <row r="924" spans="2:2" ht="12.75" customHeight="1">
      <c r="B924" s="73"/>
    </row>
    <row r="925" spans="2:2" ht="12.75" customHeight="1">
      <c r="B925" s="73"/>
    </row>
    <row r="926" spans="2:2" ht="12.75" customHeight="1">
      <c r="B926" s="73"/>
    </row>
    <row r="927" spans="2:2" ht="12.75" customHeight="1">
      <c r="B927" s="73"/>
    </row>
    <row r="928" spans="2:2" ht="12.75" customHeight="1">
      <c r="B928" s="73"/>
    </row>
    <row r="929" spans="2:2" ht="12.75" customHeight="1">
      <c r="B929" s="73"/>
    </row>
    <row r="930" spans="2:2" ht="12.75" customHeight="1">
      <c r="B930" s="73"/>
    </row>
    <row r="931" spans="2:2" ht="12.75" customHeight="1">
      <c r="B931" s="73"/>
    </row>
    <row r="932" spans="2:2" ht="12.75" customHeight="1">
      <c r="B932" s="73"/>
    </row>
    <row r="933" spans="2:2" ht="12.75" customHeight="1">
      <c r="B933" s="73"/>
    </row>
    <row r="934" spans="2:2" ht="12.75" customHeight="1">
      <c r="B934" s="73"/>
    </row>
    <row r="935" spans="2:2" ht="12.75" customHeight="1">
      <c r="B935" s="73"/>
    </row>
    <row r="936" spans="2:2" ht="12.75" customHeight="1">
      <c r="B936" s="73"/>
    </row>
    <row r="937" spans="2:2" ht="12.75" customHeight="1">
      <c r="B937" s="73"/>
    </row>
    <row r="938" spans="2:2" ht="12.75" customHeight="1">
      <c r="B938" s="73"/>
    </row>
    <row r="939" spans="2:2" ht="12.75" customHeight="1">
      <c r="B939" s="73"/>
    </row>
    <row r="940" spans="2:2" ht="12.75" customHeight="1">
      <c r="B940" s="73"/>
    </row>
    <row r="941" spans="2:2" ht="12.75" customHeight="1">
      <c r="B941" s="73"/>
    </row>
    <row r="942" spans="2:2" ht="12.75" customHeight="1">
      <c r="B942" s="73"/>
    </row>
    <row r="943" spans="2:2" ht="12.75" customHeight="1">
      <c r="B943" s="73"/>
    </row>
    <row r="944" spans="2:2" ht="12.75" customHeight="1">
      <c r="B944" s="73"/>
    </row>
    <row r="945" spans="2:2" ht="12.75" customHeight="1">
      <c r="B945" s="73"/>
    </row>
    <row r="946" spans="2:2" ht="12.75" customHeight="1">
      <c r="B946" s="73"/>
    </row>
    <row r="947" spans="2:2" ht="12.75" customHeight="1">
      <c r="B947" s="73"/>
    </row>
    <row r="948" spans="2:2" ht="12.75" customHeight="1">
      <c r="B948" s="73"/>
    </row>
    <row r="949" spans="2:2" ht="12.75" customHeight="1">
      <c r="B949" s="73"/>
    </row>
    <row r="950" spans="2:2" ht="12.75" customHeight="1">
      <c r="B950" s="73"/>
    </row>
    <row r="951" spans="2:2" ht="12.75" customHeight="1">
      <c r="B951" s="73"/>
    </row>
    <row r="952" spans="2:2" ht="12.75" customHeight="1">
      <c r="B952" s="73"/>
    </row>
    <row r="953" spans="2:2" ht="12.75" customHeight="1">
      <c r="B953" s="73"/>
    </row>
    <row r="954" spans="2:2" ht="12.75" customHeight="1">
      <c r="B954" s="73"/>
    </row>
    <row r="955" spans="2:2" ht="12.75" customHeight="1">
      <c r="B955" s="73"/>
    </row>
    <row r="956" spans="2:2" ht="12.75" customHeight="1">
      <c r="B956" s="73"/>
    </row>
    <row r="957" spans="2:2" ht="12.75" customHeight="1">
      <c r="B957" s="73"/>
    </row>
    <row r="958" spans="2:2" ht="12.75" customHeight="1">
      <c r="B958" s="73"/>
    </row>
    <row r="959" spans="2:2" ht="12.75" customHeight="1">
      <c r="B959" s="73"/>
    </row>
    <row r="960" spans="2:2" ht="12.75" customHeight="1">
      <c r="B960" s="73"/>
    </row>
    <row r="961" spans="2:2" ht="12.75" customHeight="1">
      <c r="B961" s="73"/>
    </row>
    <row r="962" spans="2:2" ht="12.75" customHeight="1">
      <c r="B962" s="73"/>
    </row>
    <row r="963" spans="2:2" ht="12.75" customHeight="1">
      <c r="B963" s="73"/>
    </row>
    <row r="964" spans="2:2" ht="12.75" customHeight="1">
      <c r="B964" s="73"/>
    </row>
    <row r="965" spans="2:2" ht="12.75" customHeight="1">
      <c r="B965" s="73"/>
    </row>
    <row r="966" spans="2:2" ht="12.75" customHeight="1">
      <c r="B966" s="73"/>
    </row>
    <row r="967" spans="2:2" ht="12.75" customHeight="1">
      <c r="B967" s="73"/>
    </row>
    <row r="968" spans="2:2" ht="12.75" customHeight="1">
      <c r="B968" s="73"/>
    </row>
    <row r="969" spans="2:2" ht="12.75" customHeight="1">
      <c r="B969" s="73"/>
    </row>
    <row r="970" spans="2:2" ht="12.75" customHeight="1">
      <c r="B970" s="73"/>
    </row>
    <row r="971" spans="2:2" ht="12.75" customHeight="1">
      <c r="B971" s="73"/>
    </row>
    <row r="972" spans="2:2" ht="12.75" customHeight="1">
      <c r="B972" s="73"/>
    </row>
    <row r="973" spans="2:2" ht="12.75" customHeight="1">
      <c r="B973" s="73"/>
    </row>
    <row r="974" spans="2:2" ht="12.75" customHeight="1">
      <c r="B974" s="73"/>
    </row>
    <row r="975" spans="2:2" ht="12.75" customHeight="1">
      <c r="B975" s="73"/>
    </row>
    <row r="976" spans="2:2" ht="12.75" customHeight="1">
      <c r="B976" s="73"/>
    </row>
    <row r="977" spans="2:2" ht="12.75" customHeight="1">
      <c r="B977" s="73"/>
    </row>
    <row r="978" spans="2:2" ht="12.75" customHeight="1">
      <c r="B978" s="73"/>
    </row>
    <row r="979" spans="2:2" ht="12.75" customHeight="1">
      <c r="B979" s="73"/>
    </row>
    <row r="980" spans="2:2" ht="12.75" customHeight="1">
      <c r="B980" s="73"/>
    </row>
    <row r="981" spans="2:2" ht="12.75" customHeight="1">
      <c r="B981" s="73"/>
    </row>
    <row r="982" spans="2:2" ht="12.75" customHeight="1">
      <c r="B982" s="73"/>
    </row>
    <row r="983" spans="2:2" ht="12.75" customHeight="1">
      <c r="B983" s="73"/>
    </row>
    <row r="984" spans="2:2" ht="12.75" customHeight="1">
      <c r="B984" s="73"/>
    </row>
    <row r="985" spans="2:2" ht="12.75" customHeight="1">
      <c r="B985" s="73"/>
    </row>
    <row r="986" spans="2:2" ht="12.75" customHeight="1">
      <c r="B986" s="73"/>
    </row>
    <row r="987" spans="2:2" ht="12.75" customHeight="1">
      <c r="B987" s="73"/>
    </row>
    <row r="988" spans="2:2" ht="12.75" customHeight="1">
      <c r="B988" s="73"/>
    </row>
    <row r="989" spans="2:2" ht="12.75" customHeight="1">
      <c r="B989" s="73"/>
    </row>
    <row r="990" spans="2:2" ht="12.75" customHeight="1">
      <c r="B990" s="73"/>
    </row>
    <row r="991" spans="2:2" ht="12.75" customHeight="1">
      <c r="B991" s="73"/>
    </row>
    <row r="992" spans="2:2" ht="12.75" customHeight="1">
      <c r="B992" s="73"/>
    </row>
    <row r="993" spans="2:2" ht="12.75" customHeight="1">
      <c r="B993" s="73"/>
    </row>
    <row r="994" spans="2:2" ht="12.75" customHeight="1">
      <c r="B994" s="73"/>
    </row>
    <row r="995" spans="2:2" ht="12.75" customHeight="1">
      <c r="B995" s="73"/>
    </row>
    <row r="996" spans="2:2" ht="12.75" customHeight="1">
      <c r="B996" s="73"/>
    </row>
    <row r="997" spans="2:2" ht="12.75" customHeight="1">
      <c r="B997" s="73"/>
    </row>
    <row r="998" spans="2:2" ht="12.75" customHeight="1">
      <c r="B998" s="73"/>
    </row>
    <row r="999" spans="2:2" ht="12.75" customHeight="1">
      <c r="B999" s="73"/>
    </row>
    <row r="1000" spans="2:2" ht="12.75" customHeight="1">
      <c r="B1000" s="73"/>
    </row>
    <row r="1001" spans="2:2" ht="12.75" customHeight="1">
      <c r="B1001" s="73"/>
    </row>
    <row r="1002" spans="2:2" ht="12.75" customHeight="1">
      <c r="B1002" s="73"/>
    </row>
    <row r="1003" spans="2:2" ht="12.75" customHeight="1">
      <c r="B1003" s="73"/>
    </row>
    <row r="1004" spans="2:2" ht="12.75" customHeight="1">
      <c r="B1004" s="73"/>
    </row>
    <row r="1005" spans="2:2" ht="12.75" customHeight="1">
      <c r="B1005" s="73"/>
    </row>
    <row r="1006" spans="2:2" ht="12.75" customHeight="1">
      <c r="B1006" s="73"/>
    </row>
    <row r="1007" spans="2:2" ht="12.75" customHeight="1">
      <c r="B1007" s="73"/>
    </row>
    <row r="1008" spans="2:2" ht="12.75" customHeight="1">
      <c r="B1008" s="73"/>
    </row>
    <row r="1009" spans="2:2" ht="12.75" customHeight="1">
      <c r="B1009" s="73"/>
    </row>
    <row r="1010" spans="2:2" ht="12.75" customHeight="1">
      <c r="B1010" s="73"/>
    </row>
    <row r="1011" spans="2:2" ht="12.75" customHeight="1">
      <c r="B1011" s="73"/>
    </row>
    <row r="1012" spans="2:2" ht="12.75" customHeight="1">
      <c r="B1012" s="73"/>
    </row>
    <row r="1013" spans="2:2" ht="12.75" customHeight="1">
      <c r="B1013" s="73"/>
    </row>
    <row r="1014" spans="2:2" ht="12.75" customHeight="1">
      <c r="B1014" s="73"/>
    </row>
    <row r="1015" spans="2:2" ht="12.75" customHeight="1">
      <c r="B1015" s="73"/>
    </row>
    <row r="1016" spans="2:2" ht="12.75" customHeight="1">
      <c r="B1016" s="73"/>
    </row>
    <row r="1017" spans="2:2" ht="12.75" customHeight="1">
      <c r="B1017" s="73"/>
    </row>
    <row r="1018" spans="2:2" ht="12.75" customHeight="1">
      <c r="B1018" s="73"/>
    </row>
    <row r="1019" spans="2:2" ht="12.75" customHeight="1">
      <c r="B1019" s="73"/>
    </row>
    <row r="1020" spans="2:2" ht="12.75" customHeight="1">
      <c r="B1020" s="73"/>
    </row>
    <row r="1021" spans="2:2" ht="12.75" customHeight="1">
      <c r="B1021" s="73"/>
    </row>
    <row r="1022" spans="2:2" ht="12.75" customHeight="1">
      <c r="B1022" s="73"/>
    </row>
    <row r="1023" spans="2:2" ht="12.75" customHeight="1">
      <c r="B1023" s="73"/>
    </row>
    <row r="1024" spans="2:2" ht="12.75" customHeight="1">
      <c r="B1024" s="73"/>
    </row>
    <row r="1025" spans="2:2" ht="12.75" customHeight="1">
      <c r="B1025" s="73"/>
    </row>
    <row r="1026" spans="2:2" ht="12.75" customHeight="1">
      <c r="B1026" s="73"/>
    </row>
    <row r="1027" spans="2:2" ht="12.75" customHeight="1">
      <c r="B1027" s="73"/>
    </row>
    <row r="1028" spans="2:2" ht="12.75" customHeight="1">
      <c r="B1028" s="73"/>
    </row>
    <row r="1029" spans="2:2" ht="12.75" customHeight="1">
      <c r="B1029" s="73"/>
    </row>
    <row r="1030" spans="2:2" ht="12.75" customHeight="1">
      <c r="B1030" s="73"/>
    </row>
    <row r="1031" spans="2:2" ht="12.75" customHeight="1">
      <c r="B1031" s="73"/>
    </row>
    <row r="1032" spans="2:2" ht="12.75" customHeight="1">
      <c r="B1032" s="73"/>
    </row>
    <row r="1033" spans="2:2" ht="12.75" customHeight="1">
      <c r="B1033" s="73"/>
    </row>
    <row r="1034" spans="2:2" ht="12.75" customHeight="1">
      <c r="B1034" s="73"/>
    </row>
    <row r="1035" spans="2:2" ht="12.75" customHeight="1">
      <c r="B1035" s="73"/>
    </row>
    <row r="1036" spans="2:2" ht="12.75" customHeight="1">
      <c r="B1036" s="73"/>
    </row>
    <row r="1037" spans="2:2" ht="12.75" customHeight="1">
      <c r="B1037" s="73"/>
    </row>
    <row r="1038" spans="2:2" ht="12.75" customHeight="1">
      <c r="B1038" s="73"/>
    </row>
    <row r="1039" spans="2:2" ht="12.75" customHeight="1">
      <c r="B1039" s="73"/>
    </row>
    <row r="1040" spans="2:2" ht="12.75" customHeight="1">
      <c r="B1040" s="73"/>
    </row>
    <row r="1041" spans="2:2" ht="12.75" customHeight="1">
      <c r="B1041" s="73"/>
    </row>
    <row r="1042" spans="2:2" ht="12.75" customHeight="1">
      <c r="B1042" s="73"/>
    </row>
    <row r="1043" spans="2:2" ht="12.75" customHeight="1">
      <c r="B1043" s="73"/>
    </row>
    <row r="1044" spans="2:2" ht="12.75" customHeight="1">
      <c r="B1044" s="73"/>
    </row>
    <row r="1045" spans="2:2" ht="12.75" customHeight="1">
      <c r="B1045" s="73"/>
    </row>
    <row r="1046" spans="2:2" ht="12.75" customHeight="1">
      <c r="B1046" s="73"/>
    </row>
    <row r="1047" spans="2:2" ht="12.75" customHeight="1">
      <c r="B1047" s="73"/>
    </row>
    <row r="1048" spans="2:2" ht="12.75" customHeight="1">
      <c r="B1048" s="73"/>
    </row>
    <row r="1049" spans="2:2" ht="12.75" customHeight="1">
      <c r="B1049" s="73"/>
    </row>
    <row r="1050" spans="2:2" ht="12.75" customHeight="1">
      <c r="B1050" s="73"/>
    </row>
    <row r="1051" spans="2:2" ht="12.75" customHeight="1">
      <c r="B1051" s="73"/>
    </row>
    <row r="1052" spans="2:2" ht="12.75" customHeight="1">
      <c r="B1052" s="73"/>
    </row>
    <row r="1053" spans="2:2" ht="12.75" customHeight="1">
      <c r="B1053" s="73"/>
    </row>
    <row r="1054" spans="2:2" ht="12.75" customHeight="1">
      <c r="B1054" s="73"/>
    </row>
    <row r="1055" spans="2:2" ht="12.75" customHeight="1">
      <c r="B1055" s="73"/>
    </row>
    <row r="1056" spans="2:2" ht="12.75" customHeight="1">
      <c r="B1056" s="73"/>
    </row>
    <row r="1057" spans="2:2" ht="12.75" customHeight="1">
      <c r="B1057" s="73"/>
    </row>
    <row r="1058" spans="2:2" ht="12.75" customHeight="1">
      <c r="B1058" s="73"/>
    </row>
    <row r="1059" spans="2:2" ht="12.75" customHeight="1">
      <c r="B1059" s="73"/>
    </row>
    <row r="1060" spans="2:2" ht="12.75" customHeight="1">
      <c r="B1060" s="73"/>
    </row>
    <row r="1061" spans="2:2" ht="12.75" customHeight="1">
      <c r="B1061" s="73"/>
    </row>
    <row r="1062" spans="2:2" ht="12.75" customHeight="1">
      <c r="B1062" s="73"/>
    </row>
    <row r="1063" spans="2:2" ht="12.75" customHeight="1">
      <c r="B1063" s="73"/>
    </row>
    <row r="1064" spans="2:2" ht="12.75" customHeight="1">
      <c r="B1064" s="73"/>
    </row>
    <row r="1065" spans="2:2" ht="12.75" customHeight="1">
      <c r="B1065" s="73"/>
    </row>
    <row r="1066" spans="2:2" ht="12.75" customHeight="1">
      <c r="B1066" s="73"/>
    </row>
    <row r="1067" spans="2:2" ht="12.75" customHeight="1">
      <c r="B1067" s="73"/>
    </row>
    <row r="1068" spans="2:2" ht="12.75" customHeight="1">
      <c r="B1068" s="73"/>
    </row>
    <row r="1069" spans="2:2" ht="12.75" customHeight="1">
      <c r="B1069" s="73"/>
    </row>
    <row r="1070" spans="2:2" ht="12.75" customHeight="1">
      <c r="B1070" s="73"/>
    </row>
    <row r="1071" spans="2:2" ht="12.75" customHeight="1">
      <c r="B1071" s="73"/>
    </row>
    <row r="1072" spans="2:2" ht="12.75" customHeight="1">
      <c r="B1072" s="73"/>
    </row>
    <row r="1073" spans="2:2" ht="12.75" customHeight="1">
      <c r="B1073" s="73"/>
    </row>
    <row r="1074" spans="2:2" ht="12.75" customHeight="1">
      <c r="B1074" s="73"/>
    </row>
    <row r="1075" spans="2:2" ht="12.75" customHeight="1">
      <c r="B1075" s="73"/>
    </row>
    <row r="1076" spans="2:2" ht="12.75" customHeight="1">
      <c r="B1076" s="73"/>
    </row>
    <row r="1077" spans="2:2" ht="12.75" customHeight="1">
      <c r="B1077" s="73"/>
    </row>
    <row r="1078" spans="2:2" ht="12.75" customHeight="1">
      <c r="B1078" s="73"/>
    </row>
    <row r="1079" spans="2:2" ht="12.75" customHeight="1">
      <c r="B1079" s="73"/>
    </row>
    <row r="1080" spans="2:2" ht="12.75" customHeight="1">
      <c r="B1080" s="73"/>
    </row>
    <row r="1081" spans="2:2" ht="12.75" customHeight="1">
      <c r="B1081" s="73"/>
    </row>
    <row r="1082" spans="2:2" ht="12.75" customHeight="1">
      <c r="B1082" s="73"/>
    </row>
    <row r="1083" spans="2:2" ht="12.75" customHeight="1">
      <c r="B1083" s="73"/>
    </row>
    <row r="1084" spans="2:2" ht="12.75" customHeight="1">
      <c r="B1084" s="73"/>
    </row>
    <row r="1085" spans="2:2" ht="12.75" customHeight="1">
      <c r="B1085" s="73"/>
    </row>
    <row r="1086" spans="2:2" ht="12.75" customHeight="1">
      <c r="B1086" s="73"/>
    </row>
    <row r="1087" spans="2:2" ht="12.75" customHeight="1">
      <c r="B1087" s="73"/>
    </row>
    <row r="1088" spans="2:2" ht="12.75" customHeight="1">
      <c r="B1088" s="73"/>
    </row>
    <row r="1089" spans="2:2" ht="12.75" customHeight="1">
      <c r="B1089" s="73"/>
    </row>
    <row r="1090" spans="2:2" ht="12.75" customHeight="1">
      <c r="B1090" s="73"/>
    </row>
    <row r="1091" spans="2:2" ht="12.75" customHeight="1">
      <c r="B1091" s="73"/>
    </row>
    <row r="1092" spans="2:2" ht="12.75" customHeight="1">
      <c r="B1092" s="73"/>
    </row>
    <row r="1093" spans="2:2" ht="12.75" customHeight="1">
      <c r="B1093" s="73"/>
    </row>
    <row r="1094" spans="2:2" ht="12.75" customHeight="1">
      <c r="B1094" s="73"/>
    </row>
    <row r="1095" spans="2:2" ht="12.75" customHeight="1">
      <c r="B1095" s="73"/>
    </row>
    <row r="1096" spans="2:2" ht="12.75" customHeight="1">
      <c r="B1096" s="73"/>
    </row>
    <row r="1097" spans="2:2" ht="12.75" customHeight="1">
      <c r="B1097" s="73"/>
    </row>
    <row r="1098" spans="2:2" ht="12.75" customHeight="1">
      <c r="B1098" s="73"/>
    </row>
    <row r="1099" spans="2:2" ht="12.75" customHeight="1">
      <c r="B1099" s="73"/>
    </row>
    <row r="1100" spans="2:2" ht="12.75" customHeight="1">
      <c r="B1100" s="73"/>
    </row>
    <row r="1101" spans="2:2" ht="12.75" customHeight="1">
      <c r="B1101" s="73"/>
    </row>
    <row r="1102" spans="2:2" ht="12.75" customHeight="1">
      <c r="B1102" s="73"/>
    </row>
    <row r="1103" spans="2:2" ht="12.75" customHeight="1">
      <c r="B1103" s="73"/>
    </row>
    <row r="1104" spans="2:2" ht="12.75" customHeight="1">
      <c r="B1104" s="73"/>
    </row>
    <row r="1105" spans="2:2" ht="12.75" customHeight="1">
      <c r="B1105" s="73"/>
    </row>
    <row r="1106" spans="2:2" ht="12.75" customHeight="1">
      <c r="B1106" s="73"/>
    </row>
    <row r="1107" spans="2:2" ht="12.75" customHeight="1">
      <c r="B1107" s="73"/>
    </row>
    <row r="1108" spans="2:2" ht="12.75" customHeight="1">
      <c r="B1108" s="73"/>
    </row>
    <row r="1109" spans="2:2" ht="12.75" customHeight="1">
      <c r="B1109" s="73"/>
    </row>
    <row r="1110" spans="2:2" ht="12.75" customHeight="1">
      <c r="B1110" s="73"/>
    </row>
    <row r="1111" spans="2:2" ht="12.75" customHeight="1">
      <c r="B1111" s="73"/>
    </row>
    <row r="1112" spans="2:2" ht="12.75" customHeight="1">
      <c r="B1112" s="73"/>
    </row>
    <row r="1113" spans="2:2" ht="12.75" customHeight="1">
      <c r="B1113" s="73"/>
    </row>
    <row r="1114" spans="2:2" ht="12.75" customHeight="1">
      <c r="B1114" s="73"/>
    </row>
    <row r="1115" spans="2:2" ht="12.75" customHeight="1">
      <c r="B1115" s="73"/>
    </row>
    <row r="1116" spans="2:2" ht="12.75" customHeight="1">
      <c r="B1116" s="73"/>
    </row>
    <row r="1117" spans="2:2" ht="12.75" customHeight="1">
      <c r="B1117" s="73"/>
    </row>
    <row r="1118" spans="2:2" ht="12.75" customHeight="1">
      <c r="B1118" s="73"/>
    </row>
    <row r="1119" spans="2:2" ht="12.75" customHeight="1">
      <c r="B1119" s="73"/>
    </row>
    <row r="1120" spans="2:2" ht="12.75" customHeight="1">
      <c r="B1120" s="73"/>
    </row>
    <row r="1121" spans="2:2" ht="12.75" customHeight="1">
      <c r="B1121" s="73"/>
    </row>
    <row r="1122" spans="2:2" ht="12.75" customHeight="1">
      <c r="B1122" s="73"/>
    </row>
    <row r="1123" spans="2:2" ht="12.75" customHeight="1">
      <c r="B1123" s="73"/>
    </row>
    <row r="1124" spans="2:2" ht="12.75" customHeight="1">
      <c r="B1124" s="73"/>
    </row>
    <row r="1125" spans="2:2" ht="12.75" customHeight="1">
      <c r="B1125" s="73"/>
    </row>
    <row r="1126" spans="2:2" ht="12.75" customHeight="1">
      <c r="B1126" s="73"/>
    </row>
    <row r="1127" spans="2:2" ht="12.75" customHeight="1">
      <c r="B1127" s="73"/>
    </row>
    <row r="1128" spans="2:2" ht="12.75" customHeight="1">
      <c r="B1128" s="73"/>
    </row>
    <row r="1129" spans="2:2" ht="12.75" customHeight="1">
      <c r="B1129" s="73"/>
    </row>
    <row r="1130" spans="2:2" ht="12.75" customHeight="1">
      <c r="B1130" s="73"/>
    </row>
    <row r="1131" spans="2:2" ht="12.75" customHeight="1">
      <c r="B1131" s="73"/>
    </row>
    <row r="1132" spans="2:2" ht="12.75" customHeight="1">
      <c r="B1132" s="73"/>
    </row>
    <row r="1133" spans="2:2" ht="12.75" customHeight="1">
      <c r="B1133" s="73"/>
    </row>
    <row r="1134" spans="2:2" ht="12.75" customHeight="1">
      <c r="B1134" s="73"/>
    </row>
    <row r="1135" spans="2:2" ht="12.75" customHeight="1">
      <c r="B1135" s="73"/>
    </row>
    <row r="1136" spans="2:2" ht="12.75" customHeight="1">
      <c r="B1136" s="73"/>
    </row>
    <row r="1137" spans="2:2" ht="12.75" customHeight="1">
      <c r="B1137" s="73"/>
    </row>
    <row r="1138" spans="2:2" ht="12.75" customHeight="1">
      <c r="B1138" s="73"/>
    </row>
    <row r="1139" spans="2:2" ht="12.75" customHeight="1">
      <c r="B1139" s="73"/>
    </row>
    <row r="1140" spans="2:2" ht="12.75" customHeight="1">
      <c r="B1140" s="73"/>
    </row>
    <row r="1141" spans="2:2" ht="12.75" customHeight="1">
      <c r="B1141" s="73"/>
    </row>
    <row r="1142" spans="2:2" ht="12.75" customHeight="1">
      <c r="B1142" s="73"/>
    </row>
    <row r="1143" spans="2:2" ht="12.75" customHeight="1">
      <c r="B1143" s="73"/>
    </row>
    <row r="1144" spans="2:2" ht="12.75" customHeight="1">
      <c r="B1144" s="73"/>
    </row>
    <row r="1145" spans="2:2" ht="12.75" customHeight="1">
      <c r="B1145" s="73"/>
    </row>
    <row r="1146" spans="2:2" ht="12.75" customHeight="1">
      <c r="B1146" s="73"/>
    </row>
    <row r="1147" spans="2:2" ht="12.75" customHeight="1">
      <c r="B1147" s="73"/>
    </row>
    <row r="1148" spans="2:2" ht="12.75" customHeight="1">
      <c r="B1148" s="73"/>
    </row>
    <row r="1149" spans="2:2" ht="12.75" customHeight="1">
      <c r="B1149" s="73"/>
    </row>
    <row r="1150" spans="2:2" ht="12.75" customHeight="1">
      <c r="B1150" s="73"/>
    </row>
    <row r="1151" spans="2:2" ht="12.75" customHeight="1">
      <c r="B1151" s="73"/>
    </row>
    <row r="1152" spans="2:2" ht="12.75" customHeight="1">
      <c r="B1152" s="73"/>
    </row>
    <row r="1153" spans="2:2" ht="12.75" customHeight="1">
      <c r="B1153" s="73"/>
    </row>
    <row r="1154" spans="2:2" ht="12.75" customHeight="1">
      <c r="B1154" s="73"/>
    </row>
    <row r="1155" spans="2:2" ht="12.75" customHeight="1">
      <c r="B1155" s="73"/>
    </row>
    <row r="1156" spans="2:2" ht="12.75" customHeight="1">
      <c r="B1156" s="73"/>
    </row>
    <row r="1157" spans="2:2" ht="12.75" customHeight="1">
      <c r="B1157" s="73"/>
    </row>
    <row r="1158" spans="2:2" ht="12.75" customHeight="1">
      <c r="B1158" s="73"/>
    </row>
    <row r="1159" spans="2:2" ht="12.75" customHeight="1">
      <c r="B1159" s="73"/>
    </row>
    <row r="1160" spans="2:2" ht="12.75" customHeight="1">
      <c r="B1160" s="73"/>
    </row>
    <row r="1161" spans="2:2" ht="12.75" customHeight="1">
      <c r="B1161" s="73"/>
    </row>
    <row r="1162" spans="2:2" ht="12.75" customHeight="1">
      <c r="B1162" s="73"/>
    </row>
    <row r="1163" spans="2:2" ht="12.75" customHeight="1">
      <c r="B1163" s="73"/>
    </row>
    <row r="1164" spans="2:2" ht="12.75" customHeight="1">
      <c r="B1164" s="73"/>
    </row>
    <row r="1165" spans="2:2" ht="12.75" customHeight="1">
      <c r="B1165" s="73"/>
    </row>
    <row r="1166" spans="2:2" ht="12.75" customHeight="1">
      <c r="B1166" s="73"/>
    </row>
    <row r="1167" spans="2:2" ht="12.75" customHeight="1">
      <c r="B1167" s="73"/>
    </row>
    <row r="1168" spans="2:2" ht="12.75" customHeight="1">
      <c r="B1168" s="73"/>
    </row>
    <row r="1169" spans="2:2" ht="12.75" customHeight="1">
      <c r="B1169" s="73"/>
    </row>
    <row r="1170" spans="2:2" ht="12.75" customHeight="1">
      <c r="B1170" s="73"/>
    </row>
    <row r="1171" spans="2:2" ht="12.75" customHeight="1">
      <c r="B1171" s="73"/>
    </row>
    <row r="1172" spans="2:2" ht="12.75" customHeight="1">
      <c r="B1172" s="73"/>
    </row>
    <row r="1173" spans="2:2" ht="12.75" customHeight="1">
      <c r="B1173" s="73"/>
    </row>
    <row r="1174" spans="2:2" ht="12.75" customHeight="1">
      <c r="B1174" s="73"/>
    </row>
    <row r="1175" spans="2:2" ht="12.75" customHeight="1">
      <c r="B1175" s="73"/>
    </row>
    <row r="1176" spans="2:2" ht="12.75" customHeight="1">
      <c r="B1176" s="73"/>
    </row>
    <row r="1177" spans="2:2" ht="12.75" customHeight="1">
      <c r="B1177" s="73"/>
    </row>
    <row r="1178" spans="2:2" ht="12.75" customHeight="1">
      <c r="B1178" s="73"/>
    </row>
    <row r="1179" spans="2:2" ht="12.75" customHeight="1">
      <c r="B1179" s="73"/>
    </row>
    <row r="1180" spans="2:2" ht="12.75" customHeight="1">
      <c r="B1180" s="73"/>
    </row>
    <row r="1181" spans="2:2" ht="12.75" customHeight="1">
      <c r="B1181" s="73"/>
    </row>
    <row r="1182" spans="2:2" ht="12.75" customHeight="1">
      <c r="B1182" s="73"/>
    </row>
    <row r="1183" spans="2:2" ht="12.75" customHeight="1">
      <c r="B1183" s="73"/>
    </row>
    <row r="1184" spans="2:2" ht="12.75" customHeight="1">
      <c r="B1184" s="73"/>
    </row>
    <row r="1185" spans="2:2" ht="12.75" customHeight="1">
      <c r="B1185" s="73"/>
    </row>
    <row r="1186" spans="2:2" ht="12.75" customHeight="1">
      <c r="B1186" s="73"/>
    </row>
    <row r="1187" spans="2:2" ht="12.75" customHeight="1">
      <c r="B1187" s="73"/>
    </row>
    <row r="1188" spans="2:2" ht="12.75" customHeight="1">
      <c r="B1188" s="73"/>
    </row>
    <row r="1189" spans="2:2" ht="12.75" customHeight="1">
      <c r="B1189" s="73"/>
    </row>
    <row r="1190" spans="2:2" ht="12.75" customHeight="1">
      <c r="B1190" s="73"/>
    </row>
    <row r="1191" spans="2:2" ht="12.75" customHeight="1">
      <c r="B1191" s="73"/>
    </row>
    <row r="1192" spans="2:2" ht="12.75" customHeight="1">
      <c r="B1192" s="73"/>
    </row>
    <row r="1193" spans="2:2" ht="12.75" customHeight="1">
      <c r="B1193" s="73"/>
    </row>
    <row r="1194" spans="2:2" ht="12.75" customHeight="1">
      <c r="B1194" s="73"/>
    </row>
    <row r="1195" spans="2:2" ht="12.75" customHeight="1">
      <c r="B1195" s="73"/>
    </row>
    <row r="1196" spans="2:2" ht="12.75" customHeight="1">
      <c r="B1196" s="73"/>
    </row>
    <row r="1197" spans="2:2" ht="12.75" customHeight="1">
      <c r="B1197" s="73"/>
    </row>
    <row r="1198" spans="2:2" ht="12.75" customHeight="1">
      <c r="B1198" s="73"/>
    </row>
    <row r="1199" spans="2:2" ht="12.75" customHeight="1">
      <c r="B1199" s="73"/>
    </row>
    <row r="1200" spans="2:2" ht="12.75" customHeight="1">
      <c r="B1200" s="73"/>
    </row>
    <row r="1201" spans="2:2" ht="12.75" customHeight="1">
      <c r="B1201" s="73"/>
    </row>
    <row r="1202" spans="2:2" ht="12.75" customHeight="1">
      <c r="B1202" s="73"/>
    </row>
    <row r="1203" spans="2:2" ht="12.75" customHeight="1">
      <c r="B1203" s="73"/>
    </row>
    <row r="1204" spans="2:2" ht="12.75" customHeight="1">
      <c r="B1204" s="73"/>
    </row>
    <row r="1205" spans="2:2" ht="12.75" customHeight="1">
      <c r="B1205" s="73"/>
    </row>
    <row r="1206" spans="2:2" ht="12.75" customHeight="1">
      <c r="B1206" s="73"/>
    </row>
    <row r="1207" spans="2:2" ht="12.75" customHeight="1">
      <c r="B1207" s="73"/>
    </row>
    <row r="1208" spans="2:2" ht="12.75" customHeight="1">
      <c r="B1208" s="73"/>
    </row>
    <row r="1209" spans="2:2" ht="12.75" customHeight="1">
      <c r="B1209" s="73"/>
    </row>
    <row r="1210" spans="2:2" ht="12.75" customHeight="1">
      <c r="B1210" s="73"/>
    </row>
    <row r="1211" spans="2:2" ht="12.75" customHeight="1">
      <c r="B1211" s="73"/>
    </row>
    <row r="1212" spans="2:2" ht="12.75" customHeight="1">
      <c r="B1212" s="73"/>
    </row>
    <row r="1213" spans="2:2" ht="12.75" customHeight="1">
      <c r="B1213" s="73"/>
    </row>
    <row r="1214" spans="2:2" ht="12.75" customHeight="1">
      <c r="B1214" s="73"/>
    </row>
    <row r="1215" spans="2:2" ht="12.75" customHeight="1">
      <c r="B1215" s="73"/>
    </row>
    <row r="1216" spans="2:2" ht="12.75" customHeight="1">
      <c r="B1216" s="73"/>
    </row>
    <row r="1217" spans="2:2" ht="12.75" customHeight="1">
      <c r="B1217" s="73"/>
    </row>
    <row r="1218" spans="2:2" ht="12.75" customHeight="1">
      <c r="B1218" s="73"/>
    </row>
    <row r="1219" spans="2:2" ht="12.75" customHeight="1">
      <c r="B1219" s="73"/>
    </row>
    <row r="1220" spans="2:2" ht="12.75" customHeight="1">
      <c r="B1220" s="73"/>
    </row>
    <row r="1221" spans="2:2" ht="12.75" customHeight="1">
      <c r="B1221" s="73"/>
    </row>
    <row r="1222" spans="2:2" ht="12.75" customHeight="1">
      <c r="B1222" s="73"/>
    </row>
    <row r="1223" spans="2:2" ht="12.75" customHeight="1">
      <c r="B1223" s="73"/>
    </row>
    <row r="1224" spans="2:2" ht="12.75" customHeight="1">
      <c r="B1224" s="73"/>
    </row>
    <row r="1225" spans="2:2" ht="12.75" customHeight="1">
      <c r="B1225" s="73"/>
    </row>
    <row r="1226" spans="2:2" ht="12.75" customHeight="1">
      <c r="B1226" s="73"/>
    </row>
    <row r="1227" spans="2:2" ht="12.75" customHeight="1">
      <c r="B1227" s="73"/>
    </row>
    <row r="1228" spans="2:2" ht="12.75" customHeight="1">
      <c r="B1228" s="73"/>
    </row>
    <row r="1229" spans="2:2" ht="12.75" customHeight="1">
      <c r="B1229" s="73"/>
    </row>
    <row r="1230" spans="2:2" ht="12.75" customHeight="1">
      <c r="B1230" s="73"/>
    </row>
    <row r="1231" spans="2:2" ht="12.75" customHeight="1">
      <c r="B1231" s="73"/>
    </row>
    <row r="1232" spans="2:2" ht="12.75" customHeight="1">
      <c r="B1232" s="73"/>
    </row>
    <row r="1233" spans="2:2" ht="12.75" customHeight="1">
      <c r="B1233" s="73"/>
    </row>
    <row r="1234" spans="2:2" ht="12.75" customHeight="1">
      <c r="B1234" s="73"/>
    </row>
    <row r="1235" spans="2:2" ht="12.75" customHeight="1">
      <c r="B1235" s="73"/>
    </row>
    <row r="1236" spans="2:2" ht="12.75" customHeight="1">
      <c r="B1236" s="73"/>
    </row>
    <row r="1237" spans="2:2" ht="12.75" customHeight="1">
      <c r="B1237" s="73"/>
    </row>
    <row r="1238" spans="2:2" ht="12.75" customHeight="1">
      <c r="B1238" s="73"/>
    </row>
    <row r="1239" spans="2:2" ht="12.75" customHeight="1">
      <c r="B1239" s="73"/>
    </row>
    <row r="1240" spans="2:2" ht="12.75" customHeight="1">
      <c r="B1240" s="73"/>
    </row>
    <row r="1241" spans="2:2" ht="12.75" customHeight="1">
      <c r="B1241" s="73"/>
    </row>
    <row r="1242" spans="2:2" ht="12.75" customHeight="1">
      <c r="B1242" s="73"/>
    </row>
    <row r="1243" spans="2:2" ht="12.75" customHeight="1">
      <c r="B1243" s="73"/>
    </row>
    <row r="1244" spans="2:2" ht="12.75" customHeight="1">
      <c r="B1244" s="73"/>
    </row>
    <row r="1245" spans="2:2" ht="12.75" customHeight="1">
      <c r="B1245" s="73"/>
    </row>
    <row r="1246" spans="2:2" ht="12.75" customHeight="1">
      <c r="B1246" s="73"/>
    </row>
    <row r="1247" spans="2:2" ht="12.75" customHeight="1">
      <c r="B1247" s="73"/>
    </row>
    <row r="1248" spans="2:2" ht="12.75" customHeight="1">
      <c r="B1248" s="73"/>
    </row>
    <row r="1249" spans="2:2" ht="12.75" customHeight="1">
      <c r="B1249" s="73"/>
    </row>
    <row r="1250" spans="2:2" ht="12.75" customHeight="1">
      <c r="B1250" s="73"/>
    </row>
    <row r="1251" spans="2:2" ht="12.75" customHeight="1">
      <c r="B1251" s="73"/>
    </row>
    <row r="1252" spans="2:2" ht="12.75" customHeight="1">
      <c r="B1252" s="73"/>
    </row>
    <row r="1253" spans="2:2" ht="12.75" customHeight="1">
      <c r="B1253" s="73"/>
    </row>
    <row r="1254" spans="2:2" ht="12.75" customHeight="1">
      <c r="B1254" s="73"/>
    </row>
    <row r="1255" spans="2:2" ht="12.75" customHeight="1">
      <c r="B1255" s="73"/>
    </row>
    <row r="1256" spans="2:2" ht="12.75" customHeight="1">
      <c r="B1256" s="73"/>
    </row>
    <row r="1257" spans="2:2" ht="12.75" customHeight="1">
      <c r="B1257" s="73"/>
    </row>
    <row r="1258" spans="2:2" ht="12.75" customHeight="1">
      <c r="B1258" s="73"/>
    </row>
    <row r="1259" spans="2:2" ht="12.75" customHeight="1">
      <c r="B1259" s="73"/>
    </row>
    <row r="1260" spans="2:2" ht="12.75" customHeight="1">
      <c r="B1260" s="73"/>
    </row>
    <row r="1261" spans="2:2" ht="12.75" customHeight="1">
      <c r="B1261" s="73"/>
    </row>
    <row r="1262" spans="2:2" ht="12.75" customHeight="1">
      <c r="B1262" s="73"/>
    </row>
    <row r="1263" spans="2:2" ht="12.75" customHeight="1">
      <c r="B1263" s="73"/>
    </row>
    <row r="1264" spans="2:2" ht="12.75" customHeight="1">
      <c r="B1264" s="73"/>
    </row>
    <row r="1265" spans="2:2" ht="12.75" customHeight="1">
      <c r="B1265" s="73"/>
    </row>
    <row r="1266" spans="2:2" ht="12.75" customHeight="1">
      <c r="B1266" s="73"/>
    </row>
    <row r="1267" spans="2:2" ht="12.75" customHeight="1">
      <c r="B1267" s="73"/>
    </row>
    <row r="1268" spans="2:2" ht="12.75" customHeight="1">
      <c r="B1268" s="73"/>
    </row>
    <row r="1269" spans="2:2" ht="12.75" customHeight="1">
      <c r="B1269" s="73"/>
    </row>
    <row r="1270" spans="2:2" ht="12.75" customHeight="1">
      <c r="B1270" s="73"/>
    </row>
    <row r="1271" spans="2:2" ht="12.75" customHeight="1">
      <c r="B1271" s="73"/>
    </row>
    <row r="1272" spans="2:2" ht="12.75" customHeight="1">
      <c r="B1272" s="73"/>
    </row>
    <row r="1273" spans="2:2" ht="12.75" customHeight="1">
      <c r="B1273" s="73"/>
    </row>
    <row r="1274" spans="2:2" ht="12.75" customHeight="1">
      <c r="B1274" s="73"/>
    </row>
    <row r="1275" spans="2:2" ht="12.75" customHeight="1">
      <c r="B1275" s="73"/>
    </row>
    <row r="1276" spans="2:2" ht="12.75" customHeight="1">
      <c r="B1276" s="73"/>
    </row>
    <row r="1277" spans="2:2" ht="12.75" customHeight="1">
      <c r="B1277" s="73"/>
    </row>
    <row r="1278" spans="2:2" ht="12.75" customHeight="1">
      <c r="B1278" s="73"/>
    </row>
    <row r="1279" spans="2:2" ht="12.75" customHeight="1">
      <c r="B1279" s="73"/>
    </row>
    <row r="1280" spans="2:2" ht="12.75" customHeight="1">
      <c r="B1280" s="73"/>
    </row>
    <row r="1281" spans="2:2" ht="12.75" customHeight="1">
      <c r="B1281" s="73"/>
    </row>
    <row r="1282" spans="2:2" ht="12.75" customHeight="1">
      <c r="B1282" s="73"/>
    </row>
    <row r="1283" spans="2:2" ht="12.75" customHeight="1">
      <c r="B1283" s="73"/>
    </row>
    <row r="1284" spans="2:2" ht="12.75" customHeight="1">
      <c r="B1284" s="73"/>
    </row>
    <row r="1285" spans="2:2" ht="12.75" customHeight="1">
      <c r="B1285" s="73"/>
    </row>
    <row r="1286" spans="2:2" ht="12.75" customHeight="1">
      <c r="B1286" s="73"/>
    </row>
    <row r="1287" spans="2:2" ht="12.75" customHeight="1">
      <c r="B1287" s="73"/>
    </row>
    <row r="1288" spans="2:2" ht="12.75" customHeight="1">
      <c r="B1288" s="73"/>
    </row>
    <row r="1289" spans="2:2" ht="12.75" customHeight="1">
      <c r="B1289" s="73"/>
    </row>
    <row r="1290" spans="2:2" ht="12.75" customHeight="1">
      <c r="B1290" s="73"/>
    </row>
    <row r="1291" spans="2:2" ht="12.75" customHeight="1">
      <c r="B1291" s="73"/>
    </row>
    <row r="1292" spans="2:2" ht="12.75" customHeight="1">
      <c r="B1292" s="73"/>
    </row>
    <row r="1293" spans="2:2" ht="12.75" customHeight="1">
      <c r="B1293" s="73"/>
    </row>
    <row r="1294" spans="2:2" ht="12.75" customHeight="1">
      <c r="B1294" s="73"/>
    </row>
    <row r="1295" spans="2:2" ht="12.75" customHeight="1">
      <c r="B1295" s="73"/>
    </row>
    <row r="1296" spans="2:2" ht="12.75" customHeight="1">
      <c r="B1296" s="73"/>
    </row>
    <row r="1297" spans="2:2" ht="12.75" customHeight="1">
      <c r="B1297" s="73"/>
    </row>
    <row r="1298" spans="2:2" ht="12.75" customHeight="1">
      <c r="B1298" s="73"/>
    </row>
    <row r="1299" spans="2:2" ht="12.75" customHeight="1">
      <c r="B1299" s="73"/>
    </row>
    <row r="1300" spans="2:2" ht="12.75" customHeight="1">
      <c r="B1300" s="73"/>
    </row>
    <row r="1301" spans="2:2" ht="12.75" customHeight="1">
      <c r="B1301" s="73"/>
    </row>
    <row r="1302" spans="2:2" ht="12.75" customHeight="1">
      <c r="B1302" s="73"/>
    </row>
    <row r="1303" spans="2:2" ht="12.75" customHeight="1">
      <c r="B1303" s="73"/>
    </row>
    <row r="1304" spans="2:2" ht="12.75" customHeight="1">
      <c r="B1304" s="73"/>
    </row>
    <row r="1305" spans="2:2" ht="12.75" customHeight="1">
      <c r="B1305" s="73"/>
    </row>
    <row r="1306" spans="2:2" ht="12.75" customHeight="1">
      <c r="B1306" s="73"/>
    </row>
    <row r="1307" spans="2:2" ht="12.75" customHeight="1">
      <c r="B1307" s="73"/>
    </row>
    <row r="1308" spans="2:2" ht="12.75" customHeight="1">
      <c r="B1308" s="73"/>
    </row>
    <row r="1309" spans="2:2" ht="12.75" customHeight="1">
      <c r="B1309" s="73"/>
    </row>
    <row r="1310" spans="2:2" ht="12.75" customHeight="1">
      <c r="B1310" s="73"/>
    </row>
    <row r="1311" spans="2:2" ht="12.75" customHeight="1">
      <c r="B1311" s="73"/>
    </row>
    <row r="1312" spans="2:2" ht="12.75" customHeight="1">
      <c r="B1312" s="73"/>
    </row>
    <row r="1313" spans="2:2" ht="12.75" customHeight="1">
      <c r="B1313" s="73"/>
    </row>
    <row r="1314" spans="2:2" ht="12.75" customHeight="1">
      <c r="B1314" s="73"/>
    </row>
    <row r="1315" spans="2:2" ht="12.75" customHeight="1">
      <c r="B1315" s="73"/>
    </row>
    <row r="1316" spans="2:2" ht="12.75" customHeight="1">
      <c r="B1316" s="73"/>
    </row>
    <row r="1317" spans="2:2" ht="12.75" customHeight="1">
      <c r="B1317" s="73"/>
    </row>
    <row r="1318" spans="2:2" ht="12.75" customHeight="1">
      <c r="B1318" s="73"/>
    </row>
    <row r="1319" spans="2:2" ht="12.75" customHeight="1">
      <c r="B1319" s="73"/>
    </row>
    <row r="1320" spans="2:2" ht="12.75" customHeight="1">
      <c r="B1320" s="73"/>
    </row>
    <row r="1321" spans="2:2" ht="12.75" customHeight="1">
      <c r="B1321" s="73"/>
    </row>
    <row r="1322" spans="2:2" ht="12.75" customHeight="1">
      <c r="B1322" s="73"/>
    </row>
    <row r="1323" spans="2:2" ht="12.75" customHeight="1">
      <c r="B1323" s="73"/>
    </row>
    <row r="1324" spans="2:2" ht="12.75" customHeight="1">
      <c r="B1324" s="73"/>
    </row>
    <row r="1325" spans="2:2" ht="12.75" customHeight="1">
      <c r="B1325" s="73"/>
    </row>
    <row r="1326" spans="2:2" ht="12.75" customHeight="1">
      <c r="B1326" s="73"/>
    </row>
    <row r="1327" spans="2:2" ht="12.75" customHeight="1">
      <c r="B1327" s="73"/>
    </row>
    <row r="1328" spans="2:2" ht="12.75" customHeight="1">
      <c r="B1328" s="73"/>
    </row>
    <row r="1329" spans="2:2" ht="12.75" customHeight="1">
      <c r="B1329" s="73"/>
    </row>
    <row r="1330" spans="2:2" ht="12.75" customHeight="1">
      <c r="B1330" s="73"/>
    </row>
    <row r="1331" spans="2:2" ht="12.75" customHeight="1">
      <c r="B1331" s="73"/>
    </row>
    <row r="1332" spans="2:2" ht="12.75" customHeight="1">
      <c r="B1332" s="73"/>
    </row>
    <row r="1333" spans="2:2" ht="12.75" customHeight="1">
      <c r="B1333" s="73"/>
    </row>
    <row r="1334" spans="2:2" ht="12.75" customHeight="1">
      <c r="B1334" s="73"/>
    </row>
    <row r="1335" spans="2:2" ht="12.75" customHeight="1">
      <c r="B1335" s="73"/>
    </row>
    <row r="1336" spans="2:2" ht="12.75" customHeight="1">
      <c r="B1336" s="73"/>
    </row>
    <row r="1337" spans="2:2" ht="12.75" customHeight="1">
      <c r="B1337" s="73"/>
    </row>
    <row r="1338" spans="2:2" ht="12.75" customHeight="1">
      <c r="B1338" s="73"/>
    </row>
    <row r="1339" spans="2:2" ht="12.75" customHeight="1">
      <c r="B1339" s="73"/>
    </row>
    <row r="1340" spans="2:2" ht="12.75" customHeight="1">
      <c r="B1340" s="73"/>
    </row>
    <row r="1341" spans="2:2" ht="12.75" customHeight="1">
      <c r="B1341" s="73"/>
    </row>
    <row r="1342" spans="2:2" ht="12.75" customHeight="1">
      <c r="B1342" s="73"/>
    </row>
    <row r="1343" spans="2:2" ht="12.75" customHeight="1">
      <c r="B1343" s="73"/>
    </row>
    <row r="1344" spans="2:2" ht="12.75" customHeight="1">
      <c r="B1344" s="73"/>
    </row>
    <row r="1345" spans="2:2" ht="12.75" customHeight="1">
      <c r="B1345" s="73"/>
    </row>
    <row r="1346" spans="2:2" ht="12.75" customHeight="1">
      <c r="B1346" s="73"/>
    </row>
    <row r="1347" spans="2:2" ht="12.75" customHeight="1">
      <c r="B1347" s="73"/>
    </row>
    <row r="1348" spans="2:2" ht="12.75" customHeight="1">
      <c r="B1348" s="73"/>
    </row>
    <row r="1349" spans="2:2" ht="12.75" customHeight="1">
      <c r="B1349" s="73"/>
    </row>
    <row r="1350" spans="2:2" ht="12.75" customHeight="1">
      <c r="B1350" s="73"/>
    </row>
    <row r="1351" spans="2:2" ht="12.75" customHeight="1">
      <c r="B1351" s="73"/>
    </row>
    <row r="1352" spans="2:2" ht="12.75" customHeight="1">
      <c r="B1352" s="73"/>
    </row>
    <row r="1353" spans="2:2" ht="12.75" customHeight="1">
      <c r="B1353" s="73"/>
    </row>
    <row r="1354" spans="2:2" ht="12.75" customHeight="1">
      <c r="B1354" s="73"/>
    </row>
    <row r="1355" spans="2:2" ht="12.75" customHeight="1">
      <c r="B1355" s="73"/>
    </row>
    <row r="1356" spans="2:2" ht="12.75" customHeight="1">
      <c r="B1356" s="73"/>
    </row>
    <row r="1357" spans="2:2" ht="12.75" customHeight="1">
      <c r="B1357" s="73"/>
    </row>
    <row r="1358" spans="2:2" ht="12.75" customHeight="1">
      <c r="B1358" s="73"/>
    </row>
    <row r="1359" spans="2:2" ht="12.75" customHeight="1">
      <c r="B1359" s="73"/>
    </row>
    <row r="1360" spans="2:2" ht="12.75" customHeight="1">
      <c r="B1360" s="73"/>
    </row>
    <row r="1361" spans="2:2" ht="12.75" customHeight="1">
      <c r="B1361" s="73"/>
    </row>
    <row r="1362" spans="2:2" ht="12.75" customHeight="1">
      <c r="B1362" s="73"/>
    </row>
    <row r="1363" spans="2:2" ht="12.75" customHeight="1">
      <c r="B1363" s="73"/>
    </row>
    <row r="1364" spans="2:2" ht="12.75" customHeight="1">
      <c r="B1364" s="73"/>
    </row>
    <row r="1365" spans="2:2" ht="12.75" customHeight="1">
      <c r="B1365" s="73"/>
    </row>
    <row r="1366" spans="2:2" ht="12.75" customHeight="1">
      <c r="B1366" s="73"/>
    </row>
    <row r="1367" spans="2:2" ht="12.75" customHeight="1">
      <c r="B1367" s="73"/>
    </row>
    <row r="1368" spans="2:2" ht="12.75" customHeight="1">
      <c r="B1368" s="73"/>
    </row>
    <row r="1369" spans="2:2" ht="12.75" customHeight="1">
      <c r="B1369" s="73"/>
    </row>
    <row r="1370" spans="2:2" ht="12.75" customHeight="1">
      <c r="B1370" s="73"/>
    </row>
    <row r="1371" spans="2:2" ht="12.75" customHeight="1">
      <c r="B1371" s="73"/>
    </row>
    <row r="1372" spans="2:2" ht="12.75" customHeight="1">
      <c r="B1372" s="73"/>
    </row>
    <row r="1373" spans="2:2" ht="12.75" customHeight="1">
      <c r="B1373" s="73"/>
    </row>
    <row r="1374" spans="2:2" ht="12.75" customHeight="1">
      <c r="B1374" s="73"/>
    </row>
    <row r="1375" spans="2:2" ht="12.75" customHeight="1">
      <c r="B1375" s="73"/>
    </row>
    <row r="1376" spans="2:2" ht="12.75" customHeight="1">
      <c r="B1376" s="73"/>
    </row>
    <row r="1377" spans="2:2" ht="12.75" customHeight="1">
      <c r="B1377" s="73"/>
    </row>
    <row r="1378" spans="2:2" ht="12.75" customHeight="1">
      <c r="B1378" s="73"/>
    </row>
    <row r="1379" spans="2:2" ht="12.75" customHeight="1">
      <c r="B1379" s="73"/>
    </row>
    <row r="1380" spans="2:2" ht="12.75" customHeight="1">
      <c r="B1380" s="73"/>
    </row>
    <row r="1381" spans="2:2" ht="12.75" customHeight="1">
      <c r="B1381" s="73"/>
    </row>
    <row r="1382" spans="2:2" ht="12.75" customHeight="1">
      <c r="B1382" s="73"/>
    </row>
    <row r="1383" spans="2:2" ht="12.75" customHeight="1">
      <c r="B1383" s="73"/>
    </row>
    <row r="1384" spans="2:2" ht="12.75" customHeight="1">
      <c r="B1384" s="73"/>
    </row>
    <row r="1385" spans="2:2" ht="12.75" customHeight="1">
      <c r="B1385" s="73"/>
    </row>
    <row r="1386" spans="2:2" ht="12.75" customHeight="1">
      <c r="B1386" s="73"/>
    </row>
    <row r="1387" spans="2:2" ht="12.75" customHeight="1">
      <c r="B1387" s="73"/>
    </row>
    <row r="1388" spans="2:2" ht="12.75" customHeight="1">
      <c r="B1388" s="73"/>
    </row>
    <row r="1389" spans="2:2" ht="12.75" customHeight="1">
      <c r="B1389" s="73"/>
    </row>
    <row r="1390" spans="2:2" ht="12.75" customHeight="1">
      <c r="B1390" s="73"/>
    </row>
    <row r="1391" spans="2:2" ht="12.75" customHeight="1">
      <c r="B1391" s="73"/>
    </row>
    <row r="1392" spans="2:2" ht="12.75" customHeight="1">
      <c r="B1392" s="73"/>
    </row>
    <row r="1393" spans="2:2" ht="12.75" customHeight="1">
      <c r="B1393" s="73"/>
    </row>
    <row r="1394" spans="2:2" ht="12.75" customHeight="1">
      <c r="B1394" s="73"/>
    </row>
    <row r="1395" spans="2:2" ht="12.75" customHeight="1">
      <c r="B1395" s="73"/>
    </row>
    <row r="1396" spans="2:2" ht="12.75" customHeight="1">
      <c r="B1396" s="73"/>
    </row>
    <row r="1397" spans="2:2" ht="12.75" customHeight="1">
      <c r="B1397" s="73"/>
    </row>
    <row r="1398" spans="2:2" ht="12.75" customHeight="1">
      <c r="B1398" s="73"/>
    </row>
    <row r="1399" spans="2:2" ht="12.75" customHeight="1">
      <c r="B1399" s="73"/>
    </row>
    <row r="1400" spans="2:2" ht="12.75" customHeight="1">
      <c r="B1400" s="73"/>
    </row>
    <row r="1401" spans="2:2" ht="12.75" customHeight="1">
      <c r="B1401" s="73"/>
    </row>
    <row r="1402" spans="2:2" ht="12.75" customHeight="1">
      <c r="B1402" s="73"/>
    </row>
    <row r="1403" spans="2:2" ht="12.75" customHeight="1">
      <c r="B1403" s="73"/>
    </row>
    <row r="1404" spans="2:2" ht="12.75" customHeight="1">
      <c r="B1404" s="73"/>
    </row>
    <row r="1405" spans="2:2" ht="12.75" customHeight="1">
      <c r="B1405" s="73"/>
    </row>
    <row r="1406" spans="2:2" ht="12.75" customHeight="1">
      <c r="B1406" s="73"/>
    </row>
    <row r="1407" spans="2:2" ht="12.75" customHeight="1">
      <c r="B1407" s="73"/>
    </row>
    <row r="1408" spans="2:2" ht="12.75" customHeight="1">
      <c r="B1408" s="73"/>
    </row>
    <row r="1409" spans="2:2" ht="12.75" customHeight="1">
      <c r="B1409" s="73"/>
    </row>
    <row r="1410" spans="2:2" ht="12.75" customHeight="1">
      <c r="B1410" s="73"/>
    </row>
    <row r="1411" spans="2:2" ht="12.75" customHeight="1">
      <c r="B1411" s="73"/>
    </row>
    <row r="1412" spans="2:2" ht="12.75" customHeight="1">
      <c r="B1412" s="73"/>
    </row>
    <row r="1413" spans="2:2" ht="12.75" customHeight="1">
      <c r="B1413" s="73"/>
    </row>
    <row r="1414" spans="2:2" ht="12.75" customHeight="1">
      <c r="B1414" s="73"/>
    </row>
    <row r="1415" spans="2:2" ht="12.75" customHeight="1">
      <c r="B1415" s="73"/>
    </row>
    <row r="1416" spans="2:2" ht="12.75" customHeight="1">
      <c r="B1416" s="73"/>
    </row>
    <row r="1417" spans="2:2" ht="12.75" customHeight="1">
      <c r="B1417" s="73"/>
    </row>
    <row r="1418" spans="2:2" ht="12.75" customHeight="1">
      <c r="B1418" s="73"/>
    </row>
    <row r="1419" spans="2:2" ht="12.75" customHeight="1">
      <c r="B1419" s="73"/>
    </row>
    <row r="1420" spans="2:2" ht="12.75" customHeight="1">
      <c r="B1420" s="73"/>
    </row>
    <row r="1421" spans="2:2" ht="12.75" customHeight="1">
      <c r="B1421" s="73"/>
    </row>
    <row r="1422" spans="2:2" ht="12.75" customHeight="1">
      <c r="B1422" s="73"/>
    </row>
    <row r="1423" spans="2:2" ht="12.75" customHeight="1">
      <c r="B1423" s="73"/>
    </row>
    <row r="1424" spans="2:2" ht="12.75" customHeight="1">
      <c r="B1424" s="73"/>
    </row>
    <row r="1425" spans="2:2" ht="12.75" customHeight="1">
      <c r="B1425" s="73"/>
    </row>
    <row r="1426" spans="2:2" ht="12.75" customHeight="1">
      <c r="B1426" s="73"/>
    </row>
    <row r="1427" spans="2:2" ht="12.75" customHeight="1">
      <c r="B1427" s="73"/>
    </row>
    <row r="1428" spans="2:2" ht="12.75" customHeight="1">
      <c r="B1428" s="73"/>
    </row>
    <row r="1429" spans="2:2" ht="12.75" customHeight="1">
      <c r="B1429" s="73"/>
    </row>
    <row r="1430" spans="2:2" ht="12.75" customHeight="1">
      <c r="B1430" s="73"/>
    </row>
    <row r="1431" spans="2:2" ht="12.75" customHeight="1">
      <c r="B1431" s="73"/>
    </row>
    <row r="1432" spans="2:2" ht="12.75" customHeight="1">
      <c r="B1432" s="73"/>
    </row>
    <row r="1433" spans="2:2" ht="12.75" customHeight="1">
      <c r="B1433" s="73"/>
    </row>
    <row r="1434" spans="2:2" ht="12.75" customHeight="1">
      <c r="B1434" s="73"/>
    </row>
    <row r="1435" spans="2:2" ht="12.75" customHeight="1">
      <c r="B1435" s="73"/>
    </row>
    <row r="1436" spans="2:2" ht="12.75" customHeight="1">
      <c r="B1436" s="73"/>
    </row>
    <row r="1437" spans="2:2" ht="12.75" customHeight="1">
      <c r="B1437" s="73"/>
    </row>
    <row r="1438" spans="2:2" ht="12.75" customHeight="1">
      <c r="B1438" s="73"/>
    </row>
    <row r="1439" spans="2:2" ht="12.75" customHeight="1">
      <c r="B1439" s="73"/>
    </row>
    <row r="1440" spans="2:2" ht="12.75" customHeight="1">
      <c r="B1440" s="73"/>
    </row>
    <row r="1441" spans="2:2" ht="12.75" customHeight="1">
      <c r="B1441" s="73"/>
    </row>
    <row r="1442" spans="2:2" ht="12.75" customHeight="1">
      <c r="B1442" s="73"/>
    </row>
    <row r="1443" spans="2:2" ht="12.75" customHeight="1">
      <c r="B1443" s="73"/>
    </row>
    <row r="1444" spans="2:2" ht="12.75" customHeight="1">
      <c r="B1444" s="73"/>
    </row>
    <row r="1445" spans="2:2" ht="12.75" customHeight="1">
      <c r="B1445" s="73"/>
    </row>
    <row r="1446" spans="2:2" ht="12.75" customHeight="1">
      <c r="B1446" s="73"/>
    </row>
    <row r="1447" spans="2:2" ht="12.75" customHeight="1">
      <c r="B1447" s="73"/>
    </row>
    <row r="1448" spans="2:2" ht="12.75" customHeight="1">
      <c r="B1448" s="73"/>
    </row>
    <row r="1449" spans="2:2" ht="12.75" customHeight="1">
      <c r="B1449" s="73"/>
    </row>
    <row r="1450" spans="2:2" ht="12.75" customHeight="1">
      <c r="B1450" s="73"/>
    </row>
    <row r="1451" spans="2:2" ht="12.75" customHeight="1">
      <c r="B1451" s="73"/>
    </row>
    <row r="1452" spans="2:2" ht="12.75" customHeight="1">
      <c r="B1452" s="73"/>
    </row>
    <row r="1453" spans="2:2" ht="12.75" customHeight="1">
      <c r="B1453" s="73"/>
    </row>
    <row r="1454" spans="2:2" ht="12.75" customHeight="1">
      <c r="B1454" s="73"/>
    </row>
    <row r="1455" spans="2:2" ht="12.75" customHeight="1">
      <c r="B1455" s="73"/>
    </row>
    <row r="1456" spans="2:2" ht="12.75" customHeight="1">
      <c r="B1456" s="73"/>
    </row>
    <row r="1457" spans="2:2" ht="12.75" customHeight="1">
      <c r="B1457" s="73"/>
    </row>
    <row r="1458" spans="2:2" ht="12.75" customHeight="1">
      <c r="B1458" s="73"/>
    </row>
    <row r="1459" spans="2:2" ht="12.75" customHeight="1">
      <c r="B1459" s="73"/>
    </row>
    <row r="1460" spans="2:2" ht="12.75" customHeight="1">
      <c r="B1460" s="73"/>
    </row>
    <row r="1461" spans="2:2" ht="12.75" customHeight="1">
      <c r="B1461" s="73"/>
    </row>
    <row r="1462" spans="2:2" ht="12.75" customHeight="1">
      <c r="B1462" s="73"/>
    </row>
    <row r="1463" spans="2:2" ht="12.75" customHeight="1">
      <c r="B1463" s="73"/>
    </row>
    <row r="1464" spans="2:2" ht="12.75" customHeight="1">
      <c r="B1464" s="73"/>
    </row>
    <row r="1465" spans="2:2" ht="12.75" customHeight="1">
      <c r="B1465" s="73"/>
    </row>
    <row r="1466" spans="2:2" ht="12.75" customHeight="1">
      <c r="B1466" s="73"/>
    </row>
    <row r="1467" spans="2:2" ht="12.75" customHeight="1">
      <c r="B1467" s="73"/>
    </row>
    <row r="1468" spans="2:2" ht="12.75" customHeight="1">
      <c r="B1468" s="73"/>
    </row>
    <row r="1469" spans="2:2" ht="12.75" customHeight="1">
      <c r="B1469" s="73"/>
    </row>
    <row r="1470" spans="2:2" ht="12.75" customHeight="1">
      <c r="B1470" s="73"/>
    </row>
    <row r="1471" spans="2:2" ht="12.75" customHeight="1">
      <c r="B1471" s="73"/>
    </row>
    <row r="1472" spans="2:2" ht="12.75" customHeight="1">
      <c r="B1472" s="73"/>
    </row>
    <row r="1473" spans="2:2" ht="12.75" customHeight="1">
      <c r="B1473" s="73"/>
    </row>
    <row r="1474" spans="2:2" ht="12.75" customHeight="1">
      <c r="B1474" s="73"/>
    </row>
    <row r="1475" spans="2:2" ht="12.75" customHeight="1">
      <c r="B1475" s="73"/>
    </row>
    <row r="1476" spans="2:2" ht="12.75" customHeight="1">
      <c r="B1476" s="73"/>
    </row>
    <row r="1477" spans="2:2" ht="12.75" customHeight="1">
      <c r="B1477" s="73"/>
    </row>
    <row r="1478" spans="2:2" ht="12.75" customHeight="1">
      <c r="B1478" s="73"/>
    </row>
    <row r="1479" spans="2:2" ht="12.75" customHeight="1">
      <c r="B1479" s="73"/>
    </row>
    <row r="1480" spans="2:2" ht="12.75" customHeight="1">
      <c r="B1480" s="73"/>
    </row>
    <row r="1481" spans="2:2" ht="12.75" customHeight="1">
      <c r="B1481" s="73"/>
    </row>
    <row r="1482" spans="2:2" ht="12.75" customHeight="1">
      <c r="B1482" s="73"/>
    </row>
    <row r="1483" spans="2:2" ht="12.75" customHeight="1">
      <c r="B1483" s="73"/>
    </row>
    <row r="1484" spans="2:2" ht="12.75" customHeight="1">
      <c r="B1484" s="73"/>
    </row>
    <row r="1485" spans="2:2" ht="12.75" customHeight="1">
      <c r="B1485" s="73"/>
    </row>
    <row r="1486" spans="2:2" ht="12.75" customHeight="1">
      <c r="B1486" s="73"/>
    </row>
    <row r="1487" spans="2:2" ht="12.75" customHeight="1">
      <c r="B1487" s="73"/>
    </row>
    <row r="1488" spans="2:2" ht="12.75" customHeight="1">
      <c r="B1488" s="73"/>
    </row>
    <row r="1489" spans="2:2" ht="12.75" customHeight="1">
      <c r="B1489" s="73"/>
    </row>
    <row r="1490" spans="2:2" ht="12.75" customHeight="1">
      <c r="B1490" s="73"/>
    </row>
    <row r="1491" spans="2:2" ht="12.75" customHeight="1">
      <c r="B1491" s="73"/>
    </row>
    <row r="1492" spans="2:2" ht="12.75" customHeight="1">
      <c r="B1492" s="73"/>
    </row>
    <row r="1493" spans="2:2" ht="12.75" customHeight="1">
      <c r="B1493" s="73"/>
    </row>
    <row r="1494" spans="2:2" ht="12.75" customHeight="1">
      <c r="B1494" s="73"/>
    </row>
    <row r="1495" spans="2:2" ht="12.75" customHeight="1">
      <c r="B1495" s="73"/>
    </row>
    <row r="1496" spans="2:2" ht="12.75" customHeight="1">
      <c r="B1496" s="73"/>
    </row>
    <row r="1497" spans="2:2" ht="12.75" customHeight="1">
      <c r="B1497" s="73"/>
    </row>
    <row r="1498" spans="2:2" ht="12.75" customHeight="1">
      <c r="B1498" s="73"/>
    </row>
    <row r="1499" spans="2:2" ht="12.75" customHeight="1">
      <c r="B1499" s="73"/>
    </row>
    <row r="1500" spans="2:2" ht="12.75" customHeight="1">
      <c r="B1500" s="73"/>
    </row>
    <row r="1501" spans="2:2" ht="12.75" customHeight="1">
      <c r="B1501" s="73"/>
    </row>
    <row r="1502" spans="2:2" ht="12.75" customHeight="1">
      <c r="B1502" s="73"/>
    </row>
    <row r="1503" spans="2:2" ht="12.75" customHeight="1">
      <c r="B1503" s="73"/>
    </row>
    <row r="1504" spans="2:2" ht="12.75" customHeight="1">
      <c r="B1504" s="73"/>
    </row>
    <row r="1505" spans="2:2" ht="12.75" customHeight="1">
      <c r="B1505" s="73"/>
    </row>
    <row r="1506" spans="2:2" ht="12.75" customHeight="1">
      <c r="B1506" s="73"/>
    </row>
    <row r="1507" spans="2:2" ht="12.75" customHeight="1">
      <c r="B1507" s="73"/>
    </row>
    <row r="1508" spans="2:2" ht="12.75" customHeight="1">
      <c r="B1508" s="73"/>
    </row>
    <row r="1509" spans="2:2" ht="12.75" customHeight="1">
      <c r="B1509" s="73"/>
    </row>
    <row r="1510" spans="2:2" ht="12.75" customHeight="1">
      <c r="B1510" s="73"/>
    </row>
    <row r="1511" spans="2:2" ht="12.75" customHeight="1">
      <c r="B1511" s="73"/>
    </row>
    <row r="1512" spans="2:2" ht="12.75" customHeight="1">
      <c r="B1512" s="73"/>
    </row>
    <row r="1513" spans="2:2" ht="12.75" customHeight="1">
      <c r="B1513" s="73"/>
    </row>
    <row r="1514" spans="2:2" ht="12.75" customHeight="1">
      <c r="B1514" s="73"/>
    </row>
    <row r="1515" spans="2:2" ht="12.75" customHeight="1">
      <c r="B1515" s="73"/>
    </row>
    <row r="1516" spans="2:2" ht="12.75" customHeight="1">
      <c r="B1516" s="73"/>
    </row>
    <row r="1517" spans="2:2" ht="12.75" customHeight="1">
      <c r="B1517" s="73"/>
    </row>
    <row r="1518" spans="2:2" ht="12.75" customHeight="1">
      <c r="B1518" s="73"/>
    </row>
    <row r="1519" spans="2:2" ht="12.75" customHeight="1">
      <c r="B1519" s="73"/>
    </row>
    <row r="1520" spans="2:2" ht="12.75" customHeight="1">
      <c r="B1520" s="73"/>
    </row>
    <row r="1521" spans="2:2" ht="12.75" customHeight="1">
      <c r="B1521" s="73"/>
    </row>
    <row r="1522" spans="2:2" ht="12.75" customHeight="1">
      <c r="B1522" s="73"/>
    </row>
    <row r="1523" spans="2:2" ht="12.75" customHeight="1">
      <c r="B1523" s="73"/>
    </row>
    <row r="1524" spans="2:2" ht="12.75" customHeight="1">
      <c r="B1524" s="73"/>
    </row>
    <row r="1525" spans="2:2" ht="12.75" customHeight="1">
      <c r="B1525" s="73"/>
    </row>
    <row r="1526" spans="2:2" ht="12.75" customHeight="1">
      <c r="B1526" s="73"/>
    </row>
    <row r="1527" spans="2:2" ht="12.75" customHeight="1">
      <c r="B1527" s="73"/>
    </row>
    <row r="1528" spans="2:2" ht="12.75" customHeight="1">
      <c r="B1528" s="73"/>
    </row>
    <row r="1529" spans="2:2" ht="12.75" customHeight="1">
      <c r="B1529" s="73"/>
    </row>
    <row r="1530" spans="2:2" ht="12.75" customHeight="1">
      <c r="B1530" s="73"/>
    </row>
    <row r="1531" spans="2:2" ht="12.75" customHeight="1">
      <c r="B1531" s="73"/>
    </row>
    <row r="1532" spans="2:2" ht="12.75" customHeight="1">
      <c r="B1532" s="73"/>
    </row>
    <row r="1533" spans="2:2" ht="12.75" customHeight="1">
      <c r="B1533" s="73"/>
    </row>
    <row r="1534" spans="2:2" ht="12.75" customHeight="1">
      <c r="B1534" s="73"/>
    </row>
    <row r="1535" spans="2:2" ht="12.75" customHeight="1">
      <c r="B1535" s="73"/>
    </row>
    <row r="1536" spans="2:2" ht="12.75" customHeight="1">
      <c r="B1536" s="73"/>
    </row>
    <row r="1537" spans="2:2" ht="12.75" customHeight="1">
      <c r="B1537" s="73"/>
    </row>
    <row r="1538" spans="2:2" ht="12.75" customHeight="1">
      <c r="B1538" s="73"/>
    </row>
    <row r="1539" spans="2:2" ht="12.75" customHeight="1">
      <c r="B1539" s="73"/>
    </row>
    <row r="1540" spans="2:2" ht="12.75" customHeight="1">
      <c r="B1540" s="73"/>
    </row>
    <row r="1541" spans="2:2" ht="12.75" customHeight="1">
      <c r="B1541" s="73"/>
    </row>
    <row r="1542" spans="2:2" ht="12.75" customHeight="1">
      <c r="B1542" s="73"/>
    </row>
    <row r="1543" spans="2:2" ht="12.75" customHeight="1">
      <c r="B1543" s="73"/>
    </row>
    <row r="1544" spans="2:2" ht="12.75" customHeight="1">
      <c r="B1544" s="73"/>
    </row>
    <row r="1545" spans="2:2" ht="12.75" customHeight="1">
      <c r="B1545" s="73"/>
    </row>
    <row r="1546" spans="2:2" ht="12.75" customHeight="1">
      <c r="B1546" s="73"/>
    </row>
    <row r="1547" spans="2:2" ht="12.75" customHeight="1">
      <c r="B1547" s="73"/>
    </row>
    <row r="1548" spans="2:2" ht="12.75" customHeight="1">
      <c r="B1548" s="73"/>
    </row>
    <row r="1549" spans="2:2" ht="12.75" customHeight="1">
      <c r="B1549" s="73"/>
    </row>
    <row r="1550" spans="2:2" ht="12.75" customHeight="1">
      <c r="B1550" s="73"/>
    </row>
    <row r="1551" spans="2:2" ht="12.75" customHeight="1">
      <c r="B1551" s="73"/>
    </row>
    <row r="1552" spans="2:2" ht="12.75" customHeight="1">
      <c r="B1552" s="73"/>
    </row>
    <row r="1553" spans="2:2" ht="12.75" customHeight="1">
      <c r="B1553" s="73"/>
    </row>
    <row r="1554" spans="2:2" ht="12.75" customHeight="1">
      <c r="B1554" s="73"/>
    </row>
    <row r="1555" spans="2:2" ht="12.75" customHeight="1">
      <c r="B1555" s="73"/>
    </row>
    <row r="1556" spans="2:2" ht="12.75" customHeight="1">
      <c r="B1556" s="73"/>
    </row>
    <row r="1557" spans="2:2" ht="12.75" customHeight="1">
      <c r="B1557" s="73"/>
    </row>
    <row r="1558" spans="2:2" ht="12.75" customHeight="1">
      <c r="B1558" s="73"/>
    </row>
    <row r="1559" spans="2:2" ht="12.75" customHeight="1">
      <c r="B1559" s="73"/>
    </row>
    <row r="1560" spans="2:2" ht="12.75" customHeight="1">
      <c r="B1560" s="73"/>
    </row>
    <row r="1561" spans="2:2" ht="12.75" customHeight="1">
      <c r="B1561" s="73"/>
    </row>
    <row r="1562" spans="2:2" ht="12.75" customHeight="1">
      <c r="B1562" s="73"/>
    </row>
    <row r="1563" spans="2:2" ht="12.75" customHeight="1">
      <c r="B1563" s="73"/>
    </row>
    <row r="1564" spans="2:2" ht="12.75" customHeight="1">
      <c r="B1564" s="73"/>
    </row>
    <row r="1565" spans="2:2" ht="12.75" customHeight="1">
      <c r="B1565" s="73"/>
    </row>
    <row r="1566" spans="2:2" ht="12.75" customHeight="1">
      <c r="B1566" s="73"/>
    </row>
    <row r="1567" spans="2:2" ht="12.75" customHeight="1">
      <c r="B1567" s="73"/>
    </row>
    <row r="1568" spans="2:2" ht="12.75" customHeight="1">
      <c r="B1568" s="73"/>
    </row>
    <row r="1569" spans="2:2" ht="12.75" customHeight="1">
      <c r="B1569" s="73"/>
    </row>
    <row r="1570" spans="2:2" ht="12.75" customHeight="1">
      <c r="B1570" s="73"/>
    </row>
    <row r="1571" spans="2:2" ht="12.75" customHeight="1">
      <c r="B1571" s="73"/>
    </row>
    <row r="1572" spans="2:2" ht="12.75" customHeight="1">
      <c r="B1572" s="73"/>
    </row>
    <row r="1573" spans="2:2" ht="12.75" customHeight="1">
      <c r="B1573" s="73"/>
    </row>
    <row r="1574" spans="2:2" ht="12.75" customHeight="1">
      <c r="B1574" s="73"/>
    </row>
    <row r="1575" spans="2:2" ht="12.75" customHeight="1">
      <c r="B1575" s="73"/>
    </row>
    <row r="1576" spans="2:2" ht="12.75" customHeight="1">
      <c r="B1576" s="73"/>
    </row>
    <row r="1577" spans="2:2" ht="12.75" customHeight="1">
      <c r="B1577" s="73"/>
    </row>
    <row r="1578" spans="2:2" ht="12.75" customHeight="1">
      <c r="B1578" s="73"/>
    </row>
    <row r="1579" spans="2:2" ht="12.75" customHeight="1">
      <c r="B1579" s="73"/>
    </row>
    <row r="1580" spans="2:2" ht="12.75" customHeight="1">
      <c r="B1580" s="73"/>
    </row>
    <row r="1581" spans="2:2" ht="12.75" customHeight="1">
      <c r="B1581" s="73"/>
    </row>
    <row r="1582" spans="2:2" ht="12.75" customHeight="1">
      <c r="B1582" s="73"/>
    </row>
    <row r="1583" spans="2:2" ht="12.75" customHeight="1">
      <c r="B1583" s="73"/>
    </row>
    <row r="1584" spans="2:2" ht="12.75" customHeight="1">
      <c r="B1584" s="73"/>
    </row>
    <row r="1585" spans="2:2" ht="12.75" customHeight="1">
      <c r="B1585" s="73"/>
    </row>
    <row r="1586" spans="2:2" ht="12.75" customHeight="1">
      <c r="B1586" s="73"/>
    </row>
    <row r="1587" spans="2:2" ht="12.75" customHeight="1">
      <c r="B1587" s="73"/>
    </row>
    <row r="1588" spans="2:2" ht="12.75" customHeight="1">
      <c r="B1588" s="73"/>
    </row>
    <row r="1589" spans="2:2" ht="12.75" customHeight="1">
      <c r="B1589" s="73"/>
    </row>
    <row r="1590" spans="2:2" ht="12.75" customHeight="1">
      <c r="B1590" s="73"/>
    </row>
    <row r="1591" spans="2:2" ht="12.75" customHeight="1">
      <c r="B1591" s="73"/>
    </row>
    <row r="1592" spans="2:2" ht="12.75" customHeight="1">
      <c r="B1592" s="73"/>
    </row>
    <row r="1593" spans="2:2" ht="12.75" customHeight="1">
      <c r="B1593" s="73"/>
    </row>
    <row r="1594" spans="2:2" ht="12.75" customHeight="1">
      <c r="B1594" s="73"/>
    </row>
    <row r="1595" spans="2:2" ht="12.75" customHeight="1">
      <c r="B1595" s="73"/>
    </row>
    <row r="1596" spans="2:2" ht="12.75" customHeight="1">
      <c r="B1596" s="73"/>
    </row>
    <row r="1597" spans="2:2" ht="12.75" customHeight="1">
      <c r="B1597" s="73"/>
    </row>
    <row r="1598" spans="2:2" ht="12.75" customHeight="1">
      <c r="B1598" s="73"/>
    </row>
    <row r="1599" spans="2:2" ht="12.75" customHeight="1">
      <c r="B1599" s="73"/>
    </row>
    <row r="1600" spans="2:2" ht="12.75" customHeight="1">
      <c r="B1600" s="73"/>
    </row>
    <row r="1601" spans="2:2" ht="12.75" customHeight="1">
      <c r="B1601" s="73"/>
    </row>
    <row r="1602" spans="2:2" ht="12.75" customHeight="1">
      <c r="B1602" s="73"/>
    </row>
    <row r="1603" spans="2:2" ht="12.75" customHeight="1">
      <c r="B1603" s="73"/>
    </row>
    <row r="1604" spans="2:2" ht="12.75" customHeight="1">
      <c r="B1604" s="73"/>
    </row>
    <row r="1605" spans="2:2" ht="12.75" customHeight="1">
      <c r="B1605" s="73"/>
    </row>
    <row r="1606" spans="2:2" ht="12.75" customHeight="1">
      <c r="B1606" s="73"/>
    </row>
    <row r="1607" spans="2:2" ht="12.75" customHeight="1">
      <c r="B1607" s="73"/>
    </row>
    <row r="1608" spans="2:2" ht="12.75" customHeight="1">
      <c r="B1608" s="73"/>
    </row>
    <row r="1609" spans="2:2" ht="12.75" customHeight="1">
      <c r="B1609" s="73"/>
    </row>
    <row r="1610" spans="2:2" ht="12.75" customHeight="1">
      <c r="B1610" s="73"/>
    </row>
    <row r="1611" spans="2:2" ht="12.75" customHeight="1">
      <c r="B1611" s="73"/>
    </row>
    <row r="1612" spans="2:2" ht="12.75" customHeight="1">
      <c r="B1612" s="73"/>
    </row>
    <row r="1613" spans="2:2" ht="12.75" customHeight="1">
      <c r="B1613" s="73"/>
    </row>
    <row r="1614" spans="2:2" ht="12.75" customHeight="1">
      <c r="B1614" s="73"/>
    </row>
    <row r="1615" spans="2:2" ht="12.75" customHeight="1">
      <c r="B1615" s="73"/>
    </row>
    <row r="1616" spans="2:2" ht="12.75" customHeight="1">
      <c r="B1616" s="73"/>
    </row>
    <row r="1617" spans="2:2" ht="12.75" customHeight="1">
      <c r="B1617" s="73"/>
    </row>
    <row r="1618" spans="2:2" ht="12.75" customHeight="1">
      <c r="B1618" s="73"/>
    </row>
    <row r="1619" spans="2:2" ht="12.75" customHeight="1">
      <c r="B1619" s="73"/>
    </row>
    <row r="1620" spans="2:2" ht="12.75" customHeight="1">
      <c r="B1620" s="73"/>
    </row>
    <row r="1621" spans="2:2" ht="12.75" customHeight="1">
      <c r="B1621" s="73"/>
    </row>
    <row r="1622" spans="2:2" ht="12.75" customHeight="1">
      <c r="B1622" s="73"/>
    </row>
    <row r="1623" spans="2:2" ht="12.75" customHeight="1">
      <c r="B1623" s="73"/>
    </row>
    <row r="1624" spans="2:2" ht="12.75" customHeight="1">
      <c r="B1624" s="73"/>
    </row>
    <row r="1625" spans="2:2" ht="12.75" customHeight="1">
      <c r="B1625" s="73"/>
    </row>
    <row r="1626" spans="2:2" ht="12.75" customHeight="1">
      <c r="B1626" s="73"/>
    </row>
    <row r="1627" spans="2:2" ht="12.75" customHeight="1">
      <c r="B1627" s="73"/>
    </row>
    <row r="1628" spans="2:2" ht="12.75" customHeight="1">
      <c r="B1628" s="73"/>
    </row>
    <row r="1629" spans="2:2" ht="12.75" customHeight="1">
      <c r="B1629" s="73"/>
    </row>
    <row r="1630" spans="2:2" ht="12.75" customHeight="1">
      <c r="B1630" s="73"/>
    </row>
    <row r="1631" spans="2:2" ht="12.75" customHeight="1">
      <c r="B1631" s="73"/>
    </row>
    <row r="1632" spans="2:2" ht="12.75" customHeight="1">
      <c r="B1632" s="73"/>
    </row>
    <row r="1633" spans="2:2" ht="12.75" customHeight="1">
      <c r="B1633" s="73"/>
    </row>
    <row r="1634" spans="2:2" ht="12.75" customHeight="1">
      <c r="B1634" s="73"/>
    </row>
    <row r="1635" spans="2:2" ht="12.75" customHeight="1">
      <c r="B1635" s="73"/>
    </row>
    <row r="1636" spans="2:2" ht="12.75" customHeight="1">
      <c r="B1636" s="73"/>
    </row>
    <row r="1637" spans="2:2" ht="12.75" customHeight="1">
      <c r="B1637" s="73"/>
    </row>
    <row r="1638" spans="2:2" ht="12.75" customHeight="1">
      <c r="B1638" s="73"/>
    </row>
    <row r="1639" spans="2:2" ht="12.75" customHeight="1">
      <c r="B1639" s="73"/>
    </row>
    <row r="1640" spans="2:2" ht="12.75" customHeight="1">
      <c r="B1640" s="73"/>
    </row>
    <row r="1641" spans="2:2" ht="12.75" customHeight="1">
      <c r="B1641" s="73"/>
    </row>
    <row r="1642" spans="2:2" ht="12.75" customHeight="1">
      <c r="B1642" s="73"/>
    </row>
    <row r="1643" spans="2:2" ht="12.75" customHeight="1">
      <c r="B1643" s="73"/>
    </row>
    <row r="1644" spans="2:2" ht="12.75" customHeight="1">
      <c r="B1644" s="73"/>
    </row>
    <row r="1645" spans="2:2" ht="12.75" customHeight="1">
      <c r="B1645" s="73"/>
    </row>
    <row r="1646" spans="2:2" ht="12.75" customHeight="1">
      <c r="B1646" s="73"/>
    </row>
    <row r="1647" spans="2:2" ht="12.75" customHeight="1">
      <c r="B1647" s="73"/>
    </row>
    <row r="1648" spans="2:2" ht="12.75" customHeight="1">
      <c r="B1648" s="73"/>
    </row>
    <row r="1649" spans="2:2" ht="12.75" customHeight="1">
      <c r="B1649" s="73"/>
    </row>
    <row r="1650" spans="2:2" ht="12.75" customHeight="1">
      <c r="B1650" s="73"/>
    </row>
    <row r="1651" spans="2:2" ht="12.75" customHeight="1">
      <c r="B1651" s="73"/>
    </row>
    <row r="1652" spans="2:2" ht="12.75" customHeight="1">
      <c r="B1652" s="73"/>
    </row>
    <row r="1653" spans="2:2" ht="12.75" customHeight="1">
      <c r="B1653" s="73"/>
    </row>
    <row r="1654" spans="2:2" ht="12.75" customHeight="1">
      <c r="B1654" s="73"/>
    </row>
    <row r="1655" spans="2:2" ht="12.75" customHeight="1">
      <c r="B1655" s="73"/>
    </row>
    <row r="1656" spans="2:2" ht="12.75" customHeight="1">
      <c r="B1656" s="73"/>
    </row>
    <row r="1657" spans="2:2" ht="12.75" customHeight="1">
      <c r="B1657" s="73"/>
    </row>
    <row r="1658" spans="2:2" ht="12.75" customHeight="1">
      <c r="B1658" s="73"/>
    </row>
    <row r="1659" spans="2:2" ht="12.75" customHeight="1">
      <c r="B1659" s="73"/>
    </row>
    <row r="1660" spans="2:2" ht="12.75" customHeight="1">
      <c r="B1660" s="73"/>
    </row>
    <row r="1661" spans="2:2" ht="12.75" customHeight="1">
      <c r="B1661" s="73"/>
    </row>
    <row r="1662" spans="2:2" ht="12.75" customHeight="1">
      <c r="B1662" s="73"/>
    </row>
    <row r="1663" spans="2:2" ht="12.75" customHeight="1">
      <c r="B1663" s="73"/>
    </row>
    <row r="1664" spans="2:2" ht="12.75" customHeight="1">
      <c r="B1664" s="73"/>
    </row>
    <row r="1665" spans="2:2" ht="12.75" customHeight="1">
      <c r="B1665" s="73"/>
    </row>
    <row r="1666" spans="2:2" ht="12.75" customHeight="1">
      <c r="B1666" s="73"/>
    </row>
    <row r="1667" spans="2:2" ht="12.75" customHeight="1">
      <c r="B1667" s="73"/>
    </row>
    <row r="1668" spans="2:2" ht="12.75" customHeight="1">
      <c r="B1668" s="73"/>
    </row>
    <row r="1669" spans="2:2" ht="12.75" customHeight="1">
      <c r="B1669" s="73"/>
    </row>
    <row r="1670" spans="2:2" ht="12.75" customHeight="1">
      <c r="B1670" s="73"/>
    </row>
    <row r="1671" spans="2:2" ht="12.75" customHeight="1">
      <c r="B1671" s="73"/>
    </row>
    <row r="1672" spans="2:2" ht="12.75" customHeight="1">
      <c r="B1672" s="73"/>
    </row>
    <row r="1673" spans="2:2" ht="12.75" customHeight="1">
      <c r="B1673" s="73"/>
    </row>
    <row r="1674" spans="2:2" ht="12.75" customHeight="1">
      <c r="B1674" s="73"/>
    </row>
    <row r="1675" spans="2:2" ht="12.75" customHeight="1">
      <c r="B1675" s="73"/>
    </row>
    <row r="1676" spans="2:2" ht="12.75" customHeight="1">
      <c r="B1676" s="73"/>
    </row>
    <row r="1677" spans="2:2" ht="12.75" customHeight="1">
      <c r="B1677" s="73"/>
    </row>
    <row r="1678" spans="2:2" ht="12.75" customHeight="1">
      <c r="B1678" s="73"/>
    </row>
    <row r="1679" spans="2:2" ht="12.75" customHeight="1">
      <c r="B1679" s="73"/>
    </row>
    <row r="1680" spans="2:2" ht="12.75" customHeight="1">
      <c r="B1680" s="73"/>
    </row>
    <row r="1681" spans="2:2" ht="12.75" customHeight="1">
      <c r="B1681" s="73"/>
    </row>
    <row r="1682" spans="2:2" ht="12.75" customHeight="1">
      <c r="B1682" s="73"/>
    </row>
    <row r="1683" spans="2:2" ht="12.75" customHeight="1">
      <c r="B1683" s="73"/>
    </row>
    <row r="1684" spans="2:2" ht="12.75" customHeight="1">
      <c r="B1684" s="73"/>
    </row>
    <row r="1685" spans="2:2" ht="12.75" customHeight="1">
      <c r="B1685" s="73"/>
    </row>
    <row r="1686" spans="2:2" ht="12.75" customHeight="1">
      <c r="B1686" s="73"/>
    </row>
    <row r="1687" spans="2:2" ht="12.75" customHeight="1">
      <c r="B1687" s="73"/>
    </row>
    <row r="1688" spans="2:2" ht="12.75" customHeight="1">
      <c r="B1688" s="73"/>
    </row>
    <row r="1689" spans="2:2" ht="12.75" customHeight="1">
      <c r="B1689" s="73"/>
    </row>
    <row r="1690" spans="2:2" ht="12.75" customHeight="1">
      <c r="B1690" s="73"/>
    </row>
    <row r="1691" spans="2:2" ht="12.75" customHeight="1">
      <c r="B1691" s="73"/>
    </row>
    <row r="1692" spans="2:2" ht="12.75" customHeight="1">
      <c r="B1692" s="73"/>
    </row>
    <row r="1693" spans="2:2" ht="12.75" customHeight="1">
      <c r="B1693" s="73"/>
    </row>
    <row r="1694" spans="2:2" ht="12.75" customHeight="1">
      <c r="B1694" s="73"/>
    </row>
    <row r="1695" spans="2:2" ht="12.75" customHeight="1">
      <c r="B1695" s="73"/>
    </row>
    <row r="1696" spans="2:2" ht="12.75" customHeight="1">
      <c r="B1696" s="73"/>
    </row>
    <row r="1697" spans="2:2" ht="12.75" customHeight="1">
      <c r="B1697" s="73"/>
    </row>
    <row r="1698" spans="2:2" ht="12.75" customHeight="1">
      <c r="B1698" s="73"/>
    </row>
    <row r="1699" spans="2:2" ht="12.75" customHeight="1">
      <c r="B1699" s="73"/>
    </row>
    <row r="1700" spans="2:2" ht="12.75" customHeight="1">
      <c r="B1700" s="73"/>
    </row>
    <row r="1701" spans="2:2" ht="12.75" customHeight="1">
      <c r="B1701" s="73"/>
    </row>
    <row r="1702" spans="2:2" ht="12.75" customHeight="1">
      <c r="B1702" s="73"/>
    </row>
    <row r="1703" spans="2:2" ht="12.75" customHeight="1">
      <c r="B1703" s="73"/>
    </row>
    <row r="1704" spans="2:2" ht="12.75" customHeight="1">
      <c r="B1704" s="73"/>
    </row>
    <row r="1705" spans="2:2" ht="12.75" customHeight="1">
      <c r="B1705" s="73"/>
    </row>
    <row r="1706" spans="2:2" ht="12.75" customHeight="1">
      <c r="B1706" s="73"/>
    </row>
    <row r="1707" spans="2:2" ht="12.75" customHeight="1">
      <c r="B1707" s="73"/>
    </row>
    <row r="1708" spans="2:2" ht="12.75" customHeight="1">
      <c r="B1708" s="73"/>
    </row>
    <row r="1709" spans="2:2" ht="12.75" customHeight="1">
      <c r="B1709" s="73"/>
    </row>
    <row r="1710" spans="2:2" ht="12.75" customHeight="1">
      <c r="B1710" s="73"/>
    </row>
    <row r="1711" spans="2:2" ht="12.75" customHeight="1">
      <c r="B1711" s="73"/>
    </row>
    <row r="1712" spans="2:2" ht="12.75" customHeight="1">
      <c r="B1712" s="73"/>
    </row>
    <row r="1713" spans="2:2" ht="12.75" customHeight="1">
      <c r="B1713" s="73"/>
    </row>
    <row r="1714" spans="2:2" ht="12.75" customHeight="1">
      <c r="B1714" s="73"/>
    </row>
    <row r="1715" spans="2:2" ht="12.75" customHeight="1">
      <c r="B1715" s="73"/>
    </row>
    <row r="1716" spans="2:2" ht="12.75" customHeight="1">
      <c r="B1716" s="73"/>
    </row>
    <row r="1717" spans="2:2" ht="12.75" customHeight="1">
      <c r="B1717" s="73"/>
    </row>
    <row r="1718" spans="2:2" ht="12.75" customHeight="1">
      <c r="B1718" s="73"/>
    </row>
    <row r="1719" spans="2:2" ht="12.75" customHeight="1">
      <c r="B1719" s="73"/>
    </row>
    <row r="1720" spans="2:2" ht="12.75" customHeight="1">
      <c r="B1720" s="73"/>
    </row>
    <row r="1721" spans="2:2" ht="12.75" customHeight="1">
      <c r="B1721" s="73"/>
    </row>
    <row r="1722" spans="2:2" ht="12.75" customHeight="1">
      <c r="B1722" s="73"/>
    </row>
    <row r="1723" spans="2:2" ht="12.75" customHeight="1">
      <c r="B1723" s="73"/>
    </row>
    <row r="1724" spans="2:2" ht="12.75" customHeight="1">
      <c r="B1724" s="73"/>
    </row>
    <row r="1725" spans="2:2" ht="12.75" customHeight="1">
      <c r="B1725" s="73"/>
    </row>
    <row r="1726" spans="2:2" ht="12.75" customHeight="1">
      <c r="B1726" s="73"/>
    </row>
    <row r="1727" spans="2:2" ht="12.75" customHeight="1">
      <c r="B1727" s="73"/>
    </row>
    <row r="1728" spans="2:2" ht="12.75" customHeight="1">
      <c r="B1728" s="73"/>
    </row>
    <row r="1729" spans="2:2" ht="12.75" customHeight="1">
      <c r="B1729" s="73"/>
    </row>
    <row r="1730" spans="2:2" ht="12.75" customHeight="1">
      <c r="B1730" s="73"/>
    </row>
    <row r="1731" spans="2:2" ht="12.75" customHeight="1">
      <c r="B1731" s="73"/>
    </row>
    <row r="1732" spans="2:2" ht="12.75" customHeight="1">
      <c r="B1732" s="73"/>
    </row>
    <row r="1733" spans="2:2" ht="12.75" customHeight="1">
      <c r="B1733" s="73"/>
    </row>
    <row r="1734" spans="2:2" ht="12.75" customHeight="1">
      <c r="B1734" s="73"/>
    </row>
    <row r="1735" spans="2:2" ht="12.75" customHeight="1">
      <c r="B1735" s="73"/>
    </row>
    <row r="1736" spans="2:2" ht="12.75" customHeight="1">
      <c r="B1736" s="73"/>
    </row>
    <row r="1737" spans="2:2" ht="12.75" customHeight="1">
      <c r="B1737" s="73"/>
    </row>
    <row r="1738" spans="2:2" ht="12.75" customHeight="1">
      <c r="B1738" s="73"/>
    </row>
    <row r="1739" spans="2:2" ht="12.75" customHeight="1">
      <c r="B1739" s="73"/>
    </row>
    <row r="1740" spans="2:2" ht="12.75" customHeight="1">
      <c r="B1740" s="73"/>
    </row>
    <row r="1741" spans="2:2" ht="12.75" customHeight="1">
      <c r="B1741" s="73"/>
    </row>
    <row r="1742" spans="2:2" ht="12.75" customHeight="1">
      <c r="B1742" s="73"/>
    </row>
    <row r="1743" spans="2:2" ht="12.75" customHeight="1">
      <c r="B1743" s="73"/>
    </row>
    <row r="1744" spans="2:2" ht="12.75" customHeight="1">
      <c r="B1744" s="73"/>
    </row>
    <row r="1745" spans="2:2" ht="12.75" customHeight="1">
      <c r="B1745" s="73"/>
    </row>
    <row r="1746" spans="2:2" ht="12.75" customHeight="1">
      <c r="B1746" s="73"/>
    </row>
    <row r="1747" spans="2:2" ht="12.75" customHeight="1">
      <c r="B1747" s="73"/>
    </row>
    <row r="1748" spans="2:2" ht="12.75" customHeight="1">
      <c r="B1748" s="73"/>
    </row>
    <row r="1749" spans="2:2" ht="12.75" customHeight="1">
      <c r="B1749" s="73"/>
    </row>
    <row r="1750" spans="2:2" ht="12.75" customHeight="1">
      <c r="B1750" s="73"/>
    </row>
    <row r="1751" spans="2:2" ht="12.75" customHeight="1">
      <c r="B1751" s="73"/>
    </row>
    <row r="1752" spans="2:2" ht="12.75" customHeight="1">
      <c r="B1752" s="73"/>
    </row>
    <row r="1753" spans="2:2" ht="12.75" customHeight="1">
      <c r="B1753" s="73"/>
    </row>
    <row r="1754" spans="2:2" ht="12.75" customHeight="1">
      <c r="B1754" s="73"/>
    </row>
    <row r="1755" spans="2:2" ht="12.75" customHeight="1">
      <c r="B1755" s="73"/>
    </row>
    <row r="1756" spans="2:2" ht="12.75" customHeight="1">
      <c r="B1756" s="73"/>
    </row>
    <row r="1757" spans="2:2" ht="12.75" customHeight="1">
      <c r="B1757" s="73"/>
    </row>
    <row r="1758" spans="2:2" ht="12.75" customHeight="1">
      <c r="B1758" s="73"/>
    </row>
    <row r="1759" spans="2:2" ht="12.75" customHeight="1">
      <c r="B1759" s="73"/>
    </row>
    <row r="1760" spans="2:2" ht="12.75" customHeight="1">
      <c r="B1760" s="73"/>
    </row>
    <row r="1761" spans="2:2" ht="12.75" customHeight="1">
      <c r="B1761" s="73"/>
    </row>
    <row r="1762" spans="2:2" ht="12.75" customHeight="1">
      <c r="B1762" s="73"/>
    </row>
    <row r="1763" spans="2:2" ht="12.75" customHeight="1">
      <c r="B1763" s="73"/>
    </row>
    <row r="1764" spans="2:2" ht="12.75" customHeight="1">
      <c r="B1764" s="73"/>
    </row>
    <row r="1765" spans="2:2" ht="12.75" customHeight="1">
      <c r="B1765" s="73"/>
    </row>
    <row r="1766" spans="2:2" ht="12.75" customHeight="1">
      <c r="B1766" s="73"/>
    </row>
    <row r="1767" spans="2:2" ht="12.75" customHeight="1">
      <c r="B1767" s="73"/>
    </row>
    <row r="1768" spans="2:2" ht="12.75" customHeight="1">
      <c r="B1768" s="73"/>
    </row>
    <row r="1769" spans="2:2" ht="12.75" customHeight="1">
      <c r="B1769" s="73"/>
    </row>
    <row r="1770" spans="2:2" ht="12.75" customHeight="1">
      <c r="B1770" s="73"/>
    </row>
    <row r="1771" spans="2:2" ht="12.75" customHeight="1">
      <c r="B1771" s="73"/>
    </row>
    <row r="1772" spans="2:2" ht="12.75" customHeight="1">
      <c r="B1772" s="73"/>
    </row>
    <row r="1773" spans="2:2" ht="12.75" customHeight="1">
      <c r="B1773" s="73"/>
    </row>
    <row r="1774" spans="2:2" ht="12.75" customHeight="1">
      <c r="B1774" s="73"/>
    </row>
    <row r="1775" spans="2:2" ht="12.75" customHeight="1">
      <c r="B1775" s="73"/>
    </row>
    <row r="1776" spans="2:2" ht="12.75" customHeight="1">
      <c r="B1776" s="73"/>
    </row>
    <row r="1777" spans="2:2" ht="12.75" customHeight="1">
      <c r="B1777" s="73"/>
    </row>
    <row r="1778" spans="2:2" ht="12.75" customHeight="1">
      <c r="B1778" s="73"/>
    </row>
    <row r="1779" spans="2:2" ht="12.75" customHeight="1">
      <c r="B1779" s="73"/>
    </row>
    <row r="1780" spans="2:2" ht="12.75" customHeight="1">
      <c r="B1780" s="73"/>
    </row>
    <row r="1781" spans="2:2" ht="12.75" customHeight="1">
      <c r="B1781" s="73"/>
    </row>
    <row r="1782" spans="2:2" ht="12.75" customHeight="1">
      <c r="B1782" s="73"/>
    </row>
    <row r="1783" spans="2:2" ht="12.75" customHeight="1">
      <c r="B1783" s="73"/>
    </row>
    <row r="1784" spans="2:2" ht="12.75" customHeight="1">
      <c r="B1784" s="73"/>
    </row>
    <row r="1785" spans="2:2" ht="12.75" customHeight="1">
      <c r="B1785" s="73"/>
    </row>
    <row r="1786" spans="2:2" ht="12.75" customHeight="1">
      <c r="B1786" s="73"/>
    </row>
    <row r="1787" spans="2:2" ht="12.75" customHeight="1">
      <c r="B1787" s="73"/>
    </row>
    <row r="1788" spans="2:2" ht="12.75" customHeight="1">
      <c r="B1788" s="73"/>
    </row>
    <row r="1789" spans="2:2" ht="12.75" customHeight="1">
      <c r="B1789" s="73"/>
    </row>
    <row r="1790" spans="2:2" ht="12.75" customHeight="1">
      <c r="B1790" s="73"/>
    </row>
    <row r="1791" spans="2:2" ht="12.75" customHeight="1">
      <c r="B1791" s="73"/>
    </row>
    <row r="1792" spans="2:2" ht="12.75" customHeight="1">
      <c r="B1792" s="73"/>
    </row>
    <row r="1793" spans="2:2" ht="12.75" customHeight="1">
      <c r="B1793" s="73"/>
    </row>
    <row r="1794" spans="2:2" ht="12.75" customHeight="1">
      <c r="B1794" s="73"/>
    </row>
    <row r="1795" spans="2:2" ht="12.75" customHeight="1">
      <c r="B1795" s="73"/>
    </row>
    <row r="1796" spans="2:2" ht="12.75" customHeight="1">
      <c r="B1796" s="73"/>
    </row>
    <row r="1797" spans="2:2" ht="12.75" customHeight="1">
      <c r="B1797" s="73"/>
    </row>
    <row r="1798" spans="2:2" ht="12.75" customHeight="1">
      <c r="B1798" s="73"/>
    </row>
    <row r="1799" spans="2:2" ht="12.75" customHeight="1">
      <c r="B1799" s="73"/>
    </row>
    <row r="1800" spans="2:2" ht="12.75" customHeight="1">
      <c r="B1800" s="73"/>
    </row>
    <row r="1801" spans="2:2" ht="12.75" customHeight="1">
      <c r="B1801" s="73"/>
    </row>
    <row r="1802" spans="2:2" ht="12.75" customHeight="1">
      <c r="B1802" s="73"/>
    </row>
    <row r="1803" spans="2:2" ht="12.75" customHeight="1">
      <c r="B1803" s="73"/>
    </row>
    <row r="1804" spans="2:2" ht="12.75" customHeight="1">
      <c r="B1804" s="73"/>
    </row>
    <row r="1805" spans="2:2" ht="12.75" customHeight="1">
      <c r="B1805" s="73"/>
    </row>
    <row r="1806" spans="2:2" ht="12.75" customHeight="1">
      <c r="B1806" s="73"/>
    </row>
    <row r="1807" spans="2:2" ht="12.75" customHeight="1">
      <c r="B1807" s="73"/>
    </row>
    <row r="1808" spans="2:2" ht="12.75" customHeight="1">
      <c r="B1808" s="73"/>
    </row>
    <row r="1809" spans="2:2" ht="12.75" customHeight="1">
      <c r="B1809" s="73"/>
    </row>
    <row r="1810" spans="2:2" ht="12.75" customHeight="1">
      <c r="B1810" s="73"/>
    </row>
    <row r="1811" spans="2:2" ht="12.75" customHeight="1">
      <c r="B1811" s="73"/>
    </row>
    <row r="1812" spans="2:2" ht="12.75" customHeight="1">
      <c r="B1812" s="73"/>
    </row>
    <row r="1813" spans="2:2" ht="12.75" customHeight="1">
      <c r="B1813" s="73"/>
    </row>
    <row r="1814" spans="2:2" ht="12.75" customHeight="1">
      <c r="B1814" s="73"/>
    </row>
    <row r="1815" spans="2:2" ht="12.75" customHeight="1">
      <c r="B1815" s="73"/>
    </row>
    <row r="1816" spans="2:2" ht="12.75" customHeight="1">
      <c r="B1816" s="73"/>
    </row>
    <row r="1817" spans="2:2" ht="12.75" customHeight="1">
      <c r="B1817" s="73"/>
    </row>
    <row r="1818" spans="2:2" ht="12.75" customHeight="1">
      <c r="B1818" s="73"/>
    </row>
    <row r="1819" spans="2:2" ht="12.75" customHeight="1">
      <c r="B1819" s="73"/>
    </row>
    <row r="1820" spans="2:2" ht="12.75" customHeight="1">
      <c r="B1820" s="73"/>
    </row>
    <row r="1821" spans="2:2" ht="12.75" customHeight="1">
      <c r="B1821" s="73"/>
    </row>
    <row r="1822" spans="2:2" ht="12.75" customHeight="1">
      <c r="B1822" s="73"/>
    </row>
    <row r="1823" spans="2:2" ht="12.75" customHeight="1">
      <c r="B1823" s="73"/>
    </row>
    <row r="1824" spans="2:2" ht="12.75" customHeight="1">
      <c r="B1824" s="73"/>
    </row>
    <row r="1825" spans="2:2" ht="12.75" customHeight="1">
      <c r="B1825" s="73"/>
    </row>
    <row r="1826" spans="2:2" ht="12.75" customHeight="1">
      <c r="B1826" s="73"/>
    </row>
    <row r="1827" spans="2:2" ht="12.75" customHeight="1">
      <c r="B1827" s="73"/>
    </row>
    <row r="1828" spans="2:2" ht="12.75" customHeight="1">
      <c r="B1828" s="73"/>
    </row>
    <row r="1829" spans="2:2" ht="12.75" customHeight="1">
      <c r="B1829" s="73"/>
    </row>
    <row r="1830" spans="2:2" ht="12.75" customHeight="1">
      <c r="B1830" s="73"/>
    </row>
    <row r="1831" spans="2:2" ht="12.75" customHeight="1">
      <c r="B1831" s="73"/>
    </row>
    <row r="1832" spans="2:2" ht="12.75" customHeight="1">
      <c r="B1832" s="73"/>
    </row>
    <row r="1833" spans="2:2" ht="12.75" customHeight="1">
      <c r="B1833" s="73"/>
    </row>
    <row r="1834" spans="2:2" ht="12.75" customHeight="1">
      <c r="B1834" s="73"/>
    </row>
    <row r="1835" spans="2:2" ht="12.75" customHeight="1">
      <c r="B1835" s="73"/>
    </row>
  </sheetData>
  <mergeCells count="7">
    <mergeCell ref="C7:G7"/>
    <mergeCell ref="B7:B8"/>
    <mergeCell ref="A7:A8"/>
    <mergeCell ref="A2:G2"/>
    <mergeCell ref="A3:G3"/>
    <mergeCell ref="A4:G4"/>
    <mergeCell ref="A5:G5"/>
  </mergeCells>
  <phoneticPr fontId="2" type="noConversion"/>
  <printOptions horizontalCentered="1"/>
  <pageMargins left="0.37" right="0.23" top="0.98425196850393704" bottom="0.98425196850393704" header="0" footer="0"/>
  <pageSetup scale="89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theme="4" tint="0.59999389629810485"/>
  </sheetPr>
  <dimension ref="A1:I31"/>
  <sheetViews>
    <sheetView showGridLines="0" zoomScaleNormal="100" workbookViewId="0">
      <selection activeCell="I32" sqref="I32"/>
    </sheetView>
  </sheetViews>
  <sheetFormatPr baseColWidth="10" defaultColWidth="11.42578125" defaultRowHeight="12.75"/>
  <cols>
    <col min="1" max="1" width="23.28515625" style="28" customWidth="1"/>
    <col min="2" max="2" width="11.42578125" style="27"/>
    <col min="3" max="3" width="10.7109375" style="27" customWidth="1"/>
    <col min="4" max="6" width="11.42578125" style="27"/>
    <col min="7" max="7" width="12.7109375" style="27" customWidth="1"/>
    <col min="8" max="16384" width="11.42578125" style="27"/>
  </cols>
  <sheetData>
    <row r="1" spans="1:9" ht="11.25" customHeight="1"/>
    <row r="2" spans="1:9" ht="11.25" customHeight="1">
      <c r="A2" s="375" t="s">
        <v>233</v>
      </c>
      <c r="B2" s="375"/>
      <c r="C2" s="375"/>
      <c r="D2" s="375"/>
      <c r="E2" s="375"/>
      <c r="F2" s="375"/>
      <c r="G2" s="375"/>
    </row>
    <row r="3" spans="1:9" ht="11.25" customHeight="1">
      <c r="A3" s="376" t="s">
        <v>17</v>
      </c>
      <c r="B3" s="376"/>
      <c r="C3" s="376"/>
      <c r="D3" s="376"/>
      <c r="E3" s="376"/>
      <c r="F3" s="376"/>
      <c r="G3" s="376"/>
    </row>
    <row r="4" spans="1:9" ht="11.25" customHeight="1">
      <c r="A4" s="376" t="s">
        <v>464</v>
      </c>
      <c r="B4" s="376"/>
      <c r="C4" s="376"/>
      <c r="D4" s="376"/>
      <c r="E4" s="376"/>
      <c r="F4" s="376"/>
      <c r="G4" s="376"/>
    </row>
    <row r="5" spans="1:9" ht="11.25" customHeight="1"/>
    <row r="6" spans="1:9" s="31" customFormat="1" ht="14.25" customHeight="1">
      <c r="A6" s="382" t="s">
        <v>234</v>
      </c>
      <c r="B6" s="384" t="s">
        <v>61</v>
      </c>
      <c r="C6" s="386" t="s">
        <v>53</v>
      </c>
      <c r="D6" s="386"/>
      <c r="E6" s="386"/>
      <c r="F6" s="386"/>
      <c r="G6" s="386"/>
    </row>
    <row r="7" spans="1:9" s="31" customFormat="1" ht="16.5" customHeight="1">
      <c r="A7" s="383"/>
      <c r="B7" s="385"/>
      <c r="C7" s="50" t="s">
        <v>54</v>
      </c>
      <c r="D7" s="50" t="s">
        <v>55</v>
      </c>
      <c r="E7" s="50" t="s">
        <v>56</v>
      </c>
      <c r="F7" s="50" t="s">
        <v>51</v>
      </c>
      <c r="G7" s="50" t="s">
        <v>33</v>
      </c>
    </row>
    <row r="8" spans="1:9" s="31" customFormat="1" ht="5.0999999999999996" customHeight="1">
      <c r="A8" s="34"/>
      <c r="B8" s="52"/>
      <c r="C8" s="52"/>
      <c r="D8" s="52"/>
      <c r="E8" s="52"/>
      <c r="F8" s="52"/>
      <c r="G8" s="52"/>
    </row>
    <row r="9" spans="1:9" s="31" customFormat="1" ht="12.75" customHeight="1">
      <c r="A9" s="303" t="s">
        <v>571</v>
      </c>
      <c r="B9" s="53">
        <f t="shared" ref="B9:G9" si="0">SUM(B11:B19)</f>
        <v>121159</v>
      </c>
      <c r="C9" s="53">
        <f t="shared" si="0"/>
        <v>44879</v>
      </c>
      <c r="D9" s="53">
        <f t="shared" si="0"/>
        <v>73997</v>
      </c>
      <c r="E9" s="54">
        <f t="shared" si="0"/>
        <v>458</v>
      </c>
      <c r="F9" s="54">
        <f t="shared" si="0"/>
        <v>152</v>
      </c>
      <c r="G9" s="54">
        <f t="shared" si="0"/>
        <v>1673</v>
      </c>
      <c r="I9" s="372"/>
    </row>
    <row r="10" spans="1:9" s="31" customFormat="1" ht="5.0999999999999996" customHeight="1">
      <c r="A10" s="371"/>
      <c r="B10" s="52"/>
      <c r="C10" s="373"/>
      <c r="D10" s="52"/>
      <c r="E10" s="256"/>
      <c r="F10" s="256"/>
      <c r="G10" s="256"/>
    </row>
    <row r="11" spans="1:9" ht="12.75" customHeight="1">
      <c r="A11" s="207" t="s">
        <v>63</v>
      </c>
      <c r="B11" s="368">
        <v>16743</v>
      </c>
      <c r="C11" s="368">
        <v>3366</v>
      </c>
      <c r="D11" s="368">
        <v>13017</v>
      </c>
      <c r="E11" s="263">
        <v>83</v>
      </c>
      <c r="F11" s="263">
        <v>30</v>
      </c>
      <c r="G11" s="263">
        <v>247</v>
      </c>
    </row>
    <row r="12" spans="1:9" ht="12.75" customHeight="1">
      <c r="A12" s="207" t="s">
        <v>64</v>
      </c>
      <c r="B12" s="368">
        <v>39008</v>
      </c>
      <c r="C12" s="368">
        <v>11723</v>
      </c>
      <c r="D12" s="368">
        <v>26521</v>
      </c>
      <c r="E12" s="263">
        <v>149</v>
      </c>
      <c r="F12" s="263">
        <v>45</v>
      </c>
      <c r="G12" s="263">
        <v>570</v>
      </c>
    </row>
    <row r="13" spans="1:9" ht="12.75" customHeight="1">
      <c r="A13" s="207" t="s">
        <v>65</v>
      </c>
      <c r="B13" s="368">
        <v>33094</v>
      </c>
      <c r="C13" s="368">
        <v>14098</v>
      </c>
      <c r="D13" s="368">
        <v>18452</v>
      </c>
      <c r="E13" s="263">
        <v>105</v>
      </c>
      <c r="F13" s="263">
        <v>32</v>
      </c>
      <c r="G13" s="263">
        <v>407</v>
      </c>
    </row>
    <row r="14" spans="1:9" ht="12.75" customHeight="1">
      <c r="A14" s="207" t="s">
        <v>66</v>
      </c>
      <c r="B14" s="368">
        <v>20860</v>
      </c>
      <c r="C14" s="368">
        <v>10331</v>
      </c>
      <c r="D14" s="368">
        <v>10193</v>
      </c>
      <c r="E14" s="263">
        <v>74</v>
      </c>
      <c r="F14" s="263">
        <v>19</v>
      </c>
      <c r="G14" s="263">
        <v>243</v>
      </c>
    </row>
    <row r="15" spans="1:9" ht="12.75" customHeight="1">
      <c r="A15" s="207" t="s">
        <v>67</v>
      </c>
      <c r="B15" s="368">
        <v>8512</v>
      </c>
      <c r="C15" s="368">
        <v>4342</v>
      </c>
      <c r="D15" s="368">
        <v>4018</v>
      </c>
      <c r="E15" s="263">
        <v>26</v>
      </c>
      <c r="F15" s="263">
        <v>18</v>
      </c>
      <c r="G15" s="263">
        <v>108</v>
      </c>
    </row>
    <row r="16" spans="1:9" ht="12.75" customHeight="1">
      <c r="A16" s="207" t="s">
        <v>68</v>
      </c>
      <c r="B16" s="368">
        <v>1788</v>
      </c>
      <c r="C16" s="368">
        <v>863</v>
      </c>
      <c r="D16" s="368">
        <v>896</v>
      </c>
      <c r="E16" s="263">
        <v>6</v>
      </c>
      <c r="F16" s="263">
        <v>4</v>
      </c>
      <c r="G16" s="263">
        <v>19</v>
      </c>
    </row>
    <row r="17" spans="1:7" ht="12.75" customHeight="1">
      <c r="A17" s="207" t="s">
        <v>69</v>
      </c>
      <c r="B17" s="368">
        <v>144</v>
      </c>
      <c r="C17" s="368">
        <v>62</v>
      </c>
      <c r="D17" s="368">
        <v>76</v>
      </c>
      <c r="E17" s="263">
        <v>3</v>
      </c>
      <c r="F17" s="263">
        <v>0</v>
      </c>
      <c r="G17" s="263">
        <v>3</v>
      </c>
    </row>
    <row r="18" spans="1:7" ht="12.75" customHeight="1">
      <c r="A18" s="207" t="s">
        <v>70</v>
      </c>
      <c r="B18" s="368">
        <v>30</v>
      </c>
      <c r="C18" s="368">
        <v>12</v>
      </c>
      <c r="D18" s="368">
        <v>17</v>
      </c>
      <c r="E18" s="263">
        <v>1</v>
      </c>
      <c r="F18" s="263">
        <v>0</v>
      </c>
      <c r="G18" s="263">
        <v>0</v>
      </c>
    </row>
    <row r="19" spans="1:7" ht="12.75" customHeight="1">
      <c r="A19" s="207" t="s">
        <v>45</v>
      </c>
      <c r="B19" s="368">
        <v>980</v>
      </c>
      <c r="C19" s="368">
        <v>82</v>
      </c>
      <c r="D19" s="368">
        <v>807</v>
      </c>
      <c r="E19" s="263">
        <v>11</v>
      </c>
      <c r="F19" s="263">
        <v>4</v>
      </c>
      <c r="G19" s="263">
        <v>76</v>
      </c>
    </row>
    <row r="20" spans="1:7" s="31" customFormat="1" ht="5.0999999999999996" customHeight="1">
      <c r="A20" s="198"/>
      <c r="B20" s="61"/>
      <c r="C20" s="61"/>
      <c r="D20" s="61"/>
      <c r="E20" s="61"/>
      <c r="F20" s="61"/>
      <c r="G20" s="61"/>
    </row>
    <row r="21" spans="1:7" s="31" customFormat="1" ht="5.0999999999999996" customHeight="1">
      <c r="A21" s="34"/>
      <c r="B21" s="52"/>
      <c r="C21" s="52"/>
      <c r="D21" s="52"/>
      <c r="E21" s="52"/>
      <c r="F21" s="52"/>
      <c r="G21" s="52"/>
    </row>
    <row r="22" spans="1:7" s="201" customFormat="1" ht="12.75" customHeight="1">
      <c r="A22" s="41" t="s">
        <v>319</v>
      </c>
    </row>
    <row r="23" spans="1:7" s="201" customFormat="1" ht="12.75" customHeight="1">
      <c r="A23" s="41" t="s">
        <v>375</v>
      </c>
    </row>
    <row r="24" spans="1:7" ht="12.75" customHeight="1"/>
    <row r="25" spans="1:7" ht="12.75" customHeight="1"/>
    <row r="26" spans="1:7" ht="12.75" customHeight="1"/>
    <row r="27" spans="1:7" ht="12.75" customHeight="1"/>
    <row r="28" spans="1:7" ht="12.75" customHeight="1"/>
    <row r="29" spans="1:7" ht="12.75" customHeight="1"/>
    <row r="30" spans="1:7" ht="12.75" customHeight="1"/>
    <row r="31" spans="1:7" ht="12.75" customHeight="1"/>
  </sheetData>
  <mergeCells count="6">
    <mergeCell ref="B6:B7"/>
    <mergeCell ref="A6:A7"/>
    <mergeCell ref="C6:G6"/>
    <mergeCell ref="A2:G2"/>
    <mergeCell ref="A3:G3"/>
    <mergeCell ref="A4:G4"/>
  </mergeCells>
  <phoneticPr fontId="2" type="noConversion"/>
  <printOptions horizontalCentered="1"/>
  <pageMargins left="0.31496062992125984" right="0.23622047244094491" top="0.98425196850393704" bottom="0.98425196850393704" header="0" footer="0"/>
  <pageSetup scale="92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theme="4" tint="0.59999389629810485"/>
  </sheetPr>
  <dimension ref="A2:K527"/>
  <sheetViews>
    <sheetView showGridLines="0" zoomScaleNormal="100" zoomScaleSheetLayoutView="100" workbookViewId="0">
      <selection activeCell="M19" sqref="M19"/>
    </sheetView>
  </sheetViews>
  <sheetFormatPr baseColWidth="10" defaultColWidth="11.42578125" defaultRowHeight="12.75" customHeight="1"/>
  <cols>
    <col min="1" max="1" width="19.5703125" style="28" customWidth="1"/>
    <col min="2" max="2" width="9.28515625" style="27" customWidth="1"/>
    <col min="3" max="3" width="7.85546875" style="27" customWidth="1"/>
    <col min="4" max="4" width="8.42578125" style="27" customWidth="1"/>
    <col min="5" max="5" width="8.85546875" style="27" customWidth="1"/>
    <col min="6" max="6" width="9.42578125" style="27" customWidth="1"/>
    <col min="7" max="7" width="8.5703125" style="27" customWidth="1"/>
    <col min="8" max="8" width="8.7109375" style="27" customWidth="1"/>
    <col min="9" max="9" width="7.7109375" style="27" customWidth="1"/>
    <col min="10" max="10" width="8.5703125" style="27" customWidth="1"/>
    <col min="11" max="11" width="11" style="27" customWidth="1"/>
    <col min="12" max="16384" width="11.42578125" style="27"/>
  </cols>
  <sheetData>
    <row r="2" spans="1:11" ht="11.25" customHeight="1">
      <c r="A2" s="375" t="s">
        <v>235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</row>
    <row r="3" spans="1:11" ht="11.25" customHeight="1">
      <c r="A3" s="376" t="s">
        <v>17</v>
      </c>
      <c r="B3" s="376"/>
      <c r="C3" s="376"/>
      <c r="D3" s="376"/>
      <c r="E3" s="376"/>
      <c r="F3" s="376"/>
      <c r="G3" s="376"/>
      <c r="H3" s="376"/>
      <c r="I3" s="376"/>
      <c r="J3" s="376"/>
      <c r="K3" s="376"/>
    </row>
    <row r="4" spans="1:11" ht="11.25" customHeight="1">
      <c r="A4" s="376" t="s">
        <v>465</v>
      </c>
      <c r="B4" s="376"/>
      <c r="C4" s="376"/>
      <c r="D4" s="376"/>
      <c r="E4" s="376"/>
      <c r="F4" s="376"/>
      <c r="G4" s="376"/>
      <c r="H4" s="376"/>
      <c r="I4" s="376"/>
      <c r="J4" s="376"/>
      <c r="K4" s="376"/>
    </row>
    <row r="5" spans="1:11" ht="11.25" customHeight="1"/>
    <row r="6" spans="1:11" s="31" customFormat="1" ht="29.25" customHeight="1">
      <c r="A6" s="382" t="s">
        <v>381</v>
      </c>
      <c r="B6" s="384" t="s">
        <v>61</v>
      </c>
      <c r="C6" s="411" t="s">
        <v>631</v>
      </c>
      <c r="D6" s="411"/>
      <c r="E6" s="411"/>
      <c r="F6" s="411"/>
      <c r="G6" s="411"/>
      <c r="H6" s="411"/>
      <c r="I6" s="411"/>
      <c r="J6" s="411"/>
      <c r="K6" s="411"/>
    </row>
    <row r="7" spans="1:11" s="31" customFormat="1" ht="33" customHeight="1">
      <c r="A7" s="383"/>
      <c r="B7" s="385"/>
      <c r="C7" s="50" t="s">
        <v>63</v>
      </c>
      <c r="D7" s="50" t="s">
        <v>64</v>
      </c>
      <c r="E7" s="50" t="s">
        <v>65</v>
      </c>
      <c r="F7" s="50" t="s">
        <v>66</v>
      </c>
      <c r="G7" s="50" t="s">
        <v>67</v>
      </c>
      <c r="H7" s="50" t="s">
        <v>68</v>
      </c>
      <c r="I7" s="50" t="s">
        <v>69</v>
      </c>
      <c r="J7" s="50" t="s">
        <v>70</v>
      </c>
      <c r="K7" s="50" t="s">
        <v>45</v>
      </c>
    </row>
    <row r="8" spans="1:11" s="31" customFormat="1" ht="4.5" customHeight="1">
      <c r="A8" s="59"/>
      <c r="B8" s="60"/>
      <c r="C8" s="60"/>
      <c r="D8" s="60"/>
      <c r="E8" s="60"/>
      <c r="F8" s="60"/>
      <c r="G8" s="60"/>
      <c r="H8" s="60"/>
      <c r="I8" s="60"/>
      <c r="J8" s="60"/>
      <c r="K8" s="60"/>
    </row>
    <row r="9" spans="1:11" s="31" customFormat="1" ht="12.75" customHeight="1">
      <c r="A9" s="292" t="s">
        <v>571</v>
      </c>
      <c r="B9" s="259">
        <v>121159</v>
      </c>
      <c r="C9" s="259">
        <v>16743</v>
      </c>
      <c r="D9" s="259">
        <v>39008</v>
      </c>
      <c r="E9" s="259">
        <v>33094</v>
      </c>
      <c r="F9" s="259">
        <v>20860</v>
      </c>
      <c r="G9" s="259">
        <v>8512</v>
      </c>
      <c r="H9" s="259">
        <v>1788</v>
      </c>
      <c r="I9" s="259">
        <v>144</v>
      </c>
      <c r="J9" s="259">
        <v>116</v>
      </c>
      <c r="K9" s="259">
        <v>894</v>
      </c>
    </row>
    <row r="10" spans="1:11" ht="4.5" customHeight="1">
      <c r="A10" s="207"/>
      <c r="B10" s="258"/>
      <c r="C10" s="258"/>
      <c r="D10" s="258"/>
      <c r="E10" s="258"/>
      <c r="F10" s="258"/>
      <c r="G10" s="258"/>
      <c r="H10" s="258"/>
      <c r="I10" s="258"/>
      <c r="J10" s="258"/>
      <c r="K10" s="258"/>
    </row>
    <row r="11" spans="1:11" ht="12.75" customHeight="1">
      <c r="A11" s="207" t="s">
        <v>314</v>
      </c>
      <c r="B11" s="258">
        <v>15</v>
      </c>
      <c r="C11" s="258">
        <v>4</v>
      </c>
      <c r="D11" s="258">
        <v>3</v>
      </c>
      <c r="E11" s="258">
        <v>3</v>
      </c>
      <c r="F11" s="258">
        <v>4</v>
      </c>
      <c r="G11" s="258">
        <v>1</v>
      </c>
      <c r="H11" s="258">
        <v>0</v>
      </c>
      <c r="I11" s="258">
        <v>0</v>
      </c>
      <c r="J11" s="258">
        <v>0</v>
      </c>
      <c r="K11" s="258">
        <v>0</v>
      </c>
    </row>
    <row r="12" spans="1:11" ht="12.75" customHeight="1">
      <c r="A12" s="207" t="s">
        <v>63</v>
      </c>
      <c r="B12" s="258">
        <v>1985</v>
      </c>
      <c r="C12" s="258">
        <v>1146</v>
      </c>
      <c r="D12" s="258">
        <v>578</v>
      </c>
      <c r="E12" s="258">
        <v>161</v>
      </c>
      <c r="F12" s="258">
        <v>40</v>
      </c>
      <c r="G12" s="258">
        <v>22</v>
      </c>
      <c r="H12" s="258">
        <v>2</v>
      </c>
      <c r="I12" s="258">
        <v>0</v>
      </c>
      <c r="J12" s="258">
        <v>0</v>
      </c>
      <c r="K12" s="258">
        <v>36</v>
      </c>
    </row>
    <row r="13" spans="1:11" ht="12.75" customHeight="1">
      <c r="A13" s="207" t="s">
        <v>64</v>
      </c>
      <c r="B13" s="258">
        <v>18897</v>
      </c>
      <c r="C13" s="258">
        <v>6126</v>
      </c>
      <c r="D13" s="258">
        <v>8875</v>
      </c>
      <c r="E13" s="258">
        <v>2722</v>
      </c>
      <c r="F13" s="258">
        <v>811</v>
      </c>
      <c r="G13" s="258">
        <v>192</v>
      </c>
      <c r="H13" s="258">
        <v>43</v>
      </c>
      <c r="I13" s="258">
        <v>5</v>
      </c>
      <c r="J13" s="258">
        <v>17</v>
      </c>
      <c r="K13" s="258">
        <v>106</v>
      </c>
    </row>
    <row r="14" spans="1:11" ht="12.75" customHeight="1">
      <c r="A14" s="207" t="s">
        <v>65</v>
      </c>
      <c r="B14" s="258">
        <v>28627</v>
      </c>
      <c r="C14" s="258">
        <v>3927</v>
      </c>
      <c r="D14" s="258">
        <v>12001</v>
      </c>
      <c r="E14" s="258">
        <v>8988</v>
      </c>
      <c r="F14" s="258">
        <v>2815</v>
      </c>
      <c r="G14" s="258">
        <v>666</v>
      </c>
      <c r="H14" s="258">
        <v>109</v>
      </c>
      <c r="I14" s="258">
        <v>7</v>
      </c>
      <c r="J14" s="258">
        <v>12</v>
      </c>
      <c r="K14" s="258">
        <v>102</v>
      </c>
    </row>
    <row r="15" spans="1:11" ht="12.75" customHeight="1">
      <c r="A15" s="207" t="s">
        <v>66</v>
      </c>
      <c r="B15" s="258">
        <v>25729</v>
      </c>
      <c r="C15" s="258">
        <v>1592</v>
      </c>
      <c r="D15" s="258">
        <v>6826</v>
      </c>
      <c r="E15" s="258">
        <v>9351</v>
      </c>
      <c r="F15" s="258">
        <v>6244</v>
      </c>
      <c r="G15" s="258">
        <v>1447</v>
      </c>
      <c r="H15" s="258">
        <v>188</v>
      </c>
      <c r="I15" s="258">
        <v>13</v>
      </c>
      <c r="J15" s="258">
        <v>17</v>
      </c>
      <c r="K15" s="258">
        <v>51</v>
      </c>
    </row>
    <row r="16" spans="1:11" ht="12.75" customHeight="1">
      <c r="A16" s="207" t="s">
        <v>67</v>
      </c>
      <c r="B16" s="258">
        <v>15650</v>
      </c>
      <c r="C16" s="258">
        <v>724</v>
      </c>
      <c r="D16" s="258">
        <v>2883</v>
      </c>
      <c r="E16" s="258">
        <v>4534</v>
      </c>
      <c r="F16" s="258">
        <v>4802</v>
      </c>
      <c r="G16" s="258">
        <v>2332</v>
      </c>
      <c r="H16" s="258">
        <v>318</v>
      </c>
      <c r="I16" s="258">
        <v>15</v>
      </c>
      <c r="J16" s="258">
        <v>19</v>
      </c>
      <c r="K16" s="258">
        <v>23</v>
      </c>
    </row>
    <row r="17" spans="1:11" ht="12.75" customHeight="1">
      <c r="A17" s="207" t="s">
        <v>68</v>
      </c>
      <c r="B17" s="258">
        <v>8404</v>
      </c>
      <c r="C17" s="258">
        <v>347</v>
      </c>
      <c r="D17" s="258">
        <v>1425</v>
      </c>
      <c r="E17" s="258">
        <v>2169</v>
      </c>
      <c r="F17" s="258">
        <v>2335</v>
      </c>
      <c r="G17" s="258">
        <v>1597</v>
      </c>
      <c r="H17" s="258">
        <v>479</v>
      </c>
      <c r="I17" s="258">
        <v>26</v>
      </c>
      <c r="J17" s="258">
        <v>10</v>
      </c>
      <c r="K17" s="258">
        <v>16</v>
      </c>
    </row>
    <row r="18" spans="1:11" ht="12.75" customHeight="1">
      <c r="A18" s="207" t="s">
        <v>69</v>
      </c>
      <c r="B18" s="258">
        <v>4117</v>
      </c>
      <c r="C18" s="258">
        <v>169</v>
      </c>
      <c r="D18" s="258">
        <v>715</v>
      </c>
      <c r="E18" s="258">
        <v>1016</v>
      </c>
      <c r="F18" s="258">
        <v>1076</v>
      </c>
      <c r="G18" s="258">
        <v>821</v>
      </c>
      <c r="H18" s="258">
        <v>275</v>
      </c>
      <c r="I18" s="258">
        <v>30</v>
      </c>
      <c r="J18" s="258">
        <v>8</v>
      </c>
      <c r="K18" s="258">
        <v>7</v>
      </c>
    </row>
    <row r="19" spans="1:11" ht="12.75" customHeight="1">
      <c r="A19" s="207" t="s">
        <v>70</v>
      </c>
      <c r="B19" s="258">
        <v>3266</v>
      </c>
      <c r="C19" s="258">
        <v>170</v>
      </c>
      <c r="D19" s="258">
        <v>611</v>
      </c>
      <c r="E19" s="258">
        <v>791</v>
      </c>
      <c r="F19" s="258">
        <v>841</v>
      </c>
      <c r="G19" s="258">
        <v>611</v>
      </c>
      <c r="H19" s="258">
        <v>192</v>
      </c>
      <c r="I19" s="258">
        <v>28</v>
      </c>
      <c r="J19" s="258">
        <v>17</v>
      </c>
      <c r="K19" s="258">
        <v>5</v>
      </c>
    </row>
    <row r="20" spans="1:11" ht="12.75" customHeight="1">
      <c r="A20" s="207" t="s">
        <v>45</v>
      </c>
      <c r="B20" s="258">
        <v>14469</v>
      </c>
      <c r="C20" s="258">
        <v>2538</v>
      </c>
      <c r="D20" s="258">
        <v>5091</v>
      </c>
      <c r="E20" s="258">
        <v>3359</v>
      </c>
      <c r="F20" s="258">
        <v>1892</v>
      </c>
      <c r="G20" s="258">
        <v>823</v>
      </c>
      <c r="H20" s="258">
        <v>182</v>
      </c>
      <c r="I20" s="258">
        <v>20</v>
      </c>
      <c r="J20" s="258">
        <v>16</v>
      </c>
      <c r="K20" s="258">
        <v>548</v>
      </c>
    </row>
    <row r="21" spans="1:11" ht="5.0999999999999996" customHeight="1">
      <c r="A21" s="207"/>
      <c r="B21" s="258"/>
      <c r="C21" s="258"/>
      <c r="D21" s="258"/>
      <c r="E21" s="258"/>
      <c r="F21" s="258"/>
      <c r="G21" s="258"/>
      <c r="H21" s="258"/>
      <c r="I21" s="258"/>
      <c r="J21" s="258"/>
      <c r="K21" s="258"/>
    </row>
    <row r="22" spans="1:11" ht="12.75" customHeight="1">
      <c r="A22" s="206" t="s">
        <v>76</v>
      </c>
      <c r="B22" s="259">
        <v>29247</v>
      </c>
      <c r="C22" s="259">
        <v>2994</v>
      </c>
      <c r="D22" s="259">
        <v>8127</v>
      </c>
      <c r="E22" s="259">
        <v>8451</v>
      </c>
      <c r="F22" s="259">
        <v>6287</v>
      </c>
      <c r="G22" s="259">
        <v>2697</v>
      </c>
      <c r="H22" s="259">
        <v>597</v>
      </c>
      <c r="I22" s="259">
        <v>42</v>
      </c>
      <c r="J22" s="259">
        <v>17</v>
      </c>
      <c r="K22" s="259">
        <v>35</v>
      </c>
    </row>
    <row r="23" spans="1:11" ht="5.0999999999999996" customHeight="1">
      <c r="A23" s="207"/>
      <c r="B23" s="258"/>
      <c r="C23" s="258"/>
      <c r="D23" s="258"/>
      <c r="E23" s="258"/>
      <c r="F23" s="258"/>
      <c r="G23" s="258"/>
      <c r="H23" s="258"/>
      <c r="I23" s="258"/>
      <c r="J23" s="258"/>
      <c r="K23" s="258"/>
    </row>
    <row r="24" spans="1:11" s="31" customFormat="1" ht="12.75" customHeight="1">
      <c r="A24" s="207" t="s">
        <v>314</v>
      </c>
      <c r="B24" s="258">
        <v>4</v>
      </c>
      <c r="C24" s="258">
        <v>1</v>
      </c>
      <c r="D24" s="258">
        <v>1</v>
      </c>
      <c r="E24" s="258">
        <v>0</v>
      </c>
      <c r="F24" s="258">
        <v>2</v>
      </c>
      <c r="G24" s="258">
        <v>0</v>
      </c>
      <c r="H24" s="258">
        <v>0</v>
      </c>
      <c r="I24" s="258">
        <v>0</v>
      </c>
      <c r="J24" s="258">
        <v>0</v>
      </c>
      <c r="K24" s="258">
        <v>0</v>
      </c>
    </row>
    <row r="25" spans="1:11" ht="12.75" customHeight="1">
      <c r="A25" s="207" t="s">
        <v>63</v>
      </c>
      <c r="B25" s="258">
        <v>384</v>
      </c>
      <c r="C25" s="258">
        <v>221</v>
      </c>
      <c r="D25" s="258">
        <v>113</v>
      </c>
      <c r="E25" s="258">
        <v>30</v>
      </c>
      <c r="F25" s="258">
        <v>10</v>
      </c>
      <c r="G25" s="258">
        <v>3</v>
      </c>
      <c r="H25" s="258">
        <v>0</v>
      </c>
      <c r="I25" s="258">
        <v>0</v>
      </c>
      <c r="J25" s="258">
        <v>0</v>
      </c>
      <c r="K25" s="258">
        <v>7</v>
      </c>
    </row>
    <row r="26" spans="1:11" ht="12.75" customHeight="1">
      <c r="A26" s="207" t="s">
        <v>64</v>
      </c>
      <c r="B26" s="258">
        <v>3870</v>
      </c>
      <c r="C26" s="258">
        <v>1106</v>
      </c>
      <c r="D26" s="258">
        <v>1878</v>
      </c>
      <c r="E26" s="258">
        <v>619</v>
      </c>
      <c r="F26" s="258">
        <v>202</v>
      </c>
      <c r="G26" s="258">
        <v>42</v>
      </c>
      <c r="H26" s="258">
        <v>9</v>
      </c>
      <c r="I26" s="258">
        <v>0</v>
      </c>
      <c r="J26" s="258">
        <v>3</v>
      </c>
      <c r="K26" s="258">
        <v>11</v>
      </c>
    </row>
    <row r="27" spans="1:11" ht="12.75" customHeight="1">
      <c r="A27" s="207" t="s">
        <v>65</v>
      </c>
      <c r="B27" s="258">
        <v>6566</v>
      </c>
      <c r="C27" s="258">
        <v>687</v>
      </c>
      <c r="D27" s="258">
        <v>2422</v>
      </c>
      <c r="E27" s="258">
        <v>2442</v>
      </c>
      <c r="F27" s="258">
        <v>801</v>
      </c>
      <c r="G27" s="258">
        <v>182</v>
      </c>
      <c r="H27" s="258">
        <v>23</v>
      </c>
      <c r="I27" s="258">
        <v>2</v>
      </c>
      <c r="J27" s="258">
        <v>2</v>
      </c>
      <c r="K27" s="258">
        <v>5</v>
      </c>
    </row>
    <row r="28" spans="1:11" ht="12.75" customHeight="1">
      <c r="A28" s="207" t="s">
        <v>66</v>
      </c>
      <c r="B28" s="258">
        <v>6760</v>
      </c>
      <c r="C28" s="258">
        <v>251</v>
      </c>
      <c r="D28" s="258">
        <v>1397</v>
      </c>
      <c r="E28" s="258">
        <v>2481</v>
      </c>
      <c r="F28" s="258">
        <v>2091</v>
      </c>
      <c r="G28" s="258">
        <v>478</v>
      </c>
      <c r="H28" s="258">
        <v>55</v>
      </c>
      <c r="I28" s="258">
        <v>4</v>
      </c>
      <c r="J28" s="258">
        <v>2</v>
      </c>
      <c r="K28" s="258">
        <v>1</v>
      </c>
    </row>
    <row r="29" spans="1:11" ht="12.75" customHeight="1">
      <c r="A29" s="207" t="s">
        <v>67</v>
      </c>
      <c r="B29" s="258">
        <v>4310</v>
      </c>
      <c r="C29" s="258">
        <v>108</v>
      </c>
      <c r="D29" s="258">
        <v>580</v>
      </c>
      <c r="E29" s="258">
        <v>1193</v>
      </c>
      <c r="F29" s="258">
        <v>1499</v>
      </c>
      <c r="G29" s="258">
        <v>802</v>
      </c>
      <c r="H29" s="258">
        <v>116</v>
      </c>
      <c r="I29" s="258">
        <v>8</v>
      </c>
      <c r="J29" s="258">
        <v>3</v>
      </c>
      <c r="K29" s="258">
        <v>1</v>
      </c>
    </row>
    <row r="30" spans="1:11" ht="12.75" customHeight="1">
      <c r="A30" s="207" t="s">
        <v>68</v>
      </c>
      <c r="B30" s="258">
        <v>2135</v>
      </c>
      <c r="C30" s="258">
        <v>63</v>
      </c>
      <c r="D30" s="258">
        <v>259</v>
      </c>
      <c r="E30" s="258">
        <v>482</v>
      </c>
      <c r="F30" s="258">
        <v>656</v>
      </c>
      <c r="G30" s="258">
        <v>498</v>
      </c>
      <c r="H30" s="258">
        <v>167</v>
      </c>
      <c r="I30" s="258">
        <v>8</v>
      </c>
      <c r="J30" s="258">
        <v>1</v>
      </c>
      <c r="K30" s="258">
        <v>1</v>
      </c>
    </row>
    <row r="31" spans="1:11" ht="12.75" customHeight="1">
      <c r="A31" s="207" t="s">
        <v>69</v>
      </c>
      <c r="B31" s="258">
        <v>1070</v>
      </c>
      <c r="C31" s="258">
        <v>31</v>
      </c>
      <c r="D31" s="258">
        <v>162</v>
      </c>
      <c r="E31" s="258">
        <v>199</v>
      </c>
      <c r="F31" s="258">
        <v>303</v>
      </c>
      <c r="G31" s="258">
        <v>271</v>
      </c>
      <c r="H31" s="258">
        <v>95</v>
      </c>
      <c r="I31" s="258">
        <v>9</v>
      </c>
      <c r="J31" s="258">
        <v>0</v>
      </c>
      <c r="K31" s="258">
        <v>0</v>
      </c>
    </row>
    <row r="32" spans="1:11" ht="12.75" customHeight="1">
      <c r="A32" s="207" t="s">
        <v>70</v>
      </c>
      <c r="B32" s="258">
        <v>746</v>
      </c>
      <c r="C32" s="258">
        <v>26</v>
      </c>
      <c r="D32" s="258">
        <v>103</v>
      </c>
      <c r="E32" s="258">
        <v>173</v>
      </c>
      <c r="F32" s="258">
        <v>199</v>
      </c>
      <c r="G32" s="258">
        <v>175</v>
      </c>
      <c r="H32" s="258">
        <v>63</v>
      </c>
      <c r="I32" s="258">
        <v>4</v>
      </c>
      <c r="J32" s="258">
        <v>3</v>
      </c>
      <c r="K32" s="258">
        <v>0</v>
      </c>
    </row>
    <row r="33" spans="1:11" ht="12.75" customHeight="1">
      <c r="A33" s="207" t="s">
        <v>45</v>
      </c>
      <c r="B33" s="258">
        <v>3402</v>
      </c>
      <c r="C33" s="258">
        <v>500</v>
      </c>
      <c r="D33" s="258">
        <v>1212</v>
      </c>
      <c r="E33" s="258">
        <v>832</v>
      </c>
      <c r="F33" s="258">
        <v>524</v>
      </c>
      <c r="G33" s="258">
        <v>246</v>
      </c>
      <c r="H33" s="258">
        <v>69</v>
      </c>
      <c r="I33" s="258">
        <v>7</v>
      </c>
      <c r="J33" s="258">
        <v>3</v>
      </c>
      <c r="K33" s="258">
        <v>9</v>
      </c>
    </row>
    <row r="34" spans="1:11" ht="5.0999999999999996" customHeight="1">
      <c r="A34" s="207"/>
      <c r="B34" s="258"/>
      <c r="C34" s="258"/>
      <c r="D34" s="258"/>
      <c r="E34" s="258"/>
      <c r="F34" s="258"/>
      <c r="G34" s="258"/>
      <c r="H34" s="258"/>
      <c r="I34" s="258"/>
      <c r="J34" s="258"/>
      <c r="K34" s="258"/>
    </row>
    <row r="35" spans="1:11" ht="12.75" customHeight="1">
      <c r="A35" s="206" t="s">
        <v>77</v>
      </c>
      <c r="B35" s="259">
        <v>3522</v>
      </c>
      <c r="C35" s="259">
        <v>876</v>
      </c>
      <c r="D35" s="259">
        <v>1140</v>
      </c>
      <c r="E35" s="259">
        <v>802</v>
      </c>
      <c r="F35" s="259">
        <v>383</v>
      </c>
      <c r="G35" s="259">
        <v>122</v>
      </c>
      <c r="H35" s="259">
        <v>29</v>
      </c>
      <c r="I35" s="259">
        <v>2</v>
      </c>
      <c r="J35" s="259">
        <v>3</v>
      </c>
      <c r="K35" s="259">
        <v>165</v>
      </c>
    </row>
    <row r="36" spans="1:11" ht="5.0999999999999996" customHeight="1">
      <c r="A36" s="207"/>
      <c r="B36" s="258"/>
      <c r="C36" s="258"/>
      <c r="D36" s="258"/>
      <c r="E36" s="258"/>
      <c r="F36" s="258"/>
      <c r="G36" s="258"/>
      <c r="H36" s="258"/>
      <c r="I36" s="258"/>
      <c r="J36" s="258"/>
      <c r="K36" s="258"/>
    </row>
    <row r="37" spans="1:11" ht="12.75" customHeight="1">
      <c r="A37" s="207" t="s">
        <v>314</v>
      </c>
      <c r="B37" s="258">
        <v>2</v>
      </c>
      <c r="C37" s="258">
        <v>2</v>
      </c>
      <c r="D37" s="258">
        <v>0</v>
      </c>
      <c r="E37" s="258">
        <v>0</v>
      </c>
      <c r="F37" s="258">
        <v>0</v>
      </c>
      <c r="G37" s="258">
        <v>0</v>
      </c>
      <c r="H37" s="258">
        <v>0</v>
      </c>
      <c r="I37" s="258">
        <v>0</v>
      </c>
      <c r="J37" s="258">
        <v>0</v>
      </c>
      <c r="K37" s="258">
        <v>0</v>
      </c>
    </row>
    <row r="38" spans="1:11" ht="12.75" customHeight="1">
      <c r="A38" s="207" t="s">
        <v>63</v>
      </c>
      <c r="B38" s="258">
        <v>84</v>
      </c>
      <c r="C38" s="258">
        <v>55</v>
      </c>
      <c r="D38" s="258">
        <v>19</v>
      </c>
      <c r="E38" s="258">
        <v>4</v>
      </c>
      <c r="F38" s="258">
        <v>0</v>
      </c>
      <c r="G38" s="258">
        <v>1</v>
      </c>
      <c r="H38" s="258">
        <v>0</v>
      </c>
      <c r="I38" s="258">
        <v>0</v>
      </c>
      <c r="J38" s="258">
        <v>0</v>
      </c>
      <c r="K38" s="258">
        <v>5</v>
      </c>
    </row>
    <row r="39" spans="1:11" s="31" customFormat="1" ht="12.75" customHeight="1">
      <c r="A39" s="207" t="s">
        <v>64</v>
      </c>
      <c r="B39" s="258">
        <v>593</v>
      </c>
      <c r="C39" s="258">
        <v>303</v>
      </c>
      <c r="D39" s="258">
        <v>193</v>
      </c>
      <c r="E39" s="258">
        <v>59</v>
      </c>
      <c r="F39" s="258">
        <v>14</v>
      </c>
      <c r="G39" s="258">
        <v>2</v>
      </c>
      <c r="H39" s="258">
        <v>0</v>
      </c>
      <c r="I39" s="258">
        <v>0</v>
      </c>
      <c r="J39" s="258">
        <v>0</v>
      </c>
      <c r="K39" s="258">
        <v>22</v>
      </c>
    </row>
    <row r="40" spans="1:11" ht="12.75" customHeight="1">
      <c r="A40" s="207" t="s">
        <v>65</v>
      </c>
      <c r="B40" s="258">
        <v>732</v>
      </c>
      <c r="C40" s="258">
        <v>193</v>
      </c>
      <c r="D40" s="258">
        <v>299</v>
      </c>
      <c r="E40" s="258">
        <v>182</v>
      </c>
      <c r="F40" s="258">
        <v>42</v>
      </c>
      <c r="G40" s="258">
        <v>7</v>
      </c>
      <c r="H40" s="258">
        <v>2</v>
      </c>
      <c r="I40" s="258">
        <v>0</v>
      </c>
      <c r="J40" s="258">
        <v>0</v>
      </c>
      <c r="K40" s="258">
        <v>7</v>
      </c>
    </row>
    <row r="41" spans="1:11" ht="12.75" customHeight="1">
      <c r="A41" s="207" t="s">
        <v>66</v>
      </c>
      <c r="B41" s="258">
        <v>556</v>
      </c>
      <c r="C41" s="258">
        <v>68</v>
      </c>
      <c r="D41" s="258">
        <v>181</v>
      </c>
      <c r="E41" s="258">
        <v>207</v>
      </c>
      <c r="F41" s="258">
        <v>75</v>
      </c>
      <c r="G41" s="258">
        <v>20</v>
      </c>
      <c r="H41" s="258">
        <v>2</v>
      </c>
      <c r="I41" s="258">
        <v>0</v>
      </c>
      <c r="J41" s="258">
        <v>0</v>
      </c>
      <c r="K41" s="258">
        <v>3</v>
      </c>
    </row>
    <row r="42" spans="1:11" ht="12.75" customHeight="1">
      <c r="A42" s="207" t="s">
        <v>67</v>
      </c>
      <c r="B42" s="258">
        <v>345</v>
      </c>
      <c r="C42" s="258">
        <v>37</v>
      </c>
      <c r="D42" s="258">
        <v>89</v>
      </c>
      <c r="E42" s="258">
        <v>98</v>
      </c>
      <c r="F42" s="258">
        <v>87</v>
      </c>
      <c r="G42" s="258">
        <v>26</v>
      </c>
      <c r="H42" s="258">
        <v>5</v>
      </c>
      <c r="I42" s="258">
        <v>0</v>
      </c>
      <c r="J42" s="258">
        <v>1</v>
      </c>
      <c r="K42" s="258">
        <v>2</v>
      </c>
    </row>
    <row r="43" spans="1:11" ht="12.75" customHeight="1">
      <c r="A43" s="207" t="s">
        <v>68</v>
      </c>
      <c r="B43" s="258">
        <v>161</v>
      </c>
      <c r="C43" s="258">
        <v>14</v>
      </c>
      <c r="D43" s="258">
        <v>37</v>
      </c>
      <c r="E43" s="258">
        <v>51</v>
      </c>
      <c r="F43" s="258">
        <v>38</v>
      </c>
      <c r="G43" s="258">
        <v>15</v>
      </c>
      <c r="H43" s="258">
        <v>6</v>
      </c>
      <c r="I43" s="258">
        <v>0</v>
      </c>
      <c r="J43" s="258">
        <v>0</v>
      </c>
      <c r="K43" s="258">
        <v>0</v>
      </c>
    </row>
    <row r="44" spans="1:11" ht="12.75" customHeight="1">
      <c r="A44" s="207" t="s">
        <v>69</v>
      </c>
      <c r="B44" s="258">
        <v>88</v>
      </c>
      <c r="C44" s="258">
        <v>5</v>
      </c>
      <c r="D44" s="258">
        <v>16</v>
      </c>
      <c r="E44" s="258">
        <v>16</v>
      </c>
      <c r="F44" s="258">
        <v>29</v>
      </c>
      <c r="G44" s="258">
        <v>15</v>
      </c>
      <c r="H44" s="258">
        <v>5</v>
      </c>
      <c r="I44" s="258">
        <v>0</v>
      </c>
      <c r="J44" s="258">
        <v>1</v>
      </c>
      <c r="K44" s="258">
        <v>1</v>
      </c>
    </row>
    <row r="45" spans="1:11" ht="12.75" customHeight="1">
      <c r="A45" s="207" t="s">
        <v>70</v>
      </c>
      <c r="B45" s="258">
        <v>69</v>
      </c>
      <c r="C45" s="258">
        <v>4</v>
      </c>
      <c r="D45" s="258">
        <v>19</v>
      </c>
      <c r="E45" s="258">
        <v>18</v>
      </c>
      <c r="F45" s="258">
        <v>15</v>
      </c>
      <c r="G45" s="258">
        <v>7</v>
      </c>
      <c r="H45" s="258">
        <v>4</v>
      </c>
      <c r="I45" s="258">
        <v>0</v>
      </c>
      <c r="J45" s="258">
        <v>1</v>
      </c>
      <c r="K45" s="258">
        <v>1</v>
      </c>
    </row>
    <row r="46" spans="1:11" ht="12.75" customHeight="1">
      <c r="A46" s="207" t="s">
        <v>45</v>
      </c>
      <c r="B46" s="258">
        <v>892</v>
      </c>
      <c r="C46" s="258">
        <v>195</v>
      </c>
      <c r="D46" s="258">
        <v>287</v>
      </c>
      <c r="E46" s="258">
        <v>167</v>
      </c>
      <c r="F46" s="258">
        <v>83</v>
      </c>
      <c r="G46" s="258">
        <v>29</v>
      </c>
      <c r="H46" s="258">
        <v>5</v>
      </c>
      <c r="I46" s="258">
        <v>2</v>
      </c>
      <c r="J46" s="258">
        <v>0</v>
      </c>
      <c r="K46" s="258">
        <v>124</v>
      </c>
    </row>
    <row r="47" spans="1:11" ht="5.0999999999999996" customHeight="1">
      <c r="A47" s="207"/>
      <c r="B47" s="258"/>
      <c r="C47" s="258"/>
      <c r="D47" s="258"/>
      <c r="E47" s="258"/>
      <c r="F47" s="258"/>
      <c r="G47" s="258"/>
      <c r="H47" s="258"/>
      <c r="I47" s="258"/>
      <c r="J47" s="258"/>
      <c r="K47" s="258"/>
    </row>
    <row r="48" spans="1:11" ht="12.75" customHeight="1">
      <c r="A48" s="206" t="s">
        <v>78</v>
      </c>
      <c r="B48" s="259">
        <v>1112</v>
      </c>
      <c r="C48" s="259">
        <v>197</v>
      </c>
      <c r="D48" s="259">
        <v>373</v>
      </c>
      <c r="E48" s="259">
        <v>280</v>
      </c>
      <c r="F48" s="259">
        <v>159</v>
      </c>
      <c r="G48" s="259">
        <v>74</v>
      </c>
      <c r="H48" s="259">
        <v>10</v>
      </c>
      <c r="I48" s="259">
        <v>2</v>
      </c>
      <c r="J48" s="259">
        <v>0</v>
      </c>
      <c r="K48" s="259">
        <v>17</v>
      </c>
    </row>
    <row r="49" spans="1:11" ht="5.0999999999999996" customHeight="1">
      <c r="A49" s="207"/>
      <c r="B49" s="258"/>
      <c r="C49" s="258"/>
      <c r="D49" s="258"/>
      <c r="E49" s="258"/>
      <c r="F49" s="258"/>
      <c r="G49" s="258"/>
      <c r="H49" s="258"/>
      <c r="I49" s="258"/>
      <c r="J49" s="258"/>
      <c r="K49" s="258"/>
    </row>
    <row r="50" spans="1:11" ht="12.75" customHeight="1">
      <c r="A50" s="207" t="s">
        <v>63</v>
      </c>
      <c r="B50" s="258">
        <v>24</v>
      </c>
      <c r="C50" s="258">
        <v>15</v>
      </c>
      <c r="D50" s="258">
        <v>6</v>
      </c>
      <c r="E50" s="258">
        <v>2</v>
      </c>
      <c r="F50" s="258">
        <v>0</v>
      </c>
      <c r="G50" s="258">
        <v>0</v>
      </c>
      <c r="H50" s="258">
        <v>0</v>
      </c>
      <c r="I50" s="258">
        <v>0</v>
      </c>
      <c r="J50" s="258">
        <v>0</v>
      </c>
      <c r="K50" s="258">
        <v>1</v>
      </c>
    </row>
    <row r="51" spans="1:11" ht="12.75" customHeight="1">
      <c r="A51" s="207" t="s">
        <v>64</v>
      </c>
      <c r="B51" s="258">
        <v>152</v>
      </c>
      <c r="C51" s="258">
        <v>72</v>
      </c>
      <c r="D51" s="258">
        <v>57</v>
      </c>
      <c r="E51" s="258">
        <v>14</v>
      </c>
      <c r="F51" s="258">
        <v>3</v>
      </c>
      <c r="G51" s="258">
        <v>0</v>
      </c>
      <c r="H51" s="258">
        <v>1</v>
      </c>
      <c r="I51" s="258">
        <v>0</v>
      </c>
      <c r="J51" s="258">
        <v>0</v>
      </c>
      <c r="K51" s="258">
        <v>5</v>
      </c>
    </row>
    <row r="52" spans="1:11" ht="12.75" customHeight="1">
      <c r="A52" s="207" t="s">
        <v>65</v>
      </c>
      <c r="B52" s="258">
        <v>253</v>
      </c>
      <c r="C52" s="258">
        <v>44</v>
      </c>
      <c r="D52" s="258">
        <v>118</v>
      </c>
      <c r="E52" s="258">
        <v>66</v>
      </c>
      <c r="F52" s="258">
        <v>17</v>
      </c>
      <c r="G52" s="258">
        <v>6</v>
      </c>
      <c r="H52" s="258">
        <v>0</v>
      </c>
      <c r="I52" s="258">
        <v>0</v>
      </c>
      <c r="J52" s="258">
        <v>0</v>
      </c>
      <c r="K52" s="258">
        <v>2</v>
      </c>
    </row>
    <row r="53" spans="1:11" ht="12.75" customHeight="1">
      <c r="A53" s="207" t="s">
        <v>66</v>
      </c>
      <c r="B53" s="258">
        <v>195</v>
      </c>
      <c r="C53" s="258">
        <v>23</v>
      </c>
      <c r="D53" s="258">
        <v>56</v>
      </c>
      <c r="E53" s="258">
        <v>66</v>
      </c>
      <c r="F53" s="258">
        <v>40</v>
      </c>
      <c r="G53" s="258">
        <v>10</v>
      </c>
      <c r="H53" s="258">
        <v>0</v>
      </c>
      <c r="I53" s="258">
        <v>0</v>
      </c>
      <c r="J53" s="258">
        <v>0</v>
      </c>
      <c r="K53" s="258">
        <v>0</v>
      </c>
    </row>
    <row r="54" spans="1:11" s="31" customFormat="1" ht="12.75" customHeight="1">
      <c r="A54" s="207" t="s">
        <v>67</v>
      </c>
      <c r="B54" s="258">
        <v>135</v>
      </c>
      <c r="C54" s="258">
        <v>5</v>
      </c>
      <c r="D54" s="258">
        <v>29</v>
      </c>
      <c r="E54" s="258">
        <v>33</v>
      </c>
      <c r="F54" s="258">
        <v>45</v>
      </c>
      <c r="G54" s="258">
        <v>19</v>
      </c>
      <c r="H54" s="258">
        <v>4</v>
      </c>
      <c r="I54" s="258">
        <v>0</v>
      </c>
      <c r="J54" s="258">
        <v>0</v>
      </c>
      <c r="K54" s="258">
        <v>0</v>
      </c>
    </row>
    <row r="55" spans="1:11" ht="12.75" customHeight="1">
      <c r="A55" s="207" t="s">
        <v>68</v>
      </c>
      <c r="B55" s="258">
        <v>79</v>
      </c>
      <c r="C55" s="258">
        <v>4</v>
      </c>
      <c r="D55" s="258">
        <v>18</v>
      </c>
      <c r="E55" s="258">
        <v>20</v>
      </c>
      <c r="F55" s="258">
        <v>18</v>
      </c>
      <c r="G55" s="258">
        <v>17</v>
      </c>
      <c r="H55" s="258">
        <v>1</v>
      </c>
      <c r="I55" s="258">
        <v>0</v>
      </c>
      <c r="J55" s="258">
        <v>0</v>
      </c>
      <c r="K55" s="258">
        <v>1</v>
      </c>
    </row>
    <row r="56" spans="1:11" ht="12.75" customHeight="1">
      <c r="A56" s="207" t="s">
        <v>69</v>
      </c>
      <c r="B56" s="258">
        <v>32</v>
      </c>
      <c r="C56" s="258">
        <v>0</v>
      </c>
      <c r="D56" s="258">
        <v>7</v>
      </c>
      <c r="E56" s="258">
        <v>11</v>
      </c>
      <c r="F56" s="258">
        <v>2</v>
      </c>
      <c r="G56" s="258">
        <v>9</v>
      </c>
      <c r="H56" s="258">
        <v>2</v>
      </c>
      <c r="I56" s="258">
        <v>1</v>
      </c>
      <c r="J56" s="258">
        <v>0</v>
      </c>
      <c r="K56" s="258">
        <v>0</v>
      </c>
    </row>
    <row r="57" spans="1:11" ht="12.75" customHeight="1">
      <c r="A57" s="207" t="s">
        <v>70</v>
      </c>
      <c r="B57" s="258">
        <v>40</v>
      </c>
      <c r="C57" s="258">
        <v>2</v>
      </c>
      <c r="D57" s="258">
        <v>9</v>
      </c>
      <c r="E57" s="258">
        <v>10</v>
      </c>
      <c r="F57" s="258">
        <v>10</v>
      </c>
      <c r="G57" s="258">
        <v>5</v>
      </c>
      <c r="H57" s="258">
        <v>2</v>
      </c>
      <c r="I57" s="258">
        <v>1</v>
      </c>
      <c r="J57" s="258">
        <v>0</v>
      </c>
      <c r="K57" s="258">
        <v>1</v>
      </c>
    </row>
    <row r="58" spans="1:11" ht="12.75" customHeight="1">
      <c r="A58" s="207" t="s">
        <v>45</v>
      </c>
      <c r="B58" s="258">
        <v>202</v>
      </c>
      <c r="C58" s="258">
        <v>32</v>
      </c>
      <c r="D58" s="258">
        <v>73</v>
      </c>
      <c r="E58" s="258">
        <v>58</v>
      </c>
      <c r="F58" s="258">
        <v>24</v>
      </c>
      <c r="G58" s="258">
        <v>8</v>
      </c>
      <c r="H58" s="258">
        <v>0</v>
      </c>
      <c r="I58" s="258">
        <v>0</v>
      </c>
      <c r="J58" s="258">
        <v>0</v>
      </c>
      <c r="K58" s="258">
        <v>7</v>
      </c>
    </row>
    <row r="59" spans="1:11" ht="5.0999999999999996" customHeight="1">
      <c r="A59" s="207"/>
      <c r="B59" s="258"/>
      <c r="C59" s="258"/>
      <c r="D59" s="258"/>
      <c r="E59" s="258"/>
      <c r="F59" s="258"/>
      <c r="G59" s="258"/>
      <c r="H59" s="258"/>
      <c r="I59" s="258"/>
      <c r="J59" s="258"/>
      <c r="K59" s="258"/>
    </row>
    <row r="60" spans="1:11" ht="12.75" customHeight="1">
      <c r="A60" s="206" t="s">
        <v>79</v>
      </c>
      <c r="B60" s="259">
        <v>3174</v>
      </c>
      <c r="C60" s="259">
        <v>530</v>
      </c>
      <c r="D60" s="259">
        <v>1098</v>
      </c>
      <c r="E60" s="259">
        <v>784</v>
      </c>
      <c r="F60" s="259">
        <v>462</v>
      </c>
      <c r="G60" s="259">
        <v>165</v>
      </c>
      <c r="H60" s="259">
        <v>34</v>
      </c>
      <c r="I60" s="259">
        <v>1</v>
      </c>
      <c r="J60" s="259">
        <v>9</v>
      </c>
      <c r="K60" s="259">
        <v>91</v>
      </c>
    </row>
    <row r="61" spans="1:11" ht="5.0999999999999996" customHeight="1">
      <c r="A61" s="207"/>
      <c r="B61" s="258"/>
      <c r="C61" s="258"/>
      <c r="D61" s="258"/>
      <c r="E61" s="258"/>
      <c r="F61" s="258"/>
      <c r="G61" s="258"/>
      <c r="H61" s="258"/>
      <c r="I61" s="258"/>
      <c r="J61" s="258"/>
      <c r="K61" s="258"/>
    </row>
    <row r="62" spans="1:11" ht="12.75" customHeight="1">
      <c r="A62" s="207" t="s">
        <v>63</v>
      </c>
      <c r="B62" s="258">
        <v>55</v>
      </c>
      <c r="C62" s="258">
        <v>36</v>
      </c>
      <c r="D62" s="258">
        <v>13</v>
      </c>
      <c r="E62" s="258">
        <v>3</v>
      </c>
      <c r="F62" s="258">
        <v>0</v>
      </c>
      <c r="G62" s="258">
        <v>2</v>
      </c>
      <c r="H62" s="258">
        <v>0</v>
      </c>
      <c r="I62" s="258">
        <v>0</v>
      </c>
      <c r="J62" s="258">
        <v>0</v>
      </c>
      <c r="K62" s="258">
        <v>1</v>
      </c>
    </row>
    <row r="63" spans="1:11" ht="12.75" customHeight="1">
      <c r="A63" s="207" t="s">
        <v>64</v>
      </c>
      <c r="B63" s="258">
        <v>534</v>
      </c>
      <c r="C63" s="258">
        <v>201</v>
      </c>
      <c r="D63" s="258">
        <v>239</v>
      </c>
      <c r="E63" s="258">
        <v>65</v>
      </c>
      <c r="F63" s="258">
        <v>18</v>
      </c>
      <c r="G63" s="258">
        <v>6</v>
      </c>
      <c r="H63" s="258">
        <v>0</v>
      </c>
      <c r="I63" s="258">
        <v>0</v>
      </c>
      <c r="J63" s="258">
        <v>1</v>
      </c>
      <c r="K63" s="258">
        <v>4</v>
      </c>
    </row>
    <row r="64" spans="1:11" ht="12.75" customHeight="1">
      <c r="A64" s="207" t="s">
        <v>65</v>
      </c>
      <c r="B64" s="258">
        <v>746</v>
      </c>
      <c r="C64" s="258">
        <v>128</v>
      </c>
      <c r="D64" s="258">
        <v>353</v>
      </c>
      <c r="E64" s="258">
        <v>184</v>
      </c>
      <c r="F64" s="258">
        <v>61</v>
      </c>
      <c r="G64" s="258">
        <v>16</v>
      </c>
      <c r="H64" s="258">
        <v>1</v>
      </c>
      <c r="I64" s="258">
        <v>0</v>
      </c>
      <c r="J64" s="258">
        <v>1</v>
      </c>
      <c r="K64" s="258">
        <v>2</v>
      </c>
    </row>
    <row r="65" spans="1:11" ht="12.75" customHeight="1">
      <c r="A65" s="207" t="s">
        <v>66</v>
      </c>
      <c r="B65" s="258">
        <v>585</v>
      </c>
      <c r="C65" s="258">
        <v>39</v>
      </c>
      <c r="D65" s="258">
        <v>185</v>
      </c>
      <c r="E65" s="258">
        <v>218</v>
      </c>
      <c r="F65" s="258">
        <v>114</v>
      </c>
      <c r="G65" s="258">
        <v>25</v>
      </c>
      <c r="H65" s="258">
        <v>3</v>
      </c>
      <c r="I65" s="258">
        <v>0</v>
      </c>
      <c r="J65" s="258">
        <v>1</v>
      </c>
      <c r="K65" s="258">
        <v>0</v>
      </c>
    </row>
    <row r="66" spans="1:11" ht="12.75" customHeight="1">
      <c r="A66" s="207" t="s">
        <v>67</v>
      </c>
      <c r="B66" s="258">
        <v>351</v>
      </c>
      <c r="C66" s="258">
        <v>19</v>
      </c>
      <c r="D66" s="258">
        <v>81</v>
      </c>
      <c r="E66" s="258">
        <v>111</v>
      </c>
      <c r="F66" s="258">
        <v>106</v>
      </c>
      <c r="G66" s="258">
        <v>27</v>
      </c>
      <c r="H66" s="258">
        <v>3</v>
      </c>
      <c r="I66" s="258">
        <v>1</v>
      </c>
      <c r="J66" s="258">
        <v>2</v>
      </c>
      <c r="K66" s="258">
        <v>1</v>
      </c>
    </row>
    <row r="67" spans="1:11" ht="12.75" customHeight="1">
      <c r="A67" s="207" t="s">
        <v>68</v>
      </c>
      <c r="B67" s="258">
        <v>196</v>
      </c>
      <c r="C67" s="258">
        <v>12</v>
      </c>
      <c r="D67" s="258">
        <v>29</v>
      </c>
      <c r="E67" s="258">
        <v>45</v>
      </c>
      <c r="F67" s="258">
        <v>66</v>
      </c>
      <c r="G67" s="258">
        <v>36</v>
      </c>
      <c r="H67" s="258">
        <v>6</v>
      </c>
      <c r="I67" s="258">
        <v>0</v>
      </c>
      <c r="J67" s="258">
        <v>1</v>
      </c>
      <c r="K67" s="258">
        <v>1</v>
      </c>
    </row>
    <row r="68" spans="1:11" ht="12.75" customHeight="1">
      <c r="A68" s="207" t="s">
        <v>69</v>
      </c>
      <c r="B68" s="258">
        <v>117</v>
      </c>
      <c r="C68" s="258">
        <v>2</v>
      </c>
      <c r="D68" s="258">
        <v>20</v>
      </c>
      <c r="E68" s="258">
        <v>33</v>
      </c>
      <c r="F68" s="258">
        <v>32</v>
      </c>
      <c r="G68" s="258">
        <v>20</v>
      </c>
      <c r="H68" s="258">
        <v>9</v>
      </c>
      <c r="I68" s="258">
        <v>0</v>
      </c>
      <c r="J68" s="258">
        <v>1</v>
      </c>
      <c r="K68" s="258">
        <v>0</v>
      </c>
    </row>
    <row r="69" spans="1:11" s="31" customFormat="1" ht="12.75" customHeight="1">
      <c r="A69" s="207" t="s">
        <v>70</v>
      </c>
      <c r="B69" s="258">
        <v>91</v>
      </c>
      <c r="C69" s="258">
        <v>4</v>
      </c>
      <c r="D69" s="258">
        <v>18</v>
      </c>
      <c r="E69" s="258">
        <v>29</v>
      </c>
      <c r="F69" s="258">
        <v>16</v>
      </c>
      <c r="G69" s="258">
        <v>16</v>
      </c>
      <c r="H69" s="258">
        <v>7</v>
      </c>
      <c r="I69" s="258">
        <v>0</v>
      </c>
      <c r="J69" s="258">
        <v>1</v>
      </c>
      <c r="K69" s="258">
        <v>0</v>
      </c>
    </row>
    <row r="70" spans="1:11" ht="12.75" customHeight="1">
      <c r="A70" s="207" t="s">
        <v>45</v>
      </c>
      <c r="B70" s="258">
        <v>499</v>
      </c>
      <c r="C70" s="258">
        <v>89</v>
      </c>
      <c r="D70" s="258">
        <v>160</v>
      </c>
      <c r="E70" s="258">
        <v>96</v>
      </c>
      <c r="F70" s="258">
        <v>49</v>
      </c>
      <c r="G70" s="258">
        <v>17</v>
      </c>
      <c r="H70" s="258">
        <v>5</v>
      </c>
      <c r="I70" s="258">
        <v>0</v>
      </c>
      <c r="J70" s="258">
        <v>1</v>
      </c>
      <c r="K70" s="258">
        <v>82</v>
      </c>
    </row>
    <row r="71" spans="1:11" ht="5.0999999999999996" customHeight="1">
      <c r="A71" s="207"/>
      <c r="B71" s="258"/>
      <c r="C71" s="258"/>
      <c r="D71" s="258"/>
      <c r="E71" s="258"/>
      <c r="F71" s="258"/>
      <c r="G71" s="258"/>
      <c r="H71" s="258"/>
      <c r="I71" s="258"/>
      <c r="J71" s="258"/>
      <c r="K71" s="258"/>
    </row>
    <row r="72" spans="1:11" ht="12.75" customHeight="1">
      <c r="A72" s="206" t="s">
        <v>80</v>
      </c>
      <c r="B72" s="259">
        <v>454</v>
      </c>
      <c r="C72" s="259">
        <v>73</v>
      </c>
      <c r="D72" s="259">
        <v>175</v>
      </c>
      <c r="E72" s="259">
        <v>100</v>
      </c>
      <c r="F72" s="259">
        <v>57</v>
      </c>
      <c r="G72" s="259">
        <v>19</v>
      </c>
      <c r="H72" s="259">
        <v>9</v>
      </c>
      <c r="I72" s="259">
        <v>0</v>
      </c>
      <c r="J72" s="259">
        <v>0</v>
      </c>
      <c r="K72" s="259">
        <v>21</v>
      </c>
    </row>
    <row r="73" spans="1:11" ht="5.0999999999999996" customHeight="1">
      <c r="A73" s="207"/>
      <c r="B73" s="258"/>
      <c r="C73" s="258"/>
      <c r="D73" s="258"/>
      <c r="E73" s="258"/>
      <c r="F73" s="258"/>
      <c r="G73" s="258"/>
      <c r="H73" s="258"/>
      <c r="I73" s="258"/>
      <c r="J73" s="258"/>
      <c r="K73" s="258"/>
    </row>
    <row r="74" spans="1:11" ht="12.75" customHeight="1">
      <c r="A74" s="207" t="s">
        <v>63</v>
      </c>
      <c r="B74" s="258">
        <v>7</v>
      </c>
      <c r="C74" s="258">
        <v>3</v>
      </c>
      <c r="D74" s="258">
        <v>1</v>
      </c>
      <c r="E74" s="258">
        <v>1</v>
      </c>
      <c r="F74" s="258">
        <v>2</v>
      </c>
      <c r="G74" s="258">
        <v>0</v>
      </c>
      <c r="H74" s="258">
        <v>0</v>
      </c>
      <c r="I74" s="258">
        <v>0</v>
      </c>
      <c r="J74" s="258">
        <v>0</v>
      </c>
      <c r="K74" s="258">
        <v>0</v>
      </c>
    </row>
    <row r="75" spans="1:11" ht="12.75" customHeight="1">
      <c r="A75" s="207" t="s">
        <v>64</v>
      </c>
      <c r="B75" s="258">
        <v>57</v>
      </c>
      <c r="C75" s="258">
        <v>18</v>
      </c>
      <c r="D75" s="258">
        <v>29</v>
      </c>
      <c r="E75" s="258">
        <v>7</v>
      </c>
      <c r="F75" s="258">
        <v>2</v>
      </c>
      <c r="G75" s="258">
        <v>0</v>
      </c>
      <c r="H75" s="258">
        <v>0</v>
      </c>
      <c r="I75" s="258">
        <v>0</v>
      </c>
      <c r="J75" s="258">
        <v>0</v>
      </c>
      <c r="K75" s="258">
        <v>1</v>
      </c>
    </row>
    <row r="76" spans="1:11" ht="12.75" customHeight="1">
      <c r="A76" s="207" t="s">
        <v>65</v>
      </c>
      <c r="B76" s="258">
        <v>99</v>
      </c>
      <c r="C76" s="258">
        <v>13</v>
      </c>
      <c r="D76" s="258">
        <v>51</v>
      </c>
      <c r="E76" s="258">
        <v>21</v>
      </c>
      <c r="F76" s="258">
        <v>11</v>
      </c>
      <c r="G76" s="258">
        <v>3</v>
      </c>
      <c r="H76" s="258">
        <v>0</v>
      </c>
      <c r="I76" s="258">
        <v>0</v>
      </c>
      <c r="J76" s="258">
        <v>0</v>
      </c>
      <c r="K76" s="258">
        <v>0</v>
      </c>
    </row>
    <row r="77" spans="1:11" ht="12.75" customHeight="1">
      <c r="A77" s="207" t="s">
        <v>66</v>
      </c>
      <c r="B77" s="258">
        <v>86</v>
      </c>
      <c r="C77" s="258">
        <v>13</v>
      </c>
      <c r="D77" s="258">
        <v>37</v>
      </c>
      <c r="E77" s="258">
        <v>22</v>
      </c>
      <c r="F77" s="258">
        <v>11</v>
      </c>
      <c r="G77" s="258">
        <v>2</v>
      </c>
      <c r="H77" s="258">
        <v>1</v>
      </c>
      <c r="I77" s="258">
        <v>0</v>
      </c>
      <c r="J77" s="258">
        <v>0</v>
      </c>
      <c r="K77" s="258">
        <v>0</v>
      </c>
    </row>
    <row r="78" spans="1:11" ht="12.75" customHeight="1">
      <c r="A78" s="207" t="s">
        <v>67</v>
      </c>
      <c r="B78" s="258">
        <v>44</v>
      </c>
      <c r="C78" s="258">
        <v>5</v>
      </c>
      <c r="D78" s="258">
        <v>15</v>
      </c>
      <c r="E78" s="258">
        <v>14</v>
      </c>
      <c r="F78" s="258">
        <v>9</v>
      </c>
      <c r="G78" s="258">
        <v>0</v>
      </c>
      <c r="H78" s="258">
        <v>0</v>
      </c>
      <c r="I78" s="258">
        <v>0</v>
      </c>
      <c r="J78" s="258">
        <v>0</v>
      </c>
      <c r="K78" s="258">
        <v>1</v>
      </c>
    </row>
    <row r="79" spans="1:11" ht="12.75" customHeight="1">
      <c r="A79" s="207" t="s">
        <v>68</v>
      </c>
      <c r="B79" s="258">
        <v>29</v>
      </c>
      <c r="C79" s="258">
        <v>0</v>
      </c>
      <c r="D79" s="258">
        <v>3</v>
      </c>
      <c r="E79" s="258">
        <v>6</v>
      </c>
      <c r="F79" s="258">
        <v>7</v>
      </c>
      <c r="G79" s="258">
        <v>9</v>
      </c>
      <c r="H79" s="258">
        <v>3</v>
      </c>
      <c r="I79" s="258">
        <v>0</v>
      </c>
      <c r="J79" s="258">
        <v>0</v>
      </c>
      <c r="K79" s="258">
        <v>1</v>
      </c>
    </row>
    <row r="80" spans="1:11" ht="12.75" customHeight="1">
      <c r="A80" s="207" t="s">
        <v>69</v>
      </c>
      <c r="B80" s="258">
        <v>23</v>
      </c>
      <c r="C80" s="258">
        <v>1</v>
      </c>
      <c r="D80" s="258">
        <v>7</v>
      </c>
      <c r="E80" s="258">
        <v>8</v>
      </c>
      <c r="F80" s="258">
        <v>5</v>
      </c>
      <c r="G80" s="258">
        <v>2</v>
      </c>
      <c r="H80" s="258">
        <v>0</v>
      </c>
      <c r="I80" s="258">
        <v>0</v>
      </c>
      <c r="J80" s="258">
        <v>0</v>
      </c>
      <c r="K80" s="258">
        <v>0</v>
      </c>
    </row>
    <row r="81" spans="1:11" ht="12.75" customHeight="1">
      <c r="A81" s="207" t="s">
        <v>70</v>
      </c>
      <c r="B81" s="258">
        <v>11</v>
      </c>
      <c r="C81" s="258">
        <v>0</v>
      </c>
      <c r="D81" s="258">
        <v>2</v>
      </c>
      <c r="E81" s="258">
        <v>4</v>
      </c>
      <c r="F81" s="258">
        <v>2</v>
      </c>
      <c r="G81" s="258">
        <v>0</v>
      </c>
      <c r="H81" s="258">
        <v>3</v>
      </c>
      <c r="I81" s="258">
        <v>0</v>
      </c>
      <c r="J81" s="258">
        <v>0</v>
      </c>
      <c r="K81" s="258">
        <v>0</v>
      </c>
    </row>
    <row r="82" spans="1:11" ht="12.75" customHeight="1">
      <c r="A82" s="207" t="s">
        <v>45</v>
      </c>
      <c r="B82" s="258">
        <v>98</v>
      </c>
      <c r="C82" s="258">
        <v>20</v>
      </c>
      <c r="D82" s="258">
        <v>30</v>
      </c>
      <c r="E82" s="258">
        <v>17</v>
      </c>
      <c r="F82" s="258">
        <v>8</v>
      </c>
      <c r="G82" s="258">
        <v>3</v>
      </c>
      <c r="H82" s="258">
        <v>2</v>
      </c>
      <c r="I82" s="258">
        <v>0</v>
      </c>
      <c r="J82" s="258">
        <v>0</v>
      </c>
      <c r="K82" s="258">
        <v>18</v>
      </c>
    </row>
    <row r="83" spans="1:11" ht="5.0999999999999996" customHeight="1">
      <c r="A83" s="207"/>
      <c r="B83" s="258"/>
      <c r="C83" s="258"/>
      <c r="D83" s="258"/>
      <c r="E83" s="258"/>
      <c r="F83" s="258"/>
      <c r="G83" s="258"/>
      <c r="H83" s="258"/>
      <c r="I83" s="258"/>
      <c r="J83" s="258"/>
      <c r="K83" s="258"/>
    </row>
    <row r="84" spans="1:11" ht="12.75" customHeight="1">
      <c r="A84" s="206" t="s">
        <v>81</v>
      </c>
      <c r="B84" s="259">
        <v>4082</v>
      </c>
      <c r="C84" s="259">
        <v>684</v>
      </c>
      <c r="D84" s="259">
        <v>1393</v>
      </c>
      <c r="E84" s="259">
        <v>1096</v>
      </c>
      <c r="F84" s="259">
        <v>634</v>
      </c>
      <c r="G84" s="259">
        <v>228</v>
      </c>
      <c r="H84" s="259">
        <v>41</v>
      </c>
      <c r="I84" s="259">
        <v>0</v>
      </c>
      <c r="J84" s="259">
        <v>2</v>
      </c>
      <c r="K84" s="259">
        <v>4</v>
      </c>
    </row>
    <row r="85" spans="1:11" ht="5.0999999999999996" customHeight="1">
      <c r="A85" s="207"/>
      <c r="B85" s="258"/>
      <c r="C85" s="258"/>
      <c r="D85" s="258"/>
      <c r="E85" s="258"/>
      <c r="F85" s="258"/>
      <c r="G85" s="258"/>
      <c r="H85" s="258"/>
      <c r="I85" s="258"/>
      <c r="J85" s="258"/>
      <c r="K85" s="258"/>
    </row>
    <row r="86" spans="1:11" s="31" customFormat="1" ht="12.75" customHeight="1">
      <c r="A86" s="207" t="s">
        <v>63</v>
      </c>
      <c r="B86" s="258">
        <v>74</v>
      </c>
      <c r="C86" s="258">
        <v>48</v>
      </c>
      <c r="D86" s="258">
        <v>18</v>
      </c>
      <c r="E86" s="258">
        <v>7</v>
      </c>
      <c r="F86" s="258">
        <v>0</v>
      </c>
      <c r="G86" s="258">
        <v>0</v>
      </c>
      <c r="H86" s="258">
        <v>0</v>
      </c>
      <c r="I86" s="258">
        <v>0</v>
      </c>
      <c r="J86" s="258">
        <v>0</v>
      </c>
      <c r="K86" s="258">
        <v>1</v>
      </c>
    </row>
    <row r="87" spans="1:11" ht="12.75" customHeight="1">
      <c r="A87" s="207" t="s">
        <v>64</v>
      </c>
      <c r="B87" s="258">
        <v>661</v>
      </c>
      <c r="C87" s="258">
        <v>234</v>
      </c>
      <c r="D87" s="258">
        <v>297</v>
      </c>
      <c r="E87" s="258">
        <v>93</v>
      </c>
      <c r="F87" s="258">
        <v>28</v>
      </c>
      <c r="G87" s="258">
        <v>7</v>
      </c>
      <c r="H87" s="258">
        <v>1</v>
      </c>
      <c r="I87" s="258">
        <v>0</v>
      </c>
      <c r="J87" s="258">
        <v>1</v>
      </c>
      <c r="K87" s="258">
        <v>0</v>
      </c>
    </row>
    <row r="88" spans="1:11" ht="12.75" customHeight="1">
      <c r="A88" s="207" t="s">
        <v>65</v>
      </c>
      <c r="B88" s="258">
        <v>953</v>
      </c>
      <c r="C88" s="258">
        <v>148</v>
      </c>
      <c r="D88" s="258">
        <v>419</v>
      </c>
      <c r="E88" s="258">
        <v>286</v>
      </c>
      <c r="F88" s="258">
        <v>83</v>
      </c>
      <c r="G88" s="258">
        <v>15</v>
      </c>
      <c r="H88" s="258">
        <v>2</v>
      </c>
      <c r="I88" s="258">
        <v>0</v>
      </c>
      <c r="J88" s="258">
        <v>0</v>
      </c>
      <c r="K88" s="258">
        <v>0</v>
      </c>
    </row>
    <row r="89" spans="1:11" ht="12.75" customHeight="1">
      <c r="A89" s="207" t="s">
        <v>66</v>
      </c>
      <c r="B89" s="258">
        <v>881</v>
      </c>
      <c r="C89" s="258">
        <v>64</v>
      </c>
      <c r="D89" s="258">
        <v>267</v>
      </c>
      <c r="E89" s="258">
        <v>316</v>
      </c>
      <c r="F89" s="258">
        <v>199</v>
      </c>
      <c r="G89" s="258">
        <v>26</v>
      </c>
      <c r="H89" s="258">
        <v>8</v>
      </c>
      <c r="I89" s="258">
        <v>0</v>
      </c>
      <c r="J89" s="258">
        <v>0</v>
      </c>
      <c r="K89" s="258">
        <v>1</v>
      </c>
    </row>
    <row r="90" spans="1:11" ht="12.75" customHeight="1">
      <c r="A90" s="207" t="s">
        <v>67</v>
      </c>
      <c r="B90" s="258">
        <v>489</v>
      </c>
      <c r="C90" s="258">
        <v>32</v>
      </c>
      <c r="D90" s="258">
        <v>109</v>
      </c>
      <c r="E90" s="258">
        <v>136</v>
      </c>
      <c r="F90" s="258">
        <v>144</v>
      </c>
      <c r="G90" s="258">
        <v>60</v>
      </c>
      <c r="H90" s="258">
        <v>8</v>
      </c>
      <c r="I90" s="258">
        <v>0</v>
      </c>
      <c r="J90" s="258">
        <v>0</v>
      </c>
      <c r="K90" s="258">
        <v>0</v>
      </c>
    </row>
    <row r="91" spans="1:11" ht="12.75" customHeight="1">
      <c r="A91" s="207" t="s">
        <v>68</v>
      </c>
      <c r="B91" s="258">
        <v>266</v>
      </c>
      <c r="C91" s="258">
        <v>17</v>
      </c>
      <c r="D91" s="258">
        <v>54</v>
      </c>
      <c r="E91" s="258">
        <v>66</v>
      </c>
      <c r="F91" s="258">
        <v>65</v>
      </c>
      <c r="G91" s="258">
        <v>57</v>
      </c>
      <c r="H91" s="258">
        <v>6</v>
      </c>
      <c r="I91" s="258">
        <v>0</v>
      </c>
      <c r="J91" s="258">
        <v>0</v>
      </c>
      <c r="K91" s="258">
        <v>1</v>
      </c>
    </row>
    <row r="92" spans="1:11" ht="12.75" customHeight="1">
      <c r="A92" s="207" t="s">
        <v>69</v>
      </c>
      <c r="B92" s="258">
        <v>112</v>
      </c>
      <c r="C92" s="258">
        <v>4</v>
      </c>
      <c r="D92" s="258">
        <v>24</v>
      </c>
      <c r="E92" s="258">
        <v>37</v>
      </c>
      <c r="F92" s="258">
        <v>25</v>
      </c>
      <c r="G92" s="258">
        <v>18</v>
      </c>
      <c r="H92" s="258">
        <v>4</v>
      </c>
      <c r="I92" s="258">
        <v>0</v>
      </c>
      <c r="J92" s="258">
        <v>0</v>
      </c>
      <c r="K92" s="258">
        <v>0</v>
      </c>
    </row>
    <row r="93" spans="1:11" ht="12.75" customHeight="1">
      <c r="A93" s="207" t="s">
        <v>70</v>
      </c>
      <c r="B93" s="258">
        <v>112</v>
      </c>
      <c r="C93" s="258">
        <v>4</v>
      </c>
      <c r="D93" s="258">
        <v>30</v>
      </c>
      <c r="E93" s="258">
        <v>30</v>
      </c>
      <c r="F93" s="258">
        <v>25</v>
      </c>
      <c r="G93" s="258">
        <v>17</v>
      </c>
      <c r="H93" s="258">
        <v>5</v>
      </c>
      <c r="I93" s="258">
        <v>0</v>
      </c>
      <c r="J93" s="258">
        <v>1</v>
      </c>
      <c r="K93" s="258">
        <v>0</v>
      </c>
    </row>
    <row r="94" spans="1:11" ht="12.75" customHeight="1">
      <c r="A94" s="207" t="s">
        <v>45</v>
      </c>
      <c r="B94" s="258">
        <v>534</v>
      </c>
      <c r="C94" s="258">
        <v>133</v>
      </c>
      <c r="D94" s="258">
        <v>175</v>
      </c>
      <c r="E94" s="258">
        <v>125</v>
      </c>
      <c r="F94" s="258">
        <v>65</v>
      </c>
      <c r="G94" s="258">
        <v>28</v>
      </c>
      <c r="H94" s="258">
        <v>7</v>
      </c>
      <c r="I94" s="258">
        <v>0</v>
      </c>
      <c r="J94" s="258">
        <v>0</v>
      </c>
      <c r="K94" s="258">
        <v>1</v>
      </c>
    </row>
    <row r="95" spans="1:11" ht="5.0999999999999996" customHeight="1">
      <c r="A95" s="207"/>
      <c r="B95" s="258"/>
      <c r="C95" s="258"/>
      <c r="D95" s="258"/>
      <c r="E95" s="258"/>
      <c r="F95" s="258"/>
      <c r="G95" s="258"/>
      <c r="H95" s="258"/>
      <c r="I95" s="258"/>
      <c r="J95" s="258"/>
      <c r="K95" s="258"/>
    </row>
    <row r="96" spans="1:11" ht="12.75" customHeight="1">
      <c r="A96" s="206" t="s">
        <v>82</v>
      </c>
      <c r="B96" s="259">
        <v>407</v>
      </c>
      <c r="C96" s="259">
        <v>59</v>
      </c>
      <c r="D96" s="259">
        <v>139</v>
      </c>
      <c r="E96" s="259">
        <v>108</v>
      </c>
      <c r="F96" s="259">
        <v>58</v>
      </c>
      <c r="G96" s="259">
        <v>26</v>
      </c>
      <c r="H96" s="259">
        <v>5</v>
      </c>
      <c r="I96" s="259">
        <v>0</v>
      </c>
      <c r="J96" s="259">
        <v>1</v>
      </c>
      <c r="K96" s="259">
        <v>11</v>
      </c>
    </row>
    <row r="97" spans="1:11" ht="5.0999999999999996" customHeight="1">
      <c r="A97" s="207"/>
      <c r="B97" s="258"/>
      <c r="C97" s="258"/>
      <c r="D97" s="258"/>
      <c r="E97" s="258"/>
      <c r="F97" s="258"/>
      <c r="G97" s="258"/>
      <c r="H97" s="258"/>
      <c r="I97" s="258"/>
      <c r="J97" s="258"/>
      <c r="K97" s="258"/>
    </row>
    <row r="98" spans="1:11" ht="12.75" customHeight="1">
      <c r="A98" s="207" t="s">
        <v>63</v>
      </c>
      <c r="B98" s="258">
        <v>2</v>
      </c>
      <c r="C98" s="258">
        <v>2</v>
      </c>
      <c r="D98" s="258">
        <v>0</v>
      </c>
      <c r="E98" s="258">
        <v>0</v>
      </c>
      <c r="F98" s="258">
        <v>0</v>
      </c>
      <c r="G98" s="258">
        <v>0</v>
      </c>
      <c r="H98" s="258">
        <v>0</v>
      </c>
      <c r="I98" s="258">
        <v>0</v>
      </c>
      <c r="J98" s="258">
        <v>0</v>
      </c>
      <c r="K98" s="258">
        <v>0</v>
      </c>
    </row>
    <row r="99" spans="1:11" ht="12.75" customHeight="1">
      <c r="A99" s="207" t="s">
        <v>64</v>
      </c>
      <c r="B99" s="258">
        <v>55</v>
      </c>
      <c r="C99" s="258">
        <v>19</v>
      </c>
      <c r="D99" s="258">
        <v>29</v>
      </c>
      <c r="E99" s="258">
        <v>7</v>
      </c>
      <c r="F99" s="258">
        <v>0</v>
      </c>
      <c r="G99" s="258">
        <v>0</v>
      </c>
      <c r="H99" s="258">
        <v>0</v>
      </c>
      <c r="I99" s="258">
        <v>0</v>
      </c>
      <c r="J99" s="258">
        <v>0</v>
      </c>
      <c r="K99" s="258">
        <v>0</v>
      </c>
    </row>
    <row r="100" spans="1:11" ht="12.75" customHeight="1">
      <c r="A100" s="207" t="s">
        <v>65</v>
      </c>
      <c r="B100" s="258">
        <v>85</v>
      </c>
      <c r="C100" s="258">
        <v>10</v>
      </c>
      <c r="D100" s="258">
        <v>43</v>
      </c>
      <c r="E100" s="258">
        <v>27</v>
      </c>
      <c r="F100" s="258">
        <v>4</v>
      </c>
      <c r="G100" s="258">
        <v>1</v>
      </c>
      <c r="H100" s="258">
        <v>0</v>
      </c>
      <c r="I100" s="258">
        <v>0</v>
      </c>
      <c r="J100" s="258">
        <v>0</v>
      </c>
      <c r="K100" s="258">
        <v>0</v>
      </c>
    </row>
    <row r="101" spans="1:11" s="31" customFormat="1" ht="12.75" customHeight="1">
      <c r="A101" s="207" t="s">
        <v>66</v>
      </c>
      <c r="B101" s="258">
        <v>81</v>
      </c>
      <c r="C101" s="258">
        <v>7</v>
      </c>
      <c r="D101" s="258">
        <v>30</v>
      </c>
      <c r="E101" s="258">
        <v>25</v>
      </c>
      <c r="F101" s="258">
        <v>13</v>
      </c>
      <c r="G101" s="258">
        <v>4</v>
      </c>
      <c r="H101" s="258">
        <v>0</v>
      </c>
      <c r="I101" s="258">
        <v>0</v>
      </c>
      <c r="J101" s="258">
        <v>1</v>
      </c>
      <c r="K101" s="258">
        <v>1</v>
      </c>
    </row>
    <row r="102" spans="1:11" ht="12.75" customHeight="1">
      <c r="A102" s="207" t="s">
        <v>67</v>
      </c>
      <c r="B102" s="258">
        <v>45</v>
      </c>
      <c r="C102" s="258">
        <v>3</v>
      </c>
      <c r="D102" s="258">
        <v>8</v>
      </c>
      <c r="E102" s="258">
        <v>12</v>
      </c>
      <c r="F102" s="258">
        <v>18</v>
      </c>
      <c r="G102" s="258">
        <v>4</v>
      </c>
      <c r="H102" s="258">
        <v>0</v>
      </c>
      <c r="I102" s="258">
        <v>0</v>
      </c>
      <c r="J102" s="258">
        <v>0</v>
      </c>
      <c r="K102" s="258">
        <v>0</v>
      </c>
    </row>
    <row r="103" spans="1:11" ht="12.75" customHeight="1">
      <c r="A103" s="207" t="s">
        <v>68</v>
      </c>
      <c r="B103" s="258">
        <v>38</v>
      </c>
      <c r="C103" s="258">
        <v>6</v>
      </c>
      <c r="D103" s="258">
        <v>6</v>
      </c>
      <c r="E103" s="258">
        <v>12</v>
      </c>
      <c r="F103" s="258">
        <v>7</v>
      </c>
      <c r="G103" s="258">
        <v>6</v>
      </c>
      <c r="H103" s="258">
        <v>1</v>
      </c>
      <c r="I103" s="258">
        <v>0</v>
      </c>
      <c r="J103" s="258">
        <v>0</v>
      </c>
      <c r="K103" s="258">
        <v>0</v>
      </c>
    </row>
    <row r="104" spans="1:11" ht="12.75" customHeight="1">
      <c r="A104" s="207" t="s">
        <v>69</v>
      </c>
      <c r="B104" s="258">
        <v>22</v>
      </c>
      <c r="C104" s="258">
        <v>2</v>
      </c>
      <c r="D104" s="258">
        <v>3</v>
      </c>
      <c r="E104" s="258">
        <v>4</v>
      </c>
      <c r="F104" s="258">
        <v>10</v>
      </c>
      <c r="G104" s="258">
        <v>3</v>
      </c>
      <c r="H104" s="258">
        <v>0</v>
      </c>
      <c r="I104" s="258">
        <v>0</v>
      </c>
      <c r="J104" s="258">
        <v>0</v>
      </c>
      <c r="K104" s="258">
        <v>0</v>
      </c>
    </row>
    <row r="105" spans="1:11" ht="12.75" customHeight="1">
      <c r="A105" s="207" t="s">
        <v>70</v>
      </c>
      <c r="B105" s="258">
        <v>25</v>
      </c>
      <c r="C105" s="258">
        <v>2</v>
      </c>
      <c r="D105" s="258">
        <v>5</v>
      </c>
      <c r="E105" s="258">
        <v>9</v>
      </c>
      <c r="F105" s="258">
        <v>2</v>
      </c>
      <c r="G105" s="258">
        <v>3</v>
      </c>
      <c r="H105" s="258">
        <v>3</v>
      </c>
      <c r="I105" s="258">
        <v>0</v>
      </c>
      <c r="J105" s="258">
        <v>0</v>
      </c>
      <c r="K105" s="258">
        <v>1</v>
      </c>
    </row>
    <row r="106" spans="1:11" ht="12.75" customHeight="1">
      <c r="A106" s="207" t="s">
        <v>45</v>
      </c>
      <c r="B106" s="258">
        <v>54</v>
      </c>
      <c r="C106" s="258">
        <v>8</v>
      </c>
      <c r="D106" s="258">
        <v>15</v>
      </c>
      <c r="E106" s="258">
        <v>12</v>
      </c>
      <c r="F106" s="258">
        <v>4</v>
      </c>
      <c r="G106" s="258">
        <v>5</v>
      </c>
      <c r="H106" s="258">
        <v>1</v>
      </c>
      <c r="I106" s="258">
        <v>0</v>
      </c>
      <c r="J106" s="258">
        <v>0</v>
      </c>
      <c r="K106" s="258">
        <v>9</v>
      </c>
    </row>
    <row r="107" spans="1:11" ht="5.0999999999999996" customHeight="1">
      <c r="A107" s="207"/>
      <c r="B107" s="258"/>
      <c r="C107" s="258"/>
      <c r="D107" s="258"/>
      <c r="E107" s="258"/>
      <c r="F107" s="258"/>
      <c r="G107" s="258"/>
      <c r="H107" s="258"/>
      <c r="I107" s="258"/>
      <c r="J107" s="258"/>
      <c r="K107" s="258"/>
    </row>
    <row r="108" spans="1:11" ht="12.75" customHeight="1">
      <c r="A108" s="206" t="s">
        <v>83</v>
      </c>
      <c r="B108" s="259">
        <v>679</v>
      </c>
      <c r="C108" s="259">
        <v>87</v>
      </c>
      <c r="D108" s="259">
        <v>258</v>
      </c>
      <c r="E108" s="259">
        <v>183</v>
      </c>
      <c r="F108" s="259">
        <v>94</v>
      </c>
      <c r="G108" s="259">
        <v>46</v>
      </c>
      <c r="H108" s="259">
        <v>3</v>
      </c>
      <c r="I108" s="259">
        <v>0</v>
      </c>
      <c r="J108" s="259">
        <v>0</v>
      </c>
      <c r="K108" s="259">
        <v>8</v>
      </c>
    </row>
    <row r="109" spans="1:11" ht="5.0999999999999996" customHeight="1">
      <c r="A109" s="207"/>
      <c r="B109" s="258"/>
      <c r="C109" s="258"/>
      <c r="D109" s="258"/>
      <c r="E109" s="258"/>
      <c r="F109" s="258"/>
      <c r="G109" s="258"/>
      <c r="H109" s="258"/>
      <c r="I109" s="258"/>
      <c r="J109" s="258"/>
      <c r="K109" s="258"/>
    </row>
    <row r="110" spans="1:11" ht="12.75" customHeight="1">
      <c r="A110" s="207" t="s">
        <v>63</v>
      </c>
      <c r="B110" s="258">
        <v>16</v>
      </c>
      <c r="C110" s="258">
        <v>4</v>
      </c>
      <c r="D110" s="258">
        <v>9</v>
      </c>
      <c r="E110" s="258">
        <v>3</v>
      </c>
      <c r="F110" s="258">
        <v>0</v>
      </c>
      <c r="G110" s="258">
        <v>0</v>
      </c>
      <c r="H110" s="258">
        <v>0</v>
      </c>
      <c r="I110" s="258">
        <v>0</v>
      </c>
      <c r="J110" s="258">
        <v>0</v>
      </c>
      <c r="K110" s="258">
        <v>0</v>
      </c>
    </row>
    <row r="111" spans="1:11" ht="12.75" customHeight="1">
      <c r="A111" s="207" t="s">
        <v>64</v>
      </c>
      <c r="B111" s="258">
        <v>105</v>
      </c>
      <c r="C111" s="258">
        <v>28</v>
      </c>
      <c r="D111" s="258">
        <v>50</v>
      </c>
      <c r="E111" s="258">
        <v>19</v>
      </c>
      <c r="F111" s="258">
        <v>3</v>
      </c>
      <c r="G111" s="258">
        <v>4</v>
      </c>
      <c r="H111" s="258">
        <v>0</v>
      </c>
      <c r="I111" s="258">
        <v>0</v>
      </c>
      <c r="J111" s="258">
        <v>0</v>
      </c>
      <c r="K111" s="258">
        <v>1</v>
      </c>
    </row>
    <row r="112" spans="1:11" ht="12.75" customHeight="1">
      <c r="A112" s="207" t="s">
        <v>65</v>
      </c>
      <c r="B112" s="258">
        <v>138</v>
      </c>
      <c r="C112" s="258">
        <v>23</v>
      </c>
      <c r="D112" s="258">
        <v>67</v>
      </c>
      <c r="E112" s="258">
        <v>33</v>
      </c>
      <c r="F112" s="258">
        <v>11</v>
      </c>
      <c r="G112" s="258">
        <v>3</v>
      </c>
      <c r="H112" s="258">
        <v>1</v>
      </c>
      <c r="I112" s="258">
        <v>0</v>
      </c>
      <c r="J112" s="258">
        <v>0</v>
      </c>
      <c r="K112" s="258">
        <v>0</v>
      </c>
    </row>
    <row r="113" spans="1:11" ht="12.75" customHeight="1">
      <c r="A113" s="207" t="s">
        <v>66</v>
      </c>
      <c r="B113" s="258">
        <v>128</v>
      </c>
      <c r="C113" s="258">
        <v>10</v>
      </c>
      <c r="D113" s="258">
        <v>46</v>
      </c>
      <c r="E113" s="258">
        <v>42</v>
      </c>
      <c r="F113" s="258">
        <v>21</v>
      </c>
      <c r="G113" s="258">
        <v>9</v>
      </c>
      <c r="H113" s="258">
        <v>0</v>
      </c>
      <c r="I113" s="258">
        <v>0</v>
      </c>
      <c r="J113" s="258">
        <v>0</v>
      </c>
      <c r="K113" s="258">
        <v>0</v>
      </c>
    </row>
    <row r="114" spans="1:11" ht="12.75" customHeight="1">
      <c r="A114" s="207" t="s">
        <v>67</v>
      </c>
      <c r="B114" s="258">
        <v>72</v>
      </c>
      <c r="C114" s="258">
        <v>6</v>
      </c>
      <c r="D114" s="258">
        <v>14</v>
      </c>
      <c r="E114" s="258">
        <v>31</v>
      </c>
      <c r="F114" s="258">
        <v>13</v>
      </c>
      <c r="G114" s="258">
        <v>8</v>
      </c>
      <c r="H114" s="258">
        <v>0</v>
      </c>
      <c r="I114" s="258">
        <v>0</v>
      </c>
      <c r="J114" s="258">
        <v>0</v>
      </c>
      <c r="K114" s="258">
        <v>0</v>
      </c>
    </row>
    <row r="115" spans="1:11" ht="12.75" customHeight="1">
      <c r="A115" s="207" t="s">
        <v>68</v>
      </c>
      <c r="B115" s="258">
        <v>48</v>
      </c>
      <c r="C115" s="258">
        <v>2</v>
      </c>
      <c r="D115" s="258">
        <v>11</v>
      </c>
      <c r="E115" s="258">
        <v>12</v>
      </c>
      <c r="F115" s="258">
        <v>16</v>
      </c>
      <c r="G115" s="258">
        <v>7</v>
      </c>
      <c r="H115" s="258">
        <v>0</v>
      </c>
      <c r="I115" s="258">
        <v>0</v>
      </c>
      <c r="J115" s="258">
        <v>0</v>
      </c>
      <c r="K115" s="258">
        <v>0</v>
      </c>
    </row>
    <row r="116" spans="1:11" s="31" customFormat="1" ht="12.75" customHeight="1">
      <c r="A116" s="207" t="s">
        <v>69</v>
      </c>
      <c r="B116" s="258">
        <v>23</v>
      </c>
      <c r="C116" s="258">
        <v>0</v>
      </c>
      <c r="D116" s="258">
        <v>5</v>
      </c>
      <c r="E116" s="258">
        <v>8</v>
      </c>
      <c r="F116" s="258">
        <v>2</v>
      </c>
      <c r="G116" s="258">
        <v>5</v>
      </c>
      <c r="H116" s="258">
        <v>2</v>
      </c>
      <c r="I116" s="258">
        <v>0</v>
      </c>
      <c r="J116" s="258">
        <v>0</v>
      </c>
      <c r="K116" s="258">
        <v>1</v>
      </c>
    </row>
    <row r="117" spans="1:11" ht="12.75" customHeight="1">
      <c r="A117" s="207" t="s">
        <v>70</v>
      </c>
      <c r="B117" s="258">
        <v>15</v>
      </c>
      <c r="C117" s="258">
        <v>1</v>
      </c>
      <c r="D117" s="258">
        <v>3</v>
      </c>
      <c r="E117" s="258">
        <v>3</v>
      </c>
      <c r="F117" s="258">
        <v>7</v>
      </c>
      <c r="G117" s="258">
        <v>1</v>
      </c>
      <c r="H117" s="258">
        <v>0</v>
      </c>
      <c r="I117" s="258">
        <v>0</v>
      </c>
      <c r="J117" s="258">
        <v>0</v>
      </c>
      <c r="K117" s="258">
        <v>0</v>
      </c>
    </row>
    <row r="118" spans="1:11" ht="12.75" customHeight="1">
      <c r="A118" s="207" t="s">
        <v>45</v>
      </c>
      <c r="B118" s="258">
        <v>134</v>
      </c>
      <c r="C118" s="258">
        <v>13</v>
      </c>
      <c r="D118" s="258">
        <v>53</v>
      </c>
      <c r="E118" s="258">
        <v>32</v>
      </c>
      <c r="F118" s="258">
        <v>21</v>
      </c>
      <c r="G118" s="258">
        <v>9</v>
      </c>
      <c r="H118" s="258">
        <v>0</v>
      </c>
      <c r="I118" s="258">
        <v>0</v>
      </c>
      <c r="J118" s="258">
        <v>0</v>
      </c>
      <c r="K118" s="258">
        <v>6</v>
      </c>
    </row>
    <row r="119" spans="1:11" ht="5.0999999999999996" customHeight="1">
      <c r="A119" s="207"/>
      <c r="B119" s="258"/>
      <c r="C119" s="258"/>
      <c r="D119" s="258"/>
      <c r="E119" s="258"/>
      <c r="F119" s="258"/>
      <c r="G119" s="258"/>
      <c r="H119" s="258"/>
      <c r="I119" s="258"/>
      <c r="J119" s="258"/>
      <c r="K119" s="258"/>
    </row>
    <row r="120" spans="1:11" ht="12.75" customHeight="1">
      <c r="A120" s="206" t="s">
        <v>84</v>
      </c>
      <c r="B120" s="259">
        <v>2341</v>
      </c>
      <c r="C120" s="259">
        <v>473</v>
      </c>
      <c r="D120" s="259">
        <v>789</v>
      </c>
      <c r="E120" s="259">
        <v>563</v>
      </c>
      <c r="F120" s="259">
        <v>310</v>
      </c>
      <c r="G120" s="259">
        <v>154</v>
      </c>
      <c r="H120" s="259">
        <v>40</v>
      </c>
      <c r="I120" s="259">
        <v>2</v>
      </c>
      <c r="J120" s="259">
        <v>2</v>
      </c>
      <c r="K120" s="259">
        <v>8</v>
      </c>
    </row>
    <row r="121" spans="1:11" ht="5.0999999999999996" customHeight="1">
      <c r="A121" s="207"/>
      <c r="B121" s="258"/>
      <c r="C121" s="258"/>
      <c r="D121" s="258"/>
      <c r="E121" s="258"/>
      <c r="F121" s="258"/>
      <c r="G121" s="258"/>
      <c r="H121" s="258"/>
      <c r="I121" s="258"/>
      <c r="J121" s="258"/>
      <c r="K121" s="258"/>
    </row>
    <row r="122" spans="1:11" ht="12.75" customHeight="1">
      <c r="A122" s="207" t="s">
        <v>63</v>
      </c>
      <c r="B122" s="258">
        <v>45</v>
      </c>
      <c r="C122" s="258">
        <v>27</v>
      </c>
      <c r="D122" s="258">
        <v>14</v>
      </c>
      <c r="E122" s="258">
        <v>3</v>
      </c>
      <c r="F122" s="258">
        <v>0</v>
      </c>
      <c r="G122" s="258">
        <v>0</v>
      </c>
      <c r="H122" s="258">
        <v>0</v>
      </c>
      <c r="I122" s="258">
        <v>0</v>
      </c>
      <c r="J122" s="258">
        <v>0</v>
      </c>
      <c r="K122" s="258">
        <v>1</v>
      </c>
    </row>
    <row r="123" spans="1:11" ht="12.75" customHeight="1">
      <c r="A123" s="207" t="s">
        <v>64</v>
      </c>
      <c r="B123" s="258">
        <v>438</v>
      </c>
      <c r="C123" s="258">
        <v>188</v>
      </c>
      <c r="D123" s="258">
        <v>192</v>
      </c>
      <c r="E123" s="258">
        <v>40</v>
      </c>
      <c r="F123" s="258">
        <v>9</v>
      </c>
      <c r="G123" s="258">
        <v>4</v>
      </c>
      <c r="H123" s="258">
        <v>0</v>
      </c>
      <c r="I123" s="258">
        <v>0</v>
      </c>
      <c r="J123" s="258">
        <v>0</v>
      </c>
      <c r="K123" s="258">
        <v>5</v>
      </c>
    </row>
    <row r="124" spans="1:11" ht="12.75" customHeight="1">
      <c r="A124" s="207" t="s">
        <v>65</v>
      </c>
      <c r="B124" s="258">
        <v>606</v>
      </c>
      <c r="C124" s="258">
        <v>123</v>
      </c>
      <c r="D124" s="258">
        <v>251</v>
      </c>
      <c r="E124" s="258">
        <v>176</v>
      </c>
      <c r="F124" s="258">
        <v>42</v>
      </c>
      <c r="G124" s="258">
        <v>10</v>
      </c>
      <c r="H124" s="258">
        <v>3</v>
      </c>
      <c r="I124" s="258">
        <v>0</v>
      </c>
      <c r="J124" s="258">
        <v>0</v>
      </c>
      <c r="K124" s="258">
        <v>1</v>
      </c>
    </row>
    <row r="125" spans="1:11" ht="12.75" customHeight="1">
      <c r="A125" s="207" t="s">
        <v>66</v>
      </c>
      <c r="B125" s="258">
        <v>450</v>
      </c>
      <c r="C125" s="258">
        <v>32</v>
      </c>
      <c r="D125" s="258">
        <v>138</v>
      </c>
      <c r="E125" s="258">
        <v>157</v>
      </c>
      <c r="F125" s="258">
        <v>88</v>
      </c>
      <c r="G125" s="258">
        <v>26</v>
      </c>
      <c r="H125" s="258">
        <v>7</v>
      </c>
      <c r="I125" s="258">
        <v>0</v>
      </c>
      <c r="J125" s="258">
        <v>1</v>
      </c>
      <c r="K125" s="258">
        <v>1</v>
      </c>
    </row>
    <row r="126" spans="1:11" ht="12.75" customHeight="1">
      <c r="A126" s="207" t="s">
        <v>67</v>
      </c>
      <c r="B126" s="258">
        <v>251</v>
      </c>
      <c r="C126" s="258">
        <v>13</v>
      </c>
      <c r="D126" s="258">
        <v>42</v>
      </c>
      <c r="E126" s="258">
        <v>65</v>
      </c>
      <c r="F126" s="258">
        <v>75</v>
      </c>
      <c r="G126" s="258">
        <v>46</v>
      </c>
      <c r="H126" s="258">
        <v>9</v>
      </c>
      <c r="I126" s="258">
        <v>0</v>
      </c>
      <c r="J126" s="258">
        <v>1</v>
      </c>
      <c r="K126" s="258">
        <v>0</v>
      </c>
    </row>
    <row r="127" spans="1:11" ht="12.75" customHeight="1">
      <c r="A127" s="207" t="s">
        <v>68</v>
      </c>
      <c r="B127" s="258">
        <v>147</v>
      </c>
      <c r="C127" s="258">
        <v>9</v>
      </c>
      <c r="D127" s="258">
        <v>28</v>
      </c>
      <c r="E127" s="258">
        <v>35</v>
      </c>
      <c r="F127" s="258">
        <v>33</v>
      </c>
      <c r="G127" s="258">
        <v>34</v>
      </c>
      <c r="H127" s="258">
        <v>8</v>
      </c>
      <c r="I127" s="258">
        <v>0</v>
      </c>
      <c r="J127" s="258">
        <v>0</v>
      </c>
      <c r="K127" s="258">
        <v>0</v>
      </c>
    </row>
    <row r="128" spans="1:11" ht="12.75" customHeight="1">
      <c r="A128" s="207" t="s">
        <v>69</v>
      </c>
      <c r="B128" s="258">
        <v>79</v>
      </c>
      <c r="C128" s="258">
        <v>5</v>
      </c>
      <c r="D128" s="258">
        <v>15</v>
      </c>
      <c r="E128" s="258">
        <v>16</v>
      </c>
      <c r="F128" s="258">
        <v>22</v>
      </c>
      <c r="G128" s="258">
        <v>15</v>
      </c>
      <c r="H128" s="258">
        <v>5</v>
      </c>
      <c r="I128" s="258">
        <v>1</v>
      </c>
      <c r="J128" s="258">
        <v>0</v>
      </c>
      <c r="K128" s="258">
        <v>0</v>
      </c>
    </row>
    <row r="129" spans="1:11" ht="12.75" customHeight="1">
      <c r="A129" s="207" t="s">
        <v>70</v>
      </c>
      <c r="B129" s="258">
        <v>54</v>
      </c>
      <c r="C129" s="258">
        <v>5</v>
      </c>
      <c r="D129" s="258">
        <v>7</v>
      </c>
      <c r="E129" s="258">
        <v>12</v>
      </c>
      <c r="F129" s="258">
        <v>13</v>
      </c>
      <c r="G129" s="258">
        <v>10</v>
      </c>
      <c r="H129" s="258">
        <v>7</v>
      </c>
      <c r="I129" s="258">
        <v>0</v>
      </c>
      <c r="J129" s="258">
        <v>0</v>
      </c>
      <c r="K129" s="258">
        <v>0</v>
      </c>
    </row>
    <row r="130" spans="1:11" ht="12.75" customHeight="1">
      <c r="A130" s="207" t="s">
        <v>45</v>
      </c>
      <c r="B130" s="258">
        <v>271</v>
      </c>
      <c r="C130" s="258">
        <v>71</v>
      </c>
      <c r="D130" s="258">
        <v>102</v>
      </c>
      <c r="E130" s="258">
        <v>59</v>
      </c>
      <c r="F130" s="258">
        <v>28</v>
      </c>
      <c r="G130" s="258">
        <v>9</v>
      </c>
      <c r="H130" s="258">
        <v>1</v>
      </c>
      <c r="I130" s="258">
        <v>1</v>
      </c>
      <c r="J130" s="258">
        <v>0</v>
      </c>
      <c r="K130" s="258">
        <v>0</v>
      </c>
    </row>
    <row r="131" spans="1:11" s="31" customFormat="1" ht="5.0999999999999996" customHeight="1">
      <c r="A131" s="207"/>
      <c r="B131" s="258"/>
      <c r="C131" s="258"/>
      <c r="D131" s="258"/>
      <c r="E131" s="258"/>
      <c r="F131" s="258"/>
      <c r="G131" s="258"/>
      <c r="H131" s="258"/>
      <c r="I131" s="258"/>
      <c r="J131" s="258"/>
      <c r="K131" s="258"/>
    </row>
    <row r="132" spans="1:11" s="31" customFormat="1" ht="12.75" customHeight="1">
      <c r="A132" s="206" t="s">
        <v>85</v>
      </c>
      <c r="B132" s="259">
        <v>453</v>
      </c>
      <c r="C132" s="259">
        <v>73</v>
      </c>
      <c r="D132" s="259">
        <v>143</v>
      </c>
      <c r="E132" s="259">
        <v>141</v>
      </c>
      <c r="F132" s="259">
        <v>52</v>
      </c>
      <c r="G132" s="259">
        <v>24</v>
      </c>
      <c r="H132" s="259">
        <v>6</v>
      </c>
      <c r="I132" s="259">
        <v>1</v>
      </c>
      <c r="J132" s="259">
        <v>7</v>
      </c>
      <c r="K132" s="259">
        <v>6</v>
      </c>
    </row>
    <row r="133" spans="1:11" ht="5.0999999999999996" customHeight="1">
      <c r="A133" s="207"/>
      <c r="B133" s="258"/>
      <c r="C133" s="258"/>
      <c r="D133" s="258"/>
      <c r="E133" s="258"/>
      <c r="F133" s="258"/>
      <c r="G133" s="258"/>
      <c r="H133" s="258"/>
      <c r="I133" s="258"/>
      <c r="J133" s="258"/>
      <c r="K133" s="258"/>
    </row>
    <row r="134" spans="1:11" ht="12.75" customHeight="1">
      <c r="A134" s="207" t="s">
        <v>314</v>
      </c>
      <c r="B134" s="258">
        <v>1</v>
      </c>
      <c r="C134" s="258">
        <v>0</v>
      </c>
      <c r="D134" s="258">
        <v>0</v>
      </c>
      <c r="E134" s="258">
        <v>1</v>
      </c>
      <c r="F134" s="258">
        <v>0</v>
      </c>
      <c r="G134" s="258">
        <v>0</v>
      </c>
      <c r="H134" s="258">
        <v>0</v>
      </c>
      <c r="I134" s="258">
        <v>0</v>
      </c>
      <c r="J134" s="258">
        <v>0</v>
      </c>
      <c r="K134" s="258">
        <v>0</v>
      </c>
    </row>
    <row r="135" spans="1:11" ht="12.75" customHeight="1">
      <c r="A135" s="207" t="s">
        <v>63</v>
      </c>
      <c r="B135" s="258">
        <v>8</v>
      </c>
      <c r="C135" s="258">
        <v>6</v>
      </c>
      <c r="D135" s="258">
        <v>1</v>
      </c>
      <c r="E135" s="258">
        <v>0</v>
      </c>
      <c r="F135" s="258">
        <v>0</v>
      </c>
      <c r="G135" s="258">
        <v>0</v>
      </c>
      <c r="H135" s="258">
        <v>0</v>
      </c>
      <c r="I135" s="258">
        <v>0</v>
      </c>
      <c r="J135" s="258">
        <v>0</v>
      </c>
      <c r="K135" s="258">
        <v>1</v>
      </c>
    </row>
    <row r="136" spans="1:11" ht="12.75" customHeight="1">
      <c r="A136" s="207" t="s">
        <v>64</v>
      </c>
      <c r="B136" s="258">
        <v>68</v>
      </c>
      <c r="C136" s="258">
        <v>24</v>
      </c>
      <c r="D136" s="258">
        <v>28</v>
      </c>
      <c r="E136" s="258">
        <v>10</v>
      </c>
      <c r="F136" s="258">
        <v>2</v>
      </c>
      <c r="G136" s="258">
        <v>2</v>
      </c>
      <c r="H136" s="258">
        <v>0</v>
      </c>
      <c r="I136" s="258">
        <v>0</v>
      </c>
      <c r="J136" s="258">
        <v>1</v>
      </c>
      <c r="K136" s="258">
        <v>1</v>
      </c>
    </row>
    <row r="137" spans="1:11" ht="12.75" customHeight="1">
      <c r="A137" s="207" t="s">
        <v>65</v>
      </c>
      <c r="B137" s="258">
        <v>111</v>
      </c>
      <c r="C137" s="258">
        <v>14</v>
      </c>
      <c r="D137" s="258">
        <v>50</v>
      </c>
      <c r="E137" s="258">
        <v>34</v>
      </c>
      <c r="F137" s="258">
        <v>7</v>
      </c>
      <c r="G137" s="258">
        <v>1</v>
      </c>
      <c r="H137" s="258">
        <v>2</v>
      </c>
      <c r="I137" s="258">
        <v>0</v>
      </c>
      <c r="J137" s="258">
        <v>2</v>
      </c>
      <c r="K137" s="258">
        <v>1</v>
      </c>
    </row>
    <row r="138" spans="1:11" ht="12.75" customHeight="1">
      <c r="A138" s="207" t="s">
        <v>66</v>
      </c>
      <c r="B138" s="258">
        <v>90</v>
      </c>
      <c r="C138" s="258">
        <v>9</v>
      </c>
      <c r="D138" s="258">
        <v>24</v>
      </c>
      <c r="E138" s="258">
        <v>36</v>
      </c>
      <c r="F138" s="258">
        <v>18</v>
      </c>
      <c r="G138" s="258">
        <v>2</v>
      </c>
      <c r="H138" s="258">
        <v>0</v>
      </c>
      <c r="I138" s="258">
        <v>0</v>
      </c>
      <c r="J138" s="258">
        <v>1</v>
      </c>
      <c r="K138" s="258">
        <v>0</v>
      </c>
    </row>
    <row r="139" spans="1:11" ht="12.75" customHeight="1">
      <c r="A139" s="207" t="s">
        <v>67</v>
      </c>
      <c r="B139" s="258">
        <v>42</v>
      </c>
      <c r="C139" s="258">
        <v>4</v>
      </c>
      <c r="D139" s="258">
        <v>6</v>
      </c>
      <c r="E139" s="258">
        <v>20</v>
      </c>
      <c r="F139" s="258">
        <v>6</v>
      </c>
      <c r="G139" s="258">
        <v>6</v>
      </c>
      <c r="H139" s="258">
        <v>0</v>
      </c>
      <c r="I139" s="258">
        <v>0</v>
      </c>
      <c r="J139" s="258">
        <v>0</v>
      </c>
      <c r="K139" s="258">
        <v>0</v>
      </c>
    </row>
    <row r="140" spans="1:11" ht="12.75" customHeight="1">
      <c r="A140" s="207" t="s">
        <v>68</v>
      </c>
      <c r="B140" s="258">
        <v>32</v>
      </c>
      <c r="C140" s="258">
        <v>1</v>
      </c>
      <c r="D140" s="258">
        <v>12</v>
      </c>
      <c r="E140" s="258">
        <v>6</v>
      </c>
      <c r="F140" s="258">
        <v>7</v>
      </c>
      <c r="G140" s="258">
        <v>4</v>
      </c>
      <c r="H140" s="258">
        <v>1</v>
      </c>
      <c r="I140" s="258">
        <v>0</v>
      </c>
      <c r="J140" s="258">
        <v>1</v>
      </c>
      <c r="K140" s="258">
        <v>0</v>
      </c>
    </row>
    <row r="141" spans="1:11" ht="12.75" customHeight="1">
      <c r="A141" s="207" t="s">
        <v>69</v>
      </c>
      <c r="B141" s="258">
        <v>12</v>
      </c>
      <c r="C141" s="258">
        <v>1</v>
      </c>
      <c r="D141" s="258">
        <v>1</v>
      </c>
      <c r="E141" s="258">
        <v>4</v>
      </c>
      <c r="F141" s="258">
        <v>4</v>
      </c>
      <c r="G141" s="258">
        <v>2</v>
      </c>
      <c r="H141" s="258">
        <v>0</v>
      </c>
      <c r="I141" s="258">
        <v>0</v>
      </c>
      <c r="J141" s="258">
        <v>0</v>
      </c>
      <c r="K141" s="258">
        <v>0</v>
      </c>
    </row>
    <row r="142" spans="1:11" ht="12.75" customHeight="1">
      <c r="A142" s="207" t="s">
        <v>70</v>
      </c>
      <c r="B142" s="258">
        <v>19</v>
      </c>
      <c r="C142" s="258">
        <v>0</v>
      </c>
      <c r="D142" s="258">
        <v>2</v>
      </c>
      <c r="E142" s="258">
        <v>8</v>
      </c>
      <c r="F142" s="258">
        <v>2</v>
      </c>
      <c r="G142" s="258">
        <v>5</v>
      </c>
      <c r="H142" s="258">
        <v>2</v>
      </c>
      <c r="I142" s="258">
        <v>0</v>
      </c>
      <c r="J142" s="258">
        <v>0</v>
      </c>
      <c r="K142" s="258">
        <v>0</v>
      </c>
    </row>
    <row r="143" spans="1:11" ht="12.75" customHeight="1">
      <c r="A143" s="207" t="s">
        <v>45</v>
      </c>
      <c r="B143" s="258">
        <v>70</v>
      </c>
      <c r="C143" s="258">
        <v>14</v>
      </c>
      <c r="D143" s="258">
        <v>19</v>
      </c>
      <c r="E143" s="258">
        <v>22</v>
      </c>
      <c r="F143" s="258">
        <v>6</v>
      </c>
      <c r="G143" s="258">
        <v>2</v>
      </c>
      <c r="H143" s="258">
        <v>1</v>
      </c>
      <c r="I143" s="258">
        <v>1</v>
      </c>
      <c r="J143" s="258">
        <v>2</v>
      </c>
      <c r="K143" s="258">
        <v>3</v>
      </c>
    </row>
    <row r="144" spans="1:11" ht="5.0999999999999996" customHeight="1">
      <c r="A144" s="207"/>
      <c r="B144" s="258"/>
      <c r="C144" s="258"/>
      <c r="D144" s="258"/>
      <c r="E144" s="258"/>
      <c r="F144" s="258"/>
      <c r="G144" s="258"/>
      <c r="H144" s="258"/>
      <c r="I144" s="258"/>
      <c r="J144" s="258"/>
      <c r="K144" s="258"/>
    </row>
    <row r="145" spans="1:11" ht="12.75" customHeight="1">
      <c r="A145" s="206" t="s">
        <v>86</v>
      </c>
      <c r="B145" s="259">
        <v>3071</v>
      </c>
      <c r="C145" s="259">
        <v>390</v>
      </c>
      <c r="D145" s="259">
        <v>1015</v>
      </c>
      <c r="E145" s="259">
        <v>898</v>
      </c>
      <c r="F145" s="259">
        <v>512</v>
      </c>
      <c r="G145" s="259">
        <v>193</v>
      </c>
      <c r="H145" s="259">
        <v>43</v>
      </c>
      <c r="I145" s="259">
        <v>6</v>
      </c>
      <c r="J145" s="259">
        <v>3</v>
      </c>
      <c r="K145" s="259">
        <v>11</v>
      </c>
    </row>
    <row r="146" spans="1:11" ht="5.0999999999999996" customHeight="1">
      <c r="A146" s="207"/>
      <c r="B146" s="258"/>
      <c r="C146" s="258"/>
      <c r="D146" s="258"/>
      <c r="E146" s="258"/>
      <c r="F146" s="258"/>
      <c r="G146" s="258"/>
      <c r="H146" s="258"/>
      <c r="I146" s="258"/>
      <c r="J146" s="258"/>
      <c r="K146" s="258"/>
    </row>
    <row r="147" spans="1:11" ht="12.75" customHeight="1">
      <c r="A147" s="207" t="s">
        <v>63</v>
      </c>
      <c r="B147" s="258">
        <v>49</v>
      </c>
      <c r="C147" s="258">
        <v>23</v>
      </c>
      <c r="D147" s="258">
        <v>19</v>
      </c>
      <c r="E147" s="258">
        <v>6</v>
      </c>
      <c r="F147" s="258">
        <v>0</v>
      </c>
      <c r="G147" s="258">
        <v>1</v>
      </c>
      <c r="H147" s="258">
        <v>0</v>
      </c>
      <c r="I147" s="258">
        <v>0</v>
      </c>
      <c r="J147" s="258">
        <v>0</v>
      </c>
      <c r="K147" s="258">
        <v>0</v>
      </c>
    </row>
    <row r="148" spans="1:11" s="31" customFormat="1" ht="12.75" customHeight="1">
      <c r="A148" s="207" t="s">
        <v>64</v>
      </c>
      <c r="B148" s="258">
        <v>538</v>
      </c>
      <c r="C148" s="258">
        <v>130</v>
      </c>
      <c r="D148" s="258">
        <v>259</v>
      </c>
      <c r="E148" s="258">
        <v>105</v>
      </c>
      <c r="F148" s="258">
        <v>26</v>
      </c>
      <c r="G148" s="258">
        <v>10</v>
      </c>
      <c r="H148" s="258">
        <v>5</v>
      </c>
      <c r="I148" s="258">
        <v>0</v>
      </c>
      <c r="J148" s="258">
        <v>0</v>
      </c>
      <c r="K148" s="258">
        <v>3</v>
      </c>
    </row>
    <row r="149" spans="1:11" ht="12.75" customHeight="1">
      <c r="A149" s="207" t="s">
        <v>65</v>
      </c>
      <c r="B149" s="258">
        <v>751</v>
      </c>
      <c r="C149" s="258">
        <v>92</v>
      </c>
      <c r="D149" s="258">
        <v>289</v>
      </c>
      <c r="E149" s="258">
        <v>251</v>
      </c>
      <c r="F149" s="258">
        <v>90</v>
      </c>
      <c r="G149" s="258">
        <v>25</v>
      </c>
      <c r="H149" s="258">
        <v>3</v>
      </c>
      <c r="I149" s="258">
        <v>1</v>
      </c>
      <c r="J149" s="258">
        <v>0</v>
      </c>
      <c r="K149" s="258">
        <v>0</v>
      </c>
    </row>
    <row r="150" spans="1:11" ht="12.75" customHeight="1">
      <c r="A150" s="207" t="s">
        <v>66</v>
      </c>
      <c r="B150" s="258">
        <v>655</v>
      </c>
      <c r="C150" s="258">
        <v>39</v>
      </c>
      <c r="D150" s="258">
        <v>183</v>
      </c>
      <c r="E150" s="258">
        <v>228</v>
      </c>
      <c r="F150" s="258">
        <v>161</v>
      </c>
      <c r="G150" s="258">
        <v>33</v>
      </c>
      <c r="H150" s="258">
        <v>9</v>
      </c>
      <c r="I150" s="258">
        <v>0</v>
      </c>
      <c r="J150" s="258">
        <v>0</v>
      </c>
      <c r="K150" s="258">
        <v>2</v>
      </c>
    </row>
    <row r="151" spans="1:11" ht="12.75" customHeight="1">
      <c r="A151" s="207" t="s">
        <v>67</v>
      </c>
      <c r="B151" s="258">
        <v>396</v>
      </c>
      <c r="C151" s="258">
        <v>32</v>
      </c>
      <c r="D151" s="258">
        <v>74</v>
      </c>
      <c r="E151" s="258">
        <v>127</v>
      </c>
      <c r="F151" s="258">
        <v>107</v>
      </c>
      <c r="G151" s="258">
        <v>53</v>
      </c>
      <c r="H151" s="258">
        <v>3</v>
      </c>
      <c r="I151" s="258">
        <v>0</v>
      </c>
      <c r="J151" s="258">
        <v>0</v>
      </c>
      <c r="K151" s="258">
        <v>0</v>
      </c>
    </row>
    <row r="152" spans="1:11" ht="12.75" customHeight="1">
      <c r="A152" s="207" t="s">
        <v>68</v>
      </c>
      <c r="B152" s="258">
        <v>211</v>
      </c>
      <c r="C152" s="258">
        <v>13</v>
      </c>
      <c r="D152" s="258">
        <v>41</v>
      </c>
      <c r="E152" s="258">
        <v>53</v>
      </c>
      <c r="F152" s="258">
        <v>51</v>
      </c>
      <c r="G152" s="258">
        <v>36</v>
      </c>
      <c r="H152" s="258">
        <v>13</v>
      </c>
      <c r="I152" s="258">
        <v>2</v>
      </c>
      <c r="J152" s="258">
        <v>1</v>
      </c>
      <c r="K152" s="258">
        <v>1</v>
      </c>
    </row>
    <row r="153" spans="1:11" ht="12.75" customHeight="1">
      <c r="A153" s="207" t="s">
        <v>69</v>
      </c>
      <c r="B153" s="258">
        <v>94</v>
      </c>
      <c r="C153" s="258">
        <v>4</v>
      </c>
      <c r="D153" s="258">
        <v>17</v>
      </c>
      <c r="E153" s="258">
        <v>36</v>
      </c>
      <c r="F153" s="258">
        <v>18</v>
      </c>
      <c r="G153" s="258">
        <v>10</v>
      </c>
      <c r="H153" s="258">
        <v>6</v>
      </c>
      <c r="I153" s="258">
        <v>3</v>
      </c>
      <c r="J153" s="258">
        <v>0</v>
      </c>
      <c r="K153" s="258">
        <v>0</v>
      </c>
    </row>
    <row r="154" spans="1:11" ht="12.75" customHeight="1">
      <c r="A154" s="207" t="s">
        <v>70</v>
      </c>
      <c r="B154" s="258">
        <v>68</v>
      </c>
      <c r="C154" s="258">
        <v>4</v>
      </c>
      <c r="D154" s="258">
        <v>16</v>
      </c>
      <c r="E154" s="258">
        <v>18</v>
      </c>
      <c r="F154" s="258">
        <v>19</v>
      </c>
      <c r="G154" s="258">
        <v>8</v>
      </c>
      <c r="H154" s="258">
        <v>3</v>
      </c>
      <c r="I154" s="258">
        <v>0</v>
      </c>
      <c r="J154" s="258">
        <v>0</v>
      </c>
      <c r="K154" s="258">
        <v>0</v>
      </c>
    </row>
    <row r="155" spans="1:11" ht="12.75" customHeight="1">
      <c r="A155" s="207" t="s">
        <v>45</v>
      </c>
      <c r="B155" s="258">
        <v>309</v>
      </c>
      <c r="C155" s="258">
        <v>53</v>
      </c>
      <c r="D155" s="258">
        <v>117</v>
      </c>
      <c r="E155" s="258">
        <v>74</v>
      </c>
      <c r="F155" s="258">
        <v>40</v>
      </c>
      <c r="G155" s="258">
        <v>17</v>
      </c>
      <c r="H155" s="258">
        <v>1</v>
      </c>
      <c r="I155" s="258">
        <v>0</v>
      </c>
      <c r="J155" s="258">
        <v>2</v>
      </c>
      <c r="K155" s="258">
        <v>5</v>
      </c>
    </row>
    <row r="156" spans="1:11" ht="5.0999999999999996" customHeight="1">
      <c r="A156" s="207"/>
      <c r="B156" s="258"/>
      <c r="C156" s="258"/>
      <c r="D156" s="258"/>
      <c r="E156" s="258"/>
      <c r="F156" s="258"/>
      <c r="G156" s="258"/>
      <c r="H156" s="258"/>
      <c r="I156" s="258"/>
      <c r="J156" s="258"/>
      <c r="K156" s="258"/>
    </row>
    <row r="157" spans="1:11" ht="12.75" customHeight="1">
      <c r="A157" s="206" t="s">
        <v>87</v>
      </c>
      <c r="B157" s="259">
        <v>3205</v>
      </c>
      <c r="C157" s="259">
        <v>375</v>
      </c>
      <c r="D157" s="259">
        <v>1065</v>
      </c>
      <c r="E157" s="259">
        <v>899</v>
      </c>
      <c r="F157" s="259">
        <v>566</v>
      </c>
      <c r="G157" s="259">
        <v>235</v>
      </c>
      <c r="H157" s="259">
        <v>58</v>
      </c>
      <c r="I157" s="259">
        <v>4</v>
      </c>
      <c r="J157" s="259">
        <v>2</v>
      </c>
      <c r="K157" s="259">
        <v>1</v>
      </c>
    </row>
    <row r="158" spans="1:11" ht="5.0999999999999996" customHeight="1">
      <c r="A158" s="207"/>
      <c r="B158" s="258"/>
      <c r="C158" s="258"/>
      <c r="D158" s="258"/>
      <c r="E158" s="258"/>
      <c r="F158" s="258"/>
      <c r="G158" s="258"/>
      <c r="H158" s="258"/>
      <c r="I158" s="258"/>
      <c r="J158" s="258"/>
      <c r="K158" s="258"/>
    </row>
    <row r="159" spans="1:11" ht="12.75" customHeight="1">
      <c r="A159" s="207" t="s">
        <v>63</v>
      </c>
      <c r="B159" s="258">
        <v>51</v>
      </c>
      <c r="C159" s="258">
        <v>25</v>
      </c>
      <c r="D159" s="258">
        <v>16</v>
      </c>
      <c r="E159" s="258">
        <v>7</v>
      </c>
      <c r="F159" s="258">
        <v>0</v>
      </c>
      <c r="G159" s="258">
        <v>2</v>
      </c>
      <c r="H159" s="258">
        <v>1</v>
      </c>
      <c r="I159" s="258">
        <v>0</v>
      </c>
      <c r="J159" s="258">
        <v>0</v>
      </c>
      <c r="K159" s="258">
        <v>0</v>
      </c>
    </row>
    <row r="160" spans="1:11" ht="12.75" customHeight="1">
      <c r="A160" s="207" t="s">
        <v>64</v>
      </c>
      <c r="B160" s="258">
        <v>531</v>
      </c>
      <c r="C160" s="258">
        <v>131</v>
      </c>
      <c r="D160" s="258">
        <v>267</v>
      </c>
      <c r="E160" s="258">
        <v>95</v>
      </c>
      <c r="F160" s="258">
        <v>31</v>
      </c>
      <c r="G160" s="258">
        <v>4</v>
      </c>
      <c r="H160" s="258">
        <v>2</v>
      </c>
      <c r="I160" s="258">
        <v>0</v>
      </c>
      <c r="J160" s="258">
        <v>0</v>
      </c>
      <c r="K160" s="258">
        <v>1</v>
      </c>
    </row>
    <row r="161" spans="1:11" ht="12.75" customHeight="1">
      <c r="A161" s="207" t="s">
        <v>65</v>
      </c>
      <c r="B161" s="258">
        <v>807</v>
      </c>
      <c r="C161" s="258">
        <v>85</v>
      </c>
      <c r="D161" s="258">
        <v>334</v>
      </c>
      <c r="E161" s="258">
        <v>274</v>
      </c>
      <c r="F161" s="258">
        <v>94</v>
      </c>
      <c r="G161" s="258">
        <v>13</v>
      </c>
      <c r="H161" s="258">
        <v>6</v>
      </c>
      <c r="I161" s="258">
        <v>0</v>
      </c>
      <c r="J161" s="258">
        <v>1</v>
      </c>
      <c r="K161" s="258">
        <v>0</v>
      </c>
    </row>
    <row r="162" spans="1:11" ht="12.75" customHeight="1">
      <c r="A162" s="207" t="s">
        <v>66</v>
      </c>
      <c r="B162" s="258">
        <v>644</v>
      </c>
      <c r="C162" s="258">
        <v>30</v>
      </c>
      <c r="D162" s="258">
        <v>168</v>
      </c>
      <c r="E162" s="258">
        <v>237</v>
      </c>
      <c r="F162" s="258">
        <v>154</v>
      </c>
      <c r="G162" s="258">
        <v>49</v>
      </c>
      <c r="H162" s="258">
        <v>6</v>
      </c>
      <c r="I162" s="258">
        <v>0</v>
      </c>
      <c r="J162" s="258">
        <v>0</v>
      </c>
      <c r="K162" s="258">
        <v>0</v>
      </c>
    </row>
    <row r="163" spans="1:11" s="31" customFormat="1" ht="12.75" customHeight="1">
      <c r="A163" s="207" t="s">
        <v>67</v>
      </c>
      <c r="B163" s="258">
        <v>400</v>
      </c>
      <c r="C163" s="258">
        <v>15</v>
      </c>
      <c r="D163" s="258">
        <v>82</v>
      </c>
      <c r="E163" s="258">
        <v>114</v>
      </c>
      <c r="F163" s="258">
        <v>115</v>
      </c>
      <c r="G163" s="258">
        <v>63</v>
      </c>
      <c r="H163" s="258">
        <v>11</v>
      </c>
      <c r="I163" s="258">
        <v>0</v>
      </c>
      <c r="J163" s="258">
        <v>0</v>
      </c>
      <c r="K163" s="258">
        <v>0</v>
      </c>
    </row>
    <row r="164" spans="1:11" ht="12.75" customHeight="1">
      <c r="A164" s="207" t="s">
        <v>68</v>
      </c>
      <c r="B164" s="258">
        <v>217</v>
      </c>
      <c r="C164" s="258">
        <v>10</v>
      </c>
      <c r="D164" s="258">
        <v>31</v>
      </c>
      <c r="E164" s="258">
        <v>52</v>
      </c>
      <c r="F164" s="258">
        <v>66</v>
      </c>
      <c r="G164" s="258">
        <v>43</v>
      </c>
      <c r="H164" s="258">
        <v>13</v>
      </c>
      <c r="I164" s="258">
        <v>2</v>
      </c>
      <c r="J164" s="258">
        <v>0</v>
      </c>
      <c r="K164" s="258">
        <v>0</v>
      </c>
    </row>
    <row r="165" spans="1:11" ht="12.75" customHeight="1">
      <c r="A165" s="207" t="s">
        <v>69</v>
      </c>
      <c r="B165" s="258">
        <v>85</v>
      </c>
      <c r="C165" s="258">
        <v>0</v>
      </c>
      <c r="D165" s="258">
        <v>18</v>
      </c>
      <c r="E165" s="258">
        <v>18</v>
      </c>
      <c r="F165" s="258">
        <v>31</v>
      </c>
      <c r="G165" s="258">
        <v>9</v>
      </c>
      <c r="H165" s="258">
        <v>9</v>
      </c>
      <c r="I165" s="258">
        <v>0</v>
      </c>
      <c r="J165" s="258">
        <v>0</v>
      </c>
      <c r="K165" s="258">
        <v>0</v>
      </c>
    </row>
    <row r="166" spans="1:11" ht="12.75" customHeight="1">
      <c r="A166" s="207" t="s">
        <v>70</v>
      </c>
      <c r="B166" s="258">
        <v>75</v>
      </c>
      <c r="C166" s="258">
        <v>3</v>
      </c>
      <c r="D166" s="258">
        <v>19</v>
      </c>
      <c r="E166" s="258">
        <v>14</v>
      </c>
      <c r="F166" s="258">
        <v>17</v>
      </c>
      <c r="G166" s="258">
        <v>15</v>
      </c>
      <c r="H166" s="258">
        <v>6</v>
      </c>
      <c r="I166" s="258">
        <v>1</v>
      </c>
      <c r="J166" s="258">
        <v>0</v>
      </c>
      <c r="K166" s="258">
        <v>0</v>
      </c>
    </row>
    <row r="167" spans="1:11" ht="12.75" customHeight="1">
      <c r="A167" s="207" t="s">
        <v>45</v>
      </c>
      <c r="B167" s="258">
        <v>395</v>
      </c>
      <c r="C167" s="258">
        <v>76</v>
      </c>
      <c r="D167" s="258">
        <v>130</v>
      </c>
      <c r="E167" s="258">
        <v>88</v>
      </c>
      <c r="F167" s="258">
        <v>58</v>
      </c>
      <c r="G167" s="258">
        <v>37</v>
      </c>
      <c r="H167" s="258">
        <v>4</v>
      </c>
      <c r="I167" s="258">
        <v>1</v>
      </c>
      <c r="J167" s="258">
        <v>1</v>
      </c>
      <c r="K167" s="258">
        <v>0</v>
      </c>
    </row>
    <row r="168" spans="1:11" ht="5.0999999999999996" customHeight="1">
      <c r="A168" s="207"/>
      <c r="B168" s="258"/>
      <c r="C168" s="258"/>
      <c r="D168" s="258"/>
      <c r="E168" s="258"/>
      <c r="F168" s="258"/>
      <c r="G168" s="258"/>
      <c r="H168" s="258"/>
      <c r="I168" s="258"/>
      <c r="J168" s="258"/>
      <c r="K168" s="258"/>
    </row>
    <row r="169" spans="1:11" ht="12.75" customHeight="1">
      <c r="A169" s="206" t="s">
        <v>88</v>
      </c>
      <c r="B169" s="259">
        <v>4580</v>
      </c>
      <c r="C169" s="259">
        <v>782</v>
      </c>
      <c r="D169" s="259">
        <v>1636</v>
      </c>
      <c r="E169" s="259">
        <v>1116</v>
      </c>
      <c r="F169" s="259">
        <v>655</v>
      </c>
      <c r="G169" s="259">
        <v>237</v>
      </c>
      <c r="H169" s="259">
        <v>69</v>
      </c>
      <c r="I169" s="259">
        <v>5</v>
      </c>
      <c r="J169" s="259">
        <v>3</v>
      </c>
      <c r="K169" s="259">
        <v>77</v>
      </c>
    </row>
    <row r="170" spans="1:11" ht="5.0999999999999996" customHeight="1">
      <c r="A170" s="207"/>
      <c r="B170" s="258"/>
      <c r="C170" s="258"/>
      <c r="D170" s="258"/>
      <c r="E170" s="258"/>
      <c r="F170" s="258"/>
      <c r="G170" s="258"/>
      <c r="H170" s="258"/>
      <c r="I170" s="258"/>
      <c r="J170" s="258"/>
      <c r="K170" s="258"/>
    </row>
    <row r="171" spans="1:11" ht="12.75" customHeight="1">
      <c r="A171" s="207" t="s">
        <v>63</v>
      </c>
      <c r="B171" s="258">
        <v>96</v>
      </c>
      <c r="C171" s="258">
        <v>62</v>
      </c>
      <c r="D171" s="258">
        <v>26</v>
      </c>
      <c r="E171" s="258">
        <v>3</v>
      </c>
      <c r="F171" s="258">
        <v>2</v>
      </c>
      <c r="G171" s="258">
        <v>0</v>
      </c>
      <c r="H171" s="258">
        <v>0</v>
      </c>
      <c r="I171" s="258">
        <v>0</v>
      </c>
      <c r="J171" s="258">
        <v>0</v>
      </c>
      <c r="K171" s="258">
        <v>3</v>
      </c>
    </row>
    <row r="172" spans="1:11" ht="12.75" customHeight="1">
      <c r="A172" s="207" t="s">
        <v>64</v>
      </c>
      <c r="B172" s="258">
        <v>813</v>
      </c>
      <c r="C172" s="258">
        <v>285</v>
      </c>
      <c r="D172" s="258">
        <v>384</v>
      </c>
      <c r="E172" s="258">
        <v>109</v>
      </c>
      <c r="F172" s="258">
        <v>21</v>
      </c>
      <c r="G172" s="258">
        <v>3</v>
      </c>
      <c r="H172" s="258">
        <v>2</v>
      </c>
      <c r="I172" s="258">
        <v>0</v>
      </c>
      <c r="J172" s="258">
        <v>1</v>
      </c>
      <c r="K172" s="258">
        <v>8</v>
      </c>
    </row>
    <row r="173" spans="1:11" ht="12.75" customHeight="1">
      <c r="A173" s="207" t="s">
        <v>65</v>
      </c>
      <c r="B173" s="258">
        <v>1121</v>
      </c>
      <c r="C173" s="258">
        <v>185</v>
      </c>
      <c r="D173" s="258">
        <v>522</v>
      </c>
      <c r="E173" s="258">
        <v>286</v>
      </c>
      <c r="F173" s="258">
        <v>99</v>
      </c>
      <c r="G173" s="258">
        <v>16</v>
      </c>
      <c r="H173" s="258">
        <v>8</v>
      </c>
      <c r="I173" s="258">
        <v>0</v>
      </c>
      <c r="J173" s="258">
        <v>0</v>
      </c>
      <c r="K173" s="258">
        <v>5</v>
      </c>
    </row>
    <row r="174" spans="1:11" ht="12.75" customHeight="1">
      <c r="A174" s="207" t="s">
        <v>66</v>
      </c>
      <c r="B174" s="258">
        <v>919</v>
      </c>
      <c r="C174" s="258">
        <v>81</v>
      </c>
      <c r="D174" s="258">
        <v>290</v>
      </c>
      <c r="E174" s="258">
        <v>309</v>
      </c>
      <c r="F174" s="258">
        <v>185</v>
      </c>
      <c r="G174" s="258">
        <v>39</v>
      </c>
      <c r="H174" s="258">
        <v>12</v>
      </c>
      <c r="I174" s="258">
        <v>1</v>
      </c>
      <c r="J174" s="258">
        <v>0</v>
      </c>
      <c r="K174" s="258">
        <v>2</v>
      </c>
    </row>
    <row r="175" spans="1:11" ht="12.75" customHeight="1">
      <c r="A175" s="207" t="s">
        <v>67</v>
      </c>
      <c r="B175" s="258">
        <v>529</v>
      </c>
      <c r="C175" s="258">
        <v>32</v>
      </c>
      <c r="D175" s="258">
        <v>116</v>
      </c>
      <c r="E175" s="258">
        <v>154</v>
      </c>
      <c r="F175" s="258">
        <v>151</v>
      </c>
      <c r="G175" s="258">
        <v>63</v>
      </c>
      <c r="H175" s="258">
        <v>9</v>
      </c>
      <c r="I175" s="258">
        <v>0</v>
      </c>
      <c r="J175" s="258">
        <v>1</v>
      </c>
      <c r="K175" s="258">
        <v>3</v>
      </c>
    </row>
    <row r="176" spans="1:11" ht="12.75" customHeight="1">
      <c r="A176" s="207" t="s">
        <v>68</v>
      </c>
      <c r="B176" s="258">
        <v>301</v>
      </c>
      <c r="C176" s="258">
        <v>22</v>
      </c>
      <c r="D176" s="258">
        <v>49</v>
      </c>
      <c r="E176" s="258">
        <v>84</v>
      </c>
      <c r="F176" s="258">
        <v>72</v>
      </c>
      <c r="G176" s="258">
        <v>50</v>
      </c>
      <c r="H176" s="258">
        <v>22</v>
      </c>
      <c r="I176" s="258">
        <v>1</v>
      </c>
      <c r="J176" s="258">
        <v>0</v>
      </c>
      <c r="K176" s="258">
        <v>1</v>
      </c>
    </row>
    <row r="177" spans="1:11" ht="12.75" customHeight="1">
      <c r="A177" s="207" t="s">
        <v>69</v>
      </c>
      <c r="B177" s="258">
        <v>139</v>
      </c>
      <c r="C177" s="258">
        <v>10</v>
      </c>
      <c r="D177" s="258">
        <v>28</v>
      </c>
      <c r="E177" s="258">
        <v>36</v>
      </c>
      <c r="F177" s="258">
        <v>29</v>
      </c>
      <c r="G177" s="258">
        <v>25</v>
      </c>
      <c r="H177" s="258">
        <v>9</v>
      </c>
      <c r="I177" s="258">
        <v>2</v>
      </c>
      <c r="J177" s="258">
        <v>0</v>
      </c>
      <c r="K177" s="258">
        <v>0</v>
      </c>
    </row>
    <row r="178" spans="1:11" s="31" customFormat="1" ht="12.75" customHeight="1">
      <c r="A178" s="207" t="s">
        <v>70</v>
      </c>
      <c r="B178" s="258">
        <v>124</v>
      </c>
      <c r="C178" s="258">
        <v>11</v>
      </c>
      <c r="D178" s="258">
        <v>29</v>
      </c>
      <c r="E178" s="258">
        <v>27</v>
      </c>
      <c r="F178" s="258">
        <v>34</v>
      </c>
      <c r="G178" s="258">
        <v>20</v>
      </c>
      <c r="H178" s="258">
        <v>2</v>
      </c>
      <c r="I178" s="258">
        <v>1</v>
      </c>
      <c r="J178" s="258">
        <v>0</v>
      </c>
      <c r="K178" s="258">
        <v>0</v>
      </c>
    </row>
    <row r="179" spans="1:11" ht="12.75" customHeight="1">
      <c r="A179" s="207" t="s">
        <v>45</v>
      </c>
      <c r="B179" s="258">
        <v>538</v>
      </c>
      <c r="C179" s="258">
        <v>94</v>
      </c>
      <c r="D179" s="258">
        <v>192</v>
      </c>
      <c r="E179" s="258">
        <v>108</v>
      </c>
      <c r="F179" s="258">
        <v>62</v>
      </c>
      <c r="G179" s="258">
        <v>21</v>
      </c>
      <c r="H179" s="258">
        <v>5</v>
      </c>
      <c r="I179" s="258">
        <v>0</v>
      </c>
      <c r="J179" s="258">
        <v>1</v>
      </c>
      <c r="K179" s="258">
        <v>55</v>
      </c>
    </row>
    <row r="180" spans="1:11" ht="5.0999999999999996" customHeight="1">
      <c r="A180" s="207"/>
      <c r="B180" s="258"/>
      <c r="C180" s="258"/>
      <c r="D180" s="258"/>
      <c r="E180" s="258"/>
      <c r="F180" s="258"/>
      <c r="G180" s="258"/>
      <c r="H180" s="258"/>
      <c r="I180" s="258"/>
      <c r="J180" s="258"/>
      <c r="K180" s="258"/>
    </row>
    <row r="181" spans="1:11" ht="12.75" customHeight="1">
      <c r="A181" s="206" t="s">
        <v>89</v>
      </c>
      <c r="B181" s="259">
        <v>1644</v>
      </c>
      <c r="C181" s="259">
        <v>299</v>
      </c>
      <c r="D181" s="259">
        <v>590</v>
      </c>
      <c r="E181" s="259">
        <v>434</v>
      </c>
      <c r="F181" s="259">
        <v>207</v>
      </c>
      <c r="G181" s="259">
        <v>86</v>
      </c>
      <c r="H181" s="259">
        <v>16</v>
      </c>
      <c r="I181" s="259">
        <v>5</v>
      </c>
      <c r="J181" s="259">
        <v>2</v>
      </c>
      <c r="K181" s="259">
        <v>5</v>
      </c>
    </row>
    <row r="182" spans="1:11" ht="5.0999999999999996" customHeight="1">
      <c r="A182" s="207"/>
      <c r="B182" s="258"/>
      <c r="C182" s="258"/>
      <c r="D182" s="258"/>
      <c r="E182" s="258"/>
      <c r="F182" s="258"/>
      <c r="G182" s="258"/>
      <c r="H182" s="258"/>
      <c r="I182" s="258"/>
      <c r="J182" s="258"/>
      <c r="K182" s="258"/>
    </row>
    <row r="183" spans="1:11" ht="12.75" customHeight="1">
      <c r="A183" s="207" t="s">
        <v>314</v>
      </c>
      <c r="B183" s="258">
        <v>3</v>
      </c>
      <c r="C183" s="258">
        <v>0</v>
      </c>
      <c r="D183" s="258">
        <v>0</v>
      </c>
      <c r="E183" s="258">
        <v>1</v>
      </c>
      <c r="F183" s="258">
        <v>1</v>
      </c>
      <c r="G183" s="258">
        <v>1</v>
      </c>
      <c r="H183" s="258">
        <v>0</v>
      </c>
      <c r="I183" s="258">
        <v>0</v>
      </c>
      <c r="J183" s="258">
        <v>0</v>
      </c>
      <c r="K183" s="258">
        <v>0</v>
      </c>
    </row>
    <row r="184" spans="1:11" ht="12.75" customHeight="1">
      <c r="A184" s="207" t="s">
        <v>63</v>
      </c>
      <c r="B184" s="258">
        <v>31</v>
      </c>
      <c r="C184" s="258">
        <v>14</v>
      </c>
      <c r="D184" s="258">
        <v>10</v>
      </c>
      <c r="E184" s="258">
        <v>5</v>
      </c>
      <c r="F184" s="258">
        <v>1</v>
      </c>
      <c r="G184" s="258">
        <v>0</v>
      </c>
      <c r="H184" s="258">
        <v>0</v>
      </c>
      <c r="I184" s="258">
        <v>0</v>
      </c>
      <c r="J184" s="258">
        <v>0</v>
      </c>
      <c r="K184" s="258">
        <v>1</v>
      </c>
    </row>
    <row r="185" spans="1:11" ht="12.75" customHeight="1">
      <c r="A185" s="207" t="s">
        <v>64</v>
      </c>
      <c r="B185" s="258">
        <v>288</v>
      </c>
      <c r="C185" s="258">
        <v>104</v>
      </c>
      <c r="D185" s="258">
        <v>122</v>
      </c>
      <c r="E185" s="258">
        <v>46</v>
      </c>
      <c r="F185" s="258">
        <v>10</v>
      </c>
      <c r="G185" s="258">
        <v>3</v>
      </c>
      <c r="H185" s="258">
        <v>1</v>
      </c>
      <c r="I185" s="258">
        <v>1</v>
      </c>
      <c r="J185" s="258">
        <v>0</v>
      </c>
      <c r="K185" s="258">
        <v>1</v>
      </c>
    </row>
    <row r="186" spans="1:11" ht="12.75" customHeight="1">
      <c r="A186" s="207" t="s">
        <v>65</v>
      </c>
      <c r="B186" s="258">
        <v>406</v>
      </c>
      <c r="C186" s="258">
        <v>81</v>
      </c>
      <c r="D186" s="258">
        <v>178</v>
      </c>
      <c r="E186" s="258">
        <v>113</v>
      </c>
      <c r="F186" s="258">
        <v>25</v>
      </c>
      <c r="G186" s="258">
        <v>6</v>
      </c>
      <c r="H186" s="258">
        <v>2</v>
      </c>
      <c r="I186" s="258">
        <v>0</v>
      </c>
      <c r="J186" s="258">
        <v>0</v>
      </c>
      <c r="K186" s="258">
        <v>1</v>
      </c>
    </row>
    <row r="187" spans="1:11" ht="12.75" customHeight="1">
      <c r="A187" s="207" t="s">
        <v>66</v>
      </c>
      <c r="B187" s="258">
        <v>324</v>
      </c>
      <c r="C187" s="258">
        <v>40</v>
      </c>
      <c r="D187" s="258">
        <v>103</v>
      </c>
      <c r="E187" s="258">
        <v>117</v>
      </c>
      <c r="F187" s="258">
        <v>41</v>
      </c>
      <c r="G187" s="258">
        <v>18</v>
      </c>
      <c r="H187" s="258">
        <v>2</v>
      </c>
      <c r="I187" s="258">
        <v>2</v>
      </c>
      <c r="J187" s="258">
        <v>0</v>
      </c>
      <c r="K187" s="258">
        <v>1</v>
      </c>
    </row>
    <row r="188" spans="1:11" ht="12.75" customHeight="1">
      <c r="A188" s="207" t="s">
        <v>67</v>
      </c>
      <c r="B188" s="258">
        <v>210</v>
      </c>
      <c r="C188" s="258">
        <v>14</v>
      </c>
      <c r="D188" s="258">
        <v>60</v>
      </c>
      <c r="E188" s="258">
        <v>55</v>
      </c>
      <c r="F188" s="258">
        <v>56</v>
      </c>
      <c r="G188" s="258">
        <v>24</v>
      </c>
      <c r="H188" s="258">
        <v>1</v>
      </c>
      <c r="I188" s="258">
        <v>0</v>
      </c>
      <c r="J188" s="258">
        <v>0</v>
      </c>
      <c r="K188" s="258">
        <v>0</v>
      </c>
    </row>
    <row r="189" spans="1:11" ht="12.75" customHeight="1">
      <c r="A189" s="207" t="s">
        <v>68</v>
      </c>
      <c r="B189" s="258">
        <v>125</v>
      </c>
      <c r="C189" s="258">
        <v>8</v>
      </c>
      <c r="D189" s="258">
        <v>34</v>
      </c>
      <c r="E189" s="258">
        <v>38</v>
      </c>
      <c r="F189" s="258">
        <v>28</v>
      </c>
      <c r="G189" s="258">
        <v>13</v>
      </c>
      <c r="H189" s="258">
        <v>2</v>
      </c>
      <c r="I189" s="258">
        <v>1</v>
      </c>
      <c r="J189" s="258">
        <v>1</v>
      </c>
      <c r="K189" s="258">
        <v>0</v>
      </c>
    </row>
    <row r="190" spans="1:11" ht="12.75" customHeight="1">
      <c r="A190" s="207" t="s">
        <v>69</v>
      </c>
      <c r="B190" s="258">
        <v>61</v>
      </c>
      <c r="C190" s="258">
        <v>3</v>
      </c>
      <c r="D190" s="258">
        <v>14</v>
      </c>
      <c r="E190" s="258">
        <v>21</v>
      </c>
      <c r="F190" s="258">
        <v>13</v>
      </c>
      <c r="G190" s="258">
        <v>7</v>
      </c>
      <c r="H190" s="258">
        <v>2</v>
      </c>
      <c r="I190" s="258">
        <v>0</v>
      </c>
      <c r="J190" s="258">
        <v>1</v>
      </c>
      <c r="K190" s="258">
        <v>0</v>
      </c>
    </row>
    <row r="191" spans="1:11" ht="12.75" customHeight="1">
      <c r="A191" s="207" t="s">
        <v>70</v>
      </c>
      <c r="B191" s="258">
        <v>76</v>
      </c>
      <c r="C191" s="258">
        <v>7</v>
      </c>
      <c r="D191" s="258">
        <v>17</v>
      </c>
      <c r="E191" s="258">
        <v>14</v>
      </c>
      <c r="F191" s="258">
        <v>21</v>
      </c>
      <c r="G191" s="258">
        <v>10</v>
      </c>
      <c r="H191" s="258">
        <v>5</v>
      </c>
      <c r="I191" s="258">
        <v>1</v>
      </c>
      <c r="J191" s="258">
        <v>0</v>
      </c>
      <c r="K191" s="258">
        <v>1</v>
      </c>
    </row>
    <row r="192" spans="1:11" ht="12.75" customHeight="1">
      <c r="A192" s="207" t="s">
        <v>45</v>
      </c>
      <c r="B192" s="258">
        <v>120</v>
      </c>
      <c r="C192" s="258">
        <v>28</v>
      </c>
      <c r="D192" s="258">
        <v>52</v>
      </c>
      <c r="E192" s="258">
        <v>24</v>
      </c>
      <c r="F192" s="258">
        <v>11</v>
      </c>
      <c r="G192" s="258">
        <v>4</v>
      </c>
      <c r="H192" s="258">
        <v>1</v>
      </c>
      <c r="I192" s="258">
        <v>0</v>
      </c>
      <c r="J192" s="258">
        <v>0</v>
      </c>
      <c r="K192" s="258">
        <v>0</v>
      </c>
    </row>
    <row r="193" spans="1:11" ht="5.0999999999999996" customHeight="1">
      <c r="A193" s="207"/>
      <c r="B193" s="258"/>
      <c r="C193" s="258"/>
      <c r="D193" s="258"/>
      <c r="E193" s="258"/>
      <c r="F193" s="258"/>
      <c r="G193" s="258"/>
      <c r="H193" s="258"/>
      <c r="I193" s="258"/>
      <c r="J193" s="258"/>
      <c r="K193" s="258"/>
    </row>
    <row r="194" spans="1:11" ht="12.75" customHeight="1">
      <c r="A194" s="206" t="s">
        <v>369</v>
      </c>
      <c r="B194" s="259">
        <v>727</v>
      </c>
      <c r="C194" s="259">
        <v>141</v>
      </c>
      <c r="D194" s="259">
        <v>248</v>
      </c>
      <c r="E194" s="259">
        <v>159</v>
      </c>
      <c r="F194" s="259">
        <v>89</v>
      </c>
      <c r="G194" s="259">
        <v>24</v>
      </c>
      <c r="H194" s="259">
        <v>6</v>
      </c>
      <c r="I194" s="259">
        <v>2</v>
      </c>
      <c r="J194" s="259">
        <v>3</v>
      </c>
      <c r="K194" s="259">
        <v>55</v>
      </c>
    </row>
    <row r="195" spans="1:11" s="31" customFormat="1" ht="5.0999999999999996" customHeight="1">
      <c r="A195" s="207"/>
      <c r="B195" s="258"/>
      <c r="C195" s="258"/>
      <c r="D195" s="258"/>
      <c r="E195" s="258"/>
      <c r="F195" s="258"/>
      <c r="G195" s="258"/>
      <c r="H195" s="258"/>
      <c r="I195" s="258"/>
      <c r="J195" s="258"/>
      <c r="K195" s="258"/>
    </row>
    <row r="196" spans="1:11" ht="12.75" customHeight="1">
      <c r="A196" s="207" t="s">
        <v>63</v>
      </c>
      <c r="B196" s="258">
        <v>16</v>
      </c>
      <c r="C196" s="258">
        <v>10</v>
      </c>
      <c r="D196" s="258">
        <v>5</v>
      </c>
      <c r="E196" s="258">
        <v>0</v>
      </c>
      <c r="F196" s="258">
        <v>0</v>
      </c>
      <c r="G196" s="258">
        <v>0</v>
      </c>
      <c r="H196" s="258">
        <v>0</v>
      </c>
      <c r="I196" s="258">
        <v>0</v>
      </c>
      <c r="J196" s="258">
        <v>0</v>
      </c>
      <c r="K196" s="258">
        <v>1</v>
      </c>
    </row>
    <row r="197" spans="1:11" ht="12.75" customHeight="1">
      <c r="A197" s="207" t="s">
        <v>64</v>
      </c>
      <c r="B197" s="258">
        <v>126</v>
      </c>
      <c r="C197" s="258">
        <v>41</v>
      </c>
      <c r="D197" s="258">
        <v>54</v>
      </c>
      <c r="E197" s="258">
        <v>22</v>
      </c>
      <c r="F197" s="258">
        <v>4</v>
      </c>
      <c r="G197" s="258">
        <v>2</v>
      </c>
      <c r="H197" s="258">
        <v>0</v>
      </c>
      <c r="I197" s="258">
        <v>0</v>
      </c>
      <c r="J197" s="258">
        <v>1</v>
      </c>
      <c r="K197" s="258">
        <v>2</v>
      </c>
    </row>
    <row r="198" spans="1:11" ht="12.75" customHeight="1">
      <c r="A198" s="207" t="s">
        <v>65</v>
      </c>
      <c r="B198" s="258">
        <v>156</v>
      </c>
      <c r="C198" s="258">
        <v>44</v>
      </c>
      <c r="D198" s="258">
        <v>66</v>
      </c>
      <c r="E198" s="258">
        <v>31</v>
      </c>
      <c r="F198" s="258">
        <v>12</v>
      </c>
      <c r="G198" s="258">
        <v>2</v>
      </c>
      <c r="H198" s="258">
        <v>0</v>
      </c>
      <c r="I198" s="258">
        <v>0</v>
      </c>
      <c r="J198" s="258">
        <v>1</v>
      </c>
      <c r="K198" s="258">
        <v>0</v>
      </c>
    </row>
    <row r="199" spans="1:11" ht="12.75" customHeight="1">
      <c r="A199" s="207" t="s">
        <v>66</v>
      </c>
      <c r="B199" s="258">
        <v>115</v>
      </c>
      <c r="C199" s="258">
        <v>12</v>
      </c>
      <c r="D199" s="258">
        <v>37</v>
      </c>
      <c r="E199" s="258">
        <v>36</v>
      </c>
      <c r="F199" s="258">
        <v>20</v>
      </c>
      <c r="G199" s="258">
        <v>3</v>
      </c>
      <c r="H199" s="258">
        <v>2</v>
      </c>
      <c r="I199" s="258">
        <v>0</v>
      </c>
      <c r="J199" s="258">
        <v>0</v>
      </c>
      <c r="K199" s="258">
        <v>5</v>
      </c>
    </row>
    <row r="200" spans="1:11" ht="12.75" customHeight="1">
      <c r="A200" s="207" t="s">
        <v>67</v>
      </c>
      <c r="B200" s="258">
        <v>84</v>
      </c>
      <c r="C200" s="258">
        <v>12</v>
      </c>
      <c r="D200" s="258">
        <v>17</v>
      </c>
      <c r="E200" s="258">
        <v>28</v>
      </c>
      <c r="F200" s="258">
        <v>23</v>
      </c>
      <c r="G200" s="258">
        <v>3</v>
      </c>
      <c r="H200" s="258">
        <v>0</v>
      </c>
      <c r="I200" s="258">
        <v>0</v>
      </c>
      <c r="J200" s="258">
        <v>0</v>
      </c>
      <c r="K200" s="258">
        <v>1</v>
      </c>
    </row>
    <row r="201" spans="1:11" ht="12.75" customHeight="1">
      <c r="A201" s="207" t="s">
        <v>68</v>
      </c>
      <c r="B201" s="258">
        <v>59</v>
      </c>
      <c r="C201" s="258">
        <v>5</v>
      </c>
      <c r="D201" s="258">
        <v>17</v>
      </c>
      <c r="E201" s="258">
        <v>12</v>
      </c>
      <c r="F201" s="258">
        <v>14</v>
      </c>
      <c r="G201" s="258">
        <v>5</v>
      </c>
      <c r="H201" s="258">
        <v>2</v>
      </c>
      <c r="I201" s="258">
        <v>0</v>
      </c>
      <c r="J201" s="258">
        <v>0</v>
      </c>
      <c r="K201" s="258">
        <v>4</v>
      </c>
    </row>
    <row r="202" spans="1:11" ht="12.75" customHeight="1">
      <c r="A202" s="207" t="s">
        <v>69</v>
      </c>
      <c r="B202" s="258">
        <v>27</v>
      </c>
      <c r="C202" s="258">
        <v>1</v>
      </c>
      <c r="D202" s="258">
        <v>6</v>
      </c>
      <c r="E202" s="258">
        <v>9</v>
      </c>
      <c r="F202" s="258">
        <v>2</v>
      </c>
      <c r="G202" s="258">
        <v>5</v>
      </c>
      <c r="H202" s="258">
        <v>2</v>
      </c>
      <c r="I202" s="258">
        <v>0</v>
      </c>
      <c r="J202" s="258">
        <v>1</v>
      </c>
      <c r="K202" s="258">
        <v>1</v>
      </c>
    </row>
    <row r="203" spans="1:11" ht="12.75" customHeight="1">
      <c r="A203" s="207" t="s">
        <v>70</v>
      </c>
      <c r="B203" s="258">
        <v>25</v>
      </c>
      <c r="C203" s="258">
        <v>4</v>
      </c>
      <c r="D203" s="258">
        <v>8</v>
      </c>
      <c r="E203" s="258">
        <v>4</v>
      </c>
      <c r="F203" s="258">
        <v>4</v>
      </c>
      <c r="G203" s="258">
        <v>3</v>
      </c>
      <c r="H203" s="258">
        <v>0</v>
      </c>
      <c r="I203" s="258">
        <v>2</v>
      </c>
      <c r="J203" s="258">
        <v>0</v>
      </c>
      <c r="K203" s="258">
        <v>0</v>
      </c>
    </row>
    <row r="204" spans="1:11" ht="12.75" customHeight="1">
      <c r="A204" s="207" t="s">
        <v>45</v>
      </c>
      <c r="B204" s="258">
        <v>119</v>
      </c>
      <c r="C204" s="258">
        <v>12</v>
      </c>
      <c r="D204" s="258">
        <v>38</v>
      </c>
      <c r="E204" s="258">
        <v>17</v>
      </c>
      <c r="F204" s="258">
        <v>10</v>
      </c>
      <c r="G204" s="258">
        <v>1</v>
      </c>
      <c r="H204" s="258">
        <v>0</v>
      </c>
      <c r="I204" s="258">
        <v>0</v>
      </c>
      <c r="J204" s="258">
        <v>0</v>
      </c>
      <c r="K204" s="258">
        <v>41</v>
      </c>
    </row>
    <row r="205" spans="1:11" ht="5.0999999999999996" customHeight="1">
      <c r="A205" s="207"/>
      <c r="B205" s="258"/>
      <c r="C205" s="258"/>
      <c r="D205" s="258"/>
      <c r="E205" s="258"/>
      <c r="F205" s="258"/>
      <c r="G205" s="258"/>
      <c r="H205" s="258"/>
      <c r="I205" s="258"/>
      <c r="J205" s="258"/>
      <c r="K205" s="258"/>
    </row>
    <row r="206" spans="1:11" ht="12.75" customHeight="1">
      <c r="A206" s="206" t="s">
        <v>91</v>
      </c>
      <c r="B206" s="259">
        <v>178</v>
      </c>
      <c r="C206" s="259">
        <v>33</v>
      </c>
      <c r="D206" s="259">
        <v>52</v>
      </c>
      <c r="E206" s="259">
        <v>39</v>
      </c>
      <c r="F206" s="259">
        <v>33</v>
      </c>
      <c r="G206" s="259">
        <v>12</v>
      </c>
      <c r="H206" s="259">
        <v>5</v>
      </c>
      <c r="I206" s="259">
        <v>1</v>
      </c>
      <c r="J206" s="259">
        <v>0</v>
      </c>
      <c r="K206" s="259">
        <v>3</v>
      </c>
    </row>
    <row r="207" spans="1:11" ht="5.0999999999999996" customHeight="1">
      <c r="A207" s="207"/>
      <c r="B207" s="258"/>
      <c r="C207" s="258"/>
      <c r="D207" s="258"/>
      <c r="E207" s="258"/>
      <c r="F207" s="258"/>
      <c r="G207" s="258"/>
      <c r="H207" s="258"/>
      <c r="I207" s="258"/>
      <c r="J207" s="258"/>
      <c r="K207" s="258"/>
    </row>
    <row r="208" spans="1:11" ht="12.75" customHeight="1">
      <c r="A208" s="207" t="s">
        <v>63</v>
      </c>
      <c r="B208" s="258">
        <v>3</v>
      </c>
      <c r="C208" s="258">
        <v>2</v>
      </c>
      <c r="D208" s="258">
        <v>0</v>
      </c>
      <c r="E208" s="258">
        <v>0</v>
      </c>
      <c r="F208" s="258">
        <v>0</v>
      </c>
      <c r="G208" s="258">
        <v>1</v>
      </c>
      <c r="H208" s="258">
        <v>0</v>
      </c>
      <c r="I208" s="258">
        <v>0</v>
      </c>
      <c r="J208" s="258">
        <v>0</v>
      </c>
      <c r="K208" s="258">
        <v>0</v>
      </c>
    </row>
    <row r="209" spans="1:11" ht="12.75" customHeight="1">
      <c r="A209" s="207" t="s">
        <v>64</v>
      </c>
      <c r="B209" s="258">
        <v>21</v>
      </c>
      <c r="C209" s="258">
        <v>8</v>
      </c>
      <c r="D209" s="258">
        <v>6</v>
      </c>
      <c r="E209" s="258">
        <v>4</v>
      </c>
      <c r="F209" s="258">
        <v>2</v>
      </c>
      <c r="G209" s="258">
        <v>0</v>
      </c>
      <c r="H209" s="258">
        <v>0</v>
      </c>
      <c r="I209" s="258">
        <v>0</v>
      </c>
      <c r="J209" s="258">
        <v>0</v>
      </c>
      <c r="K209" s="258">
        <v>1</v>
      </c>
    </row>
    <row r="210" spans="1:11" s="31" customFormat="1" ht="12.75" customHeight="1">
      <c r="A210" s="207" t="s">
        <v>65</v>
      </c>
      <c r="B210" s="258">
        <v>40</v>
      </c>
      <c r="C210" s="258">
        <v>11</v>
      </c>
      <c r="D210" s="258">
        <v>15</v>
      </c>
      <c r="E210" s="258">
        <v>8</v>
      </c>
      <c r="F210" s="258">
        <v>4</v>
      </c>
      <c r="G210" s="258">
        <v>1</v>
      </c>
      <c r="H210" s="258">
        <v>0</v>
      </c>
      <c r="I210" s="258">
        <v>0</v>
      </c>
      <c r="J210" s="258">
        <v>0</v>
      </c>
      <c r="K210" s="258">
        <v>1</v>
      </c>
    </row>
    <row r="211" spans="1:11" ht="12.75" customHeight="1">
      <c r="A211" s="207" t="s">
        <v>66</v>
      </c>
      <c r="B211" s="258">
        <v>36</v>
      </c>
      <c r="C211" s="258">
        <v>6</v>
      </c>
      <c r="D211" s="258">
        <v>8</v>
      </c>
      <c r="E211" s="258">
        <v>11</v>
      </c>
      <c r="F211" s="258">
        <v>9</v>
      </c>
      <c r="G211" s="258">
        <v>2</v>
      </c>
      <c r="H211" s="258">
        <v>0</v>
      </c>
      <c r="I211" s="258">
        <v>0</v>
      </c>
      <c r="J211" s="258">
        <v>0</v>
      </c>
      <c r="K211" s="258">
        <v>0</v>
      </c>
    </row>
    <row r="212" spans="1:11" ht="12.75" customHeight="1">
      <c r="A212" s="207" t="s">
        <v>67</v>
      </c>
      <c r="B212" s="258">
        <v>9</v>
      </c>
      <c r="C212" s="258">
        <v>1</v>
      </c>
      <c r="D212" s="258">
        <v>4</v>
      </c>
      <c r="E212" s="258">
        <v>1</v>
      </c>
      <c r="F212" s="258">
        <v>2</v>
      </c>
      <c r="G212" s="258">
        <v>1</v>
      </c>
      <c r="H212" s="258">
        <v>0</v>
      </c>
      <c r="I212" s="258">
        <v>0</v>
      </c>
      <c r="J212" s="258">
        <v>0</v>
      </c>
      <c r="K212" s="258">
        <v>0</v>
      </c>
    </row>
    <row r="213" spans="1:11" ht="12.75" customHeight="1">
      <c r="A213" s="207" t="s">
        <v>68</v>
      </c>
      <c r="B213" s="258">
        <v>21</v>
      </c>
      <c r="C213" s="258">
        <v>1</v>
      </c>
      <c r="D213" s="258">
        <v>4</v>
      </c>
      <c r="E213" s="258">
        <v>5</v>
      </c>
      <c r="F213" s="258">
        <v>6</v>
      </c>
      <c r="G213" s="258">
        <v>2</v>
      </c>
      <c r="H213" s="258">
        <v>3</v>
      </c>
      <c r="I213" s="258">
        <v>0</v>
      </c>
      <c r="J213" s="258">
        <v>0</v>
      </c>
      <c r="K213" s="258">
        <v>0</v>
      </c>
    </row>
    <row r="214" spans="1:11" ht="12.75" customHeight="1">
      <c r="A214" s="207" t="s">
        <v>69</v>
      </c>
      <c r="B214" s="258">
        <v>4</v>
      </c>
      <c r="C214" s="258">
        <v>0</v>
      </c>
      <c r="D214" s="258">
        <v>0</v>
      </c>
      <c r="E214" s="258">
        <v>1</v>
      </c>
      <c r="F214" s="258">
        <v>1</v>
      </c>
      <c r="G214" s="258">
        <v>1</v>
      </c>
      <c r="H214" s="258">
        <v>1</v>
      </c>
      <c r="I214" s="258">
        <v>0</v>
      </c>
      <c r="J214" s="258">
        <v>0</v>
      </c>
      <c r="K214" s="258">
        <v>0</v>
      </c>
    </row>
    <row r="215" spans="1:11" ht="12.75" customHeight="1">
      <c r="A215" s="207" t="s">
        <v>70</v>
      </c>
      <c r="B215" s="258">
        <v>4</v>
      </c>
      <c r="C215" s="258">
        <v>0</v>
      </c>
      <c r="D215" s="258">
        <v>0</v>
      </c>
      <c r="E215" s="258">
        <v>1</v>
      </c>
      <c r="F215" s="258">
        <v>2</v>
      </c>
      <c r="G215" s="258">
        <v>0</v>
      </c>
      <c r="H215" s="258">
        <v>0</v>
      </c>
      <c r="I215" s="258">
        <v>1</v>
      </c>
      <c r="J215" s="258">
        <v>0</v>
      </c>
      <c r="K215" s="258">
        <v>0</v>
      </c>
    </row>
    <row r="216" spans="1:11" ht="12.75" customHeight="1">
      <c r="A216" s="207" t="s">
        <v>45</v>
      </c>
      <c r="B216" s="258">
        <v>40</v>
      </c>
      <c r="C216" s="258">
        <v>4</v>
      </c>
      <c r="D216" s="258">
        <v>15</v>
      </c>
      <c r="E216" s="258">
        <v>8</v>
      </c>
      <c r="F216" s="258">
        <v>7</v>
      </c>
      <c r="G216" s="258">
        <v>4</v>
      </c>
      <c r="H216" s="258">
        <v>1</v>
      </c>
      <c r="I216" s="258">
        <v>0</v>
      </c>
      <c r="J216" s="258">
        <v>0</v>
      </c>
      <c r="K216" s="258">
        <v>1</v>
      </c>
    </row>
    <row r="217" spans="1:11" ht="5.0999999999999996" customHeight="1">
      <c r="A217" s="207"/>
      <c r="B217" s="258"/>
      <c r="C217" s="258"/>
      <c r="D217" s="258"/>
      <c r="E217" s="258"/>
      <c r="F217" s="258"/>
      <c r="G217" s="258"/>
      <c r="H217" s="258"/>
      <c r="I217" s="258"/>
      <c r="J217" s="258"/>
      <c r="K217" s="258"/>
    </row>
    <row r="218" spans="1:11" ht="12.75" customHeight="1">
      <c r="A218" s="206" t="s">
        <v>92</v>
      </c>
      <c r="B218" s="259">
        <v>1938</v>
      </c>
      <c r="C218" s="259">
        <v>263</v>
      </c>
      <c r="D218" s="259">
        <v>688</v>
      </c>
      <c r="E218" s="259">
        <v>510</v>
      </c>
      <c r="F218" s="259">
        <v>311</v>
      </c>
      <c r="G218" s="259">
        <v>133</v>
      </c>
      <c r="H218" s="259">
        <v>23</v>
      </c>
      <c r="I218" s="259">
        <v>1</v>
      </c>
      <c r="J218" s="259">
        <v>4</v>
      </c>
      <c r="K218" s="259">
        <v>5</v>
      </c>
    </row>
    <row r="219" spans="1:11" ht="5.0999999999999996" customHeight="1">
      <c r="A219" s="207"/>
      <c r="B219" s="258"/>
      <c r="C219" s="258"/>
      <c r="D219" s="258"/>
      <c r="E219" s="258"/>
      <c r="F219" s="258"/>
      <c r="G219" s="258"/>
      <c r="H219" s="258"/>
      <c r="I219" s="258"/>
      <c r="J219" s="258"/>
      <c r="K219" s="258"/>
    </row>
    <row r="220" spans="1:11" ht="12.75" customHeight="1">
      <c r="A220" s="207" t="s">
        <v>314</v>
      </c>
      <c r="B220" s="258">
        <v>1</v>
      </c>
      <c r="C220" s="258">
        <v>0</v>
      </c>
      <c r="D220" s="258">
        <v>0</v>
      </c>
      <c r="E220" s="258">
        <v>1</v>
      </c>
      <c r="F220" s="258">
        <v>0</v>
      </c>
      <c r="G220" s="258">
        <v>0</v>
      </c>
      <c r="H220" s="258">
        <v>0</v>
      </c>
      <c r="I220" s="258">
        <v>0</v>
      </c>
      <c r="J220" s="258">
        <v>0</v>
      </c>
      <c r="K220" s="258">
        <v>0</v>
      </c>
    </row>
    <row r="221" spans="1:11" ht="12.75" customHeight="1">
      <c r="A221" s="207" t="s">
        <v>63</v>
      </c>
      <c r="B221" s="258">
        <v>24</v>
      </c>
      <c r="C221" s="258">
        <v>15</v>
      </c>
      <c r="D221" s="258">
        <v>7</v>
      </c>
      <c r="E221" s="258">
        <v>2</v>
      </c>
      <c r="F221" s="258">
        <v>0</v>
      </c>
      <c r="G221" s="258">
        <v>0</v>
      </c>
      <c r="H221" s="258">
        <v>0</v>
      </c>
      <c r="I221" s="258">
        <v>0</v>
      </c>
      <c r="J221" s="258">
        <v>0</v>
      </c>
      <c r="K221" s="258">
        <v>0</v>
      </c>
    </row>
    <row r="222" spans="1:11" ht="12.75" customHeight="1">
      <c r="A222" s="207" t="s">
        <v>64</v>
      </c>
      <c r="B222" s="258">
        <v>270</v>
      </c>
      <c r="C222" s="258">
        <v>78</v>
      </c>
      <c r="D222" s="258">
        <v>133</v>
      </c>
      <c r="E222" s="258">
        <v>36</v>
      </c>
      <c r="F222" s="258">
        <v>15</v>
      </c>
      <c r="G222" s="258">
        <v>7</v>
      </c>
      <c r="H222" s="258">
        <v>0</v>
      </c>
      <c r="I222" s="258">
        <v>0</v>
      </c>
      <c r="J222" s="258">
        <v>1</v>
      </c>
      <c r="K222" s="258">
        <v>0</v>
      </c>
    </row>
    <row r="223" spans="1:11" ht="12.75" customHeight="1">
      <c r="A223" s="207" t="s">
        <v>65</v>
      </c>
      <c r="B223" s="258">
        <v>378</v>
      </c>
      <c r="C223" s="258">
        <v>57</v>
      </c>
      <c r="D223" s="258">
        <v>174</v>
      </c>
      <c r="E223" s="258">
        <v>104</v>
      </c>
      <c r="F223" s="258">
        <v>37</v>
      </c>
      <c r="G223" s="258">
        <v>6</v>
      </c>
      <c r="H223" s="258">
        <v>0</v>
      </c>
      <c r="I223" s="258">
        <v>0</v>
      </c>
      <c r="J223" s="258">
        <v>0</v>
      </c>
      <c r="K223" s="258">
        <v>0</v>
      </c>
    </row>
    <row r="224" spans="1:11" ht="12.75" customHeight="1">
      <c r="A224" s="207" t="s">
        <v>66</v>
      </c>
      <c r="B224" s="258">
        <v>338</v>
      </c>
      <c r="C224" s="258">
        <v>16</v>
      </c>
      <c r="D224" s="258">
        <v>115</v>
      </c>
      <c r="E224" s="258">
        <v>111</v>
      </c>
      <c r="F224" s="258">
        <v>75</v>
      </c>
      <c r="G224" s="258">
        <v>18</v>
      </c>
      <c r="H224" s="258">
        <v>0</v>
      </c>
      <c r="I224" s="258">
        <v>0</v>
      </c>
      <c r="J224" s="258">
        <v>1</v>
      </c>
      <c r="K224" s="258">
        <v>2</v>
      </c>
    </row>
    <row r="225" spans="1:11" s="31" customFormat="1" ht="12.75" customHeight="1">
      <c r="A225" s="207" t="s">
        <v>67</v>
      </c>
      <c r="B225" s="258">
        <v>223</v>
      </c>
      <c r="C225" s="258">
        <v>13</v>
      </c>
      <c r="D225" s="258">
        <v>36</v>
      </c>
      <c r="E225" s="258">
        <v>72</v>
      </c>
      <c r="F225" s="258">
        <v>61</v>
      </c>
      <c r="G225" s="258">
        <v>35</v>
      </c>
      <c r="H225" s="258">
        <v>6</v>
      </c>
      <c r="I225" s="258">
        <v>0</v>
      </c>
      <c r="J225" s="258">
        <v>0</v>
      </c>
      <c r="K225" s="258">
        <v>0</v>
      </c>
    </row>
    <row r="226" spans="1:11" ht="12.75" customHeight="1">
      <c r="A226" s="207" t="s">
        <v>68</v>
      </c>
      <c r="B226" s="258">
        <v>131</v>
      </c>
      <c r="C226" s="258">
        <v>6</v>
      </c>
      <c r="D226" s="258">
        <v>29</v>
      </c>
      <c r="E226" s="258">
        <v>33</v>
      </c>
      <c r="F226" s="258">
        <v>37</v>
      </c>
      <c r="G226" s="258">
        <v>18</v>
      </c>
      <c r="H226" s="258">
        <v>8</v>
      </c>
      <c r="I226" s="258">
        <v>0</v>
      </c>
      <c r="J226" s="258">
        <v>0</v>
      </c>
      <c r="K226" s="258">
        <v>0</v>
      </c>
    </row>
    <row r="227" spans="1:11" ht="12.75" customHeight="1">
      <c r="A227" s="207" t="s">
        <v>69</v>
      </c>
      <c r="B227" s="258">
        <v>59</v>
      </c>
      <c r="C227" s="258">
        <v>6</v>
      </c>
      <c r="D227" s="258">
        <v>8</v>
      </c>
      <c r="E227" s="258">
        <v>18</v>
      </c>
      <c r="F227" s="258">
        <v>10</v>
      </c>
      <c r="G227" s="258">
        <v>14</v>
      </c>
      <c r="H227" s="258">
        <v>2</v>
      </c>
      <c r="I227" s="258">
        <v>1</v>
      </c>
      <c r="J227" s="258">
        <v>0</v>
      </c>
      <c r="K227" s="258">
        <v>0</v>
      </c>
    </row>
    <row r="228" spans="1:11" ht="12.75" customHeight="1">
      <c r="A228" s="207" t="s">
        <v>70</v>
      </c>
      <c r="B228" s="258">
        <v>49</v>
      </c>
      <c r="C228" s="258">
        <v>1</v>
      </c>
      <c r="D228" s="258">
        <v>14</v>
      </c>
      <c r="E228" s="258">
        <v>11</v>
      </c>
      <c r="F228" s="258">
        <v>10</v>
      </c>
      <c r="G228" s="258">
        <v>9</v>
      </c>
      <c r="H228" s="258">
        <v>2</v>
      </c>
      <c r="I228" s="258">
        <v>0</v>
      </c>
      <c r="J228" s="258">
        <v>2</v>
      </c>
      <c r="K228" s="258">
        <v>0</v>
      </c>
    </row>
    <row r="229" spans="1:11" ht="12.75" customHeight="1">
      <c r="A229" s="207" t="s">
        <v>45</v>
      </c>
      <c r="B229" s="258">
        <v>465</v>
      </c>
      <c r="C229" s="258">
        <v>71</v>
      </c>
      <c r="D229" s="258">
        <v>172</v>
      </c>
      <c r="E229" s="258">
        <v>122</v>
      </c>
      <c r="F229" s="258">
        <v>66</v>
      </c>
      <c r="G229" s="258">
        <v>26</v>
      </c>
      <c r="H229" s="258">
        <v>5</v>
      </c>
      <c r="I229" s="258">
        <v>0</v>
      </c>
      <c r="J229" s="258">
        <v>0</v>
      </c>
      <c r="K229" s="258">
        <v>3</v>
      </c>
    </row>
    <row r="230" spans="1:11" ht="5.0999999999999996" customHeight="1">
      <c r="A230" s="207"/>
      <c r="B230" s="258"/>
      <c r="C230" s="258"/>
      <c r="D230" s="258"/>
      <c r="E230" s="258"/>
      <c r="F230" s="258"/>
      <c r="G230" s="258"/>
      <c r="H230" s="258"/>
      <c r="I230" s="258"/>
      <c r="J230" s="258"/>
      <c r="K230" s="258"/>
    </row>
    <row r="231" spans="1:11" ht="12.75" customHeight="1">
      <c r="A231" s="206" t="s">
        <v>93</v>
      </c>
      <c r="B231" s="259">
        <v>2874</v>
      </c>
      <c r="C231" s="259">
        <v>434</v>
      </c>
      <c r="D231" s="259">
        <v>1070</v>
      </c>
      <c r="E231" s="259">
        <v>721</v>
      </c>
      <c r="F231" s="259">
        <v>404</v>
      </c>
      <c r="G231" s="259">
        <v>168</v>
      </c>
      <c r="H231" s="259">
        <v>36</v>
      </c>
      <c r="I231" s="259">
        <v>1</v>
      </c>
      <c r="J231" s="259">
        <v>6</v>
      </c>
      <c r="K231" s="259">
        <v>34</v>
      </c>
    </row>
    <row r="232" spans="1:11" ht="5.0999999999999996" customHeight="1">
      <c r="A232" s="207"/>
      <c r="B232" s="258"/>
      <c r="C232" s="258"/>
      <c r="D232" s="258"/>
      <c r="E232" s="258"/>
      <c r="F232" s="258"/>
      <c r="G232" s="258"/>
      <c r="H232" s="258"/>
      <c r="I232" s="258"/>
      <c r="J232" s="258"/>
      <c r="K232" s="258"/>
    </row>
    <row r="233" spans="1:11" ht="12.75" customHeight="1">
      <c r="A233" s="207" t="s">
        <v>63</v>
      </c>
      <c r="B233" s="258">
        <v>61</v>
      </c>
      <c r="C233" s="258">
        <v>42</v>
      </c>
      <c r="D233" s="258">
        <v>12</v>
      </c>
      <c r="E233" s="258">
        <v>3</v>
      </c>
      <c r="F233" s="258">
        <v>1</v>
      </c>
      <c r="G233" s="258">
        <v>1</v>
      </c>
      <c r="H233" s="258">
        <v>0</v>
      </c>
      <c r="I233" s="258">
        <v>0</v>
      </c>
      <c r="J233" s="258">
        <v>0</v>
      </c>
      <c r="K233" s="258">
        <v>2</v>
      </c>
    </row>
    <row r="234" spans="1:11" ht="12.75" customHeight="1">
      <c r="A234" s="207" t="s">
        <v>64</v>
      </c>
      <c r="B234" s="258">
        <v>552</v>
      </c>
      <c r="C234" s="258">
        <v>159</v>
      </c>
      <c r="D234" s="258">
        <v>284</v>
      </c>
      <c r="E234" s="258">
        <v>75</v>
      </c>
      <c r="F234" s="258">
        <v>27</v>
      </c>
      <c r="G234" s="258">
        <v>4</v>
      </c>
      <c r="H234" s="258">
        <v>0</v>
      </c>
      <c r="I234" s="258">
        <v>0</v>
      </c>
      <c r="J234" s="258">
        <v>2</v>
      </c>
      <c r="K234" s="258">
        <v>1</v>
      </c>
    </row>
    <row r="235" spans="1:11" ht="12.75" customHeight="1">
      <c r="A235" s="207" t="s">
        <v>65</v>
      </c>
      <c r="B235" s="258">
        <v>694</v>
      </c>
      <c r="C235" s="258">
        <v>89</v>
      </c>
      <c r="D235" s="258">
        <v>324</v>
      </c>
      <c r="E235" s="258">
        <v>179</v>
      </c>
      <c r="F235" s="258">
        <v>64</v>
      </c>
      <c r="G235" s="258">
        <v>21</v>
      </c>
      <c r="H235" s="258">
        <v>7</v>
      </c>
      <c r="I235" s="258">
        <v>0</v>
      </c>
      <c r="J235" s="258">
        <v>3</v>
      </c>
      <c r="K235" s="258">
        <v>7</v>
      </c>
    </row>
    <row r="236" spans="1:11" ht="12.75" customHeight="1">
      <c r="A236" s="207" t="s">
        <v>66</v>
      </c>
      <c r="B236" s="258">
        <v>576</v>
      </c>
      <c r="C236" s="258">
        <v>47</v>
      </c>
      <c r="D236" s="258">
        <v>183</v>
      </c>
      <c r="E236" s="258">
        <v>199</v>
      </c>
      <c r="F236" s="258">
        <v>106</v>
      </c>
      <c r="G236" s="258">
        <v>32</v>
      </c>
      <c r="H236" s="258">
        <v>7</v>
      </c>
      <c r="I236" s="258">
        <v>1</v>
      </c>
      <c r="J236" s="258">
        <v>0</v>
      </c>
      <c r="K236" s="258">
        <v>1</v>
      </c>
    </row>
    <row r="237" spans="1:11" ht="12.75" customHeight="1">
      <c r="A237" s="207" t="s">
        <v>67</v>
      </c>
      <c r="B237" s="258">
        <v>337</v>
      </c>
      <c r="C237" s="258">
        <v>18</v>
      </c>
      <c r="D237" s="258">
        <v>83</v>
      </c>
      <c r="E237" s="258">
        <v>107</v>
      </c>
      <c r="F237" s="258">
        <v>79</v>
      </c>
      <c r="G237" s="258">
        <v>43</v>
      </c>
      <c r="H237" s="258">
        <v>7</v>
      </c>
      <c r="I237" s="258">
        <v>0</v>
      </c>
      <c r="J237" s="258">
        <v>0</v>
      </c>
      <c r="K237" s="258">
        <v>0</v>
      </c>
    </row>
    <row r="238" spans="1:11" ht="12.75" customHeight="1">
      <c r="A238" s="207" t="s">
        <v>68</v>
      </c>
      <c r="B238" s="258">
        <v>212</v>
      </c>
      <c r="C238" s="258">
        <v>11</v>
      </c>
      <c r="D238" s="258">
        <v>52</v>
      </c>
      <c r="E238" s="258">
        <v>63</v>
      </c>
      <c r="F238" s="258">
        <v>49</v>
      </c>
      <c r="G238" s="258">
        <v>28</v>
      </c>
      <c r="H238" s="258">
        <v>8</v>
      </c>
      <c r="I238" s="258">
        <v>0</v>
      </c>
      <c r="J238" s="258">
        <v>0</v>
      </c>
      <c r="K238" s="258">
        <v>1</v>
      </c>
    </row>
    <row r="239" spans="1:11" ht="12.75" customHeight="1">
      <c r="A239" s="207" t="s">
        <v>69</v>
      </c>
      <c r="B239" s="258">
        <v>110</v>
      </c>
      <c r="C239" s="258">
        <v>6</v>
      </c>
      <c r="D239" s="258">
        <v>34</v>
      </c>
      <c r="E239" s="258">
        <v>28</v>
      </c>
      <c r="F239" s="258">
        <v>21</v>
      </c>
      <c r="G239" s="258">
        <v>17</v>
      </c>
      <c r="H239" s="258">
        <v>4</v>
      </c>
      <c r="I239" s="258">
        <v>0</v>
      </c>
      <c r="J239" s="258">
        <v>0</v>
      </c>
      <c r="K239" s="258">
        <v>0</v>
      </c>
    </row>
    <row r="240" spans="1:11" ht="12.75" customHeight="1">
      <c r="A240" s="207" t="s">
        <v>70</v>
      </c>
      <c r="B240" s="258">
        <v>75</v>
      </c>
      <c r="C240" s="258">
        <v>2</v>
      </c>
      <c r="D240" s="258">
        <v>15</v>
      </c>
      <c r="E240" s="258">
        <v>15</v>
      </c>
      <c r="F240" s="258">
        <v>30</v>
      </c>
      <c r="G240" s="258">
        <v>11</v>
      </c>
      <c r="H240" s="258">
        <v>2</v>
      </c>
      <c r="I240" s="258">
        <v>0</v>
      </c>
      <c r="J240" s="258">
        <v>0</v>
      </c>
      <c r="K240" s="258">
        <v>0</v>
      </c>
    </row>
    <row r="241" spans="1:11" s="31" customFormat="1" ht="12.75" customHeight="1">
      <c r="A241" s="207" t="s">
        <v>45</v>
      </c>
      <c r="B241" s="258">
        <v>257</v>
      </c>
      <c r="C241" s="258">
        <v>60</v>
      </c>
      <c r="D241" s="258">
        <v>83</v>
      </c>
      <c r="E241" s="258">
        <v>52</v>
      </c>
      <c r="F241" s="258">
        <v>27</v>
      </c>
      <c r="G241" s="258">
        <v>11</v>
      </c>
      <c r="H241" s="258">
        <v>1</v>
      </c>
      <c r="I241" s="258">
        <v>0</v>
      </c>
      <c r="J241" s="258">
        <v>1</v>
      </c>
      <c r="K241" s="258">
        <v>22</v>
      </c>
    </row>
    <row r="242" spans="1:11" ht="5.0999999999999996" customHeight="1">
      <c r="A242" s="207"/>
      <c r="B242" s="258"/>
      <c r="C242" s="258"/>
      <c r="D242" s="258"/>
      <c r="E242" s="258"/>
      <c r="F242" s="258"/>
      <c r="G242" s="258"/>
      <c r="H242" s="258"/>
      <c r="I242" s="258"/>
      <c r="J242" s="258"/>
      <c r="K242" s="258"/>
    </row>
    <row r="243" spans="1:11" ht="12.75" customHeight="1">
      <c r="A243" s="206" t="s">
        <v>224</v>
      </c>
      <c r="B243" s="259">
        <v>1136</v>
      </c>
      <c r="C243" s="259">
        <v>219</v>
      </c>
      <c r="D243" s="259">
        <v>384</v>
      </c>
      <c r="E243" s="259">
        <v>295</v>
      </c>
      <c r="F243" s="259">
        <v>170</v>
      </c>
      <c r="G243" s="259">
        <v>41</v>
      </c>
      <c r="H243" s="259">
        <v>14</v>
      </c>
      <c r="I243" s="259">
        <v>1</v>
      </c>
      <c r="J243" s="259">
        <v>2</v>
      </c>
      <c r="K243" s="259">
        <v>10</v>
      </c>
    </row>
    <row r="244" spans="1:11" ht="5.0999999999999996" customHeight="1">
      <c r="A244" s="207"/>
      <c r="B244" s="258"/>
      <c r="C244" s="258"/>
      <c r="D244" s="258"/>
      <c r="E244" s="258"/>
      <c r="F244" s="258"/>
      <c r="G244" s="258"/>
      <c r="H244" s="258"/>
      <c r="I244" s="258"/>
      <c r="J244" s="258"/>
      <c r="K244" s="258"/>
    </row>
    <row r="245" spans="1:11" ht="12.75" customHeight="1">
      <c r="A245" s="207" t="s">
        <v>63</v>
      </c>
      <c r="B245" s="258">
        <v>36</v>
      </c>
      <c r="C245" s="258">
        <v>21</v>
      </c>
      <c r="D245" s="258">
        <v>11</v>
      </c>
      <c r="E245" s="258">
        <v>4</v>
      </c>
      <c r="F245" s="258">
        <v>0</v>
      </c>
      <c r="G245" s="258">
        <v>0</v>
      </c>
      <c r="H245" s="258">
        <v>0</v>
      </c>
      <c r="I245" s="258">
        <v>0</v>
      </c>
      <c r="J245" s="258">
        <v>0</v>
      </c>
      <c r="K245" s="258">
        <v>0</v>
      </c>
    </row>
    <row r="246" spans="1:11" ht="12.75" customHeight="1">
      <c r="A246" s="207" t="s">
        <v>64</v>
      </c>
      <c r="B246" s="258">
        <v>189</v>
      </c>
      <c r="C246" s="258">
        <v>78</v>
      </c>
      <c r="D246" s="258">
        <v>80</v>
      </c>
      <c r="E246" s="258">
        <v>25</v>
      </c>
      <c r="F246" s="258">
        <v>3</v>
      </c>
      <c r="G246" s="258">
        <v>0</v>
      </c>
      <c r="H246" s="258">
        <v>1</v>
      </c>
      <c r="I246" s="258">
        <v>0</v>
      </c>
      <c r="J246" s="258">
        <v>0</v>
      </c>
      <c r="K246" s="258">
        <v>2</v>
      </c>
    </row>
    <row r="247" spans="1:11" ht="12.75" customHeight="1">
      <c r="A247" s="207" t="s">
        <v>65</v>
      </c>
      <c r="B247" s="258">
        <v>273</v>
      </c>
      <c r="C247" s="258">
        <v>49</v>
      </c>
      <c r="D247" s="258">
        <v>116</v>
      </c>
      <c r="E247" s="258">
        <v>75</v>
      </c>
      <c r="F247" s="258">
        <v>28</v>
      </c>
      <c r="G247" s="258">
        <v>2</v>
      </c>
      <c r="H247" s="258">
        <v>0</v>
      </c>
      <c r="I247" s="258">
        <v>0</v>
      </c>
      <c r="J247" s="258">
        <v>0</v>
      </c>
      <c r="K247" s="258">
        <v>3</v>
      </c>
    </row>
    <row r="248" spans="1:11" ht="12.75" customHeight="1">
      <c r="A248" s="207" t="s">
        <v>66</v>
      </c>
      <c r="B248" s="258">
        <v>241</v>
      </c>
      <c r="C248" s="258">
        <v>18</v>
      </c>
      <c r="D248" s="258">
        <v>74</v>
      </c>
      <c r="E248" s="258">
        <v>89</v>
      </c>
      <c r="F248" s="258">
        <v>53</v>
      </c>
      <c r="G248" s="258">
        <v>6</v>
      </c>
      <c r="H248" s="258">
        <v>1</v>
      </c>
      <c r="I248" s="258">
        <v>0</v>
      </c>
      <c r="J248" s="258">
        <v>0</v>
      </c>
      <c r="K248" s="258">
        <v>0</v>
      </c>
    </row>
    <row r="249" spans="1:11" ht="12.75" customHeight="1">
      <c r="A249" s="207" t="s">
        <v>67</v>
      </c>
      <c r="B249" s="258">
        <v>124</v>
      </c>
      <c r="C249" s="258">
        <v>8</v>
      </c>
      <c r="D249" s="258">
        <v>25</v>
      </c>
      <c r="E249" s="258">
        <v>35</v>
      </c>
      <c r="F249" s="258">
        <v>42</v>
      </c>
      <c r="G249" s="258">
        <v>10</v>
      </c>
      <c r="H249" s="258">
        <v>2</v>
      </c>
      <c r="I249" s="258">
        <v>1</v>
      </c>
      <c r="J249" s="258">
        <v>0</v>
      </c>
      <c r="K249" s="258">
        <v>1</v>
      </c>
    </row>
    <row r="250" spans="1:11" ht="12.75" customHeight="1">
      <c r="A250" s="207" t="s">
        <v>68</v>
      </c>
      <c r="B250" s="258">
        <v>84</v>
      </c>
      <c r="C250" s="258">
        <v>7</v>
      </c>
      <c r="D250" s="258">
        <v>22</v>
      </c>
      <c r="E250" s="258">
        <v>20</v>
      </c>
      <c r="F250" s="258">
        <v>19</v>
      </c>
      <c r="G250" s="258">
        <v>10</v>
      </c>
      <c r="H250" s="258">
        <v>5</v>
      </c>
      <c r="I250" s="258">
        <v>0</v>
      </c>
      <c r="J250" s="258">
        <v>1</v>
      </c>
      <c r="K250" s="258">
        <v>0</v>
      </c>
    </row>
    <row r="251" spans="1:11" ht="12.75" customHeight="1">
      <c r="A251" s="207" t="s">
        <v>69</v>
      </c>
      <c r="B251" s="258">
        <v>41</v>
      </c>
      <c r="C251" s="258">
        <v>1</v>
      </c>
      <c r="D251" s="258">
        <v>11</v>
      </c>
      <c r="E251" s="258">
        <v>12</v>
      </c>
      <c r="F251" s="258">
        <v>8</v>
      </c>
      <c r="G251" s="258">
        <v>6</v>
      </c>
      <c r="H251" s="258">
        <v>2</v>
      </c>
      <c r="I251" s="258">
        <v>0</v>
      </c>
      <c r="J251" s="258">
        <v>1</v>
      </c>
      <c r="K251" s="258">
        <v>0</v>
      </c>
    </row>
    <row r="252" spans="1:11" ht="12.75" customHeight="1">
      <c r="A252" s="207" t="s">
        <v>70</v>
      </c>
      <c r="B252" s="258">
        <v>30</v>
      </c>
      <c r="C252" s="258">
        <v>1</v>
      </c>
      <c r="D252" s="258">
        <v>11</v>
      </c>
      <c r="E252" s="258">
        <v>9</v>
      </c>
      <c r="F252" s="258">
        <v>5</v>
      </c>
      <c r="G252" s="258">
        <v>2</v>
      </c>
      <c r="H252" s="258">
        <v>1</v>
      </c>
      <c r="I252" s="258">
        <v>0</v>
      </c>
      <c r="J252" s="258">
        <v>0</v>
      </c>
      <c r="K252" s="258">
        <v>1</v>
      </c>
    </row>
    <row r="253" spans="1:11" ht="12.75" customHeight="1">
      <c r="A253" s="207" t="s">
        <v>45</v>
      </c>
      <c r="B253" s="258">
        <v>118</v>
      </c>
      <c r="C253" s="258">
        <v>36</v>
      </c>
      <c r="D253" s="258">
        <v>34</v>
      </c>
      <c r="E253" s="258">
        <v>26</v>
      </c>
      <c r="F253" s="258">
        <v>12</v>
      </c>
      <c r="G253" s="258">
        <v>5</v>
      </c>
      <c r="H253" s="258">
        <v>2</v>
      </c>
      <c r="I253" s="258">
        <v>0</v>
      </c>
      <c r="J253" s="258">
        <v>0</v>
      </c>
      <c r="K253" s="258">
        <v>3</v>
      </c>
    </row>
    <row r="254" spans="1:11" ht="5.0999999999999996" customHeight="1">
      <c r="A254" s="207"/>
      <c r="B254" s="258"/>
      <c r="C254" s="258"/>
      <c r="D254" s="258"/>
      <c r="E254" s="258"/>
      <c r="F254" s="258"/>
      <c r="G254" s="258"/>
      <c r="H254" s="258"/>
      <c r="I254" s="258"/>
      <c r="J254" s="258"/>
      <c r="K254" s="258"/>
    </row>
    <row r="255" spans="1:11" ht="12.75" customHeight="1">
      <c r="A255" s="206" t="s">
        <v>95</v>
      </c>
      <c r="B255" s="259">
        <v>1095</v>
      </c>
      <c r="C255" s="259">
        <v>156</v>
      </c>
      <c r="D255" s="259">
        <v>404</v>
      </c>
      <c r="E255" s="259">
        <v>300</v>
      </c>
      <c r="F255" s="259">
        <v>146</v>
      </c>
      <c r="G255" s="259">
        <v>58</v>
      </c>
      <c r="H255" s="259">
        <v>16</v>
      </c>
      <c r="I255" s="259">
        <v>3</v>
      </c>
      <c r="J255" s="259">
        <v>2</v>
      </c>
      <c r="K255" s="259">
        <v>10</v>
      </c>
    </row>
    <row r="256" spans="1:11" ht="5.0999999999999996" customHeight="1">
      <c r="A256" s="207"/>
      <c r="B256" s="258"/>
      <c r="C256" s="258"/>
      <c r="D256" s="258"/>
      <c r="E256" s="258"/>
      <c r="F256" s="258"/>
      <c r="G256" s="258"/>
      <c r="H256" s="258"/>
      <c r="I256" s="258"/>
      <c r="J256" s="258"/>
      <c r="K256" s="258"/>
    </row>
    <row r="257" spans="1:11" s="31" customFormat="1" ht="12.75" customHeight="1">
      <c r="A257" s="207" t="s">
        <v>314</v>
      </c>
      <c r="B257" s="258">
        <v>1</v>
      </c>
      <c r="C257" s="258">
        <v>0</v>
      </c>
      <c r="D257" s="258">
        <v>0</v>
      </c>
      <c r="E257" s="258">
        <v>0</v>
      </c>
      <c r="F257" s="258">
        <v>1</v>
      </c>
      <c r="G257" s="258">
        <v>0</v>
      </c>
      <c r="H257" s="258">
        <v>0</v>
      </c>
      <c r="I257" s="258">
        <v>0</v>
      </c>
      <c r="J257" s="258">
        <v>0</v>
      </c>
      <c r="K257" s="258">
        <v>0</v>
      </c>
    </row>
    <row r="258" spans="1:11" ht="12.75" customHeight="1">
      <c r="A258" s="207" t="s">
        <v>63</v>
      </c>
      <c r="B258" s="258">
        <v>22</v>
      </c>
      <c r="C258" s="258">
        <v>9</v>
      </c>
      <c r="D258" s="258">
        <v>9</v>
      </c>
      <c r="E258" s="258">
        <v>1</v>
      </c>
      <c r="F258" s="258">
        <v>1</v>
      </c>
      <c r="G258" s="258">
        <v>1</v>
      </c>
      <c r="H258" s="258">
        <v>0</v>
      </c>
      <c r="I258" s="258">
        <v>0</v>
      </c>
      <c r="J258" s="258">
        <v>0</v>
      </c>
      <c r="K258" s="258">
        <v>1</v>
      </c>
    </row>
    <row r="259" spans="1:11" ht="12.75" customHeight="1">
      <c r="A259" s="207" t="s">
        <v>64</v>
      </c>
      <c r="B259" s="258">
        <v>174</v>
      </c>
      <c r="C259" s="258">
        <v>59</v>
      </c>
      <c r="D259" s="258">
        <v>85</v>
      </c>
      <c r="E259" s="258">
        <v>23</v>
      </c>
      <c r="F259" s="258">
        <v>3</v>
      </c>
      <c r="G259" s="258">
        <v>2</v>
      </c>
      <c r="H259" s="258">
        <v>0</v>
      </c>
      <c r="I259" s="258">
        <v>1</v>
      </c>
      <c r="J259" s="258">
        <v>0</v>
      </c>
      <c r="K259" s="258">
        <v>1</v>
      </c>
    </row>
    <row r="260" spans="1:11" ht="12.75" customHeight="1">
      <c r="A260" s="207" t="s">
        <v>65</v>
      </c>
      <c r="B260" s="258">
        <v>275</v>
      </c>
      <c r="C260" s="258">
        <v>35</v>
      </c>
      <c r="D260" s="258">
        <v>129</v>
      </c>
      <c r="E260" s="258">
        <v>83</v>
      </c>
      <c r="F260" s="258">
        <v>14</v>
      </c>
      <c r="G260" s="258">
        <v>10</v>
      </c>
      <c r="H260" s="258">
        <v>1</v>
      </c>
      <c r="I260" s="258">
        <v>0</v>
      </c>
      <c r="J260" s="258">
        <v>0</v>
      </c>
      <c r="K260" s="258">
        <v>3</v>
      </c>
    </row>
    <row r="261" spans="1:11" ht="12.75" customHeight="1">
      <c r="A261" s="207" t="s">
        <v>66</v>
      </c>
      <c r="B261" s="258">
        <v>227</v>
      </c>
      <c r="C261" s="258">
        <v>8</v>
      </c>
      <c r="D261" s="258">
        <v>74</v>
      </c>
      <c r="E261" s="258">
        <v>87</v>
      </c>
      <c r="F261" s="258">
        <v>50</v>
      </c>
      <c r="G261" s="258">
        <v>6</v>
      </c>
      <c r="H261" s="258">
        <v>1</v>
      </c>
      <c r="I261" s="258">
        <v>0</v>
      </c>
      <c r="J261" s="258">
        <v>1</v>
      </c>
      <c r="K261" s="258">
        <v>0</v>
      </c>
    </row>
    <row r="262" spans="1:11" ht="12.75" customHeight="1">
      <c r="A262" s="207" t="s">
        <v>67</v>
      </c>
      <c r="B262" s="258">
        <v>115</v>
      </c>
      <c r="C262" s="258">
        <v>11</v>
      </c>
      <c r="D262" s="258">
        <v>20</v>
      </c>
      <c r="E262" s="258">
        <v>42</v>
      </c>
      <c r="F262" s="258">
        <v>28</v>
      </c>
      <c r="G262" s="258">
        <v>14</v>
      </c>
      <c r="H262" s="258">
        <v>0</v>
      </c>
      <c r="I262" s="258">
        <v>0</v>
      </c>
      <c r="J262" s="258">
        <v>0</v>
      </c>
      <c r="K262" s="258">
        <v>0</v>
      </c>
    </row>
    <row r="263" spans="1:11" ht="12.75" customHeight="1">
      <c r="A263" s="207" t="s">
        <v>68</v>
      </c>
      <c r="B263" s="258">
        <v>75</v>
      </c>
      <c r="C263" s="258">
        <v>3</v>
      </c>
      <c r="D263" s="258">
        <v>24</v>
      </c>
      <c r="E263" s="258">
        <v>11</v>
      </c>
      <c r="F263" s="258">
        <v>20</v>
      </c>
      <c r="G263" s="258">
        <v>11</v>
      </c>
      <c r="H263" s="258">
        <v>6</v>
      </c>
      <c r="I263" s="258">
        <v>0</v>
      </c>
      <c r="J263" s="258">
        <v>0</v>
      </c>
      <c r="K263" s="258">
        <v>0</v>
      </c>
    </row>
    <row r="264" spans="1:11" ht="12.75" customHeight="1">
      <c r="A264" s="207" t="s">
        <v>69</v>
      </c>
      <c r="B264" s="258">
        <v>35</v>
      </c>
      <c r="C264" s="258">
        <v>1</v>
      </c>
      <c r="D264" s="258">
        <v>6</v>
      </c>
      <c r="E264" s="258">
        <v>8</v>
      </c>
      <c r="F264" s="258">
        <v>6</v>
      </c>
      <c r="G264" s="258">
        <v>6</v>
      </c>
      <c r="H264" s="258">
        <v>4</v>
      </c>
      <c r="I264" s="258">
        <v>2</v>
      </c>
      <c r="J264" s="258">
        <v>1</v>
      </c>
      <c r="K264" s="258">
        <v>1</v>
      </c>
    </row>
    <row r="265" spans="1:11" ht="12.75" customHeight="1">
      <c r="A265" s="207" t="s">
        <v>70</v>
      </c>
      <c r="B265" s="258">
        <v>40</v>
      </c>
      <c r="C265" s="258">
        <v>2</v>
      </c>
      <c r="D265" s="258">
        <v>12</v>
      </c>
      <c r="E265" s="258">
        <v>10</v>
      </c>
      <c r="F265" s="258">
        <v>10</v>
      </c>
      <c r="G265" s="258">
        <v>4</v>
      </c>
      <c r="H265" s="258">
        <v>2</v>
      </c>
      <c r="I265" s="258">
        <v>0</v>
      </c>
      <c r="J265" s="258">
        <v>0</v>
      </c>
      <c r="K265" s="258">
        <v>0</v>
      </c>
    </row>
    <row r="266" spans="1:11" ht="12.75" customHeight="1">
      <c r="A266" s="207" t="s">
        <v>45</v>
      </c>
      <c r="B266" s="258">
        <v>131</v>
      </c>
      <c r="C266" s="258">
        <v>28</v>
      </c>
      <c r="D266" s="258">
        <v>45</v>
      </c>
      <c r="E266" s="258">
        <v>35</v>
      </c>
      <c r="F266" s="258">
        <v>13</v>
      </c>
      <c r="G266" s="258">
        <v>4</v>
      </c>
      <c r="H266" s="258">
        <v>2</v>
      </c>
      <c r="I266" s="258">
        <v>0</v>
      </c>
      <c r="J266" s="258">
        <v>0</v>
      </c>
      <c r="K266" s="258">
        <v>4</v>
      </c>
    </row>
    <row r="267" spans="1:11" ht="5.0999999999999996" customHeight="1">
      <c r="A267" s="207"/>
      <c r="B267" s="258"/>
      <c r="C267" s="258"/>
      <c r="D267" s="258"/>
      <c r="E267" s="258"/>
      <c r="F267" s="258"/>
      <c r="G267" s="258"/>
      <c r="H267" s="258"/>
      <c r="I267" s="258"/>
      <c r="J267" s="258"/>
      <c r="K267" s="258"/>
    </row>
    <row r="268" spans="1:11" ht="12.75" customHeight="1">
      <c r="A268" s="206" t="s">
        <v>96</v>
      </c>
      <c r="B268" s="259">
        <v>6401</v>
      </c>
      <c r="C268" s="259">
        <v>810</v>
      </c>
      <c r="D268" s="259">
        <v>2217</v>
      </c>
      <c r="E268" s="259">
        <v>1768</v>
      </c>
      <c r="F268" s="259">
        <v>1051</v>
      </c>
      <c r="G268" s="259">
        <v>399</v>
      </c>
      <c r="H268" s="259">
        <v>67</v>
      </c>
      <c r="I268" s="259">
        <v>3</v>
      </c>
      <c r="J268" s="259">
        <v>2</v>
      </c>
      <c r="K268" s="259">
        <v>84</v>
      </c>
    </row>
    <row r="269" spans="1:11" ht="5.0999999999999996" customHeight="1">
      <c r="A269" s="207"/>
      <c r="B269" s="258"/>
      <c r="C269" s="258"/>
      <c r="D269" s="258"/>
      <c r="E269" s="258"/>
      <c r="F269" s="258"/>
      <c r="G269" s="258"/>
      <c r="H269" s="258"/>
      <c r="I269" s="258"/>
      <c r="J269" s="258"/>
      <c r="K269" s="258"/>
    </row>
    <row r="270" spans="1:11" ht="12.75" customHeight="1">
      <c r="A270" s="207" t="s">
        <v>63</v>
      </c>
      <c r="B270" s="258">
        <v>80</v>
      </c>
      <c r="C270" s="258">
        <v>45</v>
      </c>
      <c r="D270" s="258">
        <v>24</v>
      </c>
      <c r="E270" s="258">
        <v>8</v>
      </c>
      <c r="F270" s="258">
        <v>1</v>
      </c>
      <c r="G270" s="258">
        <v>0</v>
      </c>
      <c r="H270" s="258">
        <v>0</v>
      </c>
      <c r="I270" s="258">
        <v>0</v>
      </c>
      <c r="J270" s="258">
        <v>0</v>
      </c>
      <c r="K270" s="258">
        <v>2</v>
      </c>
    </row>
    <row r="271" spans="1:11" ht="12.75" customHeight="1">
      <c r="A271" s="207" t="s">
        <v>64</v>
      </c>
      <c r="B271" s="258">
        <v>1071</v>
      </c>
      <c r="C271" s="258">
        <v>324</v>
      </c>
      <c r="D271" s="258">
        <v>524</v>
      </c>
      <c r="E271" s="258">
        <v>163</v>
      </c>
      <c r="F271" s="258">
        <v>45</v>
      </c>
      <c r="G271" s="258">
        <v>3</v>
      </c>
      <c r="H271" s="258">
        <v>2</v>
      </c>
      <c r="I271" s="258">
        <v>0</v>
      </c>
      <c r="J271" s="258">
        <v>0</v>
      </c>
      <c r="K271" s="258">
        <v>10</v>
      </c>
    </row>
    <row r="272" spans="1:11" s="31" customFormat="1" ht="12.75" customHeight="1">
      <c r="A272" s="207" t="s">
        <v>65</v>
      </c>
      <c r="B272" s="258">
        <v>1555</v>
      </c>
      <c r="C272" s="258">
        <v>173</v>
      </c>
      <c r="D272" s="258">
        <v>715</v>
      </c>
      <c r="E272" s="258">
        <v>453</v>
      </c>
      <c r="F272" s="258">
        <v>146</v>
      </c>
      <c r="G272" s="258">
        <v>39</v>
      </c>
      <c r="H272" s="258">
        <v>5</v>
      </c>
      <c r="I272" s="258">
        <v>0</v>
      </c>
      <c r="J272" s="258">
        <v>0</v>
      </c>
      <c r="K272" s="258">
        <v>24</v>
      </c>
    </row>
    <row r="273" spans="1:11" ht="12.75" customHeight="1">
      <c r="A273" s="207" t="s">
        <v>66</v>
      </c>
      <c r="B273" s="258">
        <v>1315</v>
      </c>
      <c r="C273" s="258">
        <v>70</v>
      </c>
      <c r="D273" s="258">
        <v>342</v>
      </c>
      <c r="E273" s="258">
        <v>489</v>
      </c>
      <c r="F273" s="258">
        <v>321</v>
      </c>
      <c r="G273" s="258">
        <v>74</v>
      </c>
      <c r="H273" s="258">
        <v>8</v>
      </c>
      <c r="I273" s="258">
        <v>0</v>
      </c>
      <c r="J273" s="258">
        <v>0</v>
      </c>
      <c r="K273" s="258">
        <v>11</v>
      </c>
    </row>
    <row r="274" spans="1:11" ht="12.75" customHeight="1">
      <c r="A274" s="207" t="s">
        <v>67</v>
      </c>
      <c r="B274" s="258">
        <v>778</v>
      </c>
      <c r="C274" s="258">
        <v>34</v>
      </c>
      <c r="D274" s="258">
        <v>139</v>
      </c>
      <c r="E274" s="258">
        <v>234</v>
      </c>
      <c r="F274" s="258">
        <v>257</v>
      </c>
      <c r="G274" s="258">
        <v>97</v>
      </c>
      <c r="H274" s="258">
        <v>11</v>
      </c>
      <c r="I274" s="258">
        <v>1</v>
      </c>
      <c r="J274" s="258">
        <v>0</v>
      </c>
      <c r="K274" s="258">
        <v>5</v>
      </c>
    </row>
    <row r="275" spans="1:11" ht="12.75" customHeight="1">
      <c r="A275" s="207" t="s">
        <v>68</v>
      </c>
      <c r="B275" s="258">
        <v>369</v>
      </c>
      <c r="C275" s="258">
        <v>11</v>
      </c>
      <c r="D275" s="258">
        <v>63</v>
      </c>
      <c r="E275" s="258">
        <v>100</v>
      </c>
      <c r="F275" s="258">
        <v>105</v>
      </c>
      <c r="G275" s="258">
        <v>76</v>
      </c>
      <c r="H275" s="258">
        <v>13</v>
      </c>
      <c r="I275" s="258">
        <v>0</v>
      </c>
      <c r="J275" s="258">
        <v>1</v>
      </c>
      <c r="K275" s="258">
        <v>0</v>
      </c>
    </row>
    <row r="276" spans="1:11" ht="12.75" customHeight="1">
      <c r="A276" s="207" t="s">
        <v>69</v>
      </c>
      <c r="B276" s="258">
        <v>152</v>
      </c>
      <c r="C276" s="258">
        <v>8</v>
      </c>
      <c r="D276" s="258">
        <v>36</v>
      </c>
      <c r="E276" s="258">
        <v>33</v>
      </c>
      <c r="F276" s="258">
        <v>39</v>
      </c>
      <c r="G276" s="258">
        <v>27</v>
      </c>
      <c r="H276" s="258">
        <v>8</v>
      </c>
      <c r="I276" s="258">
        <v>1</v>
      </c>
      <c r="J276" s="258">
        <v>0</v>
      </c>
      <c r="K276" s="258">
        <v>0</v>
      </c>
    </row>
    <row r="277" spans="1:11" ht="12.75" customHeight="1">
      <c r="A277" s="207" t="s">
        <v>70</v>
      </c>
      <c r="B277" s="258">
        <v>119</v>
      </c>
      <c r="C277" s="258">
        <v>3</v>
      </c>
      <c r="D277" s="258">
        <v>23</v>
      </c>
      <c r="E277" s="258">
        <v>32</v>
      </c>
      <c r="F277" s="258">
        <v>32</v>
      </c>
      <c r="G277" s="258">
        <v>21</v>
      </c>
      <c r="H277" s="258">
        <v>7</v>
      </c>
      <c r="I277" s="258">
        <v>0</v>
      </c>
      <c r="J277" s="258">
        <v>1</v>
      </c>
      <c r="K277" s="258">
        <v>0</v>
      </c>
    </row>
    <row r="278" spans="1:11" ht="12.75" customHeight="1">
      <c r="A278" s="207" t="s">
        <v>45</v>
      </c>
      <c r="B278" s="258">
        <v>962</v>
      </c>
      <c r="C278" s="258">
        <v>142</v>
      </c>
      <c r="D278" s="258">
        <v>351</v>
      </c>
      <c r="E278" s="258">
        <v>256</v>
      </c>
      <c r="F278" s="258">
        <v>105</v>
      </c>
      <c r="G278" s="258">
        <v>62</v>
      </c>
      <c r="H278" s="258">
        <v>13</v>
      </c>
      <c r="I278" s="258">
        <v>1</v>
      </c>
      <c r="J278" s="258">
        <v>0</v>
      </c>
      <c r="K278" s="258">
        <v>32</v>
      </c>
    </row>
    <row r="279" spans="1:11" ht="5.0999999999999996" customHeight="1">
      <c r="A279" s="207"/>
      <c r="B279" s="258"/>
      <c r="C279" s="258"/>
      <c r="D279" s="258"/>
      <c r="E279" s="258"/>
      <c r="F279" s="258"/>
      <c r="G279" s="258"/>
      <c r="H279" s="258"/>
      <c r="I279" s="258"/>
      <c r="J279" s="258"/>
      <c r="K279" s="258"/>
    </row>
    <row r="280" spans="1:11" ht="12.75" customHeight="1">
      <c r="A280" s="206" t="s">
        <v>97</v>
      </c>
      <c r="B280" s="259">
        <v>2733</v>
      </c>
      <c r="C280" s="259">
        <v>443</v>
      </c>
      <c r="D280" s="259">
        <v>977</v>
      </c>
      <c r="E280" s="259">
        <v>754</v>
      </c>
      <c r="F280" s="259">
        <v>378</v>
      </c>
      <c r="G280" s="259">
        <v>141</v>
      </c>
      <c r="H280" s="259">
        <v>25</v>
      </c>
      <c r="I280" s="259">
        <v>6</v>
      </c>
      <c r="J280" s="259">
        <v>0</v>
      </c>
      <c r="K280" s="259">
        <v>9</v>
      </c>
    </row>
    <row r="281" spans="1:11" ht="5.0999999999999996" customHeight="1">
      <c r="A281" s="207"/>
      <c r="B281" s="258"/>
      <c r="C281" s="258"/>
      <c r="D281" s="258"/>
      <c r="E281" s="258"/>
      <c r="F281" s="258"/>
      <c r="G281" s="258"/>
      <c r="H281" s="258"/>
      <c r="I281" s="258"/>
      <c r="J281" s="258"/>
      <c r="K281" s="258"/>
    </row>
    <row r="282" spans="1:11" ht="12.75" customHeight="1">
      <c r="A282" s="207" t="s">
        <v>314</v>
      </c>
      <c r="B282" s="258">
        <v>1</v>
      </c>
      <c r="C282" s="258">
        <v>0</v>
      </c>
      <c r="D282" s="258">
        <v>1</v>
      </c>
      <c r="E282" s="258">
        <v>0</v>
      </c>
      <c r="F282" s="258">
        <v>0</v>
      </c>
      <c r="G282" s="258">
        <v>0</v>
      </c>
      <c r="H282" s="258">
        <v>0</v>
      </c>
      <c r="I282" s="258">
        <v>0</v>
      </c>
      <c r="J282" s="258">
        <v>0</v>
      </c>
      <c r="K282" s="258">
        <v>0</v>
      </c>
    </row>
    <row r="283" spans="1:11" ht="12.75" customHeight="1">
      <c r="A283" s="207" t="s">
        <v>63</v>
      </c>
      <c r="B283" s="258">
        <v>39</v>
      </c>
      <c r="C283" s="258">
        <v>18</v>
      </c>
      <c r="D283" s="258">
        <v>17</v>
      </c>
      <c r="E283" s="258">
        <v>0</v>
      </c>
      <c r="F283" s="258">
        <v>3</v>
      </c>
      <c r="G283" s="258">
        <v>0</v>
      </c>
      <c r="H283" s="258">
        <v>0</v>
      </c>
      <c r="I283" s="258">
        <v>0</v>
      </c>
      <c r="J283" s="258">
        <v>0</v>
      </c>
      <c r="K283" s="258">
        <v>1</v>
      </c>
    </row>
    <row r="284" spans="1:11" ht="12.75" customHeight="1">
      <c r="A284" s="207" t="s">
        <v>64</v>
      </c>
      <c r="B284" s="258">
        <v>419</v>
      </c>
      <c r="C284" s="258">
        <v>145</v>
      </c>
      <c r="D284" s="258">
        <v>203</v>
      </c>
      <c r="E284" s="258">
        <v>52</v>
      </c>
      <c r="F284" s="258">
        <v>15</v>
      </c>
      <c r="G284" s="258">
        <v>2</v>
      </c>
      <c r="H284" s="258">
        <v>1</v>
      </c>
      <c r="I284" s="258">
        <v>0</v>
      </c>
      <c r="J284" s="258">
        <v>0</v>
      </c>
      <c r="K284" s="258">
        <v>1</v>
      </c>
    </row>
    <row r="285" spans="1:11" ht="12.75" customHeight="1">
      <c r="A285" s="207" t="s">
        <v>65</v>
      </c>
      <c r="B285" s="258">
        <v>661</v>
      </c>
      <c r="C285" s="258">
        <v>127</v>
      </c>
      <c r="D285" s="258">
        <v>310</v>
      </c>
      <c r="E285" s="258">
        <v>166</v>
      </c>
      <c r="F285" s="258">
        <v>45</v>
      </c>
      <c r="G285" s="258">
        <v>11</v>
      </c>
      <c r="H285" s="258">
        <v>0</v>
      </c>
      <c r="I285" s="258">
        <v>1</v>
      </c>
      <c r="J285" s="258">
        <v>0</v>
      </c>
      <c r="K285" s="258">
        <v>1</v>
      </c>
    </row>
    <row r="286" spans="1:11" ht="12.75" customHeight="1">
      <c r="A286" s="207" t="s">
        <v>66</v>
      </c>
      <c r="B286" s="258">
        <v>581</v>
      </c>
      <c r="C286" s="258">
        <v>61</v>
      </c>
      <c r="D286" s="258">
        <v>189</v>
      </c>
      <c r="E286" s="258">
        <v>214</v>
      </c>
      <c r="F286" s="258">
        <v>96</v>
      </c>
      <c r="G286" s="258">
        <v>18</v>
      </c>
      <c r="H286" s="258">
        <v>1</v>
      </c>
      <c r="I286" s="258">
        <v>1</v>
      </c>
      <c r="J286" s="258">
        <v>0</v>
      </c>
      <c r="K286" s="258">
        <v>1</v>
      </c>
    </row>
    <row r="287" spans="1:11" s="31" customFormat="1" ht="12.75" customHeight="1">
      <c r="A287" s="207" t="s">
        <v>67</v>
      </c>
      <c r="B287" s="258">
        <v>358</v>
      </c>
      <c r="C287" s="258">
        <v>26</v>
      </c>
      <c r="D287" s="258">
        <v>82</v>
      </c>
      <c r="E287" s="258">
        <v>124</v>
      </c>
      <c r="F287" s="258">
        <v>88</v>
      </c>
      <c r="G287" s="258">
        <v>33</v>
      </c>
      <c r="H287" s="258">
        <v>4</v>
      </c>
      <c r="I287" s="258">
        <v>0</v>
      </c>
      <c r="J287" s="258">
        <v>0</v>
      </c>
      <c r="K287" s="258">
        <v>1</v>
      </c>
    </row>
    <row r="288" spans="1:11" ht="12.75" customHeight="1">
      <c r="A288" s="207" t="s">
        <v>68</v>
      </c>
      <c r="B288" s="258">
        <v>177</v>
      </c>
      <c r="C288" s="258">
        <v>3</v>
      </c>
      <c r="D288" s="258">
        <v>31</v>
      </c>
      <c r="E288" s="258">
        <v>65</v>
      </c>
      <c r="F288" s="258">
        <v>45</v>
      </c>
      <c r="G288" s="258">
        <v>25</v>
      </c>
      <c r="H288" s="258">
        <v>8</v>
      </c>
      <c r="I288" s="258">
        <v>0</v>
      </c>
      <c r="J288" s="258">
        <v>0</v>
      </c>
      <c r="K288" s="258">
        <v>0</v>
      </c>
    </row>
    <row r="289" spans="1:11" ht="12.75" customHeight="1">
      <c r="A289" s="207" t="s">
        <v>69</v>
      </c>
      <c r="B289" s="258">
        <v>109</v>
      </c>
      <c r="C289" s="258">
        <v>4</v>
      </c>
      <c r="D289" s="258">
        <v>20</v>
      </c>
      <c r="E289" s="258">
        <v>24</v>
      </c>
      <c r="F289" s="258">
        <v>35</v>
      </c>
      <c r="G289" s="258">
        <v>19</v>
      </c>
      <c r="H289" s="258">
        <v>7</v>
      </c>
      <c r="I289" s="258">
        <v>0</v>
      </c>
      <c r="J289" s="258">
        <v>0</v>
      </c>
      <c r="K289" s="258">
        <v>0</v>
      </c>
    </row>
    <row r="290" spans="1:11" ht="12.75" customHeight="1">
      <c r="A290" s="207" t="s">
        <v>70</v>
      </c>
      <c r="B290" s="258">
        <v>117</v>
      </c>
      <c r="C290" s="258">
        <v>6</v>
      </c>
      <c r="D290" s="258">
        <v>28</v>
      </c>
      <c r="E290" s="258">
        <v>28</v>
      </c>
      <c r="F290" s="258">
        <v>30</v>
      </c>
      <c r="G290" s="258">
        <v>18</v>
      </c>
      <c r="H290" s="258">
        <v>3</v>
      </c>
      <c r="I290" s="258">
        <v>4</v>
      </c>
      <c r="J290" s="258">
        <v>0</v>
      </c>
      <c r="K290" s="258">
        <v>0</v>
      </c>
    </row>
    <row r="291" spans="1:11" ht="12.75" customHeight="1">
      <c r="A291" s="207" t="s">
        <v>45</v>
      </c>
      <c r="B291" s="258">
        <v>271</v>
      </c>
      <c r="C291" s="258">
        <v>53</v>
      </c>
      <c r="D291" s="258">
        <v>96</v>
      </c>
      <c r="E291" s="258">
        <v>81</v>
      </c>
      <c r="F291" s="258">
        <v>21</v>
      </c>
      <c r="G291" s="258">
        <v>15</v>
      </c>
      <c r="H291" s="258">
        <v>1</v>
      </c>
      <c r="I291" s="258">
        <v>0</v>
      </c>
      <c r="J291" s="258">
        <v>0</v>
      </c>
      <c r="K291" s="258">
        <v>4</v>
      </c>
    </row>
    <row r="292" spans="1:11" ht="5.0999999999999996" customHeight="1">
      <c r="A292" s="207"/>
      <c r="B292" s="258"/>
      <c r="C292" s="258"/>
      <c r="D292" s="258"/>
      <c r="E292" s="258"/>
      <c r="F292" s="258"/>
      <c r="G292" s="258"/>
      <c r="H292" s="258"/>
      <c r="I292" s="258"/>
      <c r="J292" s="258"/>
      <c r="K292" s="258"/>
    </row>
    <row r="293" spans="1:11" ht="12.75" customHeight="1">
      <c r="A293" s="206" t="s">
        <v>98</v>
      </c>
      <c r="B293" s="259">
        <v>4241</v>
      </c>
      <c r="C293" s="259">
        <v>553</v>
      </c>
      <c r="D293" s="259">
        <v>1467</v>
      </c>
      <c r="E293" s="259">
        <v>1203</v>
      </c>
      <c r="F293" s="259">
        <v>658</v>
      </c>
      <c r="G293" s="259">
        <v>287</v>
      </c>
      <c r="H293" s="259">
        <v>64</v>
      </c>
      <c r="I293" s="259">
        <v>3</v>
      </c>
      <c r="J293" s="259">
        <v>2</v>
      </c>
      <c r="K293" s="259">
        <v>4</v>
      </c>
    </row>
    <row r="294" spans="1:11" ht="5.0999999999999996" customHeight="1">
      <c r="A294" s="207"/>
      <c r="B294" s="258"/>
      <c r="C294" s="258"/>
      <c r="D294" s="258"/>
      <c r="E294" s="258"/>
      <c r="F294" s="258"/>
      <c r="G294" s="258"/>
      <c r="H294" s="258"/>
      <c r="I294" s="258"/>
      <c r="J294" s="258"/>
      <c r="K294" s="258"/>
    </row>
    <row r="295" spans="1:11" ht="12.75" customHeight="1">
      <c r="A295" s="207" t="s">
        <v>63</v>
      </c>
      <c r="B295" s="258">
        <v>62</v>
      </c>
      <c r="C295" s="258">
        <v>19</v>
      </c>
      <c r="D295" s="258">
        <v>29</v>
      </c>
      <c r="E295" s="258">
        <v>9</v>
      </c>
      <c r="F295" s="258">
        <v>3</v>
      </c>
      <c r="G295" s="258">
        <v>2</v>
      </c>
      <c r="H295" s="258">
        <v>0</v>
      </c>
      <c r="I295" s="258">
        <v>0</v>
      </c>
      <c r="J295" s="258">
        <v>0</v>
      </c>
      <c r="K295" s="258">
        <v>0</v>
      </c>
    </row>
    <row r="296" spans="1:11" ht="12.75" customHeight="1">
      <c r="A296" s="207" t="s">
        <v>64</v>
      </c>
      <c r="B296" s="258">
        <v>687</v>
      </c>
      <c r="C296" s="258">
        <v>210</v>
      </c>
      <c r="D296" s="258">
        <v>326</v>
      </c>
      <c r="E296" s="258">
        <v>110</v>
      </c>
      <c r="F296" s="258">
        <v>33</v>
      </c>
      <c r="G296" s="258">
        <v>5</v>
      </c>
      <c r="H296" s="258">
        <v>1</v>
      </c>
      <c r="I296" s="258">
        <v>1</v>
      </c>
      <c r="J296" s="258">
        <v>0</v>
      </c>
      <c r="K296" s="258">
        <v>1</v>
      </c>
    </row>
    <row r="297" spans="1:11" ht="12.75" customHeight="1">
      <c r="A297" s="207" t="s">
        <v>65</v>
      </c>
      <c r="B297" s="258">
        <v>940</v>
      </c>
      <c r="C297" s="258">
        <v>113</v>
      </c>
      <c r="D297" s="258">
        <v>416</v>
      </c>
      <c r="E297" s="258">
        <v>287</v>
      </c>
      <c r="F297" s="258">
        <v>103</v>
      </c>
      <c r="G297" s="258">
        <v>14</v>
      </c>
      <c r="H297" s="258">
        <v>6</v>
      </c>
      <c r="I297" s="258">
        <v>0</v>
      </c>
      <c r="J297" s="258">
        <v>0</v>
      </c>
      <c r="K297" s="258">
        <v>1</v>
      </c>
    </row>
    <row r="298" spans="1:11" ht="12.75" customHeight="1">
      <c r="A298" s="207" t="s">
        <v>66</v>
      </c>
      <c r="B298" s="258">
        <v>760</v>
      </c>
      <c r="C298" s="258">
        <v>48</v>
      </c>
      <c r="D298" s="258">
        <v>205</v>
      </c>
      <c r="E298" s="258">
        <v>311</v>
      </c>
      <c r="F298" s="258">
        <v>142</v>
      </c>
      <c r="G298" s="258">
        <v>48</v>
      </c>
      <c r="H298" s="258">
        <v>5</v>
      </c>
      <c r="I298" s="258">
        <v>0</v>
      </c>
      <c r="J298" s="258">
        <v>0</v>
      </c>
      <c r="K298" s="258">
        <v>1</v>
      </c>
    </row>
    <row r="299" spans="1:11" ht="12.75" customHeight="1">
      <c r="A299" s="207" t="s">
        <v>67</v>
      </c>
      <c r="B299" s="258">
        <v>499</v>
      </c>
      <c r="C299" s="258">
        <v>24</v>
      </c>
      <c r="D299" s="258">
        <v>110</v>
      </c>
      <c r="E299" s="258">
        <v>153</v>
      </c>
      <c r="F299" s="258">
        <v>132</v>
      </c>
      <c r="G299" s="258">
        <v>70</v>
      </c>
      <c r="H299" s="258">
        <v>10</v>
      </c>
      <c r="I299" s="258">
        <v>0</v>
      </c>
      <c r="J299" s="258">
        <v>0</v>
      </c>
      <c r="K299" s="258">
        <v>0</v>
      </c>
    </row>
    <row r="300" spans="1:11" ht="12.75" customHeight="1">
      <c r="A300" s="207" t="s">
        <v>68</v>
      </c>
      <c r="B300" s="258">
        <v>289</v>
      </c>
      <c r="C300" s="258">
        <v>10</v>
      </c>
      <c r="D300" s="258">
        <v>49</v>
      </c>
      <c r="E300" s="258">
        <v>95</v>
      </c>
      <c r="F300" s="258">
        <v>74</v>
      </c>
      <c r="G300" s="258">
        <v>51</v>
      </c>
      <c r="H300" s="258">
        <v>10</v>
      </c>
      <c r="I300" s="258">
        <v>0</v>
      </c>
      <c r="J300" s="258">
        <v>0</v>
      </c>
      <c r="K300" s="258">
        <v>0</v>
      </c>
    </row>
    <row r="301" spans="1:11" ht="12.75" customHeight="1">
      <c r="A301" s="207" t="s">
        <v>69</v>
      </c>
      <c r="B301" s="258">
        <v>152</v>
      </c>
      <c r="C301" s="258">
        <v>6</v>
      </c>
      <c r="D301" s="258">
        <v>23</v>
      </c>
      <c r="E301" s="258">
        <v>44</v>
      </c>
      <c r="F301" s="258">
        <v>36</v>
      </c>
      <c r="G301" s="258">
        <v>30</v>
      </c>
      <c r="H301" s="258">
        <v>13</v>
      </c>
      <c r="I301" s="258">
        <v>0</v>
      </c>
      <c r="J301" s="258">
        <v>0</v>
      </c>
      <c r="K301" s="258">
        <v>0</v>
      </c>
    </row>
    <row r="302" spans="1:11" ht="12.75" customHeight="1">
      <c r="A302" s="207" t="s">
        <v>70</v>
      </c>
      <c r="B302" s="258">
        <v>96</v>
      </c>
      <c r="C302" s="258">
        <v>5</v>
      </c>
      <c r="D302" s="258">
        <v>16</v>
      </c>
      <c r="E302" s="258">
        <v>19</v>
      </c>
      <c r="F302" s="258">
        <v>28</v>
      </c>
      <c r="G302" s="258">
        <v>21</v>
      </c>
      <c r="H302" s="258">
        <v>5</v>
      </c>
      <c r="I302" s="258">
        <v>1</v>
      </c>
      <c r="J302" s="258">
        <v>1</v>
      </c>
      <c r="K302" s="258">
        <v>0</v>
      </c>
    </row>
    <row r="303" spans="1:11" s="31" customFormat="1" ht="12.75" customHeight="1">
      <c r="A303" s="207" t="s">
        <v>45</v>
      </c>
      <c r="B303" s="258">
        <v>756</v>
      </c>
      <c r="C303" s="258">
        <v>118</v>
      </c>
      <c r="D303" s="258">
        <v>293</v>
      </c>
      <c r="E303" s="258">
        <v>175</v>
      </c>
      <c r="F303" s="258">
        <v>107</v>
      </c>
      <c r="G303" s="258">
        <v>46</v>
      </c>
      <c r="H303" s="258">
        <v>14</v>
      </c>
      <c r="I303" s="258">
        <v>1</v>
      </c>
      <c r="J303" s="258">
        <v>1</v>
      </c>
      <c r="K303" s="258">
        <v>1</v>
      </c>
    </row>
    <row r="304" spans="1:11" s="31" customFormat="1" ht="5.0999999999999996" customHeight="1">
      <c r="A304" s="207"/>
      <c r="B304" s="258"/>
      <c r="C304" s="258"/>
      <c r="D304" s="258"/>
      <c r="E304" s="258"/>
      <c r="F304" s="258"/>
      <c r="G304" s="258"/>
      <c r="H304" s="258"/>
      <c r="I304" s="258"/>
      <c r="J304" s="258"/>
      <c r="K304" s="258"/>
    </row>
    <row r="305" spans="1:11" ht="12.75" customHeight="1">
      <c r="A305" s="206" t="s">
        <v>99</v>
      </c>
      <c r="B305" s="259">
        <v>1803</v>
      </c>
      <c r="C305" s="259">
        <v>340</v>
      </c>
      <c r="D305" s="259">
        <v>683</v>
      </c>
      <c r="E305" s="259">
        <v>449</v>
      </c>
      <c r="F305" s="259">
        <v>218</v>
      </c>
      <c r="G305" s="259">
        <v>89</v>
      </c>
      <c r="H305" s="259">
        <v>16</v>
      </c>
      <c r="I305" s="259">
        <v>3</v>
      </c>
      <c r="J305" s="259">
        <v>1</v>
      </c>
      <c r="K305" s="259">
        <v>4</v>
      </c>
    </row>
    <row r="306" spans="1:11" ht="5.0999999999999996" customHeight="1">
      <c r="A306" s="207"/>
      <c r="B306" s="258"/>
      <c r="C306" s="258"/>
      <c r="D306" s="258"/>
      <c r="E306" s="258"/>
      <c r="F306" s="258"/>
      <c r="G306" s="258"/>
      <c r="H306" s="258"/>
      <c r="I306" s="258"/>
      <c r="J306" s="258"/>
      <c r="K306" s="258"/>
    </row>
    <row r="307" spans="1:11" ht="12.75" customHeight="1">
      <c r="A307" s="207" t="s">
        <v>63</v>
      </c>
      <c r="B307" s="258">
        <v>29</v>
      </c>
      <c r="C307" s="258">
        <v>17</v>
      </c>
      <c r="D307" s="258">
        <v>8</v>
      </c>
      <c r="E307" s="258">
        <v>1</v>
      </c>
      <c r="F307" s="258">
        <v>2</v>
      </c>
      <c r="G307" s="258">
        <v>0</v>
      </c>
      <c r="H307" s="258">
        <v>0</v>
      </c>
      <c r="I307" s="258">
        <v>0</v>
      </c>
      <c r="J307" s="258">
        <v>0</v>
      </c>
      <c r="K307" s="258">
        <v>1</v>
      </c>
    </row>
    <row r="308" spans="1:11" ht="12.75" customHeight="1">
      <c r="A308" s="207" t="s">
        <v>64</v>
      </c>
      <c r="B308" s="258">
        <v>308</v>
      </c>
      <c r="C308" s="258">
        <v>107</v>
      </c>
      <c r="D308" s="258">
        <v>150</v>
      </c>
      <c r="E308" s="258">
        <v>32</v>
      </c>
      <c r="F308" s="258">
        <v>15</v>
      </c>
      <c r="G308" s="258">
        <v>2</v>
      </c>
      <c r="H308" s="258">
        <v>1</v>
      </c>
      <c r="I308" s="258">
        <v>0</v>
      </c>
      <c r="J308" s="258">
        <v>0</v>
      </c>
      <c r="K308" s="258">
        <v>1</v>
      </c>
    </row>
    <row r="309" spans="1:11" ht="12.75" customHeight="1">
      <c r="A309" s="207" t="s">
        <v>65</v>
      </c>
      <c r="B309" s="258">
        <v>480</v>
      </c>
      <c r="C309" s="258">
        <v>93</v>
      </c>
      <c r="D309" s="258">
        <v>218</v>
      </c>
      <c r="E309" s="258">
        <v>138</v>
      </c>
      <c r="F309" s="258">
        <v>25</v>
      </c>
      <c r="G309" s="258">
        <v>6</v>
      </c>
      <c r="H309" s="258">
        <v>0</v>
      </c>
      <c r="I309" s="258">
        <v>0</v>
      </c>
      <c r="J309" s="258">
        <v>0</v>
      </c>
      <c r="K309" s="258">
        <v>0</v>
      </c>
    </row>
    <row r="310" spans="1:11" ht="12.75" customHeight="1">
      <c r="A310" s="207" t="s">
        <v>66</v>
      </c>
      <c r="B310" s="258">
        <v>341</v>
      </c>
      <c r="C310" s="258">
        <v>29</v>
      </c>
      <c r="D310" s="258">
        <v>111</v>
      </c>
      <c r="E310" s="258">
        <v>118</v>
      </c>
      <c r="F310" s="258">
        <v>61</v>
      </c>
      <c r="G310" s="258">
        <v>19</v>
      </c>
      <c r="H310" s="258">
        <v>1</v>
      </c>
      <c r="I310" s="258">
        <v>0</v>
      </c>
      <c r="J310" s="258">
        <v>1</v>
      </c>
      <c r="K310" s="258">
        <v>1</v>
      </c>
    </row>
    <row r="311" spans="1:11" ht="12.75" customHeight="1">
      <c r="A311" s="207" t="s">
        <v>67</v>
      </c>
      <c r="B311" s="258">
        <v>178</v>
      </c>
      <c r="C311" s="258">
        <v>17</v>
      </c>
      <c r="D311" s="258">
        <v>48</v>
      </c>
      <c r="E311" s="258">
        <v>53</v>
      </c>
      <c r="F311" s="258">
        <v>38</v>
      </c>
      <c r="G311" s="258">
        <v>22</v>
      </c>
      <c r="H311" s="258">
        <v>0</v>
      </c>
      <c r="I311" s="258">
        <v>0</v>
      </c>
      <c r="J311" s="258">
        <v>0</v>
      </c>
      <c r="K311" s="258">
        <v>0</v>
      </c>
    </row>
    <row r="312" spans="1:11" ht="12.75" customHeight="1">
      <c r="A312" s="207" t="s">
        <v>68</v>
      </c>
      <c r="B312" s="258">
        <v>126</v>
      </c>
      <c r="C312" s="258">
        <v>9</v>
      </c>
      <c r="D312" s="258">
        <v>28</v>
      </c>
      <c r="E312" s="258">
        <v>39</v>
      </c>
      <c r="F312" s="258">
        <v>30</v>
      </c>
      <c r="G312" s="258">
        <v>15</v>
      </c>
      <c r="H312" s="258">
        <v>4</v>
      </c>
      <c r="I312" s="258">
        <v>1</v>
      </c>
      <c r="J312" s="258">
        <v>0</v>
      </c>
      <c r="K312" s="258">
        <v>0</v>
      </c>
    </row>
    <row r="313" spans="1:11" ht="12.75" customHeight="1">
      <c r="A313" s="207" t="s">
        <v>69</v>
      </c>
      <c r="B313" s="258">
        <v>59</v>
      </c>
      <c r="C313" s="258">
        <v>6</v>
      </c>
      <c r="D313" s="258">
        <v>11</v>
      </c>
      <c r="E313" s="258">
        <v>14</v>
      </c>
      <c r="F313" s="258">
        <v>17</v>
      </c>
      <c r="G313" s="258">
        <v>7</v>
      </c>
      <c r="H313" s="258">
        <v>4</v>
      </c>
      <c r="I313" s="258">
        <v>0</v>
      </c>
      <c r="J313" s="258">
        <v>0</v>
      </c>
      <c r="K313" s="258">
        <v>0</v>
      </c>
    </row>
    <row r="314" spans="1:11" ht="12.75" customHeight="1">
      <c r="A314" s="207" t="s">
        <v>70</v>
      </c>
      <c r="B314" s="258">
        <v>52</v>
      </c>
      <c r="C314" s="258">
        <v>6</v>
      </c>
      <c r="D314" s="258">
        <v>13</v>
      </c>
      <c r="E314" s="258">
        <v>14</v>
      </c>
      <c r="F314" s="258">
        <v>8</v>
      </c>
      <c r="G314" s="258">
        <v>7</v>
      </c>
      <c r="H314" s="258">
        <v>3</v>
      </c>
      <c r="I314" s="258">
        <v>1</v>
      </c>
      <c r="J314" s="258">
        <v>0</v>
      </c>
      <c r="K314" s="258">
        <v>0</v>
      </c>
    </row>
    <row r="315" spans="1:11" ht="12.75" customHeight="1">
      <c r="A315" s="207" t="s">
        <v>45</v>
      </c>
      <c r="B315" s="258">
        <v>230</v>
      </c>
      <c r="C315" s="258">
        <v>56</v>
      </c>
      <c r="D315" s="258">
        <v>96</v>
      </c>
      <c r="E315" s="258">
        <v>40</v>
      </c>
      <c r="F315" s="258">
        <v>22</v>
      </c>
      <c r="G315" s="258">
        <v>11</v>
      </c>
      <c r="H315" s="258">
        <v>3</v>
      </c>
      <c r="I315" s="258">
        <v>1</v>
      </c>
      <c r="J315" s="258">
        <v>0</v>
      </c>
      <c r="K315" s="258">
        <v>1</v>
      </c>
    </row>
    <row r="316" spans="1:11" ht="5.0999999999999996" customHeight="1">
      <c r="A316" s="207"/>
      <c r="B316" s="258"/>
      <c r="C316" s="258"/>
      <c r="D316" s="258"/>
      <c r="E316" s="258"/>
      <c r="F316" s="258"/>
      <c r="G316" s="258"/>
      <c r="H316" s="258"/>
      <c r="I316" s="258"/>
      <c r="J316" s="258"/>
      <c r="K316" s="258"/>
    </row>
    <row r="317" spans="1:11" ht="12.75" customHeight="1">
      <c r="A317" s="206" t="s">
        <v>100</v>
      </c>
      <c r="B317" s="259">
        <v>14445</v>
      </c>
      <c r="C317" s="259">
        <v>2043</v>
      </c>
      <c r="D317" s="259">
        <v>4660</v>
      </c>
      <c r="E317" s="259">
        <v>3939</v>
      </c>
      <c r="F317" s="259">
        <v>2501</v>
      </c>
      <c r="G317" s="259">
        <v>994</v>
      </c>
      <c r="H317" s="259">
        <v>209</v>
      </c>
      <c r="I317" s="259">
        <v>14</v>
      </c>
      <c r="J317" s="259">
        <v>12</v>
      </c>
      <c r="K317" s="259">
        <v>73</v>
      </c>
    </row>
    <row r="318" spans="1:11" ht="5.0999999999999996" customHeight="1">
      <c r="A318" s="207"/>
      <c r="B318" s="258"/>
      <c r="C318" s="258"/>
      <c r="D318" s="258"/>
      <c r="E318" s="258"/>
      <c r="F318" s="258"/>
      <c r="G318" s="258"/>
      <c r="H318" s="258"/>
      <c r="I318" s="258"/>
      <c r="J318" s="258"/>
      <c r="K318" s="258"/>
    </row>
    <row r="319" spans="1:11" ht="12.75" customHeight="1">
      <c r="A319" s="207" t="s">
        <v>314</v>
      </c>
      <c r="B319" s="258">
        <v>1</v>
      </c>
      <c r="C319" s="258">
        <v>0</v>
      </c>
      <c r="D319" s="258">
        <v>1</v>
      </c>
      <c r="E319" s="258">
        <v>0</v>
      </c>
      <c r="F319" s="258">
        <v>0</v>
      </c>
      <c r="G319" s="258">
        <v>0</v>
      </c>
      <c r="H319" s="258">
        <v>0</v>
      </c>
      <c r="I319" s="258">
        <v>0</v>
      </c>
      <c r="J319" s="258">
        <v>0</v>
      </c>
      <c r="K319" s="258">
        <v>0</v>
      </c>
    </row>
    <row r="320" spans="1:11" s="31" customFormat="1" ht="12.75" customHeight="1">
      <c r="A320" s="207" t="s">
        <v>63</v>
      </c>
      <c r="B320" s="258">
        <v>274</v>
      </c>
      <c r="C320" s="258">
        <v>178</v>
      </c>
      <c r="D320" s="258">
        <v>74</v>
      </c>
      <c r="E320" s="258">
        <v>17</v>
      </c>
      <c r="F320" s="258">
        <v>3</v>
      </c>
      <c r="G320" s="258">
        <v>2</v>
      </c>
      <c r="H320" s="258">
        <v>0</v>
      </c>
      <c r="I320" s="258">
        <v>0</v>
      </c>
      <c r="J320" s="258">
        <v>0</v>
      </c>
      <c r="K320" s="258">
        <v>0</v>
      </c>
    </row>
    <row r="321" spans="1:11" ht="12.75" customHeight="1">
      <c r="A321" s="207" t="s">
        <v>64</v>
      </c>
      <c r="B321" s="258">
        <v>2281</v>
      </c>
      <c r="C321" s="258">
        <v>788</v>
      </c>
      <c r="D321" s="258">
        <v>1035</v>
      </c>
      <c r="E321" s="258">
        <v>320</v>
      </c>
      <c r="F321" s="258">
        <v>97</v>
      </c>
      <c r="G321" s="258">
        <v>26</v>
      </c>
      <c r="H321" s="258">
        <v>11</v>
      </c>
      <c r="I321" s="258">
        <v>0</v>
      </c>
      <c r="J321" s="258">
        <v>0</v>
      </c>
      <c r="K321" s="258">
        <v>4</v>
      </c>
    </row>
    <row r="322" spans="1:11" ht="12.75" customHeight="1">
      <c r="A322" s="207" t="s">
        <v>65</v>
      </c>
      <c r="B322" s="258">
        <v>3557</v>
      </c>
      <c r="C322" s="258">
        <v>459</v>
      </c>
      <c r="D322" s="258">
        <v>1550</v>
      </c>
      <c r="E322" s="258">
        <v>1116</v>
      </c>
      <c r="F322" s="258">
        <v>323</v>
      </c>
      <c r="G322" s="258">
        <v>84</v>
      </c>
      <c r="H322" s="258">
        <v>11</v>
      </c>
      <c r="I322" s="258">
        <v>1</v>
      </c>
      <c r="J322" s="258">
        <v>1</v>
      </c>
      <c r="K322" s="258">
        <v>12</v>
      </c>
    </row>
    <row r="323" spans="1:11" ht="12.75" customHeight="1">
      <c r="A323" s="207" t="s">
        <v>66</v>
      </c>
      <c r="B323" s="258">
        <v>3207</v>
      </c>
      <c r="C323" s="258">
        <v>227</v>
      </c>
      <c r="D323" s="258">
        <v>844</v>
      </c>
      <c r="E323" s="258">
        <v>1137</v>
      </c>
      <c r="F323" s="258">
        <v>806</v>
      </c>
      <c r="G323" s="258">
        <v>163</v>
      </c>
      <c r="H323" s="258">
        <v>16</v>
      </c>
      <c r="I323" s="258">
        <v>2</v>
      </c>
      <c r="J323" s="258">
        <v>2</v>
      </c>
      <c r="K323" s="258">
        <v>10</v>
      </c>
    </row>
    <row r="324" spans="1:11" ht="12.75" customHeight="1">
      <c r="A324" s="207" t="s">
        <v>67</v>
      </c>
      <c r="B324" s="258">
        <v>1857</v>
      </c>
      <c r="C324" s="258">
        <v>77</v>
      </c>
      <c r="D324" s="258">
        <v>341</v>
      </c>
      <c r="E324" s="258">
        <v>534</v>
      </c>
      <c r="F324" s="258">
        <v>589</v>
      </c>
      <c r="G324" s="258">
        <v>271</v>
      </c>
      <c r="H324" s="258">
        <v>40</v>
      </c>
      <c r="I324" s="258">
        <v>0</v>
      </c>
      <c r="J324" s="258">
        <v>5</v>
      </c>
      <c r="K324" s="258">
        <v>0</v>
      </c>
    </row>
    <row r="325" spans="1:11" ht="12.75" customHeight="1">
      <c r="A325" s="207" t="s">
        <v>68</v>
      </c>
      <c r="B325" s="258">
        <v>1081</v>
      </c>
      <c r="C325" s="258">
        <v>36</v>
      </c>
      <c r="D325" s="258">
        <v>206</v>
      </c>
      <c r="E325" s="258">
        <v>295</v>
      </c>
      <c r="F325" s="258">
        <v>279</v>
      </c>
      <c r="G325" s="258">
        <v>201</v>
      </c>
      <c r="H325" s="258">
        <v>60</v>
      </c>
      <c r="I325" s="258">
        <v>2</v>
      </c>
      <c r="J325" s="258">
        <v>0</v>
      </c>
      <c r="K325" s="258">
        <v>2</v>
      </c>
    </row>
    <row r="326" spans="1:11" ht="12.75" customHeight="1">
      <c r="A326" s="207" t="s">
        <v>69</v>
      </c>
      <c r="B326" s="258">
        <v>502</v>
      </c>
      <c r="C326" s="258">
        <v>28</v>
      </c>
      <c r="D326" s="258">
        <v>86</v>
      </c>
      <c r="E326" s="258">
        <v>131</v>
      </c>
      <c r="F326" s="258">
        <v>129</v>
      </c>
      <c r="G326" s="258">
        <v>86</v>
      </c>
      <c r="H326" s="258">
        <v>34</v>
      </c>
      <c r="I326" s="258">
        <v>6</v>
      </c>
      <c r="J326" s="258">
        <v>1</v>
      </c>
      <c r="K326" s="258">
        <v>1</v>
      </c>
    </row>
    <row r="327" spans="1:11" ht="12.75" customHeight="1">
      <c r="A327" s="207" t="s">
        <v>70</v>
      </c>
      <c r="B327" s="258">
        <v>402</v>
      </c>
      <c r="C327" s="258">
        <v>27</v>
      </c>
      <c r="D327" s="258">
        <v>70</v>
      </c>
      <c r="E327" s="258">
        <v>91</v>
      </c>
      <c r="F327" s="258">
        <v>97</v>
      </c>
      <c r="G327" s="258">
        <v>87</v>
      </c>
      <c r="H327" s="258">
        <v>24</v>
      </c>
      <c r="I327" s="258">
        <v>3</v>
      </c>
      <c r="J327" s="258">
        <v>3</v>
      </c>
      <c r="K327" s="258">
        <v>0</v>
      </c>
    </row>
    <row r="328" spans="1:11" ht="12.75" customHeight="1">
      <c r="A328" s="207" t="s">
        <v>45</v>
      </c>
      <c r="B328" s="258">
        <v>1283</v>
      </c>
      <c r="C328" s="258">
        <v>223</v>
      </c>
      <c r="D328" s="258">
        <v>453</v>
      </c>
      <c r="E328" s="258">
        <v>298</v>
      </c>
      <c r="F328" s="258">
        <v>178</v>
      </c>
      <c r="G328" s="258">
        <v>74</v>
      </c>
      <c r="H328" s="258">
        <v>13</v>
      </c>
      <c r="I328" s="258">
        <v>0</v>
      </c>
      <c r="J328" s="258">
        <v>0</v>
      </c>
      <c r="K328" s="258">
        <v>44</v>
      </c>
    </row>
    <row r="329" spans="1:11" ht="5.0999999999999996" customHeight="1">
      <c r="A329" s="207"/>
      <c r="B329" s="258"/>
      <c r="C329" s="258"/>
      <c r="D329" s="258"/>
      <c r="E329" s="258"/>
      <c r="F329" s="258"/>
      <c r="G329" s="258"/>
      <c r="H329" s="258"/>
      <c r="I329" s="258"/>
      <c r="J329" s="258"/>
      <c r="K329" s="258"/>
    </row>
    <row r="330" spans="1:11" ht="12.75" customHeight="1">
      <c r="A330" s="206" t="s">
        <v>101</v>
      </c>
      <c r="B330" s="259">
        <v>908</v>
      </c>
      <c r="C330" s="259">
        <v>128</v>
      </c>
      <c r="D330" s="259">
        <v>304</v>
      </c>
      <c r="E330" s="259">
        <v>222</v>
      </c>
      <c r="F330" s="259">
        <v>122</v>
      </c>
      <c r="G330" s="259">
        <v>56</v>
      </c>
      <c r="H330" s="259">
        <v>10</v>
      </c>
      <c r="I330" s="259">
        <v>2</v>
      </c>
      <c r="J330" s="259">
        <v>4</v>
      </c>
      <c r="K330" s="259">
        <v>60</v>
      </c>
    </row>
    <row r="331" spans="1:11" ht="5.0999999999999996" customHeight="1">
      <c r="A331" s="207"/>
      <c r="B331" s="258"/>
      <c r="C331" s="258"/>
      <c r="D331" s="258"/>
      <c r="E331" s="258"/>
      <c r="F331" s="258"/>
      <c r="G331" s="258"/>
      <c r="H331" s="258"/>
      <c r="I331" s="258"/>
      <c r="J331" s="258"/>
      <c r="K331" s="258"/>
    </row>
    <row r="332" spans="1:11" ht="12.75" customHeight="1">
      <c r="A332" s="207" t="s">
        <v>63</v>
      </c>
      <c r="B332" s="258">
        <v>8</v>
      </c>
      <c r="C332" s="258">
        <v>4</v>
      </c>
      <c r="D332" s="258">
        <v>2</v>
      </c>
      <c r="E332" s="258">
        <v>1</v>
      </c>
      <c r="F332" s="258">
        <v>0</v>
      </c>
      <c r="G332" s="258">
        <v>1</v>
      </c>
      <c r="H332" s="258">
        <v>0</v>
      </c>
      <c r="I332" s="258">
        <v>0</v>
      </c>
      <c r="J332" s="258">
        <v>0</v>
      </c>
      <c r="K332" s="258">
        <v>0</v>
      </c>
    </row>
    <row r="333" spans="1:11" ht="12.75" customHeight="1">
      <c r="A333" s="207" t="s">
        <v>64</v>
      </c>
      <c r="B333" s="258">
        <v>122</v>
      </c>
      <c r="C333" s="258">
        <v>39</v>
      </c>
      <c r="D333" s="258">
        <v>54</v>
      </c>
      <c r="E333" s="258">
        <v>19</v>
      </c>
      <c r="F333" s="258">
        <v>3</v>
      </c>
      <c r="G333" s="258">
        <v>3</v>
      </c>
      <c r="H333" s="258">
        <v>0</v>
      </c>
      <c r="I333" s="258">
        <v>1</v>
      </c>
      <c r="J333" s="258">
        <v>0</v>
      </c>
      <c r="K333" s="258">
        <v>3</v>
      </c>
    </row>
    <row r="334" spans="1:11" ht="12.75" customHeight="1">
      <c r="A334" s="207" t="s">
        <v>65</v>
      </c>
      <c r="B334" s="258">
        <v>228</v>
      </c>
      <c r="C334" s="258">
        <v>46</v>
      </c>
      <c r="D334" s="258">
        <v>91</v>
      </c>
      <c r="E334" s="258">
        <v>56</v>
      </c>
      <c r="F334" s="258">
        <v>21</v>
      </c>
      <c r="G334" s="258">
        <v>2</v>
      </c>
      <c r="H334" s="258">
        <v>2</v>
      </c>
      <c r="I334" s="258">
        <v>0</v>
      </c>
      <c r="J334" s="258">
        <v>0</v>
      </c>
      <c r="K334" s="258">
        <v>10</v>
      </c>
    </row>
    <row r="335" spans="1:11" s="31" customFormat="1" ht="12.75" customHeight="1">
      <c r="A335" s="207" t="s">
        <v>66</v>
      </c>
      <c r="B335" s="258">
        <v>169</v>
      </c>
      <c r="C335" s="258">
        <v>14</v>
      </c>
      <c r="D335" s="258">
        <v>57</v>
      </c>
      <c r="E335" s="258">
        <v>53</v>
      </c>
      <c r="F335" s="258">
        <v>34</v>
      </c>
      <c r="G335" s="258">
        <v>8</v>
      </c>
      <c r="H335" s="258">
        <v>2</v>
      </c>
      <c r="I335" s="258">
        <v>0</v>
      </c>
      <c r="J335" s="258">
        <v>1</v>
      </c>
      <c r="K335" s="258">
        <v>0</v>
      </c>
    </row>
    <row r="336" spans="1:11" ht="12.75" customHeight="1">
      <c r="A336" s="207" t="s">
        <v>67</v>
      </c>
      <c r="B336" s="258">
        <v>107</v>
      </c>
      <c r="C336" s="258">
        <v>7</v>
      </c>
      <c r="D336" s="258">
        <v>26</v>
      </c>
      <c r="E336" s="258">
        <v>38</v>
      </c>
      <c r="F336" s="258">
        <v>22</v>
      </c>
      <c r="G336" s="258">
        <v>10</v>
      </c>
      <c r="H336" s="258">
        <v>1</v>
      </c>
      <c r="I336" s="258">
        <v>0</v>
      </c>
      <c r="J336" s="258">
        <v>1</v>
      </c>
      <c r="K336" s="258">
        <v>2</v>
      </c>
    </row>
    <row r="337" spans="1:11" ht="12.75" customHeight="1">
      <c r="A337" s="207" t="s">
        <v>68</v>
      </c>
      <c r="B337" s="258">
        <v>62</v>
      </c>
      <c r="C337" s="258">
        <v>1</v>
      </c>
      <c r="D337" s="258">
        <v>14</v>
      </c>
      <c r="E337" s="258">
        <v>17</v>
      </c>
      <c r="F337" s="258">
        <v>16</v>
      </c>
      <c r="G337" s="258">
        <v>9</v>
      </c>
      <c r="H337" s="258">
        <v>3</v>
      </c>
      <c r="I337" s="258">
        <v>1</v>
      </c>
      <c r="J337" s="258">
        <v>0</v>
      </c>
      <c r="K337" s="258">
        <v>1</v>
      </c>
    </row>
    <row r="338" spans="1:11" ht="12.75" customHeight="1">
      <c r="A338" s="207" t="s">
        <v>69</v>
      </c>
      <c r="B338" s="258">
        <v>25</v>
      </c>
      <c r="C338" s="258">
        <v>0</v>
      </c>
      <c r="D338" s="258">
        <v>6</v>
      </c>
      <c r="E338" s="258">
        <v>5</v>
      </c>
      <c r="F338" s="258">
        <v>4</v>
      </c>
      <c r="G338" s="258">
        <v>10</v>
      </c>
      <c r="H338" s="258">
        <v>0</v>
      </c>
      <c r="I338" s="258">
        <v>0</v>
      </c>
      <c r="J338" s="258">
        <v>0</v>
      </c>
      <c r="K338" s="258">
        <v>0</v>
      </c>
    </row>
    <row r="339" spans="1:11" ht="12.75" customHeight="1">
      <c r="A339" s="207" t="s">
        <v>70</v>
      </c>
      <c r="B339" s="258">
        <v>42</v>
      </c>
      <c r="C339" s="258">
        <v>2</v>
      </c>
      <c r="D339" s="258">
        <v>11</v>
      </c>
      <c r="E339" s="258">
        <v>7</v>
      </c>
      <c r="F339" s="258">
        <v>14</v>
      </c>
      <c r="G339" s="258">
        <v>6</v>
      </c>
      <c r="H339" s="258">
        <v>1</v>
      </c>
      <c r="I339" s="258">
        <v>0</v>
      </c>
      <c r="J339" s="258">
        <v>1</v>
      </c>
      <c r="K339" s="258">
        <v>0</v>
      </c>
    </row>
    <row r="340" spans="1:11" ht="12.75" customHeight="1">
      <c r="A340" s="207" t="s">
        <v>45</v>
      </c>
      <c r="B340" s="258">
        <v>145</v>
      </c>
      <c r="C340" s="258">
        <v>15</v>
      </c>
      <c r="D340" s="258">
        <v>43</v>
      </c>
      <c r="E340" s="258">
        <v>26</v>
      </c>
      <c r="F340" s="258">
        <v>8</v>
      </c>
      <c r="G340" s="258">
        <v>7</v>
      </c>
      <c r="H340" s="258">
        <v>1</v>
      </c>
      <c r="I340" s="258">
        <v>0</v>
      </c>
      <c r="J340" s="258">
        <v>1</v>
      </c>
      <c r="K340" s="258">
        <v>44</v>
      </c>
    </row>
    <row r="341" spans="1:11" ht="5.0999999999999996" customHeight="1">
      <c r="A341" s="207"/>
      <c r="B341" s="258"/>
      <c r="C341" s="258"/>
      <c r="D341" s="258"/>
      <c r="E341" s="258"/>
      <c r="F341" s="258"/>
      <c r="G341" s="258"/>
      <c r="H341" s="258"/>
      <c r="I341" s="258"/>
      <c r="J341" s="258"/>
      <c r="K341" s="258"/>
    </row>
    <row r="342" spans="1:11" ht="12.75" customHeight="1">
      <c r="A342" s="206" t="s">
        <v>102</v>
      </c>
      <c r="B342" s="259">
        <v>1722</v>
      </c>
      <c r="C342" s="259">
        <v>315</v>
      </c>
      <c r="D342" s="259">
        <v>629</v>
      </c>
      <c r="E342" s="259">
        <v>439</v>
      </c>
      <c r="F342" s="259">
        <v>217</v>
      </c>
      <c r="G342" s="259">
        <v>94</v>
      </c>
      <c r="H342" s="259">
        <v>17</v>
      </c>
      <c r="I342" s="259">
        <v>1</v>
      </c>
      <c r="J342" s="259">
        <v>0</v>
      </c>
      <c r="K342" s="259">
        <v>10</v>
      </c>
    </row>
    <row r="343" spans="1:11" ht="5.0999999999999996" customHeight="1">
      <c r="A343" s="207"/>
      <c r="B343" s="258"/>
      <c r="C343" s="258"/>
      <c r="D343" s="258"/>
      <c r="E343" s="258"/>
      <c r="F343" s="258"/>
      <c r="G343" s="258"/>
      <c r="H343" s="258"/>
      <c r="I343" s="258"/>
      <c r="J343" s="258"/>
      <c r="K343" s="258"/>
    </row>
    <row r="344" spans="1:11" ht="12.75" customHeight="1">
      <c r="A344" s="207" t="s">
        <v>63</v>
      </c>
      <c r="B344" s="258">
        <v>42</v>
      </c>
      <c r="C344" s="258">
        <v>23</v>
      </c>
      <c r="D344" s="258">
        <v>11</v>
      </c>
      <c r="E344" s="258">
        <v>4</v>
      </c>
      <c r="F344" s="258">
        <v>1</v>
      </c>
      <c r="G344" s="258">
        <v>0</v>
      </c>
      <c r="H344" s="258">
        <v>0</v>
      </c>
      <c r="I344" s="258">
        <v>0</v>
      </c>
      <c r="J344" s="258">
        <v>0</v>
      </c>
      <c r="K344" s="258">
        <v>3</v>
      </c>
    </row>
    <row r="345" spans="1:11" ht="12.75" customHeight="1">
      <c r="A345" s="207" t="s">
        <v>64</v>
      </c>
      <c r="B345" s="258">
        <v>311</v>
      </c>
      <c r="C345" s="258">
        <v>121</v>
      </c>
      <c r="D345" s="258">
        <v>146</v>
      </c>
      <c r="E345" s="258">
        <v>30</v>
      </c>
      <c r="F345" s="258">
        <v>8</v>
      </c>
      <c r="G345" s="258">
        <v>4</v>
      </c>
      <c r="H345" s="258">
        <v>1</v>
      </c>
      <c r="I345" s="258">
        <v>0</v>
      </c>
      <c r="J345" s="258">
        <v>0</v>
      </c>
      <c r="K345" s="258">
        <v>1</v>
      </c>
    </row>
    <row r="346" spans="1:11" ht="12.75" customHeight="1">
      <c r="A346" s="207" t="s">
        <v>65</v>
      </c>
      <c r="B346" s="258">
        <v>399</v>
      </c>
      <c r="C346" s="258">
        <v>59</v>
      </c>
      <c r="D346" s="258">
        <v>190</v>
      </c>
      <c r="E346" s="258">
        <v>105</v>
      </c>
      <c r="F346" s="258">
        <v>31</v>
      </c>
      <c r="G346" s="258">
        <v>10</v>
      </c>
      <c r="H346" s="258">
        <v>1</v>
      </c>
      <c r="I346" s="258">
        <v>0</v>
      </c>
      <c r="J346" s="258">
        <v>0</v>
      </c>
      <c r="K346" s="258">
        <v>3</v>
      </c>
    </row>
    <row r="347" spans="1:11" ht="12.75" customHeight="1">
      <c r="A347" s="207" t="s">
        <v>66</v>
      </c>
      <c r="B347" s="258">
        <v>326</v>
      </c>
      <c r="C347" s="258">
        <v>37</v>
      </c>
      <c r="D347" s="258">
        <v>112</v>
      </c>
      <c r="E347" s="258">
        <v>116</v>
      </c>
      <c r="F347" s="258">
        <v>44</v>
      </c>
      <c r="G347" s="258">
        <v>15</v>
      </c>
      <c r="H347" s="258">
        <v>2</v>
      </c>
      <c r="I347" s="258">
        <v>0</v>
      </c>
      <c r="J347" s="258">
        <v>0</v>
      </c>
      <c r="K347" s="258">
        <v>0</v>
      </c>
    </row>
    <row r="348" spans="1:11" ht="12.75" customHeight="1">
      <c r="A348" s="207" t="s">
        <v>67</v>
      </c>
      <c r="B348" s="258">
        <v>236</v>
      </c>
      <c r="C348" s="258">
        <v>22</v>
      </c>
      <c r="D348" s="258">
        <v>59</v>
      </c>
      <c r="E348" s="258">
        <v>81</v>
      </c>
      <c r="F348" s="258">
        <v>50</v>
      </c>
      <c r="G348" s="258">
        <v>21</v>
      </c>
      <c r="H348" s="258">
        <v>3</v>
      </c>
      <c r="I348" s="258">
        <v>0</v>
      </c>
      <c r="J348" s="258">
        <v>0</v>
      </c>
      <c r="K348" s="258">
        <v>0</v>
      </c>
    </row>
    <row r="349" spans="1:11" ht="12.75" customHeight="1">
      <c r="A349" s="207" t="s">
        <v>68</v>
      </c>
      <c r="B349" s="258">
        <v>95</v>
      </c>
      <c r="C349" s="258">
        <v>6</v>
      </c>
      <c r="D349" s="258">
        <v>16</v>
      </c>
      <c r="E349" s="258">
        <v>23</v>
      </c>
      <c r="F349" s="258">
        <v>28</v>
      </c>
      <c r="G349" s="258">
        <v>15</v>
      </c>
      <c r="H349" s="258">
        <v>6</v>
      </c>
      <c r="I349" s="258">
        <v>1</v>
      </c>
      <c r="J349" s="258">
        <v>0</v>
      </c>
      <c r="K349" s="258">
        <v>0</v>
      </c>
    </row>
    <row r="350" spans="1:11" s="31" customFormat="1" ht="12.75" customHeight="1">
      <c r="A350" s="207" t="s">
        <v>69</v>
      </c>
      <c r="B350" s="258">
        <v>64</v>
      </c>
      <c r="C350" s="258">
        <v>5</v>
      </c>
      <c r="D350" s="258">
        <v>11</v>
      </c>
      <c r="E350" s="258">
        <v>21</v>
      </c>
      <c r="F350" s="258">
        <v>14</v>
      </c>
      <c r="G350" s="258">
        <v>11</v>
      </c>
      <c r="H350" s="258">
        <v>2</v>
      </c>
      <c r="I350" s="258">
        <v>0</v>
      </c>
      <c r="J350" s="258">
        <v>0</v>
      </c>
      <c r="K350" s="258">
        <v>0</v>
      </c>
    </row>
    <row r="351" spans="1:11" ht="12.75" customHeight="1">
      <c r="A351" s="207" t="s">
        <v>70</v>
      </c>
      <c r="B351" s="258">
        <v>52</v>
      </c>
      <c r="C351" s="258">
        <v>2</v>
      </c>
      <c r="D351" s="258">
        <v>14</v>
      </c>
      <c r="E351" s="258">
        <v>17</v>
      </c>
      <c r="F351" s="258">
        <v>11</v>
      </c>
      <c r="G351" s="258">
        <v>8</v>
      </c>
      <c r="H351" s="258">
        <v>0</v>
      </c>
      <c r="I351" s="258">
        <v>0</v>
      </c>
      <c r="J351" s="258">
        <v>0</v>
      </c>
      <c r="K351" s="258">
        <v>0</v>
      </c>
    </row>
    <row r="352" spans="1:11" ht="12.75" customHeight="1">
      <c r="A352" s="207" t="s">
        <v>45</v>
      </c>
      <c r="B352" s="258">
        <v>197</v>
      </c>
      <c r="C352" s="258">
        <v>40</v>
      </c>
      <c r="D352" s="258">
        <v>70</v>
      </c>
      <c r="E352" s="258">
        <v>42</v>
      </c>
      <c r="F352" s="258">
        <v>30</v>
      </c>
      <c r="G352" s="258">
        <v>10</v>
      </c>
      <c r="H352" s="258">
        <v>2</v>
      </c>
      <c r="I352" s="258">
        <v>0</v>
      </c>
      <c r="J352" s="258">
        <v>0</v>
      </c>
      <c r="K352" s="258">
        <v>3</v>
      </c>
    </row>
    <row r="353" spans="1:11" ht="5.0999999999999996" customHeight="1">
      <c r="A353" s="207"/>
      <c r="B353" s="258"/>
      <c r="C353" s="258"/>
      <c r="D353" s="258"/>
      <c r="E353" s="258"/>
      <c r="F353" s="258"/>
      <c r="G353" s="258"/>
      <c r="H353" s="258"/>
      <c r="I353" s="258"/>
      <c r="J353" s="258"/>
      <c r="K353" s="258"/>
    </row>
    <row r="354" spans="1:11" ht="12.75" customHeight="1">
      <c r="A354" s="206" t="s">
        <v>103</v>
      </c>
      <c r="B354" s="259">
        <v>2156</v>
      </c>
      <c r="C354" s="259">
        <v>390</v>
      </c>
      <c r="D354" s="259">
        <v>737</v>
      </c>
      <c r="E354" s="259">
        <v>580</v>
      </c>
      <c r="F354" s="259">
        <v>284</v>
      </c>
      <c r="G354" s="259">
        <v>123</v>
      </c>
      <c r="H354" s="259">
        <v>25</v>
      </c>
      <c r="I354" s="259">
        <v>1</v>
      </c>
      <c r="J354" s="259">
        <v>1</v>
      </c>
      <c r="K354" s="259">
        <v>15</v>
      </c>
    </row>
    <row r="355" spans="1:11" ht="5.0999999999999996" customHeight="1">
      <c r="A355" s="207"/>
      <c r="B355" s="258"/>
      <c r="C355" s="258"/>
      <c r="D355" s="258"/>
      <c r="E355" s="258"/>
      <c r="F355" s="258"/>
      <c r="G355" s="258"/>
      <c r="H355" s="258"/>
      <c r="I355" s="258"/>
      <c r="J355" s="258"/>
      <c r="K355" s="258"/>
    </row>
    <row r="356" spans="1:11" ht="12.75" customHeight="1">
      <c r="A356" s="207" t="s">
        <v>314</v>
      </c>
      <c r="B356" s="258">
        <v>1</v>
      </c>
      <c r="C356" s="258">
        <v>1</v>
      </c>
      <c r="D356" s="258">
        <v>0</v>
      </c>
      <c r="E356" s="258">
        <v>0</v>
      </c>
      <c r="F356" s="258">
        <v>0</v>
      </c>
      <c r="G356" s="258">
        <v>0</v>
      </c>
      <c r="H356" s="258">
        <v>0</v>
      </c>
      <c r="I356" s="258">
        <v>0</v>
      </c>
      <c r="J356" s="258">
        <v>0</v>
      </c>
      <c r="K356" s="258">
        <v>0</v>
      </c>
    </row>
    <row r="357" spans="1:11" ht="12.75" customHeight="1">
      <c r="A357" s="207" t="s">
        <v>63</v>
      </c>
      <c r="B357" s="258">
        <v>45</v>
      </c>
      <c r="C357" s="258">
        <v>23</v>
      </c>
      <c r="D357" s="258">
        <v>11</v>
      </c>
      <c r="E357" s="258">
        <v>9</v>
      </c>
      <c r="F357" s="258">
        <v>1</v>
      </c>
      <c r="G357" s="258">
        <v>0</v>
      </c>
      <c r="H357" s="258">
        <v>0</v>
      </c>
      <c r="I357" s="258">
        <v>0</v>
      </c>
      <c r="J357" s="258">
        <v>0</v>
      </c>
      <c r="K357" s="258">
        <v>1</v>
      </c>
    </row>
    <row r="358" spans="1:11" ht="12.75" customHeight="1">
      <c r="A358" s="207" t="s">
        <v>64</v>
      </c>
      <c r="B358" s="258">
        <v>369</v>
      </c>
      <c r="C358" s="258">
        <v>152</v>
      </c>
      <c r="D358" s="258">
        <v>162</v>
      </c>
      <c r="E358" s="258">
        <v>38</v>
      </c>
      <c r="F358" s="258">
        <v>8</v>
      </c>
      <c r="G358" s="258">
        <v>5</v>
      </c>
      <c r="H358" s="258">
        <v>0</v>
      </c>
      <c r="I358" s="258">
        <v>0</v>
      </c>
      <c r="J358" s="258">
        <v>0</v>
      </c>
      <c r="K358" s="258">
        <v>4</v>
      </c>
    </row>
    <row r="359" spans="1:11" ht="12.75" customHeight="1">
      <c r="A359" s="207" t="s">
        <v>65</v>
      </c>
      <c r="B359" s="258">
        <v>570</v>
      </c>
      <c r="C359" s="258">
        <v>105</v>
      </c>
      <c r="D359" s="258">
        <v>236</v>
      </c>
      <c r="E359" s="258">
        <v>172</v>
      </c>
      <c r="F359" s="258">
        <v>40</v>
      </c>
      <c r="G359" s="258">
        <v>11</v>
      </c>
      <c r="H359" s="258">
        <v>2</v>
      </c>
      <c r="I359" s="258">
        <v>0</v>
      </c>
      <c r="J359" s="258">
        <v>0</v>
      </c>
      <c r="K359" s="258">
        <v>4</v>
      </c>
    </row>
    <row r="360" spans="1:11" ht="12.75" customHeight="1">
      <c r="A360" s="207" t="s">
        <v>66</v>
      </c>
      <c r="B360" s="258">
        <v>449</v>
      </c>
      <c r="C360" s="258">
        <v>42</v>
      </c>
      <c r="D360" s="258">
        <v>141</v>
      </c>
      <c r="E360" s="258">
        <v>168</v>
      </c>
      <c r="F360" s="258">
        <v>75</v>
      </c>
      <c r="G360" s="258">
        <v>20</v>
      </c>
      <c r="H360" s="258">
        <v>2</v>
      </c>
      <c r="I360" s="258">
        <v>0</v>
      </c>
      <c r="J360" s="258">
        <v>0</v>
      </c>
      <c r="K360" s="258">
        <v>1</v>
      </c>
    </row>
    <row r="361" spans="1:11" ht="12.75" customHeight="1">
      <c r="A361" s="207" t="s">
        <v>67</v>
      </c>
      <c r="B361" s="258">
        <v>266</v>
      </c>
      <c r="C361" s="258">
        <v>19</v>
      </c>
      <c r="D361" s="258">
        <v>63</v>
      </c>
      <c r="E361" s="258">
        <v>67</v>
      </c>
      <c r="F361" s="258">
        <v>77</v>
      </c>
      <c r="G361" s="258">
        <v>29</v>
      </c>
      <c r="H361" s="258">
        <v>9</v>
      </c>
      <c r="I361" s="258">
        <v>0</v>
      </c>
      <c r="J361" s="258">
        <v>0</v>
      </c>
      <c r="K361" s="258">
        <v>2</v>
      </c>
    </row>
    <row r="362" spans="1:11" ht="12.75" customHeight="1">
      <c r="A362" s="207" t="s">
        <v>68</v>
      </c>
      <c r="B362" s="258">
        <v>157</v>
      </c>
      <c r="C362" s="258">
        <v>2</v>
      </c>
      <c r="D362" s="258">
        <v>40</v>
      </c>
      <c r="E362" s="258">
        <v>48</v>
      </c>
      <c r="F362" s="258">
        <v>37</v>
      </c>
      <c r="G362" s="258">
        <v>26</v>
      </c>
      <c r="H362" s="258">
        <v>4</v>
      </c>
      <c r="I362" s="258">
        <v>0</v>
      </c>
      <c r="J362" s="258">
        <v>0</v>
      </c>
      <c r="K362" s="258">
        <v>0</v>
      </c>
    </row>
    <row r="363" spans="1:11" ht="12.75" customHeight="1">
      <c r="A363" s="207" t="s">
        <v>69</v>
      </c>
      <c r="B363" s="258">
        <v>71</v>
      </c>
      <c r="C363" s="258">
        <v>4</v>
      </c>
      <c r="D363" s="258">
        <v>14</v>
      </c>
      <c r="E363" s="258">
        <v>20</v>
      </c>
      <c r="F363" s="258">
        <v>16</v>
      </c>
      <c r="G363" s="258">
        <v>10</v>
      </c>
      <c r="H363" s="258">
        <v>6</v>
      </c>
      <c r="I363" s="258">
        <v>0</v>
      </c>
      <c r="J363" s="258">
        <v>0</v>
      </c>
      <c r="K363" s="258">
        <v>1</v>
      </c>
    </row>
    <row r="364" spans="1:11" ht="12.75" customHeight="1">
      <c r="A364" s="207" t="s">
        <v>70</v>
      </c>
      <c r="B364" s="258">
        <v>76</v>
      </c>
      <c r="C364" s="258">
        <v>5</v>
      </c>
      <c r="D364" s="258">
        <v>12</v>
      </c>
      <c r="E364" s="258">
        <v>24</v>
      </c>
      <c r="F364" s="258">
        <v>18</v>
      </c>
      <c r="G364" s="258">
        <v>14</v>
      </c>
      <c r="H364" s="258">
        <v>2</v>
      </c>
      <c r="I364" s="258">
        <v>0</v>
      </c>
      <c r="J364" s="258">
        <v>1</v>
      </c>
      <c r="K364" s="258">
        <v>0</v>
      </c>
    </row>
    <row r="365" spans="1:11" ht="12.75" customHeight="1">
      <c r="A365" s="207" t="s">
        <v>45</v>
      </c>
      <c r="B365" s="258">
        <v>152</v>
      </c>
      <c r="C365" s="258">
        <v>37</v>
      </c>
      <c r="D365" s="258">
        <v>58</v>
      </c>
      <c r="E365" s="258">
        <v>34</v>
      </c>
      <c r="F365" s="258">
        <v>12</v>
      </c>
      <c r="G365" s="258">
        <v>8</v>
      </c>
      <c r="H365" s="258">
        <v>0</v>
      </c>
      <c r="I365" s="258">
        <v>1</v>
      </c>
      <c r="J365" s="258">
        <v>0</v>
      </c>
      <c r="K365" s="258">
        <v>2</v>
      </c>
    </row>
    <row r="366" spans="1:11" ht="5.0999999999999996" customHeight="1">
      <c r="A366" s="207"/>
      <c r="B366" s="258"/>
      <c r="C366" s="258"/>
      <c r="D366" s="258"/>
      <c r="E366" s="258"/>
      <c r="F366" s="258"/>
      <c r="G366" s="258"/>
      <c r="H366" s="258"/>
      <c r="I366" s="258"/>
      <c r="J366" s="258"/>
      <c r="K366" s="258"/>
    </row>
    <row r="367" spans="1:11" s="31" customFormat="1" ht="12.75" customHeight="1">
      <c r="A367" s="206" t="s">
        <v>104</v>
      </c>
      <c r="B367" s="259">
        <v>1032</v>
      </c>
      <c r="C367" s="259">
        <v>153</v>
      </c>
      <c r="D367" s="259">
        <v>358</v>
      </c>
      <c r="E367" s="259">
        <v>292</v>
      </c>
      <c r="F367" s="259">
        <v>146</v>
      </c>
      <c r="G367" s="259">
        <v>60</v>
      </c>
      <c r="H367" s="259">
        <v>16</v>
      </c>
      <c r="I367" s="259">
        <v>1</v>
      </c>
      <c r="J367" s="259">
        <v>1</v>
      </c>
      <c r="K367" s="259">
        <v>5</v>
      </c>
    </row>
    <row r="368" spans="1:11" ht="5.0999999999999996" customHeight="1">
      <c r="A368" s="207"/>
      <c r="B368" s="258"/>
      <c r="C368" s="258"/>
      <c r="D368" s="258"/>
      <c r="E368" s="258"/>
      <c r="F368" s="258"/>
      <c r="G368" s="258"/>
      <c r="H368" s="258"/>
      <c r="I368" s="258"/>
      <c r="J368" s="258"/>
      <c r="K368" s="258"/>
    </row>
    <row r="369" spans="1:11" ht="12.75" customHeight="1">
      <c r="A369" s="207" t="s">
        <v>63</v>
      </c>
      <c r="B369" s="258">
        <v>17</v>
      </c>
      <c r="C369" s="258">
        <v>7</v>
      </c>
      <c r="D369" s="258">
        <v>5</v>
      </c>
      <c r="E369" s="258">
        <v>1</v>
      </c>
      <c r="F369" s="258">
        <v>1</v>
      </c>
      <c r="G369" s="258">
        <v>1</v>
      </c>
      <c r="H369" s="258">
        <v>1</v>
      </c>
      <c r="I369" s="258">
        <v>0</v>
      </c>
      <c r="J369" s="258">
        <v>0</v>
      </c>
      <c r="K369" s="258">
        <v>1</v>
      </c>
    </row>
    <row r="370" spans="1:11" ht="12.75" customHeight="1">
      <c r="A370" s="207" t="s">
        <v>64</v>
      </c>
      <c r="B370" s="258">
        <v>158</v>
      </c>
      <c r="C370" s="258">
        <v>57</v>
      </c>
      <c r="D370" s="258">
        <v>75</v>
      </c>
      <c r="E370" s="258">
        <v>20</v>
      </c>
      <c r="F370" s="258">
        <v>3</v>
      </c>
      <c r="G370" s="258">
        <v>1</v>
      </c>
      <c r="H370" s="258">
        <v>1</v>
      </c>
      <c r="I370" s="258">
        <v>0</v>
      </c>
      <c r="J370" s="258">
        <v>0</v>
      </c>
      <c r="K370" s="258">
        <v>1</v>
      </c>
    </row>
    <row r="371" spans="1:11" ht="12.75" customHeight="1">
      <c r="A371" s="207" t="s">
        <v>65</v>
      </c>
      <c r="B371" s="258">
        <v>246</v>
      </c>
      <c r="C371" s="258">
        <v>38</v>
      </c>
      <c r="D371" s="258">
        <v>108</v>
      </c>
      <c r="E371" s="258">
        <v>69</v>
      </c>
      <c r="F371" s="258">
        <v>25</v>
      </c>
      <c r="G371" s="258">
        <v>4</v>
      </c>
      <c r="H371" s="258">
        <v>1</v>
      </c>
      <c r="I371" s="258">
        <v>0</v>
      </c>
      <c r="J371" s="258">
        <v>0</v>
      </c>
      <c r="K371" s="258">
        <v>1</v>
      </c>
    </row>
    <row r="372" spans="1:11" ht="12.75" customHeight="1">
      <c r="A372" s="207" t="s">
        <v>66</v>
      </c>
      <c r="B372" s="258">
        <v>196</v>
      </c>
      <c r="C372" s="258">
        <v>13</v>
      </c>
      <c r="D372" s="258">
        <v>66</v>
      </c>
      <c r="E372" s="258">
        <v>79</v>
      </c>
      <c r="F372" s="258">
        <v>29</v>
      </c>
      <c r="G372" s="258">
        <v>8</v>
      </c>
      <c r="H372" s="258">
        <v>1</v>
      </c>
      <c r="I372" s="258">
        <v>0</v>
      </c>
      <c r="J372" s="258">
        <v>0</v>
      </c>
      <c r="K372" s="258">
        <v>0</v>
      </c>
    </row>
    <row r="373" spans="1:11" ht="12.75" customHeight="1">
      <c r="A373" s="207" t="s">
        <v>67</v>
      </c>
      <c r="B373" s="258">
        <v>126</v>
      </c>
      <c r="C373" s="258">
        <v>7</v>
      </c>
      <c r="D373" s="258">
        <v>25</v>
      </c>
      <c r="E373" s="258">
        <v>44</v>
      </c>
      <c r="F373" s="258">
        <v>31</v>
      </c>
      <c r="G373" s="258">
        <v>16</v>
      </c>
      <c r="H373" s="258">
        <v>3</v>
      </c>
      <c r="I373" s="258">
        <v>0</v>
      </c>
      <c r="J373" s="258">
        <v>0</v>
      </c>
      <c r="K373" s="258">
        <v>0</v>
      </c>
    </row>
    <row r="374" spans="1:11" ht="12.75" customHeight="1">
      <c r="A374" s="207" t="s">
        <v>68</v>
      </c>
      <c r="B374" s="258">
        <v>84</v>
      </c>
      <c r="C374" s="258">
        <v>6</v>
      </c>
      <c r="D374" s="258">
        <v>13</v>
      </c>
      <c r="E374" s="258">
        <v>28</v>
      </c>
      <c r="F374" s="258">
        <v>19</v>
      </c>
      <c r="G374" s="258">
        <v>11</v>
      </c>
      <c r="H374" s="258">
        <v>4</v>
      </c>
      <c r="I374" s="258">
        <v>1</v>
      </c>
      <c r="J374" s="258">
        <v>1</v>
      </c>
      <c r="K374" s="258">
        <v>1</v>
      </c>
    </row>
    <row r="375" spans="1:11" ht="12.75" customHeight="1">
      <c r="A375" s="207" t="s">
        <v>69</v>
      </c>
      <c r="B375" s="258">
        <v>31</v>
      </c>
      <c r="C375" s="258">
        <v>2</v>
      </c>
      <c r="D375" s="258">
        <v>5</v>
      </c>
      <c r="E375" s="258">
        <v>7</v>
      </c>
      <c r="F375" s="258">
        <v>10</v>
      </c>
      <c r="G375" s="258">
        <v>5</v>
      </c>
      <c r="H375" s="258">
        <v>2</v>
      </c>
      <c r="I375" s="258">
        <v>0</v>
      </c>
      <c r="J375" s="258">
        <v>0</v>
      </c>
      <c r="K375" s="258">
        <v>0</v>
      </c>
    </row>
    <row r="376" spans="1:11" ht="12.75" customHeight="1">
      <c r="A376" s="207" t="s">
        <v>70</v>
      </c>
      <c r="B376" s="258">
        <v>28</v>
      </c>
      <c r="C376" s="258">
        <v>2</v>
      </c>
      <c r="D376" s="258">
        <v>6</v>
      </c>
      <c r="E376" s="258">
        <v>7</v>
      </c>
      <c r="F376" s="258">
        <v>7</v>
      </c>
      <c r="G376" s="258">
        <v>6</v>
      </c>
      <c r="H376" s="258">
        <v>0</v>
      </c>
      <c r="I376" s="258">
        <v>0</v>
      </c>
      <c r="J376" s="258">
        <v>0</v>
      </c>
      <c r="K376" s="258">
        <v>0</v>
      </c>
    </row>
    <row r="377" spans="1:11" ht="12.75" customHeight="1">
      <c r="A377" s="207" t="s">
        <v>45</v>
      </c>
      <c r="B377" s="258">
        <v>146</v>
      </c>
      <c r="C377" s="258">
        <v>21</v>
      </c>
      <c r="D377" s="258">
        <v>55</v>
      </c>
      <c r="E377" s="258">
        <v>37</v>
      </c>
      <c r="F377" s="258">
        <v>21</v>
      </c>
      <c r="G377" s="258">
        <v>8</v>
      </c>
      <c r="H377" s="258">
        <v>3</v>
      </c>
      <c r="I377" s="258">
        <v>0</v>
      </c>
      <c r="J377" s="258">
        <v>0</v>
      </c>
      <c r="K377" s="258">
        <v>1</v>
      </c>
    </row>
    <row r="378" spans="1:11" ht="5.0999999999999996" customHeight="1">
      <c r="A378" s="207"/>
      <c r="B378" s="258"/>
      <c r="C378" s="258"/>
      <c r="D378" s="258"/>
      <c r="E378" s="258"/>
      <c r="F378" s="258"/>
      <c r="G378" s="258"/>
      <c r="H378" s="258"/>
      <c r="I378" s="258"/>
      <c r="J378" s="258"/>
      <c r="K378" s="258"/>
    </row>
    <row r="379" spans="1:11" ht="12.75" customHeight="1">
      <c r="A379" s="206" t="s">
        <v>105</v>
      </c>
      <c r="B379" s="259">
        <v>467</v>
      </c>
      <c r="C379" s="259">
        <v>81</v>
      </c>
      <c r="D379" s="259">
        <v>163</v>
      </c>
      <c r="E379" s="259">
        <v>116</v>
      </c>
      <c r="F379" s="259">
        <v>61</v>
      </c>
      <c r="G379" s="259">
        <v>35</v>
      </c>
      <c r="H379" s="259">
        <v>6</v>
      </c>
      <c r="I379" s="259">
        <v>0</v>
      </c>
      <c r="J379" s="259">
        <v>4</v>
      </c>
      <c r="K379" s="259">
        <v>1</v>
      </c>
    </row>
    <row r="380" spans="1:11" ht="5.0999999999999996" customHeight="1">
      <c r="A380" s="207"/>
      <c r="B380" s="258"/>
      <c r="C380" s="258"/>
      <c r="D380" s="258"/>
      <c r="E380" s="258"/>
      <c r="F380" s="258"/>
      <c r="G380" s="258"/>
      <c r="H380" s="258"/>
      <c r="I380" s="258"/>
      <c r="J380" s="258"/>
      <c r="K380" s="258"/>
    </row>
    <row r="381" spans="1:11" ht="12.75" customHeight="1">
      <c r="A381" s="207" t="s">
        <v>63</v>
      </c>
      <c r="B381" s="258">
        <v>9</v>
      </c>
      <c r="C381" s="258">
        <v>4</v>
      </c>
      <c r="D381" s="258">
        <v>3</v>
      </c>
      <c r="E381" s="258">
        <v>1</v>
      </c>
      <c r="F381" s="258">
        <v>0</v>
      </c>
      <c r="G381" s="258">
        <v>1</v>
      </c>
      <c r="H381" s="258">
        <v>0</v>
      </c>
      <c r="I381" s="258">
        <v>0</v>
      </c>
      <c r="J381" s="258">
        <v>0</v>
      </c>
      <c r="K381" s="258">
        <v>0</v>
      </c>
    </row>
    <row r="382" spans="1:11" s="31" customFormat="1" ht="12.75" customHeight="1">
      <c r="A382" s="207" t="s">
        <v>64</v>
      </c>
      <c r="B382" s="258">
        <v>64</v>
      </c>
      <c r="C382" s="258">
        <v>26</v>
      </c>
      <c r="D382" s="258">
        <v>31</v>
      </c>
      <c r="E382" s="258">
        <v>4</v>
      </c>
      <c r="F382" s="258">
        <v>2</v>
      </c>
      <c r="G382" s="258">
        <v>0</v>
      </c>
      <c r="H382" s="258">
        <v>0</v>
      </c>
      <c r="I382" s="258">
        <v>0</v>
      </c>
      <c r="J382" s="258">
        <v>1</v>
      </c>
      <c r="K382" s="258">
        <v>0</v>
      </c>
    </row>
    <row r="383" spans="1:11" ht="12.75" customHeight="1">
      <c r="A383" s="207" t="s">
        <v>65</v>
      </c>
      <c r="B383" s="258">
        <v>138</v>
      </c>
      <c r="C383" s="258">
        <v>26</v>
      </c>
      <c r="D383" s="258">
        <v>48</v>
      </c>
      <c r="E383" s="258">
        <v>40</v>
      </c>
      <c r="F383" s="258">
        <v>15</v>
      </c>
      <c r="G383" s="258">
        <v>7</v>
      </c>
      <c r="H383" s="258">
        <v>2</v>
      </c>
      <c r="I383" s="258">
        <v>0</v>
      </c>
      <c r="J383" s="258">
        <v>0</v>
      </c>
      <c r="K383" s="258">
        <v>0</v>
      </c>
    </row>
    <row r="384" spans="1:11" ht="12.75" customHeight="1">
      <c r="A384" s="207" t="s">
        <v>66</v>
      </c>
      <c r="B384" s="258">
        <v>90</v>
      </c>
      <c r="C384" s="258">
        <v>12</v>
      </c>
      <c r="D384" s="258">
        <v>32</v>
      </c>
      <c r="E384" s="258">
        <v>27</v>
      </c>
      <c r="F384" s="258">
        <v>15</v>
      </c>
      <c r="G384" s="258">
        <v>4</v>
      </c>
      <c r="H384" s="258">
        <v>0</v>
      </c>
      <c r="I384" s="258">
        <v>0</v>
      </c>
      <c r="J384" s="258">
        <v>0</v>
      </c>
      <c r="K384" s="258">
        <v>0</v>
      </c>
    </row>
    <row r="385" spans="1:11" ht="12.75" customHeight="1">
      <c r="A385" s="207" t="s">
        <v>67</v>
      </c>
      <c r="B385" s="258">
        <v>60</v>
      </c>
      <c r="C385" s="258">
        <v>1</v>
      </c>
      <c r="D385" s="258">
        <v>15</v>
      </c>
      <c r="E385" s="258">
        <v>17</v>
      </c>
      <c r="F385" s="258">
        <v>14</v>
      </c>
      <c r="G385" s="258">
        <v>11</v>
      </c>
      <c r="H385" s="258">
        <v>1</v>
      </c>
      <c r="I385" s="258">
        <v>0</v>
      </c>
      <c r="J385" s="258">
        <v>1</v>
      </c>
      <c r="K385" s="258">
        <v>0</v>
      </c>
    </row>
    <row r="386" spans="1:11" ht="12.75" customHeight="1">
      <c r="A386" s="207" t="s">
        <v>68</v>
      </c>
      <c r="B386" s="258">
        <v>28</v>
      </c>
      <c r="C386" s="258">
        <v>2</v>
      </c>
      <c r="D386" s="258">
        <v>5</v>
      </c>
      <c r="E386" s="258">
        <v>6</v>
      </c>
      <c r="F386" s="258">
        <v>7</v>
      </c>
      <c r="G386" s="258">
        <v>5</v>
      </c>
      <c r="H386" s="258">
        <v>3</v>
      </c>
      <c r="I386" s="258">
        <v>0</v>
      </c>
      <c r="J386" s="258">
        <v>0</v>
      </c>
      <c r="K386" s="258">
        <v>0</v>
      </c>
    </row>
    <row r="387" spans="1:11" ht="12.75" customHeight="1">
      <c r="A387" s="207" t="s">
        <v>69</v>
      </c>
      <c r="B387" s="258">
        <v>18</v>
      </c>
      <c r="C387" s="258">
        <v>0</v>
      </c>
      <c r="D387" s="258">
        <v>3</v>
      </c>
      <c r="E387" s="258">
        <v>9</v>
      </c>
      <c r="F387" s="258">
        <v>2</v>
      </c>
      <c r="G387" s="258">
        <v>4</v>
      </c>
      <c r="H387" s="258">
        <v>0</v>
      </c>
      <c r="I387" s="258">
        <v>0</v>
      </c>
      <c r="J387" s="258">
        <v>0</v>
      </c>
      <c r="K387" s="258">
        <v>0</v>
      </c>
    </row>
    <row r="388" spans="1:11" ht="12.75" customHeight="1">
      <c r="A388" s="207" t="s">
        <v>70</v>
      </c>
      <c r="B388" s="258">
        <v>14</v>
      </c>
      <c r="C388" s="258">
        <v>2</v>
      </c>
      <c r="D388" s="258">
        <v>2</v>
      </c>
      <c r="E388" s="258">
        <v>4</v>
      </c>
      <c r="F388" s="258">
        <v>3</v>
      </c>
      <c r="G388" s="258">
        <v>2</v>
      </c>
      <c r="H388" s="258">
        <v>0</v>
      </c>
      <c r="I388" s="258">
        <v>0</v>
      </c>
      <c r="J388" s="258">
        <v>1</v>
      </c>
      <c r="K388" s="258">
        <v>0</v>
      </c>
    </row>
    <row r="389" spans="1:11" ht="12.75" customHeight="1">
      <c r="A389" s="207" t="s">
        <v>45</v>
      </c>
      <c r="B389" s="258">
        <v>46</v>
      </c>
      <c r="C389" s="258">
        <v>8</v>
      </c>
      <c r="D389" s="258">
        <v>24</v>
      </c>
      <c r="E389" s="258">
        <v>8</v>
      </c>
      <c r="F389" s="258">
        <v>3</v>
      </c>
      <c r="G389" s="258">
        <v>1</v>
      </c>
      <c r="H389" s="258">
        <v>0</v>
      </c>
      <c r="I389" s="258">
        <v>0</v>
      </c>
      <c r="J389" s="258">
        <v>1</v>
      </c>
      <c r="K389" s="258">
        <v>1</v>
      </c>
    </row>
    <row r="390" spans="1:11" ht="5.0999999999999996" customHeight="1">
      <c r="A390" s="207"/>
      <c r="B390" s="258"/>
      <c r="C390" s="258"/>
      <c r="D390" s="258"/>
      <c r="E390" s="258"/>
      <c r="F390" s="258"/>
      <c r="G390" s="258"/>
      <c r="H390" s="258"/>
      <c r="I390" s="258"/>
      <c r="J390" s="258"/>
      <c r="K390" s="258"/>
    </row>
    <row r="391" spans="1:11" ht="12.75" customHeight="1">
      <c r="A391" s="206" t="s">
        <v>106</v>
      </c>
      <c r="B391" s="259">
        <v>482</v>
      </c>
      <c r="C391" s="259">
        <v>104</v>
      </c>
      <c r="D391" s="259">
        <v>164</v>
      </c>
      <c r="E391" s="259">
        <v>117</v>
      </c>
      <c r="F391" s="259">
        <v>66</v>
      </c>
      <c r="G391" s="259">
        <v>16</v>
      </c>
      <c r="H391" s="259">
        <v>4</v>
      </c>
      <c r="I391" s="259">
        <v>0</v>
      </c>
      <c r="J391" s="259">
        <v>4</v>
      </c>
      <c r="K391" s="259">
        <v>7</v>
      </c>
    </row>
    <row r="392" spans="1:11" ht="5.0999999999999996" customHeight="1">
      <c r="A392" s="207"/>
      <c r="B392" s="258"/>
      <c r="C392" s="258"/>
      <c r="D392" s="258"/>
      <c r="E392" s="258"/>
      <c r="F392" s="258"/>
      <c r="G392" s="258"/>
      <c r="H392" s="258"/>
      <c r="I392" s="258"/>
      <c r="J392" s="258"/>
      <c r="K392" s="258"/>
    </row>
    <row r="393" spans="1:11" ht="12.75" customHeight="1">
      <c r="A393" s="207" t="s">
        <v>63</v>
      </c>
      <c r="B393" s="258">
        <v>3</v>
      </c>
      <c r="C393" s="258">
        <v>0</v>
      </c>
      <c r="D393" s="258">
        <v>1</v>
      </c>
      <c r="E393" s="258">
        <v>2</v>
      </c>
      <c r="F393" s="258">
        <v>0</v>
      </c>
      <c r="G393" s="258">
        <v>0</v>
      </c>
      <c r="H393" s="258">
        <v>0</v>
      </c>
      <c r="I393" s="258">
        <v>0</v>
      </c>
      <c r="J393" s="258">
        <v>0</v>
      </c>
      <c r="K393" s="258">
        <v>0</v>
      </c>
    </row>
    <row r="394" spans="1:11" ht="12.75" customHeight="1">
      <c r="A394" s="207" t="s">
        <v>64</v>
      </c>
      <c r="B394" s="258">
        <v>87</v>
      </c>
      <c r="C394" s="258">
        <v>36</v>
      </c>
      <c r="D394" s="258">
        <v>33</v>
      </c>
      <c r="E394" s="258">
        <v>13</v>
      </c>
      <c r="F394" s="258">
        <v>2</v>
      </c>
      <c r="G394" s="258">
        <v>1</v>
      </c>
      <c r="H394" s="258">
        <v>0</v>
      </c>
      <c r="I394" s="258">
        <v>0</v>
      </c>
      <c r="J394" s="258">
        <v>2</v>
      </c>
      <c r="K394" s="258">
        <v>0</v>
      </c>
    </row>
    <row r="395" spans="1:11" ht="12.75" customHeight="1">
      <c r="A395" s="207" t="s">
        <v>65</v>
      </c>
      <c r="B395" s="258">
        <v>111</v>
      </c>
      <c r="C395" s="258">
        <v>30</v>
      </c>
      <c r="D395" s="258">
        <v>42</v>
      </c>
      <c r="E395" s="258">
        <v>32</v>
      </c>
      <c r="F395" s="258">
        <v>5</v>
      </c>
      <c r="G395" s="258">
        <v>0</v>
      </c>
      <c r="H395" s="258">
        <v>1</v>
      </c>
      <c r="I395" s="258">
        <v>0</v>
      </c>
      <c r="J395" s="258">
        <v>0</v>
      </c>
      <c r="K395" s="258">
        <v>1</v>
      </c>
    </row>
    <row r="396" spans="1:11" ht="12.75" customHeight="1">
      <c r="A396" s="207" t="s">
        <v>66</v>
      </c>
      <c r="B396" s="258">
        <v>104</v>
      </c>
      <c r="C396" s="258">
        <v>11</v>
      </c>
      <c r="D396" s="258">
        <v>45</v>
      </c>
      <c r="E396" s="258">
        <v>26</v>
      </c>
      <c r="F396" s="258">
        <v>19</v>
      </c>
      <c r="G396" s="258">
        <v>1</v>
      </c>
      <c r="H396" s="258">
        <v>1</v>
      </c>
      <c r="I396" s="258">
        <v>0</v>
      </c>
      <c r="J396" s="258">
        <v>1</v>
      </c>
      <c r="K396" s="258">
        <v>0</v>
      </c>
    </row>
    <row r="397" spans="1:11" s="31" customFormat="1" ht="12.75" customHeight="1">
      <c r="A397" s="207" t="s">
        <v>67</v>
      </c>
      <c r="B397" s="258">
        <v>59</v>
      </c>
      <c r="C397" s="258">
        <v>8</v>
      </c>
      <c r="D397" s="258">
        <v>13</v>
      </c>
      <c r="E397" s="258">
        <v>18</v>
      </c>
      <c r="F397" s="258">
        <v>14</v>
      </c>
      <c r="G397" s="258">
        <v>4</v>
      </c>
      <c r="H397" s="258">
        <v>1</v>
      </c>
      <c r="I397" s="258">
        <v>0</v>
      </c>
      <c r="J397" s="258">
        <v>1</v>
      </c>
      <c r="K397" s="258">
        <v>0</v>
      </c>
    </row>
    <row r="398" spans="1:11" ht="12.75" customHeight="1">
      <c r="A398" s="207" t="s">
        <v>68</v>
      </c>
      <c r="B398" s="258">
        <v>29</v>
      </c>
      <c r="C398" s="258">
        <v>4</v>
      </c>
      <c r="D398" s="258">
        <v>5</v>
      </c>
      <c r="E398" s="258">
        <v>4</v>
      </c>
      <c r="F398" s="258">
        <v>11</v>
      </c>
      <c r="G398" s="258">
        <v>4</v>
      </c>
      <c r="H398" s="258">
        <v>1</v>
      </c>
      <c r="I398" s="258">
        <v>0</v>
      </c>
      <c r="J398" s="258">
        <v>0</v>
      </c>
      <c r="K398" s="258">
        <v>0</v>
      </c>
    </row>
    <row r="399" spans="1:11" ht="12.75" customHeight="1">
      <c r="A399" s="207" t="s">
        <v>69</v>
      </c>
      <c r="B399" s="258">
        <v>23</v>
      </c>
      <c r="C399" s="258">
        <v>0</v>
      </c>
      <c r="D399" s="258">
        <v>3</v>
      </c>
      <c r="E399" s="258">
        <v>10</v>
      </c>
      <c r="F399" s="258">
        <v>8</v>
      </c>
      <c r="G399" s="258">
        <v>2</v>
      </c>
      <c r="H399" s="258">
        <v>0</v>
      </c>
      <c r="I399" s="258">
        <v>0</v>
      </c>
      <c r="J399" s="258">
        <v>0</v>
      </c>
      <c r="K399" s="258">
        <v>0</v>
      </c>
    </row>
    <row r="400" spans="1:11" ht="12.75" customHeight="1">
      <c r="A400" s="207" t="s">
        <v>70</v>
      </c>
      <c r="B400" s="258">
        <v>21</v>
      </c>
      <c r="C400" s="258">
        <v>2</v>
      </c>
      <c r="D400" s="258">
        <v>8</v>
      </c>
      <c r="E400" s="258">
        <v>6</v>
      </c>
      <c r="F400" s="258">
        <v>4</v>
      </c>
      <c r="G400" s="258">
        <v>1</v>
      </c>
      <c r="H400" s="258">
        <v>0</v>
      </c>
      <c r="I400" s="258">
        <v>0</v>
      </c>
      <c r="J400" s="258">
        <v>0</v>
      </c>
      <c r="K400" s="258">
        <v>0</v>
      </c>
    </row>
    <row r="401" spans="1:11" ht="12.75" customHeight="1">
      <c r="A401" s="207" t="s">
        <v>45</v>
      </c>
      <c r="B401" s="258">
        <v>45</v>
      </c>
      <c r="C401" s="258">
        <v>13</v>
      </c>
      <c r="D401" s="258">
        <v>14</v>
      </c>
      <c r="E401" s="258">
        <v>6</v>
      </c>
      <c r="F401" s="258">
        <v>3</v>
      </c>
      <c r="G401" s="258">
        <v>3</v>
      </c>
      <c r="H401" s="258">
        <v>0</v>
      </c>
      <c r="I401" s="258">
        <v>0</v>
      </c>
      <c r="J401" s="258">
        <v>0</v>
      </c>
      <c r="K401" s="258">
        <v>6</v>
      </c>
    </row>
    <row r="402" spans="1:11" ht="5.0999999999999996" customHeight="1">
      <c r="A402" s="207"/>
      <c r="B402" s="258"/>
      <c r="C402" s="258"/>
      <c r="D402" s="258"/>
      <c r="E402" s="258"/>
      <c r="F402" s="258"/>
      <c r="G402" s="258"/>
      <c r="H402" s="258"/>
      <c r="I402" s="258"/>
      <c r="J402" s="258"/>
      <c r="K402" s="258"/>
    </row>
    <row r="403" spans="1:11" ht="12.75" customHeight="1">
      <c r="A403" s="206" t="s">
        <v>107</v>
      </c>
      <c r="B403" s="259">
        <v>18850</v>
      </c>
      <c r="C403" s="259">
        <v>2245</v>
      </c>
      <c r="D403" s="259">
        <v>5862</v>
      </c>
      <c r="E403" s="259">
        <v>5336</v>
      </c>
      <c r="F403" s="259">
        <v>3569</v>
      </c>
      <c r="G403" s="259">
        <v>1476</v>
      </c>
      <c r="H403" s="259">
        <v>269</v>
      </c>
      <c r="I403" s="259">
        <v>31</v>
      </c>
      <c r="J403" s="259">
        <v>17</v>
      </c>
      <c r="K403" s="259">
        <v>45</v>
      </c>
    </row>
    <row r="404" spans="1:11" ht="5.0999999999999996" customHeight="1">
      <c r="A404" s="207"/>
      <c r="B404" s="258"/>
      <c r="C404" s="258"/>
      <c r="D404" s="258"/>
      <c r="E404" s="258"/>
      <c r="F404" s="258"/>
      <c r="G404" s="258"/>
      <c r="H404" s="258"/>
      <c r="I404" s="258"/>
      <c r="J404" s="258"/>
      <c r="K404" s="258"/>
    </row>
    <row r="405" spans="1:11" ht="12.75" customHeight="1">
      <c r="A405" s="207" t="s">
        <v>63</v>
      </c>
      <c r="B405" s="258">
        <v>289</v>
      </c>
      <c r="C405" s="258">
        <v>168</v>
      </c>
      <c r="D405" s="258">
        <v>84</v>
      </c>
      <c r="E405" s="258">
        <v>24</v>
      </c>
      <c r="F405" s="258">
        <v>8</v>
      </c>
      <c r="G405" s="258">
        <v>3</v>
      </c>
      <c r="H405" s="258">
        <v>0</v>
      </c>
      <c r="I405" s="258">
        <v>0</v>
      </c>
      <c r="J405" s="258">
        <v>0</v>
      </c>
      <c r="K405" s="258">
        <v>2</v>
      </c>
    </row>
    <row r="406" spans="1:11" ht="12.75" customHeight="1">
      <c r="A406" s="207" t="s">
        <v>64</v>
      </c>
      <c r="B406" s="258">
        <v>2985</v>
      </c>
      <c r="C406" s="258">
        <v>855</v>
      </c>
      <c r="D406" s="258">
        <v>1470</v>
      </c>
      <c r="E406" s="258">
        <v>448</v>
      </c>
      <c r="F406" s="258">
        <v>157</v>
      </c>
      <c r="G406" s="258">
        <v>38</v>
      </c>
      <c r="H406" s="258">
        <v>3</v>
      </c>
      <c r="I406" s="258">
        <v>1</v>
      </c>
      <c r="J406" s="258">
        <v>3</v>
      </c>
      <c r="K406" s="258">
        <v>10</v>
      </c>
    </row>
    <row r="407" spans="1:11" ht="12.75" customHeight="1">
      <c r="A407" s="207" t="s">
        <v>65</v>
      </c>
      <c r="B407" s="258">
        <v>4552</v>
      </c>
      <c r="C407" s="258">
        <v>547</v>
      </c>
      <c r="D407" s="258">
        <v>1857</v>
      </c>
      <c r="E407" s="258">
        <v>1499</v>
      </c>
      <c r="F407" s="258">
        <v>490</v>
      </c>
      <c r="G407" s="258">
        <v>132</v>
      </c>
      <c r="H407" s="258">
        <v>17</v>
      </c>
      <c r="I407" s="258">
        <v>2</v>
      </c>
      <c r="J407" s="258">
        <v>1</v>
      </c>
      <c r="K407" s="258">
        <v>7</v>
      </c>
    </row>
    <row r="408" spans="1:11" ht="12.75" customHeight="1">
      <c r="A408" s="207" t="s">
        <v>66</v>
      </c>
      <c r="B408" s="258">
        <v>4304</v>
      </c>
      <c r="C408" s="258">
        <v>215</v>
      </c>
      <c r="D408" s="258">
        <v>1086</v>
      </c>
      <c r="E408" s="258">
        <v>1619</v>
      </c>
      <c r="F408" s="258">
        <v>1078</v>
      </c>
      <c r="G408" s="258">
        <v>261</v>
      </c>
      <c r="H408" s="258">
        <v>33</v>
      </c>
      <c r="I408" s="258">
        <v>2</v>
      </c>
      <c r="J408" s="258">
        <v>4</v>
      </c>
      <c r="K408" s="258">
        <v>6</v>
      </c>
    </row>
    <row r="409" spans="1:11" ht="12.75" customHeight="1">
      <c r="A409" s="260" t="s">
        <v>67</v>
      </c>
      <c r="B409" s="261">
        <v>2615</v>
      </c>
      <c r="C409" s="261">
        <v>94</v>
      </c>
      <c r="D409" s="261">
        <v>472</v>
      </c>
      <c r="E409" s="261">
        <v>723</v>
      </c>
      <c r="F409" s="261">
        <v>824</v>
      </c>
      <c r="G409" s="261">
        <v>441</v>
      </c>
      <c r="H409" s="261">
        <v>51</v>
      </c>
      <c r="I409" s="261">
        <v>4</v>
      </c>
      <c r="J409" s="261">
        <v>3</v>
      </c>
      <c r="K409" s="261">
        <v>3</v>
      </c>
    </row>
    <row r="410" spans="1:11" ht="12.75" customHeight="1">
      <c r="A410" s="260" t="s">
        <v>68</v>
      </c>
      <c r="B410" s="261">
        <v>1340</v>
      </c>
      <c r="C410" s="261">
        <v>43</v>
      </c>
      <c r="D410" s="261">
        <v>195</v>
      </c>
      <c r="E410" s="261">
        <v>343</v>
      </c>
      <c r="F410" s="261">
        <v>409</v>
      </c>
      <c r="G410" s="261">
        <v>260</v>
      </c>
      <c r="H410" s="261">
        <v>82</v>
      </c>
      <c r="I410" s="261">
        <v>6</v>
      </c>
      <c r="J410" s="261">
        <v>2</v>
      </c>
      <c r="K410" s="261">
        <v>0</v>
      </c>
    </row>
    <row r="411" spans="1:11" ht="12.75" customHeight="1">
      <c r="A411" s="260" t="s">
        <v>69</v>
      </c>
      <c r="B411" s="261">
        <v>678</v>
      </c>
      <c r="C411" s="261">
        <v>23</v>
      </c>
      <c r="D411" s="261">
        <v>95</v>
      </c>
      <c r="E411" s="261">
        <v>175</v>
      </c>
      <c r="F411" s="261">
        <v>193</v>
      </c>
      <c r="G411" s="261">
        <v>150</v>
      </c>
      <c r="H411" s="261">
        <v>36</v>
      </c>
      <c r="I411" s="261">
        <v>4</v>
      </c>
      <c r="J411" s="261">
        <v>1</v>
      </c>
      <c r="K411" s="261">
        <v>1</v>
      </c>
    </row>
    <row r="412" spans="1:11" s="31" customFormat="1" ht="12.75" customHeight="1">
      <c r="A412" s="260" t="s">
        <v>70</v>
      </c>
      <c r="B412" s="261">
        <v>499</v>
      </c>
      <c r="C412" s="261">
        <v>25</v>
      </c>
      <c r="D412" s="261">
        <v>69</v>
      </c>
      <c r="E412" s="261">
        <v>123</v>
      </c>
      <c r="F412" s="261">
        <v>146</v>
      </c>
      <c r="G412" s="261">
        <v>99</v>
      </c>
      <c r="H412" s="261">
        <v>28</v>
      </c>
      <c r="I412" s="261">
        <v>8</v>
      </c>
      <c r="J412" s="261">
        <v>1</v>
      </c>
      <c r="K412" s="261">
        <v>0</v>
      </c>
    </row>
    <row r="413" spans="1:11" ht="12.75" customHeight="1">
      <c r="A413" s="260" t="s">
        <v>45</v>
      </c>
      <c r="B413" s="261">
        <v>1588</v>
      </c>
      <c r="C413" s="261">
        <v>275</v>
      </c>
      <c r="D413" s="261">
        <v>534</v>
      </c>
      <c r="E413" s="261">
        <v>382</v>
      </c>
      <c r="F413" s="261">
        <v>264</v>
      </c>
      <c r="G413" s="261">
        <v>92</v>
      </c>
      <c r="H413" s="261">
        <v>19</v>
      </c>
      <c r="I413" s="261">
        <v>4</v>
      </c>
      <c r="J413" s="261">
        <v>2</v>
      </c>
      <c r="K413" s="261">
        <v>16</v>
      </c>
    </row>
    <row r="414" spans="1:11" ht="5.0999999999999996" customHeight="1">
      <c r="A414" s="211"/>
      <c r="B414" s="212"/>
      <c r="C414" s="212"/>
      <c r="D414" s="212"/>
      <c r="E414" s="212"/>
      <c r="F414" s="212"/>
      <c r="G414" s="212"/>
      <c r="H414" s="212"/>
      <c r="I414" s="212"/>
      <c r="J414" s="212"/>
      <c r="K414" s="213"/>
    </row>
    <row r="415" spans="1:11" ht="5.0999999999999996" customHeight="1">
      <c r="B415" s="201"/>
      <c r="C415" s="201"/>
      <c r="D415" s="201"/>
      <c r="E415" s="201"/>
      <c r="F415" s="214"/>
      <c r="G415" s="214"/>
      <c r="H415" s="214"/>
      <c r="I415" s="214"/>
      <c r="J415" s="214"/>
      <c r="K415" s="215"/>
    </row>
    <row r="416" spans="1:11" ht="12.75" customHeight="1">
      <c r="A416" s="57" t="s">
        <v>319</v>
      </c>
      <c r="B416" s="201"/>
      <c r="C416" s="201"/>
      <c r="D416" s="201"/>
      <c r="E416" s="201"/>
      <c r="F416" s="214"/>
      <c r="G416" s="214"/>
      <c r="H416" s="214"/>
      <c r="I416" s="214"/>
      <c r="J416" s="214"/>
      <c r="K416" s="215"/>
    </row>
    <row r="417" spans="1:11" ht="12.75" customHeight="1">
      <c r="A417" s="57" t="s">
        <v>375</v>
      </c>
      <c r="F417" s="55"/>
      <c r="G417" s="55"/>
      <c r="H417" s="55"/>
      <c r="I417" s="55"/>
      <c r="J417" s="55"/>
      <c r="K417" s="56"/>
    </row>
    <row r="418" spans="1:11" ht="12.75" customHeight="1">
      <c r="G418" s="55"/>
      <c r="H418" s="55"/>
      <c r="I418" s="55"/>
      <c r="J418" s="55"/>
      <c r="K418" s="56"/>
    </row>
    <row r="419" spans="1:11" ht="12.75" customHeight="1">
      <c r="G419" s="55"/>
      <c r="H419" s="55"/>
      <c r="I419" s="55"/>
      <c r="J419" s="55"/>
      <c r="K419" s="56"/>
    </row>
    <row r="420" spans="1:11" ht="12.75" customHeight="1">
      <c r="G420" s="55"/>
      <c r="H420" s="55"/>
      <c r="I420" s="55"/>
      <c r="J420" s="55"/>
      <c r="K420" s="56"/>
    </row>
    <row r="421" spans="1:11" ht="12.75" customHeight="1">
      <c r="G421" s="55"/>
      <c r="H421" s="55"/>
      <c r="I421" s="55"/>
      <c r="J421" s="55"/>
      <c r="K421" s="56"/>
    </row>
    <row r="422" spans="1:11" ht="12.75" customHeight="1">
      <c r="G422" s="55"/>
      <c r="H422" s="55"/>
      <c r="I422" s="55"/>
      <c r="J422" s="55"/>
      <c r="K422" s="56"/>
    </row>
    <row r="423" spans="1:11" ht="12.75" customHeight="1">
      <c r="A423" s="36"/>
      <c r="B423" s="55"/>
      <c r="C423" s="55"/>
      <c r="D423" s="55"/>
      <c r="E423" s="55"/>
      <c r="F423" s="55"/>
      <c r="G423" s="55"/>
      <c r="H423" s="55"/>
      <c r="I423" s="55"/>
      <c r="J423" s="55"/>
      <c r="K423" s="56"/>
    </row>
    <row r="424" spans="1:11" ht="12.75" customHeight="1">
      <c r="A424" s="36"/>
      <c r="B424" s="55"/>
      <c r="C424" s="55"/>
      <c r="D424" s="55"/>
      <c r="E424" s="55"/>
      <c r="F424" s="55"/>
      <c r="G424" s="55"/>
      <c r="H424" s="55"/>
      <c r="I424" s="55"/>
      <c r="J424" s="55"/>
      <c r="K424" s="56"/>
    </row>
    <row r="425" spans="1:11" s="31" customFormat="1" ht="12.75" customHeight="1">
      <c r="A425" s="34"/>
      <c r="B425" s="53"/>
      <c r="C425" s="53"/>
      <c r="D425" s="53"/>
      <c r="E425" s="53"/>
      <c r="F425" s="53"/>
      <c r="G425" s="53"/>
      <c r="H425" s="53"/>
      <c r="I425" s="53"/>
      <c r="J425" s="53"/>
      <c r="K425" s="54"/>
    </row>
    <row r="426" spans="1:11" ht="12.75" customHeight="1">
      <c r="A426" s="36"/>
      <c r="B426" s="55"/>
      <c r="C426" s="55"/>
      <c r="D426" s="55"/>
      <c r="E426" s="55"/>
      <c r="F426" s="55"/>
      <c r="G426" s="55"/>
      <c r="H426" s="55"/>
      <c r="I426" s="55"/>
      <c r="J426" s="55"/>
      <c r="K426" s="56"/>
    </row>
    <row r="427" spans="1:11" ht="12.75" customHeight="1">
      <c r="A427" s="36"/>
      <c r="B427" s="55"/>
      <c r="C427" s="55"/>
      <c r="D427" s="55"/>
      <c r="E427" s="55"/>
      <c r="F427" s="55"/>
      <c r="G427" s="55"/>
      <c r="H427" s="55"/>
      <c r="I427" s="55"/>
      <c r="J427" s="55"/>
      <c r="K427" s="56"/>
    </row>
    <row r="428" spans="1:11" ht="12.75" customHeight="1">
      <c r="A428" s="36"/>
      <c r="B428" s="55"/>
      <c r="C428" s="55"/>
      <c r="D428" s="55"/>
      <c r="E428" s="55"/>
      <c r="F428" s="55"/>
      <c r="G428" s="55"/>
      <c r="H428" s="55"/>
      <c r="I428" s="55"/>
      <c r="J428" s="55"/>
      <c r="K428" s="56"/>
    </row>
    <row r="429" spans="1:11" ht="12.75" customHeight="1">
      <c r="A429" s="36"/>
      <c r="B429" s="55"/>
      <c r="C429" s="55"/>
      <c r="D429" s="55"/>
      <c r="E429" s="55"/>
      <c r="F429" s="55"/>
      <c r="G429" s="55"/>
      <c r="H429" s="55"/>
      <c r="I429" s="55"/>
      <c r="J429" s="55"/>
      <c r="K429" s="56"/>
    </row>
    <row r="430" spans="1:11" ht="12.75" customHeight="1">
      <c r="A430" s="36"/>
      <c r="B430" s="55"/>
      <c r="C430" s="55"/>
      <c r="D430" s="55"/>
      <c r="E430" s="55"/>
      <c r="F430" s="55"/>
      <c r="G430" s="55"/>
      <c r="H430" s="55"/>
      <c r="I430" s="55"/>
      <c r="J430" s="55"/>
      <c r="K430" s="56"/>
    </row>
    <row r="431" spans="1:11" ht="12.75" customHeight="1">
      <c r="A431" s="36"/>
      <c r="B431" s="55"/>
      <c r="C431" s="55"/>
      <c r="D431" s="55"/>
      <c r="E431" s="55"/>
      <c r="F431" s="55"/>
      <c r="G431" s="55"/>
      <c r="H431" s="55"/>
      <c r="I431" s="55"/>
      <c r="J431" s="55"/>
      <c r="K431" s="56"/>
    </row>
    <row r="432" spans="1:11" ht="12.75" customHeight="1">
      <c r="A432" s="36"/>
      <c r="B432" s="55"/>
      <c r="C432" s="55"/>
      <c r="D432" s="55"/>
      <c r="E432" s="55"/>
      <c r="F432" s="55"/>
      <c r="G432" s="55"/>
      <c r="H432" s="55"/>
      <c r="I432" s="55"/>
      <c r="J432" s="55"/>
      <c r="K432" s="56"/>
    </row>
    <row r="433" spans="1:11" ht="12.75" customHeight="1">
      <c r="A433" s="36"/>
      <c r="B433" s="55"/>
      <c r="C433" s="55"/>
      <c r="D433" s="55"/>
      <c r="E433" s="55"/>
      <c r="F433" s="55"/>
      <c r="G433" s="55"/>
      <c r="H433" s="55"/>
      <c r="I433" s="55"/>
      <c r="J433" s="55"/>
      <c r="K433" s="56"/>
    </row>
    <row r="434" spans="1:11" ht="12.75" customHeight="1">
      <c r="A434" s="36"/>
      <c r="B434" s="55"/>
      <c r="C434" s="55"/>
      <c r="D434" s="55"/>
      <c r="E434" s="55"/>
      <c r="F434" s="55"/>
      <c r="G434" s="55"/>
      <c r="H434" s="55"/>
      <c r="I434" s="55"/>
      <c r="J434" s="55"/>
      <c r="K434" s="56"/>
    </row>
    <row r="435" spans="1:11" ht="12.75" customHeight="1">
      <c r="A435" s="36"/>
      <c r="B435" s="55"/>
      <c r="C435" s="55"/>
      <c r="D435" s="55"/>
      <c r="E435" s="55"/>
      <c r="F435" s="55"/>
      <c r="G435" s="55"/>
      <c r="H435" s="55"/>
      <c r="I435" s="55"/>
      <c r="J435" s="55"/>
      <c r="K435" s="56"/>
    </row>
    <row r="436" spans="1:11" ht="12.75" customHeight="1">
      <c r="A436" s="36"/>
      <c r="B436" s="55"/>
      <c r="C436" s="55"/>
      <c r="D436" s="55"/>
      <c r="E436" s="55"/>
      <c r="F436" s="55"/>
      <c r="G436" s="55"/>
      <c r="H436" s="55"/>
      <c r="I436" s="55"/>
      <c r="J436" s="55"/>
      <c r="K436" s="56"/>
    </row>
    <row r="437" spans="1:11" ht="12.75" customHeight="1">
      <c r="A437" s="36"/>
      <c r="B437" s="55"/>
      <c r="C437" s="55"/>
      <c r="D437" s="55"/>
      <c r="E437" s="55"/>
      <c r="F437" s="55"/>
      <c r="G437" s="55"/>
      <c r="H437" s="55"/>
      <c r="I437" s="55"/>
      <c r="J437" s="55"/>
      <c r="K437" s="56"/>
    </row>
    <row r="438" spans="1:11" s="31" customFormat="1" ht="12.75" customHeight="1">
      <c r="A438" s="34"/>
      <c r="B438" s="53"/>
      <c r="C438" s="53"/>
      <c r="D438" s="53"/>
      <c r="E438" s="53"/>
      <c r="F438" s="53"/>
      <c r="G438" s="53"/>
      <c r="H438" s="53"/>
      <c r="I438" s="53"/>
      <c r="J438" s="53"/>
      <c r="K438" s="54"/>
    </row>
    <row r="439" spans="1:11" ht="12.75" customHeight="1">
      <c r="A439" s="36"/>
      <c r="B439" s="55"/>
      <c r="C439" s="55"/>
      <c r="D439" s="55"/>
      <c r="E439" s="55"/>
      <c r="F439" s="55"/>
      <c r="G439" s="55"/>
      <c r="H439" s="55"/>
      <c r="I439" s="55"/>
      <c r="J439" s="55"/>
      <c r="K439" s="56"/>
    </row>
    <row r="440" spans="1:11" ht="12.75" customHeight="1">
      <c r="A440" s="36"/>
      <c r="B440" s="55"/>
      <c r="C440" s="55"/>
      <c r="D440" s="55"/>
      <c r="E440" s="55"/>
      <c r="F440" s="55"/>
      <c r="G440" s="55"/>
      <c r="H440" s="55"/>
      <c r="I440" s="55"/>
      <c r="J440" s="55"/>
      <c r="K440" s="56"/>
    </row>
    <row r="441" spans="1:11" ht="12.75" customHeight="1">
      <c r="A441" s="36"/>
      <c r="B441" s="55"/>
      <c r="C441" s="55"/>
      <c r="D441" s="55"/>
      <c r="E441" s="55"/>
      <c r="F441" s="55"/>
      <c r="G441" s="55"/>
      <c r="H441" s="55"/>
      <c r="I441" s="55"/>
      <c r="J441" s="55"/>
      <c r="K441" s="56"/>
    </row>
    <row r="442" spans="1:11" ht="12.75" customHeight="1">
      <c r="A442" s="36"/>
      <c r="B442" s="55"/>
      <c r="C442" s="55"/>
      <c r="D442" s="55"/>
      <c r="E442" s="55"/>
      <c r="F442" s="55"/>
      <c r="G442" s="55"/>
      <c r="H442" s="55"/>
      <c r="I442" s="55"/>
      <c r="J442" s="55"/>
      <c r="K442" s="56"/>
    </row>
    <row r="443" spans="1:11" ht="12.75" customHeight="1">
      <c r="A443" s="36"/>
      <c r="B443" s="55"/>
      <c r="C443" s="55"/>
      <c r="D443" s="55"/>
      <c r="E443" s="55"/>
      <c r="F443" s="55"/>
      <c r="G443" s="55"/>
      <c r="H443" s="55"/>
      <c r="I443" s="55"/>
      <c r="J443" s="55"/>
      <c r="K443" s="56"/>
    </row>
    <row r="444" spans="1:11" ht="12.75" customHeight="1">
      <c r="A444" s="36"/>
      <c r="B444" s="55"/>
      <c r="C444" s="55"/>
      <c r="D444" s="55"/>
      <c r="E444" s="55"/>
      <c r="F444" s="55"/>
      <c r="G444" s="55"/>
      <c r="H444" s="55"/>
      <c r="I444" s="55"/>
      <c r="J444" s="55"/>
      <c r="K444" s="56"/>
    </row>
    <row r="445" spans="1:11" ht="12.75" customHeight="1">
      <c r="A445" s="36"/>
      <c r="B445" s="55"/>
      <c r="C445" s="55"/>
      <c r="D445" s="55"/>
      <c r="E445" s="55"/>
      <c r="F445" s="55"/>
      <c r="G445" s="55"/>
      <c r="H445" s="55"/>
      <c r="I445" s="55"/>
      <c r="J445" s="55"/>
      <c r="K445" s="56"/>
    </row>
    <row r="446" spans="1:11" ht="12.75" customHeight="1">
      <c r="A446" s="36"/>
      <c r="B446" s="55"/>
      <c r="C446" s="55"/>
      <c r="D446" s="55"/>
      <c r="E446" s="55"/>
      <c r="F446" s="55"/>
      <c r="G446" s="55"/>
      <c r="H446" s="55"/>
      <c r="I446" s="55"/>
      <c r="J446" s="55"/>
      <c r="K446" s="56"/>
    </row>
    <row r="447" spans="1:11" ht="12.75" customHeight="1">
      <c r="A447" s="36"/>
      <c r="B447" s="55"/>
      <c r="C447" s="55"/>
      <c r="D447" s="55"/>
      <c r="E447" s="55"/>
      <c r="F447" s="55"/>
      <c r="G447" s="55"/>
      <c r="H447" s="55"/>
      <c r="I447" s="55"/>
      <c r="J447" s="55"/>
      <c r="K447" s="56"/>
    </row>
    <row r="448" spans="1:11" ht="12.75" customHeight="1">
      <c r="A448" s="36"/>
      <c r="B448" s="55"/>
      <c r="C448" s="55"/>
      <c r="D448" s="55"/>
      <c r="E448" s="55"/>
      <c r="F448" s="55"/>
      <c r="G448" s="55"/>
      <c r="H448" s="55"/>
      <c r="I448" s="55"/>
      <c r="J448" s="55"/>
      <c r="K448" s="56"/>
    </row>
    <row r="449" spans="1:11" ht="12.75" customHeight="1">
      <c r="A449" s="36"/>
      <c r="B449" s="55"/>
      <c r="C449" s="55"/>
      <c r="D449" s="55"/>
      <c r="E449" s="55"/>
      <c r="F449" s="55"/>
      <c r="G449" s="55"/>
      <c r="H449" s="55"/>
      <c r="I449" s="55"/>
      <c r="J449" s="55"/>
      <c r="K449" s="56"/>
    </row>
    <row r="450" spans="1:11" ht="12.75" customHeight="1">
      <c r="A450" s="36"/>
      <c r="B450" s="55"/>
      <c r="C450" s="55"/>
      <c r="D450" s="55"/>
      <c r="E450" s="55"/>
      <c r="F450" s="55"/>
      <c r="G450" s="55"/>
      <c r="H450" s="55"/>
      <c r="I450" s="55"/>
      <c r="J450" s="55"/>
      <c r="K450" s="56"/>
    </row>
    <row r="451" spans="1:11" s="31" customFormat="1" ht="12.75" customHeight="1">
      <c r="A451" s="34"/>
      <c r="B451" s="53"/>
      <c r="C451" s="53"/>
      <c r="D451" s="53"/>
      <c r="E451" s="53"/>
      <c r="F451" s="53"/>
      <c r="G451" s="53"/>
      <c r="H451" s="53"/>
      <c r="I451" s="53"/>
      <c r="J451" s="53"/>
      <c r="K451" s="54"/>
    </row>
    <row r="452" spans="1:11" ht="12.75" customHeight="1">
      <c r="A452" s="36"/>
      <c r="B452" s="55"/>
      <c r="C452" s="55"/>
      <c r="D452" s="55"/>
      <c r="E452" s="55"/>
      <c r="F452" s="55"/>
      <c r="G452" s="55"/>
      <c r="H452" s="55"/>
      <c r="I452" s="55"/>
      <c r="J452" s="55"/>
      <c r="K452" s="56"/>
    </row>
    <row r="453" spans="1:11" ht="12.75" customHeight="1">
      <c r="A453" s="36"/>
      <c r="B453" s="55"/>
      <c r="C453" s="55"/>
      <c r="D453" s="55"/>
      <c r="E453" s="55"/>
      <c r="F453" s="55"/>
      <c r="G453" s="55"/>
      <c r="H453" s="55"/>
      <c r="I453" s="55"/>
      <c r="J453" s="55"/>
      <c r="K453" s="56"/>
    </row>
    <row r="454" spans="1:11" ht="12.75" customHeight="1">
      <c r="A454" s="36"/>
      <c r="B454" s="55"/>
      <c r="C454" s="55"/>
      <c r="D454" s="55"/>
      <c r="E454" s="55"/>
      <c r="F454" s="55"/>
      <c r="G454" s="55"/>
      <c r="H454" s="55"/>
      <c r="I454" s="55"/>
      <c r="J454" s="55"/>
      <c r="K454" s="56"/>
    </row>
    <row r="455" spans="1:11" ht="12.75" customHeight="1">
      <c r="A455" s="36"/>
      <c r="B455" s="55"/>
      <c r="C455" s="55"/>
      <c r="D455" s="55"/>
      <c r="E455" s="55"/>
      <c r="F455" s="55"/>
      <c r="G455" s="55"/>
      <c r="H455" s="55"/>
      <c r="I455" s="55"/>
      <c r="J455" s="55"/>
      <c r="K455" s="56"/>
    </row>
    <row r="456" spans="1:11" ht="12.75" customHeight="1">
      <c r="A456" s="36"/>
      <c r="B456" s="55"/>
      <c r="C456" s="55"/>
      <c r="D456" s="55"/>
      <c r="E456" s="55"/>
      <c r="F456" s="55"/>
      <c r="G456" s="55"/>
      <c r="H456" s="55"/>
      <c r="I456" s="55"/>
      <c r="J456" s="55"/>
      <c r="K456" s="56"/>
    </row>
    <row r="457" spans="1:11" ht="12.75" customHeight="1">
      <c r="A457" s="36"/>
      <c r="B457" s="55"/>
      <c r="C457" s="55"/>
      <c r="D457" s="55"/>
      <c r="E457" s="55"/>
      <c r="F457" s="55"/>
      <c r="G457" s="55"/>
      <c r="H457" s="55"/>
      <c r="I457" s="55"/>
      <c r="J457" s="55"/>
      <c r="K457" s="56"/>
    </row>
    <row r="458" spans="1:11" ht="12.75" customHeight="1">
      <c r="A458" s="36"/>
      <c r="B458" s="55"/>
      <c r="C458" s="55"/>
      <c r="D458" s="55"/>
      <c r="E458" s="55"/>
      <c r="F458" s="55"/>
      <c r="G458" s="55"/>
      <c r="H458" s="55"/>
      <c r="I458" s="55"/>
      <c r="J458" s="55"/>
      <c r="K458" s="56"/>
    </row>
    <row r="459" spans="1:11" ht="12.75" customHeight="1">
      <c r="A459" s="36"/>
      <c r="B459" s="55"/>
      <c r="C459" s="55"/>
      <c r="D459" s="55"/>
      <c r="E459" s="55"/>
      <c r="F459" s="55"/>
      <c r="G459" s="55"/>
      <c r="H459" s="55"/>
      <c r="I459" s="55"/>
      <c r="J459" s="55"/>
      <c r="K459" s="56"/>
    </row>
    <row r="460" spans="1:11" ht="12.75" customHeight="1">
      <c r="A460" s="36"/>
      <c r="B460" s="55"/>
      <c r="C460" s="55"/>
      <c r="D460" s="55"/>
      <c r="E460" s="55"/>
      <c r="F460" s="55"/>
      <c r="G460" s="55"/>
      <c r="H460" s="55"/>
      <c r="I460" s="55"/>
      <c r="J460" s="55"/>
      <c r="K460" s="56"/>
    </row>
    <row r="461" spans="1:11" ht="12.75" customHeight="1">
      <c r="A461" s="36"/>
      <c r="B461" s="55"/>
      <c r="C461" s="55"/>
      <c r="D461" s="55"/>
      <c r="E461" s="55"/>
      <c r="F461" s="55"/>
      <c r="G461" s="55"/>
      <c r="H461" s="55"/>
      <c r="I461" s="55"/>
      <c r="J461" s="55"/>
      <c r="K461" s="56"/>
    </row>
    <row r="462" spans="1:11" ht="12.75" customHeight="1">
      <c r="A462" s="36"/>
      <c r="B462" s="55"/>
      <c r="C462" s="55"/>
      <c r="D462" s="55"/>
      <c r="E462" s="55"/>
      <c r="F462" s="55"/>
      <c r="G462" s="55"/>
      <c r="H462" s="55"/>
      <c r="I462" s="55"/>
      <c r="J462" s="55"/>
      <c r="K462" s="56"/>
    </row>
    <row r="463" spans="1:11" ht="12.75" customHeight="1">
      <c r="A463" s="36"/>
      <c r="B463" s="55"/>
      <c r="C463" s="55"/>
      <c r="D463" s="55"/>
      <c r="E463" s="55"/>
      <c r="F463" s="55"/>
      <c r="G463" s="55"/>
      <c r="H463" s="55"/>
      <c r="I463" s="55"/>
      <c r="J463" s="55"/>
      <c r="K463" s="56"/>
    </row>
    <row r="464" spans="1:11" s="31" customFormat="1" ht="12.75" customHeight="1">
      <c r="A464" s="34"/>
      <c r="B464" s="53"/>
      <c r="C464" s="53"/>
      <c r="D464" s="53"/>
      <c r="E464" s="53"/>
      <c r="F464" s="53"/>
      <c r="G464" s="53"/>
      <c r="H464" s="53"/>
      <c r="I464" s="53"/>
      <c r="J464" s="53"/>
      <c r="K464" s="54"/>
    </row>
    <row r="465" spans="1:11" ht="12.75" customHeight="1">
      <c r="A465" s="36"/>
      <c r="B465" s="55"/>
      <c r="C465" s="55"/>
      <c r="D465" s="55"/>
      <c r="E465" s="55"/>
      <c r="F465" s="55"/>
      <c r="G465" s="55"/>
      <c r="H465" s="55"/>
      <c r="I465" s="55"/>
      <c r="J465" s="55"/>
      <c r="K465" s="56"/>
    </row>
    <row r="466" spans="1:11" ht="12.75" customHeight="1">
      <c r="A466" s="36"/>
      <c r="B466" s="55"/>
      <c r="C466" s="55"/>
      <c r="D466" s="55"/>
      <c r="E466" s="55"/>
      <c r="F466" s="55"/>
      <c r="G466" s="55"/>
      <c r="H466" s="55"/>
      <c r="I466" s="55"/>
      <c r="J466" s="55"/>
      <c r="K466" s="56"/>
    </row>
    <row r="467" spans="1:11" ht="12.75" customHeight="1">
      <c r="A467" s="36"/>
      <c r="B467" s="55"/>
      <c r="C467" s="55"/>
      <c r="D467" s="55"/>
      <c r="E467" s="55"/>
      <c r="F467" s="55"/>
      <c r="G467" s="55"/>
      <c r="H467" s="55"/>
      <c r="I467" s="55"/>
      <c r="J467" s="55"/>
      <c r="K467" s="56"/>
    </row>
    <row r="468" spans="1:11" ht="12.75" customHeight="1">
      <c r="A468" s="36"/>
      <c r="B468" s="55"/>
      <c r="C468" s="55"/>
      <c r="D468" s="55"/>
      <c r="E468" s="55"/>
      <c r="F468" s="55"/>
      <c r="G468" s="55"/>
      <c r="H468" s="55"/>
      <c r="I468" s="55"/>
      <c r="J468" s="55"/>
      <c r="K468" s="56"/>
    </row>
    <row r="469" spans="1:11" ht="12.75" customHeight="1">
      <c r="A469" s="36"/>
      <c r="B469" s="55"/>
      <c r="C469" s="55"/>
      <c r="D469" s="55"/>
      <c r="E469" s="55"/>
      <c r="F469" s="55"/>
      <c r="G469" s="55"/>
      <c r="H469" s="55"/>
      <c r="I469" s="55"/>
      <c r="J469" s="55"/>
      <c r="K469" s="56"/>
    </row>
    <row r="470" spans="1:11" ht="12.75" customHeight="1">
      <c r="A470" s="36"/>
      <c r="B470" s="55"/>
      <c r="C470" s="55"/>
      <c r="D470" s="55"/>
      <c r="E470" s="55"/>
      <c r="F470" s="55"/>
      <c r="G470" s="55"/>
      <c r="H470" s="55"/>
      <c r="I470" s="55"/>
      <c r="J470" s="55"/>
      <c r="K470" s="56"/>
    </row>
    <row r="471" spans="1:11" ht="12.75" customHeight="1">
      <c r="A471" s="36"/>
      <c r="B471" s="55"/>
      <c r="C471" s="55"/>
      <c r="D471" s="55"/>
      <c r="E471" s="55"/>
      <c r="F471" s="55"/>
      <c r="G471" s="55"/>
      <c r="H471" s="55"/>
      <c r="I471" s="55"/>
      <c r="J471" s="55"/>
      <c r="K471" s="56"/>
    </row>
    <row r="472" spans="1:11" ht="12.75" customHeight="1">
      <c r="A472" s="36"/>
      <c r="B472" s="55"/>
      <c r="C472" s="55"/>
      <c r="D472" s="55"/>
      <c r="E472" s="55"/>
      <c r="F472" s="55"/>
      <c r="G472" s="55"/>
      <c r="H472" s="55"/>
      <c r="I472" s="55"/>
      <c r="J472" s="55"/>
      <c r="K472" s="56"/>
    </row>
    <row r="473" spans="1:11" ht="12.75" customHeight="1">
      <c r="A473" s="36"/>
      <c r="B473" s="55"/>
      <c r="C473" s="55"/>
      <c r="D473" s="55"/>
      <c r="E473" s="55"/>
      <c r="F473" s="55"/>
      <c r="G473" s="55"/>
      <c r="H473" s="55"/>
      <c r="I473" s="55"/>
      <c r="J473" s="55"/>
      <c r="K473" s="56"/>
    </row>
    <row r="474" spans="1:11" ht="12.75" customHeight="1">
      <c r="A474" s="36"/>
      <c r="B474" s="55"/>
      <c r="C474" s="55"/>
      <c r="D474" s="55"/>
      <c r="E474" s="55"/>
      <c r="F474" s="55"/>
      <c r="G474" s="55"/>
      <c r="H474" s="55"/>
      <c r="I474" s="55"/>
      <c r="J474" s="55"/>
      <c r="K474" s="56"/>
    </row>
    <row r="475" spans="1:11" ht="12.75" customHeight="1">
      <c r="A475" s="36"/>
      <c r="B475" s="55"/>
      <c r="C475" s="55"/>
      <c r="D475" s="55"/>
      <c r="E475" s="55"/>
      <c r="F475" s="55"/>
      <c r="G475" s="55"/>
      <c r="H475" s="55"/>
      <c r="I475" s="55"/>
      <c r="J475" s="55"/>
      <c r="K475" s="56"/>
    </row>
    <row r="476" spans="1:11" ht="12.75" customHeight="1">
      <c r="A476" s="36"/>
      <c r="B476" s="55"/>
      <c r="C476" s="55"/>
      <c r="D476" s="55"/>
      <c r="E476" s="55"/>
      <c r="F476" s="55"/>
      <c r="G476" s="55"/>
      <c r="H476" s="55"/>
      <c r="I476" s="55"/>
      <c r="J476" s="55"/>
      <c r="K476" s="56"/>
    </row>
    <row r="477" spans="1:11" s="31" customFormat="1" ht="12.75" customHeight="1">
      <c r="A477" s="34"/>
      <c r="B477" s="53"/>
      <c r="C477" s="53"/>
      <c r="D477" s="53"/>
      <c r="E477" s="53"/>
      <c r="F477" s="53"/>
      <c r="G477" s="53"/>
      <c r="H477" s="53"/>
      <c r="I477" s="53"/>
      <c r="J477" s="53"/>
      <c r="K477" s="54"/>
    </row>
    <row r="478" spans="1:11" ht="12.75" customHeight="1">
      <c r="A478" s="36"/>
      <c r="B478" s="55"/>
      <c r="C478" s="55"/>
      <c r="D478" s="55"/>
      <c r="E478" s="55"/>
      <c r="F478" s="55"/>
      <c r="G478" s="55"/>
      <c r="H478" s="55"/>
      <c r="I478" s="55"/>
      <c r="J478" s="55"/>
      <c r="K478" s="56"/>
    </row>
    <row r="479" spans="1:11" ht="12.75" customHeight="1">
      <c r="A479" s="36"/>
      <c r="B479" s="55"/>
      <c r="C479" s="55"/>
      <c r="D479" s="55"/>
      <c r="E479" s="55"/>
      <c r="F479" s="55"/>
      <c r="G479" s="55"/>
      <c r="H479" s="55"/>
      <c r="I479" s="55"/>
      <c r="J479" s="55"/>
      <c r="K479" s="56"/>
    </row>
    <row r="480" spans="1:11" ht="12.75" customHeight="1">
      <c r="A480" s="36"/>
      <c r="B480" s="55"/>
      <c r="C480" s="55"/>
      <c r="D480" s="55"/>
      <c r="E480" s="55"/>
      <c r="F480" s="55"/>
      <c r="G480" s="55"/>
      <c r="H480" s="55"/>
      <c r="I480" s="55"/>
      <c r="J480" s="55"/>
      <c r="K480" s="56"/>
    </row>
    <row r="481" spans="1:11" ht="12.75" customHeight="1">
      <c r="A481" s="36"/>
      <c r="B481" s="55"/>
      <c r="C481" s="55"/>
      <c r="D481" s="55"/>
      <c r="E481" s="55"/>
      <c r="F481" s="55"/>
      <c r="G481" s="55"/>
      <c r="H481" s="55"/>
      <c r="I481" s="55"/>
      <c r="J481" s="55"/>
      <c r="K481" s="56"/>
    </row>
    <row r="482" spans="1:11" ht="12.75" customHeight="1">
      <c r="A482" s="36"/>
      <c r="B482" s="55"/>
      <c r="C482" s="55"/>
      <c r="D482" s="55"/>
      <c r="E482" s="55"/>
      <c r="F482" s="55"/>
      <c r="G482" s="55"/>
      <c r="H482" s="55"/>
      <c r="I482" s="55"/>
      <c r="J482" s="55"/>
      <c r="K482" s="56"/>
    </row>
    <row r="483" spans="1:11" ht="12.75" customHeight="1">
      <c r="A483" s="36"/>
      <c r="B483" s="55"/>
      <c r="C483" s="55"/>
      <c r="D483" s="55"/>
      <c r="E483" s="55"/>
      <c r="F483" s="55"/>
      <c r="G483" s="55"/>
      <c r="H483" s="55"/>
      <c r="I483" s="55"/>
      <c r="J483" s="55"/>
      <c r="K483" s="56"/>
    </row>
    <row r="484" spans="1:11" ht="12.75" customHeight="1">
      <c r="A484" s="36"/>
      <c r="B484" s="55"/>
      <c r="C484" s="55"/>
      <c r="D484" s="55"/>
      <c r="E484" s="55"/>
      <c r="F484" s="55"/>
      <c r="G484" s="55"/>
      <c r="H484" s="55"/>
      <c r="I484" s="55"/>
      <c r="J484" s="55"/>
      <c r="K484" s="56"/>
    </row>
    <row r="485" spans="1:11" ht="12.75" customHeight="1">
      <c r="A485" s="36"/>
      <c r="B485" s="55"/>
      <c r="C485" s="55"/>
      <c r="D485" s="55"/>
      <c r="E485" s="55"/>
      <c r="F485" s="55"/>
      <c r="G485" s="55"/>
      <c r="H485" s="55"/>
      <c r="I485" s="55"/>
      <c r="J485" s="55"/>
      <c r="K485" s="56"/>
    </row>
    <row r="486" spans="1:11" ht="12.75" customHeight="1">
      <c r="A486" s="36"/>
      <c r="B486" s="55"/>
      <c r="C486" s="55"/>
      <c r="D486" s="55"/>
      <c r="E486" s="55"/>
      <c r="F486" s="55"/>
      <c r="G486" s="55"/>
      <c r="H486" s="55"/>
      <c r="I486" s="55"/>
      <c r="J486" s="55"/>
      <c r="K486" s="56"/>
    </row>
    <row r="487" spans="1:11" ht="12.75" customHeight="1">
      <c r="A487" s="36"/>
      <c r="B487" s="55"/>
      <c r="C487" s="55"/>
      <c r="D487" s="55"/>
      <c r="E487" s="55"/>
      <c r="F487" s="55"/>
      <c r="G487" s="55"/>
      <c r="H487" s="55"/>
      <c r="I487" s="55"/>
      <c r="J487" s="55"/>
      <c r="K487" s="56"/>
    </row>
    <row r="488" spans="1:11" ht="12.75" customHeight="1">
      <c r="A488" s="36"/>
      <c r="B488" s="55"/>
      <c r="C488" s="55"/>
      <c r="D488" s="55"/>
      <c r="E488" s="55"/>
      <c r="F488" s="55"/>
      <c r="G488" s="55"/>
      <c r="H488" s="55"/>
      <c r="I488" s="55"/>
      <c r="J488" s="55"/>
      <c r="K488" s="56"/>
    </row>
    <row r="489" spans="1:11" ht="12.75" customHeight="1">
      <c r="A489" s="36"/>
      <c r="B489" s="55"/>
      <c r="C489" s="55"/>
      <c r="D489" s="55"/>
      <c r="E489" s="55"/>
      <c r="F489" s="55"/>
      <c r="G489" s="55"/>
      <c r="H489" s="55"/>
      <c r="I489" s="55"/>
      <c r="J489" s="55"/>
      <c r="K489" s="56"/>
    </row>
    <row r="490" spans="1:11" s="31" customFormat="1" ht="12.75" customHeight="1">
      <c r="A490" s="34"/>
      <c r="B490" s="53"/>
      <c r="C490" s="53"/>
      <c r="D490" s="53"/>
      <c r="E490" s="53"/>
      <c r="F490" s="53"/>
      <c r="G490" s="53"/>
      <c r="H490" s="53"/>
      <c r="I490" s="53"/>
      <c r="J490" s="53"/>
      <c r="K490" s="54"/>
    </row>
    <row r="491" spans="1:11" ht="12.75" customHeight="1">
      <c r="A491" s="36"/>
      <c r="B491" s="55"/>
      <c r="C491" s="55"/>
      <c r="D491" s="55"/>
      <c r="E491" s="55"/>
      <c r="F491" s="55"/>
      <c r="G491" s="55"/>
      <c r="H491" s="55"/>
      <c r="I491" s="55"/>
      <c r="J491" s="55"/>
      <c r="K491" s="56"/>
    </row>
    <row r="492" spans="1:11" ht="12.75" customHeight="1">
      <c r="A492" s="36"/>
      <c r="B492" s="55"/>
      <c r="C492" s="55"/>
      <c r="D492" s="55"/>
      <c r="E492" s="55"/>
      <c r="F492" s="55"/>
      <c r="G492" s="55"/>
      <c r="H492" s="55"/>
      <c r="I492" s="55"/>
      <c r="J492" s="55"/>
      <c r="K492" s="56"/>
    </row>
    <row r="493" spans="1:11" ht="12.75" customHeight="1">
      <c r="A493" s="36"/>
      <c r="B493" s="55"/>
      <c r="C493" s="55"/>
      <c r="D493" s="55"/>
      <c r="E493" s="55"/>
      <c r="F493" s="55"/>
      <c r="G493" s="55"/>
      <c r="H493" s="55"/>
      <c r="I493" s="55"/>
      <c r="J493" s="55"/>
      <c r="K493" s="56"/>
    </row>
    <row r="494" spans="1:11" ht="12.75" customHeight="1">
      <c r="A494" s="36"/>
      <c r="B494" s="55"/>
      <c r="C494" s="55"/>
      <c r="D494" s="55"/>
      <c r="E494" s="55"/>
      <c r="F494" s="55"/>
      <c r="G494" s="55"/>
      <c r="H494" s="55"/>
      <c r="I494" s="55"/>
      <c r="J494" s="55"/>
      <c r="K494" s="56"/>
    </row>
    <row r="495" spans="1:11" ht="12.75" customHeight="1">
      <c r="A495" s="36"/>
      <c r="B495" s="55"/>
      <c r="C495" s="55"/>
      <c r="D495" s="55"/>
      <c r="E495" s="55"/>
      <c r="F495" s="55"/>
      <c r="G495" s="55"/>
      <c r="H495" s="55"/>
      <c r="I495" s="55"/>
      <c r="J495" s="55"/>
      <c r="K495" s="56"/>
    </row>
    <row r="496" spans="1:11" ht="12.75" customHeight="1">
      <c r="A496" s="36"/>
      <c r="B496" s="55"/>
      <c r="C496" s="55"/>
      <c r="D496" s="55"/>
      <c r="E496" s="55"/>
      <c r="F496" s="55"/>
      <c r="G496" s="55"/>
      <c r="H496" s="55"/>
      <c r="I496" s="55"/>
      <c r="J496" s="55"/>
      <c r="K496" s="56"/>
    </row>
    <row r="497" spans="1:11" ht="12.75" customHeight="1">
      <c r="A497" s="36"/>
      <c r="B497" s="55"/>
      <c r="C497" s="55"/>
      <c r="D497" s="55"/>
      <c r="E497" s="55"/>
      <c r="F497" s="55"/>
      <c r="G497" s="55"/>
      <c r="H497" s="55"/>
      <c r="I497" s="55"/>
      <c r="J497" s="55"/>
      <c r="K497" s="56"/>
    </row>
    <row r="498" spans="1:11" ht="12.75" customHeight="1">
      <c r="A498" s="36"/>
      <c r="B498" s="55"/>
      <c r="C498" s="55"/>
      <c r="D498" s="55"/>
      <c r="E498" s="55"/>
      <c r="F498" s="55"/>
      <c r="G498" s="55"/>
      <c r="H498" s="55"/>
      <c r="I498" s="55"/>
      <c r="J498" s="55"/>
      <c r="K498" s="56"/>
    </row>
    <row r="499" spans="1:11" ht="12.75" customHeight="1">
      <c r="A499" s="36"/>
      <c r="B499" s="55"/>
      <c r="C499" s="55"/>
      <c r="D499" s="55"/>
      <c r="E499" s="55"/>
      <c r="F499" s="55"/>
      <c r="G499" s="55"/>
      <c r="H499" s="55"/>
      <c r="I499" s="55"/>
      <c r="J499" s="55"/>
      <c r="K499" s="56"/>
    </row>
    <row r="500" spans="1:11" ht="12.75" customHeight="1">
      <c r="A500" s="36"/>
      <c r="B500" s="55"/>
      <c r="C500" s="55"/>
      <c r="D500" s="55"/>
      <c r="E500" s="55"/>
      <c r="F500" s="55"/>
      <c r="G500" s="55"/>
      <c r="H500" s="55"/>
      <c r="I500" s="55"/>
      <c r="J500" s="55"/>
      <c r="K500" s="56"/>
    </row>
    <row r="501" spans="1:11" ht="12.75" customHeight="1">
      <c r="A501" s="36"/>
      <c r="B501" s="55"/>
      <c r="C501" s="55"/>
      <c r="D501" s="55"/>
      <c r="E501" s="55"/>
      <c r="F501" s="55"/>
      <c r="G501" s="55"/>
      <c r="H501" s="55"/>
      <c r="I501" s="55"/>
      <c r="J501" s="55"/>
      <c r="K501" s="56"/>
    </row>
    <row r="502" spans="1:11" ht="12.75" customHeight="1">
      <c r="A502" s="36"/>
      <c r="B502" s="55"/>
      <c r="C502" s="55"/>
      <c r="D502" s="55"/>
      <c r="E502" s="55"/>
      <c r="F502" s="55"/>
      <c r="G502" s="55"/>
      <c r="H502" s="55"/>
      <c r="I502" s="55"/>
      <c r="J502" s="55"/>
      <c r="K502" s="56"/>
    </row>
    <row r="503" spans="1:11" s="31" customFormat="1" ht="12.75" customHeight="1">
      <c r="A503" s="34"/>
      <c r="B503" s="53"/>
      <c r="C503" s="53"/>
      <c r="D503" s="53"/>
      <c r="E503" s="53"/>
      <c r="F503" s="53"/>
      <c r="G503" s="53"/>
      <c r="H503" s="53"/>
      <c r="I503" s="53"/>
      <c r="J503" s="53"/>
      <c r="K503" s="54"/>
    </row>
    <row r="504" spans="1:11" ht="12.75" customHeight="1">
      <c r="A504" s="36"/>
      <c r="B504" s="55"/>
      <c r="C504" s="55"/>
      <c r="D504" s="55"/>
      <c r="E504" s="55"/>
      <c r="F504" s="55"/>
      <c r="G504" s="55"/>
      <c r="H504" s="55"/>
      <c r="I504" s="55"/>
      <c r="J504" s="55"/>
      <c r="K504" s="56"/>
    </row>
    <row r="505" spans="1:11" ht="12.75" customHeight="1">
      <c r="A505" s="36"/>
      <c r="B505" s="55"/>
      <c r="C505" s="55"/>
      <c r="D505" s="55"/>
      <c r="E505" s="55"/>
      <c r="F505" s="55"/>
      <c r="G505" s="55"/>
      <c r="H505" s="55"/>
      <c r="I505" s="55"/>
      <c r="J505" s="55"/>
      <c r="K505" s="56"/>
    </row>
    <row r="506" spans="1:11" ht="12.75" customHeight="1">
      <c r="A506" s="36"/>
      <c r="B506" s="55"/>
      <c r="C506" s="55"/>
      <c r="D506" s="55"/>
      <c r="E506" s="55"/>
      <c r="F506" s="55"/>
      <c r="G506" s="55"/>
      <c r="H506" s="55"/>
      <c r="I506" s="55"/>
      <c r="J506" s="55"/>
      <c r="K506" s="56"/>
    </row>
    <row r="507" spans="1:11" ht="12.75" customHeight="1">
      <c r="A507" s="36"/>
      <c r="B507" s="55"/>
      <c r="C507" s="55"/>
      <c r="D507" s="55"/>
      <c r="E507" s="55"/>
      <c r="F507" s="55"/>
      <c r="G507" s="55"/>
      <c r="H507" s="55"/>
      <c r="I507" s="55"/>
      <c r="J507" s="55"/>
      <c r="K507" s="56"/>
    </row>
    <row r="508" spans="1:11" ht="12.75" customHeight="1">
      <c r="A508" s="36"/>
      <c r="B508" s="55"/>
      <c r="C508" s="55"/>
      <c r="D508" s="55"/>
      <c r="E508" s="55"/>
      <c r="F508" s="55"/>
      <c r="G508" s="55"/>
      <c r="H508" s="55"/>
      <c r="I508" s="55"/>
      <c r="J508" s="55"/>
      <c r="K508" s="56"/>
    </row>
    <row r="509" spans="1:11" ht="12.75" customHeight="1">
      <c r="A509" s="36"/>
      <c r="B509" s="55"/>
      <c r="C509" s="55"/>
      <c r="D509" s="55"/>
      <c r="E509" s="55"/>
      <c r="F509" s="55"/>
      <c r="G509" s="55"/>
      <c r="H509" s="55"/>
      <c r="I509" s="55"/>
      <c r="J509" s="55"/>
      <c r="K509" s="56"/>
    </row>
    <row r="510" spans="1:11" ht="12.75" customHeight="1">
      <c r="A510" s="36"/>
      <c r="B510" s="55"/>
      <c r="C510" s="55"/>
      <c r="D510" s="55"/>
      <c r="E510" s="55"/>
      <c r="F510" s="55"/>
      <c r="G510" s="55"/>
      <c r="H510" s="55"/>
      <c r="I510" s="55"/>
      <c r="J510" s="55"/>
      <c r="K510" s="56"/>
    </row>
    <row r="511" spans="1:11" ht="12.75" customHeight="1">
      <c r="A511" s="36"/>
      <c r="B511" s="55"/>
      <c r="C511" s="55"/>
      <c r="D511" s="55"/>
      <c r="E511" s="55"/>
      <c r="F511" s="55"/>
      <c r="G511" s="55"/>
      <c r="H511" s="55"/>
      <c r="I511" s="55"/>
      <c r="J511" s="55"/>
      <c r="K511" s="56"/>
    </row>
    <row r="512" spans="1:11" ht="12.75" customHeight="1">
      <c r="A512" s="36"/>
      <c r="B512" s="55"/>
      <c r="C512" s="55"/>
      <c r="D512" s="55"/>
      <c r="E512" s="55"/>
      <c r="F512" s="55"/>
      <c r="G512" s="55"/>
      <c r="H512" s="55"/>
      <c r="I512" s="55"/>
      <c r="J512" s="55"/>
      <c r="K512" s="56"/>
    </row>
    <row r="513" spans="1:11" ht="12.75" customHeight="1">
      <c r="A513" s="36"/>
      <c r="B513" s="55"/>
      <c r="C513" s="55"/>
      <c r="D513" s="55"/>
      <c r="E513" s="55"/>
      <c r="F513" s="55"/>
      <c r="G513" s="55"/>
      <c r="H513" s="55"/>
      <c r="I513" s="55"/>
      <c r="J513" s="55"/>
      <c r="K513" s="56"/>
    </row>
    <row r="514" spans="1:11" ht="12.75" customHeight="1">
      <c r="A514" s="36"/>
      <c r="B514" s="55"/>
      <c r="C514" s="55"/>
      <c r="D514" s="55"/>
      <c r="E514" s="55"/>
      <c r="F514" s="55"/>
      <c r="G514" s="55"/>
      <c r="H514" s="55"/>
      <c r="I514" s="55"/>
      <c r="J514" s="55"/>
      <c r="K514" s="56"/>
    </row>
    <row r="515" spans="1:11" ht="12.75" customHeight="1">
      <c r="A515" s="36"/>
      <c r="B515" s="55"/>
      <c r="C515" s="55"/>
      <c r="D515" s="55"/>
      <c r="E515" s="55"/>
      <c r="F515" s="55"/>
      <c r="G515" s="55"/>
      <c r="H515" s="55"/>
      <c r="I515" s="55"/>
      <c r="J515" s="55"/>
      <c r="K515" s="56"/>
    </row>
    <row r="516" spans="1:11" s="31" customFormat="1" ht="12.75" customHeight="1">
      <c r="A516" s="34"/>
      <c r="B516" s="53"/>
      <c r="C516" s="53"/>
      <c r="D516" s="53"/>
      <c r="E516" s="53"/>
      <c r="F516" s="53"/>
      <c r="G516" s="53"/>
      <c r="H516" s="53"/>
      <c r="I516" s="53"/>
      <c r="J516" s="53"/>
      <c r="K516" s="54"/>
    </row>
    <row r="517" spans="1:11" ht="12.75" customHeight="1">
      <c r="A517" s="36"/>
      <c r="B517" s="55"/>
      <c r="C517" s="55"/>
      <c r="D517" s="55"/>
      <c r="E517" s="55"/>
      <c r="F517" s="55"/>
      <c r="G517" s="55"/>
      <c r="H517" s="55"/>
      <c r="I517" s="55"/>
      <c r="J517" s="55"/>
      <c r="K517" s="56"/>
    </row>
    <row r="518" spans="1:11" ht="12.75" customHeight="1">
      <c r="A518" s="36"/>
      <c r="B518" s="55"/>
      <c r="C518" s="55"/>
      <c r="D518" s="55"/>
      <c r="E518" s="55"/>
      <c r="F518" s="55"/>
      <c r="G518" s="55"/>
      <c r="H518" s="55"/>
      <c r="I518" s="55"/>
      <c r="J518" s="55"/>
      <c r="K518" s="56"/>
    </row>
    <row r="519" spans="1:11" ht="12.75" customHeight="1">
      <c r="A519" s="36"/>
      <c r="B519" s="55"/>
      <c r="C519" s="55"/>
      <c r="D519" s="55"/>
      <c r="E519" s="55"/>
      <c r="F519" s="55"/>
      <c r="G519" s="55"/>
      <c r="H519" s="55"/>
      <c r="I519" s="55"/>
      <c r="J519" s="55"/>
      <c r="K519" s="56"/>
    </row>
    <row r="520" spans="1:11" ht="12.75" customHeight="1">
      <c r="A520" s="36"/>
      <c r="B520" s="55"/>
      <c r="C520" s="55"/>
      <c r="D520" s="55"/>
      <c r="E520" s="55"/>
      <c r="F520" s="55"/>
      <c r="G520" s="55"/>
      <c r="H520" s="55"/>
      <c r="I520" s="55"/>
      <c r="J520" s="55"/>
      <c r="K520" s="56"/>
    </row>
    <row r="521" spans="1:11" ht="12.75" customHeight="1">
      <c r="A521" s="36"/>
      <c r="B521" s="55"/>
      <c r="C521" s="55"/>
      <c r="D521" s="55"/>
      <c r="E521" s="55"/>
      <c r="F521" s="55"/>
      <c r="G521" s="55"/>
      <c r="H521" s="55"/>
      <c r="I521" s="55"/>
      <c r="J521" s="55"/>
      <c r="K521" s="56"/>
    </row>
    <row r="522" spans="1:11" ht="12.75" customHeight="1">
      <c r="A522" s="36"/>
      <c r="B522" s="55"/>
      <c r="C522" s="55"/>
      <c r="D522" s="55"/>
      <c r="E522" s="55"/>
      <c r="F522" s="55"/>
      <c r="G522" s="55"/>
      <c r="H522" s="55"/>
      <c r="I522" s="55"/>
      <c r="J522" s="55"/>
      <c r="K522" s="56"/>
    </row>
    <row r="523" spans="1:11" ht="12.75" customHeight="1">
      <c r="A523" s="36"/>
      <c r="B523" s="55"/>
      <c r="C523" s="55"/>
      <c r="D523" s="55"/>
      <c r="E523" s="55"/>
      <c r="F523" s="55"/>
      <c r="G523" s="55"/>
      <c r="H523" s="55"/>
      <c r="I523" s="55"/>
      <c r="J523" s="55"/>
      <c r="K523" s="56"/>
    </row>
    <row r="524" spans="1:11" ht="12.75" customHeight="1">
      <c r="A524" s="36"/>
      <c r="B524" s="55"/>
      <c r="C524" s="55"/>
      <c r="D524" s="55"/>
      <c r="E524" s="55"/>
      <c r="F524" s="55"/>
      <c r="G524" s="55"/>
      <c r="H524" s="55"/>
      <c r="I524" s="55"/>
      <c r="J524" s="55"/>
      <c r="K524" s="56"/>
    </row>
    <row r="525" spans="1:11" ht="12.75" customHeight="1">
      <c r="A525" s="36"/>
      <c r="B525" s="55"/>
      <c r="C525" s="55"/>
      <c r="D525" s="55"/>
      <c r="E525" s="55"/>
      <c r="F525" s="55"/>
      <c r="G525" s="55"/>
      <c r="H525" s="55"/>
      <c r="I525" s="55"/>
      <c r="J525" s="55"/>
      <c r="K525" s="56"/>
    </row>
    <row r="526" spans="1:11" ht="12.75" customHeight="1">
      <c r="A526" s="36"/>
      <c r="B526" s="55"/>
      <c r="C526" s="55"/>
      <c r="D526" s="55"/>
      <c r="E526" s="55"/>
      <c r="F526" s="55"/>
      <c r="G526" s="55"/>
      <c r="H526" s="55"/>
      <c r="I526" s="55"/>
      <c r="J526" s="55"/>
      <c r="K526" s="56"/>
    </row>
    <row r="527" spans="1:11" ht="12.75" customHeight="1">
      <c r="A527" s="36"/>
      <c r="B527" s="55"/>
      <c r="C527" s="55"/>
      <c r="D527" s="55"/>
      <c r="E527" s="55"/>
      <c r="F527" s="55"/>
      <c r="G527" s="55"/>
      <c r="H527" s="55"/>
      <c r="I527" s="55"/>
      <c r="J527" s="55"/>
      <c r="K527" s="56"/>
    </row>
  </sheetData>
  <mergeCells count="6">
    <mergeCell ref="C6:K6"/>
    <mergeCell ref="B6:B7"/>
    <mergeCell ref="A6:A7"/>
    <mergeCell ref="A2:K2"/>
    <mergeCell ref="A3:K3"/>
    <mergeCell ref="A4:K4"/>
  </mergeCells>
  <phoneticPr fontId="2" type="noConversion"/>
  <printOptions horizontalCentered="1"/>
  <pageMargins left="0.23622047244094491" right="0.15748031496062992" top="0.55118110236220474" bottom="0.31496062992125984" header="0" footer="0"/>
  <pageSetup scale="79" orientation="portrait" r:id="rId1"/>
  <headerFooter alignWithMargins="0"/>
  <rowBreaks count="9" manualBreakCount="9">
    <brk id="71" max="11" man="1"/>
    <brk id="132" max="11" man="1"/>
    <brk id="192" max="11" man="1"/>
    <brk id="253" max="11" man="1"/>
    <brk id="314" max="11" man="1"/>
    <brk id="376" max="11" man="1"/>
    <brk id="423" max="11" man="1"/>
    <brk id="462" max="11" man="1"/>
    <brk id="501" max="11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77"/>
  <sheetViews>
    <sheetView showGridLines="0" zoomScaleNormal="100" zoomScaleSheetLayoutView="100" workbookViewId="0">
      <selection activeCell="J62" sqref="J62"/>
    </sheetView>
  </sheetViews>
  <sheetFormatPr baseColWidth="10" defaultColWidth="11.42578125" defaultRowHeight="12.75"/>
  <cols>
    <col min="1" max="1" width="19.140625" style="196" customWidth="1"/>
    <col min="2" max="2" width="10.7109375" style="181" customWidth="1"/>
    <col min="3" max="3" width="10.42578125" style="181" customWidth="1"/>
    <col min="4" max="4" width="9.7109375" style="181" customWidth="1"/>
    <col min="5" max="5" width="10.5703125" style="181" customWidth="1"/>
    <col min="6" max="6" width="10.7109375" style="181" customWidth="1"/>
    <col min="7" max="7" width="10.140625" style="2" customWidth="1"/>
    <col min="8" max="9" width="11.42578125" style="2"/>
    <col min="10" max="10" width="11.140625" style="2" customWidth="1"/>
    <col min="11" max="11" width="11.42578125" style="2" customWidth="1"/>
    <col min="12" max="16384" width="11.42578125" style="2"/>
  </cols>
  <sheetData>
    <row r="1" spans="1:11" ht="11.25" customHeight="1">
      <c r="A1" s="177"/>
      <c r="B1" s="178"/>
      <c r="C1" s="178"/>
      <c r="D1" s="178"/>
      <c r="E1" s="178"/>
      <c r="F1" s="178"/>
      <c r="G1" s="178"/>
      <c r="H1" s="178"/>
    </row>
    <row r="2" spans="1:11" ht="11.25" customHeight="1">
      <c r="A2" s="415" t="s">
        <v>337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</row>
    <row r="3" spans="1:11" ht="11.25" customHeight="1">
      <c r="A3" s="376" t="s">
        <v>17</v>
      </c>
      <c r="B3" s="376"/>
      <c r="C3" s="376"/>
      <c r="D3" s="376"/>
      <c r="E3" s="376"/>
      <c r="F3" s="376"/>
      <c r="G3" s="376"/>
      <c r="H3" s="376"/>
      <c r="I3" s="376"/>
      <c r="J3" s="376"/>
      <c r="K3" s="376"/>
    </row>
    <row r="4" spans="1:11" ht="11.25" customHeight="1">
      <c r="A4" s="376" t="s">
        <v>560</v>
      </c>
      <c r="B4" s="376"/>
      <c r="C4" s="376"/>
      <c r="D4" s="376"/>
      <c r="E4" s="376"/>
      <c r="F4" s="376"/>
      <c r="G4" s="376"/>
      <c r="H4" s="376"/>
      <c r="I4" s="376"/>
      <c r="J4" s="376"/>
      <c r="K4" s="376"/>
    </row>
    <row r="5" spans="1:11" ht="11.25" customHeight="1">
      <c r="A5" s="180"/>
      <c r="B5" s="179"/>
      <c r="C5" s="179"/>
      <c r="D5" s="179"/>
      <c r="E5" s="179"/>
      <c r="F5" s="179"/>
      <c r="G5" s="179"/>
      <c r="H5" s="179"/>
      <c r="I5" s="181"/>
      <c r="J5" s="181"/>
    </row>
    <row r="6" spans="1:11" ht="12.75" customHeight="1">
      <c r="A6" s="412" t="s">
        <v>338</v>
      </c>
      <c r="B6" s="414" t="s">
        <v>339</v>
      </c>
      <c r="C6" s="414"/>
      <c r="D6" s="414"/>
      <c r="E6" s="414"/>
      <c r="F6" s="414"/>
      <c r="G6" s="414"/>
      <c r="H6" s="414"/>
      <c r="I6" s="414"/>
      <c r="J6" s="414"/>
      <c r="K6" s="414"/>
    </row>
    <row r="7" spans="1:11" ht="12.75" customHeight="1">
      <c r="A7" s="413"/>
      <c r="B7" s="182">
        <v>2001</v>
      </c>
      <c r="C7" s="182">
        <v>2002</v>
      </c>
      <c r="D7" s="182">
        <v>2003</v>
      </c>
      <c r="E7" s="182">
        <v>2004</v>
      </c>
      <c r="F7" s="182">
        <v>2005</v>
      </c>
      <c r="G7" s="182">
        <v>2006</v>
      </c>
      <c r="H7" s="182">
        <v>2007</v>
      </c>
      <c r="I7" s="182">
        <v>2008</v>
      </c>
      <c r="J7" s="182">
        <v>2009</v>
      </c>
      <c r="K7" s="182">
        <v>2010</v>
      </c>
    </row>
    <row r="8" spans="1:11" ht="5.0999999999999996" customHeight="1">
      <c r="A8" s="183"/>
      <c r="B8" s="184"/>
      <c r="C8" s="184"/>
      <c r="D8" s="184"/>
      <c r="E8" s="184"/>
      <c r="F8" s="184"/>
      <c r="G8" s="184"/>
      <c r="H8" s="184"/>
      <c r="I8" s="184"/>
      <c r="J8" s="184"/>
    </row>
    <row r="9" spans="1:11" s="186" customFormat="1" ht="12.75" customHeight="1">
      <c r="A9" s="185">
        <v>2001</v>
      </c>
      <c r="B9" s="262">
        <v>136072</v>
      </c>
      <c r="C9" s="262">
        <v>15272</v>
      </c>
      <c r="D9" s="262">
        <v>5803</v>
      </c>
      <c r="E9" s="262">
        <v>4837</v>
      </c>
      <c r="F9" s="262">
        <v>4207</v>
      </c>
      <c r="G9" s="262">
        <v>4006</v>
      </c>
      <c r="H9" s="262">
        <v>4547</v>
      </c>
      <c r="I9" s="262">
        <v>3378</v>
      </c>
      <c r="J9" s="262">
        <v>3618</v>
      </c>
      <c r="K9" s="262">
        <v>2217</v>
      </c>
    </row>
    <row r="10" spans="1:11" s="186" customFormat="1" ht="5.0999999999999996" customHeight="1">
      <c r="A10" s="185"/>
      <c r="B10" s="262"/>
      <c r="C10" s="262"/>
      <c r="D10" s="262"/>
      <c r="E10" s="262"/>
      <c r="F10" s="262"/>
      <c r="G10" s="262"/>
      <c r="H10" s="262"/>
      <c r="I10" s="262"/>
      <c r="J10" s="262"/>
      <c r="K10" s="262"/>
    </row>
    <row r="11" spans="1:11" s="181" customFormat="1" ht="12.75" customHeight="1">
      <c r="A11" s="187" t="s">
        <v>38</v>
      </c>
      <c r="B11" s="263">
        <v>69458</v>
      </c>
      <c r="C11" s="263">
        <v>7784</v>
      </c>
      <c r="D11" s="263">
        <v>2873</v>
      </c>
      <c r="E11" s="263">
        <v>2486</v>
      </c>
      <c r="F11" s="263">
        <v>2132</v>
      </c>
      <c r="G11" s="263">
        <v>1990</v>
      </c>
      <c r="H11" s="263">
        <v>2320</v>
      </c>
      <c r="I11" s="263">
        <v>1725</v>
      </c>
      <c r="J11" s="263">
        <v>1829</v>
      </c>
      <c r="K11" s="263">
        <v>1087</v>
      </c>
    </row>
    <row r="12" spans="1:11" s="181" customFormat="1" ht="12.75" customHeight="1">
      <c r="A12" s="187" t="s">
        <v>39</v>
      </c>
      <c r="B12" s="263">
        <v>66614</v>
      </c>
      <c r="C12" s="263">
        <v>7488</v>
      </c>
      <c r="D12" s="263">
        <v>2930</v>
      </c>
      <c r="E12" s="263">
        <v>2351</v>
      </c>
      <c r="F12" s="263">
        <v>2075</v>
      </c>
      <c r="G12" s="263">
        <v>2016</v>
      </c>
      <c r="H12" s="263">
        <v>2227</v>
      </c>
      <c r="I12" s="263">
        <v>1653</v>
      </c>
      <c r="J12" s="263">
        <v>1789</v>
      </c>
      <c r="K12" s="263">
        <v>1130</v>
      </c>
    </row>
    <row r="13" spans="1:11" s="186" customFormat="1" ht="12.75" customHeight="1">
      <c r="A13" s="185">
        <v>2002</v>
      </c>
      <c r="B13" s="262">
        <v>0</v>
      </c>
      <c r="C13" s="262">
        <v>129192</v>
      </c>
      <c r="D13" s="262">
        <v>16262</v>
      </c>
      <c r="E13" s="262">
        <v>5462</v>
      </c>
      <c r="F13" s="262">
        <v>4786</v>
      </c>
      <c r="G13" s="262">
        <v>4494</v>
      </c>
      <c r="H13" s="262">
        <v>5981</v>
      </c>
      <c r="I13" s="262">
        <v>4536</v>
      </c>
      <c r="J13" s="262">
        <v>4666</v>
      </c>
      <c r="K13" s="262">
        <v>2678</v>
      </c>
    </row>
    <row r="14" spans="1:11" s="186" customFormat="1" ht="5.0999999999999996" customHeight="1">
      <c r="A14" s="185"/>
      <c r="B14" s="262"/>
      <c r="C14" s="262"/>
      <c r="D14" s="262"/>
      <c r="E14" s="262"/>
      <c r="F14" s="262"/>
      <c r="G14" s="262"/>
      <c r="H14" s="262"/>
      <c r="I14" s="262"/>
      <c r="J14" s="262"/>
      <c r="K14" s="262"/>
    </row>
    <row r="15" spans="1:11" s="181" customFormat="1" ht="12.75" customHeight="1">
      <c r="A15" s="187" t="s">
        <v>38</v>
      </c>
      <c r="B15" s="263">
        <v>0</v>
      </c>
      <c r="C15" s="263">
        <v>66345</v>
      </c>
      <c r="D15" s="263">
        <v>8269</v>
      </c>
      <c r="E15" s="263">
        <v>2815</v>
      </c>
      <c r="F15" s="263">
        <v>2405</v>
      </c>
      <c r="G15" s="263">
        <v>2279</v>
      </c>
      <c r="H15" s="263">
        <v>3067</v>
      </c>
      <c r="I15" s="263">
        <v>2298</v>
      </c>
      <c r="J15" s="263">
        <v>2333</v>
      </c>
      <c r="K15" s="263">
        <v>1340</v>
      </c>
    </row>
    <row r="16" spans="1:11" s="181" customFormat="1" ht="12.75" customHeight="1">
      <c r="A16" s="187" t="s">
        <v>39</v>
      </c>
      <c r="B16" s="263">
        <v>0</v>
      </c>
      <c r="C16" s="263">
        <v>62847</v>
      </c>
      <c r="D16" s="263">
        <v>7993</v>
      </c>
      <c r="E16" s="263">
        <v>2647</v>
      </c>
      <c r="F16" s="263">
        <v>2381</v>
      </c>
      <c r="G16" s="263">
        <v>2215</v>
      </c>
      <c r="H16" s="263">
        <v>2914</v>
      </c>
      <c r="I16" s="263">
        <v>2238</v>
      </c>
      <c r="J16" s="263">
        <v>2333</v>
      </c>
      <c r="K16" s="263">
        <v>1338</v>
      </c>
    </row>
    <row r="17" spans="1:11" s="181" customFormat="1" ht="5.0999999999999996" customHeight="1">
      <c r="A17" s="187"/>
      <c r="B17" s="263"/>
      <c r="C17" s="263"/>
      <c r="D17" s="263"/>
      <c r="E17" s="263"/>
      <c r="F17" s="263"/>
      <c r="G17" s="263"/>
      <c r="H17" s="263"/>
      <c r="I17" s="263"/>
      <c r="J17" s="263"/>
      <c r="K17" s="263"/>
    </row>
    <row r="18" spans="1:11" s="186" customFormat="1" ht="12.75" customHeight="1">
      <c r="A18" s="185">
        <v>2003</v>
      </c>
      <c r="B18" s="262">
        <v>0</v>
      </c>
      <c r="C18" s="262">
        <v>0</v>
      </c>
      <c r="D18" s="262">
        <v>122497</v>
      </c>
      <c r="E18" s="262">
        <v>13969</v>
      </c>
      <c r="F18" s="262">
        <v>4883</v>
      </c>
      <c r="G18" s="262">
        <v>4438</v>
      </c>
      <c r="H18" s="262">
        <v>5694</v>
      </c>
      <c r="I18" s="262">
        <v>4943</v>
      </c>
      <c r="J18" s="262">
        <v>4755</v>
      </c>
      <c r="K18" s="262">
        <v>2886</v>
      </c>
    </row>
    <row r="19" spans="1:11" s="186" customFormat="1" ht="5.0999999999999996" customHeight="1">
      <c r="A19" s="185"/>
      <c r="B19" s="262"/>
      <c r="C19" s="262"/>
      <c r="D19" s="262"/>
      <c r="E19" s="262"/>
      <c r="F19" s="262"/>
      <c r="G19" s="262"/>
      <c r="H19" s="262"/>
      <c r="I19" s="262"/>
      <c r="J19" s="262"/>
      <c r="K19" s="262"/>
    </row>
    <row r="20" spans="1:11" s="181" customFormat="1" ht="12.75" customHeight="1">
      <c r="A20" s="187" t="s">
        <v>38</v>
      </c>
      <c r="B20" s="263">
        <v>0</v>
      </c>
      <c r="C20" s="263">
        <v>0</v>
      </c>
      <c r="D20" s="263">
        <v>62661</v>
      </c>
      <c r="E20" s="263">
        <v>7245</v>
      </c>
      <c r="F20" s="263">
        <v>2443</v>
      </c>
      <c r="G20" s="263">
        <v>2228</v>
      </c>
      <c r="H20" s="263">
        <v>2926</v>
      </c>
      <c r="I20" s="263">
        <v>2525</v>
      </c>
      <c r="J20" s="263">
        <v>2396</v>
      </c>
      <c r="K20" s="263">
        <v>1446</v>
      </c>
    </row>
    <row r="21" spans="1:11" s="181" customFormat="1" ht="12.75" customHeight="1">
      <c r="A21" s="187" t="s">
        <v>39</v>
      </c>
      <c r="B21" s="263">
        <v>0</v>
      </c>
      <c r="C21" s="263">
        <v>0</v>
      </c>
      <c r="D21" s="263">
        <v>59836</v>
      </c>
      <c r="E21" s="263">
        <v>6724</v>
      </c>
      <c r="F21" s="263">
        <v>2440</v>
      </c>
      <c r="G21" s="263">
        <v>2210</v>
      </c>
      <c r="H21" s="263">
        <v>2768</v>
      </c>
      <c r="I21" s="263">
        <v>2418</v>
      </c>
      <c r="J21" s="263">
        <v>2359</v>
      </c>
      <c r="K21" s="263">
        <v>1440</v>
      </c>
    </row>
    <row r="22" spans="1:11" s="186" customFormat="1" ht="12.75" customHeight="1">
      <c r="A22" s="185">
        <v>2004</v>
      </c>
      <c r="B22" s="262">
        <v>0</v>
      </c>
      <c r="C22" s="262">
        <v>0</v>
      </c>
      <c r="D22" s="262">
        <v>0</v>
      </c>
      <c r="E22" s="262">
        <v>113629</v>
      </c>
      <c r="F22" s="262">
        <v>14168</v>
      </c>
      <c r="G22" s="262">
        <v>5190</v>
      </c>
      <c r="H22" s="262">
        <v>6242</v>
      </c>
      <c r="I22" s="262">
        <v>5126</v>
      </c>
      <c r="J22" s="262">
        <v>5696</v>
      </c>
      <c r="K22" s="262">
        <v>3455</v>
      </c>
    </row>
    <row r="23" spans="1:11" s="186" customFormat="1" ht="5.0999999999999996" customHeight="1">
      <c r="A23" s="185"/>
      <c r="B23" s="262"/>
      <c r="C23" s="262"/>
      <c r="D23" s="262"/>
      <c r="E23" s="262"/>
      <c r="F23" s="262"/>
      <c r="G23" s="262"/>
      <c r="H23" s="262"/>
      <c r="I23" s="262"/>
      <c r="J23" s="262"/>
      <c r="K23" s="262"/>
    </row>
    <row r="24" spans="1:11" s="181" customFormat="1" ht="12.75" customHeight="1">
      <c r="A24" s="187" t="s">
        <v>38</v>
      </c>
      <c r="B24" s="263">
        <v>0</v>
      </c>
      <c r="C24" s="263">
        <v>0</v>
      </c>
      <c r="D24" s="263">
        <v>0</v>
      </c>
      <c r="E24" s="263">
        <v>58439</v>
      </c>
      <c r="F24" s="263">
        <v>7245</v>
      </c>
      <c r="G24" s="263">
        <v>2683</v>
      </c>
      <c r="H24" s="263">
        <v>3211</v>
      </c>
      <c r="I24" s="263">
        <v>2659</v>
      </c>
      <c r="J24" s="263">
        <v>2918</v>
      </c>
      <c r="K24" s="263">
        <v>1751</v>
      </c>
    </row>
    <row r="25" spans="1:11" s="181" customFormat="1" ht="12.75" customHeight="1">
      <c r="A25" s="187" t="s">
        <v>39</v>
      </c>
      <c r="B25" s="263">
        <v>0</v>
      </c>
      <c r="C25" s="263">
        <v>0</v>
      </c>
      <c r="D25" s="263">
        <v>0</v>
      </c>
      <c r="E25" s="263">
        <v>55190</v>
      </c>
      <c r="F25" s="263">
        <v>6923</v>
      </c>
      <c r="G25" s="263">
        <v>2507</v>
      </c>
      <c r="H25" s="263">
        <v>3031</v>
      </c>
      <c r="I25" s="263">
        <v>2467</v>
      </c>
      <c r="J25" s="263">
        <v>2778</v>
      </c>
      <c r="K25" s="263">
        <v>1704</v>
      </c>
    </row>
    <row r="26" spans="1:11" s="181" customFormat="1" ht="5.0999999999999996" customHeight="1">
      <c r="A26" s="187"/>
      <c r="B26" s="263"/>
      <c r="C26" s="263"/>
      <c r="D26" s="263"/>
      <c r="E26" s="263"/>
      <c r="F26" s="263"/>
      <c r="G26" s="263"/>
      <c r="H26" s="263"/>
      <c r="I26" s="263"/>
      <c r="J26" s="263"/>
      <c r="K26" s="263"/>
    </row>
    <row r="27" spans="1:11" s="186" customFormat="1" ht="12.75" customHeight="1">
      <c r="A27" s="185">
        <v>2005</v>
      </c>
      <c r="B27" s="262">
        <v>0</v>
      </c>
      <c r="C27" s="262">
        <v>0</v>
      </c>
      <c r="D27" s="262">
        <v>0</v>
      </c>
      <c r="E27" s="262">
        <v>0</v>
      </c>
      <c r="F27" s="262">
        <v>110216</v>
      </c>
      <c r="G27" s="262">
        <v>13921</v>
      </c>
      <c r="H27" s="262">
        <v>7001</v>
      </c>
      <c r="I27" s="262">
        <v>5780</v>
      </c>
      <c r="J27" s="262">
        <v>5900</v>
      </c>
      <c r="K27" s="262">
        <v>4655</v>
      </c>
    </row>
    <row r="28" spans="1:11" s="186" customFormat="1" ht="5.0999999999999996" customHeight="1">
      <c r="A28" s="185"/>
      <c r="B28" s="262"/>
      <c r="C28" s="262"/>
      <c r="D28" s="262"/>
      <c r="E28" s="262"/>
      <c r="F28" s="262"/>
      <c r="G28" s="262"/>
      <c r="H28" s="262"/>
      <c r="I28" s="262"/>
      <c r="J28" s="262"/>
      <c r="K28" s="262"/>
    </row>
    <row r="29" spans="1:11" s="181" customFormat="1" ht="12.75" customHeight="1">
      <c r="A29" s="187" t="s">
        <v>38</v>
      </c>
      <c r="B29" s="263">
        <v>0</v>
      </c>
      <c r="C29" s="263">
        <v>0</v>
      </c>
      <c r="D29" s="263">
        <v>0</v>
      </c>
      <c r="E29" s="263">
        <v>0</v>
      </c>
      <c r="F29" s="263">
        <v>56055</v>
      </c>
      <c r="G29" s="263">
        <v>7084</v>
      </c>
      <c r="H29" s="263">
        <v>3587</v>
      </c>
      <c r="I29" s="263">
        <v>2920</v>
      </c>
      <c r="J29" s="263">
        <v>3013</v>
      </c>
      <c r="K29" s="263">
        <v>2412</v>
      </c>
    </row>
    <row r="30" spans="1:11" s="181" customFormat="1" ht="12.75" customHeight="1">
      <c r="A30" s="187" t="s">
        <v>39</v>
      </c>
      <c r="B30" s="263">
        <v>0</v>
      </c>
      <c r="C30" s="263">
        <v>0</v>
      </c>
      <c r="D30" s="263">
        <v>0</v>
      </c>
      <c r="E30" s="263">
        <v>0</v>
      </c>
      <c r="F30" s="263">
        <v>54161</v>
      </c>
      <c r="G30" s="263">
        <v>6837</v>
      </c>
      <c r="H30" s="263">
        <v>3414</v>
      </c>
      <c r="I30" s="263">
        <v>2860</v>
      </c>
      <c r="J30" s="263">
        <v>2887</v>
      </c>
      <c r="K30" s="263">
        <v>2243</v>
      </c>
    </row>
    <row r="31" spans="1:11" s="186" customFormat="1" ht="12.75" customHeight="1">
      <c r="A31" s="185">
        <v>2006</v>
      </c>
      <c r="B31" s="262">
        <v>0</v>
      </c>
      <c r="C31" s="262">
        <v>0</v>
      </c>
      <c r="D31" s="262">
        <v>0</v>
      </c>
      <c r="E31" s="262">
        <v>0</v>
      </c>
      <c r="F31" s="262">
        <v>0</v>
      </c>
      <c r="G31" s="262">
        <v>105698</v>
      </c>
      <c r="H31" s="262">
        <v>15466</v>
      </c>
      <c r="I31" s="262">
        <v>6205</v>
      </c>
      <c r="J31" s="262">
        <v>5962</v>
      </c>
      <c r="K31" s="262">
        <v>4335</v>
      </c>
    </row>
    <row r="32" spans="1:11" s="186" customFormat="1" ht="5.0999999999999996" customHeight="1">
      <c r="A32" s="185"/>
      <c r="B32" s="262"/>
      <c r="C32" s="262"/>
      <c r="D32" s="262"/>
      <c r="E32" s="262"/>
      <c r="F32" s="262"/>
      <c r="G32" s="262"/>
      <c r="H32" s="262"/>
      <c r="I32" s="262"/>
      <c r="J32" s="262"/>
      <c r="K32" s="262"/>
    </row>
    <row r="33" spans="1:11" s="181" customFormat="1" ht="12.75" customHeight="1">
      <c r="A33" s="187" t="s">
        <v>38</v>
      </c>
      <c r="B33" s="263">
        <v>0</v>
      </c>
      <c r="C33" s="263">
        <v>0</v>
      </c>
      <c r="D33" s="263">
        <v>0</v>
      </c>
      <c r="E33" s="263">
        <v>0</v>
      </c>
      <c r="F33" s="263">
        <v>0</v>
      </c>
      <c r="G33" s="263">
        <v>53830</v>
      </c>
      <c r="H33" s="263">
        <v>7884</v>
      </c>
      <c r="I33" s="263">
        <v>3223</v>
      </c>
      <c r="J33" s="263">
        <v>3108</v>
      </c>
      <c r="K33" s="263">
        <v>2215</v>
      </c>
    </row>
    <row r="34" spans="1:11" s="181" customFormat="1" ht="12.75" customHeight="1">
      <c r="A34" s="187" t="s">
        <v>39</v>
      </c>
      <c r="B34" s="263">
        <v>0</v>
      </c>
      <c r="C34" s="263">
        <v>0</v>
      </c>
      <c r="D34" s="263">
        <v>0</v>
      </c>
      <c r="E34" s="263">
        <v>0</v>
      </c>
      <c r="F34" s="263">
        <v>0</v>
      </c>
      <c r="G34" s="263">
        <v>51868</v>
      </c>
      <c r="H34" s="263">
        <v>7582</v>
      </c>
      <c r="I34" s="263">
        <v>2982</v>
      </c>
      <c r="J34" s="263">
        <v>2854</v>
      </c>
      <c r="K34" s="263">
        <v>2120</v>
      </c>
    </row>
    <row r="35" spans="1:11" s="186" customFormat="1" ht="12.75" customHeight="1">
      <c r="A35" s="185">
        <v>2007</v>
      </c>
      <c r="B35" s="262">
        <v>0</v>
      </c>
      <c r="C35" s="262">
        <v>0</v>
      </c>
      <c r="D35" s="262">
        <v>0</v>
      </c>
      <c r="E35" s="262">
        <v>0</v>
      </c>
      <c r="F35" s="262">
        <v>0</v>
      </c>
      <c r="G35" s="262">
        <v>0</v>
      </c>
      <c r="H35" s="262">
        <v>106494</v>
      </c>
      <c r="I35" s="262">
        <v>16138</v>
      </c>
      <c r="J35" s="262">
        <v>6579</v>
      </c>
      <c r="K35" s="262">
        <v>4714</v>
      </c>
    </row>
    <row r="36" spans="1:11" s="186" customFormat="1" ht="5.0999999999999996" customHeight="1">
      <c r="A36" s="185"/>
      <c r="B36" s="262"/>
      <c r="C36" s="262"/>
      <c r="D36" s="262"/>
      <c r="E36" s="262"/>
      <c r="F36" s="262"/>
      <c r="G36" s="262"/>
      <c r="H36" s="262"/>
      <c r="I36" s="262"/>
      <c r="J36" s="262"/>
      <c r="K36" s="262"/>
    </row>
    <row r="37" spans="1:11" s="181" customFormat="1" ht="12.75" customHeight="1">
      <c r="A37" s="187" t="s">
        <v>38</v>
      </c>
      <c r="B37" s="263">
        <v>0</v>
      </c>
      <c r="C37" s="263">
        <v>0</v>
      </c>
      <c r="D37" s="263">
        <v>0</v>
      </c>
      <c r="E37" s="263">
        <v>0</v>
      </c>
      <c r="F37" s="263">
        <v>0</v>
      </c>
      <c r="G37" s="263">
        <v>0</v>
      </c>
      <c r="H37" s="263">
        <v>54171</v>
      </c>
      <c r="I37" s="263">
        <v>8307</v>
      </c>
      <c r="J37" s="263">
        <v>3334</v>
      </c>
      <c r="K37" s="263">
        <v>2395</v>
      </c>
    </row>
    <row r="38" spans="1:11" s="181" customFormat="1" ht="12.75" customHeight="1">
      <c r="A38" s="187" t="s">
        <v>39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52323</v>
      </c>
      <c r="I38" s="263">
        <v>7831</v>
      </c>
      <c r="J38" s="263">
        <v>3245</v>
      </c>
      <c r="K38" s="263">
        <v>2319</v>
      </c>
    </row>
    <row r="39" spans="1:11" s="186" customFormat="1" ht="12.75" customHeight="1">
      <c r="A39" s="185">
        <v>2008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114764</v>
      </c>
      <c r="J39" s="262">
        <v>16111</v>
      </c>
      <c r="K39" s="262">
        <v>5846</v>
      </c>
    </row>
    <row r="40" spans="1:11" s="186" customFormat="1" ht="5.0999999999999996" customHeight="1">
      <c r="A40" s="185"/>
      <c r="B40" s="262"/>
      <c r="C40" s="262"/>
      <c r="D40" s="262"/>
      <c r="E40" s="262"/>
      <c r="F40" s="262"/>
      <c r="G40" s="262"/>
      <c r="H40" s="262"/>
      <c r="I40" s="262"/>
      <c r="J40" s="262"/>
      <c r="K40" s="262"/>
    </row>
    <row r="41" spans="1:11" s="181" customFormat="1" ht="12.75" customHeight="1">
      <c r="A41" s="187" t="s">
        <v>38</v>
      </c>
      <c r="B41" s="263">
        <v>0</v>
      </c>
      <c r="C41" s="263">
        <v>0</v>
      </c>
      <c r="D41" s="263">
        <v>0</v>
      </c>
      <c r="E41" s="263">
        <v>0</v>
      </c>
      <c r="F41" s="263">
        <v>0</v>
      </c>
      <c r="G41" s="263">
        <v>0</v>
      </c>
      <c r="H41" s="263">
        <v>0</v>
      </c>
      <c r="I41" s="263">
        <v>58246</v>
      </c>
      <c r="J41" s="263">
        <v>8333</v>
      </c>
      <c r="K41" s="263">
        <v>2991</v>
      </c>
    </row>
    <row r="42" spans="1:11" s="181" customFormat="1" ht="12.75" customHeight="1">
      <c r="A42" s="187" t="s">
        <v>39</v>
      </c>
      <c r="B42" s="263">
        <v>0</v>
      </c>
      <c r="C42" s="263">
        <v>0</v>
      </c>
      <c r="D42" s="263">
        <v>0</v>
      </c>
      <c r="E42" s="263">
        <v>0</v>
      </c>
      <c r="F42" s="263">
        <v>0</v>
      </c>
      <c r="G42" s="263">
        <v>0</v>
      </c>
      <c r="H42" s="263">
        <v>0</v>
      </c>
      <c r="I42" s="263">
        <v>56518</v>
      </c>
      <c r="J42" s="263">
        <v>7778</v>
      </c>
      <c r="K42" s="263">
        <v>2855</v>
      </c>
    </row>
    <row r="43" spans="1:11" s="186" customFormat="1" ht="12.75" customHeight="1">
      <c r="A43" s="185">
        <v>2009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117634</v>
      </c>
      <c r="K43" s="262">
        <v>17240</v>
      </c>
    </row>
    <row r="44" spans="1:11" s="186" customFormat="1" ht="5.0999999999999996" customHeight="1">
      <c r="A44" s="185"/>
      <c r="B44" s="262"/>
      <c r="C44" s="262"/>
      <c r="D44" s="262"/>
      <c r="E44" s="262"/>
      <c r="F44" s="262"/>
      <c r="G44" s="262"/>
      <c r="H44" s="262"/>
      <c r="I44" s="262"/>
      <c r="J44" s="262"/>
      <c r="K44" s="262"/>
    </row>
    <row r="45" spans="1:11" s="181" customFormat="1" ht="12.75" customHeight="1">
      <c r="A45" s="187" t="s">
        <v>38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60162</v>
      </c>
      <c r="K45" s="263">
        <v>8785</v>
      </c>
    </row>
    <row r="46" spans="1:11" s="181" customFormat="1" ht="12.75" customHeight="1">
      <c r="A46" s="187" t="s">
        <v>39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57472</v>
      </c>
      <c r="K46" s="263">
        <v>8455</v>
      </c>
    </row>
    <row r="47" spans="1:11" s="181" customFormat="1" ht="5.0999999999999996" customHeight="1">
      <c r="A47" s="187"/>
      <c r="B47" s="263"/>
      <c r="C47" s="263"/>
      <c r="D47" s="263"/>
      <c r="E47" s="263"/>
      <c r="F47" s="263"/>
      <c r="G47" s="263"/>
      <c r="H47" s="263"/>
      <c r="I47" s="263"/>
      <c r="J47" s="263"/>
      <c r="K47" s="263"/>
    </row>
    <row r="48" spans="1:11" s="181" customFormat="1" ht="12.75" customHeight="1">
      <c r="A48" s="185">
        <v>2010</v>
      </c>
      <c r="B48" s="262">
        <v>0</v>
      </c>
      <c r="C48" s="262">
        <v>0</v>
      </c>
      <c r="D48" s="262">
        <v>0</v>
      </c>
      <c r="E48" s="262">
        <v>0</v>
      </c>
      <c r="F48" s="262">
        <v>0</v>
      </c>
      <c r="G48" s="262">
        <v>0</v>
      </c>
      <c r="H48" s="262">
        <v>0</v>
      </c>
      <c r="I48" s="262">
        <v>0</v>
      </c>
      <c r="J48" s="262">
        <v>0</v>
      </c>
      <c r="K48" s="262">
        <v>121159</v>
      </c>
    </row>
    <row r="49" spans="1:11" s="181" customFormat="1" ht="5.0999999999999996" customHeight="1">
      <c r="A49" s="185"/>
      <c r="B49" s="262"/>
      <c r="C49" s="262"/>
      <c r="D49" s="262"/>
      <c r="E49" s="262"/>
      <c r="F49" s="262"/>
      <c r="G49" s="262"/>
      <c r="H49" s="262"/>
      <c r="I49" s="262"/>
      <c r="J49" s="262"/>
      <c r="K49" s="262"/>
    </row>
    <row r="50" spans="1:11" s="181" customFormat="1" ht="12.75" customHeight="1">
      <c r="A50" s="187" t="s">
        <v>38</v>
      </c>
      <c r="B50" s="263">
        <v>0</v>
      </c>
      <c r="C50" s="263">
        <v>0</v>
      </c>
      <c r="D50" s="263">
        <v>0</v>
      </c>
      <c r="E50" s="263">
        <v>0</v>
      </c>
      <c r="F50" s="263">
        <v>0</v>
      </c>
      <c r="G50" s="263">
        <v>0</v>
      </c>
      <c r="H50" s="263">
        <v>0</v>
      </c>
      <c r="I50" s="263">
        <v>0</v>
      </c>
      <c r="J50" s="263">
        <v>0</v>
      </c>
      <c r="K50" s="263">
        <v>61975</v>
      </c>
    </row>
    <row r="51" spans="1:11" s="181" customFormat="1" ht="12.75" customHeight="1">
      <c r="A51" s="187" t="s">
        <v>39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59184</v>
      </c>
    </row>
    <row r="52" spans="1:11" s="181" customFormat="1" ht="5.0999999999999996" customHeight="1">
      <c r="A52" s="187"/>
      <c r="B52" s="263"/>
      <c r="C52" s="263"/>
      <c r="D52" s="263"/>
      <c r="E52" s="263"/>
      <c r="F52" s="263"/>
      <c r="G52" s="263"/>
      <c r="H52" s="263"/>
      <c r="I52" s="263"/>
      <c r="J52" s="263"/>
      <c r="K52" s="264"/>
    </row>
    <row r="53" spans="1:11" s="186" customFormat="1" ht="12.75" customHeight="1">
      <c r="A53" s="185" t="s">
        <v>52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228</v>
      </c>
      <c r="I53" s="262">
        <v>63</v>
      </c>
      <c r="J53" s="262">
        <v>91</v>
      </c>
      <c r="K53" s="262">
        <v>91</v>
      </c>
    </row>
    <row r="54" spans="1:11" s="186" customFormat="1" ht="5.0999999999999996" customHeight="1">
      <c r="A54" s="185"/>
      <c r="B54" s="262"/>
      <c r="C54" s="262"/>
      <c r="D54" s="262"/>
      <c r="E54" s="262"/>
      <c r="F54" s="262"/>
      <c r="G54" s="262"/>
      <c r="H54" s="262"/>
      <c r="I54" s="262"/>
      <c r="J54" s="262"/>
      <c r="K54" s="262"/>
    </row>
    <row r="55" spans="1:11" s="181" customFormat="1" ht="12.75" customHeight="1">
      <c r="A55" s="187" t="s">
        <v>38</v>
      </c>
      <c r="B55" s="263">
        <v>0</v>
      </c>
      <c r="C55" s="263">
        <v>0</v>
      </c>
      <c r="D55" s="263">
        <v>0</v>
      </c>
      <c r="E55" s="263">
        <v>0</v>
      </c>
      <c r="F55" s="263">
        <v>0</v>
      </c>
      <c r="G55" s="263">
        <v>0</v>
      </c>
      <c r="H55" s="263">
        <v>109</v>
      </c>
      <c r="I55" s="263">
        <v>40</v>
      </c>
      <c r="J55" s="263">
        <v>56</v>
      </c>
      <c r="K55" s="263">
        <v>45</v>
      </c>
    </row>
    <row r="56" spans="1:11" s="181" customFormat="1" ht="12.75" customHeight="1">
      <c r="A56" s="187" t="s">
        <v>39</v>
      </c>
      <c r="B56" s="263">
        <v>0</v>
      </c>
      <c r="C56" s="263">
        <v>0</v>
      </c>
      <c r="D56" s="263">
        <v>0</v>
      </c>
      <c r="E56" s="263">
        <v>0</v>
      </c>
      <c r="F56" s="263">
        <v>0</v>
      </c>
      <c r="G56" s="263">
        <v>0</v>
      </c>
      <c r="H56" s="263">
        <v>119</v>
      </c>
      <c r="I56" s="263">
        <v>23</v>
      </c>
      <c r="J56" s="263">
        <v>35</v>
      </c>
      <c r="K56" s="263">
        <v>46</v>
      </c>
    </row>
    <row r="57" spans="1:11" s="181" customFormat="1" ht="5.0999999999999996" customHeight="1">
      <c r="A57" s="188"/>
      <c r="B57" s="189"/>
      <c r="C57" s="190"/>
      <c r="D57" s="190"/>
      <c r="E57" s="191"/>
      <c r="F57" s="190"/>
      <c r="G57" s="190"/>
      <c r="H57" s="190"/>
      <c r="I57" s="191"/>
      <c r="J57" s="191"/>
      <c r="K57" s="190"/>
    </row>
    <row r="58" spans="1:11" s="181" customFormat="1" ht="5.0999999999999996" customHeight="1">
      <c r="A58" s="196"/>
      <c r="B58" s="192"/>
      <c r="E58" s="193"/>
      <c r="I58" s="193"/>
      <c r="J58" s="193"/>
    </row>
    <row r="59" spans="1:11" s="181" customFormat="1" ht="12.75" customHeight="1">
      <c r="A59" s="74" t="s">
        <v>319</v>
      </c>
      <c r="B59" s="216"/>
      <c r="C59" s="217"/>
      <c r="D59" s="217"/>
      <c r="E59" s="217"/>
      <c r="F59" s="218"/>
      <c r="G59" s="218"/>
      <c r="H59" s="218"/>
    </row>
    <row r="60" spans="1:11" s="181" customFormat="1" ht="12.75" customHeight="1">
      <c r="A60" s="74" t="s">
        <v>375</v>
      </c>
      <c r="B60" s="217"/>
      <c r="C60" s="217"/>
      <c r="D60" s="217"/>
      <c r="E60" s="218"/>
      <c r="F60" s="218"/>
      <c r="G60" s="218"/>
      <c r="H60" s="218"/>
    </row>
    <row r="61" spans="1:11" s="181" customFormat="1" ht="12.75" customHeight="1">
      <c r="A61" s="194"/>
      <c r="B61" s="193"/>
      <c r="C61" s="193"/>
      <c r="D61" s="193"/>
    </row>
    <row r="62" spans="1:11" s="181" customFormat="1" ht="12.75" customHeight="1">
      <c r="A62" s="194"/>
      <c r="B62" s="193"/>
      <c r="C62" s="193"/>
      <c r="D62" s="193"/>
    </row>
    <row r="63" spans="1:11" s="181" customFormat="1" ht="12.75" customHeight="1">
      <c r="A63" s="195"/>
      <c r="B63" s="193"/>
      <c r="C63" s="193"/>
      <c r="D63" s="193"/>
    </row>
    <row r="64" spans="1:11" s="181" customFormat="1" ht="12.75" customHeight="1">
      <c r="A64" s="194"/>
      <c r="B64" s="193"/>
      <c r="C64" s="193"/>
      <c r="D64" s="193"/>
    </row>
    <row r="65" spans="1:4" ht="12.75" customHeight="1">
      <c r="A65" s="194"/>
      <c r="B65" s="193"/>
      <c r="C65" s="193"/>
      <c r="D65" s="193"/>
    </row>
    <row r="66" spans="1:4" ht="12.75" customHeight="1">
      <c r="A66" s="195"/>
      <c r="B66" s="193"/>
      <c r="C66" s="193"/>
      <c r="D66" s="193"/>
    </row>
    <row r="67" spans="1:4" ht="12.75" customHeight="1">
      <c r="A67" s="194"/>
      <c r="B67" s="193"/>
      <c r="C67" s="193"/>
      <c r="D67" s="193"/>
    </row>
    <row r="68" spans="1:4">
      <c r="A68" s="194"/>
      <c r="B68" s="193"/>
      <c r="C68" s="193"/>
      <c r="D68" s="193"/>
    </row>
    <row r="69" spans="1:4" ht="12.75" customHeight="1">
      <c r="A69" s="195"/>
      <c r="B69" s="193"/>
      <c r="C69" s="193"/>
      <c r="D69" s="193"/>
    </row>
    <row r="70" spans="1:4">
      <c r="A70" s="194"/>
      <c r="B70" s="193"/>
      <c r="C70" s="193"/>
      <c r="D70" s="193"/>
    </row>
    <row r="71" spans="1:4">
      <c r="A71" s="194"/>
      <c r="B71" s="193"/>
      <c r="C71" s="193"/>
      <c r="D71" s="193"/>
    </row>
    <row r="72" spans="1:4" ht="12.75" customHeight="1">
      <c r="A72" s="195"/>
      <c r="B72" s="193"/>
      <c r="C72" s="193"/>
      <c r="D72" s="193"/>
    </row>
    <row r="73" spans="1:4">
      <c r="A73" s="194"/>
      <c r="B73" s="193"/>
      <c r="C73" s="193"/>
      <c r="D73" s="193"/>
    </row>
    <row r="74" spans="1:4">
      <c r="A74" s="194"/>
      <c r="B74" s="193"/>
      <c r="C74" s="193"/>
      <c r="D74" s="193"/>
    </row>
    <row r="75" spans="1:4" ht="12.75" customHeight="1">
      <c r="A75" s="195"/>
      <c r="B75" s="193"/>
      <c r="C75" s="193"/>
      <c r="D75" s="193"/>
    </row>
    <row r="76" spans="1:4">
      <c r="A76" s="194"/>
      <c r="B76" s="193"/>
      <c r="C76" s="193"/>
      <c r="D76" s="193"/>
    </row>
    <row r="77" spans="1:4">
      <c r="A77" s="194"/>
      <c r="B77" s="193"/>
      <c r="C77" s="193"/>
      <c r="D77" s="193"/>
    </row>
  </sheetData>
  <mergeCells count="5">
    <mergeCell ref="A6:A7"/>
    <mergeCell ref="B6:K6"/>
    <mergeCell ref="A4:K4"/>
    <mergeCell ref="A3:K3"/>
    <mergeCell ref="A2:K2"/>
  </mergeCells>
  <phoneticPr fontId="2" type="noConversion"/>
  <printOptions horizontalCentered="1"/>
  <pageMargins left="0.23622047244094491" right="0.23622047244094491" top="0.98425196850393704" bottom="0.98425196850393704" header="0" footer="0"/>
  <pageSetup scale="90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27"/>
  <dimension ref="A1:B12"/>
  <sheetViews>
    <sheetView zoomScaleNormal="75" workbookViewId="0"/>
  </sheetViews>
  <sheetFormatPr baseColWidth="10" defaultColWidth="11.42578125" defaultRowHeight="12.75"/>
  <cols>
    <col min="1" max="1" width="123.5703125" style="3" customWidth="1"/>
    <col min="2" max="16384" width="11.42578125" style="3"/>
  </cols>
  <sheetData>
    <row r="1" spans="1:2" s="8" customFormat="1" ht="21" customHeight="1">
      <c r="A1" s="21" t="s">
        <v>2</v>
      </c>
    </row>
    <row r="2" spans="1:2" s="20" customFormat="1" ht="31.5" customHeight="1">
      <c r="A2" s="15" t="s">
        <v>519</v>
      </c>
      <c r="B2" s="19"/>
    </row>
    <row r="3" spans="1:2" s="20" customFormat="1" ht="31.5" customHeight="1">
      <c r="A3" s="15" t="s">
        <v>520</v>
      </c>
      <c r="B3" s="19"/>
    </row>
    <row r="4" spans="1:2" s="20" customFormat="1" ht="31.5" customHeight="1">
      <c r="A4" s="15" t="s">
        <v>521</v>
      </c>
      <c r="B4" s="19"/>
    </row>
    <row r="5" spans="1:2" s="20" customFormat="1" ht="31.5" customHeight="1">
      <c r="A5" s="15" t="s">
        <v>522</v>
      </c>
      <c r="B5" s="19"/>
    </row>
    <row r="6" spans="1:2" s="20" customFormat="1" ht="31.5" customHeight="1">
      <c r="A6" s="15" t="s">
        <v>523</v>
      </c>
      <c r="B6" s="19"/>
    </row>
    <row r="7" spans="1:2" s="20" customFormat="1" ht="31.5" customHeight="1">
      <c r="A7" s="15" t="s">
        <v>524</v>
      </c>
      <c r="B7" s="19"/>
    </row>
    <row r="8" spans="1:2" s="20" customFormat="1" ht="31.5" customHeight="1">
      <c r="A8" s="15" t="s">
        <v>525</v>
      </c>
      <c r="B8" s="19"/>
    </row>
    <row r="9" spans="1:2" s="20" customFormat="1" ht="31.5" customHeight="1">
      <c r="A9" s="15" t="s">
        <v>526</v>
      </c>
      <c r="B9" s="19"/>
    </row>
    <row r="10" spans="1:2" s="20" customFormat="1" ht="31.5" customHeight="1">
      <c r="A10" s="15" t="s">
        <v>527</v>
      </c>
      <c r="B10" s="19"/>
    </row>
    <row r="11" spans="1:2" s="20" customFormat="1" ht="31.5" customHeight="1">
      <c r="A11" s="15" t="s">
        <v>528</v>
      </c>
      <c r="B11" s="19"/>
    </row>
    <row r="12" spans="1:2" s="9" customFormat="1" ht="21" customHeight="1">
      <c r="A12" s="10" t="s">
        <v>0</v>
      </c>
    </row>
  </sheetData>
  <phoneticPr fontId="0" type="noConversion"/>
  <hyperlinks>
    <hyperlink ref="A12" location="Indice!A1" display="VOLVER AL ÍNDICE"/>
    <hyperlink ref="A2" location="'2.1'!A1" display="2.1 Defunciones ocurridas, por sexo según mes, 2008"/>
    <hyperlink ref="A3" location="'2.2'!A1" display="2.2 Defunciones ocurridas, por sexo, según provincia de ocurrencia del fallecimiento y mes de la defunción, 2008"/>
    <hyperlink ref="A4" location="'2.3'!A1" display="2.3 Defunciones registradas, según año de ocurrencia, 1900-2008"/>
    <hyperlink ref="A5" location="'2.4'!A1" display="2.4 Defunciones ocurridas, por sexo, según provincia de residencia del fallecido y persona que informó la defunción, 2008"/>
    <hyperlink ref="A6" location="'2.5'!A1" display="2.5 Defunciones registradas, por sexo, según provincia de registro y grupos quinquenales, 2008"/>
    <hyperlink ref="A7" location="'2.6'!A1" display="2.6 Defunciones ocurridas, por sexo y nacionalidad del fallecido, según provincia y Municipio, 2008"/>
    <hyperlink ref="A8" location="'2.7'!A1" display="2.7 Defunciones ocurridas por zona de residencia del fallecido, según provincia de registro y persona que informó la defunción, 2008"/>
    <hyperlink ref="A9" location="'2.8'!A1" display="2.8 Defunciones ocurridas por sexo del fallecido, según provincia de nacimiento y grupo de edad del fallecido, 2008"/>
    <hyperlink ref="A10" location="'2.9'!A1" display="2.9 Defunciones por zona de ocurrencia y sexo, según provincia de registro y edad del fallecido, 2008"/>
    <hyperlink ref="A11" location="'2.10'!A1" display="2.10 Defunciones por zona de ocurrencia, según provincia y grupo de edad del fallecido, 2008"/>
  </hyperlinks>
  <printOptions horizontalCentered="1"/>
  <pageMargins left="0.25" right="0.25" top="0.98425196850393704" bottom="0.98425196850393704" header="0" footer="0"/>
  <pageSetup scale="85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B2:N27"/>
  <sheetViews>
    <sheetView showGridLines="0" zoomScaleNormal="100" workbookViewId="0">
      <selection activeCell="I26" sqref="I26"/>
    </sheetView>
  </sheetViews>
  <sheetFormatPr baseColWidth="10" defaultColWidth="11.42578125" defaultRowHeight="12.75"/>
  <cols>
    <col min="1" max="1" width="11.42578125" style="76"/>
    <col min="2" max="2" width="25.28515625" style="86" customWidth="1"/>
    <col min="3" max="5" width="11.42578125" style="76"/>
    <col min="6" max="6" width="12" style="76" customWidth="1"/>
    <col min="7" max="16384" width="11.42578125" style="76"/>
  </cols>
  <sheetData>
    <row r="2" spans="2:14" s="75" customFormat="1" ht="11.25" customHeight="1">
      <c r="B2" s="416" t="s">
        <v>236</v>
      </c>
      <c r="C2" s="416"/>
      <c r="D2" s="416"/>
      <c r="E2" s="416"/>
      <c r="F2" s="416"/>
    </row>
    <row r="3" spans="2:14" ht="11.25" customHeight="1">
      <c r="B3" s="422" t="s">
        <v>17</v>
      </c>
      <c r="C3" s="422"/>
      <c r="D3" s="422"/>
      <c r="E3" s="422"/>
      <c r="F3" s="422"/>
    </row>
    <row r="4" spans="2:14" ht="11.25" customHeight="1">
      <c r="B4" s="422" t="s">
        <v>467</v>
      </c>
      <c r="C4" s="422"/>
      <c r="D4" s="422"/>
      <c r="E4" s="422"/>
      <c r="F4" s="422"/>
    </row>
    <row r="5" spans="2:14" ht="11.25" customHeight="1"/>
    <row r="6" spans="2:14" s="75" customFormat="1" ht="12.75" customHeight="1">
      <c r="B6" s="417" t="s">
        <v>237</v>
      </c>
      <c r="C6" s="419" t="s">
        <v>61</v>
      </c>
      <c r="D6" s="421" t="s">
        <v>75</v>
      </c>
      <c r="E6" s="421"/>
      <c r="F6" s="421"/>
      <c r="M6" s="76"/>
      <c r="N6" s="76"/>
    </row>
    <row r="7" spans="2:14" s="75" customFormat="1">
      <c r="B7" s="418"/>
      <c r="C7" s="420"/>
      <c r="D7" s="77" t="s">
        <v>38</v>
      </c>
      <c r="E7" s="77" t="s">
        <v>39</v>
      </c>
      <c r="F7" s="77" t="s">
        <v>466</v>
      </c>
      <c r="N7" s="76"/>
    </row>
    <row r="8" spans="2:14" ht="4.5" customHeight="1">
      <c r="B8" s="78"/>
      <c r="C8" s="79"/>
      <c r="D8" s="79"/>
      <c r="E8" s="79"/>
    </row>
    <row r="9" spans="2:14" s="75" customFormat="1" ht="12.75" customHeight="1">
      <c r="B9" s="292" t="s">
        <v>571</v>
      </c>
      <c r="C9" s="81">
        <f>SUM(C11:C23)</f>
        <v>34157</v>
      </c>
      <c r="D9" s="81">
        <f>SUM(D11:D23)</f>
        <v>21604</v>
      </c>
      <c r="E9" s="81">
        <f>SUM(E11:E23)</f>
        <v>12528</v>
      </c>
      <c r="F9" s="81">
        <f>SUM(F11:F23)</f>
        <v>25</v>
      </c>
      <c r="N9" s="76"/>
    </row>
    <row r="10" spans="2:14" ht="4.5" customHeight="1">
      <c r="B10" s="82"/>
      <c r="C10" s="83"/>
      <c r="D10" s="83"/>
      <c r="E10" s="83"/>
      <c r="F10" s="83"/>
      <c r="J10" s="75"/>
      <c r="K10" s="75"/>
      <c r="L10" s="75"/>
    </row>
    <row r="11" spans="2:14">
      <c r="B11" s="82" t="s">
        <v>21</v>
      </c>
      <c r="C11" s="83">
        <f>+D11+E11+F11</f>
        <v>2961</v>
      </c>
      <c r="D11" s="83">
        <v>1893</v>
      </c>
      <c r="E11" s="83">
        <v>1067</v>
      </c>
      <c r="F11" s="83">
        <v>1</v>
      </c>
      <c r="H11" s="75"/>
      <c r="I11" s="75"/>
    </row>
    <row r="12" spans="2:14">
      <c r="B12" s="82" t="s">
        <v>22</v>
      </c>
      <c r="C12" s="83">
        <f t="shared" ref="C12:C23" si="0">+D12+E12+F12</f>
        <v>3260</v>
      </c>
      <c r="D12" s="83">
        <v>2117</v>
      </c>
      <c r="E12" s="83">
        <v>1140</v>
      </c>
      <c r="F12" s="83">
        <v>3</v>
      </c>
    </row>
    <row r="13" spans="2:14">
      <c r="B13" s="82" t="s">
        <v>23</v>
      </c>
      <c r="C13" s="83">
        <f t="shared" si="0"/>
        <v>3349</v>
      </c>
      <c r="D13" s="83">
        <v>2166</v>
      </c>
      <c r="E13" s="83">
        <v>1177</v>
      </c>
      <c r="F13" s="83">
        <v>6</v>
      </c>
    </row>
    <row r="14" spans="2:14">
      <c r="B14" s="82" t="s">
        <v>24</v>
      </c>
      <c r="C14" s="83">
        <f t="shared" si="0"/>
        <v>2783</v>
      </c>
      <c r="D14" s="83">
        <v>1822</v>
      </c>
      <c r="E14" s="83">
        <v>958</v>
      </c>
      <c r="F14" s="83">
        <v>3</v>
      </c>
    </row>
    <row r="15" spans="2:14">
      <c r="B15" s="82" t="s">
        <v>25</v>
      </c>
      <c r="C15" s="83">
        <f t="shared" si="0"/>
        <v>2768</v>
      </c>
      <c r="D15" s="83">
        <v>1765</v>
      </c>
      <c r="E15" s="83">
        <v>1001</v>
      </c>
      <c r="F15" s="83">
        <v>2</v>
      </c>
    </row>
    <row r="16" spans="2:14">
      <c r="B16" s="82" t="s">
        <v>26</v>
      </c>
      <c r="C16" s="83">
        <f t="shared" si="0"/>
        <v>2753</v>
      </c>
      <c r="D16" s="83">
        <v>1747</v>
      </c>
      <c r="E16" s="83">
        <v>1002</v>
      </c>
      <c r="F16" s="83">
        <v>4</v>
      </c>
    </row>
    <row r="17" spans="2:6">
      <c r="B17" s="82" t="s">
        <v>27</v>
      </c>
      <c r="C17" s="83">
        <f t="shared" si="0"/>
        <v>3213</v>
      </c>
      <c r="D17" s="83">
        <v>1987</v>
      </c>
      <c r="E17" s="83">
        <v>1225</v>
      </c>
      <c r="F17" s="83">
        <v>1</v>
      </c>
    </row>
    <row r="18" spans="2:6">
      <c r="B18" s="82" t="s">
        <v>28</v>
      </c>
      <c r="C18" s="83">
        <f t="shared" si="0"/>
        <v>2777</v>
      </c>
      <c r="D18" s="83">
        <v>1662</v>
      </c>
      <c r="E18" s="83">
        <v>1115</v>
      </c>
      <c r="F18" s="83">
        <v>0</v>
      </c>
    </row>
    <row r="19" spans="2:6">
      <c r="B19" s="82" t="s">
        <v>29</v>
      </c>
      <c r="C19" s="83">
        <f t="shared" si="0"/>
        <v>2552</v>
      </c>
      <c r="D19" s="83">
        <v>1592</v>
      </c>
      <c r="E19" s="83">
        <v>959</v>
      </c>
      <c r="F19" s="83">
        <v>1</v>
      </c>
    </row>
    <row r="20" spans="2:6">
      <c r="B20" s="82" t="s">
        <v>30</v>
      </c>
      <c r="C20" s="83">
        <f t="shared" si="0"/>
        <v>2661</v>
      </c>
      <c r="D20" s="83">
        <v>1645</v>
      </c>
      <c r="E20" s="83">
        <v>1014</v>
      </c>
      <c r="F20" s="83">
        <v>2</v>
      </c>
    </row>
    <row r="21" spans="2:6">
      <c r="B21" s="82" t="s">
        <v>31</v>
      </c>
      <c r="C21" s="83">
        <f t="shared" si="0"/>
        <v>2558</v>
      </c>
      <c r="D21" s="83">
        <v>1600</v>
      </c>
      <c r="E21" s="83">
        <v>956</v>
      </c>
      <c r="F21" s="83">
        <v>2</v>
      </c>
    </row>
    <row r="22" spans="2:6">
      <c r="B22" s="82" t="s">
        <v>32</v>
      </c>
      <c r="C22" s="83">
        <f t="shared" si="0"/>
        <v>2504</v>
      </c>
      <c r="D22" s="83">
        <v>1598</v>
      </c>
      <c r="E22" s="83">
        <v>906</v>
      </c>
      <c r="F22" s="83">
        <v>0</v>
      </c>
    </row>
    <row r="23" spans="2:6">
      <c r="B23" s="82" t="s">
        <v>45</v>
      </c>
      <c r="C23" s="83">
        <f t="shared" si="0"/>
        <v>18</v>
      </c>
      <c r="D23" s="83">
        <v>10</v>
      </c>
      <c r="E23" s="83">
        <v>8</v>
      </c>
      <c r="F23" s="83">
        <v>0</v>
      </c>
    </row>
    <row r="24" spans="2:6" ht="4.5" customHeight="1">
      <c r="B24" s="84"/>
      <c r="C24" s="85"/>
      <c r="D24" s="220"/>
      <c r="E24" s="220"/>
      <c r="F24" s="220"/>
    </row>
    <row r="25" spans="2:6" ht="4.5" customHeight="1"/>
    <row r="26" spans="2:6" ht="11.25" customHeight="1">
      <c r="B26" s="87" t="s">
        <v>71</v>
      </c>
    </row>
    <row r="27" spans="2:6" ht="11.25" customHeight="1">
      <c r="B27" s="87" t="s">
        <v>231</v>
      </c>
    </row>
  </sheetData>
  <mergeCells count="6">
    <mergeCell ref="B2:F2"/>
    <mergeCell ref="B6:B7"/>
    <mergeCell ref="C6:C7"/>
    <mergeCell ref="D6:F6"/>
    <mergeCell ref="B4:F4"/>
    <mergeCell ref="B3:F3"/>
  </mergeCells>
  <phoneticPr fontId="2" type="noConversion"/>
  <printOptions horizontalCentered="1"/>
  <pageMargins left="0.78740157480314965" right="0.78740157480314965" top="0.31496062992125984" bottom="0.43307086614173229" header="0" footer="0"/>
  <pageSetup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2:F544"/>
  <sheetViews>
    <sheetView workbookViewId="0">
      <selection activeCell="G27" sqref="G27"/>
    </sheetView>
  </sheetViews>
  <sheetFormatPr baseColWidth="10" defaultColWidth="11.42578125" defaultRowHeight="12.75"/>
  <cols>
    <col min="1" max="1" width="18.5703125" style="290" customWidth="1"/>
    <col min="2" max="2" width="12.28515625" style="290" customWidth="1"/>
    <col min="3" max="3" width="12.7109375" style="290" customWidth="1"/>
    <col min="4" max="4" width="12.28515625" style="290" customWidth="1"/>
    <col min="5" max="5" width="12" style="290" customWidth="1"/>
    <col min="6" max="16384" width="11.42578125" style="290"/>
  </cols>
  <sheetData>
    <row r="2" spans="1:6">
      <c r="A2" s="428" t="s">
        <v>239</v>
      </c>
      <c r="B2" s="428"/>
      <c r="C2" s="428"/>
      <c r="D2" s="428"/>
      <c r="E2" s="428"/>
    </row>
    <row r="3" spans="1:6">
      <c r="A3" s="428" t="s">
        <v>17</v>
      </c>
      <c r="B3" s="428"/>
      <c r="C3" s="428"/>
      <c r="D3" s="428"/>
      <c r="E3" s="428"/>
    </row>
    <row r="4" spans="1:6">
      <c r="A4" s="428" t="s">
        <v>494</v>
      </c>
      <c r="B4" s="428"/>
      <c r="C4" s="428"/>
      <c r="D4" s="428"/>
      <c r="E4" s="428"/>
    </row>
    <row r="6" spans="1:6" ht="13.5" customHeight="1">
      <c r="A6" s="426" t="s">
        <v>496</v>
      </c>
      <c r="B6" s="424" t="s">
        <v>61</v>
      </c>
      <c r="C6" s="423" t="s">
        <v>495</v>
      </c>
      <c r="D6" s="423"/>
      <c r="E6" s="423"/>
    </row>
    <row r="7" spans="1:6" ht="12" customHeight="1">
      <c r="A7" s="427"/>
      <c r="B7" s="425"/>
      <c r="C7" s="291" t="s">
        <v>38</v>
      </c>
      <c r="D7" s="291" t="s">
        <v>39</v>
      </c>
      <c r="E7" s="291" t="s">
        <v>466</v>
      </c>
    </row>
    <row r="8" spans="1:6" ht="5.0999999999999996" customHeight="1">
      <c r="A8" s="292"/>
      <c r="B8" s="293"/>
      <c r="C8" s="293"/>
      <c r="D8" s="293"/>
      <c r="E8" s="293"/>
      <c r="F8" s="294"/>
    </row>
    <row r="9" spans="1:6">
      <c r="A9" s="292" t="s">
        <v>571</v>
      </c>
      <c r="B9" s="295">
        <v>34157</v>
      </c>
      <c r="C9" s="295">
        <v>21604</v>
      </c>
      <c r="D9" s="295">
        <v>12528</v>
      </c>
      <c r="E9" s="296">
        <v>25</v>
      </c>
      <c r="F9" s="294"/>
    </row>
    <row r="10" spans="1:6" ht="5.0999999999999996" customHeight="1">
      <c r="A10" s="292"/>
      <c r="B10" s="295"/>
      <c r="C10" s="295"/>
      <c r="D10" s="295"/>
      <c r="E10" s="296"/>
      <c r="F10" s="294"/>
    </row>
    <row r="11" spans="1:6">
      <c r="A11" s="290" t="s">
        <v>21</v>
      </c>
      <c r="B11" s="297">
        <v>2961</v>
      </c>
      <c r="C11" s="297">
        <v>1893</v>
      </c>
      <c r="D11" s="297">
        <v>1067</v>
      </c>
      <c r="E11" s="298">
        <v>1</v>
      </c>
      <c r="F11" s="294"/>
    </row>
    <row r="12" spans="1:6">
      <c r="A12" s="290" t="s">
        <v>22</v>
      </c>
      <c r="B12" s="297">
        <v>3260</v>
      </c>
      <c r="C12" s="297">
        <v>2117</v>
      </c>
      <c r="D12" s="297">
        <v>1140</v>
      </c>
      <c r="E12" s="298">
        <v>3</v>
      </c>
      <c r="F12" s="294"/>
    </row>
    <row r="13" spans="1:6">
      <c r="A13" s="290" t="s">
        <v>23</v>
      </c>
      <c r="B13" s="297">
        <v>3349</v>
      </c>
      <c r="C13" s="297">
        <v>2166</v>
      </c>
      <c r="D13" s="297">
        <v>1177</v>
      </c>
      <c r="E13" s="298">
        <v>6</v>
      </c>
      <c r="F13" s="294"/>
    </row>
    <row r="14" spans="1:6">
      <c r="A14" s="290" t="s">
        <v>24</v>
      </c>
      <c r="B14" s="297">
        <v>2783</v>
      </c>
      <c r="C14" s="297">
        <v>1822</v>
      </c>
      <c r="D14" s="297">
        <v>958</v>
      </c>
      <c r="E14" s="298">
        <v>3</v>
      </c>
      <c r="F14" s="294"/>
    </row>
    <row r="15" spans="1:6">
      <c r="A15" s="290" t="s">
        <v>25</v>
      </c>
      <c r="B15" s="297">
        <v>2768</v>
      </c>
      <c r="C15" s="297">
        <v>1765</v>
      </c>
      <c r="D15" s="297">
        <v>1001</v>
      </c>
      <c r="E15" s="298">
        <v>2</v>
      </c>
      <c r="F15" s="294"/>
    </row>
    <row r="16" spans="1:6">
      <c r="A16" s="290" t="s">
        <v>26</v>
      </c>
      <c r="B16" s="297">
        <v>2753</v>
      </c>
      <c r="C16" s="297">
        <v>1747</v>
      </c>
      <c r="D16" s="297">
        <v>1002</v>
      </c>
      <c r="E16" s="298">
        <v>4</v>
      </c>
      <c r="F16" s="294"/>
    </row>
    <row r="17" spans="1:6">
      <c r="A17" s="290" t="s">
        <v>27</v>
      </c>
      <c r="B17" s="297">
        <v>3213</v>
      </c>
      <c r="C17" s="297">
        <v>1987</v>
      </c>
      <c r="D17" s="297">
        <v>1225</v>
      </c>
      <c r="E17" s="298">
        <v>1</v>
      </c>
      <c r="F17" s="294"/>
    </row>
    <row r="18" spans="1:6">
      <c r="A18" s="290" t="s">
        <v>28</v>
      </c>
      <c r="B18" s="297">
        <v>2777</v>
      </c>
      <c r="C18" s="297">
        <v>1662</v>
      </c>
      <c r="D18" s="297">
        <v>1115</v>
      </c>
      <c r="E18" s="298">
        <v>0</v>
      </c>
      <c r="F18" s="294"/>
    </row>
    <row r="19" spans="1:6">
      <c r="A19" s="290" t="s">
        <v>29</v>
      </c>
      <c r="B19" s="297">
        <v>2552</v>
      </c>
      <c r="C19" s="297">
        <v>1592</v>
      </c>
      <c r="D19" s="297">
        <v>959</v>
      </c>
      <c r="E19" s="298">
        <v>1</v>
      </c>
      <c r="F19" s="294"/>
    </row>
    <row r="20" spans="1:6">
      <c r="A20" s="290" t="s">
        <v>30</v>
      </c>
      <c r="B20" s="297">
        <v>2661</v>
      </c>
      <c r="C20" s="297">
        <v>1645</v>
      </c>
      <c r="D20" s="297">
        <v>1014</v>
      </c>
      <c r="E20" s="298">
        <v>2</v>
      </c>
      <c r="F20" s="294"/>
    </row>
    <row r="21" spans="1:6">
      <c r="A21" s="290" t="s">
        <v>31</v>
      </c>
      <c r="B21" s="297">
        <v>2558</v>
      </c>
      <c r="C21" s="297">
        <v>1600</v>
      </c>
      <c r="D21" s="297">
        <v>956</v>
      </c>
      <c r="E21" s="298">
        <v>2</v>
      </c>
      <c r="F21" s="294"/>
    </row>
    <row r="22" spans="1:6">
      <c r="A22" s="290" t="s">
        <v>32</v>
      </c>
      <c r="B22" s="297">
        <v>2504</v>
      </c>
      <c r="C22" s="297">
        <v>1598</v>
      </c>
      <c r="D22" s="297">
        <v>906</v>
      </c>
      <c r="E22" s="298">
        <v>0</v>
      </c>
      <c r="F22" s="294"/>
    </row>
    <row r="23" spans="1:6">
      <c r="A23" s="290" t="s">
        <v>493</v>
      </c>
      <c r="B23" s="297">
        <v>18</v>
      </c>
      <c r="C23" s="297">
        <v>10</v>
      </c>
      <c r="D23" s="297">
        <v>8</v>
      </c>
      <c r="E23" s="298">
        <v>0</v>
      </c>
      <c r="F23" s="294"/>
    </row>
    <row r="24" spans="1:6" ht="5.0999999999999996" customHeight="1">
      <c r="A24" s="292"/>
      <c r="B24" s="295"/>
      <c r="C24" s="295"/>
      <c r="D24" s="295"/>
      <c r="E24" s="296"/>
      <c r="F24" s="294"/>
    </row>
    <row r="25" spans="1:6">
      <c r="A25" s="292" t="s">
        <v>76</v>
      </c>
      <c r="B25" s="295">
        <v>8927</v>
      </c>
      <c r="C25" s="295">
        <v>6411</v>
      </c>
      <c r="D25" s="295">
        <v>2516</v>
      </c>
      <c r="E25" s="296">
        <v>0</v>
      </c>
      <c r="F25" s="294"/>
    </row>
    <row r="26" spans="1:6" ht="5.0999999999999996" customHeight="1">
      <c r="A26" s="292"/>
      <c r="B26" s="295"/>
      <c r="C26" s="295"/>
      <c r="D26" s="295"/>
      <c r="E26" s="296"/>
      <c r="F26" s="294"/>
    </row>
    <row r="27" spans="1:6">
      <c r="A27" s="290" t="s">
        <v>21</v>
      </c>
      <c r="B27" s="297">
        <v>816</v>
      </c>
      <c r="C27" s="297">
        <v>601</v>
      </c>
      <c r="D27" s="297">
        <v>215</v>
      </c>
      <c r="E27" s="298">
        <v>0</v>
      </c>
      <c r="F27" s="294"/>
    </row>
    <row r="28" spans="1:6">
      <c r="A28" s="290" t="s">
        <v>22</v>
      </c>
      <c r="B28" s="297">
        <v>1232</v>
      </c>
      <c r="C28" s="297">
        <v>907</v>
      </c>
      <c r="D28" s="297">
        <v>325</v>
      </c>
      <c r="E28" s="298">
        <v>0</v>
      </c>
      <c r="F28" s="294"/>
    </row>
    <row r="29" spans="1:6">
      <c r="A29" s="290" t="s">
        <v>23</v>
      </c>
      <c r="B29" s="297">
        <v>1104</v>
      </c>
      <c r="C29" s="297">
        <v>806</v>
      </c>
      <c r="D29" s="297">
        <v>298</v>
      </c>
      <c r="E29" s="298">
        <v>0</v>
      </c>
      <c r="F29" s="294"/>
    </row>
    <row r="30" spans="1:6">
      <c r="A30" s="290" t="s">
        <v>24</v>
      </c>
      <c r="B30" s="297">
        <v>690</v>
      </c>
      <c r="C30" s="297">
        <v>518</v>
      </c>
      <c r="D30" s="297">
        <v>172</v>
      </c>
      <c r="E30" s="298">
        <v>0</v>
      </c>
      <c r="F30" s="294"/>
    </row>
    <row r="31" spans="1:6">
      <c r="A31" s="290" t="s">
        <v>25</v>
      </c>
      <c r="B31" s="297">
        <v>742</v>
      </c>
      <c r="C31" s="297">
        <v>561</v>
      </c>
      <c r="D31" s="297">
        <v>181</v>
      </c>
      <c r="E31" s="298">
        <v>0</v>
      </c>
      <c r="F31" s="294"/>
    </row>
    <row r="32" spans="1:6">
      <c r="A32" s="290" t="s">
        <v>26</v>
      </c>
      <c r="B32" s="297">
        <v>688</v>
      </c>
      <c r="C32" s="297">
        <v>478</v>
      </c>
      <c r="D32" s="297">
        <v>210</v>
      </c>
      <c r="E32" s="298">
        <v>0</v>
      </c>
      <c r="F32" s="294"/>
    </row>
    <row r="33" spans="1:6">
      <c r="A33" s="290" t="s">
        <v>27</v>
      </c>
      <c r="B33" s="297">
        <v>782</v>
      </c>
      <c r="C33" s="297">
        <v>547</v>
      </c>
      <c r="D33" s="297">
        <v>235</v>
      </c>
      <c r="E33" s="298">
        <v>0</v>
      </c>
      <c r="F33" s="294"/>
    </row>
    <row r="34" spans="1:6">
      <c r="A34" s="290" t="s">
        <v>28</v>
      </c>
      <c r="B34" s="297">
        <v>493</v>
      </c>
      <c r="C34" s="297">
        <v>316</v>
      </c>
      <c r="D34" s="297">
        <v>177</v>
      </c>
      <c r="E34" s="298">
        <v>0</v>
      </c>
      <c r="F34" s="294"/>
    </row>
    <row r="35" spans="1:6">
      <c r="A35" s="290" t="s">
        <v>29</v>
      </c>
      <c r="B35" s="297">
        <v>582</v>
      </c>
      <c r="C35" s="297">
        <v>406</v>
      </c>
      <c r="D35" s="297">
        <v>176</v>
      </c>
      <c r="E35" s="298">
        <v>0</v>
      </c>
      <c r="F35" s="294"/>
    </row>
    <row r="36" spans="1:6">
      <c r="A36" s="290" t="s">
        <v>30</v>
      </c>
      <c r="B36" s="297">
        <v>621</v>
      </c>
      <c r="C36" s="297">
        <v>433</v>
      </c>
      <c r="D36" s="297">
        <v>188</v>
      </c>
      <c r="E36" s="298">
        <v>0</v>
      </c>
      <c r="F36" s="294"/>
    </row>
    <row r="37" spans="1:6">
      <c r="A37" s="290" t="s">
        <v>31</v>
      </c>
      <c r="B37" s="297">
        <v>595</v>
      </c>
      <c r="C37" s="297">
        <v>419</v>
      </c>
      <c r="D37" s="297">
        <v>176</v>
      </c>
      <c r="E37" s="298">
        <v>0</v>
      </c>
      <c r="F37" s="294"/>
    </row>
    <row r="38" spans="1:6">
      <c r="A38" s="290" t="s">
        <v>32</v>
      </c>
      <c r="B38" s="297">
        <v>581</v>
      </c>
      <c r="C38" s="297">
        <v>418</v>
      </c>
      <c r="D38" s="297">
        <v>163</v>
      </c>
      <c r="E38" s="298">
        <v>0</v>
      </c>
      <c r="F38" s="294"/>
    </row>
    <row r="39" spans="1:6">
      <c r="A39" s="290" t="s">
        <v>493</v>
      </c>
      <c r="B39" s="297">
        <v>1</v>
      </c>
      <c r="C39" s="297">
        <v>1</v>
      </c>
      <c r="D39" s="297">
        <v>0</v>
      </c>
      <c r="E39" s="298">
        <v>0</v>
      </c>
      <c r="F39" s="294"/>
    </row>
    <row r="40" spans="1:6" ht="5.0999999999999996" customHeight="1">
      <c r="A40" s="292"/>
      <c r="B40" s="295"/>
      <c r="C40" s="295"/>
      <c r="D40" s="295"/>
      <c r="E40" s="296"/>
      <c r="F40" s="294"/>
    </row>
    <row r="41" spans="1:6">
      <c r="A41" s="292" t="s">
        <v>77</v>
      </c>
      <c r="B41" s="295">
        <v>461</v>
      </c>
      <c r="C41" s="295">
        <v>246</v>
      </c>
      <c r="D41" s="295">
        <v>198</v>
      </c>
      <c r="E41" s="296">
        <v>17</v>
      </c>
      <c r="F41" s="294"/>
    </row>
    <row r="42" spans="1:6" ht="5.0999999999999996" customHeight="1">
      <c r="A42" s="292"/>
      <c r="B42" s="295"/>
      <c r="C42" s="295"/>
      <c r="D42" s="295"/>
      <c r="E42" s="296"/>
      <c r="F42" s="294"/>
    </row>
    <row r="43" spans="1:6">
      <c r="A43" s="290" t="s">
        <v>21</v>
      </c>
      <c r="B43" s="297">
        <v>38</v>
      </c>
      <c r="C43" s="297">
        <v>28</v>
      </c>
      <c r="D43" s="297">
        <v>10</v>
      </c>
      <c r="E43" s="298">
        <v>0</v>
      </c>
      <c r="F43" s="294"/>
    </row>
    <row r="44" spans="1:6">
      <c r="A44" s="290" t="s">
        <v>22</v>
      </c>
      <c r="B44" s="297">
        <v>36</v>
      </c>
      <c r="C44" s="297">
        <v>17</v>
      </c>
      <c r="D44" s="297">
        <v>16</v>
      </c>
      <c r="E44" s="298">
        <v>3</v>
      </c>
      <c r="F44" s="294"/>
    </row>
    <row r="45" spans="1:6">
      <c r="A45" s="290" t="s">
        <v>23</v>
      </c>
      <c r="B45" s="297">
        <v>55</v>
      </c>
      <c r="C45" s="297">
        <v>29</v>
      </c>
      <c r="D45" s="297">
        <v>21</v>
      </c>
      <c r="E45" s="298">
        <v>5</v>
      </c>
      <c r="F45" s="294"/>
    </row>
    <row r="46" spans="1:6">
      <c r="A46" s="290" t="s">
        <v>24</v>
      </c>
      <c r="B46" s="297">
        <v>44</v>
      </c>
      <c r="C46" s="297">
        <v>25</v>
      </c>
      <c r="D46" s="297">
        <v>16</v>
      </c>
      <c r="E46" s="298">
        <v>3</v>
      </c>
      <c r="F46" s="294"/>
    </row>
    <row r="47" spans="1:6">
      <c r="A47" s="290" t="s">
        <v>25</v>
      </c>
      <c r="B47" s="297">
        <v>39</v>
      </c>
      <c r="C47" s="297">
        <v>13</v>
      </c>
      <c r="D47" s="297">
        <v>24</v>
      </c>
      <c r="E47" s="298">
        <v>2</v>
      </c>
      <c r="F47" s="294"/>
    </row>
    <row r="48" spans="1:6">
      <c r="A48" s="290" t="s">
        <v>26</v>
      </c>
      <c r="B48" s="297">
        <v>33</v>
      </c>
      <c r="C48" s="297">
        <v>19</v>
      </c>
      <c r="D48" s="297">
        <v>11</v>
      </c>
      <c r="E48" s="298">
        <v>3</v>
      </c>
      <c r="F48" s="294"/>
    </row>
    <row r="49" spans="1:6">
      <c r="A49" s="290" t="s">
        <v>27</v>
      </c>
      <c r="B49" s="297">
        <v>38</v>
      </c>
      <c r="C49" s="297">
        <v>20</v>
      </c>
      <c r="D49" s="297">
        <v>18</v>
      </c>
      <c r="E49" s="298">
        <v>0</v>
      </c>
      <c r="F49" s="294"/>
    </row>
    <row r="50" spans="1:6">
      <c r="A50" s="290" t="s">
        <v>28</v>
      </c>
      <c r="B50" s="297">
        <v>45</v>
      </c>
      <c r="C50" s="297">
        <v>26</v>
      </c>
      <c r="D50" s="297">
        <v>19</v>
      </c>
      <c r="E50" s="298">
        <v>0</v>
      </c>
      <c r="F50" s="294"/>
    </row>
    <row r="51" spans="1:6">
      <c r="A51" s="290" t="s">
        <v>29</v>
      </c>
      <c r="B51" s="297">
        <v>33</v>
      </c>
      <c r="C51" s="297">
        <v>17</v>
      </c>
      <c r="D51" s="297">
        <v>16</v>
      </c>
      <c r="E51" s="298">
        <v>0</v>
      </c>
      <c r="F51" s="294"/>
    </row>
    <row r="52" spans="1:6">
      <c r="A52" s="290" t="s">
        <v>30</v>
      </c>
      <c r="B52" s="297">
        <v>36</v>
      </c>
      <c r="C52" s="297">
        <v>21</v>
      </c>
      <c r="D52" s="297">
        <v>14</v>
      </c>
      <c r="E52" s="298">
        <v>1</v>
      </c>
      <c r="F52" s="294"/>
    </row>
    <row r="53" spans="1:6">
      <c r="A53" s="290" t="s">
        <v>31</v>
      </c>
      <c r="B53" s="297">
        <v>34</v>
      </c>
      <c r="C53" s="297">
        <v>20</v>
      </c>
      <c r="D53" s="297">
        <v>14</v>
      </c>
      <c r="E53" s="298">
        <v>0</v>
      </c>
      <c r="F53" s="294"/>
    </row>
    <row r="54" spans="1:6">
      <c r="A54" s="290" t="s">
        <v>32</v>
      </c>
      <c r="B54" s="297">
        <v>30</v>
      </c>
      <c r="C54" s="297">
        <v>11</v>
      </c>
      <c r="D54" s="297">
        <v>19</v>
      </c>
      <c r="E54" s="298">
        <v>0</v>
      </c>
      <c r="F54" s="294"/>
    </row>
    <row r="55" spans="1:6" ht="5.0999999999999996" customHeight="1">
      <c r="A55" s="292"/>
      <c r="B55" s="295"/>
      <c r="C55" s="295"/>
      <c r="D55" s="295"/>
      <c r="E55" s="296"/>
      <c r="F55" s="294"/>
    </row>
    <row r="56" spans="1:6">
      <c r="A56" s="292" t="s">
        <v>78</v>
      </c>
      <c r="B56" s="295">
        <v>245</v>
      </c>
      <c r="C56" s="295">
        <v>155</v>
      </c>
      <c r="D56" s="295">
        <v>90</v>
      </c>
      <c r="E56" s="296">
        <v>0</v>
      </c>
      <c r="F56" s="294"/>
    </row>
    <row r="57" spans="1:6" ht="5.0999999999999996" customHeight="1">
      <c r="A57" s="292"/>
      <c r="B57" s="295"/>
      <c r="C57" s="295"/>
      <c r="D57" s="295"/>
      <c r="E57" s="296"/>
      <c r="F57" s="294"/>
    </row>
    <row r="58" spans="1:6">
      <c r="A58" s="290" t="s">
        <v>21</v>
      </c>
      <c r="B58" s="297">
        <v>18</v>
      </c>
      <c r="C58" s="297">
        <v>13</v>
      </c>
      <c r="D58" s="297">
        <v>5</v>
      </c>
      <c r="E58" s="298">
        <v>0</v>
      </c>
      <c r="F58" s="294"/>
    </row>
    <row r="59" spans="1:6">
      <c r="A59" s="290" t="s">
        <v>22</v>
      </c>
      <c r="B59" s="297">
        <v>27</v>
      </c>
      <c r="C59" s="297">
        <v>19</v>
      </c>
      <c r="D59" s="297">
        <v>8</v>
      </c>
      <c r="E59" s="298">
        <v>0</v>
      </c>
      <c r="F59" s="294"/>
    </row>
    <row r="60" spans="1:6">
      <c r="A60" s="290" t="s">
        <v>23</v>
      </c>
      <c r="B60" s="297">
        <v>18</v>
      </c>
      <c r="C60" s="297">
        <v>14</v>
      </c>
      <c r="D60" s="297">
        <v>4</v>
      </c>
      <c r="E60" s="298">
        <v>0</v>
      </c>
      <c r="F60" s="294"/>
    </row>
    <row r="61" spans="1:6">
      <c r="A61" s="290" t="s">
        <v>24</v>
      </c>
      <c r="B61" s="297">
        <v>19</v>
      </c>
      <c r="C61" s="297">
        <v>11</v>
      </c>
      <c r="D61" s="297">
        <v>8</v>
      </c>
      <c r="E61" s="298">
        <v>0</v>
      </c>
      <c r="F61" s="294"/>
    </row>
    <row r="62" spans="1:6">
      <c r="A62" s="290" t="s">
        <v>25</v>
      </c>
      <c r="B62" s="297">
        <v>25</v>
      </c>
      <c r="C62" s="297">
        <v>14</v>
      </c>
      <c r="D62" s="297">
        <v>11</v>
      </c>
      <c r="E62" s="298">
        <v>0</v>
      </c>
      <c r="F62" s="294"/>
    </row>
    <row r="63" spans="1:6">
      <c r="A63" s="290" t="s">
        <v>26</v>
      </c>
      <c r="B63" s="297">
        <v>27</v>
      </c>
      <c r="C63" s="297">
        <v>12</v>
      </c>
      <c r="D63" s="297">
        <v>15</v>
      </c>
      <c r="E63" s="298">
        <v>0</v>
      </c>
      <c r="F63" s="294"/>
    </row>
    <row r="64" spans="1:6">
      <c r="A64" s="290" t="s">
        <v>27</v>
      </c>
      <c r="B64" s="297">
        <v>20</v>
      </c>
      <c r="C64" s="297">
        <v>15</v>
      </c>
      <c r="D64" s="297">
        <v>5</v>
      </c>
      <c r="E64" s="298">
        <v>0</v>
      </c>
      <c r="F64" s="294"/>
    </row>
    <row r="65" spans="1:6">
      <c r="A65" s="290" t="s">
        <v>28</v>
      </c>
      <c r="B65" s="297">
        <v>34</v>
      </c>
      <c r="C65" s="297">
        <v>18</v>
      </c>
      <c r="D65" s="297">
        <v>16</v>
      </c>
      <c r="E65" s="298">
        <v>0</v>
      </c>
      <c r="F65" s="294"/>
    </row>
    <row r="66" spans="1:6">
      <c r="A66" s="290" t="s">
        <v>29</v>
      </c>
      <c r="B66" s="297">
        <v>18</v>
      </c>
      <c r="C66" s="297">
        <v>15</v>
      </c>
      <c r="D66" s="297">
        <v>3</v>
      </c>
      <c r="E66" s="298">
        <v>0</v>
      </c>
      <c r="F66" s="294"/>
    </row>
    <row r="67" spans="1:6">
      <c r="A67" s="290" t="s">
        <v>30</v>
      </c>
      <c r="B67" s="297">
        <v>15</v>
      </c>
      <c r="C67" s="297">
        <v>11</v>
      </c>
      <c r="D67" s="297">
        <v>4</v>
      </c>
      <c r="E67" s="298">
        <v>0</v>
      </c>
      <c r="F67" s="294"/>
    </row>
    <row r="68" spans="1:6">
      <c r="A68" s="290" t="s">
        <v>31</v>
      </c>
      <c r="B68" s="297">
        <v>14</v>
      </c>
      <c r="C68" s="297">
        <v>6</v>
      </c>
      <c r="D68" s="297">
        <v>8</v>
      </c>
      <c r="E68" s="298">
        <v>0</v>
      </c>
      <c r="F68" s="294"/>
    </row>
    <row r="69" spans="1:6">
      <c r="A69" s="290" t="s">
        <v>32</v>
      </c>
      <c r="B69" s="297">
        <v>10</v>
      </c>
      <c r="C69" s="297">
        <v>7</v>
      </c>
      <c r="D69" s="297">
        <v>3</v>
      </c>
      <c r="E69" s="298">
        <v>0</v>
      </c>
      <c r="F69" s="294"/>
    </row>
    <row r="70" spans="1:6" ht="5.0999999999999996" customHeight="1">
      <c r="A70" s="292"/>
      <c r="B70" s="295"/>
      <c r="C70" s="295"/>
      <c r="D70" s="295"/>
      <c r="E70" s="296"/>
      <c r="F70" s="294"/>
    </row>
    <row r="71" spans="1:6">
      <c r="A71" s="292" t="s">
        <v>79</v>
      </c>
      <c r="B71" s="295">
        <v>521</v>
      </c>
      <c r="C71" s="295">
        <v>311</v>
      </c>
      <c r="D71" s="295">
        <v>210</v>
      </c>
      <c r="E71" s="296">
        <v>0</v>
      </c>
      <c r="F71" s="294"/>
    </row>
    <row r="72" spans="1:6" ht="5.0999999999999996" customHeight="1">
      <c r="A72" s="292"/>
      <c r="B72" s="295"/>
      <c r="C72" s="295"/>
      <c r="D72" s="295"/>
      <c r="E72" s="296"/>
      <c r="F72" s="294"/>
    </row>
    <row r="73" spans="1:6">
      <c r="A73" s="290" t="s">
        <v>21</v>
      </c>
      <c r="B73" s="297">
        <v>58</v>
      </c>
      <c r="C73" s="297">
        <v>35</v>
      </c>
      <c r="D73" s="297">
        <v>23</v>
      </c>
      <c r="E73" s="298">
        <v>0</v>
      </c>
      <c r="F73" s="294"/>
    </row>
    <row r="74" spans="1:6">
      <c r="A74" s="290" t="s">
        <v>22</v>
      </c>
      <c r="B74" s="297">
        <v>41</v>
      </c>
      <c r="C74" s="297">
        <v>24</v>
      </c>
      <c r="D74" s="297">
        <v>17</v>
      </c>
      <c r="E74" s="298">
        <v>0</v>
      </c>
      <c r="F74" s="294"/>
    </row>
    <row r="75" spans="1:6">
      <c r="A75" s="290" t="s">
        <v>23</v>
      </c>
      <c r="B75" s="297">
        <v>33</v>
      </c>
      <c r="C75" s="297">
        <v>22</v>
      </c>
      <c r="D75" s="297">
        <v>11</v>
      </c>
      <c r="E75" s="298">
        <v>0</v>
      </c>
      <c r="F75" s="294"/>
    </row>
    <row r="76" spans="1:6">
      <c r="A76" s="290" t="s">
        <v>24</v>
      </c>
      <c r="B76" s="297">
        <v>43</v>
      </c>
      <c r="C76" s="297">
        <v>29</v>
      </c>
      <c r="D76" s="297">
        <v>14</v>
      </c>
      <c r="E76" s="298">
        <v>0</v>
      </c>
      <c r="F76" s="294"/>
    </row>
    <row r="77" spans="1:6">
      <c r="A77" s="290" t="s">
        <v>25</v>
      </c>
      <c r="B77" s="297">
        <v>51</v>
      </c>
      <c r="C77" s="297">
        <v>27</v>
      </c>
      <c r="D77" s="297">
        <v>24</v>
      </c>
      <c r="E77" s="298">
        <v>0</v>
      </c>
      <c r="F77" s="294"/>
    </row>
    <row r="78" spans="1:6">
      <c r="A78" s="290" t="s">
        <v>26</v>
      </c>
      <c r="B78" s="297">
        <v>45</v>
      </c>
      <c r="C78" s="297">
        <v>19</v>
      </c>
      <c r="D78" s="297">
        <v>26</v>
      </c>
      <c r="E78" s="298">
        <v>0</v>
      </c>
      <c r="F78" s="294"/>
    </row>
    <row r="79" spans="1:6">
      <c r="A79" s="290" t="s">
        <v>27</v>
      </c>
      <c r="B79" s="297">
        <v>45</v>
      </c>
      <c r="C79" s="297">
        <v>30</v>
      </c>
      <c r="D79" s="297">
        <v>15</v>
      </c>
      <c r="E79" s="298">
        <v>0</v>
      </c>
      <c r="F79" s="294"/>
    </row>
    <row r="80" spans="1:6">
      <c r="A80" s="290" t="s">
        <v>28</v>
      </c>
      <c r="B80" s="297">
        <v>46</v>
      </c>
      <c r="C80" s="297">
        <v>31</v>
      </c>
      <c r="D80" s="297">
        <v>15</v>
      </c>
      <c r="E80" s="298">
        <v>0</v>
      </c>
      <c r="F80" s="294"/>
    </row>
    <row r="81" spans="1:6">
      <c r="A81" s="290" t="s">
        <v>29</v>
      </c>
      <c r="B81" s="297">
        <v>49</v>
      </c>
      <c r="C81" s="297">
        <v>26</v>
      </c>
      <c r="D81" s="297">
        <v>23</v>
      </c>
      <c r="E81" s="298">
        <v>0</v>
      </c>
      <c r="F81" s="294"/>
    </row>
    <row r="82" spans="1:6">
      <c r="A82" s="290" t="s">
        <v>30</v>
      </c>
      <c r="B82" s="297">
        <v>46</v>
      </c>
      <c r="C82" s="297">
        <v>32</v>
      </c>
      <c r="D82" s="297">
        <v>14</v>
      </c>
      <c r="E82" s="298">
        <v>0</v>
      </c>
      <c r="F82" s="294"/>
    </row>
    <row r="83" spans="1:6">
      <c r="A83" s="290" t="s">
        <v>31</v>
      </c>
      <c r="B83" s="297">
        <v>35</v>
      </c>
      <c r="C83" s="297">
        <v>22</v>
      </c>
      <c r="D83" s="297">
        <v>13</v>
      </c>
      <c r="E83" s="298">
        <v>0</v>
      </c>
      <c r="F83" s="294"/>
    </row>
    <row r="84" spans="1:6">
      <c r="A84" s="290" t="s">
        <v>32</v>
      </c>
      <c r="B84" s="297">
        <v>29</v>
      </c>
      <c r="C84" s="297">
        <v>14</v>
      </c>
      <c r="D84" s="297">
        <v>15</v>
      </c>
      <c r="E84" s="298">
        <v>0</v>
      </c>
      <c r="F84" s="294"/>
    </row>
    <row r="85" spans="1:6" ht="5.0999999999999996" customHeight="1">
      <c r="A85" s="292"/>
      <c r="B85" s="295"/>
      <c r="C85" s="295"/>
      <c r="D85" s="295"/>
      <c r="E85" s="296"/>
      <c r="F85" s="294"/>
    </row>
    <row r="86" spans="1:6">
      <c r="A86" s="292" t="s">
        <v>80</v>
      </c>
      <c r="B86" s="295">
        <v>194</v>
      </c>
      <c r="C86" s="295">
        <v>118</v>
      </c>
      <c r="D86" s="295">
        <v>76</v>
      </c>
      <c r="E86" s="296">
        <v>0</v>
      </c>
      <c r="F86" s="294"/>
    </row>
    <row r="87" spans="1:6" ht="5.0999999999999996" customHeight="1">
      <c r="A87" s="292"/>
      <c r="B87" s="295"/>
      <c r="C87" s="295"/>
      <c r="D87" s="295"/>
      <c r="E87" s="296"/>
      <c r="F87" s="294"/>
    </row>
    <row r="88" spans="1:6">
      <c r="A88" s="290" t="s">
        <v>21</v>
      </c>
      <c r="B88" s="297">
        <v>16</v>
      </c>
      <c r="C88" s="297">
        <v>8</v>
      </c>
      <c r="D88" s="297">
        <v>8</v>
      </c>
      <c r="E88" s="298">
        <v>0</v>
      </c>
      <c r="F88" s="294"/>
    </row>
    <row r="89" spans="1:6">
      <c r="A89" s="290" t="s">
        <v>22</v>
      </c>
      <c r="B89" s="297">
        <v>13</v>
      </c>
      <c r="C89" s="297">
        <v>9</v>
      </c>
      <c r="D89" s="297">
        <v>4</v>
      </c>
      <c r="E89" s="298">
        <v>0</v>
      </c>
      <c r="F89" s="294"/>
    </row>
    <row r="90" spans="1:6">
      <c r="A90" s="290" t="s">
        <v>23</v>
      </c>
      <c r="B90" s="297">
        <v>19</v>
      </c>
      <c r="C90" s="297">
        <v>11</v>
      </c>
      <c r="D90" s="297">
        <v>8</v>
      </c>
      <c r="E90" s="298">
        <v>0</v>
      </c>
      <c r="F90" s="294"/>
    </row>
    <row r="91" spans="1:6">
      <c r="A91" s="290" t="s">
        <v>24</v>
      </c>
      <c r="B91" s="297">
        <v>12</v>
      </c>
      <c r="C91" s="297">
        <v>7</v>
      </c>
      <c r="D91" s="297">
        <v>5</v>
      </c>
      <c r="E91" s="298">
        <v>0</v>
      </c>
      <c r="F91" s="294"/>
    </row>
    <row r="92" spans="1:6">
      <c r="A92" s="290" t="s">
        <v>25</v>
      </c>
      <c r="B92" s="297">
        <v>22</v>
      </c>
      <c r="C92" s="297">
        <v>13</v>
      </c>
      <c r="D92" s="297">
        <v>9</v>
      </c>
      <c r="E92" s="298">
        <v>0</v>
      </c>
      <c r="F92" s="294"/>
    </row>
    <row r="93" spans="1:6">
      <c r="A93" s="290" t="s">
        <v>26</v>
      </c>
      <c r="B93" s="297">
        <v>21</v>
      </c>
      <c r="C93" s="297">
        <v>11</v>
      </c>
      <c r="D93" s="297">
        <v>10</v>
      </c>
      <c r="E93" s="298">
        <v>0</v>
      </c>
      <c r="F93" s="294"/>
    </row>
    <row r="94" spans="1:6">
      <c r="A94" s="290" t="s">
        <v>27</v>
      </c>
      <c r="B94" s="297">
        <v>15</v>
      </c>
      <c r="C94" s="297">
        <v>8</v>
      </c>
      <c r="D94" s="297">
        <v>7</v>
      </c>
      <c r="E94" s="298">
        <v>0</v>
      </c>
      <c r="F94" s="294"/>
    </row>
    <row r="95" spans="1:6">
      <c r="A95" s="290" t="s">
        <v>28</v>
      </c>
      <c r="B95" s="297">
        <v>18</v>
      </c>
      <c r="C95" s="297">
        <v>11</v>
      </c>
      <c r="D95" s="297">
        <v>7</v>
      </c>
      <c r="E95" s="298">
        <v>0</v>
      </c>
      <c r="F95" s="294"/>
    </row>
    <row r="96" spans="1:6">
      <c r="A96" s="290" t="s">
        <v>29</v>
      </c>
      <c r="B96" s="297">
        <v>8</v>
      </c>
      <c r="C96" s="297">
        <v>5</v>
      </c>
      <c r="D96" s="297">
        <v>3</v>
      </c>
      <c r="E96" s="298">
        <v>0</v>
      </c>
      <c r="F96" s="294"/>
    </row>
    <row r="97" spans="1:6">
      <c r="A97" s="290" t="s">
        <v>30</v>
      </c>
      <c r="B97" s="297">
        <v>22</v>
      </c>
      <c r="C97" s="297">
        <v>17</v>
      </c>
      <c r="D97" s="297">
        <v>5</v>
      </c>
      <c r="E97" s="298">
        <v>0</v>
      </c>
      <c r="F97" s="294"/>
    </row>
    <row r="98" spans="1:6">
      <c r="A98" s="290" t="s">
        <v>31</v>
      </c>
      <c r="B98" s="297">
        <v>18</v>
      </c>
      <c r="C98" s="297">
        <v>11</v>
      </c>
      <c r="D98" s="297">
        <v>7</v>
      </c>
      <c r="E98" s="298">
        <v>0</v>
      </c>
      <c r="F98" s="294"/>
    </row>
    <row r="99" spans="1:6">
      <c r="A99" s="290" t="s">
        <v>32</v>
      </c>
      <c r="B99" s="297">
        <v>10</v>
      </c>
      <c r="C99" s="297">
        <v>7</v>
      </c>
      <c r="D99" s="297">
        <v>3</v>
      </c>
      <c r="E99" s="298">
        <v>0</v>
      </c>
      <c r="F99" s="294"/>
    </row>
    <row r="100" spans="1:6" ht="5.0999999999999996" customHeight="1">
      <c r="A100" s="292"/>
      <c r="B100" s="295"/>
      <c r="C100" s="295"/>
      <c r="D100" s="295"/>
      <c r="E100" s="296"/>
      <c r="F100" s="294"/>
    </row>
    <row r="101" spans="1:6">
      <c r="A101" s="292" t="s">
        <v>81</v>
      </c>
      <c r="B101" s="295">
        <v>1642</v>
      </c>
      <c r="C101" s="295">
        <v>985</v>
      </c>
      <c r="D101" s="295">
        <v>657</v>
      </c>
      <c r="E101" s="296">
        <v>0</v>
      </c>
      <c r="F101" s="294"/>
    </row>
    <row r="102" spans="1:6" ht="5.0999999999999996" customHeight="1">
      <c r="A102" s="292"/>
      <c r="B102" s="295"/>
      <c r="C102" s="295"/>
      <c r="D102" s="295"/>
      <c r="E102" s="296"/>
      <c r="F102" s="294"/>
    </row>
    <row r="103" spans="1:6">
      <c r="A103" s="290" t="s">
        <v>21</v>
      </c>
      <c r="B103" s="297">
        <v>127</v>
      </c>
      <c r="C103" s="297">
        <v>82</v>
      </c>
      <c r="D103" s="297">
        <v>45</v>
      </c>
      <c r="E103" s="298">
        <v>0</v>
      </c>
      <c r="F103" s="294"/>
    </row>
    <row r="104" spans="1:6">
      <c r="A104" s="290" t="s">
        <v>22</v>
      </c>
      <c r="B104" s="297">
        <v>124</v>
      </c>
      <c r="C104" s="297">
        <v>75</v>
      </c>
      <c r="D104" s="297">
        <v>49</v>
      </c>
      <c r="E104" s="298">
        <v>0</v>
      </c>
      <c r="F104" s="294"/>
    </row>
    <row r="105" spans="1:6">
      <c r="A105" s="290" t="s">
        <v>23</v>
      </c>
      <c r="B105" s="297">
        <v>132</v>
      </c>
      <c r="C105" s="297">
        <v>79</v>
      </c>
      <c r="D105" s="297">
        <v>53</v>
      </c>
      <c r="E105" s="298">
        <v>0</v>
      </c>
      <c r="F105" s="294"/>
    </row>
    <row r="106" spans="1:6">
      <c r="A106" s="290" t="s">
        <v>24</v>
      </c>
      <c r="B106" s="297">
        <v>167</v>
      </c>
      <c r="C106" s="297">
        <v>100</v>
      </c>
      <c r="D106" s="297">
        <v>67</v>
      </c>
      <c r="E106" s="298">
        <v>0</v>
      </c>
      <c r="F106" s="294"/>
    </row>
    <row r="107" spans="1:6">
      <c r="A107" s="290" t="s">
        <v>25</v>
      </c>
      <c r="B107" s="297">
        <v>141</v>
      </c>
      <c r="C107" s="297">
        <v>71</v>
      </c>
      <c r="D107" s="297">
        <v>70</v>
      </c>
      <c r="E107" s="298">
        <v>0</v>
      </c>
      <c r="F107" s="294"/>
    </row>
    <row r="108" spans="1:6">
      <c r="A108" s="290" t="s">
        <v>26</v>
      </c>
      <c r="B108" s="297">
        <v>119</v>
      </c>
      <c r="C108" s="297">
        <v>74</v>
      </c>
      <c r="D108" s="297">
        <v>45</v>
      </c>
      <c r="E108" s="298">
        <v>0</v>
      </c>
      <c r="F108" s="294"/>
    </row>
    <row r="109" spans="1:6">
      <c r="A109" s="290" t="s">
        <v>27</v>
      </c>
      <c r="B109" s="297">
        <v>135</v>
      </c>
      <c r="C109" s="297">
        <v>81</v>
      </c>
      <c r="D109" s="297">
        <v>54</v>
      </c>
      <c r="E109" s="298">
        <v>0</v>
      </c>
      <c r="F109" s="294"/>
    </row>
    <row r="110" spans="1:6">
      <c r="A110" s="290" t="s">
        <v>28</v>
      </c>
      <c r="B110" s="297">
        <v>162</v>
      </c>
      <c r="C110" s="297">
        <v>109</v>
      </c>
      <c r="D110" s="297">
        <v>53</v>
      </c>
      <c r="E110" s="298">
        <v>0</v>
      </c>
      <c r="F110" s="294"/>
    </row>
    <row r="111" spans="1:6">
      <c r="A111" s="290" t="s">
        <v>29</v>
      </c>
      <c r="B111" s="297">
        <v>133</v>
      </c>
      <c r="C111" s="297">
        <v>85</v>
      </c>
      <c r="D111" s="297">
        <v>48</v>
      </c>
      <c r="E111" s="298">
        <v>0</v>
      </c>
      <c r="F111" s="294"/>
    </row>
    <row r="112" spans="1:6">
      <c r="A112" s="290" t="s">
        <v>30</v>
      </c>
      <c r="B112" s="297">
        <v>133</v>
      </c>
      <c r="C112" s="297">
        <v>71</v>
      </c>
      <c r="D112" s="297">
        <v>62</v>
      </c>
      <c r="E112" s="298">
        <v>0</v>
      </c>
      <c r="F112" s="294"/>
    </row>
    <row r="113" spans="1:6">
      <c r="A113" s="290" t="s">
        <v>31</v>
      </c>
      <c r="B113" s="297">
        <v>127</v>
      </c>
      <c r="C113" s="297">
        <v>72</v>
      </c>
      <c r="D113" s="297">
        <v>55</v>
      </c>
      <c r="E113" s="298">
        <v>0</v>
      </c>
      <c r="F113" s="294"/>
    </row>
    <row r="114" spans="1:6">
      <c r="A114" s="290" t="s">
        <v>32</v>
      </c>
      <c r="B114" s="297">
        <v>142</v>
      </c>
      <c r="C114" s="297">
        <v>86</v>
      </c>
      <c r="D114" s="297">
        <v>56</v>
      </c>
      <c r="E114" s="298">
        <v>0</v>
      </c>
      <c r="F114" s="294"/>
    </row>
    <row r="115" spans="1:6" ht="5.0999999999999996" customHeight="1">
      <c r="A115" s="292"/>
      <c r="B115" s="295"/>
      <c r="C115" s="295"/>
      <c r="D115" s="295"/>
      <c r="E115" s="296"/>
      <c r="F115" s="294"/>
    </row>
    <row r="116" spans="1:6">
      <c r="A116" s="292" t="s">
        <v>82</v>
      </c>
      <c r="B116" s="295">
        <v>138</v>
      </c>
      <c r="C116" s="295">
        <v>85</v>
      </c>
      <c r="D116" s="295">
        <v>53</v>
      </c>
      <c r="E116" s="296">
        <v>0</v>
      </c>
      <c r="F116" s="294"/>
    </row>
    <row r="117" spans="1:6" ht="5.0999999999999996" customHeight="1">
      <c r="A117" s="292"/>
      <c r="B117" s="295"/>
      <c r="C117" s="295"/>
      <c r="D117" s="295"/>
      <c r="E117" s="296"/>
      <c r="F117" s="294"/>
    </row>
    <row r="118" spans="1:6">
      <c r="A118" s="290" t="s">
        <v>21</v>
      </c>
      <c r="B118" s="297">
        <v>11</v>
      </c>
      <c r="C118" s="297">
        <v>2</v>
      </c>
      <c r="D118" s="297">
        <v>9</v>
      </c>
      <c r="E118" s="298">
        <v>0</v>
      </c>
      <c r="F118" s="294"/>
    </row>
    <row r="119" spans="1:6">
      <c r="A119" s="290" t="s">
        <v>22</v>
      </c>
      <c r="B119" s="297">
        <v>8</v>
      </c>
      <c r="C119" s="297">
        <v>7</v>
      </c>
      <c r="D119" s="297">
        <v>1</v>
      </c>
      <c r="E119" s="298">
        <v>0</v>
      </c>
      <c r="F119" s="294"/>
    </row>
    <row r="120" spans="1:6">
      <c r="A120" s="290" t="s">
        <v>23</v>
      </c>
      <c r="B120" s="297">
        <v>21</v>
      </c>
      <c r="C120" s="297">
        <v>15</v>
      </c>
      <c r="D120" s="297">
        <v>6</v>
      </c>
      <c r="E120" s="298">
        <v>0</v>
      </c>
      <c r="F120" s="294"/>
    </row>
    <row r="121" spans="1:6">
      <c r="A121" s="290" t="s">
        <v>24</v>
      </c>
      <c r="B121" s="297">
        <v>13</v>
      </c>
      <c r="C121" s="297">
        <v>8</v>
      </c>
      <c r="D121" s="297">
        <v>5</v>
      </c>
      <c r="E121" s="298">
        <v>0</v>
      </c>
      <c r="F121" s="294"/>
    </row>
    <row r="122" spans="1:6">
      <c r="A122" s="290" t="s">
        <v>25</v>
      </c>
      <c r="B122" s="297">
        <v>12</v>
      </c>
      <c r="C122" s="297">
        <v>5</v>
      </c>
      <c r="D122" s="297">
        <v>7</v>
      </c>
      <c r="E122" s="298">
        <v>0</v>
      </c>
      <c r="F122" s="294"/>
    </row>
    <row r="123" spans="1:6">
      <c r="A123" s="290" t="s">
        <v>26</v>
      </c>
      <c r="B123" s="297">
        <v>11</v>
      </c>
      <c r="C123" s="297">
        <v>7</v>
      </c>
      <c r="D123" s="297">
        <v>4</v>
      </c>
      <c r="E123" s="298">
        <v>0</v>
      </c>
      <c r="F123" s="294"/>
    </row>
    <row r="124" spans="1:6">
      <c r="A124" s="290" t="s">
        <v>27</v>
      </c>
      <c r="B124" s="297">
        <v>10</v>
      </c>
      <c r="C124" s="297">
        <v>6</v>
      </c>
      <c r="D124" s="297">
        <v>4</v>
      </c>
      <c r="E124" s="298">
        <v>0</v>
      </c>
      <c r="F124" s="294"/>
    </row>
    <row r="125" spans="1:6">
      <c r="A125" s="290" t="s">
        <v>28</v>
      </c>
      <c r="B125" s="297">
        <v>12</v>
      </c>
      <c r="C125" s="297">
        <v>8</v>
      </c>
      <c r="D125" s="297">
        <v>4</v>
      </c>
      <c r="E125" s="298">
        <v>0</v>
      </c>
      <c r="F125" s="294"/>
    </row>
    <row r="126" spans="1:6">
      <c r="A126" s="290" t="s">
        <v>29</v>
      </c>
      <c r="B126" s="297">
        <v>8</v>
      </c>
      <c r="C126" s="297">
        <v>4</v>
      </c>
      <c r="D126" s="297">
        <v>4</v>
      </c>
      <c r="E126" s="298">
        <v>0</v>
      </c>
      <c r="F126" s="294"/>
    </row>
    <row r="127" spans="1:6">
      <c r="A127" s="290" t="s">
        <v>30</v>
      </c>
      <c r="B127" s="297">
        <v>16</v>
      </c>
      <c r="C127" s="297">
        <v>12</v>
      </c>
      <c r="D127" s="297">
        <v>4</v>
      </c>
      <c r="E127" s="298">
        <v>0</v>
      </c>
      <c r="F127" s="294"/>
    </row>
    <row r="128" spans="1:6">
      <c r="A128" s="290" t="s">
        <v>31</v>
      </c>
      <c r="B128" s="297">
        <v>7</v>
      </c>
      <c r="C128" s="297">
        <v>6</v>
      </c>
      <c r="D128" s="297">
        <v>1</v>
      </c>
      <c r="E128" s="298">
        <v>0</v>
      </c>
      <c r="F128" s="294"/>
    </row>
    <row r="129" spans="1:6">
      <c r="A129" s="290" t="s">
        <v>32</v>
      </c>
      <c r="B129" s="297">
        <v>9</v>
      </c>
      <c r="C129" s="297">
        <v>5</v>
      </c>
      <c r="D129" s="297">
        <v>4</v>
      </c>
      <c r="E129" s="298">
        <v>0</v>
      </c>
      <c r="F129" s="294"/>
    </row>
    <row r="130" spans="1:6" ht="5.0999999999999996" customHeight="1">
      <c r="A130" s="292"/>
      <c r="B130" s="295"/>
      <c r="C130" s="295"/>
      <c r="D130" s="295"/>
      <c r="E130" s="296"/>
      <c r="F130" s="294"/>
    </row>
    <row r="131" spans="1:6">
      <c r="A131" s="292" t="s">
        <v>83</v>
      </c>
      <c r="B131" s="295">
        <v>180</v>
      </c>
      <c r="C131" s="295">
        <v>108</v>
      </c>
      <c r="D131" s="295">
        <v>72</v>
      </c>
      <c r="E131" s="296">
        <v>0</v>
      </c>
      <c r="F131" s="294"/>
    </row>
    <row r="132" spans="1:6" ht="5.0999999999999996" customHeight="1">
      <c r="A132" s="292"/>
      <c r="B132" s="295"/>
      <c r="C132" s="295"/>
      <c r="D132" s="295"/>
      <c r="E132" s="296"/>
      <c r="F132" s="294"/>
    </row>
    <row r="133" spans="1:6">
      <c r="A133" s="290" t="s">
        <v>21</v>
      </c>
      <c r="B133" s="297">
        <v>18</v>
      </c>
      <c r="C133" s="297">
        <v>8</v>
      </c>
      <c r="D133" s="297">
        <v>10</v>
      </c>
      <c r="E133" s="298">
        <v>0</v>
      </c>
      <c r="F133" s="294"/>
    </row>
    <row r="134" spans="1:6">
      <c r="A134" s="290" t="s">
        <v>22</v>
      </c>
      <c r="B134" s="297">
        <v>17</v>
      </c>
      <c r="C134" s="297">
        <v>7</v>
      </c>
      <c r="D134" s="297">
        <v>10</v>
      </c>
      <c r="E134" s="298">
        <v>0</v>
      </c>
      <c r="F134" s="294"/>
    </row>
    <row r="135" spans="1:6">
      <c r="A135" s="290" t="s">
        <v>23</v>
      </c>
      <c r="B135" s="297">
        <v>21</v>
      </c>
      <c r="C135" s="297">
        <v>14</v>
      </c>
      <c r="D135" s="297">
        <v>7</v>
      </c>
      <c r="E135" s="298">
        <v>0</v>
      </c>
      <c r="F135" s="294"/>
    </row>
    <row r="136" spans="1:6">
      <c r="A136" s="290" t="s">
        <v>24</v>
      </c>
      <c r="B136" s="297">
        <v>14</v>
      </c>
      <c r="C136" s="297">
        <v>10</v>
      </c>
      <c r="D136" s="297">
        <v>4</v>
      </c>
      <c r="E136" s="298">
        <v>0</v>
      </c>
      <c r="F136" s="294"/>
    </row>
    <row r="137" spans="1:6">
      <c r="A137" s="290" t="s">
        <v>25</v>
      </c>
      <c r="B137" s="297">
        <v>10</v>
      </c>
      <c r="C137" s="297">
        <v>7</v>
      </c>
      <c r="D137" s="297">
        <v>3</v>
      </c>
      <c r="E137" s="298">
        <v>0</v>
      </c>
      <c r="F137" s="294"/>
    </row>
    <row r="138" spans="1:6">
      <c r="A138" s="290" t="s">
        <v>26</v>
      </c>
      <c r="B138" s="297">
        <v>14</v>
      </c>
      <c r="C138" s="297">
        <v>10</v>
      </c>
      <c r="D138" s="297">
        <v>4</v>
      </c>
      <c r="E138" s="298">
        <v>0</v>
      </c>
      <c r="F138" s="294"/>
    </row>
    <row r="139" spans="1:6">
      <c r="A139" s="290" t="s">
        <v>27</v>
      </c>
      <c r="B139" s="297">
        <v>16</v>
      </c>
      <c r="C139" s="297">
        <v>10</v>
      </c>
      <c r="D139" s="297">
        <v>6</v>
      </c>
      <c r="E139" s="298">
        <v>0</v>
      </c>
      <c r="F139" s="294"/>
    </row>
    <row r="140" spans="1:6">
      <c r="A140" s="290" t="s">
        <v>28</v>
      </c>
      <c r="B140" s="297">
        <v>14</v>
      </c>
      <c r="C140" s="297">
        <v>8</v>
      </c>
      <c r="D140" s="297">
        <v>6</v>
      </c>
      <c r="E140" s="298">
        <v>0</v>
      </c>
      <c r="F140" s="294"/>
    </row>
    <row r="141" spans="1:6">
      <c r="A141" s="290" t="s">
        <v>29</v>
      </c>
      <c r="B141" s="297">
        <v>13</v>
      </c>
      <c r="C141" s="297">
        <v>7</v>
      </c>
      <c r="D141" s="297">
        <v>6</v>
      </c>
      <c r="E141" s="298">
        <v>0</v>
      </c>
      <c r="F141" s="294"/>
    </row>
    <row r="142" spans="1:6">
      <c r="A142" s="290" t="s">
        <v>30</v>
      </c>
      <c r="B142" s="297">
        <v>22</v>
      </c>
      <c r="C142" s="297">
        <v>15</v>
      </c>
      <c r="D142" s="297">
        <v>7</v>
      </c>
      <c r="E142" s="298">
        <v>0</v>
      </c>
      <c r="F142" s="294"/>
    </row>
    <row r="143" spans="1:6">
      <c r="A143" s="290" t="s">
        <v>31</v>
      </c>
      <c r="B143" s="297">
        <v>11</v>
      </c>
      <c r="C143" s="297">
        <v>5</v>
      </c>
      <c r="D143" s="297">
        <v>6</v>
      </c>
      <c r="E143" s="298">
        <v>0</v>
      </c>
      <c r="F143" s="294"/>
    </row>
    <row r="144" spans="1:6">
      <c r="A144" s="290" t="s">
        <v>32</v>
      </c>
      <c r="B144" s="297">
        <v>10</v>
      </c>
      <c r="C144" s="297">
        <v>7</v>
      </c>
      <c r="D144" s="297">
        <v>3</v>
      </c>
      <c r="E144" s="298">
        <v>0</v>
      </c>
      <c r="F144" s="294"/>
    </row>
    <row r="145" spans="1:6" ht="5.0999999999999996" customHeight="1">
      <c r="A145" s="292"/>
      <c r="B145" s="295"/>
      <c r="C145" s="295"/>
      <c r="D145" s="295"/>
      <c r="E145" s="296"/>
      <c r="F145" s="294"/>
    </row>
    <row r="146" spans="1:6">
      <c r="A146" s="292" t="s">
        <v>84</v>
      </c>
      <c r="B146" s="295">
        <v>791</v>
      </c>
      <c r="C146" s="295">
        <v>484</v>
      </c>
      <c r="D146" s="295">
        <v>307</v>
      </c>
      <c r="E146" s="296">
        <v>0</v>
      </c>
      <c r="F146" s="294"/>
    </row>
    <row r="147" spans="1:6" ht="5.0999999999999996" customHeight="1">
      <c r="A147" s="292"/>
      <c r="B147" s="297"/>
      <c r="C147" s="297"/>
      <c r="D147" s="297"/>
      <c r="E147" s="298"/>
      <c r="F147" s="294"/>
    </row>
    <row r="148" spans="1:6">
      <c r="A148" s="290" t="s">
        <v>21</v>
      </c>
      <c r="B148" s="297">
        <v>78</v>
      </c>
      <c r="C148" s="297">
        <v>49</v>
      </c>
      <c r="D148" s="297">
        <v>29</v>
      </c>
      <c r="E148" s="298">
        <v>0</v>
      </c>
      <c r="F148" s="294"/>
    </row>
    <row r="149" spans="1:6">
      <c r="A149" s="290" t="s">
        <v>22</v>
      </c>
      <c r="B149" s="297">
        <v>65</v>
      </c>
      <c r="C149" s="297">
        <v>40</v>
      </c>
      <c r="D149" s="297">
        <v>25</v>
      </c>
      <c r="E149" s="298">
        <v>0</v>
      </c>
      <c r="F149" s="294"/>
    </row>
    <row r="150" spans="1:6">
      <c r="A150" s="290" t="s">
        <v>23</v>
      </c>
      <c r="B150" s="297">
        <v>75</v>
      </c>
      <c r="C150" s="297">
        <v>45</v>
      </c>
      <c r="D150" s="297">
        <v>30</v>
      </c>
      <c r="E150" s="298">
        <v>0</v>
      </c>
      <c r="F150" s="294"/>
    </row>
    <row r="151" spans="1:6">
      <c r="A151" s="290" t="s">
        <v>24</v>
      </c>
      <c r="B151" s="297">
        <v>64</v>
      </c>
      <c r="C151" s="297">
        <v>44</v>
      </c>
      <c r="D151" s="297">
        <v>20</v>
      </c>
      <c r="E151" s="298">
        <v>0</v>
      </c>
      <c r="F151" s="294"/>
    </row>
    <row r="152" spans="1:6">
      <c r="A152" s="290" t="s">
        <v>25</v>
      </c>
      <c r="B152" s="297">
        <v>57</v>
      </c>
      <c r="C152" s="297">
        <v>32</v>
      </c>
      <c r="D152" s="297">
        <v>25</v>
      </c>
      <c r="E152" s="298">
        <v>0</v>
      </c>
      <c r="F152" s="294"/>
    </row>
    <row r="153" spans="1:6">
      <c r="A153" s="290" t="s">
        <v>26</v>
      </c>
      <c r="B153" s="297">
        <v>64</v>
      </c>
      <c r="C153" s="297">
        <v>43</v>
      </c>
      <c r="D153" s="297">
        <v>21</v>
      </c>
      <c r="E153" s="298">
        <v>0</v>
      </c>
      <c r="F153" s="294"/>
    </row>
    <row r="154" spans="1:6">
      <c r="A154" s="290" t="s">
        <v>27</v>
      </c>
      <c r="B154" s="297">
        <v>73</v>
      </c>
      <c r="C154" s="297">
        <v>40</v>
      </c>
      <c r="D154" s="297">
        <v>33</v>
      </c>
      <c r="E154" s="298">
        <v>0</v>
      </c>
      <c r="F154" s="294"/>
    </row>
    <row r="155" spans="1:6">
      <c r="A155" s="290" t="s">
        <v>28</v>
      </c>
      <c r="B155" s="297">
        <v>71</v>
      </c>
      <c r="C155" s="297">
        <v>42</v>
      </c>
      <c r="D155" s="297">
        <v>29</v>
      </c>
      <c r="E155" s="298">
        <v>0</v>
      </c>
      <c r="F155" s="294"/>
    </row>
    <row r="156" spans="1:6">
      <c r="A156" s="290" t="s">
        <v>29</v>
      </c>
      <c r="B156" s="297">
        <v>61</v>
      </c>
      <c r="C156" s="297">
        <v>37</v>
      </c>
      <c r="D156" s="297">
        <v>24</v>
      </c>
      <c r="E156" s="298">
        <v>0</v>
      </c>
      <c r="F156" s="294"/>
    </row>
    <row r="157" spans="1:6">
      <c r="A157" s="290" t="s">
        <v>30</v>
      </c>
      <c r="B157" s="297">
        <v>66</v>
      </c>
      <c r="C157" s="297">
        <v>44</v>
      </c>
      <c r="D157" s="297">
        <v>22</v>
      </c>
      <c r="E157" s="298">
        <v>0</v>
      </c>
      <c r="F157" s="294"/>
    </row>
    <row r="158" spans="1:6">
      <c r="A158" s="290" t="s">
        <v>31</v>
      </c>
      <c r="B158" s="297">
        <v>61</v>
      </c>
      <c r="C158" s="297">
        <v>30</v>
      </c>
      <c r="D158" s="297">
        <v>31</v>
      </c>
      <c r="E158" s="298">
        <v>0</v>
      </c>
      <c r="F158" s="294"/>
    </row>
    <row r="159" spans="1:6">
      <c r="A159" s="290" t="s">
        <v>32</v>
      </c>
      <c r="B159" s="297">
        <v>56</v>
      </c>
      <c r="C159" s="297">
        <v>38</v>
      </c>
      <c r="D159" s="297">
        <v>18</v>
      </c>
      <c r="E159" s="298">
        <v>0</v>
      </c>
      <c r="F159" s="294"/>
    </row>
    <row r="160" spans="1:6" ht="5.0999999999999996" customHeight="1">
      <c r="A160" s="292"/>
      <c r="B160" s="297"/>
      <c r="C160" s="297"/>
      <c r="D160" s="297"/>
      <c r="E160" s="298"/>
      <c r="F160" s="294"/>
    </row>
    <row r="161" spans="1:6">
      <c r="A161" s="292" t="s">
        <v>85</v>
      </c>
      <c r="B161" s="295">
        <v>177</v>
      </c>
      <c r="C161" s="295">
        <v>126</v>
      </c>
      <c r="D161" s="295">
        <v>51</v>
      </c>
      <c r="E161" s="296">
        <v>0</v>
      </c>
      <c r="F161" s="294"/>
    </row>
    <row r="162" spans="1:6" ht="5.0999999999999996" customHeight="1">
      <c r="A162" s="292"/>
      <c r="B162" s="297"/>
      <c r="C162" s="297"/>
      <c r="D162" s="297"/>
      <c r="E162" s="298"/>
      <c r="F162" s="294"/>
    </row>
    <row r="163" spans="1:6">
      <c r="A163" s="290" t="s">
        <v>21</v>
      </c>
      <c r="B163" s="297">
        <v>10</v>
      </c>
      <c r="C163" s="297">
        <v>7</v>
      </c>
      <c r="D163" s="297">
        <v>3</v>
      </c>
      <c r="E163" s="298">
        <v>0</v>
      </c>
      <c r="F163" s="294"/>
    </row>
    <row r="164" spans="1:6">
      <c r="A164" s="290" t="s">
        <v>22</v>
      </c>
      <c r="B164" s="297">
        <v>7</v>
      </c>
      <c r="C164" s="297">
        <v>5</v>
      </c>
      <c r="D164" s="297">
        <v>2</v>
      </c>
      <c r="E164" s="298">
        <v>0</v>
      </c>
      <c r="F164" s="294"/>
    </row>
    <row r="165" spans="1:6">
      <c r="A165" s="290" t="s">
        <v>23</v>
      </c>
      <c r="B165" s="297">
        <v>18</v>
      </c>
      <c r="C165" s="297">
        <v>14</v>
      </c>
      <c r="D165" s="297">
        <v>4</v>
      </c>
      <c r="E165" s="298">
        <v>0</v>
      </c>
      <c r="F165" s="294"/>
    </row>
    <row r="166" spans="1:6">
      <c r="A166" s="290" t="s">
        <v>24</v>
      </c>
      <c r="B166" s="297">
        <v>13</v>
      </c>
      <c r="C166" s="297">
        <v>12</v>
      </c>
      <c r="D166" s="297">
        <v>1</v>
      </c>
      <c r="E166" s="298">
        <v>0</v>
      </c>
      <c r="F166" s="294"/>
    </row>
    <row r="167" spans="1:6">
      <c r="A167" s="290" t="s">
        <v>25</v>
      </c>
      <c r="B167" s="297">
        <v>14</v>
      </c>
      <c r="C167" s="297">
        <v>10</v>
      </c>
      <c r="D167" s="297">
        <v>4</v>
      </c>
      <c r="E167" s="298">
        <v>0</v>
      </c>
      <c r="F167" s="294"/>
    </row>
    <row r="168" spans="1:6">
      <c r="A168" s="290" t="s">
        <v>26</v>
      </c>
      <c r="B168" s="297">
        <v>8</v>
      </c>
      <c r="C168" s="297">
        <v>6</v>
      </c>
      <c r="D168" s="297">
        <v>2</v>
      </c>
      <c r="E168" s="298">
        <v>0</v>
      </c>
      <c r="F168" s="294"/>
    </row>
    <row r="169" spans="1:6">
      <c r="A169" s="290" t="s">
        <v>27</v>
      </c>
      <c r="B169" s="297">
        <v>26</v>
      </c>
      <c r="C169" s="297">
        <v>21</v>
      </c>
      <c r="D169" s="297">
        <v>5</v>
      </c>
      <c r="E169" s="298">
        <v>0</v>
      </c>
      <c r="F169" s="294"/>
    </row>
    <row r="170" spans="1:6">
      <c r="A170" s="290" t="s">
        <v>28</v>
      </c>
      <c r="B170" s="297">
        <v>18</v>
      </c>
      <c r="C170" s="297">
        <v>13</v>
      </c>
      <c r="D170" s="297">
        <v>5</v>
      </c>
      <c r="E170" s="298">
        <v>0</v>
      </c>
      <c r="F170" s="294"/>
    </row>
    <row r="171" spans="1:6">
      <c r="A171" s="290" t="s">
        <v>29</v>
      </c>
      <c r="B171" s="297">
        <v>15</v>
      </c>
      <c r="C171" s="297">
        <v>8</v>
      </c>
      <c r="D171" s="297">
        <v>7</v>
      </c>
      <c r="E171" s="298">
        <v>0</v>
      </c>
      <c r="F171" s="294"/>
    </row>
    <row r="172" spans="1:6">
      <c r="A172" s="290" t="s">
        <v>30</v>
      </c>
      <c r="B172" s="297">
        <v>19</v>
      </c>
      <c r="C172" s="297">
        <v>14</v>
      </c>
      <c r="D172" s="297">
        <v>5</v>
      </c>
      <c r="E172" s="298">
        <v>0</v>
      </c>
      <c r="F172" s="294"/>
    </row>
    <row r="173" spans="1:6">
      <c r="A173" s="290" t="s">
        <v>31</v>
      </c>
      <c r="B173" s="297">
        <v>9</v>
      </c>
      <c r="C173" s="297">
        <v>5</v>
      </c>
      <c r="D173" s="297">
        <v>4</v>
      </c>
      <c r="E173" s="298">
        <v>0</v>
      </c>
      <c r="F173" s="294"/>
    </row>
    <row r="174" spans="1:6">
      <c r="A174" s="290" t="s">
        <v>32</v>
      </c>
      <c r="B174" s="297">
        <v>20</v>
      </c>
      <c r="C174" s="297">
        <v>11</v>
      </c>
      <c r="D174" s="297">
        <v>9</v>
      </c>
      <c r="E174" s="298">
        <v>0</v>
      </c>
      <c r="F174" s="294"/>
    </row>
    <row r="175" spans="1:6" ht="5.0999999999999996" customHeight="1">
      <c r="A175" s="292"/>
      <c r="B175" s="295"/>
      <c r="C175" s="295"/>
      <c r="D175" s="295"/>
      <c r="E175" s="296"/>
      <c r="F175" s="294"/>
    </row>
    <row r="176" spans="1:6">
      <c r="A176" s="292" t="s">
        <v>86</v>
      </c>
      <c r="B176" s="295">
        <v>662</v>
      </c>
      <c r="C176" s="295">
        <v>415</v>
      </c>
      <c r="D176" s="295">
        <v>247</v>
      </c>
      <c r="E176" s="296">
        <v>0</v>
      </c>
      <c r="F176" s="294"/>
    </row>
    <row r="177" spans="1:6" ht="5.0999999999999996" customHeight="1">
      <c r="A177" s="292"/>
      <c r="B177" s="297"/>
      <c r="C177" s="297"/>
      <c r="D177" s="297"/>
      <c r="E177" s="298"/>
      <c r="F177" s="294"/>
    </row>
    <row r="178" spans="1:6">
      <c r="A178" s="290" t="s">
        <v>21</v>
      </c>
      <c r="B178" s="297">
        <v>56</v>
      </c>
      <c r="C178" s="297">
        <v>30</v>
      </c>
      <c r="D178" s="297">
        <v>26</v>
      </c>
      <c r="E178" s="298">
        <v>0</v>
      </c>
      <c r="F178" s="294"/>
    </row>
    <row r="179" spans="1:6">
      <c r="A179" s="290" t="s">
        <v>22</v>
      </c>
      <c r="B179" s="297">
        <v>58</v>
      </c>
      <c r="C179" s="297">
        <v>35</v>
      </c>
      <c r="D179" s="297">
        <v>23</v>
      </c>
      <c r="E179" s="298">
        <v>0</v>
      </c>
      <c r="F179" s="294"/>
    </row>
    <row r="180" spans="1:6">
      <c r="A180" s="290" t="s">
        <v>23</v>
      </c>
      <c r="B180" s="297">
        <v>54</v>
      </c>
      <c r="C180" s="297">
        <v>39</v>
      </c>
      <c r="D180" s="297">
        <v>15</v>
      </c>
      <c r="E180" s="298">
        <v>0</v>
      </c>
      <c r="F180" s="294"/>
    </row>
    <row r="181" spans="1:6">
      <c r="A181" s="290" t="s">
        <v>24</v>
      </c>
      <c r="B181" s="297">
        <v>64</v>
      </c>
      <c r="C181" s="297">
        <v>32</v>
      </c>
      <c r="D181" s="297">
        <v>32</v>
      </c>
      <c r="E181" s="298">
        <v>0</v>
      </c>
      <c r="F181" s="294"/>
    </row>
    <row r="182" spans="1:6">
      <c r="A182" s="290" t="s">
        <v>25</v>
      </c>
      <c r="B182" s="297">
        <v>45</v>
      </c>
      <c r="C182" s="297">
        <v>29</v>
      </c>
      <c r="D182" s="297">
        <v>16</v>
      </c>
      <c r="E182" s="298">
        <v>0</v>
      </c>
      <c r="F182" s="294"/>
    </row>
    <row r="183" spans="1:6">
      <c r="A183" s="290" t="s">
        <v>26</v>
      </c>
      <c r="B183" s="297">
        <v>59</v>
      </c>
      <c r="C183" s="297">
        <v>43</v>
      </c>
      <c r="D183" s="297">
        <v>16</v>
      </c>
      <c r="E183" s="298">
        <v>0</v>
      </c>
      <c r="F183" s="294"/>
    </row>
    <row r="184" spans="1:6">
      <c r="A184" s="290" t="s">
        <v>27</v>
      </c>
      <c r="B184" s="297">
        <v>75</v>
      </c>
      <c r="C184" s="297">
        <v>41</v>
      </c>
      <c r="D184" s="297">
        <v>34</v>
      </c>
      <c r="E184" s="298">
        <v>0</v>
      </c>
      <c r="F184" s="294"/>
    </row>
    <row r="185" spans="1:6">
      <c r="A185" s="290" t="s">
        <v>28</v>
      </c>
      <c r="B185" s="297">
        <v>42</v>
      </c>
      <c r="C185" s="297">
        <v>26</v>
      </c>
      <c r="D185" s="297">
        <v>16</v>
      </c>
      <c r="E185" s="298">
        <v>0</v>
      </c>
      <c r="F185" s="294"/>
    </row>
    <row r="186" spans="1:6">
      <c r="A186" s="290" t="s">
        <v>29</v>
      </c>
      <c r="B186" s="297">
        <v>51</v>
      </c>
      <c r="C186" s="297">
        <v>35</v>
      </c>
      <c r="D186" s="297">
        <v>16</v>
      </c>
      <c r="E186" s="298">
        <v>0</v>
      </c>
      <c r="F186" s="294"/>
    </row>
    <row r="187" spans="1:6">
      <c r="A187" s="290" t="s">
        <v>30</v>
      </c>
      <c r="B187" s="297">
        <v>49</v>
      </c>
      <c r="C187" s="297">
        <v>33</v>
      </c>
      <c r="D187" s="297">
        <v>16</v>
      </c>
      <c r="E187" s="298">
        <v>0</v>
      </c>
      <c r="F187" s="294"/>
    </row>
    <row r="188" spans="1:6">
      <c r="A188" s="290" t="s">
        <v>31</v>
      </c>
      <c r="B188" s="297">
        <v>50</v>
      </c>
      <c r="C188" s="297">
        <v>33</v>
      </c>
      <c r="D188" s="297">
        <v>17</v>
      </c>
      <c r="E188" s="298">
        <v>0</v>
      </c>
      <c r="F188" s="294"/>
    </row>
    <row r="189" spans="1:6">
      <c r="A189" s="290" t="s">
        <v>32</v>
      </c>
      <c r="B189" s="297">
        <v>55</v>
      </c>
      <c r="C189" s="297">
        <v>36</v>
      </c>
      <c r="D189" s="297">
        <v>19</v>
      </c>
      <c r="E189" s="298">
        <v>0</v>
      </c>
      <c r="F189" s="294"/>
    </row>
    <row r="190" spans="1:6">
      <c r="A190" s="290" t="s">
        <v>493</v>
      </c>
      <c r="B190" s="297">
        <v>4</v>
      </c>
      <c r="C190" s="297">
        <v>3</v>
      </c>
      <c r="D190" s="297">
        <v>1</v>
      </c>
      <c r="E190" s="298">
        <v>0</v>
      </c>
      <c r="F190" s="294"/>
    </row>
    <row r="191" spans="1:6" ht="5.0999999999999996" customHeight="1">
      <c r="A191" s="292"/>
      <c r="B191" s="297"/>
      <c r="C191" s="297"/>
      <c r="D191" s="297"/>
      <c r="E191" s="298"/>
      <c r="F191" s="294"/>
    </row>
    <row r="192" spans="1:6">
      <c r="A192" s="292" t="s">
        <v>87</v>
      </c>
      <c r="B192" s="295">
        <v>607</v>
      </c>
      <c r="C192" s="295">
        <v>331</v>
      </c>
      <c r="D192" s="295">
        <v>274</v>
      </c>
      <c r="E192" s="296">
        <v>2</v>
      </c>
      <c r="F192" s="294"/>
    </row>
    <row r="193" spans="1:6" ht="5.0999999999999996" customHeight="1">
      <c r="A193" s="292"/>
      <c r="B193" s="297"/>
      <c r="C193" s="297"/>
      <c r="D193" s="297"/>
      <c r="E193" s="298"/>
      <c r="F193" s="294"/>
    </row>
    <row r="194" spans="1:6">
      <c r="A194" s="290" t="s">
        <v>21</v>
      </c>
      <c r="B194" s="297">
        <v>55</v>
      </c>
      <c r="C194" s="297">
        <v>34</v>
      </c>
      <c r="D194" s="297">
        <v>20</v>
      </c>
      <c r="E194" s="298">
        <v>1</v>
      </c>
      <c r="F194" s="294"/>
    </row>
    <row r="195" spans="1:6">
      <c r="A195" s="290" t="s">
        <v>22</v>
      </c>
      <c r="B195" s="297">
        <v>46</v>
      </c>
      <c r="C195" s="297">
        <v>28</v>
      </c>
      <c r="D195" s="297">
        <v>18</v>
      </c>
      <c r="E195" s="298">
        <v>0</v>
      </c>
      <c r="F195" s="294"/>
    </row>
    <row r="196" spans="1:6">
      <c r="A196" s="290" t="s">
        <v>23</v>
      </c>
      <c r="B196" s="297">
        <v>64</v>
      </c>
      <c r="C196" s="297">
        <v>35</v>
      </c>
      <c r="D196" s="297">
        <v>29</v>
      </c>
      <c r="E196" s="298">
        <v>0</v>
      </c>
      <c r="F196" s="294"/>
    </row>
    <row r="197" spans="1:6">
      <c r="A197" s="290" t="s">
        <v>24</v>
      </c>
      <c r="B197" s="297">
        <v>41</v>
      </c>
      <c r="C197" s="297">
        <v>24</v>
      </c>
      <c r="D197" s="297">
        <v>17</v>
      </c>
      <c r="E197" s="298">
        <v>0</v>
      </c>
      <c r="F197" s="294"/>
    </row>
    <row r="198" spans="1:6">
      <c r="A198" s="290" t="s">
        <v>25</v>
      </c>
      <c r="B198" s="297">
        <v>48</v>
      </c>
      <c r="C198" s="297">
        <v>23</v>
      </c>
      <c r="D198" s="297">
        <v>25</v>
      </c>
      <c r="E198" s="298">
        <v>0</v>
      </c>
      <c r="F198" s="294"/>
    </row>
    <row r="199" spans="1:6">
      <c r="A199" s="290" t="s">
        <v>26</v>
      </c>
      <c r="B199" s="297">
        <v>50</v>
      </c>
      <c r="C199" s="297">
        <v>30</v>
      </c>
      <c r="D199" s="297">
        <v>20</v>
      </c>
      <c r="E199" s="298">
        <v>0</v>
      </c>
      <c r="F199" s="294"/>
    </row>
    <row r="200" spans="1:6">
      <c r="A200" s="290" t="s">
        <v>27</v>
      </c>
      <c r="B200" s="297">
        <v>50</v>
      </c>
      <c r="C200" s="297">
        <v>28</v>
      </c>
      <c r="D200" s="297">
        <v>21</v>
      </c>
      <c r="E200" s="298">
        <v>1</v>
      </c>
      <c r="F200" s="294"/>
    </row>
    <row r="201" spans="1:6">
      <c r="A201" s="290" t="s">
        <v>28</v>
      </c>
      <c r="B201" s="297">
        <v>60</v>
      </c>
      <c r="C201" s="297">
        <v>27</v>
      </c>
      <c r="D201" s="297">
        <v>33</v>
      </c>
      <c r="E201" s="298">
        <v>0</v>
      </c>
      <c r="F201" s="294"/>
    </row>
    <row r="202" spans="1:6">
      <c r="A202" s="290" t="s">
        <v>29</v>
      </c>
      <c r="B202" s="297">
        <v>45</v>
      </c>
      <c r="C202" s="297">
        <v>26</v>
      </c>
      <c r="D202" s="297">
        <v>19</v>
      </c>
      <c r="E202" s="298">
        <v>0</v>
      </c>
      <c r="F202" s="294"/>
    </row>
    <row r="203" spans="1:6">
      <c r="A203" s="290" t="s">
        <v>30</v>
      </c>
      <c r="B203" s="297">
        <v>50</v>
      </c>
      <c r="C203" s="297">
        <v>24</v>
      </c>
      <c r="D203" s="297">
        <v>26</v>
      </c>
      <c r="E203" s="298">
        <v>0</v>
      </c>
      <c r="F203" s="294"/>
    </row>
    <row r="204" spans="1:6">
      <c r="A204" s="290" t="s">
        <v>31</v>
      </c>
      <c r="B204" s="297">
        <v>51</v>
      </c>
      <c r="C204" s="297">
        <v>24</v>
      </c>
      <c r="D204" s="297">
        <v>27</v>
      </c>
      <c r="E204" s="298">
        <v>0</v>
      </c>
      <c r="F204" s="294"/>
    </row>
    <row r="205" spans="1:6">
      <c r="A205" s="290" t="s">
        <v>32</v>
      </c>
      <c r="B205" s="297">
        <v>47</v>
      </c>
      <c r="C205" s="297">
        <v>28</v>
      </c>
      <c r="D205" s="297">
        <v>19</v>
      </c>
      <c r="E205" s="298">
        <v>0</v>
      </c>
      <c r="F205" s="294"/>
    </row>
    <row r="206" spans="1:6" ht="5.0999999999999996" customHeight="1">
      <c r="A206" s="292"/>
      <c r="B206" s="297"/>
      <c r="C206" s="297"/>
      <c r="D206" s="297"/>
      <c r="E206" s="298"/>
      <c r="F206" s="294"/>
    </row>
    <row r="207" spans="1:6">
      <c r="A207" s="292" t="s">
        <v>88</v>
      </c>
      <c r="B207" s="295">
        <v>1765</v>
      </c>
      <c r="C207" s="295">
        <v>1057</v>
      </c>
      <c r="D207" s="295">
        <v>708</v>
      </c>
      <c r="E207" s="296">
        <v>0</v>
      </c>
      <c r="F207" s="294"/>
    </row>
    <row r="208" spans="1:6" ht="5.0999999999999996" customHeight="1">
      <c r="A208" s="292"/>
      <c r="B208" s="297"/>
      <c r="C208" s="297"/>
      <c r="D208" s="297"/>
      <c r="E208" s="298"/>
      <c r="F208" s="294"/>
    </row>
    <row r="209" spans="1:6">
      <c r="A209" s="290" t="s">
        <v>21</v>
      </c>
      <c r="B209" s="297">
        <v>164</v>
      </c>
      <c r="C209" s="297">
        <v>104</v>
      </c>
      <c r="D209" s="297">
        <v>60</v>
      </c>
      <c r="E209" s="298">
        <v>0</v>
      </c>
      <c r="F209" s="294"/>
    </row>
    <row r="210" spans="1:6">
      <c r="A210" s="290" t="s">
        <v>22</v>
      </c>
      <c r="B210" s="297">
        <v>144</v>
      </c>
      <c r="C210" s="297">
        <v>78</v>
      </c>
      <c r="D210" s="297">
        <v>66</v>
      </c>
      <c r="E210" s="298">
        <v>0</v>
      </c>
      <c r="F210" s="294"/>
    </row>
    <row r="211" spans="1:6">
      <c r="A211" s="290" t="s">
        <v>23</v>
      </c>
      <c r="B211" s="297">
        <v>169</v>
      </c>
      <c r="C211" s="297">
        <v>118</v>
      </c>
      <c r="D211" s="297">
        <v>51</v>
      </c>
      <c r="E211" s="298">
        <v>0</v>
      </c>
      <c r="F211" s="294"/>
    </row>
    <row r="212" spans="1:6">
      <c r="A212" s="290" t="s">
        <v>24</v>
      </c>
      <c r="B212" s="297">
        <v>135</v>
      </c>
      <c r="C212" s="297">
        <v>83</v>
      </c>
      <c r="D212" s="297">
        <v>52</v>
      </c>
      <c r="E212" s="298">
        <v>0</v>
      </c>
      <c r="F212" s="294"/>
    </row>
    <row r="213" spans="1:6">
      <c r="A213" s="290" t="s">
        <v>25</v>
      </c>
      <c r="B213" s="297">
        <v>133</v>
      </c>
      <c r="C213" s="297">
        <v>83</v>
      </c>
      <c r="D213" s="297">
        <v>50</v>
      </c>
      <c r="E213" s="298">
        <v>0</v>
      </c>
      <c r="F213" s="294"/>
    </row>
    <row r="214" spans="1:6">
      <c r="A214" s="290" t="s">
        <v>26</v>
      </c>
      <c r="B214" s="297">
        <v>160</v>
      </c>
      <c r="C214" s="297">
        <v>102</v>
      </c>
      <c r="D214" s="297">
        <v>58</v>
      </c>
      <c r="E214" s="298">
        <v>0</v>
      </c>
      <c r="F214" s="294"/>
    </row>
    <row r="215" spans="1:6">
      <c r="A215" s="290" t="s">
        <v>27</v>
      </c>
      <c r="B215" s="297">
        <v>153</v>
      </c>
      <c r="C215" s="297">
        <v>77</v>
      </c>
      <c r="D215" s="297">
        <v>76</v>
      </c>
      <c r="E215" s="298">
        <v>0</v>
      </c>
      <c r="F215" s="294"/>
    </row>
    <row r="216" spans="1:6">
      <c r="A216" s="290" t="s">
        <v>28</v>
      </c>
      <c r="B216" s="297">
        <v>180</v>
      </c>
      <c r="C216" s="297">
        <v>91</v>
      </c>
      <c r="D216" s="297">
        <v>89</v>
      </c>
      <c r="E216" s="298">
        <v>0</v>
      </c>
      <c r="F216" s="294"/>
    </row>
    <row r="217" spans="1:6">
      <c r="A217" s="290" t="s">
        <v>29</v>
      </c>
      <c r="B217" s="297">
        <v>128</v>
      </c>
      <c r="C217" s="297">
        <v>71</v>
      </c>
      <c r="D217" s="297">
        <v>57</v>
      </c>
      <c r="E217" s="298">
        <v>0</v>
      </c>
      <c r="F217" s="294"/>
    </row>
    <row r="218" spans="1:6">
      <c r="A218" s="290" t="s">
        <v>30</v>
      </c>
      <c r="B218" s="297">
        <v>141</v>
      </c>
      <c r="C218" s="297">
        <v>79</v>
      </c>
      <c r="D218" s="297">
        <v>62</v>
      </c>
      <c r="E218" s="298">
        <v>0</v>
      </c>
      <c r="F218" s="294"/>
    </row>
    <row r="219" spans="1:6">
      <c r="A219" s="290" t="s">
        <v>31</v>
      </c>
      <c r="B219" s="297">
        <v>132</v>
      </c>
      <c r="C219" s="297">
        <v>89</v>
      </c>
      <c r="D219" s="297">
        <v>43</v>
      </c>
      <c r="E219" s="298">
        <v>0</v>
      </c>
      <c r="F219" s="294"/>
    </row>
    <row r="220" spans="1:6">
      <c r="A220" s="290" t="s">
        <v>32</v>
      </c>
      <c r="B220" s="297">
        <v>126</v>
      </c>
      <c r="C220" s="297">
        <v>82</v>
      </c>
      <c r="D220" s="297">
        <v>44</v>
      </c>
      <c r="E220" s="298">
        <v>0</v>
      </c>
      <c r="F220" s="294"/>
    </row>
    <row r="221" spans="1:6" ht="5.0999999999999996" customHeight="1">
      <c r="A221" s="292"/>
      <c r="B221" s="297"/>
      <c r="C221" s="297"/>
      <c r="D221" s="297"/>
      <c r="E221" s="298"/>
      <c r="F221" s="294"/>
    </row>
    <row r="222" spans="1:6">
      <c r="A222" s="292" t="s">
        <v>89</v>
      </c>
      <c r="B222" s="295">
        <v>596</v>
      </c>
      <c r="C222" s="295">
        <v>354</v>
      </c>
      <c r="D222" s="295">
        <v>241</v>
      </c>
      <c r="E222" s="296">
        <v>1</v>
      </c>
      <c r="F222" s="294"/>
    </row>
    <row r="223" spans="1:6" ht="5.0999999999999996" customHeight="1">
      <c r="A223" s="292"/>
      <c r="B223" s="297"/>
      <c r="C223" s="297"/>
      <c r="D223" s="297"/>
      <c r="E223" s="298"/>
      <c r="F223" s="294"/>
    </row>
    <row r="224" spans="1:6">
      <c r="A224" s="290" t="s">
        <v>21</v>
      </c>
      <c r="B224" s="297">
        <v>50</v>
      </c>
      <c r="C224" s="297">
        <v>27</v>
      </c>
      <c r="D224" s="297">
        <v>23</v>
      </c>
      <c r="E224" s="298">
        <v>0</v>
      </c>
      <c r="F224" s="294"/>
    </row>
    <row r="225" spans="1:6">
      <c r="A225" s="290" t="s">
        <v>22</v>
      </c>
      <c r="B225" s="297">
        <v>52</v>
      </c>
      <c r="C225" s="297">
        <v>33</v>
      </c>
      <c r="D225" s="297">
        <v>19</v>
      </c>
      <c r="E225" s="298">
        <v>0</v>
      </c>
      <c r="F225" s="294"/>
    </row>
    <row r="226" spans="1:6">
      <c r="A226" s="290" t="s">
        <v>23</v>
      </c>
      <c r="B226" s="297">
        <v>51</v>
      </c>
      <c r="C226" s="297">
        <v>30</v>
      </c>
      <c r="D226" s="297">
        <v>21</v>
      </c>
      <c r="E226" s="298">
        <v>0</v>
      </c>
      <c r="F226" s="294"/>
    </row>
    <row r="227" spans="1:6">
      <c r="A227" s="290" t="s">
        <v>24</v>
      </c>
      <c r="B227" s="297">
        <v>42</v>
      </c>
      <c r="C227" s="297">
        <v>30</v>
      </c>
      <c r="D227" s="297">
        <v>12</v>
      </c>
      <c r="E227" s="298">
        <v>0</v>
      </c>
      <c r="F227" s="294"/>
    </row>
    <row r="228" spans="1:6">
      <c r="A228" s="290" t="s">
        <v>25</v>
      </c>
      <c r="B228" s="297">
        <v>48</v>
      </c>
      <c r="C228" s="297">
        <v>23</v>
      </c>
      <c r="D228" s="297">
        <v>25</v>
      </c>
      <c r="E228" s="298">
        <v>0</v>
      </c>
      <c r="F228" s="294"/>
    </row>
    <row r="229" spans="1:6">
      <c r="A229" s="290" t="s">
        <v>26</v>
      </c>
      <c r="B229" s="297">
        <v>57</v>
      </c>
      <c r="C229" s="297">
        <v>33</v>
      </c>
      <c r="D229" s="297">
        <v>24</v>
      </c>
      <c r="E229" s="298">
        <v>0</v>
      </c>
      <c r="F229" s="294"/>
    </row>
    <row r="230" spans="1:6">
      <c r="A230" s="290" t="s">
        <v>27</v>
      </c>
      <c r="B230" s="297">
        <v>63</v>
      </c>
      <c r="C230" s="297">
        <v>41</v>
      </c>
      <c r="D230" s="297">
        <v>22</v>
      </c>
      <c r="E230" s="298">
        <v>0</v>
      </c>
      <c r="F230" s="294"/>
    </row>
    <row r="231" spans="1:6">
      <c r="A231" s="290" t="s">
        <v>28</v>
      </c>
      <c r="B231" s="297">
        <v>48</v>
      </c>
      <c r="C231" s="297">
        <v>29</v>
      </c>
      <c r="D231" s="297">
        <v>19</v>
      </c>
      <c r="E231" s="298">
        <v>0</v>
      </c>
      <c r="F231" s="294"/>
    </row>
    <row r="232" spans="1:6">
      <c r="A232" s="290" t="s">
        <v>29</v>
      </c>
      <c r="B232" s="297">
        <v>59</v>
      </c>
      <c r="C232" s="297">
        <v>35</v>
      </c>
      <c r="D232" s="297">
        <v>23</v>
      </c>
      <c r="E232" s="298">
        <v>1</v>
      </c>
      <c r="F232" s="294"/>
    </row>
    <row r="233" spans="1:6">
      <c r="A233" s="290" t="s">
        <v>30</v>
      </c>
      <c r="B233" s="297">
        <v>44</v>
      </c>
      <c r="C233" s="297">
        <v>29</v>
      </c>
      <c r="D233" s="297">
        <v>15</v>
      </c>
      <c r="E233" s="298">
        <v>0</v>
      </c>
      <c r="F233" s="294"/>
    </row>
    <row r="234" spans="1:6">
      <c r="A234" s="290" t="s">
        <v>31</v>
      </c>
      <c r="B234" s="297">
        <v>40</v>
      </c>
      <c r="C234" s="297">
        <v>22</v>
      </c>
      <c r="D234" s="297">
        <v>18</v>
      </c>
      <c r="E234" s="298">
        <v>0</v>
      </c>
      <c r="F234" s="294"/>
    </row>
    <row r="235" spans="1:6">
      <c r="A235" s="290" t="s">
        <v>32</v>
      </c>
      <c r="B235" s="297">
        <v>42</v>
      </c>
      <c r="C235" s="297">
        <v>22</v>
      </c>
      <c r="D235" s="297">
        <v>20</v>
      </c>
      <c r="E235" s="298">
        <v>0</v>
      </c>
      <c r="F235" s="294"/>
    </row>
    <row r="236" spans="1:6" ht="5.0999999999999996" customHeight="1">
      <c r="A236" s="292"/>
      <c r="B236" s="297"/>
      <c r="C236" s="297"/>
      <c r="D236" s="297"/>
      <c r="E236" s="298"/>
      <c r="F236" s="294"/>
    </row>
    <row r="237" spans="1:6">
      <c r="A237" s="292" t="s">
        <v>90</v>
      </c>
      <c r="B237" s="295">
        <v>412</v>
      </c>
      <c r="C237" s="295">
        <v>233</v>
      </c>
      <c r="D237" s="295">
        <v>179</v>
      </c>
      <c r="E237" s="296">
        <v>0</v>
      </c>
      <c r="F237" s="294"/>
    </row>
    <row r="238" spans="1:6" ht="5.0999999999999996" customHeight="1">
      <c r="A238" s="292"/>
      <c r="B238" s="297"/>
      <c r="C238" s="297"/>
      <c r="D238" s="297"/>
      <c r="E238" s="298"/>
      <c r="F238" s="294"/>
    </row>
    <row r="239" spans="1:6">
      <c r="A239" s="290" t="s">
        <v>21</v>
      </c>
      <c r="B239" s="297">
        <v>36</v>
      </c>
      <c r="C239" s="297">
        <v>25</v>
      </c>
      <c r="D239" s="297">
        <v>11</v>
      </c>
      <c r="E239" s="298">
        <v>0</v>
      </c>
      <c r="F239" s="294"/>
    </row>
    <row r="240" spans="1:6">
      <c r="A240" s="290" t="s">
        <v>22</v>
      </c>
      <c r="B240" s="297">
        <v>37</v>
      </c>
      <c r="C240" s="297">
        <v>21</v>
      </c>
      <c r="D240" s="297">
        <v>16</v>
      </c>
      <c r="E240" s="298">
        <v>0</v>
      </c>
      <c r="F240" s="294"/>
    </row>
    <row r="241" spans="1:6">
      <c r="A241" s="290" t="s">
        <v>23</v>
      </c>
      <c r="B241" s="297">
        <v>31</v>
      </c>
      <c r="C241" s="297">
        <v>15</v>
      </c>
      <c r="D241" s="297">
        <v>16</v>
      </c>
      <c r="E241" s="298">
        <v>0</v>
      </c>
      <c r="F241" s="294"/>
    </row>
    <row r="242" spans="1:6">
      <c r="A242" s="290" t="s">
        <v>24</v>
      </c>
      <c r="B242" s="297">
        <v>34</v>
      </c>
      <c r="C242" s="297">
        <v>18</v>
      </c>
      <c r="D242" s="297">
        <v>16</v>
      </c>
      <c r="E242" s="298">
        <v>0</v>
      </c>
      <c r="F242" s="294"/>
    </row>
    <row r="243" spans="1:6">
      <c r="A243" s="290" t="s">
        <v>25</v>
      </c>
      <c r="B243" s="297">
        <v>37</v>
      </c>
      <c r="C243" s="297">
        <v>22</v>
      </c>
      <c r="D243" s="297">
        <v>15</v>
      </c>
      <c r="E243" s="298">
        <v>0</v>
      </c>
      <c r="F243" s="294"/>
    </row>
    <row r="244" spans="1:6">
      <c r="A244" s="290" t="s">
        <v>26</v>
      </c>
      <c r="B244" s="297">
        <v>36</v>
      </c>
      <c r="C244" s="297">
        <v>20</v>
      </c>
      <c r="D244" s="297">
        <v>16</v>
      </c>
      <c r="E244" s="298">
        <v>0</v>
      </c>
      <c r="F244" s="294"/>
    </row>
    <row r="245" spans="1:6">
      <c r="A245" s="290" t="s">
        <v>27</v>
      </c>
      <c r="B245" s="297">
        <v>37</v>
      </c>
      <c r="C245" s="297">
        <v>20</v>
      </c>
      <c r="D245" s="297">
        <v>17</v>
      </c>
      <c r="E245" s="298">
        <v>0</v>
      </c>
      <c r="F245" s="294"/>
    </row>
    <row r="246" spans="1:6">
      <c r="A246" s="290" t="s">
        <v>28</v>
      </c>
      <c r="B246" s="297">
        <v>32</v>
      </c>
      <c r="C246" s="297">
        <v>18</v>
      </c>
      <c r="D246" s="297">
        <v>14</v>
      </c>
      <c r="E246" s="298">
        <v>0</v>
      </c>
      <c r="F246" s="294"/>
    </row>
    <row r="247" spans="1:6">
      <c r="A247" s="290" t="s">
        <v>29</v>
      </c>
      <c r="B247" s="297">
        <v>29</v>
      </c>
      <c r="C247" s="297">
        <v>20</v>
      </c>
      <c r="D247" s="297">
        <v>9</v>
      </c>
      <c r="E247" s="298">
        <v>0</v>
      </c>
      <c r="F247" s="294"/>
    </row>
    <row r="248" spans="1:6">
      <c r="A248" s="290" t="s">
        <v>30</v>
      </c>
      <c r="B248" s="297">
        <v>33</v>
      </c>
      <c r="C248" s="297">
        <v>16</v>
      </c>
      <c r="D248" s="297">
        <v>17</v>
      </c>
      <c r="E248" s="298">
        <v>0</v>
      </c>
      <c r="F248" s="294"/>
    </row>
    <row r="249" spans="1:6">
      <c r="A249" s="290" t="s">
        <v>31</v>
      </c>
      <c r="B249" s="297">
        <v>35</v>
      </c>
      <c r="C249" s="297">
        <v>21</v>
      </c>
      <c r="D249" s="297">
        <v>14</v>
      </c>
      <c r="E249" s="298">
        <v>0</v>
      </c>
      <c r="F249" s="294"/>
    </row>
    <row r="250" spans="1:6">
      <c r="A250" s="290" t="s">
        <v>32</v>
      </c>
      <c r="B250" s="297">
        <v>35</v>
      </c>
      <c r="C250" s="297">
        <v>17</v>
      </c>
      <c r="D250" s="297">
        <v>18</v>
      </c>
      <c r="E250" s="298">
        <v>0</v>
      </c>
      <c r="F250" s="294"/>
    </row>
    <row r="251" spans="1:6" ht="5.0999999999999996" customHeight="1">
      <c r="A251" s="292"/>
      <c r="F251" s="294"/>
    </row>
    <row r="252" spans="1:6">
      <c r="A252" s="292" t="s">
        <v>91</v>
      </c>
      <c r="B252" s="295">
        <v>51</v>
      </c>
      <c r="C252" s="295">
        <v>27</v>
      </c>
      <c r="D252" s="295">
        <v>24</v>
      </c>
      <c r="E252" s="296">
        <v>0</v>
      </c>
      <c r="F252" s="294"/>
    </row>
    <row r="253" spans="1:6" ht="5.0999999999999996" customHeight="1">
      <c r="A253" s="292"/>
      <c r="B253" s="297"/>
      <c r="C253" s="297"/>
      <c r="D253" s="297"/>
      <c r="E253" s="298"/>
      <c r="F253" s="294"/>
    </row>
    <row r="254" spans="1:6">
      <c r="A254" s="290" t="s">
        <v>21</v>
      </c>
      <c r="B254" s="297">
        <v>1</v>
      </c>
      <c r="C254" s="297">
        <v>1</v>
      </c>
      <c r="D254" s="297">
        <v>0</v>
      </c>
      <c r="E254" s="298">
        <v>0</v>
      </c>
      <c r="F254" s="294"/>
    </row>
    <row r="255" spans="1:6">
      <c r="A255" s="290" t="s">
        <v>22</v>
      </c>
      <c r="B255" s="297">
        <v>3</v>
      </c>
      <c r="C255" s="297">
        <v>1</v>
      </c>
      <c r="D255" s="297">
        <v>2</v>
      </c>
      <c r="E255" s="298">
        <v>0</v>
      </c>
      <c r="F255" s="294"/>
    </row>
    <row r="256" spans="1:6">
      <c r="A256" s="290" t="s">
        <v>23</v>
      </c>
      <c r="B256" s="297">
        <v>6</v>
      </c>
      <c r="C256" s="297">
        <v>3</v>
      </c>
      <c r="D256" s="297">
        <v>3</v>
      </c>
      <c r="E256" s="298">
        <v>0</v>
      </c>
      <c r="F256" s="294"/>
    </row>
    <row r="257" spans="1:6">
      <c r="A257" s="290" t="s">
        <v>24</v>
      </c>
      <c r="B257" s="297">
        <v>4</v>
      </c>
      <c r="C257" s="297">
        <v>0</v>
      </c>
      <c r="D257" s="297">
        <v>4</v>
      </c>
      <c r="E257" s="298">
        <v>0</v>
      </c>
      <c r="F257" s="294"/>
    </row>
    <row r="258" spans="1:6">
      <c r="A258" s="290" t="s">
        <v>25</v>
      </c>
      <c r="B258" s="297">
        <v>6</v>
      </c>
      <c r="C258" s="297">
        <v>1</v>
      </c>
      <c r="D258" s="297">
        <v>5</v>
      </c>
      <c r="E258" s="298">
        <v>0</v>
      </c>
      <c r="F258" s="294"/>
    </row>
    <row r="259" spans="1:6">
      <c r="A259" s="290" t="s">
        <v>26</v>
      </c>
      <c r="B259" s="297">
        <v>4</v>
      </c>
      <c r="C259" s="297">
        <v>3</v>
      </c>
      <c r="D259" s="297">
        <v>1</v>
      </c>
      <c r="E259" s="298">
        <v>0</v>
      </c>
      <c r="F259" s="294"/>
    </row>
    <row r="260" spans="1:6">
      <c r="A260" s="290" t="s">
        <v>27</v>
      </c>
      <c r="B260" s="297">
        <v>3</v>
      </c>
      <c r="C260" s="297">
        <v>2</v>
      </c>
      <c r="D260" s="297">
        <v>1</v>
      </c>
      <c r="E260" s="298">
        <v>0</v>
      </c>
      <c r="F260" s="294"/>
    </row>
    <row r="261" spans="1:6">
      <c r="A261" s="290" t="s">
        <v>28</v>
      </c>
      <c r="B261" s="297">
        <v>7</v>
      </c>
      <c r="C261" s="297">
        <v>4</v>
      </c>
      <c r="D261" s="297">
        <v>3</v>
      </c>
      <c r="E261" s="298">
        <v>0</v>
      </c>
      <c r="F261" s="294"/>
    </row>
    <row r="262" spans="1:6">
      <c r="A262" s="290" t="s">
        <v>29</v>
      </c>
      <c r="B262" s="297">
        <v>3</v>
      </c>
      <c r="C262" s="297">
        <v>1</v>
      </c>
      <c r="D262" s="297">
        <v>2</v>
      </c>
      <c r="E262" s="298">
        <v>0</v>
      </c>
      <c r="F262" s="294"/>
    </row>
    <row r="263" spans="1:6">
      <c r="A263" s="290" t="s">
        <v>30</v>
      </c>
      <c r="B263" s="297">
        <v>3</v>
      </c>
      <c r="C263" s="297">
        <v>3</v>
      </c>
      <c r="D263" s="297">
        <v>0</v>
      </c>
      <c r="E263" s="298">
        <v>0</v>
      </c>
      <c r="F263" s="294"/>
    </row>
    <row r="264" spans="1:6">
      <c r="A264" s="290" t="s">
        <v>31</v>
      </c>
      <c r="B264" s="297">
        <v>7</v>
      </c>
      <c r="C264" s="297">
        <v>4</v>
      </c>
      <c r="D264" s="297">
        <v>3</v>
      </c>
      <c r="E264" s="298">
        <v>0</v>
      </c>
      <c r="F264" s="294"/>
    </row>
    <row r="265" spans="1:6">
      <c r="A265" s="290" t="s">
        <v>32</v>
      </c>
      <c r="B265" s="297">
        <v>4</v>
      </c>
      <c r="C265" s="297">
        <v>4</v>
      </c>
      <c r="D265" s="297">
        <v>0</v>
      </c>
      <c r="E265" s="298">
        <v>0</v>
      </c>
      <c r="F265" s="294"/>
    </row>
    <row r="266" spans="1:6" ht="5.0999999999999996" customHeight="1">
      <c r="A266" s="292"/>
      <c r="B266" s="297"/>
      <c r="C266" s="297"/>
      <c r="D266" s="297"/>
      <c r="E266" s="298"/>
      <c r="F266" s="294"/>
    </row>
    <row r="267" spans="1:6">
      <c r="A267" s="292" t="s">
        <v>92</v>
      </c>
      <c r="B267" s="295">
        <v>415</v>
      </c>
      <c r="C267" s="295">
        <v>254</v>
      </c>
      <c r="D267" s="295">
        <v>161</v>
      </c>
      <c r="E267" s="296">
        <v>0</v>
      </c>
      <c r="F267" s="294"/>
    </row>
    <row r="268" spans="1:6" ht="5.0999999999999996" customHeight="1">
      <c r="A268" s="292"/>
      <c r="B268" s="297"/>
      <c r="C268" s="297"/>
      <c r="D268" s="297"/>
      <c r="E268" s="298"/>
      <c r="F268" s="294"/>
    </row>
    <row r="269" spans="1:6">
      <c r="A269" s="290" t="s">
        <v>21</v>
      </c>
      <c r="B269" s="297">
        <v>27</v>
      </c>
      <c r="C269" s="297">
        <v>13</v>
      </c>
      <c r="D269" s="297">
        <v>14</v>
      </c>
      <c r="E269" s="298">
        <v>0</v>
      </c>
      <c r="F269" s="294"/>
    </row>
    <row r="270" spans="1:6">
      <c r="A270" s="290" t="s">
        <v>22</v>
      </c>
      <c r="B270" s="297">
        <v>34</v>
      </c>
      <c r="C270" s="297">
        <v>20</v>
      </c>
      <c r="D270" s="297">
        <v>14</v>
      </c>
      <c r="E270" s="298">
        <v>0</v>
      </c>
      <c r="F270" s="294"/>
    </row>
    <row r="271" spans="1:6">
      <c r="A271" s="290" t="s">
        <v>23</v>
      </c>
      <c r="B271" s="297">
        <v>45</v>
      </c>
      <c r="C271" s="297">
        <v>24</v>
      </c>
      <c r="D271" s="297">
        <v>21</v>
      </c>
      <c r="E271" s="298">
        <v>0</v>
      </c>
      <c r="F271" s="294"/>
    </row>
    <row r="272" spans="1:6">
      <c r="A272" s="290" t="s">
        <v>24</v>
      </c>
      <c r="B272" s="297">
        <v>36</v>
      </c>
      <c r="C272" s="297">
        <v>27</v>
      </c>
      <c r="D272" s="297">
        <v>9</v>
      </c>
      <c r="E272" s="298">
        <v>0</v>
      </c>
      <c r="F272" s="294"/>
    </row>
    <row r="273" spans="1:6">
      <c r="A273" s="290" t="s">
        <v>25</v>
      </c>
      <c r="B273" s="297">
        <v>33</v>
      </c>
      <c r="C273" s="297">
        <v>23</v>
      </c>
      <c r="D273" s="297">
        <v>10</v>
      </c>
      <c r="E273" s="298">
        <v>0</v>
      </c>
      <c r="F273" s="294"/>
    </row>
    <row r="274" spans="1:6">
      <c r="A274" s="290" t="s">
        <v>26</v>
      </c>
      <c r="B274" s="297">
        <v>31</v>
      </c>
      <c r="C274" s="297">
        <v>22</v>
      </c>
      <c r="D274" s="297">
        <v>9</v>
      </c>
      <c r="E274" s="298">
        <v>0</v>
      </c>
      <c r="F274" s="294"/>
    </row>
    <row r="275" spans="1:6">
      <c r="A275" s="290" t="s">
        <v>27</v>
      </c>
      <c r="B275" s="297">
        <v>36</v>
      </c>
      <c r="C275" s="297">
        <v>25</v>
      </c>
      <c r="D275" s="297">
        <v>11</v>
      </c>
      <c r="E275" s="298">
        <v>0</v>
      </c>
      <c r="F275" s="294"/>
    </row>
    <row r="276" spans="1:6">
      <c r="A276" s="290" t="s">
        <v>28</v>
      </c>
      <c r="B276" s="297">
        <v>41</v>
      </c>
      <c r="C276" s="297">
        <v>22</v>
      </c>
      <c r="D276" s="297">
        <v>19</v>
      </c>
      <c r="E276" s="298">
        <v>0</v>
      </c>
      <c r="F276" s="294"/>
    </row>
    <row r="277" spans="1:6">
      <c r="A277" s="290" t="s">
        <v>29</v>
      </c>
      <c r="B277" s="297">
        <v>31</v>
      </c>
      <c r="C277" s="297">
        <v>19</v>
      </c>
      <c r="D277" s="297">
        <v>12</v>
      </c>
      <c r="E277" s="298">
        <v>0</v>
      </c>
      <c r="F277" s="294"/>
    </row>
    <row r="278" spans="1:6">
      <c r="A278" s="290" t="s">
        <v>30</v>
      </c>
      <c r="B278" s="297">
        <v>32</v>
      </c>
      <c r="C278" s="297">
        <v>17</v>
      </c>
      <c r="D278" s="297">
        <v>15</v>
      </c>
      <c r="E278" s="298">
        <v>0</v>
      </c>
      <c r="F278" s="294"/>
    </row>
    <row r="279" spans="1:6">
      <c r="A279" s="290" t="s">
        <v>31</v>
      </c>
      <c r="B279" s="297">
        <v>33</v>
      </c>
      <c r="C279" s="297">
        <v>21</v>
      </c>
      <c r="D279" s="297">
        <v>12</v>
      </c>
      <c r="E279" s="298">
        <v>0</v>
      </c>
      <c r="F279" s="294"/>
    </row>
    <row r="280" spans="1:6">
      <c r="A280" s="290" t="s">
        <v>32</v>
      </c>
      <c r="B280" s="297">
        <v>36</v>
      </c>
      <c r="C280" s="297">
        <v>21</v>
      </c>
      <c r="D280" s="297">
        <v>15</v>
      </c>
      <c r="E280" s="298">
        <v>0</v>
      </c>
      <c r="F280" s="294"/>
    </row>
    <row r="281" spans="1:6" ht="5.0999999999999996" customHeight="1">
      <c r="A281" s="292"/>
      <c r="B281" s="297"/>
      <c r="C281" s="297"/>
      <c r="D281" s="297"/>
      <c r="E281" s="298"/>
      <c r="F281" s="294"/>
    </row>
    <row r="282" spans="1:6">
      <c r="A282" s="292" t="s">
        <v>93</v>
      </c>
      <c r="B282" s="295">
        <v>931</v>
      </c>
      <c r="C282" s="295">
        <v>590</v>
      </c>
      <c r="D282" s="295">
        <v>341</v>
      </c>
      <c r="E282" s="296">
        <v>0</v>
      </c>
      <c r="F282" s="294"/>
    </row>
    <row r="283" spans="1:6" ht="5.0999999999999996" customHeight="1">
      <c r="A283" s="292"/>
      <c r="B283" s="297"/>
      <c r="C283" s="297"/>
      <c r="D283" s="297"/>
      <c r="E283" s="298"/>
      <c r="F283" s="294"/>
    </row>
    <row r="284" spans="1:6">
      <c r="A284" s="290" t="s">
        <v>21</v>
      </c>
      <c r="B284" s="297">
        <v>67</v>
      </c>
      <c r="C284" s="297">
        <v>36</v>
      </c>
      <c r="D284" s="297">
        <v>31</v>
      </c>
      <c r="E284" s="298">
        <v>0</v>
      </c>
      <c r="F284" s="294"/>
    </row>
    <row r="285" spans="1:6">
      <c r="A285" s="290" t="s">
        <v>22</v>
      </c>
      <c r="B285" s="297">
        <v>63</v>
      </c>
      <c r="C285" s="297">
        <v>35</v>
      </c>
      <c r="D285" s="297">
        <v>28</v>
      </c>
      <c r="E285" s="298">
        <v>0</v>
      </c>
      <c r="F285" s="294"/>
    </row>
    <row r="286" spans="1:6">
      <c r="A286" s="290" t="s">
        <v>23</v>
      </c>
      <c r="B286" s="297">
        <v>96</v>
      </c>
      <c r="C286" s="297">
        <v>65</v>
      </c>
      <c r="D286" s="297">
        <v>31</v>
      </c>
      <c r="E286" s="298">
        <v>0</v>
      </c>
      <c r="F286" s="294"/>
    </row>
    <row r="287" spans="1:6">
      <c r="A287" s="290" t="s">
        <v>24</v>
      </c>
      <c r="B287" s="297">
        <v>79</v>
      </c>
      <c r="C287" s="297">
        <v>58</v>
      </c>
      <c r="D287" s="297">
        <v>21</v>
      </c>
      <c r="E287" s="298">
        <v>0</v>
      </c>
      <c r="F287" s="294"/>
    </row>
    <row r="288" spans="1:6">
      <c r="A288" s="290" t="s">
        <v>25</v>
      </c>
      <c r="B288" s="297">
        <v>71</v>
      </c>
      <c r="C288" s="297">
        <v>50</v>
      </c>
      <c r="D288" s="297">
        <v>21</v>
      </c>
      <c r="E288" s="298">
        <v>0</v>
      </c>
      <c r="F288" s="294"/>
    </row>
    <row r="289" spans="1:6">
      <c r="A289" s="290" t="s">
        <v>26</v>
      </c>
      <c r="B289" s="297">
        <v>74</v>
      </c>
      <c r="C289" s="297">
        <v>54</v>
      </c>
      <c r="D289" s="297">
        <v>20</v>
      </c>
      <c r="E289" s="298">
        <v>0</v>
      </c>
      <c r="F289" s="294"/>
    </row>
    <row r="290" spans="1:6">
      <c r="A290" s="290" t="s">
        <v>27</v>
      </c>
      <c r="B290" s="297">
        <v>92</v>
      </c>
      <c r="C290" s="297">
        <v>61</v>
      </c>
      <c r="D290" s="297">
        <v>31</v>
      </c>
      <c r="E290" s="298">
        <v>0</v>
      </c>
      <c r="F290" s="294"/>
    </row>
    <row r="291" spans="1:6">
      <c r="A291" s="290" t="s">
        <v>28</v>
      </c>
      <c r="B291" s="297">
        <v>80</v>
      </c>
      <c r="C291" s="297">
        <v>52</v>
      </c>
      <c r="D291" s="297">
        <v>28</v>
      </c>
      <c r="E291" s="298">
        <v>0</v>
      </c>
      <c r="F291" s="294"/>
    </row>
    <row r="292" spans="1:6">
      <c r="A292" s="290" t="s">
        <v>29</v>
      </c>
      <c r="B292" s="297">
        <v>75</v>
      </c>
      <c r="C292" s="297">
        <v>41</v>
      </c>
      <c r="D292" s="297">
        <v>34</v>
      </c>
      <c r="E292" s="298">
        <v>0</v>
      </c>
      <c r="F292" s="294"/>
    </row>
    <row r="293" spans="1:6">
      <c r="A293" s="290" t="s">
        <v>30</v>
      </c>
      <c r="B293" s="297">
        <v>73</v>
      </c>
      <c r="C293" s="297">
        <v>50</v>
      </c>
      <c r="D293" s="297">
        <v>23</v>
      </c>
      <c r="E293" s="298">
        <v>0</v>
      </c>
      <c r="F293" s="294"/>
    </row>
    <row r="294" spans="1:6">
      <c r="A294" s="290" t="s">
        <v>31</v>
      </c>
      <c r="B294" s="297">
        <v>87</v>
      </c>
      <c r="C294" s="297">
        <v>40</v>
      </c>
      <c r="D294" s="297">
        <v>47</v>
      </c>
      <c r="E294" s="298">
        <v>0</v>
      </c>
      <c r="F294" s="294"/>
    </row>
    <row r="295" spans="1:6">
      <c r="A295" s="290" t="s">
        <v>32</v>
      </c>
      <c r="B295" s="297">
        <v>74</v>
      </c>
      <c r="C295" s="297">
        <v>48</v>
      </c>
      <c r="D295" s="297">
        <v>26</v>
      </c>
      <c r="E295" s="298">
        <v>0</v>
      </c>
      <c r="F295" s="294"/>
    </row>
    <row r="296" spans="1:6" ht="5.0999999999999996" customHeight="1">
      <c r="A296" s="292"/>
      <c r="B296" s="297"/>
      <c r="C296" s="297"/>
      <c r="D296" s="297"/>
      <c r="E296" s="298"/>
      <c r="F296" s="294"/>
    </row>
    <row r="297" spans="1:6">
      <c r="A297" s="292" t="s">
        <v>175</v>
      </c>
      <c r="B297" s="295">
        <v>493</v>
      </c>
      <c r="C297" s="295">
        <v>269</v>
      </c>
      <c r="D297" s="295">
        <v>224</v>
      </c>
      <c r="E297" s="296">
        <v>0</v>
      </c>
      <c r="F297" s="294"/>
    </row>
    <row r="298" spans="1:6" ht="5.0999999999999996" customHeight="1">
      <c r="A298" s="292"/>
      <c r="B298" s="297"/>
      <c r="C298" s="297"/>
      <c r="D298" s="297"/>
      <c r="E298" s="298"/>
      <c r="F298" s="294"/>
    </row>
    <row r="299" spans="1:6">
      <c r="A299" s="290" t="s">
        <v>21</v>
      </c>
      <c r="B299" s="297">
        <v>49</v>
      </c>
      <c r="C299" s="297">
        <v>29</v>
      </c>
      <c r="D299" s="297">
        <v>20</v>
      </c>
      <c r="E299" s="298">
        <v>0</v>
      </c>
      <c r="F299" s="294"/>
    </row>
    <row r="300" spans="1:6">
      <c r="A300" s="290" t="s">
        <v>22</v>
      </c>
      <c r="B300" s="297">
        <v>30</v>
      </c>
      <c r="C300" s="297">
        <v>18</v>
      </c>
      <c r="D300" s="297">
        <v>12</v>
      </c>
      <c r="E300" s="298">
        <v>0</v>
      </c>
      <c r="F300" s="294"/>
    </row>
    <row r="301" spans="1:6">
      <c r="A301" s="290" t="s">
        <v>23</v>
      </c>
      <c r="B301" s="297">
        <v>38</v>
      </c>
      <c r="C301" s="297">
        <v>16</v>
      </c>
      <c r="D301" s="297">
        <v>22</v>
      </c>
      <c r="E301" s="298">
        <v>0</v>
      </c>
      <c r="F301" s="294"/>
    </row>
    <row r="302" spans="1:6">
      <c r="A302" s="290" t="s">
        <v>24</v>
      </c>
      <c r="B302" s="297">
        <v>44</v>
      </c>
      <c r="C302" s="297">
        <v>27</v>
      </c>
      <c r="D302" s="297">
        <v>17</v>
      </c>
      <c r="E302" s="298">
        <v>0</v>
      </c>
      <c r="F302" s="294"/>
    </row>
    <row r="303" spans="1:6">
      <c r="A303" s="290" t="s">
        <v>25</v>
      </c>
      <c r="B303" s="297">
        <v>31</v>
      </c>
      <c r="C303" s="297">
        <v>14</v>
      </c>
      <c r="D303" s="297">
        <v>17</v>
      </c>
      <c r="E303" s="298">
        <v>0</v>
      </c>
      <c r="F303" s="294"/>
    </row>
    <row r="304" spans="1:6">
      <c r="A304" s="290" t="s">
        <v>26</v>
      </c>
      <c r="B304" s="297">
        <v>41</v>
      </c>
      <c r="C304" s="297">
        <v>24</v>
      </c>
      <c r="D304" s="297">
        <v>17</v>
      </c>
      <c r="E304" s="298">
        <v>0</v>
      </c>
      <c r="F304" s="294"/>
    </row>
    <row r="305" spans="1:6">
      <c r="A305" s="290" t="s">
        <v>27</v>
      </c>
      <c r="B305" s="297">
        <v>39</v>
      </c>
      <c r="C305" s="297">
        <v>20</v>
      </c>
      <c r="D305" s="297">
        <v>19</v>
      </c>
      <c r="E305" s="298">
        <v>0</v>
      </c>
      <c r="F305" s="294"/>
    </row>
    <row r="306" spans="1:6">
      <c r="A306" s="290" t="s">
        <v>28</v>
      </c>
      <c r="B306" s="297">
        <v>56</v>
      </c>
      <c r="C306" s="297">
        <v>36</v>
      </c>
      <c r="D306" s="297">
        <v>20</v>
      </c>
      <c r="E306" s="298">
        <v>0</v>
      </c>
      <c r="F306" s="294"/>
    </row>
    <row r="307" spans="1:6">
      <c r="A307" s="290" t="s">
        <v>29</v>
      </c>
      <c r="B307" s="297">
        <v>33</v>
      </c>
      <c r="C307" s="297">
        <v>14</v>
      </c>
      <c r="D307" s="297">
        <v>19</v>
      </c>
      <c r="E307" s="298">
        <v>0</v>
      </c>
      <c r="F307" s="294"/>
    </row>
    <row r="308" spans="1:6">
      <c r="A308" s="290" t="s">
        <v>30</v>
      </c>
      <c r="B308" s="297">
        <v>36</v>
      </c>
      <c r="C308" s="297">
        <v>19</v>
      </c>
      <c r="D308" s="297">
        <v>17</v>
      </c>
      <c r="E308" s="298">
        <v>0</v>
      </c>
      <c r="F308" s="294"/>
    </row>
    <row r="309" spans="1:6">
      <c r="A309" s="290" t="s">
        <v>31</v>
      </c>
      <c r="B309" s="297">
        <v>56</v>
      </c>
      <c r="C309" s="297">
        <v>34</v>
      </c>
      <c r="D309" s="297">
        <v>22</v>
      </c>
      <c r="E309" s="298">
        <v>0</v>
      </c>
      <c r="F309" s="294"/>
    </row>
    <row r="310" spans="1:6">
      <c r="A310" s="290" t="s">
        <v>32</v>
      </c>
      <c r="B310" s="297">
        <v>40</v>
      </c>
      <c r="C310" s="297">
        <v>18</v>
      </c>
      <c r="D310" s="297">
        <v>22</v>
      </c>
      <c r="E310" s="298">
        <v>0</v>
      </c>
      <c r="F310" s="294"/>
    </row>
    <row r="311" spans="1:6" ht="5.0999999999999996" customHeight="1">
      <c r="A311" s="292"/>
      <c r="B311" s="297"/>
      <c r="C311" s="297"/>
      <c r="D311" s="297"/>
      <c r="E311" s="298"/>
      <c r="F311" s="294"/>
    </row>
    <row r="312" spans="1:6">
      <c r="A312" s="292" t="s">
        <v>95</v>
      </c>
      <c r="B312" s="295">
        <v>357</v>
      </c>
      <c r="C312" s="295">
        <v>220</v>
      </c>
      <c r="D312" s="295">
        <v>137</v>
      </c>
      <c r="E312" s="296">
        <v>0</v>
      </c>
      <c r="F312" s="294"/>
    </row>
    <row r="313" spans="1:6" ht="5.0999999999999996" customHeight="1">
      <c r="A313" s="292"/>
      <c r="B313" s="297"/>
      <c r="C313" s="297"/>
      <c r="D313" s="297"/>
      <c r="E313" s="298"/>
      <c r="F313" s="294"/>
    </row>
    <row r="314" spans="1:6">
      <c r="A314" s="290" t="s">
        <v>21</v>
      </c>
      <c r="B314" s="297">
        <v>31</v>
      </c>
      <c r="C314" s="297">
        <v>19</v>
      </c>
      <c r="D314" s="297">
        <v>12</v>
      </c>
      <c r="E314" s="298">
        <v>0</v>
      </c>
      <c r="F314" s="294"/>
    </row>
    <row r="315" spans="1:6">
      <c r="A315" s="290" t="s">
        <v>22</v>
      </c>
      <c r="B315" s="297">
        <v>27</v>
      </c>
      <c r="C315" s="297">
        <v>17</v>
      </c>
      <c r="D315" s="297">
        <v>10</v>
      </c>
      <c r="E315" s="298">
        <v>0</v>
      </c>
      <c r="F315" s="294"/>
    </row>
    <row r="316" spans="1:6">
      <c r="A316" s="290" t="s">
        <v>23</v>
      </c>
      <c r="B316" s="297">
        <v>32</v>
      </c>
      <c r="C316" s="297">
        <v>17</v>
      </c>
      <c r="D316" s="297">
        <v>15</v>
      </c>
      <c r="E316" s="298">
        <v>0</v>
      </c>
      <c r="F316" s="294"/>
    </row>
    <row r="317" spans="1:6">
      <c r="A317" s="290" t="s">
        <v>24</v>
      </c>
      <c r="B317" s="297">
        <v>34</v>
      </c>
      <c r="C317" s="297">
        <v>21</v>
      </c>
      <c r="D317" s="297">
        <v>13</v>
      </c>
      <c r="E317" s="298">
        <v>0</v>
      </c>
      <c r="F317" s="294"/>
    </row>
    <row r="318" spans="1:6">
      <c r="A318" s="290" t="s">
        <v>25</v>
      </c>
      <c r="B318" s="297">
        <v>18</v>
      </c>
      <c r="C318" s="297">
        <v>12</v>
      </c>
      <c r="D318" s="297">
        <v>6</v>
      </c>
      <c r="E318" s="298">
        <v>0</v>
      </c>
      <c r="F318" s="294"/>
    </row>
    <row r="319" spans="1:6">
      <c r="A319" s="290" t="s">
        <v>26</v>
      </c>
      <c r="B319" s="297">
        <v>21</v>
      </c>
      <c r="C319" s="297">
        <v>15</v>
      </c>
      <c r="D319" s="297">
        <v>6</v>
      </c>
      <c r="E319" s="298">
        <v>0</v>
      </c>
      <c r="F319" s="294"/>
    </row>
    <row r="320" spans="1:6">
      <c r="A320" s="290" t="s">
        <v>27</v>
      </c>
      <c r="B320" s="297">
        <v>31</v>
      </c>
      <c r="C320" s="297">
        <v>18</v>
      </c>
      <c r="D320" s="297">
        <v>13</v>
      </c>
      <c r="E320" s="298">
        <v>0</v>
      </c>
      <c r="F320" s="294"/>
    </row>
    <row r="321" spans="1:6">
      <c r="A321" s="290" t="s">
        <v>28</v>
      </c>
      <c r="B321" s="297">
        <v>44</v>
      </c>
      <c r="C321" s="297">
        <v>26</v>
      </c>
      <c r="D321" s="297">
        <v>18</v>
      </c>
      <c r="E321" s="298">
        <v>0</v>
      </c>
      <c r="F321" s="294"/>
    </row>
    <row r="322" spans="1:6">
      <c r="A322" s="290" t="s">
        <v>29</v>
      </c>
      <c r="B322" s="297">
        <v>27</v>
      </c>
      <c r="C322" s="297">
        <v>16</v>
      </c>
      <c r="D322" s="297">
        <v>11</v>
      </c>
      <c r="E322" s="298">
        <v>0</v>
      </c>
      <c r="F322" s="294"/>
    </row>
    <row r="323" spans="1:6">
      <c r="A323" s="290" t="s">
        <v>30</v>
      </c>
      <c r="B323" s="297">
        <v>29</v>
      </c>
      <c r="C323" s="297">
        <v>15</v>
      </c>
      <c r="D323" s="297">
        <v>14</v>
      </c>
      <c r="E323" s="298">
        <v>0</v>
      </c>
      <c r="F323" s="294"/>
    </row>
    <row r="324" spans="1:6">
      <c r="A324" s="290" t="s">
        <v>31</v>
      </c>
      <c r="B324" s="297">
        <v>33</v>
      </c>
      <c r="C324" s="297">
        <v>22</v>
      </c>
      <c r="D324" s="297">
        <v>11</v>
      </c>
      <c r="E324" s="298">
        <v>0</v>
      </c>
      <c r="F324" s="294"/>
    </row>
    <row r="325" spans="1:6">
      <c r="A325" s="290" t="s">
        <v>32</v>
      </c>
      <c r="B325" s="297">
        <v>29</v>
      </c>
      <c r="C325" s="297">
        <v>21</v>
      </c>
      <c r="D325" s="297">
        <v>8</v>
      </c>
      <c r="E325" s="298">
        <v>0</v>
      </c>
      <c r="F325" s="294"/>
    </row>
    <row r="326" spans="1:6">
      <c r="A326" s="290" t="s">
        <v>493</v>
      </c>
      <c r="B326" s="297">
        <v>1</v>
      </c>
      <c r="C326" s="297">
        <v>1</v>
      </c>
      <c r="D326" s="297">
        <v>0</v>
      </c>
      <c r="E326" s="298">
        <v>0</v>
      </c>
      <c r="F326" s="294"/>
    </row>
    <row r="327" spans="1:6" ht="5.0999999999999996" customHeight="1">
      <c r="A327" s="292"/>
      <c r="B327" s="297"/>
      <c r="C327" s="297"/>
      <c r="D327" s="297"/>
      <c r="E327" s="298"/>
      <c r="F327" s="294"/>
    </row>
    <row r="328" spans="1:6">
      <c r="A328" s="292" t="s">
        <v>96</v>
      </c>
      <c r="B328" s="295">
        <v>1437</v>
      </c>
      <c r="C328" s="295">
        <v>847</v>
      </c>
      <c r="D328" s="295">
        <v>590</v>
      </c>
      <c r="E328" s="296">
        <v>0</v>
      </c>
      <c r="F328" s="294"/>
    </row>
    <row r="329" spans="1:6" ht="5.0999999999999996" customHeight="1">
      <c r="A329" s="292"/>
      <c r="B329" s="297"/>
      <c r="C329" s="297"/>
      <c r="D329" s="297"/>
      <c r="E329" s="298"/>
      <c r="F329" s="294"/>
    </row>
    <row r="330" spans="1:6">
      <c r="A330" s="290" t="s">
        <v>21</v>
      </c>
      <c r="B330" s="297">
        <v>121</v>
      </c>
      <c r="C330" s="297">
        <v>63</v>
      </c>
      <c r="D330" s="297">
        <v>58</v>
      </c>
      <c r="E330" s="298">
        <v>0</v>
      </c>
      <c r="F330" s="294"/>
    </row>
    <row r="331" spans="1:6">
      <c r="A331" s="290" t="s">
        <v>22</v>
      </c>
      <c r="B331" s="297">
        <v>114</v>
      </c>
      <c r="C331" s="297">
        <v>75</v>
      </c>
      <c r="D331" s="297">
        <v>39</v>
      </c>
      <c r="E331" s="298">
        <v>0</v>
      </c>
      <c r="F331" s="294"/>
    </row>
    <row r="332" spans="1:6">
      <c r="A332" s="290" t="s">
        <v>23</v>
      </c>
      <c r="B332" s="297">
        <v>124</v>
      </c>
      <c r="C332" s="297">
        <v>72</v>
      </c>
      <c r="D332" s="297">
        <v>52</v>
      </c>
      <c r="E332" s="298">
        <v>0</v>
      </c>
      <c r="F332" s="294"/>
    </row>
    <row r="333" spans="1:6">
      <c r="A333" s="290" t="s">
        <v>24</v>
      </c>
      <c r="B333" s="297">
        <v>117</v>
      </c>
      <c r="C333" s="297">
        <v>74</v>
      </c>
      <c r="D333" s="297">
        <v>43</v>
      </c>
      <c r="E333" s="298">
        <v>0</v>
      </c>
      <c r="F333" s="294"/>
    </row>
    <row r="334" spans="1:6">
      <c r="A334" s="290" t="s">
        <v>25</v>
      </c>
      <c r="B334" s="297">
        <v>107</v>
      </c>
      <c r="C334" s="297">
        <v>67</v>
      </c>
      <c r="D334" s="297">
        <v>40</v>
      </c>
      <c r="E334" s="298">
        <v>0</v>
      </c>
      <c r="F334" s="294"/>
    </row>
    <row r="335" spans="1:6">
      <c r="A335" s="290" t="s">
        <v>26</v>
      </c>
      <c r="B335" s="297">
        <v>125</v>
      </c>
      <c r="C335" s="297">
        <v>65</v>
      </c>
      <c r="D335" s="297">
        <v>60</v>
      </c>
      <c r="E335" s="298">
        <v>0</v>
      </c>
      <c r="F335" s="294"/>
    </row>
    <row r="336" spans="1:6">
      <c r="A336" s="290" t="s">
        <v>27</v>
      </c>
      <c r="B336" s="297">
        <v>160</v>
      </c>
      <c r="C336" s="297">
        <v>101</v>
      </c>
      <c r="D336" s="297">
        <v>59</v>
      </c>
      <c r="E336" s="298">
        <v>0</v>
      </c>
      <c r="F336" s="294"/>
    </row>
    <row r="337" spans="1:6">
      <c r="A337" s="290" t="s">
        <v>28</v>
      </c>
      <c r="B337" s="297">
        <v>137</v>
      </c>
      <c r="C337" s="297">
        <v>77</v>
      </c>
      <c r="D337" s="297">
        <v>60</v>
      </c>
      <c r="E337" s="298">
        <v>0</v>
      </c>
      <c r="F337" s="294"/>
    </row>
    <row r="338" spans="1:6">
      <c r="A338" s="290" t="s">
        <v>29</v>
      </c>
      <c r="B338" s="297">
        <v>119</v>
      </c>
      <c r="C338" s="297">
        <v>70</v>
      </c>
      <c r="D338" s="297">
        <v>49</v>
      </c>
      <c r="E338" s="298">
        <v>0</v>
      </c>
      <c r="F338" s="294"/>
    </row>
    <row r="339" spans="1:6">
      <c r="A339" s="290" t="s">
        <v>30</v>
      </c>
      <c r="B339" s="297">
        <v>109</v>
      </c>
      <c r="C339" s="297">
        <v>64</v>
      </c>
      <c r="D339" s="297">
        <v>45</v>
      </c>
      <c r="E339" s="298">
        <v>0</v>
      </c>
      <c r="F339" s="294"/>
    </row>
    <row r="340" spans="1:6">
      <c r="A340" s="290" t="s">
        <v>31</v>
      </c>
      <c r="B340" s="297">
        <v>95</v>
      </c>
      <c r="C340" s="297">
        <v>56</v>
      </c>
      <c r="D340" s="297">
        <v>39</v>
      </c>
      <c r="E340" s="298">
        <v>0</v>
      </c>
      <c r="F340" s="294"/>
    </row>
    <row r="341" spans="1:6">
      <c r="A341" s="290" t="s">
        <v>32</v>
      </c>
      <c r="B341" s="297">
        <v>109</v>
      </c>
      <c r="C341" s="297">
        <v>63</v>
      </c>
      <c r="D341" s="297">
        <v>46</v>
      </c>
      <c r="E341" s="298">
        <v>0</v>
      </c>
      <c r="F341" s="294"/>
    </row>
    <row r="342" spans="1:6" ht="5.0999999999999996" customHeight="1">
      <c r="A342" s="292"/>
      <c r="B342" s="297"/>
      <c r="C342" s="297"/>
      <c r="D342" s="297"/>
      <c r="E342" s="298"/>
      <c r="F342" s="294"/>
    </row>
    <row r="343" spans="1:6">
      <c r="A343" s="292" t="s">
        <v>97</v>
      </c>
      <c r="B343" s="295">
        <v>689</v>
      </c>
      <c r="C343" s="295">
        <v>414</v>
      </c>
      <c r="D343" s="295">
        <v>275</v>
      </c>
      <c r="E343" s="296">
        <v>0</v>
      </c>
      <c r="F343" s="294"/>
    </row>
    <row r="344" spans="1:6" ht="5.0999999999999996" customHeight="1">
      <c r="A344" s="292"/>
      <c r="B344" s="297"/>
      <c r="C344" s="297"/>
      <c r="D344" s="297"/>
      <c r="E344" s="298"/>
      <c r="F344" s="294"/>
    </row>
    <row r="345" spans="1:6">
      <c r="A345" s="290" t="s">
        <v>21</v>
      </c>
      <c r="B345" s="297">
        <v>66</v>
      </c>
      <c r="C345" s="297">
        <v>43</v>
      </c>
      <c r="D345" s="297">
        <v>23</v>
      </c>
      <c r="E345" s="298">
        <v>0</v>
      </c>
      <c r="F345" s="294"/>
    </row>
    <row r="346" spans="1:6">
      <c r="A346" s="290" t="s">
        <v>22</v>
      </c>
      <c r="B346" s="297">
        <v>62</v>
      </c>
      <c r="C346" s="297">
        <v>36</v>
      </c>
      <c r="D346" s="297">
        <v>26</v>
      </c>
      <c r="E346" s="298">
        <v>0</v>
      </c>
      <c r="F346" s="294"/>
    </row>
    <row r="347" spans="1:6">
      <c r="A347" s="290" t="s">
        <v>23</v>
      </c>
      <c r="B347" s="297">
        <v>52</v>
      </c>
      <c r="C347" s="297">
        <v>23</v>
      </c>
      <c r="D347" s="297">
        <v>29</v>
      </c>
      <c r="E347" s="298">
        <v>0</v>
      </c>
      <c r="F347" s="294"/>
    </row>
    <row r="348" spans="1:6">
      <c r="A348" s="290" t="s">
        <v>24</v>
      </c>
      <c r="B348" s="297">
        <v>63</v>
      </c>
      <c r="C348" s="297">
        <v>38</v>
      </c>
      <c r="D348" s="297">
        <v>25</v>
      </c>
      <c r="E348" s="298">
        <v>0</v>
      </c>
      <c r="F348" s="294"/>
    </row>
    <row r="349" spans="1:6">
      <c r="A349" s="290" t="s">
        <v>25</v>
      </c>
      <c r="B349" s="297">
        <v>63</v>
      </c>
      <c r="C349" s="297">
        <v>41</v>
      </c>
      <c r="D349" s="297">
        <v>22</v>
      </c>
      <c r="E349" s="298">
        <v>0</v>
      </c>
      <c r="F349" s="294"/>
    </row>
    <row r="350" spans="1:6">
      <c r="A350" s="290" t="s">
        <v>26</v>
      </c>
      <c r="B350" s="297">
        <v>49</v>
      </c>
      <c r="C350" s="297">
        <v>26</v>
      </c>
      <c r="D350" s="297">
        <v>23</v>
      </c>
      <c r="E350" s="298">
        <v>0</v>
      </c>
      <c r="F350" s="294"/>
    </row>
    <row r="351" spans="1:6">
      <c r="A351" s="290" t="s">
        <v>27</v>
      </c>
      <c r="B351" s="297">
        <v>50</v>
      </c>
      <c r="C351" s="297">
        <v>26</v>
      </c>
      <c r="D351" s="297">
        <v>24</v>
      </c>
      <c r="E351" s="298">
        <v>0</v>
      </c>
      <c r="F351" s="294"/>
    </row>
    <row r="352" spans="1:6">
      <c r="A352" s="290" t="s">
        <v>28</v>
      </c>
      <c r="B352" s="297">
        <v>56</v>
      </c>
      <c r="C352" s="297">
        <v>38</v>
      </c>
      <c r="D352" s="297">
        <v>18</v>
      </c>
      <c r="E352" s="298">
        <v>0</v>
      </c>
      <c r="F352" s="294"/>
    </row>
    <row r="353" spans="1:6">
      <c r="A353" s="290" t="s">
        <v>29</v>
      </c>
      <c r="B353" s="297">
        <v>62</v>
      </c>
      <c r="C353" s="297">
        <v>41</v>
      </c>
      <c r="D353" s="297">
        <v>21</v>
      </c>
      <c r="E353" s="298">
        <v>0</v>
      </c>
      <c r="F353" s="294"/>
    </row>
    <row r="354" spans="1:6">
      <c r="A354" s="290" t="s">
        <v>30</v>
      </c>
      <c r="B354" s="297">
        <v>50</v>
      </c>
      <c r="C354" s="297">
        <v>23</v>
      </c>
      <c r="D354" s="297">
        <v>27</v>
      </c>
      <c r="E354" s="298">
        <v>0</v>
      </c>
      <c r="F354" s="294"/>
    </row>
    <row r="355" spans="1:6">
      <c r="A355" s="290" t="s">
        <v>31</v>
      </c>
      <c r="B355" s="297">
        <v>65</v>
      </c>
      <c r="C355" s="297">
        <v>42</v>
      </c>
      <c r="D355" s="297">
        <v>23</v>
      </c>
      <c r="E355" s="298">
        <v>0</v>
      </c>
      <c r="F355" s="294"/>
    </row>
    <row r="356" spans="1:6">
      <c r="A356" s="290" t="s">
        <v>32</v>
      </c>
      <c r="B356" s="297">
        <v>51</v>
      </c>
      <c r="C356" s="297">
        <v>37</v>
      </c>
      <c r="D356" s="297">
        <v>14</v>
      </c>
      <c r="E356" s="298">
        <v>0</v>
      </c>
      <c r="F356" s="294"/>
    </row>
    <row r="357" spans="1:6" ht="5.0999999999999996" customHeight="1">
      <c r="A357" s="292"/>
      <c r="B357" s="297"/>
      <c r="C357" s="297"/>
      <c r="D357" s="297"/>
      <c r="E357" s="298"/>
      <c r="F357" s="294"/>
    </row>
    <row r="358" spans="1:6">
      <c r="A358" s="292" t="s">
        <v>98</v>
      </c>
      <c r="B358" s="295">
        <v>1065</v>
      </c>
      <c r="C358" s="295">
        <v>600</v>
      </c>
      <c r="D358" s="295">
        <v>465</v>
      </c>
      <c r="E358" s="296">
        <v>0</v>
      </c>
      <c r="F358" s="294"/>
    </row>
    <row r="359" spans="1:6" ht="5.0999999999999996" customHeight="1">
      <c r="A359" s="292"/>
      <c r="B359" s="297"/>
      <c r="C359" s="297"/>
      <c r="D359" s="297"/>
      <c r="E359" s="298"/>
      <c r="F359" s="294"/>
    </row>
    <row r="360" spans="1:6">
      <c r="A360" s="290" t="s">
        <v>21</v>
      </c>
      <c r="B360" s="297">
        <v>86</v>
      </c>
      <c r="C360" s="297">
        <v>46</v>
      </c>
      <c r="D360" s="297">
        <v>40</v>
      </c>
      <c r="E360" s="298">
        <v>0</v>
      </c>
      <c r="F360" s="294"/>
    </row>
    <row r="361" spans="1:6">
      <c r="A361" s="290" t="s">
        <v>22</v>
      </c>
      <c r="B361" s="297">
        <v>73</v>
      </c>
      <c r="C361" s="297">
        <v>36</v>
      </c>
      <c r="D361" s="297">
        <v>37</v>
      </c>
      <c r="E361" s="298">
        <v>0</v>
      </c>
      <c r="F361" s="294"/>
    </row>
    <row r="362" spans="1:6">
      <c r="A362" s="290" t="s">
        <v>23</v>
      </c>
      <c r="B362" s="297">
        <v>98</v>
      </c>
      <c r="C362" s="297">
        <v>54</v>
      </c>
      <c r="D362" s="297">
        <v>44</v>
      </c>
      <c r="E362" s="298">
        <v>0</v>
      </c>
      <c r="F362" s="294"/>
    </row>
    <row r="363" spans="1:6">
      <c r="A363" s="290" t="s">
        <v>24</v>
      </c>
      <c r="B363" s="297">
        <v>87</v>
      </c>
      <c r="C363" s="297">
        <v>57</v>
      </c>
      <c r="D363" s="297">
        <v>30</v>
      </c>
      <c r="E363" s="298">
        <v>0</v>
      </c>
      <c r="F363" s="294"/>
    </row>
    <row r="364" spans="1:6">
      <c r="A364" s="290" t="s">
        <v>25</v>
      </c>
      <c r="B364" s="297">
        <v>94</v>
      </c>
      <c r="C364" s="297">
        <v>53</v>
      </c>
      <c r="D364" s="297">
        <v>41</v>
      </c>
      <c r="E364" s="298">
        <v>0</v>
      </c>
      <c r="F364" s="294"/>
    </row>
    <row r="365" spans="1:6">
      <c r="A365" s="290" t="s">
        <v>26</v>
      </c>
      <c r="B365" s="297">
        <v>79</v>
      </c>
      <c r="C365" s="297">
        <v>50</v>
      </c>
      <c r="D365" s="297">
        <v>29</v>
      </c>
      <c r="E365" s="298">
        <v>0</v>
      </c>
      <c r="F365" s="294"/>
    </row>
    <row r="366" spans="1:6">
      <c r="A366" s="290" t="s">
        <v>27</v>
      </c>
      <c r="B366" s="297">
        <v>110</v>
      </c>
      <c r="C366" s="297">
        <v>65</v>
      </c>
      <c r="D366" s="297">
        <v>45</v>
      </c>
      <c r="E366" s="298">
        <v>0</v>
      </c>
      <c r="F366" s="294"/>
    </row>
    <row r="367" spans="1:6">
      <c r="A367" s="290" t="s">
        <v>28</v>
      </c>
      <c r="B367" s="297">
        <v>100</v>
      </c>
      <c r="C367" s="297">
        <v>48</v>
      </c>
      <c r="D367" s="297">
        <v>52</v>
      </c>
      <c r="E367" s="298">
        <v>0</v>
      </c>
      <c r="F367" s="294"/>
    </row>
    <row r="368" spans="1:6">
      <c r="A368" s="290" t="s">
        <v>29</v>
      </c>
      <c r="B368" s="297">
        <v>86</v>
      </c>
      <c r="C368" s="297">
        <v>52</v>
      </c>
      <c r="D368" s="297">
        <v>34</v>
      </c>
      <c r="E368" s="298">
        <v>0</v>
      </c>
      <c r="F368" s="294"/>
    </row>
    <row r="369" spans="1:6">
      <c r="A369" s="290" t="s">
        <v>30</v>
      </c>
      <c r="B369" s="297">
        <v>106</v>
      </c>
      <c r="C369" s="297">
        <v>55</v>
      </c>
      <c r="D369" s="297">
        <v>51</v>
      </c>
      <c r="E369" s="298">
        <v>0</v>
      </c>
      <c r="F369" s="294"/>
    </row>
    <row r="370" spans="1:6">
      <c r="A370" s="290" t="s">
        <v>31</v>
      </c>
      <c r="B370" s="297">
        <v>62</v>
      </c>
      <c r="C370" s="297">
        <v>36</v>
      </c>
      <c r="D370" s="297">
        <v>26</v>
      </c>
      <c r="E370" s="298">
        <v>0</v>
      </c>
      <c r="F370" s="294"/>
    </row>
    <row r="371" spans="1:6">
      <c r="A371" s="290" t="s">
        <v>32</v>
      </c>
      <c r="B371" s="297">
        <v>82</v>
      </c>
      <c r="C371" s="297">
        <v>47</v>
      </c>
      <c r="D371" s="297">
        <v>35</v>
      </c>
      <c r="E371" s="298">
        <v>0</v>
      </c>
      <c r="F371" s="294"/>
    </row>
    <row r="372" spans="1:6">
      <c r="A372" s="290" t="s">
        <v>493</v>
      </c>
      <c r="B372" s="297">
        <v>2</v>
      </c>
      <c r="C372" s="297">
        <v>1</v>
      </c>
      <c r="D372" s="297">
        <v>1</v>
      </c>
      <c r="E372" s="298">
        <v>0</v>
      </c>
      <c r="F372" s="294"/>
    </row>
    <row r="373" spans="1:6" ht="5.0999999999999996" customHeight="1">
      <c r="A373" s="292"/>
      <c r="B373" s="297"/>
      <c r="C373" s="297"/>
      <c r="D373" s="297"/>
      <c r="E373" s="298"/>
      <c r="F373" s="294"/>
    </row>
    <row r="374" spans="1:6">
      <c r="A374" s="292" t="s">
        <v>99</v>
      </c>
      <c r="B374" s="295">
        <v>705</v>
      </c>
      <c r="C374" s="295">
        <v>422</v>
      </c>
      <c r="D374" s="295">
        <v>283</v>
      </c>
      <c r="E374" s="296">
        <v>0</v>
      </c>
      <c r="F374" s="294"/>
    </row>
    <row r="375" spans="1:6" ht="5.0999999999999996" customHeight="1">
      <c r="A375" s="292"/>
      <c r="B375" s="297"/>
      <c r="C375" s="297"/>
      <c r="D375" s="297"/>
      <c r="E375" s="298"/>
      <c r="F375" s="294"/>
    </row>
    <row r="376" spans="1:6">
      <c r="A376" s="290" t="s">
        <v>21</v>
      </c>
      <c r="B376" s="297">
        <v>45</v>
      </c>
      <c r="C376" s="297">
        <v>27</v>
      </c>
      <c r="D376" s="297">
        <v>18</v>
      </c>
      <c r="E376" s="298">
        <v>0</v>
      </c>
      <c r="F376" s="294"/>
    </row>
    <row r="377" spans="1:6">
      <c r="A377" s="290" t="s">
        <v>22</v>
      </c>
      <c r="B377" s="297">
        <v>79</v>
      </c>
      <c r="C377" s="297">
        <v>39</v>
      </c>
      <c r="D377" s="297">
        <v>40</v>
      </c>
      <c r="E377" s="298">
        <v>0</v>
      </c>
      <c r="F377" s="294"/>
    </row>
    <row r="378" spans="1:6">
      <c r="A378" s="290" t="s">
        <v>23</v>
      </c>
      <c r="B378" s="297">
        <v>99</v>
      </c>
      <c r="C378" s="297">
        <v>58</v>
      </c>
      <c r="D378" s="297">
        <v>41</v>
      </c>
      <c r="E378" s="298">
        <v>0</v>
      </c>
      <c r="F378" s="294"/>
    </row>
    <row r="379" spans="1:6">
      <c r="A379" s="290" t="s">
        <v>24</v>
      </c>
      <c r="B379" s="297">
        <v>72</v>
      </c>
      <c r="C379" s="297">
        <v>42</v>
      </c>
      <c r="D379" s="297">
        <v>30</v>
      </c>
      <c r="E379" s="298">
        <v>0</v>
      </c>
      <c r="F379" s="294"/>
    </row>
    <row r="380" spans="1:6">
      <c r="A380" s="290" t="s">
        <v>25</v>
      </c>
      <c r="B380" s="297">
        <v>91</v>
      </c>
      <c r="C380" s="297">
        <v>65</v>
      </c>
      <c r="D380" s="297">
        <v>26</v>
      </c>
      <c r="E380" s="298">
        <v>0</v>
      </c>
      <c r="F380" s="294"/>
    </row>
    <row r="381" spans="1:6">
      <c r="A381" s="290" t="s">
        <v>26</v>
      </c>
      <c r="B381" s="297">
        <v>87</v>
      </c>
      <c r="C381" s="297">
        <v>51</v>
      </c>
      <c r="D381" s="297">
        <v>36</v>
      </c>
      <c r="E381" s="298">
        <v>0</v>
      </c>
      <c r="F381" s="294"/>
    </row>
    <row r="382" spans="1:6">
      <c r="A382" s="290" t="s">
        <v>27</v>
      </c>
      <c r="B382" s="297">
        <v>44</v>
      </c>
      <c r="C382" s="297">
        <v>25</v>
      </c>
      <c r="D382" s="297">
        <v>19</v>
      </c>
      <c r="E382" s="298">
        <v>0</v>
      </c>
      <c r="F382" s="294"/>
    </row>
    <row r="383" spans="1:6">
      <c r="A383" s="290" t="s">
        <v>28</v>
      </c>
      <c r="B383" s="297">
        <v>46</v>
      </c>
      <c r="C383" s="297">
        <v>28</v>
      </c>
      <c r="D383" s="297">
        <v>18</v>
      </c>
      <c r="E383" s="298">
        <v>0</v>
      </c>
      <c r="F383" s="294"/>
    </row>
    <row r="384" spans="1:6">
      <c r="A384" s="290" t="s">
        <v>29</v>
      </c>
      <c r="B384" s="297">
        <v>28</v>
      </c>
      <c r="C384" s="297">
        <v>18</v>
      </c>
      <c r="D384" s="297">
        <v>10</v>
      </c>
      <c r="E384" s="298">
        <v>0</v>
      </c>
      <c r="F384" s="294"/>
    </row>
    <row r="385" spans="1:6">
      <c r="A385" s="290" t="s">
        <v>30</v>
      </c>
      <c r="B385" s="297">
        <v>45</v>
      </c>
      <c r="C385" s="297">
        <v>30</v>
      </c>
      <c r="D385" s="297">
        <v>15</v>
      </c>
      <c r="E385" s="298">
        <v>0</v>
      </c>
      <c r="F385" s="294"/>
    </row>
    <row r="386" spans="1:6">
      <c r="A386" s="290" t="s">
        <v>31</v>
      </c>
      <c r="B386" s="297">
        <v>33</v>
      </c>
      <c r="C386" s="297">
        <v>19</v>
      </c>
      <c r="D386" s="297">
        <v>14</v>
      </c>
      <c r="E386" s="298">
        <v>0</v>
      </c>
      <c r="F386" s="294"/>
    </row>
    <row r="387" spans="1:6">
      <c r="A387" s="290" t="s">
        <v>32</v>
      </c>
      <c r="B387" s="297">
        <v>36</v>
      </c>
      <c r="C387" s="297">
        <v>20</v>
      </c>
      <c r="D387" s="297">
        <v>16</v>
      </c>
      <c r="E387" s="298">
        <v>0</v>
      </c>
      <c r="F387" s="294"/>
    </row>
    <row r="388" spans="1:6" ht="5.0999999999999996" customHeight="1">
      <c r="A388" s="292"/>
      <c r="F388" s="294"/>
    </row>
    <row r="389" spans="1:6">
      <c r="A389" s="292" t="s">
        <v>100</v>
      </c>
      <c r="B389" s="295">
        <v>3695</v>
      </c>
      <c r="C389" s="295">
        <v>2207</v>
      </c>
      <c r="D389" s="295">
        <v>1486</v>
      </c>
      <c r="E389" s="296">
        <v>2</v>
      </c>
      <c r="F389" s="294"/>
    </row>
    <row r="390" spans="1:6" ht="5.0999999999999996" customHeight="1">
      <c r="A390" s="292"/>
      <c r="B390" s="297"/>
      <c r="C390" s="297"/>
      <c r="D390" s="297"/>
      <c r="E390" s="298"/>
      <c r="F390" s="294"/>
    </row>
    <row r="391" spans="1:6">
      <c r="A391" s="290" t="s">
        <v>21</v>
      </c>
      <c r="B391" s="297">
        <v>323</v>
      </c>
      <c r="C391" s="297">
        <v>179</v>
      </c>
      <c r="D391" s="297">
        <v>144</v>
      </c>
      <c r="E391" s="298">
        <v>0</v>
      </c>
      <c r="F391" s="294"/>
    </row>
    <row r="392" spans="1:6">
      <c r="A392" s="290" t="s">
        <v>22</v>
      </c>
      <c r="B392" s="297">
        <v>293</v>
      </c>
      <c r="C392" s="297">
        <v>164</v>
      </c>
      <c r="D392" s="297">
        <v>129</v>
      </c>
      <c r="E392" s="298">
        <v>0</v>
      </c>
      <c r="F392" s="294"/>
    </row>
    <row r="393" spans="1:6">
      <c r="A393" s="290" t="s">
        <v>23</v>
      </c>
      <c r="B393" s="297">
        <v>316</v>
      </c>
      <c r="C393" s="297">
        <v>198</v>
      </c>
      <c r="D393" s="297">
        <v>117</v>
      </c>
      <c r="E393" s="298">
        <v>1</v>
      </c>
      <c r="F393" s="294"/>
    </row>
    <row r="394" spans="1:6">
      <c r="A394" s="290" t="s">
        <v>24</v>
      </c>
      <c r="B394" s="297">
        <v>325</v>
      </c>
      <c r="C394" s="297">
        <v>188</v>
      </c>
      <c r="D394" s="297">
        <v>137</v>
      </c>
      <c r="E394" s="298">
        <v>0</v>
      </c>
      <c r="F394" s="294"/>
    </row>
    <row r="395" spans="1:6">
      <c r="A395" s="290" t="s">
        <v>25</v>
      </c>
      <c r="B395" s="297">
        <v>309</v>
      </c>
      <c r="C395" s="297">
        <v>190</v>
      </c>
      <c r="D395" s="297">
        <v>119</v>
      </c>
      <c r="E395" s="298">
        <v>0</v>
      </c>
      <c r="F395" s="294"/>
    </row>
    <row r="396" spans="1:6">
      <c r="A396" s="290" t="s">
        <v>26</v>
      </c>
      <c r="B396" s="297">
        <v>265</v>
      </c>
      <c r="C396" s="297">
        <v>162</v>
      </c>
      <c r="D396" s="297">
        <v>102</v>
      </c>
      <c r="E396" s="298">
        <v>1</v>
      </c>
      <c r="F396" s="294"/>
    </row>
    <row r="397" spans="1:6">
      <c r="A397" s="290" t="s">
        <v>27</v>
      </c>
      <c r="B397" s="297">
        <v>358</v>
      </c>
      <c r="C397" s="297">
        <v>220</v>
      </c>
      <c r="D397" s="297">
        <v>138</v>
      </c>
      <c r="E397" s="298">
        <v>0</v>
      </c>
      <c r="F397" s="294"/>
    </row>
    <row r="398" spans="1:6">
      <c r="A398" s="290" t="s">
        <v>28</v>
      </c>
      <c r="B398" s="297">
        <v>322</v>
      </c>
      <c r="C398" s="297">
        <v>191</v>
      </c>
      <c r="D398" s="297">
        <v>131</v>
      </c>
      <c r="E398" s="298">
        <v>0</v>
      </c>
      <c r="F398" s="294"/>
    </row>
    <row r="399" spans="1:6">
      <c r="A399" s="290" t="s">
        <v>29</v>
      </c>
      <c r="B399" s="297">
        <v>297</v>
      </c>
      <c r="C399" s="297">
        <v>177</v>
      </c>
      <c r="D399" s="297">
        <v>120</v>
      </c>
      <c r="E399" s="298">
        <v>0</v>
      </c>
      <c r="F399" s="294"/>
    </row>
    <row r="400" spans="1:6">
      <c r="A400" s="290" t="s">
        <v>30</v>
      </c>
      <c r="B400" s="297">
        <v>288</v>
      </c>
      <c r="C400" s="297">
        <v>171</v>
      </c>
      <c r="D400" s="297">
        <v>117</v>
      </c>
      <c r="E400" s="298">
        <v>0</v>
      </c>
      <c r="F400" s="294"/>
    </row>
    <row r="401" spans="1:6">
      <c r="A401" s="290" t="s">
        <v>31</v>
      </c>
      <c r="B401" s="297">
        <v>276</v>
      </c>
      <c r="C401" s="297">
        <v>167</v>
      </c>
      <c r="D401" s="297">
        <v>109</v>
      </c>
      <c r="E401" s="298">
        <v>0</v>
      </c>
      <c r="F401" s="294"/>
    </row>
    <row r="402" spans="1:6">
      <c r="A402" s="290" t="s">
        <v>32</v>
      </c>
      <c r="B402" s="297">
        <v>319</v>
      </c>
      <c r="C402" s="297">
        <v>200</v>
      </c>
      <c r="D402" s="297">
        <v>119</v>
      </c>
      <c r="E402" s="298">
        <v>0</v>
      </c>
      <c r="F402" s="294"/>
    </row>
    <row r="403" spans="1:6">
      <c r="A403" s="290" t="s">
        <v>493</v>
      </c>
      <c r="B403" s="297">
        <v>4</v>
      </c>
      <c r="C403" s="297">
        <v>0</v>
      </c>
      <c r="D403" s="297">
        <v>4</v>
      </c>
      <c r="E403" s="298">
        <v>0</v>
      </c>
      <c r="F403" s="294"/>
    </row>
    <row r="404" spans="1:6" ht="5.0999999999999996" customHeight="1">
      <c r="A404" s="292"/>
      <c r="B404" s="297"/>
      <c r="C404" s="297"/>
      <c r="D404" s="297"/>
      <c r="E404" s="298"/>
      <c r="F404" s="294"/>
    </row>
    <row r="405" spans="1:6">
      <c r="A405" s="292" t="s">
        <v>101</v>
      </c>
      <c r="B405" s="295">
        <v>252</v>
      </c>
      <c r="C405" s="295">
        <v>153</v>
      </c>
      <c r="D405" s="295">
        <v>96</v>
      </c>
      <c r="E405" s="296">
        <v>3</v>
      </c>
      <c r="F405" s="293"/>
    </row>
    <row r="406" spans="1:6" ht="5.0999999999999996" customHeight="1">
      <c r="A406" s="292"/>
      <c r="B406" s="297"/>
      <c r="C406" s="297"/>
      <c r="D406" s="297"/>
      <c r="E406" s="298"/>
      <c r="F406" s="294"/>
    </row>
    <row r="407" spans="1:6">
      <c r="A407" s="290" t="s">
        <v>21</v>
      </c>
      <c r="B407" s="297">
        <v>24</v>
      </c>
      <c r="C407" s="297">
        <v>14</v>
      </c>
      <c r="D407" s="297">
        <v>10</v>
      </c>
      <c r="E407" s="298">
        <v>0</v>
      </c>
      <c r="F407" s="294"/>
    </row>
    <row r="408" spans="1:6">
      <c r="A408" s="290" t="s">
        <v>22</v>
      </c>
      <c r="B408" s="297">
        <v>16</v>
      </c>
      <c r="C408" s="297">
        <v>8</v>
      </c>
      <c r="D408" s="297">
        <v>8</v>
      </c>
      <c r="E408" s="298">
        <v>0</v>
      </c>
      <c r="F408" s="294"/>
    </row>
    <row r="409" spans="1:6">
      <c r="A409" s="290" t="s">
        <v>23</v>
      </c>
      <c r="B409" s="297">
        <v>25</v>
      </c>
      <c r="C409" s="297">
        <v>15</v>
      </c>
      <c r="D409" s="297">
        <v>10</v>
      </c>
      <c r="E409" s="298">
        <v>0</v>
      </c>
      <c r="F409" s="294"/>
    </row>
    <row r="410" spans="1:6">
      <c r="A410" s="290" t="s">
        <v>24</v>
      </c>
      <c r="B410" s="297">
        <v>17</v>
      </c>
      <c r="C410" s="297">
        <v>13</v>
      </c>
      <c r="D410" s="297">
        <v>4</v>
      </c>
      <c r="E410" s="298">
        <v>0</v>
      </c>
      <c r="F410" s="294"/>
    </row>
    <row r="411" spans="1:6">
      <c r="A411" s="290" t="s">
        <v>25</v>
      </c>
      <c r="B411" s="297">
        <v>14</v>
      </c>
      <c r="C411" s="297">
        <v>9</v>
      </c>
      <c r="D411" s="297">
        <v>5</v>
      </c>
      <c r="E411" s="298">
        <v>0</v>
      </c>
      <c r="F411" s="294"/>
    </row>
    <row r="412" spans="1:6">
      <c r="A412" s="290" t="s">
        <v>26</v>
      </c>
      <c r="B412" s="297">
        <v>24</v>
      </c>
      <c r="C412" s="297">
        <v>19</v>
      </c>
      <c r="D412" s="297">
        <v>5</v>
      </c>
      <c r="E412" s="298">
        <v>0</v>
      </c>
      <c r="F412" s="294"/>
    </row>
    <row r="413" spans="1:6">
      <c r="A413" s="290" t="s">
        <v>27</v>
      </c>
      <c r="B413" s="297">
        <v>21</v>
      </c>
      <c r="C413" s="297">
        <v>9</v>
      </c>
      <c r="D413" s="297">
        <v>12</v>
      </c>
      <c r="E413" s="298">
        <v>0</v>
      </c>
      <c r="F413" s="294"/>
    </row>
    <row r="414" spans="1:6">
      <c r="A414" s="290" t="s">
        <v>28</v>
      </c>
      <c r="B414" s="297">
        <v>28</v>
      </c>
      <c r="C414" s="297">
        <v>16</v>
      </c>
      <c r="D414" s="297">
        <v>12</v>
      </c>
      <c r="E414" s="298">
        <v>0</v>
      </c>
      <c r="F414" s="294"/>
    </row>
    <row r="415" spans="1:6">
      <c r="A415" s="290" t="s">
        <v>29</v>
      </c>
      <c r="B415" s="297">
        <v>17</v>
      </c>
      <c r="C415" s="297">
        <v>11</v>
      </c>
      <c r="D415" s="297">
        <v>6</v>
      </c>
      <c r="E415" s="298">
        <v>0</v>
      </c>
      <c r="F415" s="294"/>
    </row>
    <row r="416" spans="1:6">
      <c r="A416" s="290" t="s">
        <v>30</v>
      </c>
      <c r="B416" s="297">
        <v>21</v>
      </c>
      <c r="C416" s="297">
        <v>13</v>
      </c>
      <c r="D416" s="297">
        <v>7</v>
      </c>
      <c r="E416" s="298">
        <v>1</v>
      </c>
      <c r="F416" s="294"/>
    </row>
    <row r="417" spans="1:6">
      <c r="A417" s="290" t="s">
        <v>31</v>
      </c>
      <c r="B417" s="297">
        <v>22</v>
      </c>
      <c r="C417" s="297">
        <v>10</v>
      </c>
      <c r="D417" s="297">
        <v>10</v>
      </c>
      <c r="E417" s="298">
        <v>2</v>
      </c>
      <c r="F417" s="294"/>
    </row>
    <row r="418" spans="1:6">
      <c r="A418" s="290" t="s">
        <v>32</v>
      </c>
      <c r="B418" s="297">
        <v>23</v>
      </c>
      <c r="C418" s="297">
        <v>16</v>
      </c>
      <c r="D418" s="297">
        <v>7</v>
      </c>
      <c r="E418" s="298">
        <v>0</v>
      </c>
      <c r="F418" s="294"/>
    </row>
    <row r="419" spans="1:6" ht="5.0999999999999996" customHeight="1">
      <c r="A419" s="292"/>
      <c r="B419" s="297"/>
      <c r="C419" s="297"/>
      <c r="D419" s="297"/>
      <c r="E419" s="298"/>
      <c r="F419" s="294"/>
    </row>
    <row r="420" spans="1:6">
      <c r="A420" s="292" t="s">
        <v>102</v>
      </c>
      <c r="B420" s="295">
        <v>511</v>
      </c>
      <c r="C420" s="295">
        <v>300</v>
      </c>
      <c r="D420" s="295">
        <v>211</v>
      </c>
      <c r="E420" s="296">
        <v>0</v>
      </c>
      <c r="F420" s="294"/>
    </row>
    <row r="421" spans="1:6" ht="5.0999999999999996" customHeight="1">
      <c r="A421" s="292"/>
      <c r="B421" s="297"/>
      <c r="C421" s="297"/>
      <c r="D421" s="297"/>
      <c r="E421" s="298"/>
      <c r="F421" s="294"/>
    </row>
    <row r="422" spans="1:6">
      <c r="A422" s="290" t="s">
        <v>21</v>
      </c>
      <c r="B422" s="297">
        <v>38</v>
      </c>
      <c r="C422" s="297">
        <v>23</v>
      </c>
      <c r="D422" s="297">
        <v>15</v>
      </c>
      <c r="E422" s="298">
        <v>0</v>
      </c>
      <c r="F422" s="294"/>
    </row>
    <row r="423" spans="1:6">
      <c r="A423" s="290" t="s">
        <v>22</v>
      </c>
      <c r="B423" s="297">
        <v>58</v>
      </c>
      <c r="C423" s="297">
        <v>34</v>
      </c>
      <c r="D423" s="297">
        <v>24</v>
      </c>
      <c r="E423" s="298">
        <v>0</v>
      </c>
      <c r="F423" s="294"/>
    </row>
    <row r="424" spans="1:6">
      <c r="A424" s="290" t="s">
        <v>23</v>
      </c>
      <c r="B424" s="297">
        <v>49</v>
      </c>
      <c r="C424" s="297">
        <v>24</v>
      </c>
      <c r="D424" s="297">
        <v>25</v>
      </c>
      <c r="E424" s="298">
        <v>0</v>
      </c>
      <c r="F424" s="294"/>
    </row>
    <row r="425" spans="1:6">
      <c r="A425" s="290" t="s">
        <v>24</v>
      </c>
      <c r="B425" s="297">
        <v>38</v>
      </c>
      <c r="C425" s="297">
        <v>24</v>
      </c>
      <c r="D425" s="297">
        <v>14</v>
      </c>
      <c r="E425" s="298">
        <v>0</v>
      </c>
      <c r="F425" s="294"/>
    </row>
    <row r="426" spans="1:6">
      <c r="A426" s="290" t="s">
        <v>25</v>
      </c>
      <c r="B426" s="297">
        <v>37</v>
      </c>
      <c r="C426" s="297">
        <v>17</v>
      </c>
      <c r="D426" s="297">
        <v>20</v>
      </c>
      <c r="E426" s="298">
        <v>0</v>
      </c>
      <c r="F426" s="294"/>
    </row>
    <row r="427" spans="1:6">
      <c r="A427" s="290" t="s">
        <v>26</v>
      </c>
      <c r="B427" s="297">
        <v>34</v>
      </c>
      <c r="C427" s="297">
        <v>21</v>
      </c>
      <c r="D427" s="297">
        <v>13</v>
      </c>
      <c r="E427" s="298">
        <v>0</v>
      </c>
      <c r="F427" s="294"/>
    </row>
    <row r="428" spans="1:6">
      <c r="A428" s="290" t="s">
        <v>27</v>
      </c>
      <c r="B428" s="297">
        <v>42</v>
      </c>
      <c r="C428" s="297">
        <v>22</v>
      </c>
      <c r="D428" s="297">
        <v>20</v>
      </c>
      <c r="E428" s="298">
        <v>0</v>
      </c>
      <c r="F428" s="294"/>
    </row>
    <row r="429" spans="1:6">
      <c r="A429" s="290" t="s">
        <v>28</v>
      </c>
      <c r="B429" s="297">
        <v>59</v>
      </c>
      <c r="C429" s="297">
        <v>39</v>
      </c>
      <c r="D429" s="297">
        <v>20</v>
      </c>
      <c r="E429" s="298">
        <v>0</v>
      </c>
      <c r="F429" s="294"/>
    </row>
    <row r="430" spans="1:6">
      <c r="A430" s="290" t="s">
        <v>29</v>
      </c>
      <c r="B430" s="297">
        <v>29</v>
      </c>
      <c r="C430" s="297">
        <v>18</v>
      </c>
      <c r="D430" s="297">
        <v>11</v>
      </c>
      <c r="E430" s="298">
        <v>0</v>
      </c>
      <c r="F430" s="294"/>
    </row>
    <row r="431" spans="1:6">
      <c r="A431" s="290" t="s">
        <v>30</v>
      </c>
      <c r="B431" s="297">
        <v>30</v>
      </c>
      <c r="C431" s="297">
        <v>21</v>
      </c>
      <c r="D431" s="297">
        <v>9</v>
      </c>
      <c r="E431" s="298">
        <v>0</v>
      </c>
      <c r="F431" s="294"/>
    </row>
    <row r="432" spans="1:6">
      <c r="A432" s="290" t="s">
        <v>31</v>
      </c>
      <c r="B432" s="297">
        <v>49</v>
      </c>
      <c r="C432" s="297">
        <v>34</v>
      </c>
      <c r="D432" s="297">
        <v>15</v>
      </c>
      <c r="E432" s="298">
        <v>0</v>
      </c>
      <c r="F432" s="294"/>
    </row>
    <row r="433" spans="1:6">
      <c r="A433" s="290" t="s">
        <v>32</v>
      </c>
      <c r="B433" s="297">
        <v>48</v>
      </c>
      <c r="C433" s="297">
        <v>23</v>
      </c>
      <c r="D433" s="297">
        <v>25</v>
      </c>
      <c r="E433" s="298">
        <v>0</v>
      </c>
      <c r="F433" s="294"/>
    </row>
    <row r="434" spans="1:6" ht="5.0999999999999996" customHeight="1">
      <c r="A434" s="292"/>
      <c r="B434" s="297"/>
      <c r="C434" s="297"/>
      <c r="D434" s="297"/>
      <c r="E434" s="298"/>
      <c r="F434" s="294"/>
    </row>
    <row r="435" spans="1:6">
      <c r="A435" s="292" t="s">
        <v>103</v>
      </c>
      <c r="B435" s="295">
        <v>730</v>
      </c>
      <c r="C435" s="295">
        <v>447</v>
      </c>
      <c r="D435" s="295">
        <v>283</v>
      </c>
      <c r="E435" s="296">
        <v>0</v>
      </c>
      <c r="F435" s="294"/>
    </row>
    <row r="436" spans="1:6" ht="5.0999999999999996" customHeight="1">
      <c r="A436" s="292"/>
      <c r="B436" s="297"/>
      <c r="C436" s="297"/>
      <c r="D436" s="297"/>
      <c r="E436" s="298"/>
      <c r="F436" s="294"/>
    </row>
    <row r="437" spans="1:6">
      <c r="A437" s="290" t="s">
        <v>21</v>
      </c>
      <c r="B437" s="297">
        <v>75</v>
      </c>
      <c r="C437" s="297">
        <v>43</v>
      </c>
      <c r="D437" s="297">
        <v>32</v>
      </c>
      <c r="E437" s="298">
        <v>0</v>
      </c>
      <c r="F437" s="294"/>
    </row>
    <row r="438" spans="1:6">
      <c r="A438" s="290" t="s">
        <v>22</v>
      </c>
      <c r="B438" s="297">
        <v>44</v>
      </c>
      <c r="C438" s="297">
        <v>25</v>
      </c>
      <c r="D438" s="297">
        <v>19</v>
      </c>
      <c r="E438" s="298">
        <v>0</v>
      </c>
      <c r="F438" s="294"/>
    </row>
    <row r="439" spans="1:6">
      <c r="A439" s="290" t="s">
        <v>23</v>
      </c>
      <c r="B439" s="297">
        <v>60</v>
      </c>
      <c r="C439" s="297">
        <v>35</v>
      </c>
      <c r="D439" s="297">
        <v>25</v>
      </c>
      <c r="E439" s="298">
        <v>0</v>
      </c>
      <c r="F439" s="294"/>
    </row>
    <row r="440" spans="1:6">
      <c r="A440" s="290" t="s">
        <v>24</v>
      </c>
      <c r="B440" s="297">
        <v>63</v>
      </c>
      <c r="C440" s="297">
        <v>34</v>
      </c>
      <c r="D440" s="297">
        <v>29</v>
      </c>
      <c r="E440" s="298">
        <v>0</v>
      </c>
      <c r="F440" s="294"/>
    </row>
    <row r="441" spans="1:6">
      <c r="A441" s="290" t="s">
        <v>25</v>
      </c>
      <c r="B441" s="297">
        <v>46</v>
      </c>
      <c r="C441" s="297">
        <v>27</v>
      </c>
      <c r="D441" s="297">
        <v>19</v>
      </c>
      <c r="E441" s="298">
        <v>0</v>
      </c>
      <c r="F441" s="294"/>
    </row>
    <row r="442" spans="1:6">
      <c r="A442" s="290" t="s">
        <v>26</v>
      </c>
      <c r="B442" s="297">
        <v>60</v>
      </c>
      <c r="C442" s="297">
        <v>38</v>
      </c>
      <c r="D442" s="297">
        <v>22</v>
      </c>
      <c r="E442" s="298">
        <v>0</v>
      </c>
      <c r="F442" s="294"/>
    </row>
    <row r="443" spans="1:6">
      <c r="A443" s="290" t="s">
        <v>27</v>
      </c>
      <c r="B443" s="297">
        <v>88</v>
      </c>
      <c r="C443" s="297">
        <v>62</v>
      </c>
      <c r="D443" s="297">
        <v>26</v>
      </c>
      <c r="E443" s="298">
        <v>0</v>
      </c>
      <c r="F443" s="294"/>
    </row>
    <row r="444" spans="1:6">
      <c r="A444" s="290" t="s">
        <v>28</v>
      </c>
      <c r="B444" s="297">
        <v>71</v>
      </c>
      <c r="C444" s="297">
        <v>40</v>
      </c>
      <c r="D444" s="297">
        <v>31</v>
      </c>
      <c r="E444" s="298">
        <v>0</v>
      </c>
      <c r="F444" s="294"/>
    </row>
    <row r="445" spans="1:6">
      <c r="A445" s="290" t="s">
        <v>29</v>
      </c>
      <c r="B445" s="297">
        <v>44</v>
      </c>
      <c r="C445" s="297">
        <v>30</v>
      </c>
      <c r="D445" s="297">
        <v>14</v>
      </c>
      <c r="E445" s="298">
        <v>0</v>
      </c>
      <c r="F445" s="294"/>
    </row>
    <row r="446" spans="1:6">
      <c r="A446" s="290" t="s">
        <v>30</v>
      </c>
      <c r="B446" s="297">
        <v>67</v>
      </c>
      <c r="C446" s="297">
        <v>46</v>
      </c>
      <c r="D446" s="297">
        <v>21</v>
      </c>
      <c r="E446" s="298">
        <v>0</v>
      </c>
      <c r="F446" s="294"/>
    </row>
    <row r="447" spans="1:6">
      <c r="A447" s="290" t="s">
        <v>31</v>
      </c>
      <c r="B447" s="297">
        <v>60</v>
      </c>
      <c r="C447" s="297">
        <v>36</v>
      </c>
      <c r="D447" s="297">
        <v>24</v>
      </c>
      <c r="E447" s="298">
        <v>0</v>
      </c>
      <c r="F447" s="294"/>
    </row>
    <row r="448" spans="1:6">
      <c r="A448" s="290" t="s">
        <v>32</v>
      </c>
      <c r="B448" s="297">
        <v>52</v>
      </c>
      <c r="C448" s="297">
        <v>31</v>
      </c>
      <c r="D448" s="297">
        <v>21</v>
      </c>
      <c r="E448" s="298">
        <v>0</v>
      </c>
      <c r="F448" s="294"/>
    </row>
    <row r="449" spans="1:6" ht="5.0999999999999996" customHeight="1">
      <c r="A449" s="292"/>
      <c r="B449" s="297"/>
      <c r="C449" s="297"/>
      <c r="D449" s="297"/>
      <c r="E449" s="298"/>
      <c r="F449" s="294"/>
    </row>
    <row r="450" spans="1:6">
      <c r="A450" s="292" t="s">
        <v>104</v>
      </c>
      <c r="B450" s="295">
        <v>513</v>
      </c>
      <c r="C450" s="295">
        <v>313</v>
      </c>
      <c r="D450" s="295">
        <v>200</v>
      </c>
      <c r="E450" s="296">
        <v>0</v>
      </c>
      <c r="F450" s="294"/>
    </row>
    <row r="451" spans="1:6" ht="5.0999999999999996" customHeight="1">
      <c r="A451" s="292"/>
      <c r="B451" s="297"/>
      <c r="C451" s="297"/>
      <c r="D451" s="297"/>
      <c r="E451" s="298"/>
      <c r="F451" s="294"/>
    </row>
    <row r="452" spans="1:6">
      <c r="A452" s="290" t="s">
        <v>21</v>
      </c>
      <c r="B452" s="297">
        <v>40</v>
      </c>
      <c r="C452" s="297">
        <v>15</v>
      </c>
      <c r="D452" s="297">
        <v>25</v>
      </c>
      <c r="E452" s="298">
        <v>0</v>
      </c>
      <c r="F452" s="294"/>
    </row>
    <row r="453" spans="1:6">
      <c r="A453" s="290" t="s">
        <v>22</v>
      </c>
      <c r="B453" s="297">
        <v>37</v>
      </c>
      <c r="C453" s="297">
        <v>29</v>
      </c>
      <c r="D453" s="297">
        <v>8</v>
      </c>
      <c r="E453" s="298">
        <v>0</v>
      </c>
      <c r="F453" s="294"/>
    </row>
    <row r="454" spans="1:6">
      <c r="A454" s="290" t="s">
        <v>23</v>
      </c>
      <c r="B454" s="297">
        <v>55</v>
      </c>
      <c r="C454" s="297">
        <v>37</v>
      </c>
      <c r="D454" s="297">
        <v>18</v>
      </c>
      <c r="E454" s="298">
        <v>0</v>
      </c>
      <c r="F454" s="294"/>
    </row>
    <row r="455" spans="1:6">
      <c r="A455" s="290" t="s">
        <v>24</v>
      </c>
      <c r="B455" s="297">
        <v>41</v>
      </c>
      <c r="C455" s="297">
        <v>23</v>
      </c>
      <c r="D455" s="297">
        <v>18</v>
      </c>
      <c r="E455" s="298">
        <v>0</v>
      </c>
      <c r="F455" s="294"/>
    </row>
    <row r="456" spans="1:6">
      <c r="A456" s="290" t="s">
        <v>25</v>
      </c>
      <c r="B456" s="297">
        <v>34</v>
      </c>
      <c r="C456" s="297">
        <v>24</v>
      </c>
      <c r="D456" s="297">
        <v>10</v>
      </c>
      <c r="E456" s="298">
        <v>0</v>
      </c>
      <c r="F456" s="294"/>
    </row>
    <row r="457" spans="1:6">
      <c r="A457" s="290" t="s">
        <v>26</v>
      </c>
      <c r="B457" s="297">
        <v>53</v>
      </c>
      <c r="C457" s="297">
        <v>30</v>
      </c>
      <c r="D457" s="297">
        <v>23</v>
      </c>
      <c r="E457" s="298">
        <v>0</v>
      </c>
      <c r="F457" s="294"/>
    </row>
    <row r="458" spans="1:6">
      <c r="A458" s="290" t="s">
        <v>27</v>
      </c>
      <c r="B458" s="297">
        <v>46</v>
      </c>
      <c r="C458" s="297">
        <v>33</v>
      </c>
      <c r="D458" s="297">
        <v>13</v>
      </c>
      <c r="E458" s="298">
        <v>0</v>
      </c>
      <c r="F458" s="294"/>
    </row>
    <row r="459" spans="1:6">
      <c r="A459" s="290" t="s">
        <v>28</v>
      </c>
      <c r="B459" s="297">
        <v>49</v>
      </c>
      <c r="C459" s="297">
        <v>30</v>
      </c>
      <c r="D459" s="297">
        <v>19</v>
      </c>
      <c r="E459" s="298">
        <v>0</v>
      </c>
      <c r="F459" s="294"/>
    </row>
    <row r="460" spans="1:6">
      <c r="A460" s="290" t="s">
        <v>29</v>
      </c>
      <c r="B460" s="297">
        <v>39</v>
      </c>
      <c r="C460" s="297">
        <v>24</v>
      </c>
      <c r="D460" s="297">
        <v>15</v>
      </c>
      <c r="E460" s="298">
        <v>0</v>
      </c>
      <c r="F460" s="294"/>
    </row>
    <row r="461" spans="1:6">
      <c r="A461" s="290" t="s">
        <v>30</v>
      </c>
      <c r="B461" s="297">
        <v>42</v>
      </c>
      <c r="C461" s="297">
        <v>21</v>
      </c>
      <c r="D461" s="297">
        <v>21</v>
      </c>
      <c r="E461" s="298">
        <v>0</v>
      </c>
      <c r="F461" s="294"/>
    </row>
    <row r="462" spans="1:6">
      <c r="A462" s="290" t="s">
        <v>31</v>
      </c>
      <c r="B462" s="297">
        <v>34</v>
      </c>
      <c r="C462" s="297">
        <v>23</v>
      </c>
      <c r="D462" s="297">
        <v>11</v>
      </c>
      <c r="E462" s="298">
        <v>0</v>
      </c>
      <c r="F462" s="294"/>
    </row>
    <row r="463" spans="1:6">
      <c r="A463" s="290" t="s">
        <v>32</v>
      </c>
      <c r="B463" s="297">
        <v>40</v>
      </c>
      <c r="C463" s="297">
        <v>22</v>
      </c>
      <c r="D463" s="297">
        <v>18</v>
      </c>
      <c r="E463" s="298">
        <v>0</v>
      </c>
      <c r="F463" s="294"/>
    </row>
    <row r="464" spans="1:6">
      <c r="A464" s="290" t="s">
        <v>493</v>
      </c>
      <c r="B464" s="297">
        <v>3</v>
      </c>
      <c r="C464" s="297">
        <v>2</v>
      </c>
      <c r="D464" s="297">
        <v>1</v>
      </c>
      <c r="E464" s="298">
        <v>0</v>
      </c>
      <c r="F464" s="294"/>
    </row>
    <row r="465" spans="1:6" ht="5.0999999999999996" customHeight="1">
      <c r="A465" s="292"/>
      <c r="B465" s="297"/>
      <c r="C465" s="297"/>
      <c r="D465" s="297"/>
      <c r="E465" s="298"/>
      <c r="F465" s="294"/>
    </row>
    <row r="466" spans="1:6">
      <c r="A466" s="292" t="s">
        <v>105</v>
      </c>
      <c r="B466" s="295">
        <v>237</v>
      </c>
      <c r="C466" s="295">
        <v>145</v>
      </c>
      <c r="D466" s="295">
        <v>92</v>
      </c>
      <c r="E466" s="296">
        <v>0</v>
      </c>
      <c r="F466" s="294"/>
    </row>
    <row r="467" spans="1:6" ht="5.0999999999999996" customHeight="1">
      <c r="A467" s="292"/>
      <c r="B467" s="297"/>
      <c r="C467" s="297"/>
      <c r="D467" s="297"/>
      <c r="E467" s="298"/>
      <c r="F467" s="294"/>
    </row>
    <row r="468" spans="1:6">
      <c r="A468" s="290" t="s">
        <v>21</v>
      </c>
      <c r="B468" s="297">
        <v>15</v>
      </c>
      <c r="C468" s="297">
        <v>11</v>
      </c>
      <c r="D468" s="297">
        <v>4</v>
      </c>
      <c r="E468" s="298">
        <v>0</v>
      </c>
      <c r="F468" s="294"/>
    </row>
    <row r="469" spans="1:6">
      <c r="A469" s="290" t="s">
        <v>22</v>
      </c>
      <c r="B469" s="297">
        <v>14</v>
      </c>
      <c r="C469" s="297">
        <v>12</v>
      </c>
      <c r="D469" s="297">
        <v>2</v>
      </c>
      <c r="E469" s="298">
        <v>0</v>
      </c>
      <c r="F469" s="294"/>
    </row>
    <row r="470" spans="1:6">
      <c r="A470" s="290" t="s">
        <v>23</v>
      </c>
      <c r="B470" s="297">
        <v>23</v>
      </c>
      <c r="C470" s="297">
        <v>14</v>
      </c>
      <c r="D470" s="297">
        <v>9</v>
      </c>
      <c r="E470" s="298">
        <v>0</v>
      </c>
      <c r="F470" s="294"/>
    </row>
    <row r="471" spans="1:6">
      <c r="A471" s="290" t="s">
        <v>24</v>
      </c>
      <c r="B471" s="297">
        <v>20</v>
      </c>
      <c r="C471" s="297">
        <v>12</v>
      </c>
      <c r="D471" s="297">
        <v>8</v>
      </c>
      <c r="E471" s="298">
        <v>0</v>
      </c>
      <c r="F471" s="294"/>
    </row>
    <row r="472" spans="1:6">
      <c r="A472" s="290" t="s">
        <v>25</v>
      </c>
      <c r="B472" s="297">
        <v>21</v>
      </c>
      <c r="C472" s="297">
        <v>12</v>
      </c>
      <c r="D472" s="297">
        <v>9</v>
      </c>
      <c r="E472" s="298">
        <v>0</v>
      </c>
      <c r="F472" s="294"/>
    </row>
    <row r="473" spans="1:6">
      <c r="A473" s="290" t="s">
        <v>26</v>
      </c>
      <c r="B473" s="297">
        <v>24</v>
      </c>
      <c r="C473" s="297">
        <v>13</v>
      </c>
      <c r="D473" s="297">
        <v>11</v>
      </c>
      <c r="E473" s="298">
        <v>0</v>
      </c>
      <c r="F473" s="294"/>
    </row>
    <row r="474" spans="1:6">
      <c r="A474" s="290" t="s">
        <v>27</v>
      </c>
      <c r="B474" s="297">
        <v>19</v>
      </c>
      <c r="C474" s="297">
        <v>14</v>
      </c>
      <c r="D474" s="297">
        <v>5</v>
      </c>
      <c r="E474" s="298">
        <v>0</v>
      </c>
      <c r="F474" s="294"/>
    </row>
    <row r="475" spans="1:6">
      <c r="A475" s="290" t="s">
        <v>28</v>
      </c>
      <c r="B475" s="297">
        <v>28</v>
      </c>
      <c r="C475" s="297">
        <v>13</v>
      </c>
      <c r="D475" s="297">
        <v>15</v>
      </c>
      <c r="E475" s="298">
        <v>0</v>
      </c>
      <c r="F475" s="294"/>
    </row>
    <row r="476" spans="1:6">
      <c r="A476" s="290" t="s">
        <v>29</v>
      </c>
      <c r="B476" s="297">
        <v>17</v>
      </c>
      <c r="C476" s="297">
        <v>14</v>
      </c>
      <c r="D476" s="297">
        <v>3</v>
      </c>
      <c r="E476" s="298">
        <v>0</v>
      </c>
      <c r="F476" s="294"/>
    </row>
    <row r="477" spans="1:6">
      <c r="A477" s="290" t="s">
        <v>30</v>
      </c>
      <c r="B477" s="297">
        <v>18</v>
      </c>
      <c r="C477" s="297">
        <v>13</v>
      </c>
      <c r="D477" s="297">
        <v>5</v>
      </c>
      <c r="E477" s="298">
        <v>0</v>
      </c>
      <c r="F477" s="294"/>
    </row>
    <row r="478" spans="1:6">
      <c r="A478" s="290" t="s">
        <v>31</v>
      </c>
      <c r="B478" s="297">
        <v>14</v>
      </c>
      <c r="C478" s="297">
        <v>4</v>
      </c>
      <c r="D478" s="297">
        <v>10</v>
      </c>
      <c r="E478" s="298">
        <v>0</v>
      </c>
      <c r="F478" s="294"/>
    </row>
    <row r="479" spans="1:6">
      <c r="A479" s="290" t="s">
        <v>32</v>
      </c>
      <c r="B479" s="297">
        <v>24</v>
      </c>
      <c r="C479" s="297">
        <v>13</v>
      </c>
      <c r="D479" s="297">
        <v>11</v>
      </c>
      <c r="E479" s="298">
        <v>0</v>
      </c>
      <c r="F479" s="294"/>
    </row>
    <row r="480" spans="1:6" ht="5.0999999999999996" customHeight="1">
      <c r="A480" s="292"/>
      <c r="F480" s="294"/>
    </row>
    <row r="481" spans="1:6">
      <c r="A481" s="292" t="s">
        <v>106</v>
      </c>
      <c r="B481" s="295">
        <v>198</v>
      </c>
      <c r="C481" s="295">
        <v>132</v>
      </c>
      <c r="D481" s="295">
        <v>66</v>
      </c>
      <c r="E481" s="296">
        <v>0</v>
      </c>
      <c r="F481" s="294"/>
    </row>
    <row r="482" spans="1:6" ht="5.0999999999999996" customHeight="1">
      <c r="A482" s="292"/>
      <c r="B482" s="297"/>
      <c r="C482" s="297"/>
      <c r="D482" s="297"/>
      <c r="E482" s="298"/>
      <c r="F482" s="294"/>
    </row>
    <row r="483" spans="1:6">
      <c r="A483" s="290" t="s">
        <v>21</v>
      </c>
      <c r="B483" s="297">
        <v>24</v>
      </c>
      <c r="C483" s="297">
        <v>20</v>
      </c>
      <c r="D483" s="297">
        <v>4</v>
      </c>
      <c r="E483" s="298">
        <v>0</v>
      </c>
      <c r="F483" s="294"/>
    </row>
    <row r="484" spans="1:6">
      <c r="A484" s="290" t="s">
        <v>22</v>
      </c>
      <c r="B484" s="297">
        <v>14</v>
      </c>
      <c r="C484" s="297">
        <v>8</v>
      </c>
      <c r="D484" s="297">
        <v>6</v>
      </c>
      <c r="E484" s="298">
        <v>0</v>
      </c>
      <c r="F484" s="294"/>
    </row>
    <row r="485" spans="1:6">
      <c r="A485" s="290" t="s">
        <v>23</v>
      </c>
      <c r="B485" s="297">
        <v>17</v>
      </c>
      <c r="C485" s="297">
        <v>7</v>
      </c>
      <c r="D485" s="297">
        <v>10</v>
      </c>
      <c r="E485" s="298">
        <v>0</v>
      </c>
      <c r="F485" s="294"/>
    </row>
    <row r="486" spans="1:6">
      <c r="A486" s="290" t="s">
        <v>24</v>
      </c>
      <c r="B486" s="297">
        <v>21</v>
      </c>
      <c r="C486" s="297">
        <v>10</v>
      </c>
      <c r="D486" s="297">
        <v>11</v>
      </c>
      <c r="E486" s="298">
        <v>0</v>
      </c>
      <c r="F486" s="294"/>
    </row>
    <row r="487" spans="1:6">
      <c r="A487" s="290" t="s">
        <v>25</v>
      </c>
      <c r="B487" s="297">
        <v>8</v>
      </c>
      <c r="C487" s="297">
        <v>7</v>
      </c>
      <c r="D487" s="297">
        <v>1</v>
      </c>
      <c r="E487" s="298">
        <v>0</v>
      </c>
      <c r="F487" s="294"/>
    </row>
    <row r="488" spans="1:6">
      <c r="A488" s="290" t="s">
        <v>26</v>
      </c>
      <c r="B488" s="297">
        <v>14</v>
      </c>
      <c r="C488" s="297">
        <v>12</v>
      </c>
      <c r="D488" s="297">
        <v>2</v>
      </c>
      <c r="E488" s="298">
        <v>0</v>
      </c>
      <c r="F488" s="294"/>
    </row>
    <row r="489" spans="1:6">
      <c r="A489" s="290" t="s">
        <v>27</v>
      </c>
      <c r="B489" s="297">
        <v>16</v>
      </c>
      <c r="C489" s="297">
        <v>10</v>
      </c>
      <c r="D489" s="297">
        <v>6</v>
      </c>
      <c r="E489" s="298">
        <v>0</v>
      </c>
      <c r="F489" s="294"/>
    </row>
    <row r="490" spans="1:6">
      <c r="A490" s="290" t="s">
        <v>28</v>
      </c>
      <c r="B490" s="297">
        <v>11</v>
      </c>
      <c r="C490" s="297">
        <v>7</v>
      </c>
      <c r="D490" s="297">
        <v>4</v>
      </c>
      <c r="E490" s="298">
        <v>0</v>
      </c>
      <c r="F490" s="294"/>
    </row>
    <row r="491" spans="1:6">
      <c r="A491" s="290" t="s">
        <v>29</v>
      </c>
      <c r="B491" s="297">
        <v>15</v>
      </c>
      <c r="C491" s="297">
        <v>9</v>
      </c>
      <c r="D491" s="297">
        <v>6</v>
      </c>
      <c r="E491" s="298">
        <v>0</v>
      </c>
      <c r="F491" s="294"/>
    </row>
    <row r="492" spans="1:6">
      <c r="A492" s="290" t="s">
        <v>30</v>
      </c>
      <c r="B492" s="297">
        <v>26</v>
      </c>
      <c r="C492" s="297">
        <v>18</v>
      </c>
      <c r="D492" s="297">
        <v>8</v>
      </c>
      <c r="E492" s="298">
        <v>0</v>
      </c>
      <c r="F492" s="294"/>
    </row>
    <row r="493" spans="1:6">
      <c r="A493" s="290" t="s">
        <v>31</v>
      </c>
      <c r="B493" s="297">
        <v>19</v>
      </c>
      <c r="C493" s="297">
        <v>13</v>
      </c>
      <c r="D493" s="297">
        <v>6</v>
      </c>
      <c r="E493" s="298">
        <v>0</v>
      </c>
      <c r="F493" s="294"/>
    </row>
    <row r="494" spans="1:6">
      <c r="A494" s="290" t="s">
        <v>32</v>
      </c>
      <c r="B494" s="297">
        <v>13</v>
      </c>
      <c r="C494" s="297">
        <v>11</v>
      </c>
      <c r="D494" s="297">
        <v>2</v>
      </c>
      <c r="E494" s="298">
        <v>0</v>
      </c>
      <c r="F494" s="294"/>
    </row>
    <row r="495" spans="1:6" ht="5.0999999999999996" customHeight="1">
      <c r="A495" s="292"/>
      <c r="B495" s="297"/>
      <c r="C495" s="297"/>
      <c r="D495" s="297"/>
      <c r="E495" s="298"/>
      <c r="F495" s="294"/>
    </row>
    <row r="496" spans="1:6">
      <c r="A496" s="292" t="s">
        <v>107</v>
      </c>
      <c r="B496" s="295">
        <v>4394</v>
      </c>
      <c r="C496" s="295">
        <v>2720</v>
      </c>
      <c r="D496" s="295">
        <v>1674</v>
      </c>
      <c r="E496" s="296">
        <v>0</v>
      </c>
      <c r="F496" s="294"/>
    </row>
    <row r="497" spans="1:6" ht="5.0999999999999996" customHeight="1">
      <c r="A497" s="292"/>
      <c r="B497" s="297"/>
      <c r="C497" s="297"/>
      <c r="D497" s="297"/>
      <c r="E497" s="298"/>
      <c r="F497" s="294"/>
    </row>
    <row r="498" spans="1:6">
      <c r="A498" s="290" t="s">
        <v>21</v>
      </c>
      <c r="B498" s="297">
        <v>305</v>
      </c>
      <c r="C498" s="297">
        <v>199</v>
      </c>
      <c r="D498" s="297">
        <v>106</v>
      </c>
      <c r="E498" s="298">
        <v>0</v>
      </c>
      <c r="F498" s="294"/>
    </row>
    <row r="499" spans="1:6">
      <c r="A499" s="290" t="s">
        <v>22</v>
      </c>
      <c r="B499" s="297">
        <v>375</v>
      </c>
      <c r="C499" s="297">
        <v>244</v>
      </c>
      <c r="D499" s="297">
        <v>131</v>
      </c>
      <c r="E499" s="298">
        <v>0</v>
      </c>
      <c r="F499" s="294"/>
    </row>
    <row r="500" spans="1:6">
      <c r="A500" s="290" t="s">
        <v>23</v>
      </c>
      <c r="B500" s="297">
        <v>334</v>
      </c>
      <c r="C500" s="297">
        <v>207</v>
      </c>
      <c r="D500" s="297">
        <v>127</v>
      </c>
      <c r="E500" s="298">
        <v>0</v>
      </c>
      <c r="F500" s="294"/>
    </row>
    <row r="501" spans="1:6">
      <c r="A501" s="290" t="s">
        <v>24</v>
      </c>
      <c r="B501" s="297">
        <v>317</v>
      </c>
      <c r="C501" s="297">
        <v>214</v>
      </c>
      <c r="D501" s="297">
        <v>103</v>
      </c>
      <c r="E501" s="298">
        <v>0</v>
      </c>
      <c r="F501" s="294"/>
    </row>
    <row r="502" spans="1:6">
      <c r="A502" s="290" t="s">
        <v>25</v>
      </c>
      <c r="B502" s="297">
        <v>355</v>
      </c>
      <c r="C502" s="297">
        <v>215</v>
      </c>
      <c r="D502" s="297">
        <v>140</v>
      </c>
      <c r="E502" s="298">
        <v>0</v>
      </c>
      <c r="F502" s="294"/>
    </row>
    <row r="503" spans="1:6">
      <c r="A503" s="290" t="s">
        <v>26</v>
      </c>
      <c r="B503" s="297">
        <v>369</v>
      </c>
      <c r="C503" s="297">
        <v>231</v>
      </c>
      <c r="D503" s="297">
        <v>138</v>
      </c>
      <c r="E503" s="298">
        <v>0</v>
      </c>
      <c r="F503" s="294"/>
    </row>
    <row r="504" spans="1:6">
      <c r="A504" s="290" t="s">
        <v>27</v>
      </c>
      <c r="B504" s="297">
        <v>506</v>
      </c>
      <c r="C504" s="297">
        <v>281</v>
      </c>
      <c r="D504" s="297">
        <v>225</v>
      </c>
      <c r="E504" s="298">
        <v>0</v>
      </c>
      <c r="F504" s="294"/>
    </row>
    <row r="505" spans="1:6">
      <c r="A505" s="290" t="s">
        <v>28</v>
      </c>
      <c r="B505" s="297">
        <v>363</v>
      </c>
      <c r="C505" s="297">
        <v>218</v>
      </c>
      <c r="D505" s="297">
        <v>145</v>
      </c>
      <c r="E505" s="298">
        <v>0</v>
      </c>
      <c r="F505" s="294"/>
    </row>
    <row r="506" spans="1:6">
      <c r="A506" s="290" t="s">
        <v>29</v>
      </c>
      <c r="B506" s="297">
        <v>392</v>
      </c>
      <c r="C506" s="297">
        <v>235</v>
      </c>
      <c r="D506" s="297">
        <v>157</v>
      </c>
      <c r="E506" s="298">
        <v>0</v>
      </c>
      <c r="F506" s="294"/>
    </row>
    <row r="507" spans="1:6">
      <c r="A507" s="290" t="s">
        <v>30</v>
      </c>
      <c r="B507" s="297">
        <v>364</v>
      </c>
      <c r="C507" s="297">
        <v>209</v>
      </c>
      <c r="D507" s="297">
        <v>155</v>
      </c>
      <c r="E507" s="298">
        <v>0</v>
      </c>
      <c r="F507" s="294"/>
    </row>
    <row r="508" spans="1:6">
      <c r="A508" s="290" t="s">
        <v>31</v>
      </c>
      <c r="B508" s="297">
        <v>392</v>
      </c>
      <c r="C508" s="297">
        <v>253</v>
      </c>
      <c r="D508" s="297">
        <v>139</v>
      </c>
      <c r="E508" s="298">
        <v>0</v>
      </c>
      <c r="F508" s="294"/>
    </row>
    <row r="509" spans="1:6">
      <c r="A509" s="290" t="s">
        <v>32</v>
      </c>
      <c r="B509" s="297">
        <v>319</v>
      </c>
      <c r="C509" s="297">
        <v>212</v>
      </c>
      <c r="D509" s="297">
        <v>107</v>
      </c>
      <c r="E509" s="298">
        <v>0</v>
      </c>
      <c r="F509" s="294"/>
    </row>
    <row r="510" spans="1:6">
      <c r="A510" s="290" t="s">
        <v>493</v>
      </c>
      <c r="B510" s="297">
        <v>3</v>
      </c>
      <c r="C510" s="297">
        <v>2</v>
      </c>
      <c r="D510" s="297">
        <v>1</v>
      </c>
      <c r="E510" s="298">
        <v>0</v>
      </c>
      <c r="F510" s="294"/>
    </row>
    <row r="511" spans="1:6" ht="5.0999999999999996" customHeight="1">
      <c r="A511" s="292"/>
      <c r="B511" s="297"/>
      <c r="C511" s="297"/>
      <c r="D511" s="297"/>
      <c r="E511" s="298"/>
      <c r="F511" s="294"/>
    </row>
    <row r="512" spans="1:6">
      <c r="A512" s="292" t="s">
        <v>584</v>
      </c>
      <c r="B512" s="295">
        <v>107</v>
      </c>
      <c r="C512" s="295">
        <v>87</v>
      </c>
      <c r="D512" s="295">
        <v>20</v>
      </c>
      <c r="E512" s="296">
        <v>0</v>
      </c>
      <c r="F512" s="294"/>
    </row>
    <row r="513" spans="1:6" ht="5.0999999999999996" customHeight="1">
      <c r="A513" s="292"/>
      <c r="B513" s="297"/>
      <c r="C513" s="297"/>
      <c r="D513" s="297"/>
      <c r="E513" s="298"/>
      <c r="F513" s="294"/>
    </row>
    <row r="514" spans="1:6">
      <c r="A514" s="290" t="s">
        <v>21</v>
      </c>
      <c r="B514" s="297">
        <v>67</v>
      </c>
      <c r="C514" s="297">
        <v>56</v>
      </c>
      <c r="D514" s="297">
        <v>11</v>
      </c>
      <c r="E514" s="298">
        <v>0</v>
      </c>
      <c r="F514" s="294"/>
    </row>
    <row r="515" spans="1:6">
      <c r="A515" s="290" t="s">
        <v>22</v>
      </c>
      <c r="B515" s="297">
        <v>8</v>
      </c>
      <c r="C515" s="297">
        <v>4</v>
      </c>
      <c r="D515" s="297">
        <v>4</v>
      </c>
      <c r="E515" s="298">
        <v>0</v>
      </c>
      <c r="F515" s="294"/>
    </row>
    <row r="516" spans="1:6">
      <c r="A516" s="290" t="s">
        <v>23</v>
      </c>
      <c r="B516" s="297">
        <v>4</v>
      </c>
      <c r="C516" s="297">
        <v>2</v>
      </c>
      <c r="D516" s="297">
        <v>2</v>
      </c>
      <c r="E516" s="298">
        <v>0</v>
      </c>
      <c r="F516" s="294"/>
    </row>
    <row r="517" spans="1:6">
      <c r="A517" s="290" t="s">
        <v>24</v>
      </c>
      <c r="B517" s="297">
        <v>7</v>
      </c>
      <c r="C517" s="297">
        <v>6</v>
      </c>
      <c r="D517" s="297">
        <v>1</v>
      </c>
      <c r="E517" s="298">
        <v>0</v>
      </c>
      <c r="F517" s="294"/>
    </row>
    <row r="518" spans="1:6">
      <c r="A518" s="290" t="s">
        <v>25</v>
      </c>
      <c r="B518" s="297">
        <v>3</v>
      </c>
      <c r="C518" s="297">
        <v>2</v>
      </c>
      <c r="D518" s="297">
        <v>1</v>
      </c>
      <c r="E518" s="298">
        <v>0</v>
      </c>
      <c r="F518" s="294"/>
    </row>
    <row r="519" spans="1:6">
      <c r="A519" s="290" t="s">
        <v>26</v>
      </c>
      <c r="B519" s="297">
        <v>4</v>
      </c>
      <c r="C519" s="297">
        <v>3</v>
      </c>
      <c r="D519" s="297">
        <v>1</v>
      </c>
      <c r="E519" s="298">
        <v>0</v>
      </c>
      <c r="F519" s="294"/>
    </row>
    <row r="520" spans="1:6">
      <c r="A520" s="290" t="s">
        <v>27</v>
      </c>
      <c r="B520" s="297">
        <v>6</v>
      </c>
      <c r="C520" s="297">
        <v>6</v>
      </c>
      <c r="D520" s="297">
        <v>0</v>
      </c>
      <c r="E520" s="298">
        <v>0</v>
      </c>
      <c r="F520" s="294"/>
    </row>
    <row r="521" spans="1:6">
      <c r="A521" s="290" t="s">
        <v>28</v>
      </c>
      <c r="B521" s="297">
        <v>3</v>
      </c>
      <c r="C521" s="297">
        <v>3</v>
      </c>
      <c r="D521" s="297">
        <v>0</v>
      </c>
      <c r="E521" s="298">
        <v>0</v>
      </c>
      <c r="F521" s="294"/>
    </row>
    <row r="522" spans="1:6">
      <c r="A522" s="290" t="s">
        <v>29</v>
      </c>
      <c r="B522" s="297">
        <v>3</v>
      </c>
      <c r="C522" s="297">
        <v>3</v>
      </c>
      <c r="D522" s="297">
        <v>0</v>
      </c>
      <c r="E522" s="298">
        <v>0</v>
      </c>
      <c r="F522" s="294"/>
    </row>
    <row r="523" spans="1:6">
      <c r="A523" s="290" t="s">
        <v>30</v>
      </c>
      <c r="B523" s="297">
        <v>2</v>
      </c>
      <c r="C523" s="297">
        <v>2</v>
      </c>
      <c r="D523" s="297">
        <v>0</v>
      </c>
      <c r="E523" s="298">
        <v>0</v>
      </c>
      <c r="F523" s="294"/>
    </row>
    <row r="524" spans="1:6">
      <c r="A524" s="290" t="s">
        <v>31</v>
      </c>
      <c r="B524" s="297">
        <v>0</v>
      </c>
      <c r="C524" s="297">
        <v>0</v>
      </c>
      <c r="D524" s="297">
        <v>0</v>
      </c>
      <c r="E524" s="298">
        <v>0</v>
      </c>
      <c r="F524" s="294"/>
    </row>
    <row r="525" spans="1:6">
      <c r="A525" s="290" t="s">
        <v>32</v>
      </c>
      <c r="B525" s="297">
        <v>0</v>
      </c>
      <c r="C525" s="297">
        <v>0</v>
      </c>
      <c r="D525" s="297">
        <v>0</v>
      </c>
      <c r="E525" s="298">
        <v>0</v>
      </c>
      <c r="F525" s="294"/>
    </row>
    <row r="526" spans="1:6" ht="5.0999999999999996" customHeight="1">
      <c r="A526" s="292"/>
      <c r="B526" s="295"/>
      <c r="C526" s="297"/>
      <c r="D526" s="297"/>
      <c r="E526" s="297"/>
      <c r="F526" s="294"/>
    </row>
    <row r="527" spans="1:6">
      <c r="A527" s="292" t="s">
        <v>45</v>
      </c>
      <c r="B527" s="295">
        <v>59</v>
      </c>
      <c r="C527" s="295">
        <v>38</v>
      </c>
      <c r="D527" s="295">
        <v>21</v>
      </c>
      <c r="E527" s="296">
        <v>0</v>
      </c>
      <c r="F527" s="294"/>
    </row>
    <row r="528" spans="1:6" ht="5.0999999999999996" customHeight="1">
      <c r="A528" s="292"/>
      <c r="B528" s="297"/>
      <c r="C528" s="297"/>
      <c r="D528" s="297"/>
      <c r="E528" s="298"/>
      <c r="F528" s="294"/>
    </row>
    <row r="529" spans="1:6">
      <c r="A529" s="290" t="s">
        <v>21</v>
      </c>
      <c r="B529" s="297">
        <v>6</v>
      </c>
      <c r="C529" s="297">
        <v>3</v>
      </c>
      <c r="D529" s="297">
        <v>3</v>
      </c>
      <c r="E529" s="298">
        <v>0</v>
      </c>
      <c r="F529" s="294"/>
    </row>
    <row r="530" spans="1:6">
      <c r="A530" s="290" t="s">
        <v>22</v>
      </c>
      <c r="B530" s="297">
        <v>9</v>
      </c>
      <c r="C530" s="297">
        <v>7</v>
      </c>
      <c r="D530" s="297">
        <v>2</v>
      </c>
      <c r="E530" s="298">
        <v>0</v>
      </c>
      <c r="F530" s="294"/>
    </row>
    <row r="531" spans="1:6">
      <c r="A531" s="290" t="s">
        <v>23</v>
      </c>
      <c r="B531" s="297">
        <v>11</v>
      </c>
      <c r="C531" s="297">
        <v>9</v>
      </c>
      <c r="D531" s="297">
        <v>2</v>
      </c>
      <c r="E531" s="298">
        <v>0</v>
      </c>
      <c r="F531" s="294"/>
    </row>
    <row r="532" spans="1:6">
      <c r="A532" s="290" t="s">
        <v>24</v>
      </c>
      <c r="B532" s="297">
        <v>3</v>
      </c>
      <c r="C532" s="297">
        <v>3</v>
      </c>
      <c r="D532" s="297">
        <v>0</v>
      </c>
      <c r="E532" s="298">
        <v>0</v>
      </c>
      <c r="F532" s="294"/>
    </row>
    <row r="533" spans="1:6">
      <c r="A533" s="290" t="s">
        <v>25</v>
      </c>
      <c r="B533" s="297">
        <v>3</v>
      </c>
      <c r="C533" s="297">
        <v>3</v>
      </c>
      <c r="D533" s="297">
        <v>0</v>
      </c>
      <c r="E533" s="298">
        <v>0</v>
      </c>
      <c r="F533" s="294"/>
    </row>
    <row r="534" spans="1:6">
      <c r="A534" s="290" t="s">
        <v>26</v>
      </c>
      <c r="B534" s="297">
        <v>3</v>
      </c>
      <c r="C534" s="297">
        <v>1</v>
      </c>
      <c r="D534" s="297">
        <v>2</v>
      </c>
      <c r="E534" s="298">
        <v>0</v>
      </c>
      <c r="F534" s="294"/>
    </row>
    <row r="535" spans="1:6">
      <c r="A535" s="290" t="s">
        <v>27</v>
      </c>
      <c r="B535" s="297">
        <v>8</v>
      </c>
      <c r="C535" s="297">
        <v>2</v>
      </c>
      <c r="D535" s="297">
        <v>6</v>
      </c>
      <c r="E535" s="298">
        <v>0</v>
      </c>
      <c r="F535" s="294"/>
    </row>
    <row r="536" spans="1:6">
      <c r="A536" s="290" t="s">
        <v>28</v>
      </c>
      <c r="B536" s="297">
        <v>1</v>
      </c>
      <c r="C536" s="297">
        <v>1</v>
      </c>
      <c r="D536" s="297">
        <v>0</v>
      </c>
      <c r="E536" s="298">
        <v>0</v>
      </c>
      <c r="F536" s="294"/>
    </row>
    <row r="537" spans="1:6">
      <c r="A537" s="290" t="s">
        <v>29</v>
      </c>
      <c r="B537" s="297">
        <v>3</v>
      </c>
      <c r="C537" s="297">
        <v>2</v>
      </c>
      <c r="D537" s="297">
        <v>1</v>
      </c>
      <c r="E537" s="298">
        <v>0</v>
      </c>
      <c r="F537" s="294"/>
    </row>
    <row r="538" spans="1:6">
      <c r="A538" s="290" t="s">
        <v>30</v>
      </c>
      <c r="B538" s="297">
        <v>7</v>
      </c>
      <c r="C538" s="297">
        <v>4</v>
      </c>
      <c r="D538" s="297">
        <v>3</v>
      </c>
      <c r="E538" s="298">
        <v>0</v>
      </c>
      <c r="F538" s="294"/>
    </row>
    <row r="539" spans="1:6">
      <c r="A539" s="290" t="s">
        <v>31</v>
      </c>
      <c r="B539" s="297">
        <v>2</v>
      </c>
      <c r="C539" s="297">
        <v>1</v>
      </c>
      <c r="D539" s="297">
        <v>1</v>
      </c>
      <c r="E539" s="298">
        <v>0</v>
      </c>
      <c r="F539" s="294"/>
    </row>
    <row r="540" spans="1:6">
      <c r="A540" s="290" t="s">
        <v>32</v>
      </c>
      <c r="B540" s="297">
        <v>3</v>
      </c>
      <c r="C540" s="297">
        <v>2</v>
      </c>
      <c r="D540" s="297">
        <v>1</v>
      </c>
      <c r="E540" s="298">
        <v>0</v>
      </c>
      <c r="F540" s="294"/>
    </row>
    <row r="541" spans="1:6" ht="5.0999999999999996" customHeight="1">
      <c r="A541" s="299"/>
      <c r="B541" s="300"/>
      <c r="C541" s="300"/>
      <c r="D541" s="300"/>
      <c r="E541" s="300"/>
      <c r="F541" s="294"/>
    </row>
    <row r="542" spans="1:6" ht="5.0999999999999996" customHeight="1">
      <c r="B542" s="294"/>
      <c r="C542" s="294"/>
      <c r="D542" s="294"/>
      <c r="E542" s="294"/>
      <c r="F542" s="294"/>
    </row>
    <row r="543" spans="1:6">
      <c r="A543" s="301" t="s">
        <v>71</v>
      </c>
    </row>
    <row r="544" spans="1:6">
      <c r="A544" s="301" t="s">
        <v>231</v>
      </c>
    </row>
  </sheetData>
  <mergeCells count="6">
    <mergeCell ref="C6:E6"/>
    <mergeCell ref="B6:B7"/>
    <mergeCell ref="A6:A7"/>
    <mergeCell ref="A2:E2"/>
    <mergeCell ref="A3:E3"/>
    <mergeCell ref="A4:E4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2:F33"/>
  <sheetViews>
    <sheetView showGridLines="0" topLeftCell="B1" zoomScaleNormal="100" workbookViewId="0">
      <selection activeCell="B6" sqref="B6"/>
    </sheetView>
  </sheetViews>
  <sheetFormatPr baseColWidth="10" defaultColWidth="11.42578125" defaultRowHeight="12.75"/>
  <cols>
    <col min="1" max="1" width="2.85546875" style="76" hidden="1" customWidth="1"/>
    <col min="2" max="2" width="31.85546875" style="86" customWidth="1"/>
    <col min="3" max="3" width="22.140625" style="76" customWidth="1"/>
    <col min="4" max="4" width="27" style="76" customWidth="1"/>
    <col min="5" max="16384" width="11.42578125" style="76"/>
  </cols>
  <sheetData>
    <row r="2" spans="2:6" ht="11.25" customHeight="1">
      <c r="B2" s="416" t="s">
        <v>240</v>
      </c>
      <c r="C2" s="416"/>
    </row>
    <row r="3" spans="2:6" ht="11.25" customHeight="1">
      <c r="B3" s="422" t="s">
        <v>17</v>
      </c>
      <c r="C3" s="422"/>
    </row>
    <row r="4" spans="2:6" ht="11.25" customHeight="1">
      <c r="B4" s="422" t="s">
        <v>497</v>
      </c>
      <c r="C4" s="422"/>
    </row>
    <row r="5" spans="2:6" ht="11.25" customHeight="1">
      <c r="B5" s="78"/>
      <c r="C5" s="89"/>
    </row>
    <row r="6" spans="2:6" s="75" customFormat="1" ht="18.75" customHeight="1">
      <c r="B6" s="90" t="s">
        <v>241</v>
      </c>
      <c r="C6" s="88" t="s">
        <v>238</v>
      </c>
    </row>
    <row r="7" spans="2:6" ht="4.5" customHeight="1">
      <c r="B7" s="82"/>
      <c r="C7" s="79"/>
    </row>
    <row r="8" spans="2:6" s="75" customFormat="1" ht="12.75" customHeight="1">
      <c r="B8" s="80" t="s">
        <v>61</v>
      </c>
      <c r="C8" s="275">
        <f>SUM(C10:C29)</f>
        <v>36643</v>
      </c>
    </row>
    <row r="9" spans="2:6" ht="4.5" customHeight="1">
      <c r="B9" s="82"/>
      <c r="C9" s="276"/>
      <c r="D9" s="75"/>
      <c r="E9" s="75"/>
      <c r="F9" s="75"/>
    </row>
    <row r="10" spans="2:6">
      <c r="B10" s="86" t="s">
        <v>242</v>
      </c>
      <c r="C10" s="276">
        <v>8</v>
      </c>
    </row>
    <row r="11" spans="2:6">
      <c r="B11" s="86" t="s">
        <v>243</v>
      </c>
      <c r="C11" s="276">
        <v>7</v>
      </c>
    </row>
    <row r="12" spans="2:6">
      <c r="B12" s="86" t="s">
        <v>244</v>
      </c>
      <c r="C12" s="276">
        <v>22</v>
      </c>
    </row>
    <row r="13" spans="2:6">
      <c r="B13" s="86" t="s">
        <v>245</v>
      </c>
      <c r="C13" s="276">
        <v>21</v>
      </c>
    </row>
    <row r="14" spans="2:6">
      <c r="B14" s="86" t="s">
        <v>246</v>
      </c>
      <c r="C14" s="276">
        <v>31</v>
      </c>
    </row>
    <row r="15" spans="2:6">
      <c r="B15" s="86" t="s">
        <v>247</v>
      </c>
      <c r="C15" s="276">
        <v>34</v>
      </c>
    </row>
    <row r="16" spans="2:6">
      <c r="B16" s="86" t="s">
        <v>248</v>
      </c>
      <c r="C16" s="276">
        <v>48</v>
      </c>
    </row>
    <row r="17" spans="2:3">
      <c r="B17" s="86" t="s">
        <v>249</v>
      </c>
      <c r="C17" s="276">
        <v>110</v>
      </c>
    </row>
    <row r="18" spans="2:3">
      <c r="B18" s="86" t="s">
        <v>250</v>
      </c>
      <c r="C18" s="276">
        <v>278</v>
      </c>
    </row>
    <row r="19" spans="2:3">
      <c r="B19" s="86">
        <v>2001</v>
      </c>
      <c r="C19" s="276">
        <v>61</v>
      </c>
    </row>
    <row r="20" spans="2:3">
      <c r="B20" s="86">
        <v>2002</v>
      </c>
      <c r="C20" s="276">
        <v>66</v>
      </c>
    </row>
    <row r="21" spans="2:3">
      <c r="B21" s="86">
        <v>2003</v>
      </c>
      <c r="C21" s="276">
        <v>61</v>
      </c>
    </row>
    <row r="22" spans="2:3">
      <c r="B22" s="86">
        <v>2004</v>
      </c>
      <c r="C22" s="276">
        <v>71</v>
      </c>
    </row>
    <row r="23" spans="2:3">
      <c r="B23" s="86">
        <v>2005</v>
      </c>
      <c r="C23" s="276">
        <v>91</v>
      </c>
    </row>
    <row r="24" spans="2:3">
      <c r="B24" s="86">
        <v>2006</v>
      </c>
      <c r="C24" s="276">
        <v>137</v>
      </c>
    </row>
    <row r="25" spans="2:3">
      <c r="B25" s="86">
        <v>2007</v>
      </c>
      <c r="C25" s="276">
        <v>190</v>
      </c>
    </row>
    <row r="26" spans="2:3">
      <c r="B26" s="86">
        <v>2008</v>
      </c>
      <c r="C26" s="276">
        <v>264</v>
      </c>
    </row>
    <row r="27" spans="2:3">
      <c r="B27" s="86">
        <v>2009</v>
      </c>
      <c r="C27" s="276">
        <v>961</v>
      </c>
    </row>
    <row r="28" spans="2:3">
      <c r="B28" s="86">
        <v>2010</v>
      </c>
      <c r="C28" s="276">
        <v>34157</v>
      </c>
    </row>
    <row r="29" spans="2:3">
      <c r="B29" s="86" t="s">
        <v>504</v>
      </c>
      <c r="C29" s="276">
        <v>25</v>
      </c>
    </row>
    <row r="30" spans="2:3" ht="4.5" customHeight="1">
      <c r="B30" s="84"/>
      <c r="C30" s="85"/>
    </row>
    <row r="31" spans="2:3" ht="4.5" customHeight="1"/>
    <row r="32" spans="2:3">
      <c r="B32" s="87" t="s">
        <v>71</v>
      </c>
    </row>
    <row r="33" spans="2:2">
      <c r="B33" s="87" t="s">
        <v>231</v>
      </c>
    </row>
  </sheetData>
  <mergeCells count="3">
    <mergeCell ref="B2:C2"/>
    <mergeCell ref="B3:C3"/>
    <mergeCell ref="B4:C4"/>
  </mergeCells>
  <phoneticPr fontId="2" type="noConversion"/>
  <printOptions horizontalCentered="1"/>
  <pageMargins left="0.78740157480314965" right="0.78740157480314965" top="0.98425196850393704" bottom="0.98425196850393704" header="0.54" footer="0"/>
  <pageSetup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2:E274"/>
  <sheetViews>
    <sheetView workbookViewId="0">
      <selection activeCell="F26" sqref="F26"/>
    </sheetView>
  </sheetViews>
  <sheetFormatPr baseColWidth="10" defaultColWidth="11.42578125" defaultRowHeight="12.75"/>
  <cols>
    <col min="1" max="1" width="29.5703125" style="290" customWidth="1"/>
    <col min="2" max="2" width="13.140625" style="290" customWidth="1"/>
    <col min="3" max="3" width="12.42578125" style="290" customWidth="1"/>
    <col min="4" max="4" width="11.85546875" style="290" customWidth="1"/>
    <col min="5" max="5" width="12.140625" style="290" customWidth="1"/>
    <col min="6" max="16384" width="11.42578125" style="290"/>
  </cols>
  <sheetData>
    <row r="2" spans="1:5">
      <c r="A2" s="428" t="s">
        <v>251</v>
      </c>
      <c r="B2" s="428"/>
      <c r="C2" s="428"/>
      <c r="D2" s="428"/>
      <c r="E2" s="428"/>
    </row>
    <row r="3" spans="1:5">
      <c r="A3" s="428" t="s">
        <v>17</v>
      </c>
      <c r="B3" s="428"/>
      <c r="C3" s="428"/>
      <c r="D3" s="428"/>
      <c r="E3" s="428"/>
    </row>
    <row r="4" spans="1:5">
      <c r="A4" s="428" t="s">
        <v>252</v>
      </c>
      <c r="B4" s="428"/>
      <c r="C4" s="428"/>
      <c r="D4" s="428"/>
      <c r="E4" s="428"/>
    </row>
    <row r="5" spans="1:5">
      <c r="A5" s="428" t="s">
        <v>498</v>
      </c>
      <c r="B5" s="428"/>
      <c r="C5" s="428"/>
      <c r="D5" s="428"/>
      <c r="E5" s="428"/>
    </row>
    <row r="7" spans="1:5" ht="15.75" customHeight="1">
      <c r="A7" s="430" t="s">
        <v>253</v>
      </c>
      <c r="B7" s="432" t="s">
        <v>61</v>
      </c>
      <c r="C7" s="429" t="s">
        <v>75</v>
      </c>
      <c r="D7" s="429"/>
      <c r="E7" s="429"/>
    </row>
    <row r="8" spans="1:5" ht="12" customHeight="1">
      <c r="A8" s="431"/>
      <c r="B8" s="433"/>
      <c r="C8" s="302" t="s">
        <v>38</v>
      </c>
      <c r="D8" s="302" t="s">
        <v>39</v>
      </c>
      <c r="E8" s="302" t="s">
        <v>466</v>
      </c>
    </row>
    <row r="9" spans="1:5" ht="5.0999999999999996" customHeight="1">
      <c r="A9" s="303"/>
      <c r="B9" s="292"/>
      <c r="C9" s="292"/>
      <c r="D9" s="292"/>
      <c r="E9" s="292"/>
    </row>
    <row r="10" spans="1:5">
      <c r="A10" s="303" t="s">
        <v>585</v>
      </c>
      <c r="B10" s="295">
        <v>34157</v>
      </c>
      <c r="C10" s="295">
        <v>21604</v>
      </c>
      <c r="D10" s="295">
        <v>12528</v>
      </c>
      <c r="E10" s="295">
        <v>25</v>
      </c>
    </row>
    <row r="11" spans="1:5" ht="5.0999999999999996" customHeight="1">
      <c r="A11" s="303"/>
      <c r="B11" s="297"/>
      <c r="C11" s="297"/>
      <c r="D11" s="297"/>
      <c r="E11" s="297"/>
    </row>
    <row r="12" spans="1:5">
      <c r="A12" s="304" t="s">
        <v>254</v>
      </c>
      <c r="B12" s="297">
        <v>11097</v>
      </c>
      <c r="C12" s="297">
        <v>7832</v>
      </c>
      <c r="D12" s="297">
        <v>3265</v>
      </c>
      <c r="E12" s="297">
        <v>0</v>
      </c>
    </row>
    <row r="13" spans="1:5">
      <c r="A13" s="304" t="s">
        <v>255</v>
      </c>
      <c r="B13" s="297">
        <v>154</v>
      </c>
      <c r="C13" s="297">
        <v>96</v>
      </c>
      <c r="D13" s="297">
        <v>58</v>
      </c>
      <c r="E13" s="297">
        <v>0</v>
      </c>
    </row>
    <row r="14" spans="1:5">
      <c r="A14" s="304" t="s">
        <v>256</v>
      </c>
      <c r="B14" s="297">
        <v>11710</v>
      </c>
      <c r="C14" s="297">
        <v>6851</v>
      </c>
      <c r="D14" s="297">
        <v>4851</v>
      </c>
      <c r="E14" s="297">
        <v>8</v>
      </c>
    </row>
    <row r="15" spans="1:5">
      <c r="A15" s="304" t="s">
        <v>51</v>
      </c>
      <c r="B15" s="297">
        <v>10619</v>
      </c>
      <c r="C15" s="297">
        <v>6450</v>
      </c>
      <c r="D15" s="297">
        <v>4154</v>
      </c>
      <c r="E15" s="297">
        <v>15</v>
      </c>
    </row>
    <row r="16" spans="1:5">
      <c r="A16" s="304" t="s">
        <v>493</v>
      </c>
      <c r="B16" s="297">
        <v>577</v>
      </c>
      <c r="C16" s="297">
        <v>375</v>
      </c>
      <c r="D16" s="297">
        <v>200</v>
      </c>
      <c r="E16" s="297">
        <v>2</v>
      </c>
    </row>
    <row r="17" spans="1:5" ht="5.0999999999999996" customHeight="1">
      <c r="A17" s="303"/>
      <c r="B17" s="297"/>
      <c r="C17" s="297"/>
      <c r="D17" s="297"/>
      <c r="E17" s="297"/>
    </row>
    <row r="18" spans="1:5">
      <c r="A18" s="303" t="s">
        <v>76</v>
      </c>
      <c r="B18" s="295">
        <v>7528</v>
      </c>
      <c r="C18" s="295">
        <v>5415</v>
      </c>
      <c r="D18" s="295">
        <v>2113</v>
      </c>
      <c r="E18" s="295">
        <v>0</v>
      </c>
    </row>
    <row r="19" spans="1:5" ht="5.0999999999999996" customHeight="1">
      <c r="A19" s="303"/>
      <c r="B19" s="297"/>
      <c r="C19" s="297"/>
      <c r="D19" s="297"/>
      <c r="E19" s="297"/>
    </row>
    <row r="20" spans="1:5">
      <c r="A20" s="304" t="s">
        <v>254</v>
      </c>
      <c r="B20" s="297">
        <v>7148</v>
      </c>
      <c r="C20" s="297">
        <v>5176</v>
      </c>
      <c r="D20" s="297">
        <v>1972</v>
      </c>
      <c r="E20" s="297">
        <v>0</v>
      </c>
    </row>
    <row r="21" spans="1:5">
      <c r="A21" s="304" t="s">
        <v>255</v>
      </c>
      <c r="B21" s="297">
        <v>17</v>
      </c>
      <c r="C21" s="297">
        <v>6</v>
      </c>
      <c r="D21" s="297">
        <v>11</v>
      </c>
      <c r="E21" s="297">
        <v>0</v>
      </c>
    </row>
    <row r="22" spans="1:5">
      <c r="A22" s="304" t="s">
        <v>256</v>
      </c>
      <c r="B22" s="297">
        <v>116</v>
      </c>
      <c r="C22" s="297">
        <v>75</v>
      </c>
      <c r="D22" s="297">
        <v>41</v>
      </c>
      <c r="E22" s="297">
        <v>0</v>
      </c>
    </row>
    <row r="23" spans="1:5">
      <c r="A23" s="304" t="s">
        <v>51</v>
      </c>
      <c r="B23" s="297">
        <v>231</v>
      </c>
      <c r="C23" s="297">
        <v>145</v>
      </c>
      <c r="D23" s="297">
        <v>86</v>
      </c>
      <c r="E23" s="297">
        <v>0</v>
      </c>
    </row>
    <row r="24" spans="1:5">
      <c r="A24" s="304" t="s">
        <v>493</v>
      </c>
      <c r="B24" s="297">
        <v>16</v>
      </c>
      <c r="C24" s="297">
        <v>13</v>
      </c>
      <c r="D24" s="297">
        <v>3</v>
      </c>
      <c r="E24" s="297">
        <v>0</v>
      </c>
    </row>
    <row r="25" spans="1:5" ht="5.0999999999999996" customHeight="1">
      <c r="A25" s="303"/>
      <c r="B25" s="297"/>
      <c r="C25" s="297"/>
      <c r="D25" s="297"/>
      <c r="E25" s="297"/>
    </row>
    <row r="26" spans="1:5">
      <c r="A26" s="303" t="s">
        <v>77</v>
      </c>
      <c r="B26" s="295">
        <v>470</v>
      </c>
      <c r="C26" s="295">
        <v>255</v>
      </c>
      <c r="D26" s="295">
        <v>202</v>
      </c>
      <c r="E26" s="295">
        <v>13</v>
      </c>
    </row>
    <row r="27" spans="1:5" ht="5.0999999999999996" customHeight="1">
      <c r="A27" s="303"/>
      <c r="B27" s="297"/>
      <c r="C27" s="297"/>
      <c r="D27" s="297"/>
      <c r="E27" s="297"/>
    </row>
    <row r="28" spans="1:5">
      <c r="A28" s="304" t="s">
        <v>254</v>
      </c>
      <c r="B28" s="297">
        <v>16</v>
      </c>
      <c r="C28" s="297">
        <v>10</v>
      </c>
      <c r="D28" s="297">
        <v>6</v>
      </c>
      <c r="E28" s="297">
        <v>0</v>
      </c>
    </row>
    <row r="29" spans="1:5">
      <c r="A29" s="304" t="s">
        <v>255</v>
      </c>
      <c r="B29" s="297">
        <v>1</v>
      </c>
      <c r="C29" s="297">
        <v>0</v>
      </c>
      <c r="D29" s="297">
        <v>1</v>
      </c>
      <c r="E29" s="297">
        <v>0</v>
      </c>
    </row>
    <row r="30" spans="1:5">
      <c r="A30" s="304" t="s">
        <v>256</v>
      </c>
      <c r="B30" s="297">
        <v>328</v>
      </c>
      <c r="C30" s="297">
        <v>179</v>
      </c>
      <c r="D30" s="297">
        <v>147</v>
      </c>
      <c r="E30" s="297">
        <v>2</v>
      </c>
    </row>
    <row r="31" spans="1:5">
      <c r="A31" s="304" t="s">
        <v>51</v>
      </c>
      <c r="B31" s="297">
        <v>123</v>
      </c>
      <c r="C31" s="297">
        <v>64</v>
      </c>
      <c r="D31" s="297">
        <v>48</v>
      </c>
      <c r="E31" s="297">
        <v>11</v>
      </c>
    </row>
    <row r="32" spans="1:5">
      <c r="A32" s="304" t="s">
        <v>493</v>
      </c>
      <c r="B32" s="297">
        <v>2</v>
      </c>
      <c r="C32" s="297">
        <v>2</v>
      </c>
      <c r="D32" s="297">
        <v>0</v>
      </c>
      <c r="E32" s="297">
        <v>0</v>
      </c>
    </row>
    <row r="33" spans="1:5" ht="5.0999999999999996" customHeight="1">
      <c r="A33" s="303"/>
      <c r="B33" s="297"/>
      <c r="C33" s="297"/>
      <c r="D33" s="297"/>
      <c r="E33" s="297"/>
    </row>
    <row r="34" spans="1:5">
      <c r="A34" s="303" t="s">
        <v>78</v>
      </c>
      <c r="B34" s="295">
        <v>281</v>
      </c>
      <c r="C34" s="295">
        <v>171</v>
      </c>
      <c r="D34" s="295">
        <v>110</v>
      </c>
      <c r="E34" s="295">
        <v>0</v>
      </c>
    </row>
    <row r="35" spans="1:5" ht="5.0999999999999996" customHeight="1">
      <c r="A35" s="303"/>
      <c r="B35" s="297"/>
      <c r="C35" s="297"/>
      <c r="D35" s="297"/>
      <c r="E35" s="297"/>
    </row>
    <row r="36" spans="1:5">
      <c r="A36" s="304" t="s">
        <v>254</v>
      </c>
      <c r="B36" s="297">
        <v>17</v>
      </c>
      <c r="C36" s="297">
        <v>7</v>
      </c>
      <c r="D36" s="297">
        <v>10</v>
      </c>
      <c r="E36" s="297">
        <v>0</v>
      </c>
    </row>
    <row r="37" spans="1:5">
      <c r="A37" s="304" t="s">
        <v>256</v>
      </c>
      <c r="B37" s="297">
        <v>193</v>
      </c>
      <c r="C37" s="297">
        <v>122</v>
      </c>
      <c r="D37" s="297">
        <v>71</v>
      </c>
      <c r="E37" s="297">
        <v>0</v>
      </c>
    </row>
    <row r="38" spans="1:5">
      <c r="A38" s="304" t="s">
        <v>51</v>
      </c>
      <c r="B38" s="297">
        <v>70</v>
      </c>
      <c r="C38" s="297">
        <v>41</v>
      </c>
      <c r="D38" s="297">
        <v>29</v>
      </c>
      <c r="E38" s="297">
        <v>0</v>
      </c>
    </row>
    <row r="39" spans="1:5">
      <c r="A39" s="304" t="s">
        <v>493</v>
      </c>
      <c r="B39" s="297">
        <v>1</v>
      </c>
      <c r="C39" s="297">
        <v>1</v>
      </c>
      <c r="D39" s="297">
        <v>0</v>
      </c>
      <c r="E39" s="297">
        <v>0</v>
      </c>
    </row>
    <row r="40" spans="1:5" ht="5.0999999999999996" customHeight="1">
      <c r="A40" s="303"/>
      <c r="B40" s="297"/>
      <c r="C40" s="297"/>
      <c r="D40" s="297"/>
      <c r="E40" s="297"/>
    </row>
    <row r="41" spans="1:5">
      <c r="A41" s="303" t="s">
        <v>79</v>
      </c>
      <c r="B41" s="295">
        <v>537</v>
      </c>
      <c r="C41" s="295">
        <v>319</v>
      </c>
      <c r="D41" s="295">
        <v>218</v>
      </c>
      <c r="E41" s="295">
        <v>0</v>
      </c>
    </row>
    <row r="42" spans="1:5" ht="5.0999999999999996" customHeight="1">
      <c r="A42" s="303"/>
      <c r="B42" s="297"/>
      <c r="C42" s="297"/>
      <c r="D42" s="297"/>
      <c r="E42" s="297"/>
    </row>
    <row r="43" spans="1:5">
      <c r="A43" s="304" t="s">
        <v>254</v>
      </c>
      <c r="B43" s="297">
        <v>24</v>
      </c>
      <c r="C43" s="297">
        <v>15</v>
      </c>
      <c r="D43" s="297">
        <v>9</v>
      </c>
      <c r="E43" s="297">
        <v>0</v>
      </c>
    </row>
    <row r="44" spans="1:5">
      <c r="A44" s="304" t="s">
        <v>255</v>
      </c>
      <c r="B44" s="297">
        <v>1</v>
      </c>
      <c r="C44" s="297">
        <v>0</v>
      </c>
      <c r="D44" s="297">
        <v>1</v>
      </c>
      <c r="E44" s="297">
        <v>0</v>
      </c>
    </row>
    <row r="45" spans="1:5">
      <c r="A45" s="304" t="s">
        <v>256</v>
      </c>
      <c r="B45" s="297">
        <v>318</v>
      </c>
      <c r="C45" s="297">
        <v>178</v>
      </c>
      <c r="D45" s="297">
        <v>140</v>
      </c>
      <c r="E45" s="297">
        <v>0</v>
      </c>
    </row>
    <row r="46" spans="1:5">
      <c r="A46" s="304" t="s">
        <v>51</v>
      </c>
      <c r="B46" s="297">
        <v>194</v>
      </c>
      <c r="C46" s="297">
        <v>126</v>
      </c>
      <c r="D46" s="297">
        <v>68</v>
      </c>
      <c r="E46" s="297">
        <v>0</v>
      </c>
    </row>
    <row r="47" spans="1:5" ht="5.0999999999999996" customHeight="1">
      <c r="A47" s="304"/>
      <c r="B47" s="297"/>
      <c r="C47" s="297"/>
      <c r="D47" s="297"/>
      <c r="E47" s="297"/>
    </row>
    <row r="48" spans="1:5">
      <c r="A48" s="303" t="s">
        <v>80</v>
      </c>
      <c r="B48" s="295">
        <v>217</v>
      </c>
      <c r="C48" s="295">
        <v>136</v>
      </c>
      <c r="D48" s="295">
        <v>81</v>
      </c>
      <c r="E48" s="295">
        <v>0</v>
      </c>
    </row>
    <row r="49" spans="1:5" ht="5.0999999999999996" customHeight="1">
      <c r="A49" s="303"/>
      <c r="B49" s="297"/>
      <c r="C49" s="297"/>
      <c r="D49" s="297"/>
      <c r="E49" s="297"/>
    </row>
    <row r="50" spans="1:5">
      <c r="A50" s="304" t="s">
        <v>254</v>
      </c>
      <c r="B50" s="297">
        <v>8</v>
      </c>
      <c r="C50" s="297">
        <v>7</v>
      </c>
      <c r="D50" s="297">
        <v>1</v>
      </c>
      <c r="E50" s="297">
        <v>0</v>
      </c>
    </row>
    <row r="51" spans="1:5">
      <c r="A51" s="304" t="s">
        <v>255</v>
      </c>
      <c r="B51" s="297">
        <v>1</v>
      </c>
      <c r="C51" s="297">
        <v>1</v>
      </c>
      <c r="D51" s="297">
        <v>0</v>
      </c>
      <c r="E51" s="297">
        <v>0</v>
      </c>
    </row>
    <row r="52" spans="1:5">
      <c r="A52" s="304" t="s">
        <v>256</v>
      </c>
      <c r="B52" s="297">
        <v>171</v>
      </c>
      <c r="C52" s="297">
        <v>101</v>
      </c>
      <c r="D52" s="297">
        <v>70</v>
      </c>
      <c r="E52" s="297">
        <v>0</v>
      </c>
    </row>
    <row r="53" spans="1:5">
      <c r="A53" s="304" t="s">
        <v>51</v>
      </c>
      <c r="B53" s="297">
        <v>37</v>
      </c>
      <c r="C53" s="297">
        <v>27</v>
      </c>
      <c r="D53" s="297">
        <v>10</v>
      </c>
      <c r="E53" s="297">
        <v>0</v>
      </c>
    </row>
    <row r="54" spans="1:5" ht="5.0999999999999996" customHeight="1">
      <c r="A54" s="304"/>
      <c r="B54" s="297"/>
      <c r="C54" s="297"/>
      <c r="D54" s="297"/>
      <c r="E54" s="297"/>
    </row>
    <row r="55" spans="1:5">
      <c r="A55" s="303" t="s">
        <v>81</v>
      </c>
      <c r="B55" s="295">
        <v>1564</v>
      </c>
      <c r="C55" s="295">
        <v>928</v>
      </c>
      <c r="D55" s="295">
        <v>636</v>
      </c>
      <c r="E55" s="295">
        <v>0</v>
      </c>
    </row>
    <row r="56" spans="1:5" ht="5.0999999999999996" customHeight="1">
      <c r="A56" s="303"/>
      <c r="B56" s="297"/>
      <c r="C56" s="297"/>
      <c r="D56" s="297"/>
      <c r="E56" s="297"/>
    </row>
    <row r="57" spans="1:5">
      <c r="A57" s="304" t="s">
        <v>254</v>
      </c>
      <c r="B57" s="297">
        <v>14</v>
      </c>
      <c r="C57" s="297">
        <v>7</v>
      </c>
      <c r="D57" s="297">
        <v>7</v>
      </c>
      <c r="E57" s="297">
        <v>0</v>
      </c>
    </row>
    <row r="58" spans="1:5">
      <c r="A58" s="304" t="s">
        <v>256</v>
      </c>
      <c r="B58" s="297">
        <v>651</v>
      </c>
      <c r="C58" s="297">
        <v>367</v>
      </c>
      <c r="D58" s="297">
        <v>284</v>
      </c>
      <c r="E58" s="297">
        <v>0</v>
      </c>
    </row>
    <row r="59" spans="1:5">
      <c r="A59" s="304" t="s">
        <v>51</v>
      </c>
      <c r="B59" s="297">
        <v>896</v>
      </c>
      <c r="C59" s="297">
        <v>551</v>
      </c>
      <c r="D59" s="297">
        <v>345</v>
      </c>
      <c r="E59" s="297">
        <v>0</v>
      </c>
    </row>
    <row r="60" spans="1:5">
      <c r="A60" s="304" t="s">
        <v>493</v>
      </c>
      <c r="B60" s="297">
        <v>3</v>
      </c>
      <c r="C60" s="297">
        <v>3</v>
      </c>
      <c r="D60" s="297">
        <v>0</v>
      </c>
      <c r="E60" s="297">
        <v>0</v>
      </c>
    </row>
    <row r="61" spans="1:5" ht="5.0999999999999996" customHeight="1">
      <c r="A61" s="304"/>
      <c r="B61" s="297"/>
      <c r="C61" s="297"/>
      <c r="D61" s="297"/>
      <c r="E61" s="297"/>
    </row>
    <row r="62" spans="1:5">
      <c r="A62" s="303" t="s">
        <v>82</v>
      </c>
      <c r="B62" s="295">
        <v>160</v>
      </c>
      <c r="C62" s="295">
        <v>99</v>
      </c>
      <c r="D62" s="295">
        <v>61</v>
      </c>
      <c r="E62" s="295">
        <v>0</v>
      </c>
    </row>
    <row r="63" spans="1:5" ht="5.0999999999999996" customHeight="1">
      <c r="A63" s="303"/>
      <c r="B63" s="297"/>
      <c r="C63" s="297"/>
      <c r="D63" s="297"/>
      <c r="E63" s="297"/>
    </row>
    <row r="64" spans="1:5">
      <c r="A64" s="304" t="s">
        <v>254</v>
      </c>
      <c r="B64" s="297">
        <v>4</v>
      </c>
      <c r="C64" s="297">
        <v>3</v>
      </c>
      <c r="D64" s="297">
        <v>1</v>
      </c>
      <c r="E64" s="297">
        <v>0</v>
      </c>
    </row>
    <row r="65" spans="1:5">
      <c r="A65" s="304" t="s">
        <v>256</v>
      </c>
      <c r="B65" s="297">
        <v>126</v>
      </c>
      <c r="C65" s="297">
        <v>76</v>
      </c>
      <c r="D65" s="297">
        <v>50</v>
      </c>
      <c r="E65" s="297">
        <v>0</v>
      </c>
    </row>
    <row r="66" spans="1:5">
      <c r="A66" s="304" t="s">
        <v>51</v>
      </c>
      <c r="B66" s="297">
        <v>30</v>
      </c>
      <c r="C66" s="297">
        <v>20</v>
      </c>
      <c r="D66" s="297">
        <v>10</v>
      </c>
      <c r="E66" s="297">
        <v>0</v>
      </c>
    </row>
    <row r="67" spans="1:5" ht="5.0999999999999996" customHeight="1">
      <c r="A67" s="304"/>
      <c r="B67" s="297"/>
      <c r="C67" s="297"/>
      <c r="D67" s="297"/>
      <c r="E67" s="297"/>
    </row>
    <row r="68" spans="1:5">
      <c r="A68" s="303" t="s">
        <v>83</v>
      </c>
      <c r="B68" s="295">
        <v>212</v>
      </c>
      <c r="C68" s="295">
        <v>128</v>
      </c>
      <c r="D68" s="295">
        <v>84</v>
      </c>
      <c r="E68" s="295">
        <v>0</v>
      </c>
    </row>
    <row r="69" spans="1:5" ht="5.0999999999999996" customHeight="1">
      <c r="A69" s="303"/>
      <c r="B69" s="297"/>
      <c r="C69" s="297"/>
      <c r="D69" s="297"/>
      <c r="E69" s="297"/>
    </row>
    <row r="70" spans="1:5">
      <c r="A70" s="304" t="s">
        <v>254</v>
      </c>
      <c r="B70" s="297">
        <v>15</v>
      </c>
      <c r="C70" s="297">
        <v>12</v>
      </c>
      <c r="D70" s="297">
        <v>3</v>
      </c>
      <c r="E70" s="297">
        <v>0</v>
      </c>
    </row>
    <row r="71" spans="1:5">
      <c r="A71" s="304" t="s">
        <v>256</v>
      </c>
      <c r="B71" s="297">
        <v>124</v>
      </c>
      <c r="C71" s="297">
        <v>70</v>
      </c>
      <c r="D71" s="297">
        <v>54</v>
      </c>
      <c r="E71" s="297">
        <v>0</v>
      </c>
    </row>
    <row r="72" spans="1:5">
      <c r="A72" s="304" t="s">
        <v>51</v>
      </c>
      <c r="B72" s="297">
        <v>73</v>
      </c>
      <c r="C72" s="297">
        <v>46</v>
      </c>
      <c r="D72" s="297">
        <v>27</v>
      </c>
      <c r="E72" s="297">
        <v>0</v>
      </c>
    </row>
    <row r="73" spans="1:5" ht="5.0999999999999996" customHeight="1">
      <c r="A73" s="304"/>
      <c r="B73" s="297"/>
      <c r="C73" s="297"/>
      <c r="D73" s="297"/>
      <c r="E73" s="297"/>
    </row>
    <row r="74" spans="1:5">
      <c r="A74" s="303" t="s">
        <v>84</v>
      </c>
      <c r="B74" s="295">
        <v>911</v>
      </c>
      <c r="C74" s="295">
        <v>567</v>
      </c>
      <c r="D74" s="295">
        <v>344</v>
      </c>
      <c r="E74" s="295">
        <v>0</v>
      </c>
    </row>
    <row r="75" spans="1:5" ht="5.0999999999999996" customHeight="1">
      <c r="A75" s="303"/>
      <c r="B75" s="297"/>
      <c r="C75" s="297"/>
      <c r="D75" s="297"/>
      <c r="E75" s="297"/>
    </row>
    <row r="76" spans="1:5">
      <c r="A76" s="304" t="s">
        <v>254</v>
      </c>
      <c r="B76" s="297">
        <v>7</v>
      </c>
      <c r="C76" s="297">
        <v>6</v>
      </c>
      <c r="D76" s="297">
        <v>1</v>
      </c>
      <c r="E76" s="297">
        <v>0</v>
      </c>
    </row>
    <row r="77" spans="1:5">
      <c r="A77" s="304" t="s">
        <v>255</v>
      </c>
      <c r="B77" s="297">
        <v>1</v>
      </c>
      <c r="C77" s="297">
        <v>0</v>
      </c>
      <c r="D77" s="297">
        <v>1</v>
      </c>
      <c r="E77" s="297">
        <v>0</v>
      </c>
    </row>
    <row r="78" spans="1:5">
      <c r="A78" s="304" t="s">
        <v>256</v>
      </c>
      <c r="B78" s="297">
        <v>310</v>
      </c>
      <c r="C78" s="297">
        <v>182</v>
      </c>
      <c r="D78" s="297">
        <v>128</v>
      </c>
      <c r="E78" s="297">
        <v>0</v>
      </c>
    </row>
    <row r="79" spans="1:5">
      <c r="A79" s="304" t="s">
        <v>51</v>
      </c>
      <c r="B79" s="297">
        <v>387</v>
      </c>
      <c r="C79" s="297">
        <v>244</v>
      </c>
      <c r="D79" s="297">
        <v>143</v>
      </c>
      <c r="E79" s="297">
        <v>0</v>
      </c>
    </row>
    <row r="80" spans="1:5">
      <c r="A80" s="304" t="s">
        <v>493</v>
      </c>
      <c r="B80" s="297">
        <v>206</v>
      </c>
      <c r="C80" s="297">
        <v>135</v>
      </c>
      <c r="D80" s="297">
        <v>71</v>
      </c>
      <c r="E80" s="297">
        <v>0</v>
      </c>
    </row>
    <row r="81" spans="1:5" ht="5.0999999999999996" customHeight="1">
      <c r="A81" s="304"/>
      <c r="B81" s="297"/>
      <c r="C81" s="297"/>
      <c r="D81" s="297"/>
      <c r="E81" s="297"/>
    </row>
    <row r="82" spans="1:5">
      <c r="A82" s="303" t="s">
        <v>85</v>
      </c>
      <c r="B82" s="295">
        <v>195</v>
      </c>
      <c r="C82" s="295">
        <v>138</v>
      </c>
      <c r="D82" s="295">
        <v>57</v>
      </c>
      <c r="E82" s="295">
        <v>0</v>
      </c>
    </row>
    <row r="83" spans="1:5" ht="5.0999999999999996" customHeight="1">
      <c r="A83" s="303"/>
      <c r="B83" s="297"/>
      <c r="C83" s="297"/>
      <c r="D83" s="297"/>
      <c r="E83" s="297"/>
    </row>
    <row r="84" spans="1:5">
      <c r="A84" s="304" t="s">
        <v>254</v>
      </c>
      <c r="B84" s="297">
        <v>3</v>
      </c>
      <c r="C84" s="297">
        <v>1</v>
      </c>
      <c r="D84" s="297">
        <v>2</v>
      </c>
      <c r="E84" s="297">
        <v>0</v>
      </c>
    </row>
    <row r="85" spans="1:5">
      <c r="A85" s="304" t="s">
        <v>255</v>
      </c>
      <c r="B85" s="297">
        <v>3</v>
      </c>
      <c r="C85" s="297">
        <v>3</v>
      </c>
      <c r="D85" s="297">
        <v>0</v>
      </c>
      <c r="E85" s="297">
        <v>0</v>
      </c>
    </row>
    <row r="86" spans="1:5">
      <c r="A86" s="304" t="s">
        <v>256</v>
      </c>
      <c r="B86" s="297">
        <v>182</v>
      </c>
      <c r="C86" s="297">
        <v>129</v>
      </c>
      <c r="D86" s="297">
        <v>53</v>
      </c>
      <c r="E86" s="297">
        <v>0</v>
      </c>
    </row>
    <row r="87" spans="1:5">
      <c r="A87" s="304" t="s">
        <v>51</v>
      </c>
      <c r="B87" s="297">
        <v>7</v>
      </c>
      <c r="C87" s="297">
        <v>5</v>
      </c>
      <c r="D87" s="297">
        <v>2</v>
      </c>
      <c r="E87" s="297">
        <v>0</v>
      </c>
    </row>
    <row r="88" spans="1:5" ht="5.0999999999999996" customHeight="1">
      <c r="A88" s="304"/>
      <c r="B88" s="297"/>
      <c r="C88" s="297"/>
      <c r="D88" s="297"/>
      <c r="E88" s="297"/>
    </row>
    <row r="89" spans="1:5">
      <c r="A89" s="303" t="s">
        <v>86</v>
      </c>
      <c r="B89" s="295">
        <v>573</v>
      </c>
      <c r="C89" s="295">
        <v>365</v>
      </c>
      <c r="D89" s="295">
        <v>208</v>
      </c>
      <c r="E89" s="295">
        <v>0</v>
      </c>
    </row>
    <row r="90" spans="1:5" ht="5.0999999999999996" customHeight="1">
      <c r="A90" s="303"/>
      <c r="B90" s="297"/>
      <c r="C90" s="297"/>
      <c r="D90" s="297"/>
      <c r="E90" s="297"/>
    </row>
    <row r="91" spans="1:5">
      <c r="A91" s="304" t="s">
        <v>254</v>
      </c>
      <c r="B91" s="297">
        <v>14</v>
      </c>
      <c r="C91" s="297">
        <v>10</v>
      </c>
      <c r="D91" s="297">
        <v>4</v>
      </c>
      <c r="E91" s="297">
        <v>0</v>
      </c>
    </row>
    <row r="92" spans="1:5">
      <c r="A92" s="304" t="s">
        <v>256</v>
      </c>
      <c r="B92" s="297">
        <v>73</v>
      </c>
      <c r="C92" s="297">
        <v>42</v>
      </c>
      <c r="D92" s="297">
        <v>31</v>
      </c>
      <c r="E92" s="297">
        <v>0</v>
      </c>
    </row>
    <row r="93" spans="1:5">
      <c r="A93" s="304" t="s">
        <v>51</v>
      </c>
      <c r="B93" s="297">
        <v>482</v>
      </c>
      <c r="C93" s="297">
        <v>310</v>
      </c>
      <c r="D93" s="297">
        <v>172</v>
      </c>
      <c r="E93" s="297">
        <v>0</v>
      </c>
    </row>
    <row r="94" spans="1:5">
      <c r="A94" s="304" t="s">
        <v>493</v>
      </c>
      <c r="B94" s="297">
        <v>4</v>
      </c>
      <c r="C94" s="297">
        <v>3</v>
      </c>
      <c r="D94" s="297">
        <v>1</v>
      </c>
      <c r="E94" s="297">
        <v>0</v>
      </c>
    </row>
    <row r="95" spans="1:5" ht="5.0999999999999996" customHeight="1">
      <c r="A95" s="304"/>
      <c r="B95" s="297"/>
      <c r="C95" s="297"/>
      <c r="D95" s="297"/>
      <c r="E95" s="297"/>
    </row>
    <row r="96" spans="1:5">
      <c r="A96" s="303" t="s">
        <v>87</v>
      </c>
      <c r="B96" s="295">
        <v>623</v>
      </c>
      <c r="C96" s="295">
        <v>349</v>
      </c>
      <c r="D96" s="295">
        <v>274</v>
      </c>
      <c r="E96" s="295">
        <v>0</v>
      </c>
    </row>
    <row r="97" spans="1:5" ht="5.0999999999999996" customHeight="1">
      <c r="A97" s="303"/>
      <c r="B97" s="297"/>
      <c r="C97" s="297"/>
      <c r="D97" s="297"/>
      <c r="E97" s="297"/>
    </row>
    <row r="98" spans="1:5">
      <c r="A98" s="304" t="s">
        <v>254</v>
      </c>
      <c r="B98" s="297">
        <v>19</v>
      </c>
      <c r="C98" s="297">
        <v>10</v>
      </c>
      <c r="D98" s="297">
        <v>9</v>
      </c>
      <c r="E98" s="297">
        <v>0</v>
      </c>
    </row>
    <row r="99" spans="1:5">
      <c r="A99" s="304" t="s">
        <v>255</v>
      </c>
      <c r="B99" s="297">
        <v>1</v>
      </c>
      <c r="C99" s="297">
        <v>1</v>
      </c>
      <c r="D99" s="297">
        <v>0</v>
      </c>
      <c r="E99" s="297">
        <v>0</v>
      </c>
    </row>
    <row r="100" spans="1:5">
      <c r="A100" s="304" t="s">
        <v>256</v>
      </c>
      <c r="B100" s="297">
        <v>265</v>
      </c>
      <c r="C100" s="297">
        <v>149</v>
      </c>
      <c r="D100" s="297">
        <v>116</v>
      </c>
      <c r="E100" s="297">
        <v>0</v>
      </c>
    </row>
    <row r="101" spans="1:5">
      <c r="A101" s="304" t="s">
        <v>51</v>
      </c>
      <c r="B101" s="297">
        <v>338</v>
      </c>
      <c r="C101" s="297">
        <v>189</v>
      </c>
      <c r="D101" s="297">
        <v>149</v>
      </c>
      <c r="E101" s="297">
        <v>0</v>
      </c>
    </row>
    <row r="102" spans="1:5" ht="5.0999999999999996" customHeight="1">
      <c r="A102" s="304"/>
      <c r="B102" s="297"/>
      <c r="C102" s="297"/>
      <c r="D102" s="297"/>
      <c r="E102" s="297"/>
    </row>
    <row r="103" spans="1:5">
      <c r="A103" s="303" t="s">
        <v>88</v>
      </c>
      <c r="B103" s="295">
        <v>1682</v>
      </c>
      <c r="C103" s="295">
        <v>1001</v>
      </c>
      <c r="D103" s="295">
        <v>681</v>
      </c>
      <c r="E103" s="295">
        <v>0</v>
      </c>
    </row>
    <row r="104" spans="1:5" ht="5.0999999999999996" customHeight="1">
      <c r="A104" s="303"/>
      <c r="B104" s="297"/>
      <c r="C104" s="297"/>
      <c r="D104" s="297"/>
      <c r="E104" s="297"/>
    </row>
    <row r="105" spans="1:5">
      <c r="A105" s="304" t="s">
        <v>254</v>
      </c>
      <c r="B105" s="297">
        <v>11</v>
      </c>
      <c r="C105" s="297">
        <v>11</v>
      </c>
      <c r="D105" s="297">
        <v>0</v>
      </c>
      <c r="E105" s="297">
        <v>0</v>
      </c>
    </row>
    <row r="106" spans="1:5">
      <c r="A106" s="304" t="s">
        <v>255</v>
      </c>
      <c r="B106" s="297">
        <v>3</v>
      </c>
      <c r="C106" s="297">
        <v>2</v>
      </c>
      <c r="D106" s="297">
        <v>1</v>
      </c>
      <c r="E106" s="297">
        <v>0</v>
      </c>
    </row>
    <row r="107" spans="1:5">
      <c r="A107" s="304" t="s">
        <v>256</v>
      </c>
      <c r="B107" s="297">
        <v>388</v>
      </c>
      <c r="C107" s="297">
        <v>237</v>
      </c>
      <c r="D107" s="297">
        <v>151</v>
      </c>
      <c r="E107" s="297">
        <v>0</v>
      </c>
    </row>
    <row r="108" spans="1:5">
      <c r="A108" s="304" t="s">
        <v>51</v>
      </c>
      <c r="B108" s="297">
        <v>1279</v>
      </c>
      <c r="C108" s="297">
        <v>750</v>
      </c>
      <c r="D108" s="297">
        <v>529</v>
      </c>
      <c r="E108" s="297">
        <v>0</v>
      </c>
    </row>
    <row r="109" spans="1:5">
      <c r="A109" s="304" t="s">
        <v>493</v>
      </c>
      <c r="B109" s="297">
        <v>1</v>
      </c>
      <c r="C109" s="297">
        <v>1</v>
      </c>
      <c r="D109" s="297">
        <v>0</v>
      </c>
      <c r="E109" s="297">
        <v>0</v>
      </c>
    </row>
    <row r="110" spans="1:5" ht="5.0999999999999996" customHeight="1">
      <c r="A110" s="304"/>
      <c r="B110" s="297"/>
      <c r="C110" s="297"/>
      <c r="D110" s="297"/>
      <c r="E110" s="297"/>
    </row>
    <row r="111" spans="1:5">
      <c r="A111" s="303" t="s">
        <v>89</v>
      </c>
      <c r="B111" s="295">
        <v>557</v>
      </c>
      <c r="C111" s="295">
        <v>339</v>
      </c>
      <c r="D111" s="295">
        <v>218</v>
      </c>
      <c r="E111" s="295">
        <v>0</v>
      </c>
    </row>
    <row r="112" spans="1:5" ht="5.0999999999999996" customHeight="1">
      <c r="A112" s="303"/>
      <c r="B112" s="297"/>
      <c r="C112" s="297"/>
      <c r="D112" s="297"/>
      <c r="E112" s="297"/>
    </row>
    <row r="113" spans="1:5">
      <c r="A113" s="304" t="s">
        <v>254</v>
      </c>
      <c r="B113" s="297">
        <v>9</v>
      </c>
      <c r="C113" s="297">
        <v>5</v>
      </c>
      <c r="D113" s="297">
        <v>4</v>
      </c>
      <c r="E113" s="297">
        <v>0</v>
      </c>
    </row>
    <row r="114" spans="1:5">
      <c r="A114" s="304" t="s">
        <v>255</v>
      </c>
      <c r="B114" s="297">
        <v>1</v>
      </c>
      <c r="C114" s="297">
        <v>1</v>
      </c>
      <c r="D114" s="297">
        <v>0</v>
      </c>
      <c r="E114" s="297">
        <v>0</v>
      </c>
    </row>
    <row r="115" spans="1:5">
      <c r="A115" s="304" t="s">
        <v>256</v>
      </c>
      <c r="B115" s="297">
        <v>269</v>
      </c>
      <c r="C115" s="297">
        <v>154</v>
      </c>
      <c r="D115" s="297">
        <v>115</v>
      </c>
      <c r="E115" s="297">
        <v>0</v>
      </c>
    </row>
    <row r="116" spans="1:5">
      <c r="A116" s="304" t="s">
        <v>51</v>
      </c>
      <c r="B116" s="297">
        <v>277</v>
      </c>
      <c r="C116" s="297">
        <v>178</v>
      </c>
      <c r="D116" s="297">
        <v>99</v>
      </c>
      <c r="E116" s="297">
        <v>0</v>
      </c>
    </row>
    <row r="117" spans="1:5">
      <c r="A117" s="304" t="s">
        <v>493</v>
      </c>
      <c r="B117" s="297">
        <v>1</v>
      </c>
      <c r="C117" s="297">
        <v>1</v>
      </c>
      <c r="D117" s="297">
        <v>0</v>
      </c>
      <c r="E117" s="297">
        <v>0</v>
      </c>
    </row>
    <row r="118" spans="1:5" ht="5.0999999999999996" customHeight="1">
      <c r="A118" s="304"/>
      <c r="B118" s="297"/>
      <c r="C118" s="297"/>
      <c r="D118" s="297"/>
      <c r="E118" s="297"/>
    </row>
    <row r="119" spans="1:5">
      <c r="A119" s="303" t="s">
        <v>90</v>
      </c>
      <c r="B119" s="295">
        <v>411</v>
      </c>
      <c r="C119" s="295">
        <v>236</v>
      </c>
      <c r="D119" s="295">
        <v>175</v>
      </c>
      <c r="E119" s="295">
        <v>0</v>
      </c>
    </row>
    <row r="120" spans="1:5" ht="5.0999999999999996" customHeight="1">
      <c r="A120" s="303"/>
      <c r="B120" s="297"/>
      <c r="C120" s="297"/>
      <c r="D120" s="297"/>
      <c r="E120" s="297"/>
    </row>
    <row r="121" spans="1:5">
      <c r="A121" s="304" t="s">
        <v>254</v>
      </c>
      <c r="B121" s="297">
        <v>1</v>
      </c>
      <c r="C121" s="297">
        <v>1</v>
      </c>
      <c r="D121" s="297">
        <v>0</v>
      </c>
      <c r="E121" s="297">
        <v>0</v>
      </c>
    </row>
    <row r="122" spans="1:5">
      <c r="A122" s="304" t="s">
        <v>255</v>
      </c>
      <c r="B122" s="297">
        <v>4</v>
      </c>
      <c r="C122" s="297">
        <v>2</v>
      </c>
      <c r="D122" s="297">
        <v>2</v>
      </c>
      <c r="E122" s="297">
        <v>0</v>
      </c>
    </row>
    <row r="123" spans="1:5">
      <c r="A123" s="304" t="s">
        <v>256</v>
      </c>
      <c r="B123" s="297">
        <v>261</v>
      </c>
      <c r="C123" s="297">
        <v>155</v>
      </c>
      <c r="D123" s="297">
        <v>106</v>
      </c>
      <c r="E123" s="297">
        <v>0</v>
      </c>
    </row>
    <row r="124" spans="1:5">
      <c r="A124" s="304" t="s">
        <v>51</v>
      </c>
      <c r="B124" s="297">
        <v>141</v>
      </c>
      <c r="C124" s="297">
        <v>75</v>
      </c>
      <c r="D124" s="297">
        <v>66</v>
      </c>
      <c r="E124" s="297">
        <v>0</v>
      </c>
    </row>
    <row r="125" spans="1:5">
      <c r="A125" s="304" t="s">
        <v>493</v>
      </c>
      <c r="B125" s="297">
        <v>4</v>
      </c>
      <c r="C125" s="297">
        <v>3</v>
      </c>
      <c r="D125" s="297">
        <v>1</v>
      </c>
      <c r="E125" s="297">
        <v>0</v>
      </c>
    </row>
    <row r="126" spans="1:5" ht="5.0999999999999996" customHeight="1">
      <c r="A126" s="304"/>
      <c r="B126" s="297"/>
      <c r="C126" s="297"/>
      <c r="D126" s="297"/>
      <c r="E126" s="297"/>
    </row>
    <row r="127" spans="1:5">
      <c r="A127" s="303" t="s">
        <v>91</v>
      </c>
      <c r="B127" s="295">
        <v>55</v>
      </c>
      <c r="C127" s="295">
        <v>29</v>
      </c>
      <c r="D127" s="295">
        <v>26</v>
      </c>
      <c r="E127" s="295">
        <v>0</v>
      </c>
    </row>
    <row r="128" spans="1:5" ht="5.0999999999999996" customHeight="1">
      <c r="A128" s="303"/>
      <c r="B128" s="297"/>
      <c r="C128" s="297"/>
      <c r="D128" s="297"/>
      <c r="E128" s="297"/>
    </row>
    <row r="129" spans="1:5">
      <c r="A129" s="304" t="s">
        <v>254</v>
      </c>
      <c r="B129" s="297">
        <v>2</v>
      </c>
      <c r="C129" s="297">
        <v>0</v>
      </c>
      <c r="D129" s="297">
        <v>2</v>
      </c>
      <c r="E129" s="297">
        <v>0</v>
      </c>
    </row>
    <row r="130" spans="1:5">
      <c r="A130" s="304" t="s">
        <v>256</v>
      </c>
      <c r="B130" s="297">
        <v>37</v>
      </c>
      <c r="C130" s="297">
        <v>18</v>
      </c>
      <c r="D130" s="297">
        <v>19</v>
      </c>
      <c r="E130" s="297">
        <v>0</v>
      </c>
    </row>
    <row r="131" spans="1:5">
      <c r="A131" s="304" t="s">
        <v>51</v>
      </c>
      <c r="B131" s="297">
        <v>15</v>
      </c>
      <c r="C131" s="297">
        <v>10</v>
      </c>
      <c r="D131" s="297">
        <v>5</v>
      </c>
      <c r="E131" s="297">
        <v>0</v>
      </c>
    </row>
    <row r="132" spans="1:5">
      <c r="A132" s="304" t="s">
        <v>493</v>
      </c>
      <c r="B132" s="297">
        <v>1</v>
      </c>
      <c r="C132" s="297">
        <v>1</v>
      </c>
      <c r="D132" s="297">
        <v>0</v>
      </c>
      <c r="E132" s="297">
        <v>0</v>
      </c>
    </row>
    <row r="133" spans="1:5" ht="5.0999999999999996" customHeight="1">
      <c r="A133" s="304"/>
      <c r="B133" s="297"/>
      <c r="C133" s="297"/>
      <c r="D133" s="297"/>
      <c r="E133" s="297"/>
    </row>
    <row r="134" spans="1:5">
      <c r="A134" s="303" t="s">
        <v>92</v>
      </c>
      <c r="B134" s="295">
        <v>453</v>
      </c>
      <c r="C134" s="295">
        <v>283</v>
      </c>
      <c r="D134" s="295">
        <v>170</v>
      </c>
      <c r="E134" s="295">
        <v>0</v>
      </c>
    </row>
    <row r="135" spans="1:5" ht="5.0999999999999996" customHeight="1">
      <c r="A135" s="303"/>
      <c r="B135" s="297"/>
      <c r="C135" s="297"/>
      <c r="D135" s="297"/>
      <c r="E135" s="297"/>
    </row>
    <row r="136" spans="1:5">
      <c r="A136" s="304" t="s">
        <v>254</v>
      </c>
      <c r="B136" s="297">
        <v>37</v>
      </c>
      <c r="C136" s="297">
        <v>26</v>
      </c>
      <c r="D136" s="297">
        <v>11</v>
      </c>
      <c r="E136" s="297">
        <v>0</v>
      </c>
    </row>
    <row r="137" spans="1:5">
      <c r="A137" s="304" t="s">
        <v>255</v>
      </c>
      <c r="B137" s="297">
        <v>3</v>
      </c>
      <c r="C137" s="297">
        <v>2</v>
      </c>
      <c r="D137" s="297">
        <v>1</v>
      </c>
      <c r="E137" s="297">
        <v>0</v>
      </c>
    </row>
    <row r="138" spans="1:5">
      <c r="A138" s="304" t="s">
        <v>256</v>
      </c>
      <c r="B138" s="297">
        <v>228</v>
      </c>
      <c r="C138" s="297">
        <v>129</v>
      </c>
      <c r="D138" s="297">
        <v>99</v>
      </c>
      <c r="E138" s="297">
        <v>0</v>
      </c>
    </row>
    <row r="139" spans="1:5">
      <c r="A139" s="304" t="s">
        <v>51</v>
      </c>
      <c r="B139" s="297">
        <v>184</v>
      </c>
      <c r="C139" s="297">
        <v>125</v>
      </c>
      <c r="D139" s="297">
        <v>59</v>
      </c>
      <c r="E139" s="297">
        <v>0</v>
      </c>
    </row>
    <row r="140" spans="1:5">
      <c r="A140" s="304" t="s">
        <v>493</v>
      </c>
      <c r="B140" s="297">
        <v>1</v>
      </c>
      <c r="C140" s="297">
        <v>1</v>
      </c>
      <c r="D140" s="297">
        <v>0</v>
      </c>
      <c r="E140" s="297">
        <v>0</v>
      </c>
    </row>
    <row r="141" spans="1:5" ht="5.0999999999999996" customHeight="1">
      <c r="A141" s="304"/>
      <c r="B141" s="297"/>
      <c r="C141" s="297"/>
      <c r="D141" s="297"/>
      <c r="E141" s="297"/>
    </row>
    <row r="142" spans="1:5">
      <c r="A142" s="303" t="s">
        <v>93</v>
      </c>
      <c r="B142" s="295">
        <v>1039</v>
      </c>
      <c r="C142" s="295">
        <v>667</v>
      </c>
      <c r="D142" s="295">
        <v>372</v>
      </c>
      <c r="E142" s="295">
        <v>0</v>
      </c>
    </row>
    <row r="143" spans="1:5" ht="5.0999999999999996" customHeight="1">
      <c r="A143" s="303"/>
      <c r="B143" s="297"/>
      <c r="C143" s="297"/>
      <c r="D143" s="297"/>
      <c r="E143" s="297"/>
    </row>
    <row r="144" spans="1:5">
      <c r="A144" s="304" t="s">
        <v>254</v>
      </c>
      <c r="B144" s="297">
        <v>68</v>
      </c>
      <c r="C144" s="297">
        <v>56</v>
      </c>
      <c r="D144" s="297">
        <v>12</v>
      </c>
      <c r="E144" s="297">
        <v>0</v>
      </c>
    </row>
    <row r="145" spans="1:5">
      <c r="A145" s="304" t="s">
        <v>255</v>
      </c>
      <c r="B145" s="297">
        <v>41</v>
      </c>
      <c r="C145" s="297">
        <v>31</v>
      </c>
      <c r="D145" s="297">
        <v>10</v>
      </c>
      <c r="E145" s="297">
        <v>0</v>
      </c>
    </row>
    <row r="146" spans="1:5">
      <c r="A146" s="304" t="s">
        <v>256</v>
      </c>
      <c r="B146" s="297">
        <v>801</v>
      </c>
      <c r="C146" s="297">
        <v>503</v>
      </c>
      <c r="D146" s="297">
        <v>298</v>
      </c>
      <c r="E146" s="297">
        <v>0</v>
      </c>
    </row>
    <row r="147" spans="1:5">
      <c r="A147" s="304" t="s">
        <v>51</v>
      </c>
      <c r="B147" s="297">
        <v>127</v>
      </c>
      <c r="C147" s="297">
        <v>75</v>
      </c>
      <c r="D147" s="297">
        <v>52</v>
      </c>
      <c r="E147" s="297">
        <v>0</v>
      </c>
    </row>
    <row r="148" spans="1:5">
      <c r="A148" s="304" t="s">
        <v>493</v>
      </c>
      <c r="B148" s="297">
        <v>2</v>
      </c>
      <c r="C148" s="297">
        <v>2</v>
      </c>
      <c r="D148" s="297">
        <v>0</v>
      </c>
      <c r="E148" s="297">
        <v>0</v>
      </c>
    </row>
    <row r="149" spans="1:5" ht="5.0999999999999996" customHeight="1">
      <c r="A149" s="304"/>
      <c r="B149" s="297"/>
      <c r="C149" s="297"/>
      <c r="D149" s="297"/>
      <c r="E149" s="297"/>
    </row>
    <row r="150" spans="1:5">
      <c r="A150" s="303" t="s">
        <v>175</v>
      </c>
      <c r="B150" s="295">
        <v>546</v>
      </c>
      <c r="C150" s="295">
        <v>297</v>
      </c>
      <c r="D150" s="295">
        <v>249</v>
      </c>
      <c r="E150" s="295">
        <v>0</v>
      </c>
    </row>
    <row r="151" spans="1:5" ht="5.0999999999999996" customHeight="1">
      <c r="A151" s="303"/>
      <c r="B151" s="297"/>
      <c r="C151" s="297"/>
      <c r="D151" s="297"/>
      <c r="E151" s="297"/>
    </row>
    <row r="152" spans="1:5">
      <c r="A152" s="304" t="s">
        <v>254</v>
      </c>
      <c r="B152" s="297">
        <v>94</v>
      </c>
      <c r="C152" s="297">
        <v>53</v>
      </c>
      <c r="D152" s="297">
        <v>41</v>
      </c>
      <c r="E152" s="297">
        <v>0</v>
      </c>
    </row>
    <row r="153" spans="1:5">
      <c r="A153" s="304" t="s">
        <v>255</v>
      </c>
      <c r="B153" s="297">
        <v>18</v>
      </c>
      <c r="C153" s="297">
        <v>8</v>
      </c>
      <c r="D153" s="297">
        <v>10</v>
      </c>
      <c r="E153" s="297">
        <v>0</v>
      </c>
    </row>
    <row r="154" spans="1:5">
      <c r="A154" s="304" t="s">
        <v>256</v>
      </c>
      <c r="B154" s="297">
        <v>327</v>
      </c>
      <c r="C154" s="297">
        <v>174</v>
      </c>
      <c r="D154" s="297">
        <v>153</v>
      </c>
      <c r="E154" s="297">
        <v>0</v>
      </c>
    </row>
    <row r="155" spans="1:5">
      <c r="A155" s="304" t="s">
        <v>51</v>
      </c>
      <c r="B155" s="297">
        <v>107</v>
      </c>
      <c r="C155" s="297">
        <v>62</v>
      </c>
      <c r="D155" s="297">
        <v>45</v>
      </c>
      <c r="E155" s="297">
        <v>0</v>
      </c>
    </row>
    <row r="156" spans="1:5" ht="5.0999999999999996" customHeight="1">
      <c r="A156" s="304"/>
      <c r="B156" s="297"/>
      <c r="C156" s="297"/>
      <c r="D156" s="297"/>
      <c r="E156" s="297"/>
    </row>
    <row r="157" spans="1:5">
      <c r="A157" s="303" t="s">
        <v>95</v>
      </c>
      <c r="B157" s="295">
        <v>378</v>
      </c>
      <c r="C157" s="295">
        <v>229</v>
      </c>
      <c r="D157" s="295">
        <v>149</v>
      </c>
      <c r="E157" s="295">
        <v>0</v>
      </c>
    </row>
    <row r="158" spans="1:5" ht="5.0999999999999996" customHeight="1">
      <c r="A158" s="303"/>
      <c r="B158" s="297"/>
      <c r="C158" s="297"/>
      <c r="D158" s="297"/>
      <c r="E158" s="297"/>
    </row>
    <row r="159" spans="1:5">
      <c r="A159" s="304" t="s">
        <v>254</v>
      </c>
      <c r="B159" s="297">
        <v>11</v>
      </c>
      <c r="C159" s="297">
        <v>7</v>
      </c>
      <c r="D159" s="297">
        <v>4</v>
      </c>
      <c r="E159" s="297">
        <v>0</v>
      </c>
    </row>
    <row r="160" spans="1:5">
      <c r="A160" s="304" t="s">
        <v>255</v>
      </c>
      <c r="B160" s="297">
        <v>5</v>
      </c>
      <c r="C160" s="297">
        <v>5</v>
      </c>
      <c r="D160" s="297">
        <v>0</v>
      </c>
      <c r="E160" s="297">
        <v>0</v>
      </c>
    </row>
    <row r="161" spans="1:5">
      <c r="A161" s="304" t="s">
        <v>256</v>
      </c>
      <c r="B161" s="297">
        <v>255</v>
      </c>
      <c r="C161" s="297">
        <v>154</v>
      </c>
      <c r="D161" s="297">
        <v>101</v>
      </c>
      <c r="E161" s="297">
        <v>0</v>
      </c>
    </row>
    <row r="162" spans="1:5">
      <c r="A162" s="304" t="s">
        <v>51</v>
      </c>
      <c r="B162" s="297">
        <v>104</v>
      </c>
      <c r="C162" s="297">
        <v>61</v>
      </c>
      <c r="D162" s="297">
        <v>43</v>
      </c>
      <c r="E162" s="297">
        <v>0</v>
      </c>
    </row>
    <row r="163" spans="1:5">
      <c r="A163" s="304" t="s">
        <v>493</v>
      </c>
      <c r="B163" s="297">
        <v>3</v>
      </c>
      <c r="C163" s="297">
        <v>2</v>
      </c>
      <c r="D163" s="297">
        <v>1</v>
      </c>
      <c r="E163" s="297">
        <v>0</v>
      </c>
    </row>
    <row r="164" spans="1:5" ht="5.0999999999999996" customHeight="1">
      <c r="A164" s="304"/>
      <c r="B164" s="297"/>
      <c r="C164" s="297"/>
      <c r="D164" s="297"/>
      <c r="E164" s="297"/>
    </row>
    <row r="165" spans="1:5">
      <c r="A165" s="303" t="s">
        <v>96</v>
      </c>
      <c r="B165" s="295">
        <v>1490</v>
      </c>
      <c r="C165" s="295">
        <v>893</v>
      </c>
      <c r="D165" s="295">
        <v>597</v>
      </c>
      <c r="E165" s="295">
        <v>0</v>
      </c>
    </row>
    <row r="166" spans="1:5" ht="5.0999999999999996" customHeight="1">
      <c r="A166" s="303"/>
      <c r="B166" s="297"/>
      <c r="C166" s="297"/>
      <c r="D166" s="297"/>
      <c r="E166" s="297"/>
    </row>
    <row r="167" spans="1:5">
      <c r="A167" s="304" t="s">
        <v>254</v>
      </c>
      <c r="B167" s="297">
        <v>98</v>
      </c>
      <c r="C167" s="297">
        <v>66</v>
      </c>
      <c r="D167" s="297">
        <v>32</v>
      </c>
      <c r="E167" s="297">
        <v>0</v>
      </c>
    </row>
    <row r="168" spans="1:5">
      <c r="A168" s="304" t="s">
        <v>255</v>
      </c>
      <c r="B168" s="297">
        <v>4</v>
      </c>
      <c r="C168" s="297">
        <v>4</v>
      </c>
      <c r="D168" s="297">
        <v>0</v>
      </c>
      <c r="E168" s="297">
        <v>0</v>
      </c>
    </row>
    <row r="169" spans="1:5">
      <c r="A169" s="304" t="s">
        <v>256</v>
      </c>
      <c r="B169" s="297">
        <v>862</v>
      </c>
      <c r="C169" s="297">
        <v>502</v>
      </c>
      <c r="D169" s="297">
        <v>360</v>
      </c>
      <c r="E169" s="297">
        <v>0</v>
      </c>
    </row>
    <row r="170" spans="1:5">
      <c r="A170" s="304" t="s">
        <v>51</v>
      </c>
      <c r="B170" s="297">
        <v>522</v>
      </c>
      <c r="C170" s="297">
        <v>319</v>
      </c>
      <c r="D170" s="297">
        <v>203</v>
      </c>
      <c r="E170" s="297">
        <v>0</v>
      </c>
    </row>
    <row r="171" spans="1:5">
      <c r="A171" s="304" t="s">
        <v>493</v>
      </c>
      <c r="B171" s="297">
        <v>4</v>
      </c>
      <c r="C171" s="297">
        <v>2</v>
      </c>
      <c r="D171" s="297">
        <v>2</v>
      </c>
      <c r="E171" s="297">
        <v>0</v>
      </c>
    </row>
    <row r="172" spans="1:5" ht="5.0999999999999996" customHeight="1">
      <c r="A172" s="304"/>
      <c r="B172" s="297"/>
      <c r="C172" s="297"/>
      <c r="D172" s="297"/>
      <c r="E172" s="297"/>
    </row>
    <row r="173" spans="1:5">
      <c r="A173" s="303" t="s">
        <v>97</v>
      </c>
      <c r="B173" s="295">
        <v>700</v>
      </c>
      <c r="C173" s="295">
        <v>430</v>
      </c>
      <c r="D173" s="295">
        <v>270</v>
      </c>
      <c r="E173" s="295">
        <v>0</v>
      </c>
    </row>
    <row r="174" spans="1:5" ht="5.0999999999999996" customHeight="1">
      <c r="A174" s="303"/>
      <c r="B174" s="297"/>
      <c r="C174" s="297"/>
      <c r="D174" s="297"/>
      <c r="E174" s="297"/>
    </row>
    <row r="175" spans="1:5">
      <c r="A175" s="304" t="s">
        <v>254</v>
      </c>
      <c r="B175" s="297">
        <v>28</v>
      </c>
      <c r="C175" s="297">
        <v>22</v>
      </c>
      <c r="D175" s="297">
        <v>6</v>
      </c>
      <c r="E175" s="297">
        <v>0</v>
      </c>
    </row>
    <row r="176" spans="1:5">
      <c r="A176" s="304" t="s">
        <v>255</v>
      </c>
      <c r="B176" s="297">
        <v>3</v>
      </c>
      <c r="C176" s="297">
        <v>2</v>
      </c>
      <c r="D176" s="297">
        <v>1</v>
      </c>
      <c r="E176" s="297">
        <v>0</v>
      </c>
    </row>
    <row r="177" spans="1:5">
      <c r="A177" s="304" t="s">
        <v>256</v>
      </c>
      <c r="B177" s="297">
        <v>470</v>
      </c>
      <c r="C177" s="297">
        <v>288</v>
      </c>
      <c r="D177" s="297">
        <v>182</v>
      </c>
      <c r="E177" s="297">
        <v>0</v>
      </c>
    </row>
    <row r="178" spans="1:5">
      <c r="A178" s="304" t="s">
        <v>51</v>
      </c>
      <c r="B178" s="297">
        <v>196</v>
      </c>
      <c r="C178" s="297">
        <v>118</v>
      </c>
      <c r="D178" s="297">
        <v>78</v>
      </c>
      <c r="E178" s="297">
        <v>0</v>
      </c>
    </row>
    <row r="179" spans="1:5">
      <c r="A179" s="304" t="s">
        <v>493</v>
      </c>
      <c r="B179" s="297">
        <v>3</v>
      </c>
      <c r="C179" s="297">
        <v>0</v>
      </c>
      <c r="D179" s="297">
        <v>3</v>
      </c>
      <c r="E179" s="297">
        <v>0</v>
      </c>
    </row>
    <row r="180" spans="1:5" ht="5.0999999999999996" customHeight="1">
      <c r="A180" s="304"/>
      <c r="B180" s="297"/>
      <c r="C180" s="297"/>
      <c r="D180" s="297"/>
      <c r="E180" s="297"/>
    </row>
    <row r="181" spans="1:5">
      <c r="A181" s="303" t="s">
        <v>98</v>
      </c>
      <c r="B181" s="295">
        <v>1078</v>
      </c>
      <c r="C181" s="295">
        <v>610</v>
      </c>
      <c r="D181" s="295">
        <v>468</v>
      </c>
      <c r="E181" s="295">
        <v>0</v>
      </c>
    </row>
    <row r="182" spans="1:5" ht="5.0999999999999996" customHeight="1">
      <c r="A182" s="303"/>
      <c r="B182" s="297"/>
      <c r="C182" s="297"/>
      <c r="D182" s="297"/>
      <c r="E182" s="297"/>
    </row>
    <row r="183" spans="1:5">
      <c r="A183" s="304" t="s">
        <v>254</v>
      </c>
      <c r="B183" s="297">
        <v>75</v>
      </c>
      <c r="C183" s="297">
        <v>52</v>
      </c>
      <c r="D183" s="297">
        <v>23</v>
      </c>
      <c r="E183" s="297">
        <v>0</v>
      </c>
    </row>
    <row r="184" spans="1:5">
      <c r="A184" s="304" t="s">
        <v>255</v>
      </c>
      <c r="B184" s="297">
        <v>7</v>
      </c>
      <c r="C184" s="297">
        <v>4</v>
      </c>
      <c r="D184" s="297">
        <v>3</v>
      </c>
      <c r="E184" s="297">
        <v>0</v>
      </c>
    </row>
    <row r="185" spans="1:5">
      <c r="A185" s="304" t="s">
        <v>256</v>
      </c>
      <c r="B185" s="297">
        <v>585</v>
      </c>
      <c r="C185" s="297">
        <v>309</v>
      </c>
      <c r="D185" s="297">
        <v>276</v>
      </c>
      <c r="E185" s="297">
        <v>0</v>
      </c>
    </row>
    <row r="186" spans="1:5">
      <c r="A186" s="304" t="s">
        <v>51</v>
      </c>
      <c r="B186" s="297">
        <v>400</v>
      </c>
      <c r="C186" s="297">
        <v>240</v>
      </c>
      <c r="D186" s="297">
        <v>160</v>
      </c>
      <c r="E186" s="297">
        <v>0</v>
      </c>
    </row>
    <row r="187" spans="1:5">
      <c r="A187" s="304" t="s">
        <v>493</v>
      </c>
      <c r="B187" s="297">
        <v>11</v>
      </c>
      <c r="C187" s="297">
        <v>5</v>
      </c>
      <c r="D187" s="297">
        <v>6</v>
      </c>
      <c r="E187" s="297">
        <v>0</v>
      </c>
    </row>
    <row r="188" spans="1:5" ht="5.0999999999999996" customHeight="1">
      <c r="A188" s="304"/>
      <c r="B188" s="297"/>
      <c r="C188" s="297"/>
      <c r="D188" s="297"/>
      <c r="E188" s="297"/>
    </row>
    <row r="189" spans="1:5">
      <c r="A189" s="303" t="s">
        <v>99</v>
      </c>
      <c r="B189" s="295">
        <v>765</v>
      </c>
      <c r="C189" s="295">
        <v>464</v>
      </c>
      <c r="D189" s="295">
        <v>301</v>
      </c>
      <c r="E189" s="295">
        <v>0</v>
      </c>
    </row>
    <row r="190" spans="1:5" ht="5.0999999999999996" customHeight="1">
      <c r="A190" s="303"/>
      <c r="B190" s="297"/>
      <c r="C190" s="297"/>
      <c r="D190" s="297"/>
      <c r="E190" s="297"/>
    </row>
    <row r="191" spans="1:5">
      <c r="A191" s="304" t="s">
        <v>254</v>
      </c>
      <c r="B191" s="297">
        <v>5</v>
      </c>
      <c r="C191" s="297">
        <v>4</v>
      </c>
      <c r="D191" s="297">
        <v>1</v>
      </c>
      <c r="E191" s="297">
        <v>0</v>
      </c>
    </row>
    <row r="192" spans="1:5">
      <c r="A192" s="304" t="s">
        <v>255</v>
      </c>
      <c r="B192" s="297">
        <v>2</v>
      </c>
      <c r="C192" s="297">
        <v>2</v>
      </c>
      <c r="D192" s="297">
        <v>0</v>
      </c>
      <c r="E192" s="297">
        <v>0</v>
      </c>
    </row>
    <row r="193" spans="1:5">
      <c r="A193" s="304" t="s">
        <v>256</v>
      </c>
      <c r="B193" s="297">
        <v>487</v>
      </c>
      <c r="C193" s="297">
        <v>296</v>
      </c>
      <c r="D193" s="297">
        <v>191</v>
      </c>
      <c r="E193" s="297">
        <v>0</v>
      </c>
    </row>
    <row r="194" spans="1:5">
      <c r="A194" s="304" t="s">
        <v>51</v>
      </c>
      <c r="B194" s="297">
        <v>271</v>
      </c>
      <c r="C194" s="297">
        <v>162</v>
      </c>
      <c r="D194" s="297">
        <v>109</v>
      </c>
      <c r="E194" s="297">
        <v>0</v>
      </c>
    </row>
    <row r="195" spans="1:5" ht="5.0999999999999996" customHeight="1">
      <c r="A195" s="304"/>
      <c r="B195" s="297"/>
      <c r="C195" s="297"/>
      <c r="D195" s="297"/>
      <c r="E195" s="297"/>
    </row>
    <row r="196" spans="1:5">
      <c r="A196" s="303" t="s">
        <v>100</v>
      </c>
      <c r="B196" s="295">
        <v>3284</v>
      </c>
      <c r="C196" s="295">
        <v>1945</v>
      </c>
      <c r="D196" s="295">
        <v>1337</v>
      </c>
      <c r="E196" s="295">
        <v>2</v>
      </c>
    </row>
    <row r="197" spans="1:5" ht="5.0999999999999996" customHeight="1">
      <c r="A197" s="303"/>
      <c r="B197" s="297"/>
      <c r="C197" s="297"/>
      <c r="D197" s="297"/>
      <c r="E197" s="297"/>
    </row>
    <row r="198" spans="1:5">
      <c r="A198" s="304" t="s">
        <v>254</v>
      </c>
      <c r="B198" s="297">
        <v>15</v>
      </c>
      <c r="C198" s="297">
        <v>9</v>
      </c>
      <c r="D198" s="297">
        <v>6</v>
      </c>
      <c r="E198" s="297">
        <v>0</v>
      </c>
    </row>
    <row r="199" spans="1:5">
      <c r="A199" s="304" t="s">
        <v>255</v>
      </c>
      <c r="B199" s="297">
        <v>13</v>
      </c>
      <c r="C199" s="297">
        <v>6</v>
      </c>
      <c r="D199" s="297">
        <v>7</v>
      </c>
      <c r="E199" s="297">
        <v>0</v>
      </c>
    </row>
    <row r="200" spans="1:5">
      <c r="A200" s="304" t="s">
        <v>256</v>
      </c>
      <c r="B200" s="297">
        <v>1402</v>
      </c>
      <c r="C200" s="297">
        <v>808</v>
      </c>
      <c r="D200" s="297">
        <v>592</v>
      </c>
      <c r="E200" s="297">
        <v>2</v>
      </c>
    </row>
    <row r="201" spans="1:5">
      <c r="A201" s="304" t="s">
        <v>51</v>
      </c>
      <c r="B201" s="297">
        <v>1833</v>
      </c>
      <c r="C201" s="297">
        <v>1111</v>
      </c>
      <c r="D201" s="297">
        <v>722</v>
      </c>
      <c r="E201" s="297">
        <v>0</v>
      </c>
    </row>
    <row r="202" spans="1:5">
      <c r="A202" s="304" t="s">
        <v>493</v>
      </c>
      <c r="B202" s="297">
        <v>21</v>
      </c>
      <c r="C202" s="297">
        <v>11</v>
      </c>
      <c r="D202" s="297">
        <v>10</v>
      </c>
      <c r="E202" s="297">
        <v>0</v>
      </c>
    </row>
    <row r="203" spans="1:5" ht="5.0999999999999996" customHeight="1">
      <c r="A203" s="304"/>
      <c r="B203" s="297"/>
      <c r="C203" s="297"/>
      <c r="D203" s="297"/>
      <c r="E203" s="297"/>
    </row>
    <row r="204" spans="1:5">
      <c r="A204" s="303" t="s">
        <v>101</v>
      </c>
      <c r="B204" s="295">
        <v>259</v>
      </c>
      <c r="C204" s="295">
        <v>159</v>
      </c>
      <c r="D204" s="295">
        <v>100</v>
      </c>
      <c r="E204" s="295">
        <v>0</v>
      </c>
    </row>
    <row r="205" spans="1:5" ht="5.0999999999999996" customHeight="1">
      <c r="A205" s="303"/>
      <c r="B205" s="297"/>
      <c r="C205" s="297"/>
      <c r="D205" s="297"/>
      <c r="E205" s="297"/>
    </row>
    <row r="206" spans="1:5">
      <c r="A206" s="304" t="s">
        <v>254</v>
      </c>
      <c r="B206" s="297">
        <v>5</v>
      </c>
      <c r="C206" s="297">
        <v>4</v>
      </c>
      <c r="D206" s="297">
        <v>1</v>
      </c>
      <c r="E206" s="297">
        <v>0</v>
      </c>
    </row>
    <row r="207" spans="1:5">
      <c r="A207" s="304" t="s">
        <v>255</v>
      </c>
      <c r="B207" s="297">
        <v>3</v>
      </c>
      <c r="C207" s="297">
        <v>1</v>
      </c>
      <c r="D207" s="297">
        <v>2</v>
      </c>
      <c r="E207" s="297">
        <v>0</v>
      </c>
    </row>
    <row r="208" spans="1:5">
      <c r="A208" s="304" t="s">
        <v>256</v>
      </c>
      <c r="B208" s="297">
        <v>200</v>
      </c>
      <c r="C208" s="297">
        <v>121</v>
      </c>
      <c r="D208" s="297">
        <v>79</v>
      </c>
      <c r="E208" s="297">
        <v>0</v>
      </c>
    </row>
    <row r="209" spans="1:5">
      <c r="A209" s="304" t="s">
        <v>51</v>
      </c>
      <c r="B209" s="297">
        <v>47</v>
      </c>
      <c r="C209" s="297">
        <v>29</v>
      </c>
      <c r="D209" s="297">
        <v>18</v>
      </c>
      <c r="E209" s="297">
        <v>0</v>
      </c>
    </row>
    <row r="210" spans="1:5">
      <c r="A210" s="304" t="s">
        <v>493</v>
      </c>
      <c r="B210" s="297">
        <v>4</v>
      </c>
      <c r="C210" s="297">
        <v>4</v>
      </c>
      <c r="D210" s="297">
        <v>0</v>
      </c>
      <c r="E210" s="297">
        <v>0</v>
      </c>
    </row>
    <row r="211" spans="1:5" ht="5.0999999999999996" customHeight="1">
      <c r="A211" s="304"/>
      <c r="B211" s="297"/>
      <c r="C211" s="297"/>
      <c r="D211" s="297"/>
      <c r="E211" s="297"/>
    </row>
    <row r="212" spans="1:5">
      <c r="A212" s="303" t="s">
        <v>102</v>
      </c>
      <c r="B212" s="295">
        <v>574</v>
      </c>
      <c r="C212" s="295">
        <v>343</v>
      </c>
      <c r="D212" s="295">
        <v>231</v>
      </c>
      <c r="E212" s="295">
        <v>0</v>
      </c>
    </row>
    <row r="213" spans="1:5" ht="5.0999999999999996" customHeight="1">
      <c r="A213" s="303"/>
      <c r="B213" s="297"/>
      <c r="C213" s="297"/>
      <c r="D213" s="297"/>
      <c r="E213" s="297"/>
    </row>
    <row r="214" spans="1:5">
      <c r="A214" s="304" t="s">
        <v>254</v>
      </c>
      <c r="B214" s="297">
        <v>4</v>
      </c>
      <c r="C214" s="297">
        <v>3</v>
      </c>
      <c r="D214" s="297">
        <v>1</v>
      </c>
      <c r="E214" s="297">
        <v>0</v>
      </c>
    </row>
    <row r="215" spans="1:5">
      <c r="A215" s="304" t="s">
        <v>255</v>
      </c>
      <c r="B215" s="297">
        <v>3</v>
      </c>
      <c r="C215" s="297">
        <v>3</v>
      </c>
      <c r="D215" s="297">
        <v>0</v>
      </c>
      <c r="E215" s="297">
        <v>0</v>
      </c>
    </row>
    <row r="216" spans="1:5">
      <c r="A216" s="304" t="s">
        <v>256</v>
      </c>
      <c r="B216" s="297">
        <v>217</v>
      </c>
      <c r="C216" s="297">
        <v>133</v>
      </c>
      <c r="D216" s="297">
        <v>84</v>
      </c>
      <c r="E216" s="297">
        <v>0</v>
      </c>
    </row>
    <row r="217" spans="1:5">
      <c r="A217" s="304" t="s">
        <v>51</v>
      </c>
      <c r="B217" s="297">
        <v>310</v>
      </c>
      <c r="C217" s="297">
        <v>182</v>
      </c>
      <c r="D217" s="297">
        <v>128</v>
      </c>
      <c r="E217" s="297">
        <v>0</v>
      </c>
    </row>
    <row r="218" spans="1:5">
      <c r="A218" s="304" t="s">
        <v>493</v>
      </c>
      <c r="B218" s="297">
        <v>40</v>
      </c>
      <c r="C218" s="297">
        <v>22</v>
      </c>
      <c r="D218" s="297">
        <v>18</v>
      </c>
      <c r="E218" s="297">
        <v>0</v>
      </c>
    </row>
    <row r="219" spans="1:5" ht="5.0999999999999996" customHeight="1">
      <c r="A219" s="304"/>
      <c r="B219" s="297"/>
      <c r="C219" s="297"/>
      <c r="D219" s="297"/>
      <c r="E219" s="297"/>
    </row>
    <row r="220" spans="1:5">
      <c r="A220" s="303" t="s">
        <v>103</v>
      </c>
      <c r="B220" s="295">
        <v>783</v>
      </c>
      <c r="C220" s="295">
        <v>487</v>
      </c>
      <c r="D220" s="295">
        <v>296</v>
      </c>
      <c r="E220" s="295">
        <v>0</v>
      </c>
    </row>
    <row r="221" spans="1:5" ht="5.0999999999999996" customHeight="1">
      <c r="A221" s="303"/>
      <c r="B221" s="297"/>
      <c r="C221" s="297"/>
      <c r="D221" s="297"/>
      <c r="E221" s="297"/>
    </row>
    <row r="222" spans="1:5">
      <c r="A222" s="304" t="s">
        <v>254</v>
      </c>
      <c r="B222" s="297">
        <v>64</v>
      </c>
      <c r="C222" s="297">
        <v>37</v>
      </c>
      <c r="D222" s="297">
        <v>27</v>
      </c>
      <c r="E222" s="297">
        <v>0</v>
      </c>
    </row>
    <row r="223" spans="1:5">
      <c r="A223" s="304" t="s">
        <v>255</v>
      </c>
      <c r="B223" s="297">
        <v>2</v>
      </c>
      <c r="C223" s="297">
        <v>1</v>
      </c>
      <c r="D223" s="297">
        <v>1</v>
      </c>
      <c r="E223" s="297">
        <v>0</v>
      </c>
    </row>
    <row r="224" spans="1:5">
      <c r="A224" s="304" t="s">
        <v>256</v>
      </c>
      <c r="B224" s="297">
        <v>400</v>
      </c>
      <c r="C224" s="297">
        <v>245</v>
      </c>
      <c r="D224" s="297">
        <v>155</v>
      </c>
      <c r="E224" s="297">
        <v>0</v>
      </c>
    </row>
    <row r="225" spans="1:5">
      <c r="A225" s="304" t="s">
        <v>51</v>
      </c>
      <c r="B225" s="297">
        <v>279</v>
      </c>
      <c r="C225" s="297">
        <v>179</v>
      </c>
      <c r="D225" s="297">
        <v>100</v>
      </c>
      <c r="E225" s="297">
        <v>0</v>
      </c>
    </row>
    <row r="226" spans="1:5">
      <c r="A226" s="304" t="s">
        <v>493</v>
      </c>
      <c r="B226" s="297">
        <v>38</v>
      </c>
      <c r="C226" s="297">
        <v>25</v>
      </c>
      <c r="D226" s="297">
        <v>13</v>
      </c>
      <c r="E226" s="297">
        <v>0</v>
      </c>
    </row>
    <row r="227" spans="1:5" ht="5.0999999999999996" customHeight="1">
      <c r="A227" s="304"/>
      <c r="B227" s="297"/>
      <c r="C227" s="297"/>
      <c r="D227" s="297"/>
      <c r="E227" s="297"/>
    </row>
    <row r="228" spans="1:5">
      <c r="A228" s="303" t="s">
        <v>104</v>
      </c>
      <c r="B228" s="295">
        <v>584</v>
      </c>
      <c r="C228" s="295">
        <v>357</v>
      </c>
      <c r="D228" s="295">
        <v>227</v>
      </c>
      <c r="E228" s="295">
        <v>0</v>
      </c>
    </row>
    <row r="229" spans="1:5" ht="5.0999999999999996" customHeight="1">
      <c r="A229" s="303"/>
      <c r="B229" s="297"/>
      <c r="C229" s="297"/>
      <c r="D229" s="297"/>
      <c r="E229" s="297"/>
    </row>
    <row r="230" spans="1:5">
      <c r="A230" s="304" t="s">
        <v>254</v>
      </c>
      <c r="B230" s="297">
        <v>50</v>
      </c>
      <c r="C230" s="297">
        <v>29</v>
      </c>
      <c r="D230" s="297">
        <v>21</v>
      </c>
      <c r="E230" s="297">
        <v>0</v>
      </c>
    </row>
    <row r="231" spans="1:5">
      <c r="A231" s="304" t="s">
        <v>255</v>
      </c>
      <c r="B231" s="297">
        <v>2</v>
      </c>
      <c r="C231" s="297">
        <v>1</v>
      </c>
      <c r="D231" s="297">
        <v>1</v>
      </c>
      <c r="E231" s="297">
        <v>0</v>
      </c>
    </row>
    <row r="232" spans="1:5">
      <c r="A232" s="304" t="s">
        <v>256</v>
      </c>
      <c r="B232" s="297">
        <v>288</v>
      </c>
      <c r="C232" s="297">
        <v>172</v>
      </c>
      <c r="D232" s="297">
        <v>116</v>
      </c>
      <c r="E232" s="297">
        <v>0</v>
      </c>
    </row>
    <row r="233" spans="1:5">
      <c r="A233" s="304" t="s">
        <v>51</v>
      </c>
      <c r="B233" s="297">
        <v>236</v>
      </c>
      <c r="C233" s="297">
        <v>149</v>
      </c>
      <c r="D233" s="297">
        <v>87</v>
      </c>
      <c r="E233" s="297">
        <v>0</v>
      </c>
    </row>
    <row r="234" spans="1:5">
      <c r="A234" s="304" t="s">
        <v>493</v>
      </c>
      <c r="B234" s="297">
        <v>8</v>
      </c>
      <c r="C234" s="297">
        <v>6</v>
      </c>
      <c r="D234" s="297">
        <v>2</v>
      </c>
      <c r="E234" s="297">
        <v>0</v>
      </c>
    </row>
    <row r="235" spans="1:5" ht="5.0999999999999996" customHeight="1">
      <c r="A235" s="304"/>
      <c r="B235" s="297"/>
      <c r="C235" s="297"/>
      <c r="D235" s="297"/>
      <c r="E235" s="297"/>
    </row>
    <row r="236" spans="1:5">
      <c r="A236" s="303" t="s">
        <v>105</v>
      </c>
      <c r="B236" s="295">
        <v>260</v>
      </c>
      <c r="C236" s="295">
        <v>159</v>
      </c>
      <c r="D236" s="295">
        <v>101</v>
      </c>
      <c r="E236" s="295">
        <v>0</v>
      </c>
    </row>
    <row r="237" spans="1:5" ht="5.0999999999999996" customHeight="1">
      <c r="A237" s="303"/>
      <c r="B237" s="297"/>
      <c r="C237" s="297"/>
      <c r="D237" s="297"/>
      <c r="E237" s="297"/>
    </row>
    <row r="238" spans="1:5">
      <c r="A238" s="304" t="s">
        <v>254</v>
      </c>
      <c r="B238" s="297">
        <v>128</v>
      </c>
      <c r="C238" s="297">
        <v>74</v>
      </c>
      <c r="D238" s="297">
        <v>54</v>
      </c>
      <c r="E238" s="297">
        <v>0</v>
      </c>
    </row>
    <row r="239" spans="1:5">
      <c r="A239" s="304" t="s">
        <v>255</v>
      </c>
      <c r="B239" s="297">
        <v>4</v>
      </c>
      <c r="C239" s="297">
        <v>3</v>
      </c>
      <c r="D239" s="297">
        <v>1</v>
      </c>
      <c r="E239" s="297">
        <v>0</v>
      </c>
    </row>
    <row r="240" spans="1:5">
      <c r="A240" s="304" t="s">
        <v>256</v>
      </c>
      <c r="B240" s="297">
        <v>96</v>
      </c>
      <c r="C240" s="297">
        <v>57</v>
      </c>
      <c r="D240" s="297">
        <v>39</v>
      </c>
      <c r="E240" s="297">
        <v>0</v>
      </c>
    </row>
    <row r="241" spans="1:5">
      <c r="A241" s="304" t="s">
        <v>51</v>
      </c>
      <c r="B241" s="297">
        <v>32</v>
      </c>
      <c r="C241" s="297">
        <v>25</v>
      </c>
      <c r="D241" s="297">
        <v>7</v>
      </c>
      <c r="E241" s="297">
        <v>0</v>
      </c>
    </row>
    <row r="242" spans="1:5" ht="5.0999999999999996" customHeight="1">
      <c r="A242" s="304"/>
      <c r="B242" s="297"/>
      <c r="C242" s="297"/>
      <c r="D242" s="297"/>
      <c r="E242" s="297"/>
    </row>
    <row r="243" spans="1:5">
      <c r="A243" s="303" t="s">
        <v>106</v>
      </c>
      <c r="B243" s="295">
        <v>223</v>
      </c>
      <c r="C243" s="295">
        <v>141</v>
      </c>
      <c r="D243" s="295">
        <v>82</v>
      </c>
      <c r="E243" s="295">
        <v>0</v>
      </c>
    </row>
    <row r="244" spans="1:5" ht="5.0999999999999996" customHeight="1">
      <c r="A244" s="303"/>
      <c r="B244" s="297"/>
      <c r="C244" s="297"/>
      <c r="D244" s="297"/>
      <c r="E244" s="297"/>
    </row>
    <row r="245" spans="1:5">
      <c r="A245" s="304" t="s">
        <v>254</v>
      </c>
      <c r="B245" s="297">
        <v>12</v>
      </c>
      <c r="C245" s="297">
        <v>9</v>
      </c>
      <c r="D245" s="297">
        <v>3</v>
      </c>
      <c r="E245" s="297">
        <v>0</v>
      </c>
    </row>
    <row r="246" spans="1:5">
      <c r="A246" s="304" t="s">
        <v>255</v>
      </c>
      <c r="B246" s="297">
        <v>2</v>
      </c>
      <c r="C246" s="297">
        <v>1</v>
      </c>
      <c r="D246" s="297">
        <v>1</v>
      </c>
      <c r="E246" s="297">
        <v>0</v>
      </c>
    </row>
    <row r="247" spans="1:5">
      <c r="A247" s="304" t="s">
        <v>256</v>
      </c>
      <c r="B247" s="297">
        <v>151</v>
      </c>
      <c r="C247" s="297">
        <v>92</v>
      </c>
      <c r="D247" s="297">
        <v>59</v>
      </c>
      <c r="E247" s="297">
        <v>0</v>
      </c>
    </row>
    <row r="248" spans="1:5">
      <c r="A248" s="304" t="s">
        <v>51</v>
      </c>
      <c r="B248" s="297">
        <v>58</v>
      </c>
      <c r="C248" s="297">
        <v>39</v>
      </c>
      <c r="D248" s="297">
        <v>19</v>
      </c>
      <c r="E248" s="297">
        <v>0</v>
      </c>
    </row>
    <row r="249" spans="1:5" ht="5.0999999999999996" customHeight="1">
      <c r="A249" s="304"/>
      <c r="B249" s="297"/>
      <c r="C249" s="297"/>
      <c r="D249" s="297"/>
      <c r="E249" s="297"/>
    </row>
    <row r="250" spans="1:5">
      <c r="A250" s="303" t="s">
        <v>107</v>
      </c>
      <c r="B250" s="295">
        <v>4885</v>
      </c>
      <c r="C250" s="295">
        <v>3182</v>
      </c>
      <c r="D250" s="295">
        <v>1703</v>
      </c>
      <c r="E250" s="295">
        <v>0</v>
      </c>
    </row>
    <row r="251" spans="1:5" ht="5.0999999999999996" customHeight="1">
      <c r="A251" s="303"/>
      <c r="B251" s="297"/>
      <c r="C251" s="297"/>
      <c r="D251" s="297"/>
      <c r="E251" s="297"/>
    </row>
    <row r="252" spans="1:5">
      <c r="A252" s="304" t="s">
        <v>254</v>
      </c>
      <c r="B252" s="297">
        <v>3013</v>
      </c>
      <c r="C252" s="297">
        <v>2051</v>
      </c>
      <c r="D252" s="297">
        <v>962</v>
      </c>
      <c r="E252" s="297">
        <v>0</v>
      </c>
    </row>
    <row r="253" spans="1:5">
      <c r="A253" s="304" t="s">
        <v>255</v>
      </c>
      <c r="B253" s="297">
        <v>9</v>
      </c>
      <c r="C253" s="297">
        <v>6</v>
      </c>
      <c r="D253" s="297">
        <v>3</v>
      </c>
      <c r="E253" s="297">
        <v>0</v>
      </c>
    </row>
    <row r="254" spans="1:5">
      <c r="A254" s="304" t="s">
        <v>256</v>
      </c>
      <c r="B254" s="297">
        <v>819</v>
      </c>
      <c r="C254" s="297">
        <v>485</v>
      </c>
      <c r="D254" s="297">
        <v>334</v>
      </c>
      <c r="E254" s="297">
        <v>0</v>
      </c>
    </row>
    <row r="255" spans="1:5">
      <c r="A255" s="304" t="s">
        <v>51</v>
      </c>
      <c r="B255" s="297">
        <v>1036</v>
      </c>
      <c r="C255" s="297">
        <v>633</v>
      </c>
      <c r="D255" s="297">
        <v>403</v>
      </c>
      <c r="E255" s="297">
        <v>0</v>
      </c>
    </row>
    <row r="256" spans="1:5">
      <c r="A256" s="304" t="s">
        <v>493</v>
      </c>
      <c r="B256" s="297">
        <v>8</v>
      </c>
      <c r="C256" s="297">
        <v>7</v>
      </c>
      <c r="D256" s="297">
        <v>1</v>
      </c>
      <c r="E256" s="297">
        <v>0</v>
      </c>
    </row>
    <row r="257" spans="1:5" ht="5.0999999999999996" customHeight="1">
      <c r="A257" s="304"/>
      <c r="B257" s="297"/>
      <c r="C257" s="297"/>
      <c r="D257" s="297"/>
      <c r="E257" s="297"/>
    </row>
    <row r="258" spans="1:5">
      <c r="A258" s="303" t="s">
        <v>584</v>
      </c>
      <c r="B258" s="295">
        <v>95</v>
      </c>
      <c r="C258" s="295">
        <v>69</v>
      </c>
      <c r="D258" s="295">
        <v>26</v>
      </c>
      <c r="E258" s="295">
        <v>0</v>
      </c>
    </row>
    <row r="259" spans="1:5" ht="5.0999999999999996" customHeight="1">
      <c r="A259" s="304"/>
      <c r="B259" s="297"/>
      <c r="C259" s="297"/>
      <c r="D259" s="297"/>
      <c r="E259" s="297"/>
    </row>
    <row r="260" spans="1:5">
      <c r="A260" s="304" t="s">
        <v>254</v>
      </c>
      <c r="B260" s="297">
        <v>17</v>
      </c>
      <c r="C260" s="297">
        <v>12</v>
      </c>
      <c r="D260" s="297">
        <v>5</v>
      </c>
      <c r="E260" s="297">
        <v>0</v>
      </c>
    </row>
    <row r="261" spans="1:5">
      <c r="A261" s="304" t="s">
        <v>256</v>
      </c>
      <c r="B261" s="297">
        <v>7</v>
      </c>
      <c r="C261" s="297">
        <v>2</v>
      </c>
      <c r="D261" s="297">
        <v>5</v>
      </c>
      <c r="E261" s="297">
        <v>0</v>
      </c>
    </row>
    <row r="262" spans="1:5">
      <c r="A262" s="304" t="s">
        <v>51</v>
      </c>
      <c r="B262" s="297">
        <v>24</v>
      </c>
      <c r="C262" s="297">
        <v>16</v>
      </c>
      <c r="D262" s="297">
        <v>8</v>
      </c>
      <c r="E262" s="297">
        <v>0</v>
      </c>
    </row>
    <row r="263" spans="1:5">
      <c r="A263" s="304" t="s">
        <v>493</v>
      </c>
      <c r="B263" s="297">
        <v>47</v>
      </c>
      <c r="C263" s="297">
        <v>39</v>
      </c>
      <c r="D263" s="297">
        <v>8</v>
      </c>
      <c r="E263" s="297">
        <v>0</v>
      </c>
    </row>
    <row r="264" spans="1:5" ht="5.0999999999999996" customHeight="1">
      <c r="A264" s="304"/>
      <c r="B264" s="297"/>
      <c r="C264" s="297"/>
      <c r="D264" s="297"/>
      <c r="E264" s="297"/>
    </row>
    <row r="265" spans="1:5">
      <c r="A265" s="303" t="s">
        <v>33</v>
      </c>
      <c r="B265" s="295">
        <v>785</v>
      </c>
      <c r="C265" s="295">
        <v>414</v>
      </c>
      <c r="D265" s="295">
        <v>361</v>
      </c>
      <c r="E265" s="295">
        <v>10</v>
      </c>
    </row>
    <row r="266" spans="1:5" ht="5.0999999999999996" customHeight="1">
      <c r="A266" s="304"/>
      <c r="B266" s="297"/>
      <c r="C266" s="297"/>
      <c r="D266" s="297"/>
      <c r="E266" s="297"/>
    </row>
    <row r="267" spans="1:5">
      <c r="A267" s="304" t="s">
        <v>254</v>
      </c>
      <c r="B267" s="297">
        <v>61</v>
      </c>
      <c r="C267" s="297">
        <v>37</v>
      </c>
      <c r="D267" s="297">
        <v>24</v>
      </c>
      <c r="E267" s="297">
        <v>0</v>
      </c>
    </row>
    <row r="268" spans="1:5">
      <c r="A268" s="304" t="s">
        <v>256</v>
      </c>
      <c r="B268" s="297">
        <v>303</v>
      </c>
      <c r="C268" s="297">
        <v>147</v>
      </c>
      <c r="D268" s="297">
        <v>152</v>
      </c>
      <c r="E268" s="297">
        <v>4</v>
      </c>
    </row>
    <row r="269" spans="1:5">
      <c r="A269" s="305" t="s">
        <v>51</v>
      </c>
      <c r="B269" s="297">
        <v>273</v>
      </c>
      <c r="C269" s="297">
        <v>144</v>
      </c>
      <c r="D269" s="297">
        <v>125</v>
      </c>
      <c r="E269" s="297">
        <v>4</v>
      </c>
    </row>
    <row r="270" spans="1:5">
      <c r="A270" s="305" t="s">
        <v>493</v>
      </c>
      <c r="B270" s="297">
        <v>148</v>
      </c>
      <c r="C270" s="297">
        <v>86</v>
      </c>
      <c r="D270" s="297">
        <v>60</v>
      </c>
      <c r="E270" s="297">
        <v>2</v>
      </c>
    </row>
    <row r="271" spans="1:5" ht="5.0999999999999996" customHeight="1">
      <c r="A271" s="299"/>
      <c r="B271" s="299"/>
      <c r="C271" s="299"/>
      <c r="D271" s="299"/>
      <c r="E271" s="299"/>
    </row>
    <row r="272" spans="1:5" ht="5.0999999999999996" customHeight="1"/>
    <row r="273" spans="1:1">
      <c r="A273" s="301" t="s">
        <v>71</v>
      </c>
    </row>
    <row r="274" spans="1:1">
      <c r="A274" s="301" t="s">
        <v>231</v>
      </c>
    </row>
  </sheetData>
  <mergeCells count="7">
    <mergeCell ref="A2:E2"/>
    <mergeCell ref="C7:E7"/>
    <mergeCell ref="A7:A8"/>
    <mergeCell ref="B7:B8"/>
    <mergeCell ref="A5:E5"/>
    <mergeCell ref="A4:E4"/>
    <mergeCell ref="A3:E3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2:E649"/>
  <sheetViews>
    <sheetView workbookViewId="0">
      <selection activeCell="H25" sqref="H25"/>
    </sheetView>
  </sheetViews>
  <sheetFormatPr baseColWidth="10" defaultColWidth="11.42578125" defaultRowHeight="12.75"/>
  <cols>
    <col min="1" max="1" width="24.5703125" style="290" customWidth="1"/>
    <col min="2" max="16384" width="11.42578125" style="290"/>
  </cols>
  <sheetData>
    <row r="2" spans="1:5">
      <c r="A2" s="428" t="s">
        <v>257</v>
      </c>
      <c r="B2" s="428"/>
      <c r="C2" s="428"/>
      <c r="D2" s="428"/>
      <c r="E2" s="428"/>
    </row>
    <row r="3" spans="1:5">
      <c r="A3" s="428" t="s">
        <v>17</v>
      </c>
      <c r="B3" s="428"/>
      <c r="C3" s="428"/>
      <c r="D3" s="428"/>
      <c r="E3" s="428"/>
    </row>
    <row r="4" spans="1:5">
      <c r="A4" s="428" t="s">
        <v>505</v>
      </c>
      <c r="B4" s="428"/>
      <c r="C4" s="428"/>
      <c r="D4" s="428"/>
      <c r="E4" s="428"/>
    </row>
    <row r="6" spans="1:5">
      <c r="A6" s="430" t="s">
        <v>258</v>
      </c>
      <c r="B6" s="432" t="s">
        <v>61</v>
      </c>
      <c r="C6" s="429" t="s">
        <v>75</v>
      </c>
      <c r="D6" s="429"/>
      <c r="E6" s="429"/>
    </row>
    <row r="7" spans="1:5">
      <c r="A7" s="431"/>
      <c r="B7" s="433"/>
      <c r="C7" s="291" t="s">
        <v>38</v>
      </c>
      <c r="D7" s="291" t="s">
        <v>39</v>
      </c>
      <c r="E7" s="291" t="s">
        <v>466</v>
      </c>
    </row>
    <row r="8" spans="1:5" ht="5.0999999999999996" customHeight="1"/>
    <row r="9" spans="1:5">
      <c r="A9" s="292" t="s">
        <v>585</v>
      </c>
      <c r="B9" s="295">
        <v>36643</v>
      </c>
      <c r="C9" s="295">
        <v>23050</v>
      </c>
      <c r="D9" s="295">
        <v>13568</v>
      </c>
      <c r="E9" s="295">
        <v>25</v>
      </c>
    </row>
    <row r="10" spans="1:5" ht="5.0999999999999996" customHeight="1">
      <c r="A10" s="304"/>
      <c r="B10" s="297"/>
      <c r="C10" s="297"/>
      <c r="D10" s="297"/>
      <c r="E10" s="297"/>
    </row>
    <row r="11" spans="1:5">
      <c r="A11" s="304" t="s">
        <v>503</v>
      </c>
      <c r="B11" s="297">
        <v>511</v>
      </c>
      <c r="C11" s="297">
        <v>283</v>
      </c>
      <c r="D11" s="297">
        <v>213</v>
      </c>
      <c r="E11" s="297">
        <v>15</v>
      </c>
    </row>
    <row r="12" spans="1:5">
      <c r="A12" s="304" t="s">
        <v>259</v>
      </c>
      <c r="B12" s="297">
        <v>218</v>
      </c>
      <c r="C12" s="297">
        <v>146</v>
      </c>
      <c r="D12" s="297">
        <v>72</v>
      </c>
      <c r="E12" s="297">
        <v>0</v>
      </c>
    </row>
    <row r="13" spans="1:5">
      <c r="A13" s="304" t="s">
        <v>260</v>
      </c>
      <c r="B13" s="297">
        <v>200</v>
      </c>
      <c r="C13" s="297">
        <v>118</v>
      </c>
      <c r="D13" s="297">
        <v>82</v>
      </c>
      <c r="E13" s="297">
        <v>0</v>
      </c>
    </row>
    <row r="14" spans="1:5">
      <c r="A14" s="304" t="s">
        <v>261</v>
      </c>
      <c r="B14" s="297">
        <v>246</v>
      </c>
      <c r="C14" s="297">
        <v>164</v>
      </c>
      <c r="D14" s="297">
        <v>82</v>
      </c>
      <c r="E14" s="297">
        <v>0</v>
      </c>
    </row>
    <row r="15" spans="1:5">
      <c r="A15" s="304" t="s">
        <v>63</v>
      </c>
      <c r="B15" s="297">
        <v>637</v>
      </c>
      <c r="C15" s="297">
        <v>484</v>
      </c>
      <c r="D15" s="297">
        <v>153</v>
      </c>
      <c r="E15" s="297">
        <v>0</v>
      </c>
    </row>
    <row r="16" spans="1:5">
      <c r="A16" s="304" t="s">
        <v>64</v>
      </c>
      <c r="B16" s="297">
        <v>984</v>
      </c>
      <c r="C16" s="297">
        <v>765</v>
      </c>
      <c r="D16" s="297">
        <v>219</v>
      </c>
      <c r="E16" s="297">
        <v>0</v>
      </c>
    </row>
    <row r="17" spans="1:5">
      <c r="A17" s="304" t="s">
        <v>65</v>
      </c>
      <c r="B17" s="297">
        <v>1085</v>
      </c>
      <c r="C17" s="297">
        <v>809</v>
      </c>
      <c r="D17" s="297">
        <v>276</v>
      </c>
      <c r="E17" s="297">
        <v>0</v>
      </c>
    </row>
    <row r="18" spans="1:5">
      <c r="A18" s="304" t="s">
        <v>66</v>
      </c>
      <c r="B18" s="297">
        <v>1157</v>
      </c>
      <c r="C18" s="297">
        <v>808</v>
      </c>
      <c r="D18" s="297">
        <v>349</v>
      </c>
      <c r="E18" s="297">
        <v>0</v>
      </c>
    </row>
    <row r="19" spans="1:5">
      <c r="A19" s="304" t="s">
        <v>67</v>
      </c>
      <c r="B19" s="297">
        <v>1243</v>
      </c>
      <c r="C19" s="297">
        <v>865</v>
      </c>
      <c r="D19" s="297">
        <v>378</v>
      </c>
      <c r="E19" s="297">
        <v>0</v>
      </c>
    </row>
    <row r="20" spans="1:5">
      <c r="A20" s="304" t="s">
        <v>68</v>
      </c>
      <c r="B20" s="297">
        <v>1374</v>
      </c>
      <c r="C20" s="297">
        <v>926</v>
      </c>
      <c r="D20" s="297">
        <v>448</v>
      </c>
      <c r="E20" s="297">
        <v>0</v>
      </c>
    </row>
    <row r="21" spans="1:5">
      <c r="A21" s="304" t="s">
        <v>69</v>
      </c>
      <c r="B21" s="297">
        <v>1512</v>
      </c>
      <c r="C21" s="297">
        <v>1005</v>
      </c>
      <c r="D21" s="297">
        <v>507</v>
      </c>
      <c r="E21" s="297">
        <v>0</v>
      </c>
    </row>
    <row r="22" spans="1:5">
      <c r="A22" s="304" t="s">
        <v>262</v>
      </c>
      <c r="B22" s="297">
        <v>1886</v>
      </c>
      <c r="C22" s="297">
        <v>1245</v>
      </c>
      <c r="D22" s="297">
        <v>641</v>
      </c>
      <c r="E22" s="297">
        <v>0</v>
      </c>
    </row>
    <row r="23" spans="1:5">
      <c r="A23" s="304" t="s">
        <v>263</v>
      </c>
      <c r="B23" s="297">
        <v>2194</v>
      </c>
      <c r="C23" s="297">
        <v>1434</v>
      </c>
      <c r="D23" s="297">
        <v>760</v>
      </c>
      <c r="E23" s="297">
        <v>0</v>
      </c>
    </row>
    <row r="24" spans="1:5">
      <c r="A24" s="304" t="s">
        <v>264</v>
      </c>
      <c r="B24" s="297">
        <v>2592</v>
      </c>
      <c r="C24" s="297">
        <v>1712</v>
      </c>
      <c r="D24" s="297">
        <v>880</v>
      </c>
      <c r="E24" s="297">
        <v>0</v>
      </c>
    </row>
    <row r="25" spans="1:5">
      <c r="A25" s="304" t="s">
        <v>265</v>
      </c>
      <c r="B25" s="297">
        <v>2680</v>
      </c>
      <c r="C25" s="297">
        <v>1720</v>
      </c>
      <c r="D25" s="297">
        <v>960</v>
      </c>
      <c r="E25" s="297">
        <v>0</v>
      </c>
    </row>
    <row r="26" spans="1:5">
      <c r="A26" s="304" t="s">
        <v>266</v>
      </c>
      <c r="B26" s="297">
        <v>15713</v>
      </c>
      <c r="C26" s="297">
        <v>9223</v>
      </c>
      <c r="D26" s="297">
        <v>6490</v>
      </c>
      <c r="E26" s="297">
        <v>0</v>
      </c>
    </row>
    <row r="27" spans="1:5">
      <c r="A27" s="304" t="s">
        <v>504</v>
      </c>
      <c r="B27" s="297">
        <v>2411</v>
      </c>
      <c r="C27" s="297">
        <v>1343</v>
      </c>
      <c r="D27" s="297">
        <v>1058</v>
      </c>
      <c r="E27" s="297">
        <v>10</v>
      </c>
    </row>
    <row r="28" spans="1:5" ht="5.0999999999999996" customHeight="1">
      <c r="A28" s="304"/>
      <c r="B28" s="297"/>
      <c r="C28" s="297"/>
      <c r="D28" s="297"/>
      <c r="E28" s="297"/>
    </row>
    <row r="29" spans="1:5">
      <c r="A29" s="303" t="s">
        <v>76</v>
      </c>
      <c r="B29" s="295">
        <v>11966</v>
      </c>
      <c r="C29" s="295">
        <v>8443</v>
      </c>
      <c r="D29" s="295">
        <v>3523</v>
      </c>
      <c r="E29" s="295">
        <v>0</v>
      </c>
    </row>
    <row r="30" spans="1:5" ht="5.0999999999999996" customHeight="1">
      <c r="A30" s="304"/>
      <c r="B30" s="297"/>
      <c r="C30" s="297"/>
      <c r="D30" s="297"/>
      <c r="E30" s="297"/>
    </row>
    <row r="31" spans="1:5">
      <c r="A31" s="304" t="s">
        <v>503</v>
      </c>
      <c r="B31" s="297">
        <v>6</v>
      </c>
      <c r="C31" s="297">
        <v>1</v>
      </c>
      <c r="D31" s="297">
        <v>5</v>
      </c>
      <c r="E31" s="297">
        <v>0</v>
      </c>
    </row>
    <row r="32" spans="1:5">
      <c r="A32" s="304" t="s">
        <v>259</v>
      </c>
      <c r="B32" s="297">
        <v>97</v>
      </c>
      <c r="C32" s="297">
        <v>75</v>
      </c>
      <c r="D32" s="297">
        <v>22</v>
      </c>
      <c r="E32" s="297">
        <v>0</v>
      </c>
    </row>
    <row r="33" spans="1:5">
      <c r="A33" s="304" t="s">
        <v>260</v>
      </c>
      <c r="B33" s="297">
        <v>79</v>
      </c>
      <c r="C33" s="297">
        <v>53</v>
      </c>
      <c r="D33" s="297">
        <v>26</v>
      </c>
      <c r="E33" s="297">
        <v>0</v>
      </c>
    </row>
    <row r="34" spans="1:5">
      <c r="A34" s="304" t="s">
        <v>261</v>
      </c>
      <c r="B34" s="297">
        <v>88</v>
      </c>
      <c r="C34" s="297">
        <v>69</v>
      </c>
      <c r="D34" s="297">
        <v>19</v>
      </c>
      <c r="E34" s="297">
        <v>0</v>
      </c>
    </row>
    <row r="35" spans="1:5">
      <c r="A35" s="304" t="s">
        <v>63</v>
      </c>
      <c r="B35" s="297">
        <v>233</v>
      </c>
      <c r="C35" s="297">
        <v>194</v>
      </c>
      <c r="D35" s="297">
        <v>39</v>
      </c>
      <c r="E35" s="297">
        <v>0</v>
      </c>
    </row>
    <row r="36" spans="1:5">
      <c r="A36" s="304" t="s">
        <v>64</v>
      </c>
      <c r="B36" s="297">
        <v>392</v>
      </c>
      <c r="C36" s="297">
        <v>318</v>
      </c>
      <c r="D36" s="297">
        <v>74</v>
      </c>
      <c r="E36" s="297">
        <v>0</v>
      </c>
    </row>
    <row r="37" spans="1:5">
      <c r="A37" s="304" t="s">
        <v>65</v>
      </c>
      <c r="B37" s="297">
        <v>422</v>
      </c>
      <c r="C37" s="297">
        <v>329</v>
      </c>
      <c r="D37" s="297">
        <v>93</v>
      </c>
      <c r="E37" s="297">
        <v>0</v>
      </c>
    </row>
    <row r="38" spans="1:5">
      <c r="A38" s="304" t="s">
        <v>66</v>
      </c>
      <c r="B38" s="297">
        <v>412</v>
      </c>
      <c r="C38" s="297">
        <v>317</v>
      </c>
      <c r="D38" s="297">
        <v>95</v>
      </c>
      <c r="E38" s="297">
        <v>0</v>
      </c>
    </row>
    <row r="39" spans="1:5">
      <c r="A39" s="304" t="s">
        <v>67</v>
      </c>
      <c r="B39" s="297">
        <v>430</v>
      </c>
      <c r="C39" s="297">
        <v>336</v>
      </c>
      <c r="D39" s="297">
        <v>94</v>
      </c>
      <c r="E39" s="297">
        <v>0</v>
      </c>
    </row>
    <row r="40" spans="1:5">
      <c r="A40" s="304" t="s">
        <v>68</v>
      </c>
      <c r="B40" s="297">
        <v>479</v>
      </c>
      <c r="C40" s="297">
        <v>357</v>
      </c>
      <c r="D40" s="297">
        <v>122</v>
      </c>
      <c r="E40" s="297">
        <v>0</v>
      </c>
    </row>
    <row r="41" spans="1:5">
      <c r="A41" s="304" t="s">
        <v>69</v>
      </c>
      <c r="B41" s="297">
        <v>525</v>
      </c>
      <c r="C41" s="297">
        <v>387</v>
      </c>
      <c r="D41" s="297">
        <v>138</v>
      </c>
      <c r="E41" s="297">
        <v>0</v>
      </c>
    </row>
    <row r="42" spans="1:5">
      <c r="A42" s="304" t="s">
        <v>262</v>
      </c>
      <c r="B42" s="297">
        <v>605</v>
      </c>
      <c r="C42" s="297">
        <v>438</v>
      </c>
      <c r="D42" s="297">
        <v>167</v>
      </c>
      <c r="E42" s="297">
        <v>0</v>
      </c>
    </row>
    <row r="43" spans="1:5">
      <c r="A43" s="304" t="s">
        <v>263</v>
      </c>
      <c r="B43" s="297">
        <v>720</v>
      </c>
      <c r="C43" s="297">
        <v>539</v>
      </c>
      <c r="D43" s="297">
        <v>181</v>
      </c>
      <c r="E43" s="297">
        <v>0</v>
      </c>
    </row>
    <row r="44" spans="1:5">
      <c r="A44" s="304" t="s">
        <v>264</v>
      </c>
      <c r="B44" s="297">
        <v>818</v>
      </c>
      <c r="C44" s="297">
        <v>604</v>
      </c>
      <c r="D44" s="297">
        <v>214</v>
      </c>
      <c r="E44" s="297">
        <v>0</v>
      </c>
    </row>
    <row r="45" spans="1:5">
      <c r="A45" s="304" t="s">
        <v>265</v>
      </c>
      <c r="B45" s="297">
        <v>816</v>
      </c>
      <c r="C45" s="297">
        <v>600</v>
      </c>
      <c r="D45" s="297">
        <v>216</v>
      </c>
      <c r="E45" s="297">
        <v>0</v>
      </c>
    </row>
    <row r="46" spans="1:5">
      <c r="A46" s="304" t="s">
        <v>266</v>
      </c>
      <c r="B46" s="297">
        <v>4334</v>
      </c>
      <c r="C46" s="297">
        <v>2942</v>
      </c>
      <c r="D46" s="297">
        <v>1392</v>
      </c>
      <c r="E46" s="297">
        <v>0</v>
      </c>
    </row>
    <row r="47" spans="1:5">
      <c r="A47" s="304" t="s">
        <v>504</v>
      </c>
      <c r="B47" s="297">
        <v>1510</v>
      </c>
      <c r="C47" s="297">
        <v>884</v>
      </c>
      <c r="D47" s="297">
        <v>626</v>
      </c>
      <c r="E47" s="297">
        <v>0</v>
      </c>
    </row>
    <row r="48" spans="1:5" ht="5.0999999999999996" customHeight="1">
      <c r="A48" s="304"/>
      <c r="B48" s="297"/>
      <c r="C48" s="297"/>
      <c r="D48" s="297"/>
      <c r="E48" s="297"/>
    </row>
    <row r="49" spans="1:5">
      <c r="A49" s="303" t="s">
        <v>77</v>
      </c>
      <c r="B49" s="295">
        <v>488</v>
      </c>
      <c r="C49" s="295">
        <v>265</v>
      </c>
      <c r="D49" s="295">
        <v>206</v>
      </c>
      <c r="E49" s="295">
        <v>17</v>
      </c>
    </row>
    <row r="50" spans="1:5" ht="5.0999999999999996" customHeight="1">
      <c r="A50" s="304"/>
      <c r="B50" s="297"/>
      <c r="C50" s="297"/>
      <c r="D50" s="297"/>
      <c r="E50" s="297"/>
    </row>
    <row r="51" spans="1:5">
      <c r="A51" s="304" t="s">
        <v>503</v>
      </c>
      <c r="B51" s="297">
        <v>19</v>
      </c>
      <c r="C51" s="297">
        <v>2</v>
      </c>
      <c r="D51" s="297">
        <v>5</v>
      </c>
      <c r="E51" s="297">
        <v>12</v>
      </c>
    </row>
    <row r="52" spans="1:5">
      <c r="A52" s="304" t="s">
        <v>259</v>
      </c>
      <c r="B52" s="297">
        <v>3</v>
      </c>
      <c r="C52" s="297">
        <v>2</v>
      </c>
      <c r="D52" s="297">
        <v>1</v>
      </c>
      <c r="E52" s="297">
        <v>0</v>
      </c>
    </row>
    <row r="53" spans="1:5">
      <c r="A53" s="304" t="s">
        <v>260</v>
      </c>
      <c r="B53" s="297">
        <v>1</v>
      </c>
      <c r="C53" s="297">
        <v>0</v>
      </c>
      <c r="D53" s="297">
        <v>1</v>
      </c>
      <c r="E53" s="297">
        <v>0</v>
      </c>
    </row>
    <row r="54" spans="1:5">
      <c r="A54" s="304" t="s">
        <v>261</v>
      </c>
      <c r="B54" s="297">
        <v>2</v>
      </c>
      <c r="C54" s="297">
        <v>1</v>
      </c>
      <c r="D54" s="297">
        <v>1</v>
      </c>
      <c r="E54" s="297">
        <v>0</v>
      </c>
    </row>
    <row r="55" spans="1:5">
      <c r="A55" s="304" t="s">
        <v>63</v>
      </c>
      <c r="B55" s="297">
        <v>7</v>
      </c>
      <c r="C55" s="297">
        <v>3</v>
      </c>
      <c r="D55" s="297">
        <v>4</v>
      </c>
      <c r="E55" s="297">
        <v>0</v>
      </c>
    </row>
    <row r="56" spans="1:5">
      <c r="A56" s="304" t="s">
        <v>64</v>
      </c>
      <c r="B56" s="297">
        <v>8</v>
      </c>
      <c r="C56" s="297">
        <v>8</v>
      </c>
      <c r="D56" s="297">
        <v>0</v>
      </c>
      <c r="E56" s="297">
        <v>0</v>
      </c>
    </row>
    <row r="57" spans="1:5">
      <c r="A57" s="304" t="s">
        <v>65</v>
      </c>
      <c r="B57" s="297">
        <v>10</v>
      </c>
      <c r="C57" s="297">
        <v>6</v>
      </c>
      <c r="D57" s="297">
        <v>4</v>
      </c>
      <c r="E57" s="297">
        <v>0</v>
      </c>
    </row>
    <row r="58" spans="1:5">
      <c r="A58" s="304" t="s">
        <v>66</v>
      </c>
      <c r="B58" s="297">
        <v>23</v>
      </c>
      <c r="C58" s="297">
        <v>14</v>
      </c>
      <c r="D58" s="297">
        <v>9</v>
      </c>
      <c r="E58" s="297">
        <v>0</v>
      </c>
    </row>
    <row r="59" spans="1:5">
      <c r="A59" s="304" t="s">
        <v>67</v>
      </c>
      <c r="B59" s="297">
        <v>22</v>
      </c>
      <c r="C59" s="297">
        <v>14</v>
      </c>
      <c r="D59" s="297">
        <v>8</v>
      </c>
      <c r="E59" s="297">
        <v>0</v>
      </c>
    </row>
    <row r="60" spans="1:5">
      <c r="A60" s="304" t="s">
        <v>68</v>
      </c>
      <c r="B60" s="297">
        <v>21</v>
      </c>
      <c r="C60" s="297">
        <v>14</v>
      </c>
      <c r="D60" s="297">
        <v>7</v>
      </c>
      <c r="E60" s="297">
        <v>0</v>
      </c>
    </row>
    <row r="61" spans="1:5">
      <c r="A61" s="304" t="s">
        <v>69</v>
      </c>
      <c r="B61" s="297">
        <v>24</v>
      </c>
      <c r="C61" s="297">
        <v>16</v>
      </c>
      <c r="D61" s="297">
        <v>8</v>
      </c>
      <c r="E61" s="297">
        <v>0</v>
      </c>
    </row>
    <row r="62" spans="1:5">
      <c r="A62" s="304" t="s">
        <v>262</v>
      </c>
      <c r="B62" s="297">
        <v>29</v>
      </c>
      <c r="C62" s="297">
        <v>15</v>
      </c>
      <c r="D62" s="297">
        <v>14</v>
      </c>
      <c r="E62" s="297">
        <v>0</v>
      </c>
    </row>
    <row r="63" spans="1:5">
      <c r="A63" s="304" t="s">
        <v>263</v>
      </c>
      <c r="B63" s="297">
        <v>23</v>
      </c>
      <c r="C63" s="297">
        <v>17</v>
      </c>
      <c r="D63" s="297">
        <v>6</v>
      </c>
      <c r="E63" s="297">
        <v>0</v>
      </c>
    </row>
    <row r="64" spans="1:5">
      <c r="A64" s="304" t="s">
        <v>264</v>
      </c>
      <c r="B64" s="297">
        <v>27</v>
      </c>
      <c r="C64" s="297">
        <v>16</v>
      </c>
      <c r="D64" s="297">
        <v>11</v>
      </c>
      <c r="E64" s="297">
        <v>0</v>
      </c>
    </row>
    <row r="65" spans="1:5">
      <c r="A65" s="304" t="s">
        <v>265</v>
      </c>
      <c r="B65" s="297">
        <v>39</v>
      </c>
      <c r="C65" s="297">
        <v>23</v>
      </c>
      <c r="D65" s="297">
        <v>16</v>
      </c>
      <c r="E65" s="297">
        <v>0</v>
      </c>
    </row>
    <row r="66" spans="1:5">
      <c r="A66" s="304" t="s">
        <v>266</v>
      </c>
      <c r="B66" s="297">
        <v>218</v>
      </c>
      <c r="C66" s="297">
        <v>112</v>
      </c>
      <c r="D66" s="297">
        <v>106</v>
      </c>
      <c r="E66" s="297">
        <v>0</v>
      </c>
    </row>
    <row r="67" spans="1:5">
      <c r="A67" s="304" t="s">
        <v>504</v>
      </c>
      <c r="B67" s="297">
        <v>12</v>
      </c>
      <c r="C67" s="297">
        <v>2</v>
      </c>
      <c r="D67" s="297">
        <v>5</v>
      </c>
      <c r="E67" s="297">
        <v>5</v>
      </c>
    </row>
    <row r="68" spans="1:5" ht="5.0999999999999996" customHeight="1">
      <c r="A68" s="304"/>
      <c r="B68" s="297"/>
      <c r="C68" s="297"/>
      <c r="D68" s="297"/>
      <c r="E68" s="297"/>
    </row>
    <row r="69" spans="1:5">
      <c r="A69" s="303" t="s">
        <v>78</v>
      </c>
      <c r="B69" s="295">
        <v>309</v>
      </c>
      <c r="C69" s="295">
        <v>184</v>
      </c>
      <c r="D69" s="295">
        <v>125</v>
      </c>
      <c r="E69" s="295">
        <v>0</v>
      </c>
    </row>
    <row r="70" spans="1:5" ht="5.0999999999999996" customHeight="1">
      <c r="A70" s="304"/>
      <c r="B70" s="297"/>
      <c r="C70" s="297"/>
      <c r="D70" s="297"/>
      <c r="E70" s="297"/>
    </row>
    <row r="71" spans="1:5">
      <c r="A71" s="304" t="s">
        <v>503</v>
      </c>
      <c r="B71" s="297">
        <v>5</v>
      </c>
      <c r="C71" s="297">
        <v>5</v>
      </c>
      <c r="D71" s="297">
        <v>0</v>
      </c>
      <c r="E71" s="297">
        <v>0</v>
      </c>
    </row>
    <row r="72" spans="1:5">
      <c r="A72" s="304" t="s">
        <v>259</v>
      </c>
      <c r="B72" s="297">
        <v>1</v>
      </c>
      <c r="C72" s="297">
        <v>1</v>
      </c>
      <c r="D72" s="297">
        <v>0</v>
      </c>
      <c r="E72" s="297">
        <v>0</v>
      </c>
    </row>
    <row r="73" spans="1:5">
      <c r="A73" s="304" t="s">
        <v>260</v>
      </c>
      <c r="B73" s="297">
        <v>2</v>
      </c>
      <c r="C73" s="297">
        <v>1</v>
      </c>
      <c r="D73" s="297">
        <v>1</v>
      </c>
      <c r="E73" s="297">
        <v>0</v>
      </c>
    </row>
    <row r="74" spans="1:5">
      <c r="A74" s="304" t="s">
        <v>63</v>
      </c>
      <c r="B74" s="297">
        <v>8</v>
      </c>
      <c r="C74" s="297">
        <v>6</v>
      </c>
      <c r="D74" s="297">
        <v>2</v>
      </c>
      <c r="E74" s="297">
        <v>0</v>
      </c>
    </row>
    <row r="75" spans="1:5">
      <c r="A75" s="304" t="s">
        <v>64</v>
      </c>
      <c r="B75" s="297">
        <v>6</v>
      </c>
      <c r="C75" s="297">
        <v>6</v>
      </c>
      <c r="D75" s="297">
        <v>0</v>
      </c>
      <c r="E75" s="297">
        <v>0</v>
      </c>
    </row>
    <row r="76" spans="1:5">
      <c r="A76" s="304" t="s">
        <v>65</v>
      </c>
      <c r="B76" s="297">
        <v>7</v>
      </c>
      <c r="C76" s="297">
        <v>3</v>
      </c>
      <c r="D76" s="297">
        <v>4</v>
      </c>
      <c r="E76" s="297">
        <v>0</v>
      </c>
    </row>
    <row r="77" spans="1:5">
      <c r="A77" s="304" t="s">
        <v>66</v>
      </c>
      <c r="B77" s="297">
        <v>10</v>
      </c>
      <c r="C77" s="297">
        <v>5</v>
      </c>
      <c r="D77" s="297">
        <v>5</v>
      </c>
      <c r="E77" s="297">
        <v>0</v>
      </c>
    </row>
    <row r="78" spans="1:5">
      <c r="A78" s="304" t="s">
        <v>67</v>
      </c>
      <c r="B78" s="297">
        <v>5</v>
      </c>
      <c r="C78" s="297">
        <v>4</v>
      </c>
      <c r="D78" s="297">
        <v>1</v>
      </c>
      <c r="E78" s="297">
        <v>0</v>
      </c>
    </row>
    <row r="79" spans="1:5">
      <c r="A79" s="304" t="s">
        <v>68</v>
      </c>
      <c r="B79" s="297">
        <v>11</v>
      </c>
      <c r="C79" s="297">
        <v>6</v>
      </c>
      <c r="D79" s="297">
        <v>5</v>
      </c>
      <c r="E79" s="297">
        <v>0</v>
      </c>
    </row>
    <row r="80" spans="1:5">
      <c r="A80" s="304" t="s">
        <v>69</v>
      </c>
      <c r="B80" s="297">
        <v>10</v>
      </c>
      <c r="C80" s="297">
        <v>6</v>
      </c>
      <c r="D80" s="297">
        <v>4</v>
      </c>
      <c r="E80" s="297">
        <v>0</v>
      </c>
    </row>
    <row r="81" spans="1:5">
      <c r="A81" s="304" t="s">
        <v>262</v>
      </c>
      <c r="B81" s="297">
        <v>20</v>
      </c>
      <c r="C81" s="297">
        <v>11</v>
      </c>
      <c r="D81" s="297">
        <v>9</v>
      </c>
      <c r="E81" s="297">
        <v>0</v>
      </c>
    </row>
    <row r="82" spans="1:5">
      <c r="A82" s="304" t="s">
        <v>263</v>
      </c>
      <c r="B82" s="297">
        <v>19</v>
      </c>
      <c r="C82" s="297">
        <v>10</v>
      </c>
      <c r="D82" s="297">
        <v>9</v>
      </c>
      <c r="E82" s="297">
        <v>0</v>
      </c>
    </row>
    <row r="83" spans="1:5">
      <c r="A83" s="304" t="s">
        <v>264</v>
      </c>
      <c r="B83" s="297">
        <v>20</v>
      </c>
      <c r="C83" s="297">
        <v>15</v>
      </c>
      <c r="D83" s="297">
        <v>5</v>
      </c>
      <c r="E83" s="297">
        <v>0</v>
      </c>
    </row>
    <row r="84" spans="1:5">
      <c r="A84" s="304" t="s">
        <v>265</v>
      </c>
      <c r="B84" s="297">
        <v>18</v>
      </c>
      <c r="C84" s="297">
        <v>11</v>
      </c>
      <c r="D84" s="297">
        <v>7</v>
      </c>
      <c r="E84" s="297">
        <v>0</v>
      </c>
    </row>
    <row r="85" spans="1:5">
      <c r="A85" s="304" t="s">
        <v>266</v>
      </c>
      <c r="B85" s="297">
        <v>146</v>
      </c>
      <c r="C85" s="297">
        <v>83</v>
      </c>
      <c r="D85" s="297">
        <v>63</v>
      </c>
      <c r="E85" s="297">
        <v>0</v>
      </c>
    </row>
    <row r="86" spans="1:5">
      <c r="A86" s="304" t="s">
        <v>504</v>
      </c>
      <c r="B86" s="297">
        <v>21</v>
      </c>
      <c r="C86" s="297">
        <v>11</v>
      </c>
      <c r="D86" s="297">
        <v>10</v>
      </c>
      <c r="E86" s="297">
        <v>0</v>
      </c>
    </row>
    <row r="87" spans="1:5" ht="5.0999999999999996" customHeight="1">
      <c r="A87" s="304"/>
      <c r="B87" s="297"/>
      <c r="C87" s="297"/>
      <c r="D87" s="297"/>
      <c r="E87" s="297"/>
    </row>
    <row r="88" spans="1:5">
      <c r="A88" s="303" t="s">
        <v>79</v>
      </c>
      <c r="B88" s="295">
        <v>563</v>
      </c>
      <c r="C88" s="295">
        <v>335</v>
      </c>
      <c r="D88" s="295">
        <v>228</v>
      </c>
      <c r="E88" s="295">
        <v>0</v>
      </c>
    </row>
    <row r="89" spans="1:5" ht="5.0999999999999996" customHeight="1">
      <c r="A89" s="304"/>
      <c r="B89" s="297"/>
      <c r="C89" s="297"/>
      <c r="D89" s="297"/>
      <c r="E89" s="297"/>
    </row>
    <row r="90" spans="1:5">
      <c r="A90" s="304" t="s">
        <v>503</v>
      </c>
      <c r="B90" s="297">
        <v>11</v>
      </c>
      <c r="C90" s="297">
        <v>2</v>
      </c>
      <c r="D90" s="297">
        <v>9</v>
      </c>
      <c r="E90" s="297">
        <v>0</v>
      </c>
    </row>
    <row r="91" spans="1:5">
      <c r="A91" s="304" t="s">
        <v>259</v>
      </c>
      <c r="B91" s="297">
        <v>1</v>
      </c>
      <c r="C91" s="297">
        <v>1</v>
      </c>
      <c r="D91" s="297">
        <v>0</v>
      </c>
      <c r="E91" s="297">
        <v>0</v>
      </c>
    </row>
    <row r="92" spans="1:5">
      <c r="A92" s="304" t="s">
        <v>260</v>
      </c>
      <c r="B92" s="297">
        <v>2</v>
      </c>
      <c r="C92" s="297">
        <v>0</v>
      </c>
      <c r="D92" s="297">
        <v>2</v>
      </c>
      <c r="E92" s="297">
        <v>0</v>
      </c>
    </row>
    <row r="93" spans="1:5">
      <c r="A93" s="304" t="s">
        <v>261</v>
      </c>
      <c r="B93" s="297">
        <v>3</v>
      </c>
      <c r="C93" s="297">
        <v>2</v>
      </c>
      <c r="D93" s="297">
        <v>1</v>
      </c>
      <c r="E93" s="297">
        <v>0</v>
      </c>
    </row>
    <row r="94" spans="1:5">
      <c r="A94" s="304" t="s">
        <v>63</v>
      </c>
      <c r="B94" s="297">
        <v>10</v>
      </c>
      <c r="C94" s="297">
        <v>5</v>
      </c>
      <c r="D94" s="297">
        <v>5</v>
      </c>
      <c r="E94" s="297">
        <v>0</v>
      </c>
    </row>
    <row r="95" spans="1:5">
      <c r="A95" s="304" t="s">
        <v>64</v>
      </c>
      <c r="B95" s="297">
        <v>19</v>
      </c>
      <c r="C95" s="297">
        <v>15</v>
      </c>
      <c r="D95" s="297">
        <v>4</v>
      </c>
      <c r="E95" s="297">
        <v>0</v>
      </c>
    </row>
    <row r="96" spans="1:5">
      <c r="A96" s="304" t="s">
        <v>65</v>
      </c>
      <c r="B96" s="297">
        <v>15</v>
      </c>
      <c r="C96" s="297">
        <v>12</v>
      </c>
      <c r="D96" s="297">
        <v>3</v>
      </c>
      <c r="E96" s="297">
        <v>0</v>
      </c>
    </row>
    <row r="97" spans="1:5">
      <c r="A97" s="304" t="s">
        <v>66</v>
      </c>
      <c r="B97" s="297">
        <v>15</v>
      </c>
      <c r="C97" s="297">
        <v>12</v>
      </c>
      <c r="D97" s="297">
        <v>3</v>
      </c>
      <c r="E97" s="297">
        <v>0</v>
      </c>
    </row>
    <row r="98" spans="1:5">
      <c r="A98" s="304" t="s">
        <v>67</v>
      </c>
      <c r="B98" s="297">
        <v>18</v>
      </c>
      <c r="C98" s="297">
        <v>11</v>
      </c>
      <c r="D98" s="297">
        <v>7</v>
      </c>
      <c r="E98" s="297">
        <v>0</v>
      </c>
    </row>
    <row r="99" spans="1:5">
      <c r="A99" s="304" t="s">
        <v>68</v>
      </c>
      <c r="B99" s="297">
        <v>20</v>
      </c>
      <c r="C99" s="297">
        <v>12</v>
      </c>
      <c r="D99" s="297">
        <v>8</v>
      </c>
      <c r="E99" s="297">
        <v>0</v>
      </c>
    </row>
    <row r="100" spans="1:5">
      <c r="A100" s="304" t="s">
        <v>69</v>
      </c>
      <c r="B100" s="297">
        <v>9</v>
      </c>
      <c r="C100" s="297">
        <v>5</v>
      </c>
      <c r="D100" s="297">
        <v>4</v>
      </c>
      <c r="E100" s="297">
        <v>0</v>
      </c>
    </row>
    <row r="101" spans="1:5">
      <c r="A101" s="304" t="s">
        <v>262</v>
      </c>
      <c r="B101" s="297">
        <v>22</v>
      </c>
      <c r="C101" s="297">
        <v>14</v>
      </c>
      <c r="D101" s="297">
        <v>8</v>
      </c>
      <c r="E101" s="297">
        <v>0</v>
      </c>
    </row>
    <row r="102" spans="1:5">
      <c r="A102" s="304" t="s">
        <v>263</v>
      </c>
      <c r="B102" s="297">
        <v>30</v>
      </c>
      <c r="C102" s="297">
        <v>21</v>
      </c>
      <c r="D102" s="297">
        <v>9</v>
      </c>
      <c r="E102" s="297">
        <v>0</v>
      </c>
    </row>
    <row r="103" spans="1:5">
      <c r="A103" s="304" t="s">
        <v>264</v>
      </c>
      <c r="B103" s="297">
        <v>40</v>
      </c>
      <c r="C103" s="297">
        <v>29</v>
      </c>
      <c r="D103" s="297">
        <v>11</v>
      </c>
      <c r="E103" s="297">
        <v>0</v>
      </c>
    </row>
    <row r="104" spans="1:5">
      <c r="A104" s="304" t="s">
        <v>265</v>
      </c>
      <c r="B104" s="297">
        <v>50</v>
      </c>
      <c r="C104" s="297">
        <v>27</v>
      </c>
      <c r="D104" s="297">
        <v>23</v>
      </c>
      <c r="E104" s="297">
        <v>0</v>
      </c>
    </row>
    <row r="105" spans="1:5">
      <c r="A105" s="304" t="s">
        <v>266</v>
      </c>
      <c r="B105" s="297">
        <v>291</v>
      </c>
      <c r="C105" s="297">
        <v>163</v>
      </c>
      <c r="D105" s="297">
        <v>128</v>
      </c>
      <c r="E105" s="297">
        <v>0</v>
      </c>
    </row>
    <row r="106" spans="1:5">
      <c r="A106" s="304" t="s">
        <v>504</v>
      </c>
      <c r="B106" s="297">
        <v>7</v>
      </c>
      <c r="C106" s="297">
        <v>4</v>
      </c>
      <c r="D106" s="297">
        <v>3</v>
      </c>
      <c r="E106" s="297">
        <v>0</v>
      </c>
    </row>
    <row r="107" spans="1:5" ht="5.0999999999999996" customHeight="1">
      <c r="A107" s="304"/>
      <c r="B107" s="297"/>
      <c r="C107" s="297"/>
      <c r="D107" s="297"/>
      <c r="E107" s="297"/>
    </row>
    <row r="108" spans="1:5">
      <c r="A108" s="303" t="s">
        <v>80</v>
      </c>
      <c r="B108" s="295">
        <v>209</v>
      </c>
      <c r="C108" s="295">
        <v>126</v>
      </c>
      <c r="D108" s="295">
        <v>83</v>
      </c>
      <c r="E108" s="295">
        <v>0</v>
      </c>
    </row>
    <row r="109" spans="1:5" ht="5.0999999999999996" customHeight="1">
      <c r="A109" s="304"/>
      <c r="B109" s="297"/>
      <c r="C109" s="297"/>
      <c r="D109" s="297"/>
      <c r="E109" s="297"/>
    </row>
    <row r="110" spans="1:5">
      <c r="A110" s="304" t="s">
        <v>503</v>
      </c>
      <c r="B110" s="297">
        <v>1</v>
      </c>
      <c r="C110" s="297">
        <v>1</v>
      </c>
      <c r="D110" s="297">
        <v>0</v>
      </c>
      <c r="E110" s="297">
        <v>0</v>
      </c>
    </row>
    <row r="111" spans="1:5">
      <c r="A111" s="304" t="s">
        <v>261</v>
      </c>
      <c r="B111" s="297">
        <v>1</v>
      </c>
      <c r="C111" s="297">
        <v>0</v>
      </c>
      <c r="D111" s="297">
        <v>1</v>
      </c>
      <c r="E111" s="297">
        <v>0</v>
      </c>
    </row>
    <row r="112" spans="1:5">
      <c r="A112" s="304" t="s">
        <v>63</v>
      </c>
      <c r="B112" s="297">
        <v>3</v>
      </c>
      <c r="C112" s="297">
        <v>3</v>
      </c>
      <c r="D112" s="297">
        <v>0</v>
      </c>
      <c r="E112" s="297">
        <v>0</v>
      </c>
    </row>
    <row r="113" spans="1:5">
      <c r="A113" s="304" t="s">
        <v>64</v>
      </c>
      <c r="B113" s="297">
        <v>4</v>
      </c>
      <c r="C113" s="297">
        <v>1</v>
      </c>
      <c r="D113" s="297">
        <v>3</v>
      </c>
      <c r="E113" s="297">
        <v>0</v>
      </c>
    </row>
    <row r="114" spans="1:5">
      <c r="A114" s="304" t="s">
        <v>65</v>
      </c>
      <c r="B114" s="297">
        <v>1</v>
      </c>
      <c r="C114" s="297">
        <v>1</v>
      </c>
      <c r="D114" s="297">
        <v>0</v>
      </c>
      <c r="E114" s="297">
        <v>0</v>
      </c>
    </row>
    <row r="115" spans="1:5">
      <c r="A115" s="304" t="s">
        <v>66</v>
      </c>
      <c r="B115" s="297">
        <v>2</v>
      </c>
      <c r="C115" s="297">
        <v>2</v>
      </c>
      <c r="D115" s="297">
        <v>0</v>
      </c>
      <c r="E115" s="297">
        <v>0</v>
      </c>
    </row>
    <row r="116" spans="1:5">
      <c r="A116" s="304" t="s">
        <v>67</v>
      </c>
      <c r="B116" s="297">
        <v>5</v>
      </c>
      <c r="C116" s="297">
        <v>4</v>
      </c>
      <c r="D116" s="297">
        <v>1</v>
      </c>
      <c r="E116" s="297">
        <v>0</v>
      </c>
    </row>
    <row r="117" spans="1:5">
      <c r="A117" s="304" t="s">
        <v>68</v>
      </c>
      <c r="B117" s="297">
        <v>6</v>
      </c>
      <c r="C117" s="297">
        <v>3</v>
      </c>
      <c r="D117" s="297">
        <v>3</v>
      </c>
      <c r="E117" s="297">
        <v>0</v>
      </c>
    </row>
    <row r="118" spans="1:5">
      <c r="A118" s="304" t="s">
        <v>69</v>
      </c>
      <c r="B118" s="297">
        <v>11</v>
      </c>
      <c r="C118" s="297">
        <v>7</v>
      </c>
      <c r="D118" s="297">
        <v>4</v>
      </c>
      <c r="E118" s="297">
        <v>0</v>
      </c>
    </row>
    <row r="119" spans="1:5">
      <c r="A119" s="304" t="s">
        <v>262</v>
      </c>
      <c r="B119" s="297">
        <v>7</v>
      </c>
      <c r="C119" s="297">
        <v>6</v>
      </c>
      <c r="D119" s="297">
        <v>1</v>
      </c>
      <c r="E119" s="297">
        <v>0</v>
      </c>
    </row>
    <row r="120" spans="1:5">
      <c r="A120" s="304" t="s">
        <v>263</v>
      </c>
      <c r="B120" s="297">
        <v>9</v>
      </c>
      <c r="C120" s="297">
        <v>5</v>
      </c>
      <c r="D120" s="297">
        <v>4</v>
      </c>
      <c r="E120" s="297">
        <v>0</v>
      </c>
    </row>
    <row r="121" spans="1:5">
      <c r="A121" s="304" t="s">
        <v>264</v>
      </c>
      <c r="B121" s="297">
        <v>15</v>
      </c>
      <c r="C121" s="297">
        <v>14</v>
      </c>
      <c r="D121" s="297">
        <v>1</v>
      </c>
      <c r="E121" s="297">
        <v>0</v>
      </c>
    </row>
    <row r="122" spans="1:5">
      <c r="A122" s="304" t="s">
        <v>265</v>
      </c>
      <c r="B122" s="297">
        <v>11</v>
      </c>
      <c r="C122" s="297">
        <v>5</v>
      </c>
      <c r="D122" s="297">
        <v>6</v>
      </c>
      <c r="E122" s="297">
        <v>0</v>
      </c>
    </row>
    <row r="123" spans="1:5">
      <c r="A123" s="304" t="s">
        <v>266</v>
      </c>
      <c r="B123" s="297">
        <v>116</v>
      </c>
      <c r="C123" s="297">
        <v>64</v>
      </c>
      <c r="D123" s="297">
        <v>52</v>
      </c>
      <c r="E123" s="297">
        <v>0</v>
      </c>
    </row>
    <row r="124" spans="1:5">
      <c r="A124" s="304" t="s">
        <v>504</v>
      </c>
      <c r="B124" s="297">
        <v>17</v>
      </c>
      <c r="C124" s="297">
        <v>10</v>
      </c>
      <c r="D124" s="297">
        <v>7</v>
      </c>
      <c r="E124" s="297">
        <v>0</v>
      </c>
    </row>
    <row r="125" spans="1:5" ht="5.0999999999999996" customHeight="1">
      <c r="A125" s="304"/>
      <c r="B125" s="297"/>
      <c r="C125" s="297"/>
      <c r="D125" s="297"/>
      <c r="E125" s="297"/>
    </row>
    <row r="126" spans="1:5">
      <c r="A126" s="303" t="s">
        <v>81</v>
      </c>
      <c r="B126" s="295">
        <v>1675</v>
      </c>
      <c r="C126" s="295">
        <v>1002</v>
      </c>
      <c r="D126" s="295">
        <v>673</v>
      </c>
      <c r="E126" s="295">
        <v>0</v>
      </c>
    </row>
    <row r="127" spans="1:5" ht="5.0999999999999996" customHeight="1">
      <c r="A127" s="304"/>
      <c r="B127" s="297"/>
      <c r="C127" s="297"/>
      <c r="D127" s="297"/>
      <c r="E127" s="297"/>
    </row>
    <row r="128" spans="1:5">
      <c r="A128" s="304" t="s">
        <v>503</v>
      </c>
      <c r="B128" s="297">
        <v>92</v>
      </c>
      <c r="C128" s="297">
        <v>60</v>
      </c>
      <c r="D128" s="297">
        <v>32</v>
      </c>
      <c r="E128" s="297">
        <v>0</v>
      </c>
    </row>
    <row r="129" spans="1:5">
      <c r="A129" s="304" t="s">
        <v>259</v>
      </c>
      <c r="B129" s="297">
        <v>9</v>
      </c>
      <c r="C129" s="297">
        <v>7</v>
      </c>
      <c r="D129" s="297">
        <v>2</v>
      </c>
      <c r="E129" s="297">
        <v>0</v>
      </c>
    </row>
    <row r="130" spans="1:5">
      <c r="A130" s="304" t="s">
        <v>260</v>
      </c>
      <c r="B130" s="297">
        <v>7</v>
      </c>
      <c r="C130" s="297">
        <v>3</v>
      </c>
      <c r="D130" s="297">
        <v>4</v>
      </c>
      <c r="E130" s="297">
        <v>0</v>
      </c>
    </row>
    <row r="131" spans="1:5">
      <c r="A131" s="304" t="s">
        <v>261</v>
      </c>
      <c r="B131" s="297">
        <v>8</v>
      </c>
      <c r="C131" s="297">
        <v>6</v>
      </c>
      <c r="D131" s="297">
        <v>2</v>
      </c>
      <c r="E131" s="297">
        <v>0</v>
      </c>
    </row>
    <row r="132" spans="1:5">
      <c r="A132" s="304" t="s">
        <v>63</v>
      </c>
      <c r="B132" s="297">
        <v>30</v>
      </c>
      <c r="C132" s="297">
        <v>20</v>
      </c>
      <c r="D132" s="297">
        <v>10</v>
      </c>
      <c r="E132" s="297">
        <v>0</v>
      </c>
    </row>
    <row r="133" spans="1:5">
      <c r="A133" s="304" t="s">
        <v>64</v>
      </c>
      <c r="B133" s="297">
        <v>45</v>
      </c>
      <c r="C133" s="297">
        <v>33</v>
      </c>
      <c r="D133" s="297">
        <v>12</v>
      </c>
      <c r="E133" s="297">
        <v>0</v>
      </c>
    </row>
    <row r="134" spans="1:5">
      <c r="A134" s="304" t="s">
        <v>65</v>
      </c>
      <c r="B134" s="297">
        <v>60</v>
      </c>
      <c r="C134" s="297">
        <v>42</v>
      </c>
      <c r="D134" s="297">
        <v>18</v>
      </c>
      <c r="E134" s="297">
        <v>0</v>
      </c>
    </row>
    <row r="135" spans="1:5">
      <c r="A135" s="304" t="s">
        <v>66</v>
      </c>
      <c r="B135" s="297">
        <v>44</v>
      </c>
      <c r="C135" s="297">
        <v>26</v>
      </c>
      <c r="D135" s="297">
        <v>18</v>
      </c>
      <c r="E135" s="297">
        <v>0</v>
      </c>
    </row>
    <row r="136" spans="1:5">
      <c r="A136" s="304" t="s">
        <v>67</v>
      </c>
      <c r="B136" s="297">
        <v>53</v>
      </c>
      <c r="C136" s="297">
        <v>42</v>
      </c>
      <c r="D136" s="297">
        <v>11</v>
      </c>
      <c r="E136" s="297">
        <v>0</v>
      </c>
    </row>
    <row r="137" spans="1:5">
      <c r="A137" s="304" t="s">
        <v>68</v>
      </c>
      <c r="B137" s="297">
        <v>51</v>
      </c>
      <c r="C137" s="297">
        <v>38</v>
      </c>
      <c r="D137" s="297">
        <v>13</v>
      </c>
      <c r="E137" s="297">
        <v>0</v>
      </c>
    </row>
    <row r="138" spans="1:5">
      <c r="A138" s="304" t="s">
        <v>69</v>
      </c>
      <c r="B138" s="297">
        <v>55</v>
      </c>
      <c r="C138" s="297">
        <v>36</v>
      </c>
      <c r="D138" s="297">
        <v>19</v>
      </c>
      <c r="E138" s="297">
        <v>0</v>
      </c>
    </row>
    <row r="139" spans="1:5">
      <c r="A139" s="304" t="s">
        <v>262</v>
      </c>
      <c r="B139" s="297">
        <v>86</v>
      </c>
      <c r="C139" s="297">
        <v>48</v>
      </c>
      <c r="D139" s="297">
        <v>38</v>
      </c>
      <c r="E139" s="297">
        <v>0</v>
      </c>
    </row>
    <row r="140" spans="1:5">
      <c r="A140" s="304" t="s">
        <v>263</v>
      </c>
      <c r="B140" s="297">
        <v>95</v>
      </c>
      <c r="C140" s="297">
        <v>57</v>
      </c>
      <c r="D140" s="297">
        <v>38</v>
      </c>
      <c r="E140" s="297">
        <v>0</v>
      </c>
    </row>
    <row r="141" spans="1:5">
      <c r="A141" s="304" t="s">
        <v>264</v>
      </c>
      <c r="B141" s="297">
        <v>120</v>
      </c>
      <c r="C141" s="297">
        <v>73</v>
      </c>
      <c r="D141" s="297">
        <v>47</v>
      </c>
      <c r="E141" s="297">
        <v>0</v>
      </c>
    </row>
    <row r="142" spans="1:5">
      <c r="A142" s="304" t="s">
        <v>265</v>
      </c>
      <c r="B142" s="297">
        <v>133</v>
      </c>
      <c r="C142" s="297">
        <v>87</v>
      </c>
      <c r="D142" s="297">
        <v>46</v>
      </c>
      <c r="E142" s="297">
        <v>0</v>
      </c>
    </row>
    <row r="143" spans="1:5">
      <c r="A143" s="304" t="s">
        <v>266</v>
      </c>
      <c r="B143" s="297">
        <v>754</v>
      </c>
      <c r="C143" s="297">
        <v>407</v>
      </c>
      <c r="D143" s="297">
        <v>347</v>
      </c>
      <c r="E143" s="297">
        <v>0</v>
      </c>
    </row>
    <row r="144" spans="1:5">
      <c r="A144" s="304" t="s">
        <v>504</v>
      </c>
      <c r="B144" s="297">
        <v>33</v>
      </c>
      <c r="C144" s="297">
        <v>17</v>
      </c>
      <c r="D144" s="297">
        <v>16</v>
      </c>
      <c r="E144" s="297">
        <v>0</v>
      </c>
    </row>
    <row r="145" spans="1:5" ht="5.0999999999999996" customHeight="1">
      <c r="A145" s="304"/>
      <c r="B145" s="297"/>
      <c r="C145" s="297"/>
      <c r="D145" s="297"/>
      <c r="E145" s="297"/>
    </row>
    <row r="146" spans="1:5">
      <c r="A146" s="303" t="s">
        <v>82</v>
      </c>
      <c r="B146" s="295">
        <v>145</v>
      </c>
      <c r="C146" s="295">
        <v>89</v>
      </c>
      <c r="D146" s="295">
        <v>56</v>
      </c>
      <c r="E146" s="295">
        <v>0</v>
      </c>
    </row>
    <row r="147" spans="1:5" ht="5.0999999999999996" customHeight="1">
      <c r="A147" s="304"/>
      <c r="B147" s="297"/>
      <c r="C147" s="297"/>
      <c r="D147" s="297"/>
      <c r="E147" s="297"/>
    </row>
    <row r="148" spans="1:5">
      <c r="A148" s="304" t="s">
        <v>503</v>
      </c>
      <c r="B148" s="297">
        <v>1</v>
      </c>
      <c r="C148" s="297">
        <v>0</v>
      </c>
      <c r="D148" s="297">
        <v>1</v>
      </c>
      <c r="E148" s="297">
        <v>0</v>
      </c>
    </row>
    <row r="149" spans="1:5">
      <c r="A149" s="304" t="s">
        <v>259</v>
      </c>
      <c r="B149" s="297">
        <v>2</v>
      </c>
      <c r="C149" s="297">
        <v>2</v>
      </c>
      <c r="D149" s="297">
        <v>0</v>
      </c>
      <c r="E149" s="297">
        <v>0</v>
      </c>
    </row>
    <row r="150" spans="1:5">
      <c r="A150" s="304" t="s">
        <v>261</v>
      </c>
      <c r="B150" s="297">
        <v>1</v>
      </c>
      <c r="C150" s="297">
        <v>1</v>
      </c>
      <c r="D150" s="297">
        <v>0</v>
      </c>
      <c r="E150" s="297">
        <v>0</v>
      </c>
    </row>
    <row r="151" spans="1:5">
      <c r="A151" s="304" t="s">
        <v>63</v>
      </c>
      <c r="B151" s="297">
        <v>2</v>
      </c>
      <c r="C151" s="297">
        <v>0</v>
      </c>
      <c r="D151" s="297">
        <v>2</v>
      </c>
      <c r="E151" s="297">
        <v>0</v>
      </c>
    </row>
    <row r="152" spans="1:5">
      <c r="A152" s="304" t="s">
        <v>64</v>
      </c>
      <c r="B152" s="297">
        <v>5</v>
      </c>
      <c r="C152" s="297">
        <v>3</v>
      </c>
      <c r="D152" s="297">
        <v>2</v>
      </c>
      <c r="E152" s="297">
        <v>0</v>
      </c>
    </row>
    <row r="153" spans="1:5">
      <c r="A153" s="304" t="s">
        <v>65</v>
      </c>
      <c r="B153" s="297">
        <v>4</v>
      </c>
      <c r="C153" s="297">
        <v>2</v>
      </c>
      <c r="D153" s="297">
        <v>2</v>
      </c>
      <c r="E153" s="297">
        <v>0</v>
      </c>
    </row>
    <row r="154" spans="1:5">
      <c r="A154" s="304" t="s">
        <v>67</v>
      </c>
      <c r="B154" s="297">
        <v>7</v>
      </c>
      <c r="C154" s="297">
        <v>7</v>
      </c>
      <c r="D154" s="297">
        <v>0</v>
      </c>
      <c r="E154" s="297">
        <v>0</v>
      </c>
    </row>
    <row r="155" spans="1:5">
      <c r="A155" s="304" t="s">
        <v>68</v>
      </c>
      <c r="B155" s="297">
        <v>4</v>
      </c>
      <c r="C155" s="297">
        <v>2</v>
      </c>
      <c r="D155" s="297">
        <v>2</v>
      </c>
      <c r="E155" s="297">
        <v>0</v>
      </c>
    </row>
    <row r="156" spans="1:5">
      <c r="A156" s="304" t="s">
        <v>69</v>
      </c>
      <c r="B156" s="297">
        <v>5</v>
      </c>
      <c r="C156" s="297">
        <v>3</v>
      </c>
      <c r="D156" s="297">
        <v>2</v>
      </c>
      <c r="E156" s="297">
        <v>0</v>
      </c>
    </row>
    <row r="157" spans="1:5">
      <c r="A157" s="304" t="s">
        <v>262</v>
      </c>
      <c r="B157" s="297">
        <v>3</v>
      </c>
      <c r="C157" s="297">
        <v>2</v>
      </c>
      <c r="D157" s="297">
        <v>1</v>
      </c>
      <c r="E157" s="297">
        <v>0</v>
      </c>
    </row>
    <row r="158" spans="1:5">
      <c r="A158" s="304" t="s">
        <v>263</v>
      </c>
      <c r="B158" s="297">
        <v>9</v>
      </c>
      <c r="C158" s="297">
        <v>5</v>
      </c>
      <c r="D158" s="297">
        <v>4</v>
      </c>
      <c r="E158" s="297">
        <v>0</v>
      </c>
    </row>
    <row r="159" spans="1:5">
      <c r="A159" s="304" t="s">
        <v>264</v>
      </c>
      <c r="B159" s="297">
        <v>6</v>
      </c>
      <c r="C159" s="297">
        <v>4</v>
      </c>
      <c r="D159" s="297">
        <v>2</v>
      </c>
      <c r="E159" s="297">
        <v>0</v>
      </c>
    </row>
    <row r="160" spans="1:5">
      <c r="A160" s="304" t="s">
        <v>265</v>
      </c>
      <c r="B160" s="297">
        <v>17</v>
      </c>
      <c r="C160" s="297">
        <v>8</v>
      </c>
      <c r="D160" s="297">
        <v>9</v>
      </c>
      <c r="E160" s="297">
        <v>0</v>
      </c>
    </row>
    <row r="161" spans="1:5">
      <c r="A161" s="304" t="s">
        <v>266</v>
      </c>
      <c r="B161" s="297">
        <v>78</v>
      </c>
      <c r="C161" s="297">
        <v>50</v>
      </c>
      <c r="D161" s="297">
        <v>28</v>
      </c>
      <c r="E161" s="297">
        <v>0</v>
      </c>
    </row>
    <row r="162" spans="1:5">
      <c r="A162" s="304" t="s">
        <v>504</v>
      </c>
      <c r="B162" s="297">
        <v>1</v>
      </c>
      <c r="C162" s="297">
        <v>0</v>
      </c>
      <c r="D162" s="297">
        <v>1</v>
      </c>
      <c r="E162" s="297">
        <v>0</v>
      </c>
    </row>
    <row r="163" spans="1:5" ht="5.0999999999999996" customHeight="1">
      <c r="A163" s="304"/>
      <c r="B163" s="297"/>
      <c r="C163" s="297"/>
      <c r="D163" s="297"/>
      <c r="E163" s="297"/>
    </row>
    <row r="164" spans="1:5">
      <c r="A164" s="303" t="s">
        <v>83</v>
      </c>
      <c r="B164" s="295">
        <v>190</v>
      </c>
      <c r="C164" s="295">
        <v>110</v>
      </c>
      <c r="D164" s="295">
        <v>80</v>
      </c>
      <c r="E164" s="295">
        <v>0</v>
      </c>
    </row>
    <row r="165" spans="1:5" ht="5.0999999999999996" customHeight="1">
      <c r="A165" s="304"/>
      <c r="B165" s="297"/>
      <c r="C165" s="297"/>
      <c r="D165" s="297"/>
      <c r="E165" s="297"/>
    </row>
    <row r="166" spans="1:5">
      <c r="A166" s="304" t="s">
        <v>260</v>
      </c>
      <c r="B166" s="297">
        <v>2</v>
      </c>
      <c r="C166" s="297">
        <v>2</v>
      </c>
      <c r="D166" s="297">
        <v>0</v>
      </c>
      <c r="E166" s="297">
        <v>0</v>
      </c>
    </row>
    <row r="167" spans="1:5">
      <c r="A167" s="304" t="s">
        <v>261</v>
      </c>
      <c r="B167" s="297">
        <v>1</v>
      </c>
      <c r="C167" s="297">
        <v>0</v>
      </c>
      <c r="D167" s="297">
        <v>1</v>
      </c>
      <c r="E167" s="297">
        <v>0</v>
      </c>
    </row>
    <row r="168" spans="1:5">
      <c r="A168" s="304" t="s">
        <v>63</v>
      </c>
      <c r="B168" s="297">
        <v>6</v>
      </c>
      <c r="C168" s="297">
        <v>6</v>
      </c>
      <c r="D168" s="297">
        <v>0</v>
      </c>
      <c r="E168" s="297">
        <v>0</v>
      </c>
    </row>
    <row r="169" spans="1:5">
      <c r="A169" s="304" t="s">
        <v>64</v>
      </c>
      <c r="B169" s="297">
        <v>1</v>
      </c>
      <c r="C169" s="297">
        <v>1</v>
      </c>
      <c r="D169" s="297">
        <v>0</v>
      </c>
      <c r="E169" s="297">
        <v>0</v>
      </c>
    </row>
    <row r="170" spans="1:5">
      <c r="A170" s="304" t="s">
        <v>65</v>
      </c>
      <c r="B170" s="297">
        <v>7</v>
      </c>
      <c r="C170" s="297">
        <v>2</v>
      </c>
      <c r="D170" s="297">
        <v>5</v>
      </c>
      <c r="E170" s="297">
        <v>0</v>
      </c>
    </row>
    <row r="171" spans="1:5">
      <c r="A171" s="304" t="s">
        <v>66</v>
      </c>
      <c r="B171" s="297">
        <v>4</v>
      </c>
      <c r="C171" s="297">
        <v>1</v>
      </c>
      <c r="D171" s="297">
        <v>3</v>
      </c>
      <c r="E171" s="297">
        <v>0</v>
      </c>
    </row>
    <row r="172" spans="1:5">
      <c r="A172" s="304" t="s">
        <v>67</v>
      </c>
      <c r="B172" s="297">
        <v>4</v>
      </c>
      <c r="C172" s="297">
        <v>3</v>
      </c>
      <c r="D172" s="297">
        <v>1</v>
      </c>
      <c r="E172" s="297">
        <v>0</v>
      </c>
    </row>
    <row r="173" spans="1:5">
      <c r="A173" s="304" t="s">
        <v>68</v>
      </c>
      <c r="B173" s="297">
        <v>6</v>
      </c>
      <c r="C173" s="297">
        <v>5</v>
      </c>
      <c r="D173" s="297">
        <v>1</v>
      </c>
      <c r="E173" s="297">
        <v>0</v>
      </c>
    </row>
    <row r="174" spans="1:5">
      <c r="A174" s="304" t="s">
        <v>69</v>
      </c>
      <c r="B174" s="297">
        <v>8</v>
      </c>
      <c r="C174" s="297">
        <v>4</v>
      </c>
      <c r="D174" s="297">
        <v>4</v>
      </c>
      <c r="E174" s="297">
        <v>0</v>
      </c>
    </row>
    <row r="175" spans="1:5">
      <c r="A175" s="304" t="s">
        <v>262</v>
      </c>
      <c r="B175" s="297">
        <v>6</v>
      </c>
      <c r="C175" s="297">
        <v>6</v>
      </c>
      <c r="D175" s="297">
        <v>0</v>
      </c>
      <c r="E175" s="297">
        <v>0</v>
      </c>
    </row>
    <row r="176" spans="1:5">
      <c r="A176" s="304" t="s">
        <v>263</v>
      </c>
      <c r="B176" s="297">
        <v>12</v>
      </c>
      <c r="C176" s="297">
        <v>6</v>
      </c>
      <c r="D176" s="297">
        <v>6</v>
      </c>
      <c r="E176" s="297">
        <v>0</v>
      </c>
    </row>
    <row r="177" spans="1:5">
      <c r="A177" s="304" t="s">
        <v>264</v>
      </c>
      <c r="B177" s="297">
        <v>8</v>
      </c>
      <c r="C177" s="297">
        <v>3</v>
      </c>
      <c r="D177" s="297">
        <v>5</v>
      </c>
      <c r="E177" s="297">
        <v>0</v>
      </c>
    </row>
    <row r="178" spans="1:5">
      <c r="A178" s="304" t="s">
        <v>265</v>
      </c>
      <c r="B178" s="297">
        <v>13</v>
      </c>
      <c r="C178" s="297">
        <v>7</v>
      </c>
      <c r="D178" s="297">
        <v>6</v>
      </c>
      <c r="E178" s="297">
        <v>0</v>
      </c>
    </row>
    <row r="179" spans="1:5">
      <c r="A179" s="304" t="s">
        <v>266</v>
      </c>
      <c r="B179" s="297">
        <v>107</v>
      </c>
      <c r="C179" s="297">
        <v>60</v>
      </c>
      <c r="D179" s="297">
        <v>47</v>
      </c>
      <c r="E179" s="297">
        <v>0</v>
      </c>
    </row>
    <row r="180" spans="1:5">
      <c r="A180" s="304" t="s">
        <v>504</v>
      </c>
      <c r="B180" s="297">
        <v>5</v>
      </c>
      <c r="C180" s="297">
        <v>4</v>
      </c>
      <c r="D180" s="297">
        <v>1</v>
      </c>
      <c r="E180" s="297">
        <v>0</v>
      </c>
    </row>
    <row r="181" spans="1:5" ht="5.0999999999999996" customHeight="1">
      <c r="A181" s="304"/>
      <c r="B181" s="297"/>
      <c r="C181" s="297"/>
      <c r="D181" s="297"/>
      <c r="E181" s="297"/>
    </row>
    <row r="182" spans="1:5">
      <c r="A182" s="303" t="s">
        <v>84</v>
      </c>
      <c r="B182" s="295">
        <v>836</v>
      </c>
      <c r="C182" s="295">
        <v>509</v>
      </c>
      <c r="D182" s="295">
        <v>327</v>
      </c>
      <c r="E182" s="295">
        <v>0</v>
      </c>
    </row>
    <row r="183" spans="1:5" ht="5.0999999999999996" customHeight="1">
      <c r="A183" s="304"/>
      <c r="B183" s="297"/>
      <c r="C183" s="297"/>
      <c r="D183" s="297"/>
      <c r="E183" s="297"/>
    </row>
    <row r="184" spans="1:5">
      <c r="A184" s="304" t="s">
        <v>259</v>
      </c>
      <c r="B184" s="297">
        <v>4</v>
      </c>
      <c r="C184" s="297">
        <v>3</v>
      </c>
      <c r="D184" s="297">
        <v>1</v>
      </c>
      <c r="E184" s="297">
        <v>0</v>
      </c>
    </row>
    <row r="185" spans="1:5">
      <c r="A185" s="304" t="s">
        <v>260</v>
      </c>
      <c r="B185" s="297">
        <v>4</v>
      </c>
      <c r="C185" s="297">
        <v>1</v>
      </c>
      <c r="D185" s="297">
        <v>3</v>
      </c>
      <c r="E185" s="297">
        <v>0</v>
      </c>
    </row>
    <row r="186" spans="1:5">
      <c r="A186" s="304" t="s">
        <v>261</v>
      </c>
      <c r="B186" s="297">
        <v>1</v>
      </c>
      <c r="C186" s="297">
        <v>0</v>
      </c>
      <c r="D186" s="297">
        <v>1</v>
      </c>
      <c r="E186" s="297">
        <v>0</v>
      </c>
    </row>
    <row r="187" spans="1:5">
      <c r="A187" s="304" t="s">
        <v>63</v>
      </c>
      <c r="B187" s="297">
        <v>16</v>
      </c>
      <c r="C187" s="297">
        <v>12</v>
      </c>
      <c r="D187" s="297">
        <v>4</v>
      </c>
      <c r="E187" s="297">
        <v>0</v>
      </c>
    </row>
    <row r="188" spans="1:5">
      <c r="A188" s="304" t="s">
        <v>64</v>
      </c>
      <c r="B188" s="297">
        <v>13</v>
      </c>
      <c r="C188" s="297">
        <v>9</v>
      </c>
      <c r="D188" s="297">
        <v>4</v>
      </c>
      <c r="E188" s="297">
        <v>0</v>
      </c>
    </row>
    <row r="189" spans="1:5">
      <c r="A189" s="304" t="s">
        <v>65</v>
      </c>
      <c r="B189" s="297">
        <v>19</v>
      </c>
      <c r="C189" s="297">
        <v>15</v>
      </c>
      <c r="D189" s="297">
        <v>4</v>
      </c>
      <c r="E189" s="297">
        <v>0</v>
      </c>
    </row>
    <row r="190" spans="1:5">
      <c r="A190" s="304" t="s">
        <v>66</v>
      </c>
      <c r="B190" s="297">
        <v>23</v>
      </c>
      <c r="C190" s="297">
        <v>14</v>
      </c>
      <c r="D190" s="297">
        <v>9</v>
      </c>
      <c r="E190" s="297">
        <v>0</v>
      </c>
    </row>
    <row r="191" spans="1:5">
      <c r="A191" s="304" t="s">
        <v>67</v>
      </c>
      <c r="B191" s="297">
        <v>19</v>
      </c>
      <c r="C191" s="297">
        <v>9</v>
      </c>
      <c r="D191" s="297">
        <v>10</v>
      </c>
      <c r="E191" s="297">
        <v>0</v>
      </c>
    </row>
    <row r="192" spans="1:5">
      <c r="A192" s="304" t="s">
        <v>68</v>
      </c>
      <c r="B192" s="297">
        <v>26</v>
      </c>
      <c r="C192" s="297">
        <v>19</v>
      </c>
      <c r="D192" s="297">
        <v>7</v>
      </c>
      <c r="E192" s="297">
        <v>0</v>
      </c>
    </row>
    <row r="193" spans="1:5">
      <c r="A193" s="304" t="s">
        <v>69</v>
      </c>
      <c r="B193" s="297">
        <v>41</v>
      </c>
      <c r="C193" s="297">
        <v>27</v>
      </c>
      <c r="D193" s="297">
        <v>14</v>
      </c>
      <c r="E193" s="297">
        <v>0</v>
      </c>
    </row>
    <row r="194" spans="1:5">
      <c r="A194" s="304" t="s">
        <v>262</v>
      </c>
      <c r="B194" s="297">
        <v>33</v>
      </c>
      <c r="C194" s="297">
        <v>25</v>
      </c>
      <c r="D194" s="297">
        <v>8</v>
      </c>
      <c r="E194" s="297">
        <v>0</v>
      </c>
    </row>
    <row r="195" spans="1:5">
      <c r="A195" s="304" t="s">
        <v>263</v>
      </c>
      <c r="B195" s="297">
        <v>48</v>
      </c>
      <c r="C195" s="297">
        <v>34</v>
      </c>
      <c r="D195" s="297">
        <v>14</v>
      </c>
      <c r="E195" s="297">
        <v>0</v>
      </c>
    </row>
    <row r="196" spans="1:5">
      <c r="A196" s="304" t="s">
        <v>264</v>
      </c>
      <c r="B196" s="297">
        <v>62</v>
      </c>
      <c r="C196" s="297">
        <v>45</v>
      </c>
      <c r="D196" s="297">
        <v>17</v>
      </c>
      <c r="E196" s="297">
        <v>0</v>
      </c>
    </row>
    <row r="197" spans="1:5">
      <c r="A197" s="304" t="s">
        <v>265</v>
      </c>
      <c r="B197" s="297">
        <v>53</v>
      </c>
      <c r="C197" s="297">
        <v>39</v>
      </c>
      <c r="D197" s="297">
        <v>14</v>
      </c>
      <c r="E197" s="297">
        <v>0</v>
      </c>
    </row>
    <row r="198" spans="1:5">
      <c r="A198" s="304" t="s">
        <v>266</v>
      </c>
      <c r="B198" s="297">
        <v>449</v>
      </c>
      <c r="C198" s="297">
        <v>246</v>
      </c>
      <c r="D198" s="297">
        <v>203</v>
      </c>
      <c r="E198" s="297">
        <v>0</v>
      </c>
    </row>
    <row r="199" spans="1:5">
      <c r="A199" s="304" t="s">
        <v>504</v>
      </c>
      <c r="B199" s="297">
        <v>25</v>
      </c>
      <c r="C199" s="297">
        <v>11</v>
      </c>
      <c r="D199" s="297">
        <v>14</v>
      </c>
      <c r="E199" s="297">
        <v>0</v>
      </c>
    </row>
    <row r="200" spans="1:5" ht="5.0999999999999996" customHeight="1">
      <c r="A200" s="304"/>
      <c r="B200" s="297"/>
      <c r="C200" s="297"/>
      <c r="D200" s="297"/>
      <c r="E200" s="297"/>
    </row>
    <row r="201" spans="1:5">
      <c r="A201" s="303" t="s">
        <v>85</v>
      </c>
      <c r="B201" s="295">
        <v>182</v>
      </c>
      <c r="C201" s="295">
        <v>128</v>
      </c>
      <c r="D201" s="295">
        <v>54</v>
      </c>
      <c r="E201" s="295">
        <v>0</v>
      </c>
    </row>
    <row r="202" spans="1:5" ht="5.0999999999999996" customHeight="1">
      <c r="A202" s="304"/>
      <c r="B202" s="297"/>
      <c r="C202" s="297"/>
      <c r="D202" s="297"/>
      <c r="E202" s="297"/>
    </row>
    <row r="203" spans="1:5">
      <c r="A203" s="304" t="s">
        <v>503</v>
      </c>
      <c r="B203" s="297">
        <v>2</v>
      </c>
      <c r="C203" s="297">
        <v>1</v>
      </c>
      <c r="D203" s="297">
        <v>1</v>
      </c>
      <c r="E203" s="297">
        <v>0</v>
      </c>
    </row>
    <row r="204" spans="1:5">
      <c r="A204" s="304" t="s">
        <v>261</v>
      </c>
      <c r="B204" s="297">
        <v>1</v>
      </c>
      <c r="C204" s="297">
        <v>1</v>
      </c>
      <c r="D204" s="297">
        <v>0</v>
      </c>
      <c r="E204" s="297">
        <v>0</v>
      </c>
    </row>
    <row r="205" spans="1:5">
      <c r="A205" s="304" t="s">
        <v>63</v>
      </c>
      <c r="B205" s="297">
        <v>4</v>
      </c>
      <c r="C205" s="297">
        <v>4</v>
      </c>
      <c r="D205" s="297">
        <v>0</v>
      </c>
      <c r="E205" s="297">
        <v>0</v>
      </c>
    </row>
    <row r="206" spans="1:5">
      <c r="A206" s="304" t="s">
        <v>64</v>
      </c>
      <c r="B206" s="297">
        <v>1</v>
      </c>
      <c r="C206" s="297">
        <v>1</v>
      </c>
      <c r="D206" s="297">
        <v>0</v>
      </c>
      <c r="E206" s="297">
        <v>0</v>
      </c>
    </row>
    <row r="207" spans="1:5">
      <c r="A207" s="304" t="s">
        <v>65</v>
      </c>
      <c r="B207" s="297">
        <v>5</v>
      </c>
      <c r="C207" s="297">
        <v>4</v>
      </c>
      <c r="D207" s="297">
        <v>1</v>
      </c>
      <c r="E207" s="297">
        <v>0</v>
      </c>
    </row>
    <row r="208" spans="1:5">
      <c r="A208" s="304" t="s">
        <v>66</v>
      </c>
      <c r="B208" s="297">
        <v>4</v>
      </c>
      <c r="C208" s="297">
        <v>3</v>
      </c>
      <c r="D208" s="297">
        <v>1</v>
      </c>
      <c r="E208" s="297">
        <v>0</v>
      </c>
    </row>
    <row r="209" spans="1:5">
      <c r="A209" s="304" t="s">
        <v>67</v>
      </c>
      <c r="B209" s="297">
        <v>7</v>
      </c>
      <c r="C209" s="297">
        <v>6</v>
      </c>
      <c r="D209" s="297">
        <v>1</v>
      </c>
      <c r="E209" s="297">
        <v>0</v>
      </c>
    </row>
    <row r="210" spans="1:5">
      <c r="A210" s="304" t="s">
        <v>68</v>
      </c>
      <c r="B210" s="297">
        <v>9</v>
      </c>
      <c r="C210" s="297">
        <v>6</v>
      </c>
      <c r="D210" s="297">
        <v>3</v>
      </c>
      <c r="E210" s="297">
        <v>0</v>
      </c>
    </row>
    <row r="211" spans="1:5">
      <c r="A211" s="304" t="s">
        <v>69</v>
      </c>
      <c r="B211" s="297">
        <v>4</v>
      </c>
      <c r="C211" s="297">
        <v>3</v>
      </c>
      <c r="D211" s="297">
        <v>1</v>
      </c>
      <c r="E211" s="297">
        <v>0</v>
      </c>
    </row>
    <row r="212" spans="1:5">
      <c r="A212" s="304" t="s">
        <v>262</v>
      </c>
      <c r="B212" s="297">
        <v>12</v>
      </c>
      <c r="C212" s="297">
        <v>9</v>
      </c>
      <c r="D212" s="297">
        <v>3</v>
      </c>
      <c r="E212" s="297">
        <v>0</v>
      </c>
    </row>
    <row r="213" spans="1:5">
      <c r="A213" s="304" t="s">
        <v>263</v>
      </c>
      <c r="B213" s="297">
        <v>7</v>
      </c>
      <c r="C213" s="297">
        <v>4</v>
      </c>
      <c r="D213" s="297">
        <v>3</v>
      </c>
      <c r="E213" s="297">
        <v>0</v>
      </c>
    </row>
    <row r="214" spans="1:5">
      <c r="A214" s="304" t="s">
        <v>264</v>
      </c>
      <c r="B214" s="297">
        <v>13</v>
      </c>
      <c r="C214" s="297">
        <v>11</v>
      </c>
      <c r="D214" s="297">
        <v>2</v>
      </c>
      <c r="E214" s="297">
        <v>0</v>
      </c>
    </row>
    <row r="215" spans="1:5">
      <c r="A215" s="304" t="s">
        <v>265</v>
      </c>
      <c r="B215" s="297">
        <v>20</v>
      </c>
      <c r="C215" s="297">
        <v>13</v>
      </c>
      <c r="D215" s="297">
        <v>7</v>
      </c>
      <c r="E215" s="297">
        <v>0</v>
      </c>
    </row>
    <row r="216" spans="1:5">
      <c r="A216" s="304" t="s">
        <v>266</v>
      </c>
      <c r="B216" s="297">
        <v>90</v>
      </c>
      <c r="C216" s="297">
        <v>62</v>
      </c>
      <c r="D216" s="297">
        <v>28</v>
      </c>
      <c r="E216" s="297">
        <v>0</v>
      </c>
    </row>
    <row r="217" spans="1:5">
      <c r="A217" s="304" t="s">
        <v>504</v>
      </c>
      <c r="B217" s="297">
        <v>3</v>
      </c>
      <c r="C217" s="297">
        <v>0</v>
      </c>
      <c r="D217" s="297">
        <v>3</v>
      </c>
      <c r="E217" s="297">
        <v>0</v>
      </c>
    </row>
    <row r="218" spans="1:5" ht="5.0999999999999996" customHeight="1">
      <c r="A218" s="304"/>
      <c r="B218" s="297"/>
      <c r="C218" s="297"/>
      <c r="D218" s="297"/>
      <c r="E218" s="297"/>
    </row>
    <row r="219" spans="1:5">
      <c r="A219" s="303" t="s">
        <v>86</v>
      </c>
      <c r="B219" s="295">
        <v>700</v>
      </c>
      <c r="C219" s="295">
        <v>441</v>
      </c>
      <c r="D219" s="295">
        <v>259</v>
      </c>
      <c r="E219" s="295">
        <v>0</v>
      </c>
    </row>
    <row r="220" spans="1:5" ht="5.0999999999999996" customHeight="1">
      <c r="A220" s="304"/>
      <c r="B220" s="297"/>
      <c r="C220" s="297"/>
      <c r="D220" s="297"/>
      <c r="E220" s="297"/>
    </row>
    <row r="221" spans="1:5">
      <c r="A221" s="304" t="s">
        <v>503</v>
      </c>
      <c r="B221" s="297">
        <v>11</v>
      </c>
      <c r="C221" s="297">
        <v>11</v>
      </c>
      <c r="D221" s="297">
        <v>0</v>
      </c>
      <c r="E221" s="297">
        <v>0</v>
      </c>
    </row>
    <row r="222" spans="1:5">
      <c r="A222" s="304" t="s">
        <v>259</v>
      </c>
      <c r="B222" s="297">
        <v>4</v>
      </c>
      <c r="C222" s="297">
        <v>4</v>
      </c>
      <c r="D222" s="297">
        <v>0</v>
      </c>
      <c r="E222" s="297">
        <v>0</v>
      </c>
    </row>
    <row r="223" spans="1:5">
      <c r="A223" s="304" t="s">
        <v>260</v>
      </c>
      <c r="B223" s="297">
        <v>3</v>
      </c>
      <c r="C223" s="297">
        <v>2</v>
      </c>
      <c r="D223" s="297">
        <v>1</v>
      </c>
      <c r="E223" s="297">
        <v>0</v>
      </c>
    </row>
    <row r="224" spans="1:5">
      <c r="A224" s="304" t="s">
        <v>261</v>
      </c>
      <c r="B224" s="297">
        <v>5</v>
      </c>
      <c r="C224" s="297">
        <v>5</v>
      </c>
      <c r="D224" s="297">
        <v>0</v>
      </c>
      <c r="E224" s="297">
        <v>0</v>
      </c>
    </row>
    <row r="225" spans="1:5">
      <c r="A225" s="304" t="s">
        <v>63</v>
      </c>
      <c r="B225" s="297">
        <v>16</v>
      </c>
      <c r="C225" s="297">
        <v>12</v>
      </c>
      <c r="D225" s="297">
        <v>4</v>
      </c>
      <c r="E225" s="297">
        <v>0</v>
      </c>
    </row>
    <row r="226" spans="1:5">
      <c r="A226" s="304" t="s">
        <v>64</v>
      </c>
      <c r="B226" s="297">
        <v>19</v>
      </c>
      <c r="C226" s="297">
        <v>14</v>
      </c>
      <c r="D226" s="297">
        <v>5</v>
      </c>
      <c r="E226" s="297">
        <v>0</v>
      </c>
    </row>
    <row r="227" spans="1:5">
      <c r="A227" s="304" t="s">
        <v>65</v>
      </c>
      <c r="B227" s="297">
        <v>29</v>
      </c>
      <c r="C227" s="297">
        <v>24</v>
      </c>
      <c r="D227" s="297">
        <v>5</v>
      </c>
      <c r="E227" s="297">
        <v>0</v>
      </c>
    </row>
    <row r="228" spans="1:5">
      <c r="A228" s="304" t="s">
        <v>66</v>
      </c>
      <c r="B228" s="297">
        <v>19</v>
      </c>
      <c r="C228" s="297">
        <v>15</v>
      </c>
      <c r="D228" s="297">
        <v>4</v>
      </c>
      <c r="E228" s="297">
        <v>0</v>
      </c>
    </row>
    <row r="229" spans="1:5">
      <c r="A229" s="304" t="s">
        <v>67</v>
      </c>
      <c r="B229" s="297">
        <v>32</v>
      </c>
      <c r="C229" s="297">
        <v>23</v>
      </c>
      <c r="D229" s="297">
        <v>9</v>
      </c>
      <c r="E229" s="297">
        <v>0</v>
      </c>
    </row>
    <row r="230" spans="1:5">
      <c r="A230" s="304" t="s">
        <v>68</v>
      </c>
      <c r="B230" s="297">
        <v>33</v>
      </c>
      <c r="C230" s="297">
        <v>21</v>
      </c>
      <c r="D230" s="297">
        <v>12</v>
      </c>
      <c r="E230" s="297">
        <v>0</v>
      </c>
    </row>
    <row r="231" spans="1:5">
      <c r="A231" s="304" t="s">
        <v>69</v>
      </c>
      <c r="B231" s="297">
        <v>39</v>
      </c>
      <c r="C231" s="297">
        <v>18</v>
      </c>
      <c r="D231" s="297">
        <v>21</v>
      </c>
      <c r="E231" s="297">
        <v>0</v>
      </c>
    </row>
    <row r="232" spans="1:5">
      <c r="A232" s="304" t="s">
        <v>262</v>
      </c>
      <c r="B232" s="297">
        <v>43</v>
      </c>
      <c r="C232" s="297">
        <v>25</v>
      </c>
      <c r="D232" s="297">
        <v>18</v>
      </c>
      <c r="E232" s="297">
        <v>0</v>
      </c>
    </row>
    <row r="233" spans="1:5">
      <c r="A233" s="304" t="s">
        <v>263</v>
      </c>
      <c r="B233" s="297">
        <v>42</v>
      </c>
      <c r="C233" s="297">
        <v>28</v>
      </c>
      <c r="D233" s="297">
        <v>14</v>
      </c>
      <c r="E233" s="297">
        <v>0</v>
      </c>
    </row>
    <row r="234" spans="1:5">
      <c r="A234" s="304" t="s">
        <v>264</v>
      </c>
      <c r="B234" s="297">
        <v>37</v>
      </c>
      <c r="C234" s="297">
        <v>19</v>
      </c>
      <c r="D234" s="297">
        <v>18</v>
      </c>
      <c r="E234" s="297">
        <v>0</v>
      </c>
    </row>
    <row r="235" spans="1:5">
      <c r="A235" s="304" t="s">
        <v>265</v>
      </c>
      <c r="B235" s="297">
        <v>51</v>
      </c>
      <c r="C235" s="297">
        <v>27</v>
      </c>
      <c r="D235" s="297">
        <v>24</v>
      </c>
      <c r="E235" s="297">
        <v>0</v>
      </c>
    </row>
    <row r="236" spans="1:5">
      <c r="A236" s="304" t="s">
        <v>266</v>
      </c>
      <c r="B236" s="297">
        <v>288</v>
      </c>
      <c r="C236" s="297">
        <v>172</v>
      </c>
      <c r="D236" s="297">
        <v>116</v>
      </c>
      <c r="E236" s="297">
        <v>0</v>
      </c>
    </row>
    <row r="237" spans="1:5">
      <c r="A237" s="304" t="s">
        <v>504</v>
      </c>
      <c r="B237" s="297">
        <v>29</v>
      </c>
      <c r="C237" s="297">
        <v>21</v>
      </c>
      <c r="D237" s="297">
        <v>8</v>
      </c>
      <c r="E237" s="297">
        <v>0</v>
      </c>
    </row>
    <row r="238" spans="1:5" ht="5.0999999999999996" customHeight="1">
      <c r="A238" s="304"/>
      <c r="B238" s="297"/>
      <c r="C238" s="297"/>
      <c r="D238" s="297"/>
      <c r="E238" s="297"/>
    </row>
    <row r="239" spans="1:5">
      <c r="A239" s="303" t="s">
        <v>87</v>
      </c>
      <c r="B239" s="295">
        <v>666</v>
      </c>
      <c r="C239" s="295">
        <v>371</v>
      </c>
      <c r="D239" s="295">
        <v>293</v>
      </c>
      <c r="E239" s="295">
        <v>2</v>
      </c>
    </row>
    <row r="240" spans="1:5" ht="5.0999999999999996" customHeight="1">
      <c r="A240" s="304"/>
      <c r="B240" s="297"/>
      <c r="C240" s="297"/>
      <c r="D240" s="297"/>
      <c r="E240" s="297"/>
    </row>
    <row r="241" spans="1:5">
      <c r="A241" s="304" t="s">
        <v>503</v>
      </c>
      <c r="B241" s="297">
        <v>7</v>
      </c>
      <c r="C241" s="297">
        <v>2</v>
      </c>
      <c r="D241" s="297">
        <v>3</v>
      </c>
      <c r="E241" s="297">
        <v>2</v>
      </c>
    </row>
    <row r="242" spans="1:5">
      <c r="A242" s="304" t="s">
        <v>260</v>
      </c>
      <c r="B242" s="297">
        <v>2</v>
      </c>
      <c r="C242" s="297">
        <v>1</v>
      </c>
      <c r="D242" s="297">
        <v>1</v>
      </c>
      <c r="E242" s="297">
        <v>0</v>
      </c>
    </row>
    <row r="243" spans="1:5">
      <c r="A243" s="304" t="s">
        <v>261</v>
      </c>
      <c r="B243" s="297">
        <v>1</v>
      </c>
      <c r="C243" s="297">
        <v>1</v>
      </c>
      <c r="D243" s="297">
        <v>0</v>
      </c>
      <c r="E243" s="297">
        <v>0</v>
      </c>
    </row>
    <row r="244" spans="1:5">
      <c r="A244" s="304" t="s">
        <v>63</v>
      </c>
      <c r="B244" s="297">
        <v>5</v>
      </c>
      <c r="C244" s="297">
        <v>4</v>
      </c>
      <c r="D244" s="297">
        <v>1</v>
      </c>
      <c r="E244" s="297">
        <v>0</v>
      </c>
    </row>
    <row r="245" spans="1:5">
      <c r="A245" s="304" t="s">
        <v>64</v>
      </c>
      <c r="B245" s="297">
        <v>14</v>
      </c>
      <c r="C245" s="297">
        <v>8</v>
      </c>
      <c r="D245" s="297">
        <v>6</v>
      </c>
      <c r="E245" s="297">
        <v>0</v>
      </c>
    </row>
    <row r="246" spans="1:5">
      <c r="A246" s="304" t="s">
        <v>65</v>
      </c>
      <c r="B246" s="297">
        <v>20</v>
      </c>
      <c r="C246" s="297">
        <v>15</v>
      </c>
      <c r="D246" s="297">
        <v>5</v>
      </c>
      <c r="E246" s="297">
        <v>0</v>
      </c>
    </row>
    <row r="247" spans="1:5">
      <c r="A247" s="304" t="s">
        <v>66</v>
      </c>
      <c r="B247" s="297">
        <v>23</v>
      </c>
      <c r="C247" s="297">
        <v>13</v>
      </c>
      <c r="D247" s="297">
        <v>10</v>
      </c>
      <c r="E247" s="297">
        <v>0</v>
      </c>
    </row>
    <row r="248" spans="1:5">
      <c r="A248" s="304" t="s">
        <v>67</v>
      </c>
      <c r="B248" s="297">
        <v>24</v>
      </c>
      <c r="C248" s="297">
        <v>12</v>
      </c>
      <c r="D248" s="297">
        <v>12</v>
      </c>
      <c r="E248" s="297">
        <v>0</v>
      </c>
    </row>
    <row r="249" spans="1:5">
      <c r="A249" s="304" t="s">
        <v>68</v>
      </c>
      <c r="B249" s="297">
        <v>19</v>
      </c>
      <c r="C249" s="297">
        <v>13</v>
      </c>
      <c r="D249" s="297">
        <v>6</v>
      </c>
      <c r="E249" s="297">
        <v>0</v>
      </c>
    </row>
    <row r="250" spans="1:5">
      <c r="A250" s="304" t="s">
        <v>69</v>
      </c>
      <c r="B250" s="297">
        <v>30</v>
      </c>
      <c r="C250" s="297">
        <v>18</v>
      </c>
      <c r="D250" s="297">
        <v>12</v>
      </c>
      <c r="E250" s="297">
        <v>0</v>
      </c>
    </row>
    <row r="251" spans="1:5">
      <c r="A251" s="304" t="s">
        <v>262</v>
      </c>
      <c r="B251" s="297">
        <v>43</v>
      </c>
      <c r="C251" s="297">
        <v>33</v>
      </c>
      <c r="D251" s="297">
        <v>10</v>
      </c>
      <c r="E251" s="297">
        <v>0</v>
      </c>
    </row>
    <row r="252" spans="1:5">
      <c r="A252" s="304" t="s">
        <v>263</v>
      </c>
      <c r="B252" s="297">
        <v>48</v>
      </c>
      <c r="C252" s="297">
        <v>24</v>
      </c>
      <c r="D252" s="297">
        <v>24</v>
      </c>
      <c r="E252" s="297">
        <v>0</v>
      </c>
    </row>
    <row r="253" spans="1:5">
      <c r="A253" s="304" t="s">
        <v>264</v>
      </c>
      <c r="B253" s="297">
        <v>49</v>
      </c>
      <c r="C253" s="297">
        <v>28</v>
      </c>
      <c r="D253" s="297">
        <v>21</v>
      </c>
      <c r="E253" s="297">
        <v>0</v>
      </c>
    </row>
    <row r="254" spans="1:5">
      <c r="A254" s="304" t="s">
        <v>265</v>
      </c>
      <c r="B254" s="297">
        <v>56</v>
      </c>
      <c r="C254" s="297">
        <v>32</v>
      </c>
      <c r="D254" s="297">
        <v>24</v>
      </c>
      <c r="E254" s="297">
        <v>0</v>
      </c>
    </row>
    <row r="255" spans="1:5">
      <c r="A255" s="304" t="s">
        <v>266</v>
      </c>
      <c r="B255" s="297">
        <v>306</v>
      </c>
      <c r="C255" s="297">
        <v>155</v>
      </c>
      <c r="D255" s="297">
        <v>151</v>
      </c>
      <c r="E255" s="297">
        <v>0</v>
      </c>
    </row>
    <row r="256" spans="1:5">
      <c r="A256" s="304" t="s">
        <v>504</v>
      </c>
      <c r="B256" s="297">
        <v>19</v>
      </c>
      <c r="C256" s="297">
        <v>12</v>
      </c>
      <c r="D256" s="297">
        <v>7</v>
      </c>
      <c r="E256" s="297">
        <v>0</v>
      </c>
    </row>
    <row r="257" spans="1:5" ht="5.0999999999999996" customHeight="1">
      <c r="A257" s="304"/>
      <c r="B257" s="297"/>
      <c r="C257" s="297"/>
      <c r="D257" s="297"/>
      <c r="E257" s="297"/>
    </row>
    <row r="258" spans="1:5">
      <c r="A258" s="303" t="s">
        <v>88</v>
      </c>
      <c r="B258" s="295">
        <v>1987</v>
      </c>
      <c r="C258" s="295">
        <v>1202</v>
      </c>
      <c r="D258" s="295">
        <v>785</v>
      </c>
      <c r="E258" s="295">
        <v>0</v>
      </c>
    </row>
    <row r="259" spans="1:5" ht="5.0999999999999996" customHeight="1">
      <c r="A259" s="304"/>
      <c r="B259" s="297"/>
      <c r="C259" s="297"/>
      <c r="D259" s="297"/>
      <c r="E259" s="297"/>
    </row>
    <row r="260" spans="1:5">
      <c r="A260" s="304" t="s">
        <v>503</v>
      </c>
      <c r="B260" s="297">
        <v>5</v>
      </c>
      <c r="C260" s="297">
        <v>4</v>
      </c>
      <c r="D260" s="297">
        <v>1</v>
      </c>
      <c r="E260" s="297">
        <v>0</v>
      </c>
    </row>
    <row r="261" spans="1:5">
      <c r="A261" s="304" t="s">
        <v>259</v>
      </c>
      <c r="B261" s="297">
        <v>4</v>
      </c>
      <c r="C261" s="297">
        <v>2</v>
      </c>
      <c r="D261" s="297">
        <v>2</v>
      </c>
      <c r="E261" s="297">
        <v>0</v>
      </c>
    </row>
    <row r="262" spans="1:5">
      <c r="A262" s="304" t="s">
        <v>260</v>
      </c>
      <c r="B262" s="297">
        <v>5</v>
      </c>
      <c r="C262" s="297">
        <v>3</v>
      </c>
      <c r="D262" s="297">
        <v>2</v>
      </c>
      <c r="E262" s="297">
        <v>0</v>
      </c>
    </row>
    <row r="263" spans="1:5">
      <c r="A263" s="304" t="s">
        <v>261</v>
      </c>
      <c r="B263" s="297">
        <v>11</v>
      </c>
      <c r="C263" s="297">
        <v>8</v>
      </c>
      <c r="D263" s="297">
        <v>3</v>
      </c>
      <c r="E263" s="297">
        <v>0</v>
      </c>
    </row>
    <row r="264" spans="1:5">
      <c r="A264" s="304" t="s">
        <v>63</v>
      </c>
      <c r="B264" s="297">
        <v>40</v>
      </c>
      <c r="C264" s="297">
        <v>31</v>
      </c>
      <c r="D264" s="297">
        <v>9</v>
      </c>
      <c r="E264" s="297">
        <v>0</v>
      </c>
    </row>
    <row r="265" spans="1:5">
      <c r="A265" s="304" t="s">
        <v>64</v>
      </c>
      <c r="B265" s="297">
        <v>49</v>
      </c>
      <c r="C265" s="297">
        <v>39</v>
      </c>
      <c r="D265" s="297">
        <v>10</v>
      </c>
      <c r="E265" s="297">
        <v>0</v>
      </c>
    </row>
    <row r="266" spans="1:5">
      <c r="A266" s="304" t="s">
        <v>65</v>
      </c>
      <c r="B266" s="297">
        <v>47</v>
      </c>
      <c r="C266" s="297">
        <v>35</v>
      </c>
      <c r="D266" s="297">
        <v>12</v>
      </c>
      <c r="E266" s="297">
        <v>0</v>
      </c>
    </row>
    <row r="267" spans="1:5">
      <c r="A267" s="304" t="s">
        <v>66</v>
      </c>
      <c r="B267" s="297">
        <v>63</v>
      </c>
      <c r="C267" s="297">
        <v>44</v>
      </c>
      <c r="D267" s="297">
        <v>19</v>
      </c>
      <c r="E267" s="297">
        <v>0</v>
      </c>
    </row>
    <row r="268" spans="1:5">
      <c r="A268" s="304" t="s">
        <v>67</v>
      </c>
      <c r="B268" s="297">
        <v>62</v>
      </c>
      <c r="C268" s="297">
        <v>42</v>
      </c>
      <c r="D268" s="297">
        <v>20</v>
      </c>
      <c r="E268" s="297">
        <v>0</v>
      </c>
    </row>
    <row r="269" spans="1:5">
      <c r="A269" s="304" t="s">
        <v>68</v>
      </c>
      <c r="B269" s="297">
        <v>61</v>
      </c>
      <c r="C269" s="297">
        <v>37</v>
      </c>
      <c r="D269" s="297">
        <v>24</v>
      </c>
      <c r="E269" s="297">
        <v>0</v>
      </c>
    </row>
    <row r="270" spans="1:5">
      <c r="A270" s="304" t="s">
        <v>69</v>
      </c>
      <c r="B270" s="297">
        <v>77</v>
      </c>
      <c r="C270" s="297">
        <v>52</v>
      </c>
      <c r="D270" s="297">
        <v>25</v>
      </c>
      <c r="E270" s="297">
        <v>0</v>
      </c>
    </row>
    <row r="271" spans="1:5">
      <c r="A271" s="304" t="s">
        <v>262</v>
      </c>
      <c r="B271" s="297">
        <v>88</v>
      </c>
      <c r="C271" s="297">
        <v>65</v>
      </c>
      <c r="D271" s="297">
        <v>23</v>
      </c>
      <c r="E271" s="297">
        <v>0</v>
      </c>
    </row>
    <row r="272" spans="1:5">
      <c r="A272" s="304" t="s">
        <v>263</v>
      </c>
      <c r="B272" s="297">
        <v>119</v>
      </c>
      <c r="C272" s="297">
        <v>67</v>
      </c>
      <c r="D272" s="297">
        <v>52</v>
      </c>
      <c r="E272" s="297">
        <v>0</v>
      </c>
    </row>
    <row r="273" spans="1:5">
      <c r="A273" s="304" t="s">
        <v>264</v>
      </c>
      <c r="B273" s="297">
        <v>141</v>
      </c>
      <c r="C273" s="297">
        <v>78</v>
      </c>
      <c r="D273" s="297">
        <v>63</v>
      </c>
      <c r="E273" s="297">
        <v>0</v>
      </c>
    </row>
    <row r="274" spans="1:5">
      <c r="A274" s="304" t="s">
        <v>265</v>
      </c>
      <c r="B274" s="297">
        <v>155</v>
      </c>
      <c r="C274" s="297">
        <v>87</v>
      </c>
      <c r="D274" s="297">
        <v>68</v>
      </c>
      <c r="E274" s="297">
        <v>0</v>
      </c>
    </row>
    <row r="275" spans="1:5">
      <c r="A275" s="304" t="s">
        <v>266</v>
      </c>
      <c r="B275" s="297">
        <v>888</v>
      </c>
      <c r="C275" s="297">
        <v>503</v>
      </c>
      <c r="D275" s="297">
        <v>385</v>
      </c>
      <c r="E275" s="297">
        <v>0</v>
      </c>
    </row>
    <row r="276" spans="1:5">
      <c r="A276" s="304" t="s">
        <v>504</v>
      </c>
      <c r="B276" s="297">
        <v>172</v>
      </c>
      <c r="C276" s="297">
        <v>105</v>
      </c>
      <c r="D276" s="297">
        <v>67</v>
      </c>
      <c r="E276" s="297">
        <v>0</v>
      </c>
    </row>
    <row r="277" spans="1:5" ht="5.0999999999999996" customHeight="1">
      <c r="A277" s="304"/>
      <c r="B277" s="297"/>
      <c r="C277" s="297"/>
      <c r="D277" s="297"/>
      <c r="E277" s="297"/>
    </row>
    <row r="278" spans="1:5">
      <c r="A278" s="303" t="s">
        <v>89</v>
      </c>
      <c r="B278" s="295">
        <v>644</v>
      </c>
      <c r="C278" s="295">
        <v>381</v>
      </c>
      <c r="D278" s="295">
        <v>262</v>
      </c>
      <c r="E278" s="295">
        <v>1</v>
      </c>
    </row>
    <row r="279" spans="1:5" ht="5.0999999999999996" customHeight="1">
      <c r="A279" s="304"/>
      <c r="B279" s="297"/>
      <c r="C279" s="297"/>
      <c r="D279" s="297"/>
      <c r="E279" s="297"/>
    </row>
    <row r="280" spans="1:5">
      <c r="A280" s="304" t="s">
        <v>503</v>
      </c>
      <c r="B280" s="297">
        <v>56</v>
      </c>
      <c r="C280" s="297">
        <v>29</v>
      </c>
      <c r="D280" s="297">
        <v>27</v>
      </c>
      <c r="E280" s="297">
        <v>0</v>
      </c>
    </row>
    <row r="281" spans="1:5">
      <c r="A281" s="304" t="s">
        <v>259</v>
      </c>
      <c r="B281" s="297">
        <v>3</v>
      </c>
      <c r="C281" s="297">
        <v>0</v>
      </c>
      <c r="D281" s="297">
        <v>3</v>
      </c>
      <c r="E281" s="297">
        <v>0</v>
      </c>
    </row>
    <row r="282" spans="1:5">
      <c r="A282" s="304" t="s">
        <v>260</v>
      </c>
      <c r="B282" s="297">
        <v>4</v>
      </c>
      <c r="C282" s="297">
        <v>3</v>
      </c>
      <c r="D282" s="297">
        <v>1</v>
      </c>
      <c r="E282" s="297">
        <v>0</v>
      </c>
    </row>
    <row r="283" spans="1:5">
      <c r="A283" s="304" t="s">
        <v>261</v>
      </c>
      <c r="B283" s="297">
        <v>6</v>
      </c>
      <c r="C283" s="297">
        <v>5</v>
      </c>
      <c r="D283" s="297">
        <v>1</v>
      </c>
      <c r="E283" s="297">
        <v>0</v>
      </c>
    </row>
    <row r="284" spans="1:5">
      <c r="A284" s="304" t="s">
        <v>63</v>
      </c>
      <c r="B284" s="297">
        <v>9</v>
      </c>
      <c r="C284" s="297">
        <v>9</v>
      </c>
      <c r="D284" s="297">
        <v>0</v>
      </c>
      <c r="E284" s="297">
        <v>0</v>
      </c>
    </row>
    <row r="285" spans="1:5">
      <c r="A285" s="304" t="s">
        <v>64</v>
      </c>
      <c r="B285" s="297">
        <v>8</v>
      </c>
      <c r="C285" s="297">
        <v>8</v>
      </c>
      <c r="D285" s="297">
        <v>0</v>
      </c>
      <c r="E285" s="297">
        <v>0</v>
      </c>
    </row>
    <row r="286" spans="1:5">
      <c r="A286" s="304" t="s">
        <v>65</v>
      </c>
      <c r="B286" s="297">
        <v>13</v>
      </c>
      <c r="C286" s="297">
        <v>9</v>
      </c>
      <c r="D286" s="297">
        <v>4</v>
      </c>
      <c r="E286" s="297">
        <v>0</v>
      </c>
    </row>
    <row r="287" spans="1:5">
      <c r="A287" s="304" t="s">
        <v>66</v>
      </c>
      <c r="B287" s="297">
        <v>20</v>
      </c>
      <c r="C287" s="297">
        <v>11</v>
      </c>
      <c r="D287" s="297">
        <v>9</v>
      </c>
      <c r="E287" s="297">
        <v>0</v>
      </c>
    </row>
    <row r="288" spans="1:5">
      <c r="A288" s="304" t="s">
        <v>67</v>
      </c>
      <c r="B288" s="297">
        <v>23</v>
      </c>
      <c r="C288" s="297">
        <v>14</v>
      </c>
      <c r="D288" s="297">
        <v>9</v>
      </c>
      <c r="E288" s="297">
        <v>0</v>
      </c>
    </row>
    <row r="289" spans="1:5">
      <c r="A289" s="304" t="s">
        <v>68</v>
      </c>
      <c r="B289" s="297">
        <v>17</v>
      </c>
      <c r="C289" s="297">
        <v>11</v>
      </c>
      <c r="D289" s="297">
        <v>6</v>
      </c>
      <c r="E289" s="297">
        <v>0</v>
      </c>
    </row>
    <row r="290" spans="1:5">
      <c r="A290" s="304" t="s">
        <v>69</v>
      </c>
      <c r="B290" s="297">
        <v>28</v>
      </c>
      <c r="C290" s="297">
        <v>14</v>
      </c>
      <c r="D290" s="297">
        <v>14</v>
      </c>
      <c r="E290" s="297">
        <v>0</v>
      </c>
    </row>
    <row r="291" spans="1:5">
      <c r="A291" s="304" t="s">
        <v>262</v>
      </c>
      <c r="B291" s="297">
        <v>24</v>
      </c>
      <c r="C291" s="297">
        <v>12</v>
      </c>
      <c r="D291" s="297">
        <v>12</v>
      </c>
      <c r="E291" s="297">
        <v>0</v>
      </c>
    </row>
    <row r="292" spans="1:5">
      <c r="A292" s="304" t="s">
        <v>263</v>
      </c>
      <c r="B292" s="297">
        <v>30</v>
      </c>
      <c r="C292" s="297">
        <v>15</v>
      </c>
      <c r="D292" s="297">
        <v>15</v>
      </c>
      <c r="E292" s="297">
        <v>0</v>
      </c>
    </row>
    <row r="293" spans="1:5">
      <c r="A293" s="304" t="s">
        <v>264</v>
      </c>
      <c r="B293" s="297">
        <v>49</v>
      </c>
      <c r="C293" s="297">
        <v>30</v>
      </c>
      <c r="D293" s="297">
        <v>19</v>
      </c>
      <c r="E293" s="297">
        <v>0</v>
      </c>
    </row>
    <row r="294" spans="1:5">
      <c r="A294" s="304" t="s">
        <v>265</v>
      </c>
      <c r="B294" s="297">
        <v>47</v>
      </c>
      <c r="C294" s="297">
        <v>26</v>
      </c>
      <c r="D294" s="297">
        <v>21</v>
      </c>
      <c r="E294" s="297">
        <v>0</v>
      </c>
    </row>
    <row r="295" spans="1:5">
      <c r="A295" s="304" t="s">
        <v>266</v>
      </c>
      <c r="B295" s="297">
        <v>289</v>
      </c>
      <c r="C295" s="297">
        <v>176</v>
      </c>
      <c r="D295" s="297">
        <v>113</v>
      </c>
      <c r="E295" s="297">
        <v>0</v>
      </c>
    </row>
    <row r="296" spans="1:5">
      <c r="A296" s="304" t="s">
        <v>504</v>
      </c>
      <c r="B296" s="297">
        <v>18</v>
      </c>
      <c r="C296" s="297">
        <v>9</v>
      </c>
      <c r="D296" s="297">
        <v>8</v>
      </c>
      <c r="E296" s="297">
        <v>1</v>
      </c>
    </row>
    <row r="297" spans="1:5" ht="5.0999999999999996" customHeight="1">
      <c r="A297" s="304"/>
      <c r="B297" s="297"/>
      <c r="C297" s="297"/>
      <c r="D297" s="297"/>
      <c r="E297" s="297"/>
    </row>
    <row r="298" spans="1:5">
      <c r="A298" s="303" t="s">
        <v>90</v>
      </c>
      <c r="B298" s="295">
        <v>453</v>
      </c>
      <c r="C298" s="295">
        <v>255</v>
      </c>
      <c r="D298" s="295">
        <v>198</v>
      </c>
      <c r="E298" s="295">
        <v>0</v>
      </c>
    </row>
    <row r="299" spans="1:5" ht="5.0999999999999996" customHeight="1">
      <c r="A299" s="304"/>
      <c r="B299" s="297"/>
      <c r="C299" s="297"/>
      <c r="D299" s="297"/>
      <c r="E299" s="297"/>
    </row>
    <row r="300" spans="1:5">
      <c r="A300" s="304" t="s">
        <v>503</v>
      </c>
      <c r="B300" s="297">
        <v>3</v>
      </c>
      <c r="C300" s="297">
        <v>1</v>
      </c>
      <c r="D300" s="297">
        <v>2</v>
      </c>
      <c r="E300" s="297">
        <v>0</v>
      </c>
    </row>
    <row r="301" spans="1:5">
      <c r="A301" s="304" t="s">
        <v>259</v>
      </c>
      <c r="B301" s="297">
        <v>2</v>
      </c>
      <c r="C301" s="297">
        <v>0</v>
      </c>
      <c r="D301" s="297">
        <v>2</v>
      </c>
      <c r="E301" s="297">
        <v>0</v>
      </c>
    </row>
    <row r="302" spans="1:5">
      <c r="A302" s="304" t="s">
        <v>260</v>
      </c>
      <c r="B302" s="297">
        <v>3</v>
      </c>
      <c r="C302" s="297">
        <v>0</v>
      </c>
      <c r="D302" s="297">
        <v>3</v>
      </c>
      <c r="E302" s="297">
        <v>0</v>
      </c>
    </row>
    <row r="303" spans="1:5">
      <c r="A303" s="304" t="s">
        <v>261</v>
      </c>
      <c r="B303" s="297">
        <v>2</v>
      </c>
      <c r="C303" s="297">
        <v>0</v>
      </c>
      <c r="D303" s="297">
        <v>2</v>
      </c>
      <c r="E303" s="297">
        <v>0</v>
      </c>
    </row>
    <row r="304" spans="1:5">
      <c r="A304" s="304" t="s">
        <v>63</v>
      </c>
      <c r="B304" s="297">
        <v>3</v>
      </c>
      <c r="C304" s="297">
        <v>2</v>
      </c>
      <c r="D304" s="297">
        <v>1</v>
      </c>
      <c r="E304" s="297">
        <v>0</v>
      </c>
    </row>
    <row r="305" spans="1:5">
      <c r="A305" s="304" t="s">
        <v>64</v>
      </c>
      <c r="B305" s="297">
        <v>6</v>
      </c>
      <c r="C305" s="297">
        <v>5</v>
      </c>
      <c r="D305" s="297">
        <v>1</v>
      </c>
      <c r="E305" s="297">
        <v>0</v>
      </c>
    </row>
    <row r="306" spans="1:5">
      <c r="A306" s="304" t="s">
        <v>65</v>
      </c>
      <c r="B306" s="297">
        <v>7</v>
      </c>
      <c r="C306" s="297">
        <v>4</v>
      </c>
      <c r="D306" s="297">
        <v>3</v>
      </c>
      <c r="E306" s="297">
        <v>0</v>
      </c>
    </row>
    <row r="307" spans="1:5">
      <c r="A307" s="304" t="s">
        <v>66</v>
      </c>
      <c r="B307" s="297">
        <v>17</v>
      </c>
      <c r="C307" s="297">
        <v>11</v>
      </c>
      <c r="D307" s="297">
        <v>6</v>
      </c>
      <c r="E307" s="297">
        <v>0</v>
      </c>
    </row>
    <row r="308" spans="1:5">
      <c r="A308" s="304" t="s">
        <v>67</v>
      </c>
      <c r="B308" s="297">
        <v>5</v>
      </c>
      <c r="C308" s="297">
        <v>3</v>
      </c>
      <c r="D308" s="297">
        <v>2</v>
      </c>
      <c r="E308" s="297">
        <v>0</v>
      </c>
    </row>
    <row r="309" spans="1:5">
      <c r="A309" s="304" t="s">
        <v>68</v>
      </c>
      <c r="B309" s="297">
        <v>15</v>
      </c>
      <c r="C309" s="297">
        <v>11</v>
      </c>
      <c r="D309" s="297">
        <v>4</v>
      </c>
      <c r="E309" s="297">
        <v>0</v>
      </c>
    </row>
    <row r="310" spans="1:5">
      <c r="A310" s="304" t="s">
        <v>69</v>
      </c>
      <c r="B310" s="297">
        <v>21</v>
      </c>
      <c r="C310" s="297">
        <v>14</v>
      </c>
      <c r="D310" s="297">
        <v>7</v>
      </c>
      <c r="E310" s="297">
        <v>0</v>
      </c>
    </row>
    <row r="311" spans="1:5">
      <c r="A311" s="304" t="s">
        <v>262</v>
      </c>
      <c r="B311" s="297">
        <v>24</v>
      </c>
      <c r="C311" s="297">
        <v>13</v>
      </c>
      <c r="D311" s="297">
        <v>11</v>
      </c>
      <c r="E311" s="297">
        <v>0</v>
      </c>
    </row>
    <row r="312" spans="1:5">
      <c r="A312" s="304" t="s">
        <v>263</v>
      </c>
      <c r="B312" s="297">
        <v>29</v>
      </c>
      <c r="C312" s="297">
        <v>24</v>
      </c>
      <c r="D312" s="297">
        <v>5</v>
      </c>
      <c r="E312" s="297">
        <v>0</v>
      </c>
    </row>
    <row r="313" spans="1:5">
      <c r="A313" s="304" t="s">
        <v>264</v>
      </c>
      <c r="B313" s="297">
        <v>32</v>
      </c>
      <c r="C313" s="297">
        <v>19</v>
      </c>
      <c r="D313" s="297">
        <v>13</v>
      </c>
      <c r="E313" s="297">
        <v>0</v>
      </c>
    </row>
    <row r="314" spans="1:5">
      <c r="A314" s="304" t="s">
        <v>265</v>
      </c>
      <c r="B314" s="297">
        <v>29</v>
      </c>
      <c r="C314" s="297">
        <v>13</v>
      </c>
      <c r="D314" s="297">
        <v>16</v>
      </c>
      <c r="E314" s="297">
        <v>0</v>
      </c>
    </row>
    <row r="315" spans="1:5">
      <c r="A315" s="304" t="s">
        <v>266</v>
      </c>
      <c r="B315" s="297">
        <v>236</v>
      </c>
      <c r="C315" s="297">
        <v>125</v>
      </c>
      <c r="D315" s="297">
        <v>111</v>
      </c>
      <c r="E315" s="297">
        <v>0</v>
      </c>
    </row>
    <row r="316" spans="1:5">
      <c r="A316" s="304" t="s">
        <v>504</v>
      </c>
      <c r="B316" s="297">
        <v>19</v>
      </c>
      <c r="C316" s="297">
        <v>10</v>
      </c>
      <c r="D316" s="297">
        <v>9</v>
      </c>
      <c r="E316" s="297">
        <v>0</v>
      </c>
    </row>
    <row r="317" spans="1:5" ht="5.0999999999999996" customHeight="1">
      <c r="A317" s="304"/>
      <c r="B317" s="297"/>
      <c r="C317" s="297"/>
      <c r="D317" s="297"/>
      <c r="E317" s="297"/>
    </row>
    <row r="318" spans="1:5">
      <c r="A318" s="303" t="s">
        <v>91</v>
      </c>
      <c r="B318" s="295">
        <v>51</v>
      </c>
      <c r="C318" s="295">
        <v>27</v>
      </c>
      <c r="D318" s="295">
        <v>24</v>
      </c>
      <c r="E318" s="295">
        <v>0</v>
      </c>
    </row>
    <row r="319" spans="1:5" ht="5.0999999999999996" customHeight="1">
      <c r="A319" s="304"/>
      <c r="B319" s="297"/>
      <c r="C319" s="297"/>
      <c r="D319" s="297"/>
      <c r="E319" s="297"/>
    </row>
    <row r="320" spans="1:5">
      <c r="A320" s="304" t="s">
        <v>503</v>
      </c>
      <c r="B320" s="297">
        <v>4</v>
      </c>
      <c r="C320" s="297">
        <v>3</v>
      </c>
      <c r="D320" s="297">
        <v>1</v>
      </c>
      <c r="E320" s="297">
        <v>0</v>
      </c>
    </row>
    <row r="321" spans="1:5">
      <c r="A321" s="304" t="s">
        <v>259</v>
      </c>
      <c r="B321" s="297">
        <v>3</v>
      </c>
      <c r="C321" s="297">
        <v>3</v>
      </c>
      <c r="D321" s="297">
        <v>0</v>
      </c>
      <c r="E321" s="297">
        <v>0</v>
      </c>
    </row>
    <row r="322" spans="1:5">
      <c r="A322" s="304" t="s">
        <v>63</v>
      </c>
      <c r="B322" s="297">
        <v>1</v>
      </c>
      <c r="C322" s="297">
        <v>1</v>
      </c>
      <c r="D322" s="297">
        <v>0</v>
      </c>
      <c r="E322" s="297">
        <v>0</v>
      </c>
    </row>
    <row r="323" spans="1:5">
      <c r="A323" s="304" t="s">
        <v>64</v>
      </c>
      <c r="B323" s="297">
        <v>2</v>
      </c>
      <c r="C323" s="297">
        <v>1</v>
      </c>
      <c r="D323" s="297">
        <v>1</v>
      </c>
      <c r="E323" s="297">
        <v>0</v>
      </c>
    </row>
    <row r="324" spans="1:5">
      <c r="A324" s="304" t="s">
        <v>65</v>
      </c>
      <c r="B324" s="297">
        <v>1</v>
      </c>
      <c r="C324" s="297">
        <v>1</v>
      </c>
      <c r="D324" s="297">
        <v>0</v>
      </c>
      <c r="E324" s="297">
        <v>0</v>
      </c>
    </row>
    <row r="325" spans="1:5">
      <c r="A325" s="304" t="s">
        <v>66</v>
      </c>
      <c r="B325" s="297">
        <v>1</v>
      </c>
      <c r="C325" s="297">
        <v>1</v>
      </c>
      <c r="D325" s="297">
        <v>0</v>
      </c>
      <c r="E325" s="297">
        <v>0</v>
      </c>
    </row>
    <row r="326" spans="1:5">
      <c r="A326" s="304" t="s">
        <v>67</v>
      </c>
      <c r="B326" s="297">
        <v>2</v>
      </c>
      <c r="C326" s="297">
        <v>1</v>
      </c>
      <c r="D326" s="297">
        <v>1</v>
      </c>
      <c r="E326" s="297">
        <v>0</v>
      </c>
    </row>
    <row r="327" spans="1:5">
      <c r="A327" s="304" t="s">
        <v>68</v>
      </c>
      <c r="B327" s="297">
        <v>3</v>
      </c>
      <c r="C327" s="297">
        <v>2</v>
      </c>
      <c r="D327" s="297">
        <v>1</v>
      </c>
      <c r="E327" s="297">
        <v>0</v>
      </c>
    </row>
    <row r="328" spans="1:5">
      <c r="A328" s="304" t="s">
        <v>69</v>
      </c>
      <c r="B328" s="297">
        <v>4</v>
      </c>
      <c r="C328" s="297">
        <v>2</v>
      </c>
      <c r="D328" s="297">
        <v>2</v>
      </c>
      <c r="E328" s="297">
        <v>0</v>
      </c>
    </row>
    <row r="329" spans="1:5">
      <c r="A329" s="304" t="s">
        <v>262</v>
      </c>
      <c r="B329" s="297">
        <v>1</v>
      </c>
      <c r="C329" s="297">
        <v>0</v>
      </c>
      <c r="D329" s="297">
        <v>1</v>
      </c>
      <c r="E329" s="297">
        <v>0</v>
      </c>
    </row>
    <row r="330" spans="1:5">
      <c r="A330" s="304" t="s">
        <v>263</v>
      </c>
      <c r="B330" s="297">
        <v>1</v>
      </c>
      <c r="C330" s="297">
        <v>1</v>
      </c>
      <c r="D330" s="297">
        <v>0</v>
      </c>
      <c r="E330" s="297">
        <v>0</v>
      </c>
    </row>
    <row r="331" spans="1:5">
      <c r="A331" s="304" t="s">
        <v>264</v>
      </c>
      <c r="B331" s="297">
        <v>2</v>
      </c>
      <c r="C331" s="297">
        <v>1</v>
      </c>
      <c r="D331" s="297">
        <v>1</v>
      </c>
      <c r="E331" s="297">
        <v>0</v>
      </c>
    </row>
    <row r="332" spans="1:5">
      <c r="A332" s="304" t="s">
        <v>265</v>
      </c>
      <c r="B332" s="297">
        <v>4</v>
      </c>
      <c r="C332" s="297">
        <v>2</v>
      </c>
      <c r="D332" s="297">
        <v>2</v>
      </c>
      <c r="E332" s="297">
        <v>0</v>
      </c>
    </row>
    <row r="333" spans="1:5">
      <c r="A333" s="304" t="s">
        <v>266</v>
      </c>
      <c r="B333" s="297">
        <v>22</v>
      </c>
      <c r="C333" s="297">
        <v>8</v>
      </c>
      <c r="D333" s="297">
        <v>14</v>
      </c>
      <c r="E333" s="297">
        <v>0</v>
      </c>
    </row>
    <row r="334" spans="1:5" ht="5.0999999999999996" customHeight="1">
      <c r="A334" s="304"/>
      <c r="B334" s="297"/>
      <c r="C334" s="297"/>
      <c r="D334" s="297"/>
      <c r="E334" s="297"/>
    </row>
    <row r="335" spans="1:5">
      <c r="A335" s="303" t="s">
        <v>92</v>
      </c>
      <c r="B335" s="295">
        <v>469</v>
      </c>
      <c r="C335" s="295">
        <v>286</v>
      </c>
      <c r="D335" s="295">
        <v>183</v>
      </c>
      <c r="E335" s="295">
        <v>0</v>
      </c>
    </row>
    <row r="336" spans="1:5" ht="5.0999999999999996" customHeight="1">
      <c r="A336" s="304"/>
      <c r="B336" s="297"/>
      <c r="C336" s="297"/>
      <c r="D336" s="297"/>
      <c r="E336" s="297"/>
    </row>
    <row r="337" spans="1:5">
      <c r="A337" s="304" t="s">
        <v>503</v>
      </c>
      <c r="B337" s="297">
        <v>8</v>
      </c>
      <c r="C337" s="297">
        <v>5</v>
      </c>
      <c r="D337" s="297">
        <v>3</v>
      </c>
      <c r="E337" s="297">
        <v>0</v>
      </c>
    </row>
    <row r="338" spans="1:5">
      <c r="A338" s="304" t="s">
        <v>259</v>
      </c>
      <c r="B338" s="297">
        <v>4</v>
      </c>
      <c r="C338" s="297">
        <v>2</v>
      </c>
      <c r="D338" s="297">
        <v>2</v>
      </c>
      <c r="E338" s="297">
        <v>0</v>
      </c>
    </row>
    <row r="339" spans="1:5">
      <c r="A339" s="304" t="s">
        <v>260</v>
      </c>
      <c r="B339" s="297">
        <v>1</v>
      </c>
      <c r="C339" s="297">
        <v>1</v>
      </c>
      <c r="D339" s="297">
        <v>0</v>
      </c>
      <c r="E339" s="297">
        <v>0</v>
      </c>
    </row>
    <row r="340" spans="1:5">
      <c r="A340" s="304" t="s">
        <v>261</v>
      </c>
      <c r="B340" s="297">
        <v>3</v>
      </c>
      <c r="C340" s="297">
        <v>3</v>
      </c>
      <c r="D340" s="297">
        <v>0</v>
      </c>
      <c r="E340" s="297">
        <v>0</v>
      </c>
    </row>
    <row r="341" spans="1:5">
      <c r="A341" s="304" t="s">
        <v>63</v>
      </c>
      <c r="B341" s="297">
        <v>6</v>
      </c>
      <c r="C341" s="297">
        <v>4</v>
      </c>
      <c r="D341" s="297">
        <v>2</v>
      </c>
      <c r="E341" s="297">
        <v>0</v>
      </c>
    </row>
    <row r="342" spans="1:5">
      <c r="A342" s="304" t="s">
        <v>64</v>
      </c>
      <c r="B342" s="297">
        <v>6</v>
      </c>
      <c r="C342" s="297">
        <v>5</v>
      </c>
      <c r="D342" s="297">
        <v>1</v>
      </c>
      <c r="E342" s="297">
        <v>0</v>
      </c>
    </row>
    <row r="343" spans="1:5">
      <c r="A343" s="304" t="s">
        <v>65</v>
      </c>
      <c r="B343" s="297">
        <v>13</v>
      </c>
      <c r="C343" s="297">
        <v>11</v>
      </c>
      <c r="D343" s="297">
        <v>2</v>
      </c>
      <c r="E343" s="297">
        <v>0</v>
      </c>
    </row>
    <row r="344" spans="1:5">
      <c r="A344" s="304" t="s">
        <v>66</v>
      </c>
      <c r="B344" s="297">
        <v>6</v>
      </c>
      <c r="C344" s="297">
        <v>3</v>
      </c>
      <c r="D344" s="297">
        <v>3</v>
      </c>
      <c r="E344" s="297">
        <v>0</v>
      </c>
    </row>
    <row r="345" spans="1:5">
      <c r="A345" s="304" t="s">
        <v>67</v>
      </c>
      <c r="B345" s="297">
        <v>21</v>
      </c>
      <c r="C345" s="297">
        <v>11</v>
      </c>
      <c r="D345" s="297">
        <v>10</v>
      </c>
      <c r="E345" s="297">
        <v>0</v>
      </c>
    </row>
    <row r="346" spans="1:5">
      <c r="A346" s="304" t="s">
        <v>68</v>
      </c>
      <c r="B346" s="297">
        <v>14</v>
      </c>
      <c r="C346" s="297">
        <v>9</v>
      </c>
      <c r="D346" s="297">
        <v>5</v>
      </c>
      <c r="E346" s="297">
        <v>0</v>
      </c>
    </row>
    <row r="347" spans="1:5">
      <c r="A347" s="304" t="s">
        <v>69</v>
      </c>
      <c r="B347" s="297">
        <v>17</v>
      </c>
      <c r="C347" s="297">
        <v>14</v>
      </c>
      <c r="D347" s="297">
        <v>3</v>
      </c>
      <c r="E347" s="297">
        <v>0</v>
      </c>
    </row>
    <row r="348" spans="1:5">
      <c r="A348" s="304" t="s">
        <v>262</v>
      </c>
      <c r="B348" s="297">
        <v>26</v>
      </c>
      <c r="C348" s="297">
        <v>14</v>
      </c>
      <c r="D348" s="297">
        <v>12</v>
      </c>
      <c r="E348" s="297">
        <v>0</v>
      </c>
    </row>
    <row r="349" spans="1:5">
      <c r="A349" s="304" t="s">
        <v>263</v>
      </c>
      <c r="B349" s="297">
        <v>34</v>
      </c>
      <c r="C349" s="297">
        <v>23</v>
      </c>
      <c r="D349" s="297">
        <v>11</v>
      </c>
      <c r="E349" s="297">
        <v>0</v>
      </c>
    </row>
    <row r="350" spans="1:5">
      <c r="A350" s="304" t="s">
        <v>264</v>
      </c>
      <c r="B350" s="297">
        <v>31</v>
      </c>
      <c r="C350" s="297">
        <v>15</v>
      </c>
      <c r="D350" s="297">
        <v>16</v>
      </c>
      <c r="E350" s="297">
        <v>0</v>
      </c>
    </row>
    <row r="351" spans="1:5">
      <c r="A351" s="304" t="s">
        <v>265</v>
      </c>
      <c r="B351" s="297">
        <v>28</v>
      </c>
      <c r="C351" s="297">
        <v>20</v>
      </c>
      <c r="D351" s="297">
        <v>8</v>
      </c>
      <c r="E351" s="297">
        <v>0</v>
      </c>
    </row>
    <row r="352" spans="1:5">
      <c r="A352" s="304" t="s">
        <v>266</v>
      </c>
      <c r="B352" s="297">
        <v>241</v>
      </c>
      <c r="C352" s="297">
        <v>139</v>
      </c>
      <c r="D352" s="297">
        <v>102</v>
      </c>
      <c r="E352" s="297">
        <v>0</v>
      </c>
    </row>
    <row r="353" spans="1:5">
      <c r="A353" s="304" t="s">
        <v>504</v>
      </c>
      <c r="B353" s="297">
        <v>10</v>
      </c>
      <c r="C353" s="297">
        <v>7</v>
      </c>
      <c r="D353" s="297">
        <v>3</v>
      </c>
      <c r="E353" s="297">
        <v>0</v>
      </c>
    </row>
    <row r="354" spans="1:5" ht="5.0999999999999996" customHeight="1">
      <c r="A354" s="304"/>
      <c r="B354" s="297"/>
      <c r="C354" s="297"/>
      <c r="D354" s="297"/>
      <c r="E354" s="297"/>
    </row>
    <row r="355" spans="1:5">
      <c r="A355" s="303" t="s">
        <v>93</v>
      </c>
      <c r="B355" s="295">
        <v>1018</v>
      </c>
      <c r="C355" s="295">
        <v>632</v>
      </c>
      <c r="D355" s="295">
        <v>386</v>
      </c>
      <c r="E355" s="295">
        <v>0</v>
      </c>
    </row>
    <row r="356" spans="1:5" ht="5.0999999999999996" customHeight="1">
      <c r="A356" s="304"/>
      <c r="B356" s="297"/>
      <c r="C356" s="297"/>
      <c r="D356" s="297"/>
      <c r="E356" s="297"/>
    </row>
    <row r="357" spans="1:5">
      <c r="A357" s="304" t="s">
        <v>503</v>
      </c>
      <c r="B357" s="297">
        <v>8</v>
      </c>
      <c r="C357" s="297">
        <v>7</v>
      </c>
      <c r="D357" s="297">
        <v>1</v>
      </c>
      <c r="E357" s="297">
        <v>0</v>
      </c>
    </row>
    <row r="358" spans="1:5">
      <c r="A358" s="304" t="s">
        <v>260</v>
      </c>
      <c r="B358" s="297">
        <v>3</v>
      </c>
      <c r="C358" s="297">
        <v>2</v>
      </c>
      <c r="D358" s="297">
        <v>1</v>
      </c>
      <c r="E358" s="297">
        <v>0</v>
      </c>
    </row>
    <row r="359" spans="1:5">
      <c r="A359" s="304" t="s">
        <v>261</v>
      </c>
      <c r="B359" s="297">
        <v>2</v>
      </c>
      <c r="C359" s="297">
        <v>1</v>
      </c>
      <c r="D359" s="297">
        <v>1</v>
      </c>
      <c r="E359" s="297">
        <v>0</v>
      </c>
    </row>
    <row r="360" spans="1:5">
      <c r="A360" s="304" t="s">
        <v>63</v>
      </c>
      <c r="B360" s="297">
        <v>15</v>
      </c>
      <c r="C360" s="297">
        <v>11</v>
      </c>
      <c r="D360" s="297">
        <v>4</v>
      </c>
      <c r="E360" s="297">
        <v>0</v>
      </c>
    </row>
    <row r="361" spans="1:5">
      <c r="A361" s="304" t="s">
        <v>64</v>
      </c>
      <c r="B361" s="297">
        <v>27</v>
      </c>
      <c r="C361" s="297">
        <v>20</v>
      </c>
      <c r="D361" s="297">
        <v>7</v>
      </c>
      <c r="E361" s="297">
        <v>0</v>
      </c>
    </row>
    <row r="362" spans="1:5">
      <c r="A362" s="304" t="s">
        <v>65</v>
      </c>
      <c r="B362" s="297">
        <v>23</v>
      </c>
      <c r="C362" s="297">
        <v>17</v>
      </c>
      <c r="D362" s="297">
        <v>6</v>
      </c>
      <c r="E362" s="297">
        <v>0</v>
      </c>
    </row>
    <row r="363" spans="1:5">
      <c r="A363" s="304" t="s">
        <v>66</v>
      </c>
      <c r="B363" s="297">
        <v>21</v>
      </c>
      <c r="C363" s="297">
        <v>14</v>
      </c>
      <c r="D363" s="297">
        <v>7</v>
      </c>
      <c r="E363" s="297">
        <v>0</v>
      </c>
    </row>
    <row r="364" spans="1:5">
      <c r="A364" s="304" t="s">
        <v>67</v>
      </c>
      <c r="B364" s="297">
        <v>41</v>
      </c>
      <c r="C364" s="297">
        <v>24</v>
      </c>
      <c r="D364" s="297">
        <v>17</v>
      </c>
      <c r="E364" s="297">
        <v>0</v>
      </c>
    </row>
    <row r="365" spans="1:5">
      <c r="A365" s="304" t="s">
        <v>68</v>
      </c>
      <c r="B365" s="297">
        <v>37</v>
      </c>
      <c r="C365" s="297">
        <v>20</v>
      </c>
      <c r="D365" s="297">
        <v>17</v>
      </c>
      <c r="E365" s="297">
        <v>0</v>
      </c>
    </row>
    <row r="366" spans="1:5">
      <c r="A366" s="304" t="s">
        <v>69</v>
      </c>
      <c r="B366" s="297">
        <v>34</v>
      </c>
      <c r="C366" s="297">
        <v>21</v>
      </c>
      <c r="D366" s="297">
        <v>13</v>
      </c>
      <c r="E366" s="297">
        <v>0</v>
      </c>
    </row>
    <row r="367" spans="1:5">
      <c r="A367" s="304" t="s">
        <v>262</v>
      </c>
      <c r="B367" s="297">
        <v>48</v>
      </c>
      <c r="C367" s="297">
        <v>35</v>
      </c>
      <c r="D367" s="297">
        <v>13</v>
      </c>
      <c r="E367" s="297">
        <v>0</v>
      </c>
    </row>
    <row r="368" spans="1:5">
      <c r="A368" s="304" t="s">
        <v>263</v>
      </c>
      <c r="B368" s="297">
        <v>61</v>
      </c>
      <c r="C368" s="297">
        <v>39</v>
      </c>
      <c r="D368" s="297">
        <v>22</v>
      </c>
      <c r="E368" s="297">
        <v>0</v>
      </c>
    </row>
    <row r="369" spans="1:5">
      <c r="A369" s="304" t="s">
        <v>264</v>
      </c>
      <c r="B369" s="297">
        <v>77</v>
      </c>
      <c r="C369" s="297">
        <v>40</v>
      </c>
      <c r="D369" s="297">
        <v>37</v>
      </c>
      <c r="E369" s="297">
        <v>0</v>
      </c>
    </row>
    <row r="370" spans="1:5">
      <c r="A370" s="304" t="s">
        <v>265</v>
      </c>
      <c r="B370" s="297">
        <v>90</v>
      </c>
      <c r="C370" s="297">
        <v>60</v>
      </c>
      <c r="D370" s="297">
        <v>30</v>
      </c>
      <c r="E370" s="297">
        <v>0</v>
      </c>
    </row>
    <row r="371" spans="1:5">
      <c r="A371" s="304" t="s">
        <v>266</v>
      </c>
      <c r="B371" s="297">
        <v>499</v>
      </c>
      <c r="C371" s="297">
        <v>306</v>
      </c>
      <c r="D371" s="297">
        <v>193</v>
      </c>
      <c r="E371" s="297">
        <v>0</v>
      </c>
    </row>
    <row r="372" spans="1:5">
      <c r="A372" s="304" t="s">
        <v>504</v>
      </c>
      <c r="B372" s="297">
        <v>32</v>
      </c>
      <c r="C372" s="297">
        <v>15</v>
      </c>
      <c r="D372" s="297">
        <v>17</v>
      </c>
      <c r="E372" s="297">
        <v>0</v>
      </c>
    </row>
    <row r="373" spans="1:5" ht="5.0999999999999996" customHeight="1">
      <c r="A373" s="304"/>
      <c r="B373" s="297"/>
      <c r="C373" s="297"/>
      <c r="D373" s="297"/>
      <c r="E373" s="297"/>
    </row>
    <row r="374" spans="1:5">
      <c r="A374" s="303" t="s">
        <v>175</v>
      </c>
      <c r="B374" s="295">
        <v>501</v>
      </c>
      <c r="C374" s="295">
        <v>276</v>
      </c>
      <c r="D374" s="295">
        <v>225</v>
      </c>
      <c r="E374" s="295">
        <v>0</v>
      </c>
    </row>
    <row r="375" spans="1:5" ht="5.0999999999999996" customHeight="1">
      <c r="A375" s="304"/>
      <c r="B375" s="297"/>
      <c r="C375" s="297"/>
      <c r="D375" s="297"/>
      <c r="E375" s="297"/>
    </row>
    <row r="376" spans="1:5">
      <c r="A376" s="304" t="s">
        <v>503</v>
      </c>
      <c r="B376" s="297">
        <v>13</v>
      </c>
      <c r="C376" s="297">
        <v>7</v>
      </c>
      <c r="D376" s="297">
        <v>6</v>
      </c>
      <c r="E376" s="297">
        <v>0</v>
      </c>
    </row>
    <row r="377" spans="1:5">
      <c r="A377" s="304" t="s">
        <v>259</v>
      </c>
      <c r="B377" s="297">
        <v>3</v>
      </c>
      <c r="C377" s="297">
        <v>2</v>
      </c>
      <c r="D377" s="297">
        <v>1</v>
      </c>
      <c r="E377" s="297">
        <v>0</v>
      </c>
    </row>
    <row r="378" spans="1:5">
      <c r="A378" s="304" t="s">
        <v>260</v>
      </c>
      <c r="B378" s="297">
        <v>4</v>
      </c>
      <c r="C378" s="297">
        <v>2</v>
      </c>
      <c r="D378" s="297">
        <v>2</v>
      </c>
      <c r="E378" s="297">
        <v>0</v>
      </c>
    </row>
    <row r="379" spans="1:5">
      <c r="A379" s="304" t="s">
        <v>261</v>
      </c>
      <c r="B379" s="297">
        <v>9</v>
      </c>
      <c r="C379" s="297">
        <v>4</v>
      </c>
      <c r="D379" s="297">
        <v>5</v>
      </c>
      <c r="E379" s="297">
        <v>0</v>
      </c>
    </row>
    <row r="380" spans="1:5">
      <c r="A380" s="304" t="s">
        <v>63</v>
      </c>
      <c r="B380" s="297">
        <v>5</v>
      </c>
      <c r="C380" s="297">
        <v>4</v>
      </c>
      <c r="D380" s="297">
        <v>1</v>
      </c>
      <c r="E380" s="297">
        <v>0</v>
      </c>
    </row>
    <row r="381" spans="1:5">
      <c r="A381" s="304" t="s">
        <v>64</v>
      </c>
      <c r="B381" s="297">
        <v>11</v>
      </c>
      <c r="C381" s="297">
        <v>9</v>
      </c>
      <c r="D381" s="297">
        <v>2</v>
      </c>
      <c r="E381" s="297">
        <v>0</v>
      </c>
    </row>
    <row r="382" spans="1:5">
      <c r="A382" s="304" t="s">
        <v>65</v>
      </c>
      <c r="B382" s="297">
        <v>8</v>
      </c>
      <c r="C382" s="297">
        <v>6</v>
      </c>
      <c r="D382" s="297">
        <v>2</v>
      </c>
      <c r="E382" s="297">
        <v>0</v>
      </c>
    </row>
    <row r="383" spans="1:5">
      <c r="A383" s="304" t="s">
        <v>66</v>
      </c>
      <c r="B383" s="297">
        <v>11</v>
      </c>
      <c r="C383" s="297">
        <v>8</v>
      </c>
      <c r="D383" s="297">
        <v>3</v>
      </c>
      <c r="E383" s="297">
        <v>0</v>
      </c>
    </row>
    <row r="384" spans="1:5">
      <c r="A384" s="304" t="s">
        <v>67</v>
      </c>
      <c r="B384" s="297">
        <v>9</v>
      </c>
      <c r="C384" s="297">
        <v>7</v>
      </c>
      <c r="D384" s="297">
        <v>2</v>
      </c>
      <c r="E384" s="297">
        <v>0</v>
      </c>
    </row>
    <row r="385" spans="1:5">
      <c r="A385" s="304" t="s">
        <v>68</v>
      </c>
      <c r="B385" s="297">
        <v>8</v>
      </c>
      <c r="C385" s="297">
        <v>5</v>
      </c>
      <c r="D385" s="297">
        <v>3</v>
      </c>
      <c r="E385" s="297">
        <v>0</v>
      </c>
    </row>
    <row r="386" spans="1:5">
      <c r="A386" s="304" t="s">
        <v>69</v>
      </c>
      <c r="B386" s="297">
        <v>14</v>
      </c>
      <c r="C386" s="297">
        <v>10</v>
      </c>
      <c r="D386" s="297">
        <v>4</v>
      </c>
      <c r="E386" s="297">
        <v>0</v>
      </c>
    </row>
    <row r="387" spans="1:5">
      <c r="A387" s="304" t="s">
        <v>262</v>
      </c>
      <c r="B387" s="297">
        <v>19</v>
      </c>
      <c r="C387" s="297">
        <v>15</v>
      </c>
      <c r="D387" s="297">
        <v>4</v>
      </c>
      <c r="E387" s="297">
        <v>0</v>
      </c>
    </row>
    <row r="388" spans="1:5">
      <c r="A388" s="304" t="s">
        <v>263</v>
      </c>
      <c r="B388" s="297">
        <v>26</v>
      </c>
      <c r="C388" s="297">
        <v>21</v>
      </c>
      <c r="D388" s="297">
        <v>5</v>
      </c>
      <c r="E388" s="297">
        <v>0</v>
      </c>
    </row>
    <row r="389" spans="1:5">
      <c r="A389" s="304" t="s">
        <v>264</v>
      </c>
      <c r="B389" s="297">
        <v>32</v>
      </c>
      <c r="C389" s="297">
        <v>16</v>
      </c>
      <c r="D389" s="297">
        <v>16</v>
      </c>
      <c r="E389" s="297">
        <v>0</v>
      </c>
    </row>
    <row r="390" spans="1:5">
      <c r="A390" s="304" t="s">
        <v>265</v>
      </c>
      <c r="B390" s="297">
        <v>17</v>
      </c>
      <c r="C390" s="297">
        <v>13</v>
      </c>
      <c r="D390" s="297">
        <v>4</v>
      </c>
      <c r="E390" s="297">
        <v>0</v>
      </c>
    </row>
    <row r="391" spans="1:5">
      <c r="A391" s="304" t="s">
        <v>266</v>
      </c>
      <c r="B391" s="297">
        <v>299</v>
      </c>
      <c r="C391" s="297">
        <v>142</v>
      </c>
      <c r="D391" s="297">
        <v>157</v>
      </c>
      <c r="E391" s="297">
        <v>0</v>
      </c>
    </row>
    <row r="392" spans="1:5">
      <c r="A392" s="304" t="s">
        <v>504</v>
      </c>
      <c r="B392" s="297">
        <v>13</v>
      </c>
      <c r="C392" s="297">
        <v>5</v>
      </c>
      <c r="D392" s="297">
        <v>8</v>
      </c>
      <c r="E392" s="297">
        <v>0</v>
      </c>
    </row>
    <row r="393" spans="1:5" ht="5.0999999999999996" customHeight="1">
      <c r="A393" s="304"/>
      <c r="B393" s="297"/>
      <c r="C393" s="297"/>
      <c r="D393" s="297"/>
      <c r="E393" s="297"/>
    </row>
    <row r="394" spans="1:5">
      <c r="A394" s="303" t="s">
        <v>95</v>
      </c>
      <c r="B394" s="295">
        <v>406</v>
      </c>
      <c r="C394" s="295">
        <v>249</v>
      </c>
      <c r="D394" s="295">
        <v>157</v>
      </c>
      <c r="E394" s="295">
        <v>0</v>
      </c>
    </row>
    <row r="395" spans="1:5" ht="5.0999999999999996" customHeight="1">
      <c r="A395" s="304"/>
      <c r="B395" s="297"/>
      <c r="C395" s="297"/>
      <c r="D395" s="297"/>
      <c r="E395" s="297"/>
    </row>
    <row r="396" spans="1:5">
      <c r="A396" s="304" t="s">
        <v>503</v>
      </c>
      <c r="B396" s="297">
        <v>7</v>
      </c>
      <c r="C396" s="297">
        <v>6</v>
      </c>
      <c r="D396" s="297">
        <v>1</v>
      </c>
      <c r="E396" s="297">
        <v>0</v>
      </c>
    </row>
    <row r="397" spans="1:5">
      <c r="A397" s="304" t="s">
        <v>259</v>
      </c>
      <c r="B397" s="297">
        <v>2</v>
      </c>
      <c r="C397" s="297">
        <v>2</v>
      </c>
      <c r="D397" s="297">
        <v>0</v>
      </c>
      <c r="E397" s="297">
        <v>0</v>
      </c>
    </row>
    <row r="398" spans="1:5">
      <c r="A398" s="304" t="s">
        <v>260</v>
      </c>
      <c r="B398" s="297">
        <v>3</v>
      </c>
      <c r="C398" s="297">
        <v>2</v>
      </c>
      <c r="D398" s="297">
        <v>1</v>
      </c>
      <c r="E398" s="297">
        <v>0</v>
      </c>
    </row>
    <row r="399" spans="1:5">
      <c r="A399" s="304" t="s">
        <v>261</v>
      </c>
      <c r="B399" s="297">
        <v>3</v>
      </c>
      <c r="C399" s="297">
        <v>1</v>
      </c>
      <c r="D399" s="297">
        <v>2</v>
      </c>
      <c r="E399" s="297">
        <v>0</v>
      </c>
    </row>
    <row r="400" spans="1:5">
      <c r="A400" s="304" t="s">
        <v>63</v>
      </c>
      <c r="B400" s="297">
        <v>4</v>
      </c>
      <c r="C400" s="297">
        <v>3</v>
      </c>
      <c r="D400" s="297">
        <v>1</v>
      </c>
      <c r="E400" s="297">
        <v>0</v>
      </c>
    </row>
    <row r="401" spans="1:5">
      <c r="A401" s="304" t="s">
        <v>64</v>
      </c>
      <c r="B401" s="297">
        <v>17</v>
      </c>
      <c r="C401" s="297">
        <v>11</v>
      </c>
      <c r="D401" s="297">
        <v>6</v>
      </c>
      <c r="E401" s="297">
        <v>0</v>
      </c>
    </row>
    <row r="402" spans="1:5">
      <c r="A402" s="304" t="s">
        <v>65</v>
      </c>
      <c r="B402" s="297">
        <v>17</v>
      </c>
      <c r="C402" s="297">
        <v>15</v>
      </c>
      <c r="D402" s="297">
        <v>2</v>
      </c>
      <c r="E402" s="297">
        <v>0</v>
      </c>
    </row>
    <row r="403" spans="1:5">
      <c r="A403" s="304" t="s">
        <v>66</v>
      </c>
      <c r="B403" s="297">
        <v>9</v>
      </c>
      <c r="C403" s="297">
        <v>7</v>
      </c>
      <c r="D403" s="297">
        <v>2</v>
      </c>
      <c r="E403" s="297">
        <v>0</v>
      </c>
    </row>
    <row r="404" spans="1:5">
      <c r="A404" s="304" t="s">
        <v>67</v>
      </c>
      <c r="B404" s="297">
        <v>18</v>
      </c>
      <c r="C404" s="297">
        <v>10</v>
      </c>
      <c r="D404" s="297">
        <v>8</v>
      </c>
      <c r="E404" s="297">
        <v>0</v>
      </c>
    </row>
    <row r="405" spans="1:5">
      <c r="A405" s="304" t="s">
        <v>68</v>
      </c>
      <c r="B405" s="297">
        <v>13</v>
      </c>
      <c r="C405" s="297">
        <v>8</v>
      </c>
      <c r="D405" s="297">
        <v>5</v>
      </c>
      <c r="E405" s="297">
        <v>0</v>
      </c>
    </row>
    <row r="406" spans="1:5">
      <c r="A406" s="304" t="s">
        <v>69</v>
      </c>
      <c r="B406" s="297">
        <v>19</v>
      </c>
      <c r="C406" s="297">
        <v>11</v>
      </c>
      <c r="D406" s="297">
        <v>8</v>
      </c>
      <c r="E406" s="297">
        <v>0</v>
      </c>
    </row>
    <row r="407" spans="1:5">
      <c r="A407" s="304" t="s">
        <v>262</v>
      </c>
      <c r="B407" s="297">
        <v>19</v>
      </c>
      <c r="C407" s="297">
        <v>10</v>
      </c>
      <c r="D407" s="297">
        <v>9</v>
      </c>
      <c r="E407" s="297">
        <v>0</v>
      </c>
    </row>
    <row r="408" spans="1:5">
      <c r="A408" s="304" t="s">
        <v>263</v>
      </c>
      <c r="B408" s="297">
        <v>25</v>
      </c>
      <c r="C408" s="297">
        <v>10</v>
      </c>
      <c r="D408" s="297">
        <v>15</v>
      </c>
      <c r="E408" s="297">
        <v>0</v>
      </c>
    </row>
    <row r="409" spans="1:5">
      <c r="A409" s="304" t="s">
        <v>264</v>
      </c>
      <c r="B409" s="297">
        <v>23</v>
      </c>
      <c r="C409" s="297">
        <v>16</v>
      </c>
      <c r="D409" s="297">
        <v>7</v>
      </c>
      <c r="E409" s="297">
        <v>0</v>
      </c>
    </row>
    <row r="410" spans="1:5">
      <c r="A410" s="304" t="s">
        <v>265</v>
      </c>
      <c r="B410" s="297">
        <v>34</v>
      </c>
      <c r="C410" s="297">
        <v>20</v>
      </c>
      <c r="D410" s="297">
        <v>14</v>
      </c>
      <c r="E410" s="297">
        <v>0</v>
      </c>
    </row>
    <row r="411" spans="1:5">
      <c r="A411" s="304" t="s">
        <v>266</v>
      </c>
      <c r="B411" s="297">
        <v>180</v>
      </c>
      <c r="C411" s="297">
        <v>108</v>
      </c>
      <c r="D411" s="297">
        <v>72</v>
      </c>
      <c r="E411" s="297">
        <v>0</v>
      </c>
    </row>
    <row r="412" spans="1:5">
      <c r="A412" s="304" t="s">
        <v>504</v>
      </c>
      <c r="B412" s="297">
        <v>13</v>
      </c>
      <c r="C412" s="297">
        <v>9</v>
      </c>
      <c r="D412" s="297">
        <v>4</v>
      </c>
      <c r="E412" s="297">
        <v>0</v>
      </c>
    </row>
    <row r="413" spans="1:5" ht="5.0999999999999996" customHeight="1">
      <c r="A413" s="304"/>
      <c r="B413" s="297"/>
      <c r="C413" s="297"/>
      <c r="D413" s="297"/>
      <c r="E413" s="297"/>
    </row>
    <row r="414" spans="1:5">
      <c r="A414" s="303" t="s">
        <v>96</v>
      </c>
      <c r="B414" s="295">
        <v>1549</v>
      </c>
      <c r="C414" s="295">
        <v>899</v>
      </c>
      <c r="D414" s="295">
        <v>650</v>
      </c>
      <c r="E414" s="295">
        <v>0</v>
      </c>
    </row>
    <row r="415" spans="1:5" ht="5.0999999999999996" customHeight="1">
      <c r="A415" s="304"/>
      <c r="B415" s="297"/>
      <c r="C415" s="297"/>
      <c r="D415" s="297"/>
      <c r="E415" s="297"/>
    </row>
    <row r="416" spans="1:5">
      <c r="A416" s="304" t="s">
        <v>503</v>
      </c>
      <c r="B416" s="297">
        <v>15</v>
      </c>
      <c r="C416" s="297">
        <v>5</v>
      </c>
      <c r="D416" s="297">
        <v>10</v>
      </c>
      <c r="E416" s="297">
        <v>0</v>
      </c>
    </row>
    <row r="417" spans="1:5">
      <c r="A417" s="304" t="s">
        <v>259</v>
      </c>
      <c r="B417" s="297">
        <v>4</v>
      </c>
      <c r="C417" s="297">
        <v>3</v>
      </c>
      <c r="D417" s="297">
        <v>1</v>
      </c>
      <c r="E417" s="297">
        <v>0</v>
      </c>
    </row>
    <row r="418" spans="1:5">
      <c r="A418" s="304" t="s">
        <v>260</v>
      </c>
      <c r="B418" s="297">
        <v>9</v>
      </c>
      <c r="C418" s="297">
        <v>4</v>
      </c>
      <c r="D418" s="297">
        <v>5</v>
      </c>
      <c r="E418" s="297">
        <v>0</v>
      </c>
    </row>
    <row r="419" spans="1:5">
      <c r="A419" s="304" t="s">
        <v>261</v>
      </c>
      <c r="B419" s="297">
        <v>12</v>
      </c>
      <c r="C419" s="297">
        <v>7</v>
      </c>
      <c r="D419" s="297">
        <v>5</v>
      </c>
      <c r="E419" s="297">
        <v>0</v>
      </c>
    </row>
    <row r="420" spans="1:5">
      <c r="A420" s="304" t="s">
        <v>63</v>
      </c>
      <c r="B420" s="297">
        <v>31</v>
      </c>
      <c r="C420" s="297">
        <v>25</v>
      </c>
      <c r="D420" s="297">
        <v>6</v>
      </c>
      <c r="E420" s="297">
        <v>0</v>
      </c>
    </row>
    <row r="421" spans="1:5">
      <c r="A421" s="304" t="s">
        <v>64</v>
      </c>
      <c r="B421" s="297">
        <v>37</v>
      </c>
      <c r="C421" s="297">
        <v>29</v>
      </c>
      <c r="D421" s="297">
        <v>8</v>
      </c>
      <c r="E421" s="297">
        <v>0</v>
      </c>
    </row>
    <row r="422" spans="1:5">
      <c r="A422" s="304" t="s">
        <v>65</v>
      </c>
      <c r="B422" s="297">
        <v>54</v>
      </c>
      <c r="C422" s="297">
        <v>38</v>
      </c>
      <c r="D422" s="297">
        <v>16</v>
      </c>
      <c r="E422" s="297">
        <v>0</v>
      </c>
    </row>
    <row r="423" spans="1:5">
      <c r="A423" s="304" t="s">
        <v>66</v>
      </c>
      <c r="B423" s="297">
        <v>52</v>
      </c>
      <c r="C423" s="297">
        <v>35</v>
      </c>
      <c r="D423" s="297">
        <v>17</v>
      </c>
      <c r="E423" s="297">
        <v>0</v>
      </c>
    </row>
    <row r="424" spans="1:5">
      <c r="A424" s="304" t="s">
        <v>67</v>
      </c>
      <c r="B424" s="297">
        <v>61</v>
      </c>
      <c r="C424" s="297">
        <v>38</v>
      </c>
      <c r="D424" s="297">
        <v>23</v>
      </c>
      <c r="E424" s="297">
        <v>0</v>
      </c>
    </row>
    <row r="425" spans="1:5">
      <c r="A425" s="304" t="s">
        <v>68</v>
      </c>
      <c r="B425" s="297">
        <v>85</v>
      </c>
      <c r="C425" s="297">
        <v>55</v>
      </c>
      <c r="D425" s="297">
        <v>30</v>
      </c>
      <c r="E425" s="297">
        <v>0</v>
      </c>
    </row>
    <row r="426" spans="1:5">
      <c r="A426" s="304" t="s">
        <v>69</v>
      </c>
      <c r="B426" s="297">
        <v>60</v>
      </c>
      <c r="C426" s="297">
        <v>36</v>
      </c>
      <c r="D426" s="297">
        <v>24</v>
      </c>
      <c r="E426" s="297">
        <v>0</v>
      </c>
    </row>
    <row r="427" spans="1:5">
      <c r="A427" s="304" t="s">
        <v>262</v>
      </c>
      <c r="B427" s="297">
        <v>82</v>
      </c>
      <c r="C427" s="297">
        <v>51</v>
      </c>
      <c r="D427" s="297">
        <v>31</v>
      </c>
      <c r="E427" s="297">
        <v>0</v>
      </c>
    </row>
    <row r="428" spans="1:5">
      <c r="A428" s="304" t="s">
        <v>263</v>
      </c>
      <c r="B428" s="297">
        <v>88</v>
      </c>
      <c r="C428" s="297">
        <v>59</v>
      </c>
      <c r="D428" s="297">
        <v>29</v>
      </c>
      <c r="E428" s="297">
        <v>0</v>
      </c>
    </row>
    <row r="429" spans="1:5">
      <c r="A429" s="304" t="s">
        <v>264</v>
      </c>
      <c r="B429" s="297">
        <v>124</v>
      </c>
      <c r="C429" s="297">
        <v>72</v>
      </c>
      <c r="D429" s="297">
        <v>52</v>
      </c>
      <c r="E429" s="297">
        <v>0</v>
      </c>
    </row>
    <row r="430" spans="1:5">
      <c r="A430" s="304" t="s">
        <v>265</v>
      </c>
      <c r="B430" s="297">
        <v>123</v>
      </c>
      <c r="C430" s="297">
        <v>77</v>
      </c>
      <c r="D430" s="297">
        <v>46</v>
      </c>
      <c r="E430" s="297">
        <v>0</v>
      </c>
    </row>
    <row r="431" spans="1:5">
      <c r="A431" s="304" t="s">
        <v>266</v>
      </c>
      <c r="B431" s="297">
        <v>631</v>
      </c>
      <c r="C431" s="297">
        <v>327</v>
      </c>
      <c r="D431" s="297">
        <v>304</v>
      </c>
      <c r="E431" s="297">
        <v>0</v>
      </c>
    </row>
    <row r="432" spans="1:5">
      <c r="A432" s="304" t="s">
        <v>504</v>
      </c>
      <c r="B432" s="297">
        <v>81</v>
      </c>
      <c r="C432" s="297">
        <v>38</v>
      </c>
      <c r="D432" s="297">
        <v>43</v>
      </c>
      <c r="E432" s="297">
        <v>0</v>
      </c>
    </row>
    <row r="433" spans="1:5" ht="5.0999999999999996" customHeight="1">
      <c r="A433" s="304"/>
      <c r="B433" s="297"/>
      <c r="C433" s="297"/>
      <c r="D433" s="297"/>
      <c r="E433" s="297"/>
    </row>
    <row r="434" spans="1:5">
      <c r="A434" s="303" t="s">
        <v>97</v>
      </c>
      <c r="B434" s="295">
        <v>775</v>
      </c>
      <c r="C434" s="295">
        <v>457</v>
      </c>
      <c r="D434" s="295">
        <v>318</v>
      </c>
      <c r="E434" s="295">
        <v>0</v>
      </c>
    </row>
    <row r="435" spans="1:5" ht="5.0999999999999996" customHeight="1">
      <c r="A435" s="304"/>
      <c r="B435" s="297"/>
      <c r="C435" s="297"/>
      <c r="D435" s="297"/>
      <c r="E435" s="297"/>
    </row>
    <row r="436" spans="1:5">
      <c r="A436" s="304" t="s">
        <v>503</v>
      </c>
      <c r="B436" s="297">
        <v>9</v>
      </c>
      <c r="C436" s="297">
        <v>3</v>
      </c>
      <c r="D436" s="297">
        <v>6</v>
      </c>
      <c r="E436" s="297">
        <v>0</v>
      </c>
    </row>
    <row r="437" spans="1:5">
      <c r="A437" s="304" t="s">
        <v>259</v>
      </c>
      <c r="B437" s="297">
        <v>1</v>
      </c>
      <c r="C437" s="297">
        <v>1</v>
      </c>
      <c r="D437" s="297">
        <v>0</v>
      </c>
      <c r="E437" s="297">
        <v>0</v>
      </c>
    </row>
    <row r="438" spans="1:5">
      <c r="A438" s="304" t="s">
        <v>260</v>
      </c>
      <c r="B438" s="297">
        <v>1</v>
      </c>
      <c r="C438" s="297">
        <v>1</v>
      </c>
      <c r="D438" s="297">
        <v>0</v>
      </c>
      <c r="E438" s="297">
        <v>0</v>
      </c>
    </row>
    <row r="439" spans="1:5">
      <c r="A439" s="304" t="s">
        <v>261</v>
      </c>
      <c r="B439" s="297">
        <v>3</v>
      </c>
      <c r="C439" s="297">
        <v>3</v>
      </c>
      <c r="D439" s="297">
        <v>0</v>
      </c>
      <c r="E439" s="297">
        <v>0</v>
      </c>
    </row>
    <row r="440" spans="1:5">
      <c r="A440" s="304" t="s">
        <v>63</v>
      </c>
      <c r="B440" s="297">
        <v>7</v>
      </c>
      <c r="C440" s="297">
        <v>4</v>
      </c>
      <c r="D440" s="297">
        <v>3</v>
      </c>
      <c r="E440" s="297">
        <v>0</v>
      </c>
    </row>
    <row r="441" spans="1:5">
      <c r="A441" s="304" t="s">
        <v>64</v>
      </c>
      <c r="B441" s="297">
        <v>19</v>
      </c>
      <c r="C441" s="297">
        <v>15</v>
      </c>
      <c r="D441" s="297">
        <v>4</v>
      </c>
      <c r="E441" s="297">
        <v>0</v>
      </c>
    </row>
    <row r="442" spans="1:5">
      <c r="A442" s="304" t="s">
        <v>65</v>
      </c>
      <c r="B442" s="297">
        <v>25</v>
      </c>
      <c r="C442" s="297">
        <v>14</v>
      </c>
      <c r="D442" s="297">
        <v>11</v>
      </c>
      <c r="E442" s="297">
        <v>0</v>
      </c>
    </row>
    <row r="443" spans="1:5">
      <c r="A443" s="304" t="s">
        <v>66</v>
      </c>
      <c r="B443" s="297">
        <v>23</v>
      </c>
      <c r="C443" s="297">
        <v>13</v>
      </c>
      <c r="D443" s="297">
        <v>10</v>
      </c>
      <c r="E443" s="297">
        <v>0</v>
      </c>
    </row>
    <row r="444" spans="1:5">
      <c r="A444" s="304" t="s">
        <v>67</v>
      </c>
      <c r="B444" s="297">
        <v>25</v>
      </c>
      <c r="C444" s="297">
        <v>11</v>
      </c>
      <c r="D444" s="297">
        <v>14</v>
      </c>
      <c r="E444" s="297">
        <v>0</v>
      </c>
    </row>
    <row r="445" spans="1:5">
      <c r="A445" s="304" t="s">
        <v>68</v>
      </c>
      <c r="B445" s="297">
        <v>27</v>
      </c>
      <c r="C445" s="297">
        <v>17</v>
      </c>
      <c r="D445" s="297">
        <v>10</v>
      </c>
      <c r="E445" s="297">
        <v>0</v>
      </c>
    </row>
    <row r="446" spans="1:5">
      <c r="A446" s="304" t="s">
        <v>69</v>
      </c>
      <c r="B446" s="297">
        <v>28</v>
      </c>
      <c r="C446" s="297">
        <v>17</v>
      </c>
      <c r="D446" s="297">
        <v>11</v>
      </c>
      <c r="E446" s="297">
        <v>0</v>
      </c>
    </row>
    <row r="447" spans="1:5">
      <c r="A447" s="304" t="s">
        <v>262</v>
      </c>
      <c r="B447" s="297">
        <v>51</v>
      </c>
      <c r="C447" s="297">
        <v>32</v>
      </c>
      <c r="D447" s="297">
        <v>19</v>
      </c>
      <c r="E447" s="297">
        <v>0</v>
      </c>
    </row>
    <row r="448" spans="1:5">
      <c r="A448" s="304" t="s">
        <v>263</v>
      </c>
      <c r="B448" s="297">
        <v>38</v>
      </c>
      <c r="C448" s="297">
        <v>21</v>
      </c>
      <c r="D448" s="297">
        <v>17</v>
      </c>
      <c r="E448" s="297">
        <v>0</v>
      </c>
    </row>
    <row r="449" spans="1:5">
      <c r="A449" s="304" t="s">
        <v>264</v>
      </c>
      <c r="B449" s="297">
        <v>51</v>
      </c>
      <c r="C449" s="297">
        <v>30</v>
      </c>
      <c r="D449" s="297">
        <v>21</v>
      </c>
      <c r="E449" s="297">
        <v>0</v>
      </c>
    </row>
    <row r="450" spans="1:5">
      <c r="A450" s="304" t="s">
        <v>265</v>
      </c>
      <c r="B450" s="297">
        <v>68</v>
      </c>
      <c r="C450" s="297">
        <v>37</v>
      </c>
      <c r="D450" s="297">
        <v>31</v>
      </c>
      <c r="E450" s="297">
        <v>0</v>
      </c>
    </row>
    <row r="451" spans="1:5">
      <c r="A451" s="304" t="s">
        <v>266</v>
      </c>
      <c r="B451" s="297">
        <v>375</v>
      </c>
      <c r="C451" s="297">
        <v>230</v>
      </c>
      <c r="D451" s="297">
        <v>145</v>
      </c>
      <c r="E451" s="297">
        <v>0</v>
      </c>
    </row>
    <row r="452" spans="1:5">
      <c r="A452" s="304" t="s">
        <v>504</v>
      </c>
      <c r="B452" s="297">
        <v>24</v>
      </c>
      <c r="C452" s="297">
        <v>8</v>
      </c>
      <c r="D452" s="297">
        <v>16</v>
      </c>
      <c r="E452" s="297">
        <v>0</v>
      </c>
    </row>
    <row r="453" spans="1:5" ht="5.0999999999999996" customHeight="1">
      <c r="A453" s="304"/>
      <c r="B453" s="297"/>
      <c r="C453" s="297"/>
      <c r="D453" s="297"/>
      <c r="E453" s="297"/>
    </row>
    <row r="454" spans="1:5">
      <c r="A454" s="303" t="s">
        <v>98</v>
      </c>
      <c r="B454" s="295">
        <v>1147</v>
      </c>
      <c r="C454" s="295">
        <v>642</v>
      </c>
      <c r="D454" s="295">
        <v>505</v>
      </c>
      <c r="E454" s="295">
        <v>0</v>
      </c>
    </row>
    <row r="455" spans="1:5" ht="5.0999999999999996" customHeight="1">
      <c r="A455" s="304"/>
      <c r="B455" s="297"/>
      <c r="C455" s="297"/>
      <c r="D455" s="297"/>
      <c r="E455" s="297"/>
    </row>
    <row r="456" spans="1:5">
      <c r="A456" s="304" t="s">
        <v>503</v>
      </c>
      <c r="B456" s="297">
        <v>20</v>
      </c>
      <c r="C456" s="297">
        <v>11</v>
      </c>
      <c r="D456" s="297">
        <v>9</v>
      </c>
      <c r="E456" s="297">
        <v>0</v>
      </c>
    </row>
    <row r="457" spans="1:5">
      <c r="A457" s="304" t="s">
        <v>259</v>
      </c>
      <c r="B457" s="297">
        <v>6</v>
      </c>
      <c r="C457" s="297">
        <v>4</v>
      </c>
      <c r="D457" s="297">
        <v>2</v>
      </c>
      <c r="E457" s="297">
        <v>0</v>
      </c>
    </row>
    <row r="458" spans="1:5">
      <c r="A458" s="304" t="s">
        <v>260</v>
      </c>
      <c r="B458" s="297">
        <v>6</v>
      </c>
      <c r="C458" s="297">
        <v>3</v>
      </c>
      <c r="D458" s="297">
        <v>3</v>
      </c>
      <c r="E458" s="297">
        <v>0</v>
      </c>
    </row>
    <row r="459" spans="1:5">
      <c r="A459" s="304" t="s">
        <v>261</v>
      </c>
      <c r="B459" s="297">
        <v>11</v>
      </c>
      <c r="C459" s="297">
        <v>4</v>
      </c>
      <c r="D459" s="297">
        <v>7</v>
      </c>
      <c r="E459" s="297">
        <v>0</v>
      </c>
    </row>
    <row r="460" spans="1:5">
      <c r="A460" s="304" t="s">
        <v>63</v>
      </c>
      <c r="B460" s="297">
        <v>23</v>
      </c>
      <c r="C460" s="297">
        <v>16</v>
      </c>
      <c r="D460" s="297">
        <v>7</v>
      </c>
      <c r="E460" s="297">
        <v>0</v>
      </c>
    </row>
    <row r="461" spans="1:5">
      <c r="A461" s="304" t="s">
        <v>64</v>
      </c>
      <c r="B461" s="297">
        <v>16</v>
      </c>
      <c r="C461" s="297">
        <v>11</v>
      </c>
      <c r="D461" s="297">
        <v>5</v>
      </c>
      <c r="E461" s="297">
        <v>0</v>
      </c>
    </row>
    <row r="462" spans="1:5">
      <c r="A462" s="304" t="s">
        <v>65</v>
      </c>
      <c r="B462" s="297">
        <v>37</v>
      </c>
      <c r="C462" s="297">
        <v>23</v>
      </c>
      <c r="D462" s="297">
        <v>14</v>
      </c>
      <c r="E462" s="297">
        <v>0</v>
      </c>
    </row>
    <row r="463" spans="1:5">
      <c r="A463" s="304" t="s">
        <v>66</v>
      </c>
      <c r="B463" s="297">
        <v>35</v>
      </c>
      <c r="C463" s="297">
        <v>24</v>
      </c>
      <c r="D463" s="297">
        <v>11</v>
      </c>
      <c r="E463" s="297">
        <v>0</v>
      </c>
    </row>
    <row r="464" spans="1:5">
      <c r="A464" s="304" t="s">
        <v>67</v>
      </c>
      <c r="B464" s="297">
        <v>47</v>
      </c>
      <c r="C464" s="297">
        <v>27</v>
      </c>
      <c r="D464" s="297">
        <v>20</v>
      </c>
      <c r="E464" s="297">
        <v>0</v>
      </c>
    </row>
    <row r="465" spans="1:5">
      <c r="A465" s="304" t="s">
        <v>68</v>
      </c>
      <c r="B465" s="297">
        <v>50</v>
      </c>
      <c r="C465" s="297">
        <v>26</v>
      </c>
      <c r="D465" s="297">
        <v>24</v>
      </c>
      <c r="E465" s="297">
        <v>0</v>
      </c>
    </row>
    <row r="466" spans="1:5">
      <c r="A466" s="304" t="s">
        <v>69</v>
      </c>
      <c r="B466" s="297">
        <v>39</v>
      </c>
      <c r="C466" s="297">
        <v>24</v>
      </c>
      <c r="D466" s="297">
        <v>15</v>
      </c>
      <c r="E466" s="297">
        <v>0</v>
      </c>
    </row>
    <row r="467" spans="1:5">
      <c r="A467" s="304" t="s">
        <v>262</v>
      </c>
      <c r="B467" s="297">
        <v>60</v>
      </c>
      <c r="C467" s="297">
        <v>36</v>
      </c>
      <c r="D467" s="297">
        <v>24</v>
      </c>
      <c r="E467" s="297">
        <v>0</v>
      </c>
    </row>
    <row r="468" spans="1:5">
      <c r="A468" s="304" t="s">
        <v>263</v>
      </c>
      <c r="B468" s="297">
        <v>73</v>
      </c>
      <c r="C468" s="297">
        <v>45</v>
      </c>
      <c r="D468" s="297">
        <v>28</v>
      </c>
      <c r="E468" s="297">
        <v>0</v>
      </c>
    </row>
    <row r="469" spans="1:5">
      <c r="A469" s="304" t="s">
        <v>264</v>
      </c>
      <c r="B469" s="297">
        <v>84</v>
      </c>
      <c r="C469" s="297">
        <v>57</v>
      </c>
      <c r="D469" s="297">
        <v>27</v>
      </c>
      <c r="E469" s="297">
        <v>0</v>
      </c>
    </row>
    <row r="470" spans="1:5">
      <c r="A470" s="304" t="s">
        <v>265</v>
      </c>
      <c r="B470" s="297">
        <v>89</v>
      </c>
      <c r="C470" s="297">
        <v>54</v>
      </c>
      <c r="D470" s="297">
        <v>35</v>
      </c>
      <c r="E470" s="297">
        <v>0</v>
      </c>
    </row>
    <row r="471" spans="1:5">
      <c r="A471" s="304" t="s">
        <v>266</v>
      </c>
      <c r="B471" s="297">
        <v>507</v>
      </c>
      <c r="C471" s="297">
        <v>259</v>
      </c>
      <c r="D471" s="297">
        <v>248</v>
      </c>
      <c r="E471" s="297">
        <v>0</v>
      </c>
    </row>
    <row r="472" spans="1:5">
      <c r="A472" s="304" t="s">
        <v>504</v>
      </c>
      <c r="B472" s="297">
        <v>44</v>
      </c>
      <c r="C472" s="297">
        <v>18</v>
      </c>
      <c r="D472" s="297">
        <v>26</v>
      </c>
      <c r="E472" s="297">
        <v>0</v>
      </c>
    </row>
    <row r="473" spans="1:5" ht="5.0999999999999996" customHeight="1">
      <c r="A473" s="304"/>
      <c r="B473" s="297"/>
      <c r="C473" s="297"/>
      <c r="D473" s="297"/>
      <c r="E473" s="297"/>
    </row>
    <row r="474" spans="1:5">
      <c r="A474" s="303" t="s">
        <v>99</v>
      </c>
      <c r="B474" s="295">
        <v>782</v>
      </c>
      <c r="C474" s="295">
        <v>476</v>
      </c>
      <c r="D474" s="295">
        <v>306</v>
      </c>
      <c r="E474" s="295">
        <v>0</v>
      </c>
    </row>
    <row r="475" spans="1:5" ht="5.0999999999999996" customHeight="1">
      <c r="A475" s="304"/>
      <c r="B475" s="297"/>
      <c r="C475" s="297"/>
      <c r="D475" s="297"/>
      <c r="E475" s="297"/>
    </row>
    <row r="476" spans="1:5">
      <c r="A476" s="304" t="s">
        <v>503</v>
      </c>
      <c r="B476" s="297">
        <v>5</v>
      </c>
      <c r="C476" s="297">
        <v>5</v>
      </c>
      <c r="D476" s="297">
        <v>0</v>
      </c>
      <c r="E476" s="297">
        <v>0</v>
      </c>
    </row>
    <row r="477" spans="1:5">
      <c r="A477" s="304" t="s">
        <v>259</v>
      </c>
      <c r="B477" s="297">
        <v>3</v>
      </c>
      <c r="C477" s="297">
        <v>3</v>
      </c>
      <c r="D477" s="297">
        <v>0</v>
      </c>
      <c r="E477" s="297">
        <v>0</v>
      </c>
    </row>
    <row r="478" spans="1:5">
      <c r="A478" s="304" t="s">
        <v>260</v>
      </c>
      <c r="B478" s="297">
        <v>1</v>
      </c>
      <c r="C478" s="297">
        <v>0</v>
      </c>
      <c r="D478" s="297">
        <v>1</v>
      </c>
      <c r="E478" s="297">
        <v>0</v>
      </c>
    </row>
    <row r="479" spans="1:5">
      <c r="A479" s="304" t="s">
        <v>261</v>
      </c>
      <c r="B479" s="297">
        <v>2</v>
      </c>
      <c r="C479" s="297">
        <v>0</v>
      </c>
      <c r="D479" s="297">
        <v>2</v>
      </c>
      <c r="E479" s="297">
        <v>0</v>
      </c>
    </row>
    <row r="480" spans="1:5">
      <c r="A480" s="304" t="s">
        <v>63</v>
      </c>
      <c r="B480" s="297">
        <v>16</v>
      </c>
      <c r="C480" s="297">
        <v>12</v>
      </c>
      <c r="D480" s="297">
        <v>4</v>
      </c>
      <c r="E480" s="297">
        <v>0</v>
      </c>
    </row>
    <row r="481" spans="1:5">
      <c r="A481" s="304" t="s">
        <v>64</v>
      </c>
      <c r="B481" s="297">
        <v>19</v>
      </c>
      <c r="C481" s="297">
        <v>18</v>
      </c>
      <c r="D481" s="297">
        <v>1</v>
      </c>
      <c r="E481" s="297">
        <v>0</v>
      </c>
    </row>
    <row r="482" spans="1:5">
      <c r="A482" s="304" t="s">
        <v>65</v>
      </c>
      <c r="B482" s="297">
        <v>19</v>
      </c>
      <c r="C482" s="297">
        <v>18</v>
      </c>
      <c r="D482" s="297">
        <v>1</v>
      </c>
      <c r="E482" s="297">
        <v>0</v>
      </c>
    </row>
    <row r="483" spans="1:5">
      <c r="A483" s="304" t="s">
        <v>66</v>
      </c>
      <c r="B483" s="297">
        <v>30</v>
      </c>
      <c r="C483" s="297">
        <v>24</v>
      </c>
      <c r="D483" s="297">
        <v>6</v>
      </c>
      <c r="E483" s="297">
        <v>0</v>
      </c>
    </row>
    <row r="484" spans="1:5">
      <c r="A484" s="304" t="s">
        <v>67</v>
      </c>
      <c r="B484" s="297">
        <v>35</v>
      </c>
      <c r="C484" s="297">
        <v>33</v>
      </c>
      <c r="D484" s="297">
        <v>2</v>
      </c>
      <c r="E484" s="297">
        <v>0</v>
      </c>
    </row>
    <row r="485" spans="1:5">
      <c r="A485" s="304" t="s">
        <v>68</v>
      </c>
      <c r="B485" s="297">
        <v>18</v>
      </c>
      <c r="C485" s="297">
        <v>12</v>
      </c>
      <c r="D485" s="297">
        <v>6</v>
      </c>
      <c r="E485" s="297">
        <v>0</v>
      </c>
    </row>
    <row r="486" spans="1:5">
      <c r="A486" s="304" t="s">
        <v>69</v>
      </c>
      <c r="B486" s="297">
        <v>36</v>
      </c>
      <c r="C486" s="297">
        <v>24</v>
      </c>
      <c r="D486" s="297">
        <v>12</v>
      </c>
      <c r="E486" s="297">
        <v>0</v>
      </c>
    </row>
    <row r="487" spans="1:5">
      <c r="A487" s="304" t="s">
        <v>262</v>
      </c>
      <c r="B487" s="297">
        <v>44</v>
      </c>
      <c r="C487" s="297">
        <v>24</v>
      </c>
      <c r="D487" s="297">
        <v>20</v>
      </c>
      <c r="E487" s="297">
        <v>0</v>
      </c>
    </row>
    <row r="488" spans="1:5">
      <c r="A488" s="304" t="s">
        <v>263</v>
      </c>
      <c r="B488" s="297">
        <v>63</v>
      </c>
      <c r="C488" s="297">
        <v>33</v>
      </c>
      <c r="D488" s="297">
        <v>30</v>
      </c>
      <c r="E488" s="297">
        <v>0</v>
      </c>
    </row>
    <row r="489" spans="1:5">
      <c r="A489" s="304" t="s">
        <v>264</v>
      </c>
      <c r="B489" s="297">
        <v>47</v>
      </c>
      <c r="C489" s="297">
        <v>30</v>
      </c>
      <c r="D489" s="297">
        <v>17</v>
      </c>
      <c r="E489" s="297">
        <v>0</v>
      </c>
    </row>
    <row r="490" spans="1:5">
      <c r="A490" s="304" t="s">
        <v>265</v>
      </c>
      <c r="B490" s="297">
        <v>47</v>
      </c>
      <c r="C490" s="297">
        <v>22</v>
      </c>
      <c r="D490" s="297">
        <v>25</v>
      </c>
      <c r="E490" s="297">
        <v>0</v>
      </c>
    </row>
    <row r="491" spans="1:5">
      <c r="A491" s="304" t="s">
        <v>266</v>
      </c>
      <c r="B491" s="297">
        <v>363</v>
      </c>
      <c r="C491" s="297">
        <v>196</v>
      </c>
      <c r="D491" s="297">
        <v>167</v>
      </c>
      <c r="E491" s="297">
        <v>0</v>
      </c>
    </row>
    <row r="492" spans="1:5">
      <c r="A492" s="304" t="s">
        <v>504</v>
      </c>
      <c r="B492" s="297">
        <v>34</v>
      </c>
      <c r="C492" s="297">
        <v>22</v>
      </c>
      <c r="D492" s="297">
        <v>12</v>
      </c>
      <c r="E492" s="297">
        <v>0</v>
      </c>
    </row>
    <row r="493" spans="1:5" ht="5.0999999999999996" customHeight="1">
      <c r="A493" s="304"/>
      <c r="B493" s="297"/>
      <c r="C493" s="297"/>
      <c r="D493" s="297"/>
      <c r="E493" s="297"/>
    </row>
    <row r="494" spans="1:5">
      <c r="A494" s="303" t="s">
        <v>100</v>
      </c>
      <c r="B494" s="295">
        <v>4050</v>
      </c>
      <c r="C494" s="295">
        <v>2410</v>
      </c>
      <c r="D494" s="295">
        <v>1638</v>
      </c>
      <c r="E494" s="295">
        <v>2</v>
      </c>
    </row>
    <row r="495" spans="1:5" ht="5.0999999999999996" customHeight="1">
      <c r="A495" s="304"/>
      <c r="B495" s="297"/>
      <c r="C495" s="297"/>
      <c r="D495" s="297"/>
      <c r="E495" s="297"/>
    </row>
    <row r="496" spans="1:5">
      <c r="A496" s="304" t="s">
        <v>503</v>
      </c>
      <c r="B496" s="297">
        <v>100</v>
      </c>
      <c r="C496" s="297">
        <v>53</v>
      </c>
      <c r="D496" s="297">
        <v>46</v>
      </c>
      <c r="E496" s="297">
        <v>1</v>
      </c>
    </row>
    <row r="497" spans="1:5">
      <c r="A497" s="304" t="s">
        <v>259</v>
      </c>
      <c r="B497" s="297">
        <v>35</v>
      </c>
      <c r="C497" s="297">
        <v>15</v>
      </c>
      <c r="D497" s="297">
        <v>20</v>
      </c>
      <c r="E497" s="297">
        <v>0</v>
      </c>
    </row>
    <row r="498" spans="1:5">
      <c r="A498" s="304" t="s">
        <v>260</v>
      </c>
      <c r="B498" s="297">
        <v>35</v>
      </c>
      <c r="C498" s="297">
        <v>18</v>
      </c>
      <c r="D498" s="297">
        <v>17</v>
      </c>
      <c r="E498" s="297">
        <v>0</v>
      </c>
    </row>
    <row r="499" spans="1:5">
      <c r="A499" s="304" t="s">
        <v>261</v>
      </c>
      <c r="B499" s="297">
        <v>32</v>
      </c>
      <c r="C499" s="297">
        <v>18</v>
      </c>
      <c r="D499" s="297">
        <v>14</v>
      </c>
      <c r="E499" s="297">
        <v>0</v>
      </c>
    </row>
    <row r="500" spans="1:5">
      <c r="A500" s="304" t="s">
        <v>63</v>
      </c>
      <c r="B500" s="297">
        <v>57</v>
      </c>
      <c r="C500" s="297">
        <v>38</v>
      </c>
      <c r="D500" s="297">
        <v>19</v>
      </c>
      <c r="E500" s="297">
        <v>0</v>
      </c>
    </row>
    <row r="501" spans="1:5">
      <c r="A501" s="304" t="s">
        <v>64</v>
      </c>
      <c r="B501" s="297">
        <v>107</v>
      </c>
      <c r="C501" s="297">
        <v>81</v>
      </c>
      <c r="D501" s="297">
        <v>26</v>
      </c>
      <c r="E501" s="297">
        <v>0</v>
      </c>
    </row>
    <row r="502" spans="1:5">
      <c r="A502" s="304" t="s">
        <v>65</v>
      </c>
      <c r="B502" s="297">
        <v>85</v>
      </c>
      <c r="C502" s="297">
        <v>68</v>
      </c>
      <c r="D502" s="297">
        <v>17</v>
      </c>
      <c r="E502" s="297">
        <v>0</v>
      </c>
    </row>
    <row r="503" spans="1:5">
      <c r="A503" s="304" t="s">
        <v>66</v>
      </c>
      <c r="B503" s="297">
        <v>125</v>
      </c>
      <c r="C503" s="297">
        <v>79</v>
      </c>
      <c r="D503" s="297">
        <v>46</v>
      </c>
      <c r="E503" s="297">
        <v>0</v>
      </c>
    </row>
    <row r="504" spans="1:5">
      <c r="A504" s="304" t="s">
        <v>67</v>
      </c>
      <c r="B504" s="297">
        <v>117</v>
      </c>
      <c r="C504" s="297">
        <v>76</v>
      </c>
      <c r="D504" s="297">
        <v>41</v>
      </c>
      <c r="E504" s="297">
        <v>0</v>
      </c>
    </row>
    <row r="505" spans="1:5">
      <c r="A505" s="304" t="s">
        <v>68</v>
      </c>
      <c r="B505" s="297">
        <v>162</v>
      </c>
      <c r="C505" s="297">
        <v>103</v>
      </c>
      <c r="D505" s="297">
        <v>59</v>
      </c>
      <c r="E505" s="297">
        <v>0</v>
      </c>
    </row>
    <row r="506" spans="1:5">
      <c r="A506" s="304" t="s">
        <v>69</v>
      </c>
      <c r="B506" s="297">
        <v>162</v>
      </c>
      <c r="C506" s="297">
        <v>108</v>
      </c>
      <c r="D506" s="297">
        <v>54</v>
      </c>
      <c r="E506" s="297">
        <v>0</v>
      </c>
    </row>
    <row r="507" spans="1:5">
      <c r="A507" s="304" t="s">
        <v>262</v>
      </c>
      <c r="B507" s="297">
        <v>236</v>
      </c>
      <c r="C507" s="297">
        <v>153</v>
      </c>
      <c r="D507" s="297">
        <v>83</v>
      </c>
      <c r="E507" s="297">
        <v>0</v>
      </c>
    </row>
    <row r="508" spans="1:5">
      <c r="A508" s="304" t="s">
        <v>263</v>
      </c>
      <c r="B508" s="297">
        <v>266</v>
      </c>
      <c r="C508" s="297">
        <v>170</v>
      </c>
      <c r="D508" s="297">
        <v>96</v>
      </c>
      <c r="E508" s="297">
        <v>0</v>
      </c>
    </row>
    <row r="509" spans="1:5">
      <c r="A509" s="304" t="s">
        <v>264</v>
      </c>
      <c r="B509" s="297">
        <v>333</v>
      </c>
      <c r="C509" s="297">
        <v>225</v>
      </c>
      <c r="D509" s="297">
        <v>108</v>
      </c>
      <c r="E509" s="297">
        <v>0</v>
      </c>
    </row>
    <row r="510" spans="1:5">
      <c r="A510" s="304" t="s">
        <v>265</v>
      </c>
      <c r="B510" s="297">
        <v>293</v>
      </c>
      <c r="C510" s="297">
        <v>189</v>
      </c>
      <c r="D510" s="297">
        <v>104</v>
      </c>
      <c r="E510" s="297">
        <v>0</v>
      </c>
    </row>
    <row r="511" spans="1:5">
      <c r="A511" s="304" t="s">
        <v>266</v>
      </c>
      <c r="B511" s="297">
        <v>1784</v>
      </c>
      <c r="C511" s="297">
        <v>956</v>
      </c>
      <c r="D511" s="297">
        <v>828</v>
      </c>
      <c r="E511" s="297">
        <v>0</v>
      </c>
    </row>
    <row r="512" spans="1:5">
      <c r="A512" s="304" t="s">
        <v>504</v>
      </c>
      <c r="B512" s="297">
        <v>121</v>
      </c>
      <c r="C512" s="297">
        <v>60</v>
      </c>
      <c r="D512" s="297">
        <v>60</v>
      </c>
      <c r="E512" s="297">
        <v>1</v>
      </c>
    </row>
    <row r="513" spans="1:5" ht="5.0999999999999996" customHeight="1">
      <c r="A513" s="304"/>
      <c r="B513" s="297"/>
      <c r="C513" s="297"/>
      <c r="D513" s="297"/>
      <c r="E513" s="297"/>
    </row>
    <row r="514" spans="1:5">
      <c r="A514" s="303" t="s">
        <v>101</v>
      </c>
      <c r="B514" s="295">
        <v>267</v>
      </c>
      <c r="C514" s="295">
        <v>156</v>
      </c>
      <c r="D514" s="295">
        <v>108</v>
      </c>
      <c r="E514" s="295">
        <v>3</v>
      </c>
    </row>
    <row r="515" spans="1:5" ht="5.0999999999999996" customHeight="1">
      <c r="A515" s="304"/>
      <c r="B515" s="297"/>
      <c r="C515" s="297"/>
      <c r="D515" s="297"/>
      <c r="E515" s="297"/>
    </row>
    <row r="516" spans="1:5">
      <c r="A516" s="304" t="s">
        <v>503</v>
      </c>
      <c r="B516" s="297">
        <v>3</v>
      </c>
      <c r="C516" s="297">
        <v>3</v>
      </c>
      <c r="D516" s="297">
        <v>0</v>
      </c>
      <c r="E516" s="297">
        <v>0</v>
      </c>
    </row>
    <row r="517" spans="1:5">
      <c r="A517" s="304" t="s">
        <v>261</v>
      </c>
      <c r="B517" s="297">
        <v>2</v>
      </c>
      <c r="C517" s="297">
        <v>2</v>
      </c>
      <c r="D517" s="297">
        <v>0</v>
      </c>
      <c r="E517" s="297">
        <v>0</v>
      </c>
    </row>
    <row r="518" spans="1:5">
      <c r="A518" s="304" t="s">
        <v>64</v>
      </c>
      <c r="B518" s="297">
        <v>5</v>
      </c>
      <c r="C518" s="297">
        <v>4</v>
      </c>
      <c r="D518" s="297">
        <v>1</v>
      </c>
      <c r="E518" s="297">
        <v>0</v>
      </c>
    </row>
    <row r="519" spans="1:5">
      <c r="A519" s="304" t="s">
        <v>65</v>
      </c>
      <c r="B519" s="297">
        <v>8</v>
      </c>
      <c r="C519" s="297">
        <v>7</v>
      </c>
      <c r="D519" s="297">
        <v>1</v>
      </c>
      <c r="E519" s="297">
        <v>0</v>
      </c>
    </row>
    <row r="520" spans="1:5">
      <c r="A520" s="304" t="s">
        <v>66</v>
      </c>
      <c r="B520" s="297">
        <v>10</v>
      </c>
      <c r="C520" s="297">
        <v>8</v>
      </c>
      <c r="D520" s="297">
        <v>2</v>
      </c>
      <c r="E520" s="297">
        <v>0</v>
      </c>
    </row>
    <row r="521" spans="1:5">
      <c r="A521" s="304" t="s">
        <v>67</v>
      </c>
      <c r="B521" s="297">
        <v>7</v>
      </c>
      <c r="C521" s="297">
        <v>6</v>
      </c>
      <c r="D521" s="297">
        <v>1</v>
      </c>
      <c r="E521" s="297">
        <v>0</v>
      </c>
    </row>
    <row r="522" spans="1:5">
      <c r="A522" s="304" t="s">
        <v>68</v>
      </c>
      <c r="B522" s="297">
        <v>3</v>
      </c>
      <c r="C522" s="297">
        <v>3</v>
      </c>
      <c r="D522" s="297">
        <v>0</v>
      </c>
      <c r="E522" s="297">
        <v>0</v>
      </c>
    </row>
    <row r="523" spans="1:5">
      <c r="A523" s="304" t="s">
        <v>69</v>
      </c>
      <c r="B523" s="297">
        <v>7</v>
      </c>
      <c r="C523" s="297">
        <v>2</v>
      </c>
      <c r="D523" s="297">
        <v>5</v>
      </c>
      <c r="E523" s="297">
        <v>0</v>
      </c>
    </row>
    <row r="524" spans="1:5">
      <c r="A524" s="304" t="s">
        <v>262</v>
      </c>
      <c r="B524" s="297">
        <v>4</v>
      </c>
      <c r="C524" s="297">
        <v>3</v>
      </c>
      <c r="D524" s="297">
        <v>1</v>
      </c>
      <c r="E524" s="297">
        <v>0</v>
      </c>
    </row>
    <row r="525" spans="1:5">
      <c r="A525" s="304" t="s">
        <v>263</v>
      </c>
      <c r="B525" s="297">
        <v>15</v>
      </c>
      <c r="C525" s="297">
        <v>9</v>
      </c>
      <c r="D525" s="297">
        <v>6</v>
      </c>
      <c r="E525" s="297">
        <v>0</v>
      </c>
    </row>
    <row r="526" spans="1:5">
      <c r="A526" s="304" t="s">
        <v>264</v>
      </c>
      <c r="B526" s="297">
        <v>17</v>
      </c>
      <c r="C526" s="297">
        <v>13</v>
      </c>
      <c r="D526" s="297">
        <v>4</v>
      </c>
      <c r="E526" s="297">
        <v>0</v>
      </c>
    </row>
    <row r="527" spans="1:5">
      <c r="A527" s="304" t="s">
        <v>265</v>
      </c>
      <c r="B527" s="297">
        <v>14</v>
      </c>
      <c r="C527" s="297">
        <v>10</v>
      </c>
      <c r="D527" s="297">
        <v>4</v>
      </c>
      <c r="E527" s="297">
        <v>0</v>
      </c>
    </row>
    <row r="528" spans="1:5">
      <c r="A528" s="304" t="s">
        <v>266</v>
      </c>
      <c r="B528" s="297">
        <v>162</v>
      </c>
      <c r="C528" s="297">
        <v>85</v>
      </c>
      <c r="D528" s="297">
        <v>77</v>
      </c>
      <c r="E528" s="297">
        <v>0</v>
      </c>
    </row>
    <row r="529" spans="1:5">
      <c r="A529" s="304" t="s">
        <v>504</v>
      </c>
      <c r="B529" s="297">
        <v>10</v>
      </c>
      <c r="C529" s="297">
        <v>1</v>
      </c>
      <c r="D529" s="297">
        <v>6</v>
      </c>
      <c r="E529" s="297">
        <v>3</v>
      </c>
    </row>
    <row r="530" spans="1:5" ht="5.0999999999999996" customHeight="1">
      <c r="A530" s="304"/>
      <c r="B530" s="297"/>
      <c r="C530" s="297"/>
      <c r="D530" s="297"/>
      <c r="E530" s="297"/>
    </row>
    <row r="531" spans="1:5">
      <c r="A531" s="303" t="s">
        <v>102</v>
      </c>
      <c r="B531" s="295">
        <v>554</v>
      </c>
      <c r="C531" s="295">
        <v>318</v>
      </c>
      <c r="D531" s="295">
        <v>236</v>
      </c>
      <c r="E531" s="295">
        <v>0</v>
      </c>
    </row>
    <row r="532" spans="1:5" ht="5.0999999999999996" customHeight="1">
      <c r="A532" s="304"/>
      <c r="B532" s="297"/>
      <c r="C532" s="297"/>
      <c r="D532" s="297"/>
      <c r="E532" s="297"/>
    </row>
    <row r="533" spans="1:5">
      <c r="A533" s="304" t="s">
        <v>503</v>
      </c>
      <c r="B533" s="297">
        <v>2</v>
      </c>
      <c r="C533" s="297">
        <v>1</v>
      </c>
      <c r="D533" s="297">
        <v>1</v>
      </c>
      <c r="E533" s="297">
        <v>0</v>
      </c>
    </row>
    <row r="534" spans="1:5">
      <c r="A534" s="304" t="s">
        <v>259</v>
      </c>
      <c r="B534" s="297">
        <v>3</v>
      </c>
      <c r="C534" s="297">
        <v>2</v>
      </c>
      <c r="D534" s="297">
        <v>1</v>
      </c>
      <c r="E534" s="297">
        <v>0</v>
      </c>
    </row>
    <row r="535" spans="1:5">
      <c r="A535" s="304" t="s">
        <v>260</v>
      </c>
      <c r="B535" s="297">
        <v>2</v>
      </c>
      <c r="C535" s="297">
        <v>2</v>
      </c>
      <c r="D535" s="297">
        <v>0</v>
      </c>
      <c r="E535" s="297">
        <v>0</v>
      </c>
    </row>
    <row r="536" spans="1:5">
      <c r="A536" s="304" t="s">
        <v>261</v>
      </c>
      <c r="B536" s="297">
        <v>4</v>
      </c>
      <c r="C536" s="297">
        <v>4</v>
      </c>
      <c r="D536" s="297">
        <v>0</v>
      </c>
      <c r="E536" s="297">
        <v>0</v>
      </c>
    </row>
    <row r="537" spans="1:5">
      <c r="A537" s="304" t="s">
        <v>63</v>
      </c>
      <c r="B537" s="297">
        <v>10</v>
      </c>
      <c r="C537" s="297">
        <v>5</v>
      </c>
      <c r="D537" s="297">
        <v>5</v>
      </c>
      <c r="E537" s="297">
        <v>0</v>
      </c>
    </row>
    <row r="538" spans="1:5">
      <c r="A538" s="304" t="s">
        <v>64</v>
      </c>
      <c r="B538" s="297">
        <v>8</v>
      </c>
      <c r="C538" s="297">
        <v>5</v>
      </c>
      <c r="D538" s="297">
        <v>3</v>
      </c>
      <c r="E538" s="297">
        <v>0</v>
      </c>
    </row>
    <row r="539" spans="1:5">
      <c r="A539" s="304" t="s">
        <v>65</v>
      </c>
      <c r="B539" s="297">
        <v>16</v>
      </c>
      <c r="C539" s="297">
        <v>10</v>
      </c>
      <c r="D539" s="297">
        <v>6</v>
      </c>
      <c r="E539" s="297">
        <v>0</v>
      </c>
    </row>
    <row r="540" spans="1:5">
      <c r="A540" s="304" t="s">
        <v>66</v>
      </c>
      <c r="B540" s="297">
        <v>12</v>
      </c>
      <c r="C540" s="297">
        <v>7</v>
      </c>
      <c r="D540" s="297">
        <v>5</v>
      </c>
      <c r="E540" s="297">
        <v>0</v>
      </c>
    </row>
    <row r="541" spans="1:5">
      <c r="A541" s="304" t="s">
        <v>67</v>
      </c>
      <c r="B541" s="297">
        <v>15</v>
      </c>
      <c r="C541" s="297">
        <v>9</v>
      </c>
      <c r="D541" s="297">
        <v>6</v>
      </c>
      <c r="E541" s="297">
        <v>0</v>
      </c>
    </row>
    <row r="542" spans="1:5">
      <c r="A542" s="304" t="s">
        <v>68</v>
      </c>
      <c r="B542" s="297">
        <v>14</v>
      </c>
      <c r="C542" s="297">
        <v>8</v>
      </c>
      <c r="D542" s="297">
        <v>6</v>
      </c>
      <c r="E542" s="297">
        <v>0</v>
      </c>
    </row>
    <row r="543" spans="1:5">
      <c r="A543" s="304" t="s">
        <v>69</v>
      </c>
      <c r="B543" s="297">
        <v>29</v>
      </c>
      <c r="C543" s="297">
        <v>15</v>
      </c>
      <c r="D543" s="297">
        <v>14</v>
      </c>
      <c r="E543" s="297">
        <v>0</v>
      </c>
    </row>
    <row r="544" spans="1:5">
      <c r="A544" s="304" t="s">
        <v>262</v>
      </c>
      <c r="B544" s="297">
        <v>29</v>
      </c>
      <c r="C544" s="297">
        <v>19</v>
      </c>
      <c r="D544" s="297">
        <v>10</v>
      </c>
      <c r="E544" s="297">
        <v>0</v>
      </c>
    </row>
    <row r="545" spans="1:5">
      <c r="A545" s="304" t="s">
        <v>263</v>
      </c>
      <c r="B545" s="297">
        <v>31</v>
      </c>
      <c r="C545" s="297">
        <v>20</v>
      </c>
      <c r="D545" s="297">
        <v>11</v>
      </c>
      <c r="E545" s="297">
        <v>0</v>
      </c>
    </row>
    <row r="546" spans="1:5">
      <c r="A546" s="304" t="s">
        <v>264</v>
      </c>
      <c r="B546" s="297">
        <v>42</v>
      </c>
      <c r="C546" s="297">
        <v>23</v>
      </c>
      <c r="D546" s="297">
        <v>19</v>
      </c>
      <c r="E546" s="297">
        <v>0</v>
      </c>
    </row>
    <row r="547" spans="1:5">
      <c r="A547" s="304" t="s">
        <v>265</v>
      </c>
      <c r="B547" s="297">
        <v>42</v>
      </c>
      <c r="C547" s="297">
        <v>24</v>
      </c>
      <c r="D547" s="297">
        <v>18</v>
      </c>
      <c r="E547" s="297">
        <v>0</v>
      </c>
    </row>
    <row r="548" spans="1:5">
      <c r="A548" s="304" t="s">
        <v>266</v>
      </c>
      <c r="B548" s="297">
        <v>287</v>
      </c>
      <c r="C548" s="297">
        <v>159</v>
      </c>
      <c r="D548" s="297">
        <v>128</v>
      </c>
      <c r="E548" s="297">
        <v>0</v>
      </c>
    </row>
    <row r="549" spans="1:5">
      <c r="A549" s="304" t="s">
        <v>504</v>
      </c>
      <c r="B549" s="297">
        <v>8</v>
      </c>
      <c r="C549" s="297">
        <v>5</v>
      </c>
      <c r="D549" s="297">
        <v>3</v>
      </c>
      <c r="E549" s="297">
        <v>0</v>
      </c>
    </row>
    <row r="550" spans="1:5" ht="5.0999999999999996" customHeight="1">
      <c r="A550" s="304"/>
      <c r="B550" s="297"/>
      <c r="C550" s="297"/>
      <c r="D550" s="297"/>
      <c r="E550" s="297"/>
    </row>
    <row r="551" spans="1:5">
      <c r="A551" s="303" t="s">
        <v>103</v>
      </c>
      <c r="B551" s="295">
        <v>755</v>
      </c>
      <c r="C551" s="295">
        <v>465</v>
      </c>
      <c r="D551" s="295">
        <v>290</v>
      </c>
      <c r="E551" s="295">
        <v>0</v>
      </c>
    </row>
    <row r="552" spans="1:5" ht="5.0999999999999996" customHeight="1">
      <c r="A552" s="304"/>
      <c r="B552" s="297"/>
      <c r="C552" s="297"/>
      <c r="D552" s="297"/>
      <c r="E552" s="297"/>
    </row>
    <row r="553" spans="1:5">
      <c r="A553" s="304" t="s">
        <v>503</v>
      </c>
      <c r="B553" s="297">
        <v>9</v>
      </c>
      <c r="C553" s="297">
        <v>6</v>
      </c>
      <c r="D553" s="297">
        <v>3</v>
      </c>
      <c r="E553" s="297">
        <v>0</v>
      </c>
    </row>
    <row r="554" spans="1:5">
      <c r="A554" s="304" t="s">
        <v>259</v>
      </c>
      <c r="B554" s="297">
        <v>2</v>
      </c>
      <c r="C554" s="297">
        <v>1</v>
      </c>
      <c r="D554" s="297">
        <v>1</v>
      </c>
      <c r="E554" s="297">
        <v>0</v>
      </c>
    </row>
    <row r="555" spans="1:5">
      <c r="A555" s="304" t="s">
        <v>260</v>
      </c>
      <c r="B555" s="297">
        <v>7</v>
      </c>
      <c r="C555" s="297">
        <v>4</v>
      </c>
      <c r="D555" s="297">
        <v>3</v>
      </c>
      <c r="E555" s="297">
        <v>0</v>
      </c>
    </row>
    <row r="556" spans="1:5">
      <c r="A556" s="304" t="s">
        <v>261</v>
      </c>
      <c r="B556" s="297">
        <v>6</v>
      </c>
      <c r="C556" s="297">
        <v>3</v>
      </c>
      <c r="D556" s="297">
        <v>3</v>
      </c>
      <c r="E556" s="297">
        <v>0</v>
      </c>
    </row>
    <row r="557" spans="1:5">
      <c r="A557" s="304" t="s">
        <v>63</v>
      </c>
      <c r="B557" s="297">
        <v>14</v>
      </c>
      <c r="C557" s="297">
        <v>12</v>
      </c>
      <c r="D557" s="297">
        <v>2</v>
      </c>
      <c r="E557" s="297">
        <v>0</v>
      </c>
    </row>
    <row r="558" spans="1:5">
      <c r="A558" s="304" t="s">
        <v>64</v>
      </c>
      <c r="B558" s="297">
        <v>19</v>
      </c>
      <c r="C558" s="297">
        <v>16</v>
      </c>
      <c r="D558" s="297">
        <v>3</v>
      </c>
      <c r="E558" s="297">
        <v>0</v>
      </c>
    </row>
    <row r="559" spans="1:5">
      <c r="A559" s="304" t="s">
        <v>65</v>
      </c>
      <c r="B559" s="297">
        <v>21</v>
      </c>
      <c r="C559" s="297">
        <v>19</v>
      </c>
      <c r="D559" s="297">
        <v>2</v>
      </c>
      <c r="E559" s="297">
        <v>0</v>
      </c>
    </row>
    <row r="560" spans="1:5">
      <c r="A560" s="304" t="s">
        <v>66</v>
      </c>
      <c r="B560" s="297">
        <v>27</v>
      </c>
      <c r="C560" s="297">
        <v>21</v>
      </c>
      <c r="D560" s="297">
        <v>6</v>
      </c>
      <c r="E560" s="297">
        <v>0</v>
      </c>
    </row>
    <row r="561" spans="1:5">
      <c r="A561" s="304" t="s">
        <v>67</v>
      </c>
      <c r="B561" s="297">
        <v>24</v>
      </c>
      <c r="C561" s="297">
        <v>19</v>
      </c>
      <c r="D561" s="297">
        <v>5</v>
      </c>
      <c r="E561" s="297">
        <v>0</v>
      </c>
    </row>
    <row r="562" spans="1:5">
      <c r="A562" s="304" t="s">
        <v>68</v>
      </c>
      <c r="B562" s="297">
        <v>29</v>
      </c>
      <c r="C562" s="297">
        <v>19</v>
      </c>
      <c r="D562" s="297">
        <v>10</v>
      </c>
      <c r="E562" s="297">
        <v>0</v>
      </c>
    </row>
    <row r="563" spans="1:5">
      <c r="A563" s="304" t="s">
        <v>69</v>
      </c>
      <c r="B563" s="297">
        <v>38</v>
      </c>
      <c r="C563" s="297">
        <v>24</v>
      </c>
      <c r="D563" s="297">
        <v>14</v>
      </c>
      <c r="E563" s="297">
        <v>0</v>
      </c>
    </row>
    <row r="564" spans="1:5">
      <c r="A564" s="304" t="s">
        <v>262</v>
      </c>
      <c r="B564" s="297">
        <v>44</v>
      </c>
      <c r="C564" s="297">
        <v>26</v>
      </c>
      <c r="D564" s="297">
        <v>18</v>
      </c>
      <c r="E564" s="297">
        <v>0</v>
      </c>
    </row>
    <row r="565" spans="1:5">
      <c r="A565" s="304" t="s">
        <v>263</v>
      </c>
      <c r="B565" s="297">
        <v>44</v>
      </c>
      <c r="C565" s="297">
        <v>24</v>
      </c>
      <c r="D565" s="297">
        <v>20</v>
      </c>
      <c r="E565" s="297">
        <v>0</v>
      </c>
    </row>
    <row r="566" spans="1:5">
      <c r="A566" s="304" t="s">
        <v>264</v>
      </c>
      <c r="B566" s="297">
        <v>54</v>
      </c>
      <c r="C566" s="297">
        <v>35</v>
      </c>
      <c r="D566" s="297">
        <v>19</v>
      </c>
      <c r="E566" s="297">
        <v>0</v>
      </c>
    </row>
    <row r="567" spans="1:5">
      <c r="A567" s="304" t="s">
        <v>265</v>
      </c>
      <c r="B567" s="297">
        <v>58</v>
      </c>
      <c r="C567" s="297">
        <v>32</v>
      </c>
      <c r="D567" s="297">
        <v>26</v>
      </c>
      <c r="E567" s="297">
        <v>0</v>
      </c>
    </row>
    <row r="568" spans="1:5">
      <c r="A568" s="304" t="s">
        <v>266</v>
      </c>
      <c r="B568" s="297">
        <v>339</v>
      </c>
      <c r="C568" s="297">
        <v>195</v>
      </c>
      <c r="D568" s="297">
        <v>144</v>
      </c>
      <c r="E568" s="297">
        <v>0</v>
      </c>
    </row>
    <row r="569" spans="1:5">
      <c r="A569" s="304" t="s">
        <v>504</v>
      </c>
      <c r="B569" s="297">
        <v>20</v>
      </c>
      <c r="C569" s="297">
        <v>9</v>
      </c>
      <c r="D569" s="297">
        <v>11</v>
      </c>
      <c r="E569" s="297">
        <v>0</v>
      </c>
    </row>
    <row r="570" spans="1:5" ht="5.0999999999999996" customHeight="1">
      <c r="A570" s="304"/>
      <c r="B570" s="297"/>
      <c r="C570" s="297"/>
      <c r="D570" s="297"/>
      <c r="E570" s="297"/>
    </row>
    <row r="571" spans="1:5">
      <c r="A571" s="303" t="s">
        <v>104</v>
      </c>
      <c r="B571" s="295">
        <v>574</v>
      </c>
      <c r="C571" s="295">
        <v>348</v>
      </c>
      <c r="D571" s="295">
        <v>226</v>
      </c>
      <c r="E571" s="295">
        <v>0</v>
      </c>
    </row>
    <row r="572" spans="1:5" ht="5.0999999999999996" customHeight="1">
      <c r="A572" s="304"/>
      <c r="B572" s="297"/>
      <c r="C572" s="297"/>
      <c r="D572" s="297"/>
      <c r="E572" s="297"/>
    </row>
    <row r="573" spans="1:5">
      <c r="A573" s="304" t="s">
        <v>503</v>
      </c>
      <c r="B573" s="297">
        <v>6</v>
      </c>
      <c r="C573" s="297">
        <v>5</v>
      </c>
      <c r="D573" s="297">
        <v>1</v>
      </c>
      <c r="E573" s="297">
        <v>0</v>
      </c>
    </row>
    <row r="574" spans="1:5">
      <c r="A574" s="304" t="s">
        <v>259</v>
      </c>
      <c r="B574" s="297">
        <v>4</v>
      </c>
      <c r="C574" s="297">
        <v>2</v>
      </c>
      <c r="D574" s="297">
        <v>2</v>
      </c>
      <c r="E574" s="297">
        <v>0</v>
      </c>
    </row>
    <row r="575" spans="1:5">
      <c r="A575" s="304" t="s">
        <v>261</v>
      </c>
      <c r="B575" s="297">
        <v>9</v>
      </c>
      <c r="C575" s="297">
        <v>5</v>
      </c>
      <c r="D575" s="297">
        <v>4</v>
      </c>
      <c r="E575" s="297">
        <v>0</v>
      </c>
    </row>
    <row r="576" spans="1:5">
      <c r="A576" s="304" t="s">
        <v>63</v>
      </c>
      <c r="B576" s="297">
        <v>10</v>
      </c>
      <c r="C576" s="297">
        <v>7</v>
      </c>
      <c r="D576" s="297">
        <v>3</v>
      </c>
      <c r="E576" s="297">
        <v>0</v>
      </c>
    </row>
    <row r="577" spans="1:5">
      <c r="A577" s="304" t="s">
        <v>64</v>
      </c>
      <c r="B577" s="297">
        <v>14</v>
      </c>
      <c r="C577" s="297">
        <v>13</v>
      </c>
      <c r="D577" s="297">
        <v>1</v>
      </c>
      <c r="E577" s="297">
        <v>0</v>
      </c>
    </row>
    <row r="578" spans="1:5">
      <c r="A578" s="304" t="s">
        <v>65</v>
      </c>
      <c r="B578" s="297">
        <v>8</v>
      </c>
      <c r="C578" s="297">
        <v>5</v>
      </c>
      <c r="D578" s="297">
        <v>3</v>
      </c>
      <c r="E578" s="297">
        <v>0</v>
      </c>
    </row>
    <row r="579" spans="1:5">
      <c r="A579" s="304" t="s">
        <v>66</v>
      </c>
      <c r="B579" s="297">
        <v>12</v>
      </c>
      <c r="C579" s="297">
        <v>10</v>
      </c>
      <c r="D579" s="297">
        <v>2</v>
      </c>
      <c r="E579" s="297">
        <v>0</v>
      </c>
    </row>
    <row r="580" spans="1:5">
      <c r="A580" s="304" t="s">
        <v>67</v>
      </c>
      <c r="B580" s="297">
        <v>9</v>
      </c>
      <c r="C580" s="297">
        <v>6</v>
      </c>
      <c r="D580" s="297">
        <v>3</v>
      </c>
      <c r="E580" s="297">
        <v>0</v>
      </c>
    </row>
    <row r="581" spans="1:5">
      <c r="A581" s="304" t="s">
        <v>68</v>
      </c>
      <c r="B581" s="297">
        <v>21</v>
      </c>
      <c r="C581" s="297">
        <v>14</v>
      </c>
      <c r="D581" s="297">
        <v>7</v>
      </c>
      <c r="E581" s="297">
        <v>0</v>
      </c>
    </row>
    <row r="582" spans="1:5">
      <c r="A582" s="304" t="s">
        <v>69</v>
      </c>
      <c r="B582" s="297">
        <v>21</v>
      </c>
      <c r="C582" s="297">
        <v>13</v>
      </c>
      <c r="D582" s="297">
        <v>8</v>
      </c>
      <c r="E582" s="297">
        <v>0</v>
      </c>
    </row>
    <row r="583" spans="1:5">
      <c r="A583" s="304" t="s">
        <v>262</v>
      </c>
      <c r="B583" s="297">
        <v>27</v>
      </c>
      <c r="C583" s="297">
        <v>18</v>
      </c>
      <c r="D583" s="297">
        <v>9</v>
      </c>
      <c r="E583" s="297">
        <v>0</v>
      </c>
    </row>
    <row r="584" spans="1:5">
      <c r="A584" s="304" t="s">
        <v>263</v>
      </c>
      <c r="B584" s="297">
        <v>38</v>
      </c>
      <c r="C584" s="297">
        <v>18</v>
      </c>
      <c r="D584" s="297">
        <v>20</v>
      </c>
      <c r="E584" s="297">
        <v>0</v>
      </c>
    </row>
    <row r="585" spans="1:5">
      <c r="A585" s="304" t="s">
        <v>264</v>
      </c>
      <c r="B585" s="297">
        <v>34</v>
      </c>
      <c r="C585" s="297">
        <v>19</v>
      </c>
      <c r="D585" s="297">
        <v>15</v>
      </c>
      <c r="E585" s="297">
        <v>0</v>
      </c>
    </row>
    <row r="586" spans="1:5">
      <c r="A586" s="304" t="s">
        <v>265</v>
      </c>
      <c r="B586" s="297">
        <v>30</v>
      </c>
      <c r="C586" s="297">
        <v>17</v>
      </c>
      <c r="D586" s="297">
        <v>13</v>
      </c>
      <c r="E586" s="297">
        <v>0</v>
      </c>
    </row>
    <row r="587" spans="1:5">
      <c r="A587" s="304" t="s">
        <v>266</v>
      </c>
      <c r="B587" s="297">
        <v>281</v>
      </c>
      <c r="C587" s="297">
        <v>174</v>
      </c>
      <c r="D587" s="297">
        <v>107</v>
      </c>
      <c r="E587" s="297">
        <v>0</v>
      </c>
    </row>
    <row r="588" spans="1:5">
      <c r="A588" s="304" t="s">
        <v>504</v>
      </c>
      <c r="B588" s="297">
        <v>50</v>
      </c>
      <c r="C588" s="297">
        <v>22</v>
      </c>
      <c r="D588" s="297">
        <v>28</v>
      </c>
      <c r="E588" s="297">
        <v>0</v>
      </c>
    </row>
    <row r="589" spans="1:5" ht="5.0999999999999996" customHeight="1">
      <c r="A589" s="304"/>
      <c r="B589" s="297"/>
      <c r="C589" s="297"/>
      <c r="D589" s="297"/>
      <c r="E589" s="297"/>
    </row>
    <row r="590" spans="1:5">
      <c r="A590" s="303" t="s">
        <v>105</v>
      </c>
      <c r="B590" s="295">
        <v>256</v>
      </c>
      <c r="C590" s="295">
        <v>152</v>
      </c>
      <c r="D590" s="295">
        <v>104</v>
      </c>
      <c r="E590" s="295">
        <v>0</v>
      </c>
    </row>
    <row r="591" spans="1:5" ht="5.0999999999999996" customHeight="1">
      <c r="A591" s="304"/>
      <c r="B591" s="297"/>
      <c r="C591" s="297"/>
      <c r="D591" s="297"/>
      <c r="E591" s="297"/>
    </row>
    <row r="592" spans="1:5">
      <c r="A592" s="304" t="s">
        <v>503</v>
      </c>
      <c r="B592" s="297">
        <v>2</v>
      </c>
      <c r="C592" s="297">
        <v>1</v>
      </c>
      <c r="D592" s="297">
        <v>1</v>
      </c>
      <c r="E592" s="297">
        <v>0</v>
      </c>
    </row>
    <row r="593" spans="1:5">
      <c r="A593" s="304" t="s">
        <v>259</v>
      </c>
      <c r="B593" s="297">
        <v>2</v>
      </c>
      <c r="C593" s="297">
        <v>2</v>
      </c>
      <c r="D593" s="297">
        <v>0</v>
      </c>
      <c r="E593" s="297">
        <v>0</v>
      </c>
    </row>
    <row r="594" spans="1:5">
      <c r="A594" s="304" t="s">
        <v>260</v>
      </c>
      <c r="B594" s="297">
        <v>1</v>
      </c>
      <c r="C594" s="297">
        <v>1</v>
      </c>
      <c r="D594" s="297">
        <v>0</v>
      </c>
      <c r="E594" s="297">
        <v>0</v>
      </c>
    </row>
    <row r="595" spans="1:5">
      <c r="A595" s="304" t="s">
        <v>63</v>
      </c>
      <c r="B595" s="297">
        <v>3</v>
      </c>
      <c r="C595" s="297">
        <v>2</v>
      </c>
      <c r="D595" s="297">
        <v>1</v>
      </c>
      <c r="E595" s="297">
        <v>0</v>
      </c>
    </row>
    <row r="596" spans="1:5">
      <c r="A596" s="304" t="s">
        <v>64</v>
      </c>
      <c r="B596" s="297">
        <v>5</v>
      </c>
      <c r="C596" s="297">
        <v>5</v>
      </c>
      <c r="D596" s="297">
        <v>0</v>
      </c>
      <c r="E596" s="297">
        <v>0</v>
      </c>
    </row>
    <row r="597" spans="1:5">
      <c r="A597" s="304" t="s">
        <v>65</v>
      </c>
      <c r="B597" s="297">
        <v>6</v>
      </c>
      <c r="C597" s="297">
        <v>4</v>
      </c>
      <c r="D597" s="297">
        <v>2</v>
      </c>
      <c r="E597" s="297">
        <v>0</v>
      </c>
    </row>
    <row r="598" spans="1:5">
      <c r="A598" s="304" t="s">
        <v>66</v>
      </c>
      <c r="B598" s="297">
        <v>9</v>
      </c>
      <c r="C598" s="297">
        <v>6</v>
      </c>
      <c r="D598" s="297">
        <v>3</v>
      </c>
      <c r="E598" s="297">
        <v>0</v>
      </c>
    </row>
    <row r="599" spans="1:5">
      <c r="A599" s="304" t="s">
        <v>67</v>
      </c>
      <c r="B599" s="297">
        <v>5</v>
      </c>
      <c r="C599" s="297">
        <v>5</v>
      </c>
      <c r="D599" s="297">
        <v>0</v>
      </c>
      <c r="E599" s="297">
        <v>0</v>
      </c>
    </row>
    <row r="600" spans="1:5">
      <c r="A600" s="304" t="s">
        <v>68</v>
      </c>
      <c r="B600" s="297">
        <v>7</v>
      </c>
      <c r="C600" s="297">
        <v>7</v>
      </c>
      <c r="D600" s="297">
        <v>0</v>
      </c>
      <c r="E600" s="297">
        <v>0</v>
      </c>
    </row>
    <row r="601" spans="1:5">
      <c r="A601" s="304" t="s">
        <v>69</v>
      </c>
      <c r="B601" s="297">
        <v>9</v>
      </c>
      <c r="C601" s="297">
        <v>6</v>
      </c>
      <c r="D601" s="297">
        <v>3</v>
      </c>
      <c r="E601" s="297">
        <v>0</v>
      </c>
    </row>
    <row r="602" spans="1:5">
      <c r="A602" s="304" t="s">
        <v>262</v>
      </c>
      <c r="B602" s="297">
        <v>10</v>
      </c>
      <c r="C602" s="297">
        <v>4</v>
      </c>
      <c r="D602" s="297">
        <v>6</v>
      </c>
      <c r="E602" s="297">
        <v>0</v>
      </c>
    </row>
    <row r="603" spans="1:5">
      <c r="A603" s="304" t="s">
        <v>263</v>
      </c>
      <c r="B603" s="297">
        <v>9</v>
      </c>
      <c r="C603" s="297">
        <v>4</v>
      </c>
      <c r="D603" s="297">
        <v>5</v>
      </c>
      <c r="E603" s="297">
        <v>0</v>
      </c>
    </row>
    <row r="604" spans="1:5">
      <c r="A604" s="304" t="s">
        <v>264</v>
      </c>
      <c r="B604" s="297">
        <v>14</v>
      </c>
      <c r="C604" s="297">
        <v>10</v>
      </c>
      <c r="D604" s="297">
        <v>4</v>
      </c>
      <c r="E604" s="297">
        <v>0</v>
      </c>
    </row>
    <row r="605" spans="1:5">
      <c r="A605" s="304" t="s">
        <v>265</v>
      </c>
      <c r="B605" s="297">
        <v>25</v>
      </c>
      <c r="C605" s="297">
        <v>13</v>
      </c>
      <c r="D605" s="297">
        <v>12</v>
      </c>
      <c r="E605" s="297">
        <v>0</v>
      </c>
    </row>
    <row r="606" spans="1:5">
      <c r="A606" s="304" t="s">
        <v>266</v>
      </c>
      <c r="B606" s="297">
        <v>137</v>
      </c>
      <c r="C606" s="297">
        <v>77</v>
      </c>
      <c r="D606" s="297">
        <v>60</v>
      </c>
      <c r="E606" s="297">
        <v>0</v>
      </c>
    </row>
    <row r="607" spans="1:5">
      <c r="A607" s="304" t="s">
        <v>504</v>
      </c>
      <c r="B607" s="297">
        <v>12</v>
      </c>
      <c r="C607" s="297">
        <v>5</v>
      </c>
      <c r="D607" s="297">
        <v>7</v>
      </c>
      <c r="E607" s="297">
        <v>0</v>
      </c>
    </row>
    <row r="608" spans="1:5" ht="5.0999999999999996" customHeight="1">
      <c r="A608" s="304"/>
      <c r="B608" s="297"/>
      <c r="C608" s="297"/>
      <c r="D608" s="297"/>
      <c r="E608" s="297"/>
    </row>
    <row r="609" spans="1:5">
      <c r="A609" s="303" t="s">
        <v>106</v>
      </c>
      <c r="B609" s="295">
        <v>203</v>
      </c>
      <c r="C609" s="295">
        <v>134</v>
      </c>
      <c r="D609" s="295">
        <v>69</v>
      </c>
      <c r="E609" s="295">
        <v>0</v>
      </c>
    </row>
    <row r="610" spans="1:5" ht="5.0999999999999996" customHeight="1">
      <c r="A610" s="304"/>
      <c r="B610" s="297"/>
      <c r="C610" s="297"/>
      <c r="D610" s="297"/>
      <c r="E610" s="297"/>
    </row>
    <row r="611" spans="1:5">
      <c r="A611" s="304" t="s">
        <v>503</v>
      </c>
      <c r="B611" s="297">
        <v>2</v>
      </c>
      <c r="C611" s="297">
        <v>2</v>
      </c>
      <c r="D611" s="297">
        <v>0</v>
      </c>
      <c r="E611" s="297">
        <v>0</v>
      </c>
    </row>
    <row r="612" spans="1:5">
      <c r="A612" s="304" t="s">
        <v>261</v>
      </c>
      <c r="B612" s="297">
        <v>2</v>
      </c>
      <c r="C612" s="297">
        <v>2</v>
      </c>
      <c r="D612" s="297">
        <v>0</v>
      </c>
      <c r="E612" s="297">
        <v>0</v>
      </c>
    </row>
    <row r="613" spans="1:5">
      <c r="A613" s="304" t="s">
        <v>63</v>
      </c>
      <c r="B613" s="297">
        <v>2</v>
      </c>
      <c r="C613" s="297">
        <v>1</v>
      </c>
      <c r="D613" s="297">
        <v>1</v>
      </c>
      <c r="E613" s="297">
        <v>0</v>
      </c>
    </row>
    <row r="614" spans="1:5">
      <c r="A614" s="304" t="s">
        <v>64</v>
      </c>
      <c r="B614" s="297">
        <v>3</v>
      </c>
      <c r="C614" s="297">
        <v>2</v>
      </c>
      <c r="D614" s="297">
        <v>1</v>
      </c>
      <c r="E614" s="297">
        <v>0</v>
      </c>
    </row>
    <row r="615" spans="1:5">
      <c r="A615" s="304" t="s">
        <v>65</v>
      </c>
      <c r="B615" s="297">
        <v>4</v>
      </c>
      <c r="C615" s="297">
        <v>2</v>
      </c>
      <c r="D615" s="297">
        <v>2</v>
      </c>
      <c r="E615" s="297">
        <v>0</v>
      </c>
    </row>
    <row r="616" spans="1:5">
      <c r="A616" s="304" t="s">
        <v>66</v>
      </c>
      <c r="B616" s="297">
        <v>6</v>
      </c>
      <c r="C616" s="297">
        <v>4</v>
      </c>
      <c r="D616" s="297">
        <v>2</v>
      </c>
      <c r="E616" s="297">
        <v>0</v>
      </c>
    </row>
    <row r="617" spans="1:5">
      <c r="A617" s="304" t="s">
        <v>67</v>
      </c>
      <c r="B617" s="297">
        <v>6</v>
      </c>
      <c r="C617" s="297">
        <v>2</v>
      </c>
      <c r="D617" s="297">
        <v>4</v>
      </c>
      <c r="E617" s="297">
        <v>0</v>
      </c>
    </row>
    <row r="618" spans="1:5">
      <c r="A618" s="304" t="s">
        <v>68</v>
      </c>
      <c r="B618" s="297">
        <v>12</v>
      </c>
      <c r="C618" s="297">
        <v>8</v>
      </c>
      <c r="D618" s="297">
        <v>4</v>
      </c>
      <c r="E618" s="297">
        <v>0</v>
      </c>
    </row>
    <row r="619" spans="1:5">
      <c r="A619" s="304" t="s">
        <v>69</v>
      </c>
      <c r="B619" s="297">
        <v>2</v>
      </c>
      <c r="C619" s="297">
        <v>2</v>
      </c>
      <c r="D619" s="297">
        <v>0</v>
      </c>
      <c r="E619" s="297">
        <v>0</v>
      </c>
    </row>
    <row r="620" spans="1:5">
      <c r="A620" s="304" t="s">
        <v>262</v>
      </c>
      <c r="B620" s="297">
        <v>10</v>
      </c>
      <c r="C620" s="297">
        <v>7</v>
      </c>
      <c r="D620" s="297">
        <v>3</v>
      </c>
      <c r="E620" s="297">
        <v>0</v>
      </c>
    </row>
    <row r="621" spans="1:5">
      <c r="A621" s="304" t="s">
        <v>263</v>
      </c>
      <c r="B621" s="297">
        <v>13</v>
      </c>
      <c r="C621" s="297">
        <v>9</v>
      </c>
      <c r="D621" s="297">
        <v>4</v>
      </c>
      <c r="E621" s="297">
        <v>0</v>
      </c>
    </row>
    <row r="622" spans="1:5">
      <c r="A622" s="304" t="s">
        <v>264</v>
      </c>
      <c r="B622" s="297">
        <v>14</v>
      </c>
      <c r="C622" s="297">
        <v>12</v>
      </c>
      <c r="D622" s="297">
        <v>2</v>
      </c>
      <c r="E622" s="297">
        <v>0</v>
      </c>
    </row>
    <row r="623" spans="1:5">
      <c r="A623" s="304" t="s">
        <v>265</v>
      </c>
      <c r="B623" s="297">
        <v>14</v>
      </c>
      <c r="C623" s="297">
        <v>11</v>
      </c>
      <c r="D623" s="297">
        <v>3</v>
      </c>
      <c r="E623" s="297">
        <v>0</v>
      </c>
    </row>
    <row r="624" spans="1:5">
      <c r="A624" s="304" t="s">
        <v>266</v>
      </c>
      <c r="B624" s="297">
        <v>101</v>
      </c>
      <c r="C624" s="297">
        <v>63</v>
      </c>
      <c r="D624" s="297">
        <v>38</v>
      </c>
      <c r="E624" s="297">
        <v>0</v>
      </c>
    </row>
    <row r="625" spans="1:5">
      <c r="A625" s="304" t="s">
        <v>504</v>
      </c>
      <c r="B625" s="297">
        <v>12</v>
      </c>
      <c r="C625" s="297">
        <v>7</v>
      </c>
      <c r="D625" s="297">
        <v>5</v>
      </c>
      <c r="E625" s="297">
        <v>0</v>
      </c>
    </row>
    <row r="626" spans="1:5" ht="5.0999999999999996" customHeight="1">
      <c r="A626" s="304"/>
      <c r="B626" s="297"/>
      <c r="C626" s="297"/>
      <c r="D626" s="297"/>
      <c r="E626" s="297"/>
    </row>
    <row r="627" spans="1:5">
      <c r="A627" s="303" t="s">
        <v>107</v>
      </c>
      <c r="B627" s="295">
        <v>2273</v>
      </c>
      <c r="C627" s="295">
        <v>1282</v>
      </c>
      <c r="D627" s="295">
        <v>991</v>
      </c>
      <c r="E627" s="295">
        <v>0</v>
      </c>
    </row>
    <row r="628" spans="1:5" ht="5.0999999999999996" customHeight="1">
      <c r="A628" s="304"/>
      <c r="B628" s="297"/>
      <c r="C628" s="297"/>
      <c r="D628" s="297"/>
      <c r="E628" s="297"/>
    </row>
    <row r="629" spans="1:5">
      <c r="A629" s="304" t="s">
        <v>503</v>
      </c>
      <c r="B629" s="297">
        <v>79</v>
      </c>
      <c r="C629" s="297">
        <v>41</v>
      </c>
      <c r="D629" s="297">
        <v>38</v>
      </c>
      <c r="E629" s="297">
        <v>0</v>
      </c>
    </row>
    <row r="630" spans="1:5">
      <c r="A630" s="304" t="s">
        <v>259</v>
      </c>
      <c r="B630" s="297">
        <v>16</v>
      </c>
      <c r="C630" s="297">
        <v>7</v>
      </c>
      <c r="D630" s="297">
        <v>9</v>
      </c>
      <c r="E630" s="297">
        <v>0</v>
      </c>
    </row>
    <row r="631" spans="1:5">
      <c r="A631" s="304" t="s">
        <v>260</v>
      </c>
      <c r="B631" s="297">
        <v>13</v>
      </c>
      <c r="C631" s="297">
        <v>9</v>
      </c>
      <c r="D631" s="297">
        <v>4</v>
      </c>
      <c r="E631" s="297">
        <v>0</v>
      </c>
    </row>
    <row r="632" spans="1:5">
      <c r="A632" s="304" t="s">
        <v>261</v>
      </c>
      <c r="B632" s="297">
        <v>15</v>
      </c>
      <c r="C632" s="297">
        <v>8</v>
      </c>
      <c r="D632" s="297">
        <v>7</v>
      </c>
      <c r="E632" s="297">
        <v>0</v>
      </c>
    </row>
    <row r="633" spans="1:5">
      <c r="A633" s="304" t="s">
        <v>63</v>
      </c>
      <c r="B633" s="297">
        <v>41</v>
      </c>
      <c r="C633" s="297">
        <v>28</v>
      </c>
      <c r="D633" s="297">
        <v>13</v>
      </c>
      <c r="E633" s="297">
        <v>0</v>
      </c>
    </row>
    <row r="634" spans="1:5">
      <c r="A634" s="304" t="s">
        <v>64</v>
      </c>
      <c r="B634" s="297">
        <v>79</v>
      </c>
      <c r="C634" s="297">
        <v>51</v>
      </c>
      <c r="D634" s="297">
        <v>28</v>
      </c>
      <c r="E634" s="297">
        <v>0</v>
      </c>
    </row>
    <row r="635" spans="1:5">
      <c r="A635" s="304" t="s">
        <v>65</v>
      </c>
      <c r="B635" s="297">
        <v>74</v>
      </c>
      <c r="C635" s="297">
        <v>48</v>
      </c>
      <c r="D635" s="297">
        <v>26</v>
      </c>
      <c r="E635" s="297">
        <v>0</v>
      </c>
    </row>
    <row r="636" spans="1:5">
      <c r="A636" s="304" t="s">
        <v>66</v>
      </c>
      <c r="B636" s="297">
        <v>89</v>
      </c>
      <c r="C636" s="297">
        <v>56</v>
      </c>
      <c r="D636" s="297">
        <v>33</v>
      </c>
      <c r="E636" s="297">
        <v>0</v>
      </c>
    </row>
    <row r="637" spans="1:5">
      <c r="A637" s="304" t="s">
        <v>67</v>
      </c>
      <c r="B637" s="297">
        <v>85</v>
      </c>
      <c r="C637" s="297">
        <v>50</v>
      </c>
      <c r="D637" s="297">
        <v>35</v>
      </c>
      <c r="E637" s="297">
        <v>0</v>
      </c>
    </row>
    <row r="638" spans="1:5">
      <c r="A638" s="304" t="s">
        <v>68</v>
      </c>
      <c r="B638" s="297">
        <v>93</v>
      </c>
      <c r="C638" s="297">
        <v>55</v>
      </c>
      <c r="D638" s="297">
        <v>38</v>
      </c>
      <c r="E638" s="297">
        <v>0</v>
      </c>
    </row>
    <row r="639" spans="1:5">
      <c r="A639" s="304" t="s">
        <v>69</v>
      </c>
      <c r="B639" s="297">
        <v>106</v>
      </c>
      <c r="C639" s="297">
        <v>66</v>
      </c>
      <c r="D639" s="297">
        <v>40</v>
      </c>
      <c r="E639" s="297">
        <v>0</v>
      </c>
    </row>
    <row r="640" spans="1:5">
      <c r="A640" s="304" t="s">
        <v>262</v>
      </c>
      <c r="B640" s="297">
        <v>131</v>
      </c>
      <c r="C640" s="297">
        <v>76</v>
      </c>
      <c r="D640" s="297">
        <v>55</v>
      </c>
      <c r="E640" s="297">
        <v>0</v>
      </c>
    </row>
    <row r="641" spans="1:5">
      <c r="A641" s="304" t="s">
        <v>263</v>
      </c>
      <c r="B641" s="297">
        <v>129</v>
      </c>
      <c r="C641" s="297">
        <v>72</v>
      </c>
      <c r="D641" s="297">
        <v>57</v>
      </c>
      <c r="E641" s="297">
        <v>0</v>
      </c>
    </row>
    <row r="642" spans="1:5">
      <c r="A642" s="304" t="s">
        <v>264</v>
      </c>
      <c r="B642" s="297">
        <v>176</v>
      </c>
      <c r="C642" s="297">
        <v>110</v>
      </c>
      <c r="D642" s="297">
        <v>66</v>
      </c>
      <c r="E642" s="297">
        <v>0</v>
      </c>
    </row>
    <row r="643" spans="1:5">
      <c r="A643" s="304" t="s">
        <v>265</v>
      </c>
      <c r="B643" s="297">
        <v>196</v>
      </c>
      <c r="C643" s="297">
        <v>114</v>
      </c>
      <c r="D643" s="297">
        <v>82</v>
      </c>
      <c r="E643" s="297">
        <v>0</v>
      </c>
    </row>
    <row r="644" spans="1:5">
      <c r="A644" s="305" t="s">
        <v>266</v>
      </c>
      <c r="B644" s="306">
        <v>915</v>
      </c>
      <c r="C644" s="306">
        <v>479</v>
      </c>
      <c r="D644" s="306">
        <v>436</v>
      </c>
      <c r="E644" s="306">
        <v>0</v>
      </c>
    </row>
    <row r="645" spans="1:5">
      <c r="A645" s="305" t="s">
        <v>504</v>
      </c>
      <c r="B645" s="306">
        <v>36</v>
      </c>
      <c r="C645" s="306">
        <v>12</v>
      </c>
      <c r="D645" s="306">
        <v>24</v>
      </c>
      <c r="E645" s="306">
        <v>0</v>
      </c>
    </row>
    <row r="646" spans="1:5" ht="5.0999999999999996" customHeight="1">
      <c r="A646" s="299"/>
      <c r="B646" s="299"/>
      <c r="C646" s="299"/>
      <c r="D646" s="299"/>
      <c r="E646" s="299"/>
    </row>
    <row r="647" spans="1:5" ht="5.0999999999999996" customHeight="1"/>
    <row r="648" spans="1:5">
      <c r="A648" s="307" t="s">
        <v>71</v>
      </c>
    </row>
    <row r="649" spans="1:5">
      <c r="A649" s="307" t="s">
        <v>231</v>
      </c>
    </row>
  </sheetData>
  <mergeCells count="6">
    <mergeCell ref="A2:E2"/>
    <mergeCell ref="B6:B7"/>
    <mergeCell ref="C6:E6"/>
    <mergeCell ref="A6:A7"/>
    <mergeCell ref="A4:E4"/>
    <mergeCell ref="A3:E3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2:E62"/>
  <sheetViews>
    <sheetView showGridLines="0" workbookViewId="0">
      <selection activeCell="F54" sqref="F54"/>
    </sheetView>
  </sheetViews>
  <sheetFormatPr baseColWidth="10" defaultColWidth="11.42578125" defaultRowHeight="12.75"/>
  <cols>
    <col min="1" max="1" width="26.7109375" style="308" bestFit="1" customWidth="1"/>
    <col min="2" max="2" width="11.42578125" style="308"/>
    <col min="3" max="3" width="11.7109375" style="308" customWidth="1"/>
    <col min="4" max="4" width="12.140625" style="308" customWidth="1"/>
    <col min="5" max="5" width="12" style="308" customWidth="1"/>
    <col min="6" max="16384" width="11.42578125" style="308"/>
  </cols>
  <sheetData>
    <row r="2" spans="1:5" ht="13.5">
      <c r="A2" s="434" t="s">
        <v>267</v>
      </c>
      <c r="B2" s="434"/>
      <c r="C2" s="434"/>
      <c r="D2" s="434"/>
      <c r="E2" s="434"/>
    </row>
    <row r="3" spans="1:5" ht="13.5">
      <c r="A3" s="428" t="s">
        <v>17</v>
      </c>
      <c r="B3" s="428"/>
      <c r="C3" s="428"/>
      <c r="D3" s="428"/>
      <c r="E3" s="428"/>
    </row>
    <row r="4" spans="1:5" ht="13.5">
      <c r="A4" s="428" t="s">
        <v>500</v>
      </c>
      <c r="B4" s="428"/>
      <c r="C4" s="428"/>
      <c r="D4" s="428"/>
      <c r="E4" s="428"/>
    </row>
    <row r="5" spans="1:5" ht="13.5">
      <c r="A5" s="309"/>
      <c r="B5" s="309"/>
      <c r="C5" s="309"/>
      <c r="D5" s="309"/>
      <c r="E5" s="309"/>
    </row>
    <row r="6" spans="1:5">
      <c r="A6" s="430" t="s">
        <v>499</v>
      </c>
      <c r="B6" s="432" t="s">
        <v>61</v>
      </c>
      <c r="C6" s="429" t="s">
        <v>75</v>
      </c>
      <c r="D6" s="429"/>
      <c r="E6" s="429"/>
    </row>
    <row r="7" spans="1:5" ht="13.5">
      <c r="A7" s="431"/>
      <c r="B7" s="433"/>
      <c r="C7" s="291" t="s">
        <v>38</v>
      </c>
      <c r="D7" s="291" t="s">
        <v>39</v>
      </c>
      <c r="E7" s="291" t="s">
        <v>466</v>
      </c>
    </row>
    <row r="8" spans="1:5" ht="5.0999999999999996" customHeight="1"/>
    <row r="9" spans="1:5" ht="13.5">
      <c r="A9" s="303" t="s">
        <v>61</v>
      </c>
      <c r="B9" s="295">
        <v>34157</v>
      </c>
      <c r="C9" s="295">
        <v>21604</v>
      </c>
      <c r="D9" s="295">
        <v>12528</v>
      </c>
      <c r="E9" s="295">
        <v>25</v>
      </c>
    </row>
    <row r="10" spans="1:5" ht="5.0999999999999996" customHeight="1">
      <c r="A10" s="304"/>
      <c r="B10" s="310"/>
      <c r="C10" s="310"/>
      <c r="D10" s="310"/>
      <c r="E10" s="311"/>
    </row>
    <row r="11" spans="1:5" ht="13.5">
      <c r="A11" s="207" t="s">
        <v>632</v>
      </c>
      <c r="B11" s="263">
        <v>1</v>
      </c>
      <c r="C11" s="263">
        <v>1</v>
      </c>
      <c r="D11" s="263">
        <v>0</v>
      </c>
      <c r="E11" s="263">
        <v>0</v>
      </c>
    </row>
    <row r="12" spans="1:5" ht="13.5">
      <c r="A12" s="207" t="s">
        <v>563</v>
      </c>
      <c r="B12" s="263">
        <v>1</v>
      </c>
      <c r="C12" s="263">
        <v>1</v>
      </c>
      <c r="D12" s="263">
        <v>0</v>
      </c>
      <c r="E12" s="263">
        <v>0</v>
      </c>
    </row>
    <row r="13" spans="1:5" ht="13.5">
      <c r="A13" s="207" t="s">
        <v>398</v>
      </c>
      <c r="B13" s="263">
        <v>3</v>
      </c>
      <c r="C13" s="263">
        <v>3</v>
      </c>
      <c r="D13" s="263">
        <v>0</v>
      </c>
      <c r="E13" s="263">
        <v>0</v>
      </c>
    </row>
    <row r="14" spans="1:5" ht="13.5">
      <c r="A14" s="207" t="s">
        <v>354</v>
      </c>
      <c r="B14" s="263">
        <v>6</v>
      </c>
      <c r="C14" s="263">
        <v>4</v>
      </c>
      <c r="D14" s="263">
        <v>2</v>
      </c>
      <c r="E14" s="263">
        <v>0</v>
      </c>
    </row>
    <row r="15" spans="1:5" ht="13.5">
      <c r="A15" s="207" t="s">
        <v>400</v>
      </c>
      <c r="B15" s="263">
        <v>1</v>
      </c>
      <c r="C15" s="263">
        <v>1</v>
      </c>
      <c r="D15" s="263">
        <v>0</v>
      </c>
      <c r="E15" s="263">
        <v>0</v>
      </c>
    </row>
    <row r="16" spans="1:5" ht="13.5">
      <c r="A16" s="207" t="s">
        <v>401</v>
      </c>
      <c r="B16" s="263">
        <v>4</v>
      </c>
      <c r="C16" s="263">
        <v>4</v>
      </c>
      <c r="D16" s="263">
        <v>0</v>
      </c>
      <c r="E16" s="263">
        <v>0</v>
      </c>
    </row>
    <row r="17" spans="1:5" ht="13.5">
      <c r="A17" s="207" t="s">
        <v>478</v>
      </c>
      <c r="B17" s="263">
        <v>1</v>
      </c>
      <c r="C17" s="263">
        <v>1</v>
      </c>
      <c r="D17" s="263">
        <v>0</v>
      </c>
      <c r="E17" s="263">
        <v>0</v>
      </c>
    </row>
    <row r="18" spans="1:5" ht="13.5">
      <c r="A18" s="207" t="s">
        <v>603</v>
      </c>
      <c r="B18" s="263">
        <v>1</v>
      </c>
      <c r="C18" s="263">
        <v>1</v>
      </c>
      <c r="D18" s="263">
        <v>0</v>
      </c>
      <c r="E18" s="263">
        <v>0</v>
      </c>
    </row>
    <row r="19" spans="1:5" ht="13.5">
      <c r="A19" s="207" t="s">
        <v>341</v>
      </c>
      <c r="B19" s="263">
        <v>30</v>
      </c>
      <c r="C19" s="263">
        <v>22</v>
      </c>
      <c r="D19" s="263">
        <v>8</v>
      </c>
      <c r="E19" s="263">
        <v>0</v>
      </c>
    </row>
    <row r="20" spans="1:5" ht="13.5">
      <c r="A20" s="207" t="s">
        <v>633</v>
      </c>
      <c r="B20" s="263">
        <v>2</v>
      </c>
      <c r="C20" s="263">
        <v>0</v>
      </c>
      <c r="D20" s="263">
        <v>2</v>
      </c>
      <c r="E20" s="263">
        <v>0</v>
      </c>
    </row>
    <row r="21" spans="1:5" ht="13.5">
      <c r="A21" s="207" t="s">
        <v>403</v>
      </c>
      <c r="B21" s="263">
        <v>7</v>
      </c>
      <c r="C21" s="263">
        <v>4</v>
      </c>
      <c r="D21" s="263">
        <v>3</v>
      </c>
      <c r="E21" s="263">
        <v>0</v>
      </c>
    </row>
    <row r="22" spans="1:5" ht="13.5">
      <c r="A22" s="207" t="s">
        <v>342</v>
      </c>
      <c r="B22" s="263">
        <v>3</v>
      </c>
      <c r="C22" s="263">
        <v>2</v>
      </c>
      <c r="D22" s="263">
        <v>1</v>
      </c>
      <c r="E22" s="263">
        <v>0</v>
      </c>
    </row>
    <row r="23" spans="1:5" ht="13.5">
      <c r="A23" s="207" t="s">
        <v>404</v>
      </c>
      <c r="B23" s="263">
        <v>8</v>
      </c>
      <c r="C23" s="263">
        <v>5</v>
      </c>
      <c r="D23" s="263">
        <v>3</v>
      </c>
      <c r="E23" s="263">
        <v>0</v>
      </c>
    </row>
    <row r="24" spans="1:5" ht="13.5">
      <c r="A24" s="207" t="s">
        <v>502</v>
      </c>
      <c r="B24" s="263">
        <v>1</v>
      </c>
      <c r="C24" s="263">
        <v>1</v>
      </c>
      <c r="D24" s="263">
        <v>0</v>
      </c>
      <c r="E24" s="263">
        <v>0</v>
      </c>
    </row>
    <row r="25" spans="1:5" ht="13.5">
      <c r="A25" s="207" t="s">
        <v>343</v>
      </c>
      <c r="B25" s="263">
        <v>7</v>
      </c>
      <c r="C25" s="263">
        <v>5</v>
      </c>
      <c r="D25" s="263">
        <v>2</v>
      </c>
      <c r="E25" s="263">
        <v>0</v>
      </c>
    </row>
    <row r="26" spans="1:5" ht="13.5">
      <c r="A26" s="207" t="s">
        <v>44</v>
      </c>
      <c r="B26" s="263">
        <v>33603</v>
      </c>
      <c r="C26" s="263">
        <v>21217</v>
      </c>
      <c r="D26" s="263">
        <v>12368</v>
      </c>
      <c r="E26" s="263">
        <v>18</v>
      </c>
    </row>
    <row r="27" spans="1:5" ht="13.5">
      <c r="A27" s="207" t="s">
        <v>551</v>
      </c>
      <c r="B27" s="263">
        <v>1</v>
      </c>
      <c r="C27" s="263">
        <v>1</v>
      </c>
      <c r="D27" s="263">
        <v>0</v>
      </c>
      <c r="E27" s="263">
        <v>0</v>
      </c>
    </row>
    <row r="28" spans="1:5" ht="13.5">
      <c r="A28" s="207" t="s">
        <v>573</v>
      </c>
      <c r="B28" s="263">
        <v>14</v>
      </c>
      <c r="C28" s="263">
        <v>14</v>
      </c>
      <c r="D28" s="263">
        <v>0</v>
      </c>
      <c r="E28" s="263">
        <v>0</v>
      </c>
    </row>
    <row r="29" spans="1:5" ht="13.5">
      <c r="A29" s="207" t="s">
        <v>574</v>
      </c>
      <c r="B29" s="263">
        <v>39</v>
      </c>
      <c r="C29" s="263">
        <v>31</v>
      </c>
      <c r="D29" s="263">
        <v>8</v>
      </c>
      <c r="E29" s="263">
        <v>0</v>
      </c>
    </row>
    <row r="30" spans="1:5" ht="13.5">
      <c r="A30" s="207" t="s">
        <v>345</v>
      </c>
      <c r="B30" s="263">
        <v>205</v>
      </c>
      <c r="C30" s="263">
        <v>125</v>
      </c>
      <c r="D30" s="263">
        <v>80</v>
      </c>
      <c r="E30" s="263">
        <v>0</v>
      </c>
    </row>
    <row r="31" spans="1:5" ht="13.5">
      <c r="A31" s="207" t="s">
        <v>634</v>
      </c>
      <c r="B31" s="263">
        <v>4</v>
      </c>
      <c r="C31" s="263">
        <v>4</v>
      </c>
      <c r="D31" s="263">
        <v>0</v>
      </c>
      <c r="E31" s="263">
        <v>0</v>
      </c>
    </row>
    <row r="32" spans="1:5" ht="13.5">
      <c r="A32" s="207" t="s">
        <v>346</v>
      </c>
      <c r="B32" s="263">
        <v>2</v>
      </c>
      <c r="C32" s="263">
        <v>2</v>
      </c>
      <c r="D32" s="263">
        <v>0</v>
      </c>
      <c r="E32" s="263">
        <v>0</v>
      </c>
    </row>
    <row r="33" spans="1:5" ht="13.5">
      <c r="A33" s="207" t="s">
        <v>482</v>
      </c>
      <c r="B33" s="263">
        <v>2</v>
      </c>
      <c r="C33" s="263">
        <v>2</v>
      </c>
      <c r="D33" s="263">
        <v>0</v>
      </c>
      <c r="E33" s="263">
        <v>0</v>
      </c>
    </row>
    <row r="34" spans="1:5" ht="13.5">
      <c r="A34" s="207" t="s">
        <v>591</v>
      </c>
      <c r="B34" s="263">
        <v>1</v>
      </c>
      <c r="C34" s="263">
        <v>1</v>
      </c>
      <c r="D34" s="263">
        <v>0</v>
      </c>
      <c r="E34" s="263">
        <v>0</v>
      </c>
    </row>
    <row r="35" spans="1:5" ht="13.5">
      <c r="A35" s="207" t="s">
        <v>348</v>
      </c>
      <c r="B35" s="263">
        <v>18</v>
      </c>
      <c r="C35" s="263">
        <v>15</v>
      </c>
      <c r="D35" s="263">
        <v>3</v>
      </c>
      <c r="E35" s="263">
        <v>0</v>
      </c>
    </row>
    <row r="36" spans="1:5" ht="13.5">
      <c r="A36" s="207" t="s">
        <v>592</v>
      </c>
      <c r="B36" s="263">
        <v>3</v>
      </c>
      <c r="C36" s="263">
        <v>2</v>
      </c>
      <c r="D36" s="263">
        <v>1</v>
      </c>
      <c r="E36" s="263">
        <v>0</v>
      </c>
    </row>
    <row r="37" spans="1:5" ht="13.5">
      <c r="A37" s="207" t="s">
        <v>595</v>
      </c>
      <c r="B37" s="263">
        <v>6</v>
      </c>
      <c r="C37" s="263">
        <v>3</v>
      </c>
      <c r="D37" s="263">
        <v>3</v>
      </c>
      <c r="E37" s="263">
        <v>0</v>
      </c>
    </row>
    <row r="38" spans="1:5" ht="13.5">
      <c r="A38" s="207" t="s">
        <v>621</v>
      </c>
      <c r="B38" s="263">
        <v>10</v>
      </c>
      <c r="C38" s="263">
        <v>9</v>
      </c>
      <c r="D38" s="263">
        <v>1</v>
      </c>
      <c r="E38" s="263">
        <v>0</v>
      </c>
    </row>
    <row r="39" spans="1:5" ht="13.5">
      <c r="A39" s="207" t="s">
        <v>621</v>
      </c>
      <c r="B39" s="263">
        <v>2</v>
      </c>
      <c r="C39" s="263">
        <v>1</v>
      </c>
      <c r="D39" s="263">
        <v>1</v>
      </c>
      <c r="E39" s="263">
        <v>0</v>
      </c>
    </row>
    <row r="40" spans="1:5" ht="13.5">
      <c r="A40" s="207" t="s">
        <v>596</v>
      </c>
      <c r="B40" s="263">
        <v>3</v>
      </c>
      <c r="C40" s="263">
        <v>3</v>
      </c>
      <c r="D40" s="263">
        <v>0</v>
      </c>
      <c r="E40" s="263">
        <v>0</v>
      </c>
    </row>
    <row r="41" spans="1:5" ht="13.5">
      <c r="A41" s="207" t="s">
        <v>353</v>
      </c>
      <c r="B41" s="263">
        <v>1</v>
      </c>
      <c r="C41" s="263">
        <v>1</v>
      </c>
      <c r="D41" s="263">
        <v>0</v>
      </c>
      <c r="E41" s="263">
        <v>0</v>
      </c>
    </row>
    <row r="42" spans="1:5" ht="13.5">
      <c r="A42" s="207" t="s">
        <v>552</v>
      </c>
      <c r="B42" s="263">
        <v>1</v>
      </c>
      <c r="C42" s="263">
        <v>1</v>
      </c>
      <c r="D42" s="263">
        <v>0</v>
      </c>
      <c r="E42" s="263">
        <v>0</v>
      </c>
    </row>
    <row r="43" spans="1:5" ht="13.5">
      <c r="A43" s="207" t="s">
        <v>553</v>
      </c>
      <c r="B43" s="263">
        <v>1</v>
      </c>
      <c r="C43" s="263">
        <v>0</v>
      </c>
      <c r="D43" s="263">
        <v>1</v>
      </c>
      <c r="E43" s="263">
        <v>0</v>
      </c>
    </row>
    <row r="44" spans="1:5" ht="13.5">
      <c r="A44" s="207" t="s">
        <v>612</v>
      </c>
      <c r="B44" s="263">
        <v>4</v>
      </c>
      <c r="C44" s="263">
        <v>4</v>
      </c>
      <c r="D44" s="263">
        <v>0</v>
      </c>
      <c r="E44" s="263">
        <v>0</v>
      </c>
    </row>
    <row r="45" spans="1:5" ht="13.5">
      <c r="A45" s="207" t="s">
        <v>578</v>
      </c>
      <c r="B45" s="263">
        <v>8</v>
      </c>
      <c r="C45" s="263">
        <v>5</v>
      </c>
      <c r="D45" s="263">
        <v>3</v>
      </c>
      <c r="E45" s="263">
        <v>0</v>
      </c>
    </row>
    <row r="46" spans="1:5" ht="13.5">
      <c r="A46" s="207" t="s">
        <v>598</v>
      </c>
      <c r="B46" s="263">
        <v>1</v>
      </c>
      <c r="C46" s="263">
        <v>0</v>
      </c>
      <c r="D46" s="263">
        <v>1</v>
      </c>
      <c r="E46" s="263">
        <v>0</v>
      </c>
    </row>
    <row r="47" spans="1:5" ht="13.5">
      <c r="A47" s="207" t="s">
        <v>599</v>
      </c>
      <c r="B47" s="263">
        <v>6</v>
      </c>
      <c r="C47" s="263">
        <v>5</v>
      </c>
      <c r="D47" s="263">
        <v>1</v>
      </c>
      <c r="E47" s="263">
        <v>0</v>
      </c>
    </row>
    <row r="48" spans="1:5" ht="13.5">
      <c r="A48" s="207" t="s">
        <v>351</v>
      </c>
      <c r="B48" s="263">
        <v>25</v>
      </c>
      <c r="C48" s="263">
        <v>20</v>
      </c>
      <c r="D48" s="263">
        <v>5</v>
      </c>
      <c r="E48" s="263">
        <v>0</v>
      </c>
    </row>
    <row r="49" spans="1:5" ht="13.5">
      <c r="A49" s="207" t="s">
        <v>625</v>
      </c>
      <c r="B49" s="263">
        <v>1</v>
      </c>
      <c r="C49" s="263">
        <v>1</v>
      </c>
      <c r="D49" s="263">
        <v>0</v>
      </c>
      <c r="E49" s="263">
        <v>0</v>
      </c>
    </row>
    <row r="50" spans="1:5" ht="13.5">
      <c r="A50" s="207" t="s">
        <v>600</v>
      </c>
      <c r="B50" s="263">
        <v>1</v>
      </c>
      <c r="C50" s="263">
        <v>1</v>
      </c>
      <c r="D50" s="263">
        <v>0</v>
      </c>
      <c r="E50" s="263">
        <v>0</v>
      </c>
    </row>
    <row r="51" spans="1:5" ht="13.5">
      <c r="A51" s="207" t="s">
        <v>352</v>
      </c>
      <c r="B51" s="263">
        <v>3</v>
      </c>
      <c r="C51" s="263">
        <v>3</v>
      </c>
      <c r="D51" s="263">
        <v>0</v>
      </c>
      <c r="E51" s="263">
        <v>0</v>
      </c>
    </row>
    <row r="52" spans="1:5" ht="13.5">
      <c r="A52" s="207" t="s">
        <v>623</v>
      </c>
      <c r="B52" s="263">
        <v>1</v>
      </c>
      <c r="C52" s="263">
        <v>1</v>
      </c>
      <c r="D52" s="263">
        <v>0</v>
      </c>
      <c r="E52" s="263">
        <v>0</v>
      </c>
    </row>
    <row r="53" spans="1:5" ht="13.5">
      <c r="A53" s="207" t="s">
        <v>603</v>
      </c>
      <c r="B53" s="263">
        <v>2</v>
      </c>
      <c r="C53" s="263">
        <v>1</v>
      </c>
      <c r="D53" s="263">
        <v>1</v>
      </c>
      <c r="E53" s="263">
        <v>0</v>
      </c>
    </row>
    <row r="54" spans="1:5" ht="13.5">
      <c r="A54" s="207" t="s">
        <v>353</v>
      </c>
      <c r="B54" s="263">
        <v>78</v>
      </c>
      <c r="C54" s="263">
        <v>57</v>
      </c>
      <c r="D54" s="263">
        <v>21</v>
      </c>
      <c r="E54" s="263">
        <v>0</v>
      </c>
    </row>
    <row r="55" spans="1:5" ht="13.5">
      <c r="A55" s="207" t="s">
        <v>565</v>
      </c>
      <c r="B55" s="263">
        <v>2</v>
      </c>
      <c r="C55" s="263">
        <v>2</v>
      </c>
      <c r="D55" s="263">
        <v>0</v>
      </c>
      <c r="E55" s="263">
        <v>0</v>
      </c>
    </row>
    <row r="56" spans="1:5" ht="13.5">
      <c r="A56" s="207" t="s">
        <v>568</v>
      </c>
      <c r="B56" s="263">
        <v>1</v>
      </c>
      <c r="C56" s="263">
        <v>1</v>
      </c>
      <c r="D56" s="263">
        <v>0</v>
      </c>
      <c r="E56" s="263">
        <v>0</v>
      </c>
    </row>
    <row r="57" spans="1:5" ht="13.5">
      <c r="A57" s="207" t="s">
        <v>635</v>
      </c>
      <c r="B57" s="263">
        <v>2</v>
      </c>
      <c r="C57" s="263">
        <v>1</v>
      </c>
      <c r="D57" s="263">
        <v>1</v>
      </c>
      <c r="E57" s="263">
        <v>0</v>
      </c>
    </row>
    <row r="58" spans="1:5" ht="13.5">
      <c r="A58" s="207" t="s">
        <v>333</v>
      </c>
      <c r="B58" s="263">
        <v>30</v>
      </c>
      <c r="C58" s="263">
        <v>15</v>
      </c>
      <c r="D58" s="263">
        <v>8</v>
      </c>
      <c r="E58" s="263">
        <v>7</v>
      </c>
    </row>
    <row r="59" spans="1:5" ht="5.0999999999999996" customHeight="1">
      <c r="A59" s="299"/>
      <c r="B59" s="312"/>
      <c r="C59" s="312"/>
      <c r="D59" s="312"/>
      <c r="E59" s="312"/>
    </row>
    <row r="60" spans="1:5" ht="5.0999999999999996" customHeight="1">
      <c r="A60" s="290"/>
    </row>
    <row r="61" spans="1:5">
      <c r="A61" s="301" t="s">
        <v>71</v>
      </c>
    </row>
    <row r="62" spans="1:5">
      <c r="A62" s="301" t="s">
        <v>231</v>
      </c>
    </row>
  </sheetData>
  <mergeCells count="6">
    <mergeCell ref="A2:E2"/>
    <mergeCell ref="A3:E3"/>
    <mergeCell ref="A4:E4"/>
    <mergeCell ref="C6:E6"/>
    <mergeCell ref="A6:A7"/>
    <mergeCell ref="B6:B7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2:I245"/>
  <sheetViews>
    <sheetView zoomScaleNormal="100" workbookViewId="0">
      <selection activeCell="I30" sqref="I30"/>
    </sheetView>
  </sheetViews>
  <sheetFormatPr baseColWidth="10" defaultColWidth="11.42578125" defaultRowHeight="12.75"/>
  <cols>
    <col min="1" max="1" width="1.5703125" style="308" customWidth="1"/>
    <col min="2" max="2" width="24.42578125" style="308" customWidth="1"/>
    <col min="3" max="3" width="12.140625" style="308" customWidth="1"/>
    <col min="4" max="4" width="12" style="308" customWidth="1"/>
    <col min="5" max="5" width="11.42578125" style="308"/>
    <col min="6" max="6" width="15.28515625" style="308" customWidth="1"/>
    <col min="7" max="16384" width="11.42578125" style="308"/>
  </cols>
  <sheetData>
    <row r="2" spans="1:6" ht="13.5">
      <c r="B2" s="434" t="s">
        <v>273</v>
      </c>
      <c r="C2" s="434"/>
      <c r="D2" s="434"/>
      <c r="E2" s="434"/>
      <c r="F2" s="434"/>
    </row>
    <row r="3" spans="1:6" ht="13.5">
      <c r="B3" s="428" t="s">
        <v>17</v>
      </c>
      <c r="C3" s="428"/>
      <c r="D3" s="428"/>
      <c r="E3" s="428"/>
      <c r="F3" s="428"/>
    </row>
    <row r="4" spans="1:6" ht="13.5">
      <c r="B4" s="428" t="s">
        <v>274</v>
      </c>
      <c r="C4" s="428"/>
      <c r="D4" s="428"/>
      <c r="E4" s="428"/>
      <c r="F4" s="428"/>
    </row>
    <row r="5" spans="1:6" ht="13.5">
      <c r="B5" s="428" t="s">
        <v>506</v>
      </c>
      <c r="C5" s="428"/>
      <c r="D5" s="428"/>
      <c r="E5" s="428"/>
      <c r="F5" s="428"/>
    </row>
    <row r="7" spans="1:6" ht="12.75" customHeight="1">
      <c r="A7" s="313" t="s">
        <v>501</v>
      </c>
      <c r="B7" s="430" t="s">
        <v>275</v>
      </c>
      <c r="C7" s="432" t="s">
        <v>61</v>
      </c>
      <c r="D7" s="429" t="s">
        <v>336</v>
      </c>
      <c r="E7" s="429"/>
      <c r="F7" s="429"/>
    </row>
    <row r="8" spans="1:6" ht="18.75" customHeight="1">
      <c r="A8" s="312"/>
      <c r="B8" s="435"/>
      <c r="C8" s="433"/>
      <c r="D8" s="314" t="s">
        <v>41</v>
      </c>
      <c r="E8" s="314" t="s">
        <v>42</v>
      </c>
      <c r="F8" s="314" t="s">
        <v>33</v>
      </c>
    </row>
    <row r="9" spans="1:6" ht="5.0999999999999996" customHeight="1"/>
    <row r="10" spans="1:6" ht="13.5">
      <c r="A10" s="292" t="s">
        <v>585</v>
      </c>
      <c r="C10" s="295">
        <v>34157</v>
      </c>
      <c r="D10" s="295">
        <v>25863</v>
      </c>
      <c r="E10" s="295">
        <v>7034</v>
      </c>
      <c r="F10" s="295">
        <v>1260</v>
      </c>
    </row>
    <row r="11" spans="1:6" ht="5.0999999999999996" customHeight="1">
      <c r="C11" s="297"/>
      <c r="D11" s="297"/>
      <c r="E11" s="297"/>
      <c r="F11" s="297"/>
    </row>
    <row r="12" spans="1:6" ht="13.5">
      <c r="B12" s="290" t="s">
        <v>254</v>
      </c>
      <c r="C12" s="297">
        <v>11097</v>
      </c>
      <c r="D12" s="297">
        <v>10524</v>
      </c>
      <c r="E12" s="297">
        <v>447</v>
      </c>
      <c r="F12" s="297">
        <v>126</v>
      </c>
    </row>
    <row r="13" spans="1:6" ht="13.5">
      <c r="B13" s="290" t="s">
        <v>255</v>
      </c>
      <c r="C13" s="297">
        <v>154</v>
      </c>
      <c r="D13" s="297">
        <v>118</v>
      </c>
      <c r="E13" s="297">
        <v>32</v>
      </c>
      <c r="F13" s="297">
        <v>4</v>
      </c>
    </row>
    <row r="14" spans="1:6" ht="13.5">
      <c r="B14" s="290" t="s">
        <v>256</v>
      </c>
      <c r="C14" s="297">
        <v>11710</v>
      </c>
      <c r="D14" s="297">
        <v>7656</v>
      </c>
      <c r="E14" s="297">
        <v>3565</v>
      </c>
      <c r="F14" s="297">
        <v>489</v>
      </c>
    </row>
    <row r="15" spans="1:6" ht="13.5">
      <c r="B15" s="290" t="s">
        <v>51</v>
      </c>
      <c r="C15" s="297">
        <v>10619</v>
      </c>
      <c r="D15" s="297">
        <v>7402</v>
      </c>
      <c r="E15" s="297">
        <v>2817</v>
      </c>
      <c r="F15" s="297">
        <v>400</v>
      </c>
    </row>
    <row r="16" spans="1:6" ht="13.5">
      <c r="B16" s="290" t="s">
        <v>493</v>
      </c>
      <c r="C16" s="297">
        <v>577</v>
      </c>
      <c r="D16" s="297">
        <v>163</v>
      </c>
      <c r="E16" s="297">
        <v>173</v>
      </c>
      <c r="F16" s="297">
        <v>241</v>
      </c>
    </row>
    <row r="17" spans="1:7" ht="5.0999999999999996" customHeight="1">
      <c r="C17" s="297"/>
      <c r="D17" s="297"/>
      <c r="E17" s="297"/>
      <c r="F17" s="297"/>
    </row>
    <row r="18" spans="1:7" ht="13.5">
      <c r="A18" s="292" t="s">
        <v>76</v>
      </c>
      <c r="B18" s="292"/>
      <c r="C18" s="316">
        <v>11497</v>
      </c>
      <c r="D18" s="295">
        <v>10947</v>
      </c>
      <c r="E18" s="295">
        <v>334</v>
      </c>
      <c r="F18" s="295">
        <v>216</v>
      </c>
      <c r="G18" s="295"/>
    </row>
    <row r="19" spans="1:7" ht="5.0999999999999996" customHeight="1">
      <c r="C19" s="297"/>
      <c r="D19" s="297"/>
      <c r="E19" s="297"/>
      <c r="F19" s="297"/>
    </row>
    <row r="20" spans="1:7" ht="13.5">
      <c r="B20" s="290" t="s">
        <v>254</v>
      </c>
      <c r="C20" s="297">
        <v>10748</v>
      </c>
      <c r="D20" s="297">
        <v>10308</v>
      </c>
      <c r="E20" s="297">
        <v>318</v>
      </c>
      <c r="F20" s="297">
        <v>122</v>
      </c>
    </row>
    <row r="21" spans="1:7" ht="13.5">
      <c r="B21" s="290" t="s">
        <v>255</v>
      </c>
      <c r="C21" s="297">
        <v>27</v>
      </c>
      <c r="D21" s="297">
        <v>27</v>
      </c>
      <c r="E21" s="297">
        <v>0</v>
      </c>
      <c r="F21" s="297">
        <v>0</v>
      </c>
    </row>
    <row r="22" spans="1:7" ht="13.5">
      <c r="B22" s="290" t="s">
        <v>256</v>
      </c>
      <c r="C22" s="297">
        <v>279</v>
      </c>
      <c r="D22" s="297">
        <v>260</v>
      </c>
      <c r="E22" s="297">
        <v>6</v>
      </c>
      <c r="F22" s="297">
        <v>13</v>
      </c>
    </row>
    <row r="23" spans="1:7" ht="13.5">
      <c r="B23" s="290" t="s">
        <v>51</v>
      </c>
      <c r="C23" s="297">
        <v>344</v>
      </c>
      <c r="D23" s="297">
        <v>328</v>
      </c>
      <c r="E23" s="297">
        <v>8</v>
      </c>
      <c r="F23" s="297">
        <v>8</v>
      </c>
    </row>
    <row r="24" spans="1:7" ht="13.5">
      <c r="B24" s="290" t="s">
        <v>493</v>
      </c>
      <c r="C24" s="297">
        <v>99</v>
      </c>
      <c r="D24" s="297">
        <v>24</v>
      </c>
      <c r="E24" s="297">
        <v>2</v>
      </c>
      <c r="F24" s="297">
        <v>73</v>
      </c>
    </row>
    <row r="25" spans="1:7" ht="5.0999999999999996" customHeight="1">
      <c r="C25" s="297"/>
      <c r="D25" s="297"/>
      <c r="E25" s="297"/>
      <c r="F25" s="297"/>
    </row>
    <row r="26" spans="1:7" ht="13.5">
      <c r="A26" s="292" t="s">
        <v>77</v>
      </c>
      <c r="B26" s="292"/>
      <c r="C26" s="316">
        <v>457</v>
      </c>
      <c r="D26" s="295">
        <v>415</v>
      </c>
      <c r="E26" s="295">
        <v>31</v>
      </c>
      <c r="F26" s="295">
        <v>11</v>
      </c>
      <c r="G26" s="295"/>
    </row>
    <row r="27" spans="1:7" ht="5.0999999999999996" customHeight="1">
      <c r="C27" s="297"/>
      <c r="D27" s="297"/>
      <c r="E27" s="297"/>
      <c r="F27" s="297"/>
    </row>
    <row r="28" spans="1:7" ht="13.5">
      <c r="B28" s="290" t="s">
        <v>254</v>
      </c>
      <c r="C28" s="297">
        <v>1</v>
      </c>
      <c r="D28" s="297">
        <v>1</v>
      </c>
      <c r="E28" s="297">
        <v>0</v>
      </c>
      <c r="F28" s="297">
        <v>0</v>
      </c>
    </row>
    <row r="29" spans="1:7" ht="13.5">
      <c r="B29" s="290" t="s">
        <v>256</v>
      </c>
      <c r="C29" s="297">
        <v>333</v>
      </c>
      <c r="D29" s="297">
        <v>307</v>
      </c>
      <c r="E29" s="297">
        <v>22</v>
      </c>
      <c r="F29" s="297">
        <v>4</v>
      </c>
    </row>
    <row r="30" spans="1:7" ht="13.5">
      <c r="B30" s="290" t="s">
        <v>51</v>
      </c>
      <c r="C30" s="297">
        <v>121</v>
      </c>
      <c r="D30" s="297">
        <v>106</v>
      </c>
      <c r="E30" s="297">
        <v>9</v>
      </c>
      <c r="F30" s="297">
        <v>6</v>
      </c>
    </row>
    <row r="31" spans="1:7" ht="13.5">
      <c r="B31" s="290" t="s">
        <v>493</v>
      </c>
      <c r="C31" s="297">
        <v>2</v>
      </c>
      <c r="D31" s="297">
        <v>1</v>
      </c>
      <c r="E31" s="297">
        <v>0</v>
      </c>
      <c r="F31" s="297">
        <v>1</v>
      </c>
    </row>
    <row r="32" spans="1:7" ht="5.0999999999999996" customHeight="1">
      <c r="B32" s="290"/>
      <c r="C32" s="297"/>
      <c r="D32" s="297"/>
      <c r="E32" s="297"/>
      <c r="F32" s="297"/>
    </row>
    <row r="33" spans="1:7" ht="13.5">
      <c r="A33" s="292" t="s">
        <v>78</v>
      </c>
      <c r="B33" s="292"/>
      <c r="C33" s="316">
        <v>243</v>
      </c>
      <c r="D33" s="295">
        <v>177</v>
      </c>
      <c r="E33" s="295">
        <v>65</v>
      </c>
      <c r="F33" s="295">
        <v>1</v>
      </c>
      <c r="G33" s="295"/>
    </row>
    <row r="34" spans="1:7" ht="5.0999999999999996" customHeight="1">
      <c r="C34" s="297"/>
      <c r="D34" s="297"/>
      <c r="E34" s="297"/>
      <c r="F34" s="297"/>
    </row>
    <row r="35" spans="1:7" ht="13.5">
      <c r="B35" s="290" t="s">
        <v>254</v>
      </c>
      <c r="C35" s="297">
        <v>2</v>
      </c>
      <c r="D35" s="297">
        <v>1</v>
      </c>
      <c r="E35" s="297">
        <v>1</v>
      </c>
      <c r="F35" s="297">
        <v>0</v>
      </c>
    </row>
    <row r="36" spans="1:7" ht="13.5">
      <c r="B36" s="290" t="s">
        <v>256</v>
      </c>
      <c r="C36" s="297">
        <v>179</v>
      </c>
      <c r="D36" s="297">
        <v>138</v>
      </c>
      <c r="E36" s="297">
        <v>40</v>
      </c>
      <c r="F36" s="297">
        <v>1</v>
      </c>
    </row>
    <row r="37" spans="1:7" ht="13.5">
      <c r="B37" s="290" t="s">
        <v>51</v>
      </c>
      <c r="C37" s="297">
        <v>61</v>
      </c>
      <c r="D37" s="297">
        <v>37</v>
      </c>
      <c r="E37" s="297">
        <v>24</v>
      </c>
      <c r="F37" s="297">
        <v>0</v>
      </c>
    </row>
    <row r="38" spans="1:7" ht="13.5">
      <c r="B38" s="290" t="s">
        <v>493</v>
      </c>
      <c r="C38" s="297">
        <v>1</v>
      </c>
      <c r="D38" s="297">
        <v>1</v>
      </c>
      <c r="E38" s="297">
        <v>0</v>
      </c>
      <c r="F38" s="297">
        <v>0</v>
      </c>
    </row>
    <row r="39" spans="1:7" ht="5.0999999999999996" customHeight="1">
      <c r="B39" s="290"/>
      <c r="C39" s="297"/>
      <c r="D39" s="297"/>
      <c r="E39" s="297"/>
      <c r="F39" s="297"/>
    </row>
    <row r="40" spans="1:7" ht="13.5">
      <c r="A40" s="292" t="s">
        <v>79</v>
      </c>
      <c r="B40" s="292"/>
      <c r="C40" s="316">
        <v>527</v>
      </c>
      <c r="D40" s="295">
        <v>274</v>
      </c>
      <c r="E40" s="295">
        <v>252</v>
      </c>
      <c r="F40" s="295">
        <v>1</v>
      </c>
      <c r="G40" s="295"/>
    </row>
    <row r="41" spans="1:7" ht="5.0999999999999996" customHeight="1">
      <c r="C41" s="297"/>
      <c r="D41" s="297"/>
      <c r="E41" s="297"/>
      <c r="F41" s="297"/>
    </row>
    <row r="42" spans="1:7" ht="13.5">
      <c r="B42" s="290" t="s">
        <v>254</v>
      </c>
      <c r="C42" s="297">
        <v>2</v>
      </c>
      <c r="D42" s="297">
        <v>2</v>
      </c>
      <c r="E42" s="297">
        <v>0</v>
      </c>
      <c r="F42" s="297">
        <v>0</v>
      </c>
    </row>
    <row r="43" spans="1:7" ht="13.5">
      <c r="B43" s="290" t="s">
        <v>255</v>
      </c>
      <c r="C43" s="297">
        <v>1</v>
      </c>
      <c r="D43" s="297">
        <v>1</v>
      </c>
      <c r="E43" s="297">
        <v>0</v>
      </c>
      <c r="F43" s="297">
        <v>0</v>
      </c>
    </row>
    <row r="44" spans="1:7" ht="13.5">
      <c r="B44" s="290" t="s">
        <v>256</v>
      </c>
      <c r="C44" s="297">
        <v>321</v>
      </c>
      <c r="D44" s="297">
        <v>150</v>
      </c>
      <c r="E44" s="297">
        <v>170</v>
      </c>
      <c r="F44" s="297">
        <v>1</v>
      </c>
    </row>
    <row r="45" spans="1:7" ht="13.5">
      <c r="B45" s="290" t="s">
        <v>51</v>
      </c>
      <c r="C45" s="297">
        <v>203</v>
      </c>
      <c r="D45" s="297">
        <v>121</v>
      </c>
      <c r="E45" s="297">
        <v>82</v>
      </c>
      <c r="F45" s="297">
        <v>0</v>
      </c>
    </row>
    <row r="46" spans="1:7" ht="5.0999999999999996" customHeight="1">
      <c r="B46" s="290"/>
      <c r="C46" s="297"/>
      <c r="D46" s="297"/>
      <c r="E46" s="297"/>
      <c r="F46" s="297"/>
    </row>
    <row r="47" spans="1:7" ht="13.5">
      <c r="A47" s="292" t="s">
        <v>80</v>
      </c>
      <c r="B47" s="292"/>
      <c r="C47" s="316">
        <v>192</v>
      </c>
      <c r="D47" s="295">
        <v>117</v>
      </c>
      <c r="E47" s="295">
        <v>71</v>
      </c>
      <c r="F47" s="295">
        <v>4</v>
      </c>
      <c r="G47" s="295"/>
    </row>
    <row r="48" spans="1:7" ht="5.0999999999999996" customHeight="1">
      <c r="C48" s="297"/>
      <c r="D48" s="297"/>
      <c r="E48" s="297"/>
      <c r="F48" s="297"/>
    </row>
    <row r="49" spans="1:7" ht="13.5">
      <c r="B49" s="290" t="s">
        <v>255</v>
      </c>
      <c r="C49" s="297">
        <v>1</v>
      </c>
      <c r="D49" s="297">
        <v>0</v>
      </c>
      <c r="E49" s="297">
        <v>1</v>
      </c>
      <c r="F49" s="297">
        <v>0</v>
      </c>
    </row>
    <row r="50" spans="1:7" ht="13.5">
      <c r="B50" s="290" t="s">
        <v>256</v>
      </c>
      <c r="C50" s="297">
        <v>165</v>
      </c>
      <c r="D50" s="297">
        <v>102</v>
      </c>
      <c r="E50" s="297">
        <v>59</v>
      </c>
      <c r="F50" s="297">
        <v>4</v>
      </c>
    </row>
    <row r="51" spans="1:7" ht="13.5">
      <c r="B51" s="290" t="s">
        <v>51</v>
      </c>
      <c r="C51" s="297">
        <v>26</v>
      </c>
      <c r="D51" s="297">
        <v>15</v>
      </c>
      <c r="E51" s="297">
        <v>11</v>
      </c>
      <c r="F51" s="297">
        <v>0</v>
      </c>
    </row>
    <row r="52" spans="1:7" ht="5.0999999999999996" customHeight="1">
      <c r="B52" s="290"/>
      <c r="C52" s="297"/>
      <c r="D52" s="297"/>
      <c r="E52" s="297"/>
      <c r="F52" s="297"/>
    </row>
    <row r="53" spans="1:7" ht="13.5">
      <c r="A53" s="292" t="s">
        <v>81</v>
      </c>
      <c r="B53" s="292"/>
      <c r="C53" s="316">
        <v>1638</v>
      </c>
      <c r="D53" s="295">
        <v>1109</v>
      </c>
      <c r="E53" s="295">
        <v>477</v>
      </c>
      <c r="F53" s="295">
        <v>52</v>
      </c>
      <c r="G53" s="295"/>
    </row>
    <row r="54" spans="1:7" ht="5.0999999999999996" customHeight="1">
      <c r="C54" s="297"/>
      <c r="D54" s="297"/>
      <c r="E54" s="297"/>
      <c r="F54" s="297"/>
    </row>
    <row r="55" spans="1:7" ht="13.5">
      <c r="B55" s="290" t="s">
        <v>254</v>
      </c>
      <c r="C55" s="297">
        <v>1</v>
      </c>
      <c r="D55" s="297">
        <v>1</v>
      </c>
      <c r="E55" s="297">
        <v>0</v>
      </c>
      <c r="F55" s="297">
        <v>0</v>
      </c>
    </row>
    <row r="56" spans="1:7" ht="13.5">
      <c r="B56" s="290" t="s">
        <v>256</v>
      </c>
      <c r="C56" s="297">
        <v>711</v>
      </c>
      <c r="D56" s="297">
        <v>493</v>
      </c>
      <c r="E56" s="297">
        <v>177</v>
      </c>
      <c r="F56" s="297">
        <v>41</v>
      </c>
    </row>
    <row r="57" spans="1:7" ht="13.5">
      <c r="B57" s="290" t="s">
        <v>51</v>
      </c>
      <c r="C57" s="297">
        <v>923</v>
      </c>
      <c r="D57" s="297">
        <v>614</v>
      </c>
      <c r="E57" s="297">
        <v>298</v>
      </c>
      <c r="F57" s="297">
        <v>11</v>
      </c>
    </row>
    <row r="58" spans="1:7" ht="13.5">
      <c r="B58" s="290" t="s">
        <v>493</v>
      </c>
      <c r="C58" s="297">
        <v>3</v>
      </c>
      <c r="D58" s="297">
        <v>1</v>
      </c>
      <c r="E58" s="297">
        <v>2</v>
      </c>
      <c r="F58" s="297">
        <v>0</v>
      </c>
    </row>
    <row r="59" spans="1:7" ht="5.0999999999999996" customHeight="1">
      <c r="B59" s="290"/>
      <c r="C59" s="297"/>
      <c r="D59" s="297"/>
      <c r="E59" s="297"/>
      <c r="F59" s="297"/>
    </row>
    <row r="60" spans="1:7" ht="13.5">
      <c r="A60" s="292" t="s">
        <v>82</v>
      </c>
      <c r="B60" s="292"/>
      <c r="C60" s="316">
        <v>141</v>
      </c>
      <c r="D60" s="295">
        <v>78</v>
      </c>
      <c r="E60" s="295">
        <v>63</v>
      </c>
      <c r="F60" s="295">
        <v>0</v>
      </c>
      <c r="G60" s="295"/>
    </row>
    <row r="61" spans="1:7" ht="5.0999999999999996" customHeight="1">
      <c r="C61" s="297"/>
      <c r="D61" s="297"/>
      <c r="E61" s="297"/>
      <c r="F61" s="297"/>
    </row>
    <row r="62" spans="1:7" ht="13.5">
      <c r="B62" s="290" t="s">
        <v>256</v>
      </c>
      <c r="C62" s="297">
        <v>116</v>
      </c>
      <c r="D62" s="297">
        <v>61</v>
      </c>
      <c r="E62" s="297">
        <v>55</v>
      </c>
      <c r="F62" s="297">
        <v>0</v>
      </c>
    </row>
    <row r="63" spans="1:7" ht="13.5">
      <c r="B63" s="290" t="s">
        <v>51</v>
      </c>
      <c r="C63" s="297">
        <v>25</v>
      </c>
      <c r="D63" s="297">
        <v>17</v>
      </c>
      <c r="E63" s="297">
        <v>8</v>
      </c>
      <c r="F63" s="297">
        <v>0</v>
      </c>
    </row>
    <row r="64" spans="1:7" ht="5.0999999999999996" customHeight="1">
      <c r="B64" s="290"/>
      <c r="C64" s="297"/>
      <c r="D64" s="297"/>
      <c r="E64" s="297"/>
      <c r="F64" s="297"/>
    </row>
    <row r="65" spans="1:7" ht="13.5">
      <c r="A65" s="292" t="s">
        <v>83</v>
      </c>
      <c r="B65" s="292"/>
      <c r="C65" s="316">
        <v>180</v>
      </c>
      <c r="D65" s="295">
        <v>100</v>
      </c>
      <c r="E65" s="295">
        <v>78</v>
      </c>
      <c r="F65" s="295">
        <v>2</v>
      </c>
      <c r="G65" s="295"/>
    </row>
    <row r="66" spans="1:7" ht="5.0999999999999996" customHeight="1">
      <c r="C66" s="297"/>
      <c r="D66" s="297"/>
      <c r="E66" s="297"/>
      <c r="F66" s="297"/>
    </row>
    <row r="67" spans="1:7" ht="13.5">
      <c r="B67" s="290" t="s">
        <v>254</v>
      </c>
      <c r="C67" s="297">
        <v>1</v>
      </c>
      <c r="D67" s="297">
        <v>1</v>
      </c>
      <c r="E67" s="297">
        <v>0</v>
      </c>
      <c r="F67" s="297">
        <v>0</v>
      </c>
    </row>
    <row r="68" spans="1:7" ht="13.5">
      <c r="B68" s="290" t="s">
        <v>256</v>
      </c>
      <c r="C68" s="297">
        <v>107</v>
      </c>
      <c r="D68" s="297">
        <v>62</v>
      </c>
      <c r="E68" s="297">
        <v>44</v>
      </c>
      <c r="F68" s="297">
        <v>1</v>
      </c>
    </row>
    <row r="69" spans="1:7" ht="13.5">
      <c r="B69" s="290" t="s">
        <v>51</v>
      </c>
      <c r="C69" s="297">
        <v>72</v>
      </c>
      <c r="D69" s="297">
        <v>37</v>
      </c>
      <c r="E69" s="297">
        <v>34</v>
      </c>
      <c r="F69" s="297">
        <v>1</v>
      </c>
    </row>
    <row r="70" spans="1:7" ht="5.0999999999999996" customHeight="1">
      <c r="B70" s="290"/>
      <c r="C70" s="297"/>
      <c r="D70" s="297"/>
      <c r="E70" s="297"/>
      <c r="F70" s="297"/>
    </row>
    <row r="71" spans="1:7" ht="13.5">
      <c r="A71" s="292" t="s">
        <v>84</v>
      </c>
      <c r="B71" s="292"/>
      <c r="C71" s="316">
        <v>791</v>
      </c>
      <c r="D71" s="295">
        <v>288</v>
      </c>
      <c r="E71" s="295">
        <v>502</v>
      </c>
      <c r="F71" s="295">
        <v>1</v>
      </c>
      <c r="G71" s="295"/>
    </row>
    <row r="72" spans="1:7" ht="5.0999999999999996" customHeight="1">
      <c r="B72" s="292"/>
      <c r="C72" s="297"/>
      <c r="D72" s="295"/>
      <c r="E72" s="295"/>
      <c r="F72" s="295"/>
      <c r="G72" s="295"/>
    </row>
    <row r="73" spans="1:7" ht="12.75" customHeight="1">
      <c r="B73" s="290" t="s">
        <v>256</v>
      </c>
      <c r="C73" s="297">
        <v>262</v>
      </c>
      <c r="D73" s="297">
        <v>89</v>
      </c>
      <c r="E73" s="297">
        <v>172</v>
      </c>
      <c r="F73" s="297">
        <v>1</v>
      </c>
    </row>
    <row r="74" spans="1:7" ht="13.5">
      <c r="B74" s="290" t="s">
        <v>51</v>
      </c>
      <c r="C74" s="297">
        <v>323</v>
      </c>
      <c r="D74" s="297">
        <v>121</v>
      </c>
      <c r="E74" s="297">
        <v>202</v>
      </c>
      <c r="F74" s="297">
        <v>0</v>
      </c>
    </row>
    <row r="75" spans="1:7" ht="13.5">
      <c r="B75" s="290" t="s">
        <v>493</v>
      </c>
      <c r="C75" s="297">
        <v>206</v>
      </c>
      <c r="D75" s="297">
        <v>78</v>
      </c>
      <c r="E75" s="297">
        <v>128</v>
      </c>
      <c r="F75" s="297">
        <v>0</v>
      </c>
    </row>
    <row r="76" spans="1:7" ht="5.0999999999999996" customHeight="1">
      <c r="B76" s="290"/>
      <c r="C76" s="297"/>
      <c r="D76" s="297"/>
      <c r="E76" s="297"/>
      <c r="F76" s="297"/>
    </row>
    <row r="77" spans="1:7" ht="13.5">
      <c r="A77" s="292" t="s">
        <v>85</v>
      </c>
      <c r="B77" s="292"/>
      <c r="C77" s="316">
        <v>175</v>
      </c>
      <c r="D77" s="295">
        <v>154</v>
      </c>
      <c r="E77" s="295">
        <v>21</v>
      </c>
      <c r="F77" s="295">
        <v>0</v>
      </c>
      <c r="G77" s="295"/>
    </row>
    <row r="78" spans="1:7" ht="5.0999999999999996" customHeight="1">
      <c r="C78" s="297"/>
      <c r="D78" s="297"/>
      <c r="E78" s="297"/>
      <c r="F78" s="297"/>
    </row>
    <row r="79" spans="1:7" ht="13.5">
      <c r="B79" s="290" t="s">
        <v>254</v>
      </c>
      <c r="C79" s="297">
        <v>1</v>
      </c>
      <c r="D79" s="297">
        <v>1</v>
      </c>
      <c r="E79" s="297">
        <v>0</v>
      </c>
      <c r="F79" s="297">
        <v>0</v>
      </c>
    </row>
    <row r="80" spans="1:7" ht="13.5">
      <c r="B80" s="290" t="s">
        <v>255</v>
      </c>
      <c r="C80" s="297">
        <v>1</v>
      </c>
      <c r="D80" s="297">
        <v>1</v>
      </c>
      <c r="E80" s="297">
        <v>0</v>
      </c>
      <c r="F80" s="297">
        <v>0</v>
      </c>
    </row>
    <row r="81" spans="1:7" ht="13.5">
      <c r="B81" s="290" t="s">
        <v>256</v>
      </c>
      <c r="C81" s="297">
        <v>173</v>
      </c>
      <c r="D81" s="297">
        <v>152</v>
      </c>
      <c r="E81" s="297">
        <v>21</v>
      </c>
      <c r="F81" s="297">
        <v>0</v>
      </c>
    </row>
    <row r="82" spans="1:7" ht="5.0999999999999996" customHeight="1">
      <c r="B82" s="290"/>
      <c r="C82" s="297"/>
      <c r="D82" s="297"/>
      <c r="E82" s="297"/>
      <c r="F82" s="297"/>
    </row>
    <row r="83" spans="1:7" ht="13.5">
      <c r="A83" s="292" t="s">
        <v>86</v>
      </c>
      <c r="B83" s="292"/>
      <c r="C83" s="316">
        <v>665</v>
      </c>
      <c r="D83" s="295">
        <v>547</v>
      </c>
      <c r="E83" s="295">
        <v>0</v>
      </c>
      <c r="F83" s="295">
        <v>118</v>
      </c>
      <c r="G83" s="295"/>
    </row>
    <row r="84" spans="1:7" ht="5.0999999999999996" customHeight="1">
      <c r="C84" s="297"/>
      <c r="D84" s="297"/>
      <c r="E84" s="297"/>
      <c r="F84" s="297"/>
    </row>
    <row r="85" spans="1:7" ht="13.5">
      <c r="B85" s="290" t="s">
        <v>254</v>
      </c>
      <c r="C85" s="297">
        <v>1</v>
      </c>
      <c r="D85" s="297">
        <v>1</v>
      </c>
      <c r="E85" s="297">
        <v>0</v>
      </c>
      <c r="F85" s="297">
        <v>0</v>
      </c>
    </row>
    <row r="86" spans="1:7" ht="13.5">
      <c r="B86" s="290" t="s">
        <v>256</v>
      </c>
      <c r="C86" s="297">
        <v>70</v>
      </c>
      <c r="D86" s="297">
        <v>70</v>
      </c>
      <c r="E86" s="297">
        <v>0</v>
      </c>
      <c r="F86" s="297">
        <v>0</v>
      </c>
    </row>
    <row r="87" spans="1:7" ht="13.5">
      <c r="B87" s="290" t="s">
        <v>51</v>
      </c>
      <c r="C87" s="297">
        <v>478</v>
      </c>
      <c r="D87" s="297">
        <v>476</v>
      </c>
      <c r="E87" s="297">
        <v>0</v>
      </c>
      <c r="F87" s="297">
        <v>2</v>
      </c>
    </row>
    <row r="88" spans="1:7" ht="13.5">
      <c r="B88" s="290" t="s">
        <v>493</v>
      </c>
      <c r="C88" s="297">
        <v>116</v>
      </c>
      <c r="D88" s="297">
        <v>0</v>
      </c>
      <c r="E88" s="297">
        <v>0</v>
      </c>
      <c r="F88" s="297">
        <v>116</v>
      </c>
    </row>
    <row r="89" spans="1:7" ht="5.0999999999999996" customHeight="1">
      <c r="C89" s="297"/>
      <c r="D89" s="297"/>
      <c r="E89" s="297"/>
      <c r="F89" s="297"/>
    </row>
    <row r="90" spans="1:7" ht="13.5">
      <c r="A90" s="292" t="s">
        <v>87</v>
      </c>
      <c r="B90" s="292"/>
      <c r="C90" s="316">
        <v>607</v>
      </c>
      <c r="D90" s="295">
        <v>399</v>
      </c>
      <c r="E90" s="295">
        <v>200</v>
      </c>
      <c r="F90" s="295">
        <v>8</v>
      </c>
      <c r="G90" s="295"/>
    </row>
    <row r="91" spans="1:7" ht="5.0999999999999996" customHeight="1">
      <c r="C91" s="297"/>
      <c r="D91" s="297"/>
      <c r="E91" s="297"/>
      <c r="F91" s="297"/>
    </row>
    <row r="92" spans="1:7" ht="13.5">
      <c r="B92" s="290" t="s">
        <v>256</v>
      </c>
      <c r="C92" s="297">
        <v>266</v>
      </c>
      <c r="D92" s="297">
        <v>172</v>
      </c>
      <c r="E92" s="297">
        <v>89</v>
      </c>
      <c r="F92" s="297">
        <v>5</v>
      </c>
    </row>
    <row r="93" spans="1:7" ht="13.5">
      <c r="B93" s="290" t="s">
        <v>51</v>
      </c>
      <c r="C93" s="297">
        <v>341</v>
      </c>
      <c r="D93" s="297">
        <v>227</v>
      </c>
      <c r="E93" s="297">
        <v>111</v>
      </c>
      <c r="F93" s="297">
        <v>3</v>
      </c>
    </row>
    <row r="94" spans="1:7" ht="5.0999999999999996" customHeight="1">
      <c r="B94" s="290"/>
      <c r="C94" s="297"/>
      <c r="D94" s="297"/>
      <c r="E94" s="297"/>
      <c r="F94" s="297"/>
    </row>
    <row r="95" spans="1:7" ht="13.5">
      <c r="A95" s="292" t="s">
        <v>88</v>
      </c>
      <c r="B95" s="292"/>
      <c r="C95" s="316">
        <v>1765</v>
      </c>
      <c r="D95" s="295">
        <v>626</v>
      </c>
      <c r="E95" s="295">
        <v>1076</v>
      </c>
      <c r="F95" s="295">
        <v>63</v>
      </c>
      <c r="G95" s="295"/>
    </row>
    <row r="96" spans="1:7" ht="5.0999999999999996" customHeight="1">
      <c r="B96" s="290"/>
      <c r="C96" s="297"/>
      <c r="D96" s="297"/>
      <c r="E96" s="297"/>
      <c r="F96" s="297"/>
    </row>
    <row r="97" spans="1:9" ht="13.5">
      <c r="B97" s="290" t="s">
        <v>254</v>
      </c>
      <c r="C97" s="297">
        <v>1</v>
      </c>
      <c r="D97" s="297">
        <v>1</v>
      </c>
      <c r="E97" s="297">
        <v>0</v>
      </c>
      <c r="F97" s="297">
        <v>0</v>
      </c>
    </row>
    <row r="98" spans="1:9" ht="13.5">
      <c r="B98" s="290" t="s">
        <v>255</v>
      </c>
      <c r="C98" s="297">
        <v>3</v>
      </c>
      <c r="D98" s="297">
        <v>2</v>
      </c>
      <c r="E98" s="297">
        <v>1</v>
      </c>
      <c r="F98" s="297">
        <v>0</v>
      </c>
    </row>
    <row r="99" spans="1:9" ht="13.5">
      <c r="B99" s="290" t="s">
        <v>256</v>
      </c>
      <c r="C99" s="297">
        <v>395</v>
      </c>
      <c r="D99" s="297">
        <v>142</v>
      </c>
      <c r="E99" s="297">
        <v>237</v>
      </c>
      <c r="F99" s="297">
        <v>16</v>
      </c>
    </row>
    <row r="100" spans="1:9" ht="13.5">
      <c r="B100" s="290" t="s">
        <v>51</v>
      </c>
      <c r="C100" s="297">
        <v>1365</v>
      </c>
      <c r="D100" s="297">
        <v>480</v>
      </c>
      <c r="E100" s="297">
        <v>838</v>
      </c>
      <c r="F100" s="297">
        <v>47</v>
      </c>
      <c r="G100" s="290"/>
      <c r="H100" s="290"/>
      <c r="I100" s="290"/>
    </row>
    <row r="101" spans="1:9" ht="13.5">
      <c r="B101" s="290" t="s">
        <v>493</v>
      </c>
      <c r="C101" s="297">
        <v>1</v>
      </c>
      <c r="D101" s="297">
        <v>1</v>
      </c>
      <c r="E101" s="297">
        <v>0</v>
      </c>
      <c r="F101" s="297">
        <v>0</v>
      </c>
      <c r="G101" s="290"/>
      <c r="H101" s="290"/>
      <c r="I101" s="290"/>
    </row>
    <row r="102" spans="1:9" ht="5.0999999999999996" customHeight="1">
      <c r="B102" s="290"/>
      <c r="C102" s="297"/>
      <c r="D102" s="297"/>
      <c r="E102" s="297"/>
      <c r="F102" s="297"/>
      <c r="G102" s="290"/>
      <c r="H102" s="290"/>
      <c r="I102" s="290"/>
    </row>
    <row r="103" spans="1:9" ht="13.5">
      <c r="A103" s="292" t="s">
        <v>89</v>
      </c>
      <c r="B103" s="292"/>
      <c r="C103" s="316">
        <v>598</v>
      </c>
      <c r="D103" s="295">
        <v>298</v>
      </c>
      <c r="E103" s="295">
        <v>239</v>
      </c>
      <c r="F103" s="295">
        <v>61</v>
      </c>
      <c r="G103" s="295"/>
      <c r="H103" s="290"/>
      <c r="I103" s="290"/>
    </row>
    <row r="104" spans="1:9" ht="5.0999999999999996" customHeight="1">
      <c r="B104" s="290"/>
      <c r="C104" s="297"/>
      <c r="D104" s="297"/>
      <c r="E104" s="297"/>
      <c r="F104" s="297"/>
    </row>
    <row r="105" spans="1:9" ht="13.5">
      <c r="B105" s="290" t="s">
        <v>254</v>
      </c>
      <c r="C105" s="297">
        <v>1</v>
      </c>
      <c r="D105" s="297">
        <v>1</v>
      </c>
      <c r="E105" s="297">
        <v>0</v>
      </c>
      <c r="F105" s="297">
        <v>0</v>
      </c>
    </row>
    <row r="106" spans="1:9" ht="13.5">
      <c r="B106" s="290" t="s">
        <v>255</v>
      </c>
      <c r="C106" s="297">
        <v>1</v>
      </c>
      <c r="D106" s="297">
        <v>0</v>
      </c>
      <c r="E106" s="297">
        <v>1</v>
      </c>
      <c r="F106" s="297">
        <v>0</v>
      </c>
    </row>
    <row r="107" spans="1:9" ht="13.5">
      <c r="B107" s="290" t="s">
        <v>256</v>
      </c>
      <c r="C107" s="297">
        <v>269</v>
      </c>
      <c r="D107" s="297">
        <v>157</v>
      </c>
      <c r="E107" s="297">
        <v>109</v>
      </c>
      <c r="F107" s="297">
        <v>3</v>
      </c>
    </row>
    <row r="108" spans="1:9" ht="13.5">
      <c r="B108" s="290" t="s">
        <v>51</v>
      </c>
      <c r="C108" s="297">
        <v>323</v>
      </c>
      <c r="D108" s="297">
        <v>140</v>
      </c>
      <c r="E108" s="297">
        <v>128</v>
      </c>
      <c r="F108" s="297">
        <v>55</v>
      </c>
    </row>
    <row r="109" spans="1:9" ht="13.5">
      <c r="B109" s="290" t="s">
        <v>493</v>
      </c>
      <c r="C109" s="297">
        <v>4</v>
      </c>
      <c r="D109" s="297">
        <v>0</v>
      </c>
      <c r="E109" s="297">
        <v>1</v>
      </c>
      <c r="F109" s="297">
        <v>3</v>
      </c>
    </row>
    <row r="110" spans="1:9" ht="5.0999999999999996" customHeight="1">
      <c r="B110" s="290"/>
      <c r="C110" s="297"/>
      <c r="D110" s="297"/>
      <c r="E110" s="297"/>
      <c r="F110" s="297"/>
    </row>
    <row r="111" spans="1:9" ht="13.5">
      <c r="A111" s="292" t="s">
        <v>90</v>
      </c>
      <c r="C111" s="316">
        <v>413</v>
      </c>
      <c r="D111" s="295">
        <v>247</v>
      </c>
      <c r="E111" s="295">
        <v>146</v>
      </c>
      <c r="F111" s="295">
        <v>20</v>
      </c>
    </row>
    <row r="112" spans="1:9" ht="5.0999999999999996" customHeight="1">
      <c r="B112" s="290"/>
      <c r="C112" s="297"/>
      <c r="D112" s="297"/>
      <c r="E112" s="297"/>
      <c r="F112" s="297"/>
    </row>
    <row r="113" spans="1:6" ht="13.5">
      <c r="B113" s="290" t="s">
        <v>255</v>
      </c>
      <c r="C113" s="297">
        <v>4</v>
      </c>
      <c r="D113" s="297">
        <v>3</v>
      </c>
      <c r="E113" s="297">
        <v>1</v>
      </c>
      <c r="F113" s="297">
        <v>0</v>
      </c>
    </row>
    <row r="114" spans="1:6" ht="13.5">
      <c r="B114" s="290" t="s">
        <v>256</v>
      </c>
      <c r="C114" s="297">
        <v>275</v>
      </c>
      <c r="D114" s="297">
        <v>169</v>
      </c>
      <c r="E114" s="297">
        <v>94</v>
      </c>
      <c r="F114" s="297">
        <v>12</v>
      </c>
    </row>
    <row r="115" spans="1:6" ht="13.5">
      <c r="B115" s="290" t="s">
        <v>51</v>
      </c>
      <c r="C115" s="297">
        <v>131</v>
      </c>
      <c r="D115" s="297">
        <v>74</v>
      </c>
      <c r="E115" s="297">
        <v>49</v>
      </c>
      <c r="F115" s="297">
        <v>8</v>
      </c>
    </row>
    <row r="116" spans="1:6" ht="13.5">
      <c r="B116" s="290" t="s">
        <v>493</v>
      </c>
      <c r="C116" s="297">
        <v>3</v>
      </c>
      <c r="D116" s="297">
        <v>1</v>
      </c>
      <c r="E116" s="297">
        <v>2</v>
      </c>
      <c r="F116" s="297">
        <v>0</v>
      </c>
    </row>
    <row r="117" spans="1:6" ht="5.0999999999999996" customHeight="1">
      <c r="B117" s="290"/>
      <c r="C117" s="297"/>
      <c r="D117" s="297"/>
      <c r="E117" s="297"/>
      <c r="F117" s="297"/>
    </row>
    <row r="118" spans="1:6" ht="13.5">
      <c r="A118" s="292" t="s">
        <v>91</v>
      </c>
      <c r="C118" s="316">
        <v>51</v>
      </c>
      <c r="D118" s="295">
        <v>49</v>
      </c>
      <c r="E118" s="295">
        <v>1</v>
      </c>
      <c r="F118" s="295">
        <v>1</v>
      </c>
    </row>
    <row r="119" spans="1:6" ht="5.0999999999999996" customHeight="1">
      <c r="B119" s="290"/>
      <c r="C119" s="297"/>
      <c r="D119" s="297"/>
      <c r="E119" s="297"/>
      <c r="F119" s="297"/>
    </row>
    <row r="120" spans="1:6" ht="13.5">
      <c r="B120" s="290" t="s">
        <v>256</v>
      </c>
      <c r="C120" s="297">
        <v>36</v>
      </c>
      <c r="D120" s="297">
        <v>36</v>
      </c>
      <c r="E120" s="297">
        <v>0</v>
      </c>
      <c r="F120" s="297">
        <v>0</v>
      </c>
    </row>
    <row r="121" spans="1:6" ht="13.5">
      <c r="B121" s="290" t="s">
        <v>51</v>
      </c>
      <c r="C121" s="297">
        <v>14</v>
      </c>
      <c r="D121" s="297">
        <v>12</v>
      </c>
      <c r="E121" s="297">
        <v>1</v>
      </c>
      <c r="F121" s="297">
        <v>1</v>
      </c>
    </row>
    <row r="122" spans="1:6" ht="13.5">
      <c r="B122" s="290" t="s">
        <v>493</v>
      </c>
      <c r="C122" s="297">
        <v>1</v>
      </c>
      <c r="D122" s="297">
        <v>1</v>
      </c>
      <c r="E122" s="297">
        <v>0</v>
      </c>
      <c r="F122" s="297">
        <v>0</v>
      </c>
    </row>
    <row r="123" spans="1:6" ht="5.0999999999999996" customHeight="1">
      <c r="B123" s="290"/>
      <c r="C123" s="297"/>
      <c r="D123" s="297"/>
      <c r="E123" s="297"/>
      <c r="F123" s="297"/>
    </row>
    <row r="124" spans="1:6" ht="13.5">
      <c r="A124" s="292" t="s">
        <v>92</v>
      </c>
      <c r="C124" s="316">
        <v>415</v>
      </c>
      <c r="D124" s="295">
        <v>260</v>
      </c>
      <c r="E124" s="295">
        <v>152</v>
      </c>
      <c r="F124" s="295">
        <v>3</v>
      </c>
    </row>
    <row r="125" spans="1:6" ht="5.0999999999999996" customHeight="1">
      <c r="B125" s="290"/>
      <c r="C125" s="297"/>
      <c r="D125" s="297"/>
      <c r="E125" s="297"/>
      <c r="F125" s="297"/>
    </row>
    <row r="126" spans="1:6" ht="13.5">
      <c r="B126" s="290" t="s">
        <v>254</v>
      </c>
      <c r="C126" s="297">
        <v>14</v>
      </c>
      <c r="D126" s="297">
        <v>13</v>
      </c>
      <c r="E126" s="297">
        <v>1</v>
      </c>
      <c r="F126" s="297">
        <v>0</v>
      </c>
    </row>
    <row r="127" spans="1:6" ht="13.5">
      <c r="B127" s="290" t="s">
        <v>255</v>
      </c>
      <c r="C127" s="297">
        <v>3</v>
      </c>
      <c r="D127" s="297">
        <v>0</v>
      </c>
      <c r="E127" s="297">
        <v>3</v>
      </c>
      <c r="F127" s="297">
        <v>0</v>
      </c>
    </row>
    <row r="128" spans="1:6" ht="13.5">
      <c r="B128" s="290" t="s">
        <v>256</v>
      </c>
      <c r="C128" s="297">
        <v>214</v>
      </c>
      <c r="D128" s="297">
        <v>141</v>
      </c>
      <c r="E128" s="297">
        <v>72</v>
      </c>
      <c r="F128" s="297">
        <v>1</v>
      </c>
    </row>
    <row r="129" spans="1:7" ht="13.5">
      <c r="B129" s="290" t="s">
        <v>51</v>
      </c>
      <c r="C129" s="297">
        <v>183</v>
      </c>
      <c r="D129" s="297">
        <v>106</v>
      </c>
      <c r="E129" s="297">
        <v>75</v>
      </c>
      <c r="F129" s="297">
        <v>2</v>
      </c>
    </row>
    <row r="130" spans="1:7" ht="13.5">
      <c r="B130" s="290" t="s">
        <v>493</v>
      </c>
      <c r="C130" s="297">
        <v>1</v>
      </c>
      <c r="D130" s="297">
        <v>0</v>
      </c>
      <c r="E130" s="297">
        <v>1</v>
      </c>
      <c r="F130" s="297">
        <v>0</v>
      </c>
    </row>
    <row r="131" spans="1:7" ht="5.0999999999999996" customHeight="1">
      <c r="B131" s="290"/>
      <c r="C131" s="297"/>
      <c r="D131" s="297"/>
      <c r="E131" s="297"/>
      <c r="F131" s="297"/>
    </row>
    <row r="132" spans="1:7" ht="13.5">
      <c r="A132" s="292" t="s">
        <v>93</v>
      </c>
      <c r="C132" s="316">
        <v>891</v>
      </c>
      <c r="D132" s="295">
        <v>597</v>
      </c>
      <c r="E132" s="295">
        <v>287</v>
      </c>
      <c r="F132" s="295">
        <v>7</v>
      </c>
    </row>
    <row r="133" spans="1:7" ht="5.0999999999999996" customHeight="1">
      <c r="B133" s="290"/>
      <c r="C133" s="297"/>
      <c r="D133" s="297"/>
      <c r="E133" s="297"/>
      <c r="F133" s="297"/>
    </row>
    <row r="134" spans="1:7" ht="13.5">
      <c r="B134" s="290" t="s">
        <v>255</v>
      </c>
      <c r="C134" s="297">
        <v>41</v>
      </c>
      <c r="D134" s="297">
        <v>36</v>
      </c>
      <c r="E134" s="297">
        <v>2</v>
      </c>
      <c r="F134" s="297">
        <v>3</v>
      </c>
    </row>
    <row r="135" spans="1:7" ht="13.5">
      <c r="B135" s="290" t="s">
        <v>256</v>
      </c>
      <c r="C135" s="297">
        <v>768</v>
      </c>
      <c r="D135" s="297">
        <v>507</v>
      </c>
      <c r="E135" s="297">
        <v>257</v>
      </c>
      <c r="F135" s="297">
        <v>4</v>
      </c>
    </row>
    <row r="136" spans="1:7" ht="13.5">
      <c r="B136" s="290" t="s">
        <v>51</v>
      </c>
      <c r="C136" s="297">
        <v>82</v>
      </c>
      <c r="D136" s="297">
        <v>54</v>
      </c>
      <c r="E136" s="297">
        <v>28</v>
      </c>
      <c r="F136" s="297">
        <v>0</v>
      </c>
    </row>
    <row r="137" spans="1:7" ht="5.0999999999999996" customHeight="1">
      <c r="B137" s="290"/>
      <c r="C137" s="297"/>
      <c r="D137" s="297"/>
      <c r="E137" s="297"/>
      <c r="F137" s="297"/>
    </row>
    <row r="138" spans="1:7" ht="13.5">
      <c r="A138" s="292" t="s">
        <v>175</v>
      </c>
      <c r="B138" s="292"/>
      <c r="C138" s="316">
        <v>493</v>
      </c>
      <c r="D138" s="295">
        <v>156</v>
      </c>
      <c r="E138" s="295">
        <v>328</v>
      </c>
      <c r="F138" s="295">
        <v>9</v>
      </c>
      <c r="G138" s="295"/>
    </row>
    <row r="139" spans="1:7" ht="5.0999999999999996" customHeight="1">
      <c r="B139" s="290"/>
      <c r="C139" s="297"/>
      <c r="D139" s="297"/>
      <c r="E139" s="297"/>
      <c r="F139" s="297"/>
    </row>
    <row r="140" spans="1:7" ht="13.5">
      <c r="B140" s="290" t="s">
        <v>254</v>
      </c>
      <c r="C140" s="297">
        <v>96</v>
      </c>
      <c r="D140" s="297">
        <v>37</v>
      </c>
      <c r="E140" s="297">
        <v>58</v>
      </c>
      <c r="F140" s="297">
        <v>1</v>
      </c>
    </row>
    <row r="141" spans="1:7" ht="13.5">
      <c r="B141" s="290" t="s">
        <v>255</v>
      </c>
      <c r="C141" s="297">
        <v>18</v>
      </c>
      <c r="D141" s="297">
        <v>7</v>
      </c>
      <c r="E141" s="297">
        <v>11</v>
      </c>
      <c r="F141" s="297">
        <v>0</v>
      </c>
    </row>
    <row r="142" spans="1:7" ht="13.5">
      <c r="B142" s="290" t="s">
        <v>256</v>
      </c>
      <c r="C142" s="297">
        <v>311</v>
      </c>
      <c r="D142" s="297">
        <v>92</v>
      </c>
      <c r="E142" s="297">
        <v>215</v>
      </c>
      <c r="F142" s="297">
        <v>4</v>
      </c>
    </row>
    <row r="143" spans="1:7" ht="13.5">
      <c r="B143" s="290" t="s">
        <v>51</v>
      </c>
      <c r="C143" s="297">
        <v>68</v>
      </c>
      <c r="D143" s="297">
        <v>20</v>
      </c>
      <c r="E143" s="297">
        <v>44</v>
      </c>
      <c r="F143" s="297">
        <v>4</v>
      </c>
    </row>
    <row r="144" spans="1:7" ht="5.0999999999999996" customHeight="1">
      <c r="B144" s="290"/>
      <c r="C144" s="297"/>
      <c r="D144" s="297"/>
      <c r="E144" s="297"/>
      <c r="F144" s="297"/>
    </row>
    <row r="145" spans="1:7" ht="13.5">
      <c r="A145" s="292" t="s">
        <v>95</v>
      </c>
      <c r="B145" s="292"/>
      <c r="C145" s="316">
        <v>353</v>
      </c>
      <c r="D145" s="295">
        <v>213</v>
      </c>
      <c r="E145" s="295">
        <v>139</v>
      </c>
      <c r="F145" s="295">
        <v>1</v>
      </c>
      <c r="G145" s="295"/>
    </row>
    <row r="146" spans="1:7" ht="5.0999999999999996" customHeight="1">
      <c r="B146" s="290"/>
      <c r="C146" s="297"/>
      <c r="D146" s="297"/>
      <c r="E146" s="297"/>
      <c r="F146" s="297"/>
    </row>
    <row r="147" spans="1:7" ht="13.5">
      <c r="B147" s="290" t="s">
        <v>255</v>
      </c>
      <c r="C147" s="297">
        <v>5</v>
      </c>
      <c r="D147" s="297">
        <v>3</v>
      </c>
      <c r="E147" s="297">
        <v>2</v>
      </c>
      <c r="F147" s="297">
        <v>0</v>
      </c>
    </row>
    <row r="148" spans="1:7" ht="13.5">
      <c r="B148" s="290" t="s">
        <v>256</v>
      </c>
      <c r="C148" s="297">
        <v>255</v>
      </c>
      <c r="D148" s="297">
        <v>153</v>
      </c>
      <c r="E148" s="297">
        <v>102</v>
      </c>
      <c r="F148" s="297">
        <v>0</v>
      </c>
    </row>
    <row r="149" spans="1:7" ht="13.5">
      <c r="B149" s="290" t="s">
        <v>51</v>
      </c>
      <c r="C149" s="297">
        <v>90</v>
      </c>
      <c r="D149" s="297">
        <v>55</v>
      </c>
      <c r="E149" s="297">
        <v>34</v>
      </c>
      <c r="F149" s="297">
        <v>1</v>
      </c>
    </row>
    <row r="150" spans="1:7" ht="13.5">
      <c r="B150" s="290" t="s">
        <v>493</v>
      </c>
      <c r="C150" s="297">
        <v>3</v>
      </c>
      <c r="D150" s="297">
        <v>2</v>
      </c>
      <c r="E150" s="297">
        <v>1</v>
      </c>
      <c r="F150" s="297">
        <v>0</v>
      </c>
    </row>
    <row r="151" spans="1:7" ht="5.0999999999999996" customHeight="1">
      <c r="B151" s="290"/>
      <c r="C151" s="297"/>
      <c r="D151" s="297"/>
      <c r="E151" s="297"/>
      <c r="F151" s="297"/>
    </row>
    <row r="152" spans="1:7" ht="13.5">
      <c r="A152" s="292" t="s">
        <v>96</v>
      </c>
      <c r="B152" s="292"/>
      <c r="C152" s="316">
        <v>1431</v>
      </c>
      <c r="D152" s="295">
        <v>809</v>
      </c>
      <c r="E152" s="295">
        <v>548</v>
      </c>
      <c r="F152" s="295">
        <v>74</v>
      </c>
      <c r="G152" s="295"/>
    </row>
    <row r="153" spans="1:7" ht="5.0999999999999996" customHeight="1">
      <c r="B153" s="290"/>
      <c r="C153" s="297"/>
      <c r="D153" s="297"/>
      <c r="E153" s="297"/>
      <c r="F153" s="297"/>
    </row>
    <row r="154" spans="1:7" ht="13.5">
      <c r="B154" s="290" t="s">
        <v>254</v>
      </c>
      <c r="C154" s="297">
        <v>6</v>
      </c>
      <c r="D154" s="297">
        <v>1</v>
      </c>
      <c r="E154" s="297">
        <v>5</v>
      </c>
      <c r="F154" s="297">
        <v>0</v>
      </c>
    </row>
    <row r="155" spans="1:7" ht="13.5">
      <c r="B155" s="290" t="s">
        <v>255</v>
      </c>
      <c r="C155" s="297">
        <v>2</v>
      </c>
      <c r="D155" s="297">
        <v>1</v>
      </c>
      <c r="E155" s="297">
        <v>1</v>
      </c>
      <c r="F155" s="297">
        <v>0</v>
      </c>
    </row>
    <row r="156" spans="1:7" ht="13.5">
      <c r="B156" s="290" t="s">
        <v>256</v>
      </c>
      <c r="C156" s="297">
        <v>897</v>
      </c>
      <c r="D156" s="297">
        <v>496</v>
      </c>
      <c r="E156" s="297">
        <v>357</v>
      </c>
      <c r="F156" s="297">
        <v>44</v>
      </c>
    </row>
    <row r="157" spans="1:7" ht="13.5">
      <c r="B157" s="290" t="s">
        <v>51</v>
      </c>
      <c r="C157" s="297">
        <v>521</v>
      </c>
      <c r="D157" s="297">
        <v>307</v>
      </c>
      <c r="E157" s="297">
        <v>184</v>
      </c>
      <c r="F157" s="297">
        <v>30</v>
      </c>
    </row>
    <row r="158" spans="1:7" ht="13.5">
      <c r="B158" s="290" t="s">
        <v>493</v>
      </c>
      <c r="C158" s="297">
        <v>5</v>
      </c>
      <c r="D158" s="297">
        <v>4</v>
      </c>
      <c r="E158" s="297">
        <v>1</v>
      </c>
      <c r="F158" s="297">
        <v>0</v>
      </c>
    </row>
    <row r="159" spans="1:7" ht="5.0999999999999996" customHeight="1">
      <c r="B159" s="290"/>
      <c r="C159" s="297"/>
      <c r="D159" s="297"/>
      <c r="E159" s="297"/>
      <c r="F159" s="297"/>
    </row>
    <row r="160" spans="1:7" ht="13.5">
      <c r="A160" s="292" t="s">
        <v>97</v>
      </c>
      <c r="B160" s="292"/>
      <c r="C160" s="316">
        <v>692</v>
      </c>
      <c r="D160" s="295">
        <v>445</v>
      </c>
      <c r="E160" s="295">
        <v>239</v>
      </c>
      <c r="F160" s="295">
        <v>8</v>
      </c>
      <c r="G160" s="295"/>
    </row>
    <row r="161" spans="1:7" ht="5.0999999999999996" customHeight="1">
      <c r="B161" s="290"/>
      <c r="C161" s="297"/>
      <c r="D161" s="297"/>
      <c r="E161" s="297"/>
      <c r="F161" s="297"/>
    </row>
    <row r="162" spans="1:7" ht="13.5">
      <c r="B162" s="290" t="s">
        <v>254</v>
      </c>
      <c r="C162" s="297">
        <v>1</v>
      </c>
      <c r="D162" s="297">
        <v>0</v>
      </c>
      <c r="E162" s="297">
        <v>1</v>
      </c>
      <c r="F162" s="297">
        <v>0</v>
      </c>
    </row>
    <row r="163" spans="1:7" ht="13.5">
      <c r="B163" s="290" t="s">
        <v>255</v>
      </c>
      <c r="C163" s="297">
        <v>4</v>
      </c>
      <c r="D163" s="297">
        <v>1</v>
      </c>
      <c r="E163" s="297">
        <v>3</v>
      </c>
      <c r="F163" s="297">
        <v>0</v>
      </c>
    </row>
    <row r="164" spans="1:7" ht="13.5">
      <c r="B164" s="290" t="s">
        <v>256</v>
      </c>
      <c r="C164" s="297">
        <v>482</v>
      </c>
      <c r="D164" s="297">
        <v>303</v>
      </c>
      <c r="E164" s="297">
        <v>173</v>
      </c>
      <c r="F164" s="297">
        <v>6</v>
      </c>
    </row>
    <row r="165" spans="1:7" ht="13.5">
      <c r="B165" s="290" t="s">
        <v>51</v>
      </c>
      <c r="C165" s="297">
        <v>202</v>
      </c>
      <c r="D165" s="297">
        <v>139</v>
      </c>
      <c r="E165" s="297">
        <v>61</v>
      </c>
      <c r="F165" s="297">
        <v>2</v>
      </c>
    </row>
    <row r="166" spans="1:7" ht="13.5">
      <c r="B166" s="290" t="s">
        <v>493</v>
      </c>
      <c r="C166" s="297">
        <v>3</v>
      </c>
      <c r="D166" s="297">
        <v>2</v>
      </c>
      <c r="E166" s="297">
        <v>1</v>
      </c>
      <c r="F166" s="297">
        <v>0</v>
      </c>
    </row>
    <row r="167" spans="1:7" ht="5.0999999999999996" customHeight="1">
      <c r="B167" s="290"/>
      <c r="C167" s="297"/>
      <c r="D167" s="297"/>
      <c r="E167" s="297"/>
      <c r="F167" s="297"/>
    </row>
    <row r="168" spans="1:7" ht="13.5">
      <c r="A168" s="292" t="s">
        <v>98</v>
      </c>
      <c r="B168" s="292"/>
      <c r="C168" s="316">
        <v>1062</v>
      </c>
      <c r="D168" s="295">
        <v>921</v>
      </c>
      <c r="E168" s="295">
        <v>136</v>
      </c>
      <c r="F168" s="295">
        <v>5</v>
      </c>
      <c r="G168" s="295"/>
    </row>
    <row r="169" spans="1:7" ht="5.0999999999999996" customHeight="1">
      <c r="B169" s="290"/>
      <c r="C169" s="297"/>
      <c r="D169" s="297"/>
      <c r="E169" s="297"/>
      <c r="F169" s="297"/>
    </row>
    <row r="170" spans="1:7" ht="13.5">
      <c r="B170" s="290" t="s">
        <v>254</v>
      </c>
      <c r="C170" s="297">
        <v>36</v>
      </c>
      <c r="D170" s="297">
        <v>22</v>
      </c>
      <c r="E170" s="297">
        <v>14</v>
      </c>
      <c r="F170" s="297">
        <v>0</v>
      </c>
    </row>
    <row r="171" spans="1:7" ht="13.5">
      <c r="B171" s="290" t="s">
        <v>255</v>
      </c>
      <c r="C171" s="297">
        <v>8</v>
      </c>
      <c r="D171" s="297">
        <v>7</v>
      </c>
      <c r="E171" s="297">
        <v>1</v>
      </c>
      <c r="F171" s="297">
        <v>0</v>
      </c>
    </row>
    <row r="172" spans="1:7" ht="13.5">
      <c r="B172" s="290" t="s">
        <v>256</v>
      </c>
      <c r="C172" s="297">
        <v>612</v>
      </c>
      <c r="D172" s="297">
        <v>549</v>
      </c>
      <c r="E172" s="297">
        <v>61</v>
      </c>
      <c r="F172" s="297">
        <v>2</v>
      </c>
    </row>
    <row r="173" spans="1:7" ht="13.5">
      <c r="B173" s="290" t="s">
        <v>51</v>
      </c>
      <c r="C173" s="297">
        <v>395</v>
      </c>
      <c r="D173" s="297">
        <v>341</v>
      </c>
      <c r="E173" s="297">
        <v>51</v>
      </c>
      <c r="F173" s="297">
        <v>3</v>
      </c>
    </row>
    <row r="174" spans="1:7" ht="13.5">
      <c r="B174" s="290" t="s">
        <v>493</v>
      </c>
      <c r="C174" s="297">
        <v>11</v>
      </c>
      <c r="D174" s="297">
        <v>2</v>
      </c>
      <c r="E174" s="297">
        <v>9</v>
      </c>
      <c r="F174" s="297">
        <v>0</v>
      </c>
    </row>
    <row r="175" spans="1:7" ht="5.0999999999999996" customHeight="1">
      <c r="B175" s="290"/>
      <c r="C175" s="297"/>
      <c r="D175" s="297"/>
      <c r="E175" s="297"/>
      <c r="F175" s="297"/>
    </row>
    <row r="176" spans="1:7" ht="13.5">
      <c r="A176" s="292" t="s">
        <v>99</v>
      </c>
      <c r="B176" s="292"/>
      <c r="C176" s="316">
        <v>705</v>
      </c>
      <c r="D176" s="295">
        <v>394</v>
      </c>
      <c r="E176" s="295">
        <v>307</v>
      </c>
      <c r="F176" s="295">
        <v>4</v>
      </c>
      <c r="G176" s="295"/>
    </row>
    <row r="177" spans="1:7" ht="5.0999999999999996" customHeight="1">
      <c r="B177" s="290"/>
      <c r="C177" s="297"/>
      <c r="D177" s="297"/>
      <c r="E177" s="297"/>
      <c r="F177" s="297"/>
    </row>
    <row r="178" spans="1:7" ht="13.5">
      <c r="B178" s="290" t="s">
        <v>255</v>
      </c>
      <c r="C178" s="297">
        <v>2</v>
      </c>
      <c r="D178" s="297">
        <v>2</v>
      </c>
      <c r="E178" s="297">
        <v>0</v>
      </c>
      <c r="F178" s="297">
        <v>0</v>
      </c>
    </row>
    <row r="179" spans="1:7" ht="13.5">
      <c r="B179" s="290" t="s">
        <v>256</v>
      </c>
      <c r="C179" s="297">
        <v>472</v>
      </c>
      <c r="D179" s="297">
        <v>244</v>
      </c>
      <c r="E179" s="297">
        <v>226</v>
      </c>
      <c r="F179" s="297">
        <v>2</v>
      </c>
    </row>
    <row r="180" spans="1:7" ht="13.5">
      <c r="B180" s="290" t="s">
        <v>51</v>
      </c>
      <c r="C180" s="297">
        <v>231</v>
      </c>
      <c r="D180" s="297">
        <v>148</v>
      </c>
      <c r="E180" s="297">
        <v>81</v>
      </c>
      <c r="F180" s="297">
        <v>2</v>
      </c>
    </row>
    <row r="181" spans="1:7" ht="5.0999999999999996" customHeight="1">
      <c r="B181" s="290"/>
      <c r="C181" s="297"/>
      <c r="D181" s="297"/>
      <c r="E181" s="297"/>
      <c r="F181" s="297"/>
    </row>
    <row r="182" spans="1:7" ht="13.5">
      <c r="A182" s="292" t="s">
        <v>100</v>
      </c>
      <c r="B182" s="292"/>
      <c r="C182" s="316">
        <v>3687</v>
      </c>
      <c r="D182" s="295">
        <v>3201</v>
      </c>
      <c r="E182" s="295">
        <v>407</v>
      </c>
      <c r="F182" s="295">
        <v>79</v>
      </c>
      <c r="G182" s="295"/>
    </row>
    <row r="183" spans="1:7" ht="5.0999999999999996" customHeight="1">
      <c r="B183" s="290"/>
      <c r="C183" s="297"/>
      <c r="D183" s="297"/>
      <c r="E183" s="297"/>
      <c r="F183" s="297"/>
    </row>
    <row r="184" spans="1:7" ht="13.5">
      <c r="B184" s="290" t="s">
        <v>254</v>
      </c>
      <c r="C184" s="297">
        <v>2</v>
      </c>
      <c r="D184" s="297">
        <v>1</v>
      </c>
      <c r="E184" s="297">
        <v>1</v>
      </c>
      <c r="F184" s="297">
        <v>0</v>
      </c>
    </row>
    <row r="185" spans="1:7" ht="13.5">
      <c r="B185" s="290" t="s">
        <v>255</v>
      </c>
      <c r="C185" s="297">
        <v>15</v>
      </c>
      <c r="D185" s="297">
        <v>15</v>
      </c>
      <c r="E185" s="297">
        <v>0</v>
      </c>
      <c r="F185" s="297">
        <v>0</v>
      </c>
    </row>
    <row r="186" spans="1:7" ht="13.5">
      <c r="B186" s="290" t="s">
        <v>256</v>
      </c>
      <c r="C186" s="297">
        <v>1561</v>
      </c>
      <c r="D186" s="297">
        <v>1233</v>
      </c>
      <c r="E186" s="297">
        <v>293</v>
      </c>
      <c r="F186" s="297">
        <v>35</v>
      </c>
    </row>
    <row r="187" spans="1:7" ht="13.5">
      <c r="B187" s="290" t="s">
        <v>51</v>
      </c>
      <c r="C187" s="297">
        <v>2088</v>
      </c>
      <c r="D187" s="297">
        <v>1939</v>
      </c>
      <c r="E187" s="297">
        <v>107</v>
      </c>
      <c r="F187" s="297">
        <v>42</v>
      </c>
    </row>
    <row r="188" spans="1:7" ht="13.5">
      <c r="B188" s="290" t="s">
        <v>493</v>
      </c>
      <c r="C188" s="297">
        <v>21</v>
      </c>
      <c r="D188" s="297">
        <v>13</v>
      </c>
      <c r="E188" s="297">
        <v>6</v>
      </c>
      <c r="F188" s="297">
        <v>2</v>
      </c>
    </row>
    <row r="189" spans="1:7" ht="5.0999999999999996" customHeight="1">
      <c r="B189" s="290"/>
      <c r="C189" s="297"/>
      <c r="D189" s="297"/>
      <c r="E189" s="297"/>
      <c r="F189" s="297"/>
    </row>
    <row r="190" spans="1:7" ht="13.5">
      <c r="A190" s="292" t="s">
        <v>101</v>
      </c>
      <c r="B190" s="292"/>
      <c r="C190" s="316">
        <v>251</v>
      </c>
      <c r="D190" s="295">
        <v>119</v>
      </c>
      <c r="E190" s="295">
        <v>119</v>
      </c>
      <c r="F190" s="295">
        <v>13</v>
      </c>
      <c r="G190" s="295"/>
    </row>
    <row r="191" spans="1:7" ht="5.0999999999999996" customHeight="1">
      <c r="B191" s="290"/>
      <c r="C191" s="297"/>
      <c r="D191" s="297"/>
      <c r="E191" s="297"/>
      <c r="F191" s="297"/>
    </row>
    <row r="192" spans="1:7" ht="13.5">
      <c r="B192" s="290" t="s">
        <v>255</v>
      </c>
      <c r="C192" s="297">
        <v>3</v>
      </c>
      <c r="D192" s="297">
        <v>1</v>
      </c>
      <c r="E192" s="297">
        <v>2</v>
      </c>
      <c r="F192" s="297">
        <v>0</v>
      </c>
    </row>
    <row r="193" spans="1:7" ht="13.5">
      <c r="B193" s="290" t="s">
        <v>256</v>
      </c>
      <c r="C193" s="297">
        <v>207</v>
      </c>
      <c r="D193" s="297">
        <v>97</v>
      </c>
      <c r="E193" s="297">
        <v>101</v>
      </c>
      <c r="F193" s="297">
        <v>9</v>
      </c>
    </row>
    <row r="194" spans="1:7" ht="13.5">
      <c r="B194" s="290" t="s">
        <v>51</v>
      </c>
      <c r="C194" s="297">
        <v>36</v>
      </c>
      <c r="D194" s="297">
        <v>21</v>
      </c>
      <c r="E194" s="297">
        <v>15</v>
      </c>
      <c r="F194" s="297">
        <v>0</v>
      </c>
    </row>
    <row r="195" spans="1:7" ht="13.5">
      <c r="B195" s="290" t="s">
        <v>493</v>
      </c>
      <c r="C195" s="297">
        <v>5</v>
      </c>
      <c r="D195" s="297">
        <v>0</v>
      </c>
      <c r="E195" s="297">
        <v>1</v>
      </c>
      <c r="F195" s="297">
        <v>4</v>
      </c>
    </row>
    <row r="196" spans="1:7" ht="5.0999999999999996" customHeight="1">
      <c r="B196" s="290"/>
      <c r="C196" s="297"/>
      <c r="D196" s="297"/>
      <c r="E196" s="297"/>
      <c r="F196" s="297"/>
    </row>
    <row r="197" spans="1:7" ht="13.5">
      <c r="A197" s="292" t="s">
        <v>102</v>
      </c>
      <c r="B197" s="292"/>
      <c r="C197" s="316">
        <v>512</v>
      </c>
      <c r="D197" s="295">
        <v>329</v>
      </c>
      <c r="E197" s="295">
        <v>136</v>
      </c>
      <c r="F197" s="295">
        <v>47</v>
      </c>
      <c r="G197" s="295"/>
    </row>
    <row r="198" spans="1:7" ht="5.0999999999999996" customHeight="1">
      <c r="B198" s="290"/>
      <c r="C198" s="297"/>
      <c r="D198" s="297"/>
      <c r="E198" s="297"/>
      <c r="F198" s="297"/>
    </row>
    <row r="199" spans="1:7" ht="13.5">
      <c r="B199" s="290" t="s">
        <v>254</v>
      </c>
      <c r="C199" s="297">
        <v>3</v>
      </c>
      <c r="D199" s="297">
        <v>0</v>
      </c>
      <c r="E199" s="297">
        <v>0</v>
      </c>
      <c r="F199" s="297">
        <v>3</v>
      </c>
    </row>
    <row r="200" spans="1:7" ht="13.5">
      <c r="B200" s="290" t="s">
        <v>255</v>
      </c>
      <c r="C200" s="297">
        <v>2</v>
      </c>
      <c r="D200" s="297">
        <v>1</v>
      </c>
      <c r="E200" s="297">
        <v>0</v>
      </c>
      <c r="F200" s="297">
        <v>1</v>
      </c>
    </row>
    <row r="201" spans="1:7" ht="13.5">
      <c r="B201" s="290" t="s">
        <v>256</v>
      </c>
      <c r="C201" s="297">
        <v>193</v>
      </c>
      <c r="D201" s="297">
        <v>129</v>
      </c>
      <c r="E201" s="297">
        <v>62</v>
      </c>
      <c r="F201" s="297">
        <v>2</v>
      </c>
    </row>
    <row r="202" spans="1:7" ht="13.5">
      <c r="B202" s="290" t="s">
        <v>51</v>
      </c>
      <c r="C202" s="297">
        <v>272</v>
      </c>
      <c r="D202" s="297">
        <v>199</v>
      </c>
      <c r="E202" s="297">
        <v>70</v>
      </c>
      <c r="F202" s="297">
        <v>3</v>
      </c>
    </row>
    <row r="203" spans="1:7" ht="13.5">
      <c r="B203" s="290" t="s">
        <v>493</v>
      </c>
      <c r="C203" s="297">
        <v>42</v>
      </c>
      <c r="D203" s="297">
        <v>0</v>
      </c>
      <c r="E203" s="297">
        <v>4</v>
      </c>
      <c r="F203" s="297">
        <v>38</v>
      </c>
    </row>
    <row r="204" spans="1:7" ht="5.0999999999999996" customHeight="1">
      <c r="B204" s="290"/>
      <c r="C204" s="297"/>
      <c r="D204" s="297"/>
      <c r="E204" s="297"/>
      <c r="F204" s="297"/>
    </row>
    <row r="205" spans="1:7" ht="13.5">
      <c r="A205" s="292" t="s">
        <v>103</v>
      </c>
      <c r="B205" s="292"/>
      <c r="C205" s="316">
        <v>729</v>
      </c>
      <c r="D205" s="295">
        <v>362</v>
      </c>
      <c r="E205" s="295">
        <v>366</v>
      </c>
      <c r="F205" s="295">
        <v>1</v>
      </c>
      <c r="G205" s="295"/>
    </row>
    <row r="206" spans="1:7" ht="5.0999999999999996" customHeight="1">
      <c r="B206" s="290"/>
      <c r="C206" s="297"/>
      <c r="D206" s="297"/>
      <c r="E206" s="297"/>
      <c r="F206" s="297"/>
    </row>
    <row r="207" spans="1:7" ht="13.5">
      <c r="B207" s="290" t="s">
        <v>254</v>
      </c>
      <c r="C207" s="297">
        <v>52</v>
      </c>
      <c r="D207" s="297">
        <v>26</v>
      </c>
      <c r="E207" s="297">
        <v>26</v>
      </c>
      <c r="F207" s="297">
        <v>0</v>
      </c>
    </row>
    <row r="208" spans="1:7" ht="13.5">
      <c r="B208" s="290" t="s">
        <v>255</v>
      </c>
      <c r="C208" s="297">
        <v>2</v>
      </c>
      <c r="D208" s="297">
        <v>0</v>
      </c>
      <c r="E208" s="297">
        <v>2</v>
      </c>
      <c r="F208" s="297">
        <v>0</v>
      </c>
    </row>
    <row r="209" spans="1:7" ht="13.5">
      <c r="B209" s="290" t="s">
        <v>256</v>
      </c>
      <c r="C209" s="297">
        <v>393</v>
      </c>
      <c r="D209" s="297">
        <v>186</v>
      </c>
      <c r="E209" s="297">
        <v>207</v>
      </c>
      <c r="F209" s="297">
        <v>0</v>
      </c>
    </row>
    <row r="210" spans="1:7" ht="13.5">
      <c r="B210" s="290" t="s">
        <v>51</v>
      </c>
      <c r="C210" s="297">
        <v>244</v>
      </c>
      <c r="D210" s="297">
        <v>123</v>
      </c>
      <c r="E210" s="297">
        <v>120</v>
      </c>
      <c r="F210" s="297">
        <v>1</v>
      </c>
    </row>
    <row r="211" spans="1:7" ht="13.5">
      <c r="B211" s="290" t="s">
        <v>493</v>
      </c>
      <c r="C211" s="297">
        <v>38</v>
      </c>
      <c r="D211" s="297">
        <v>27</v>
      </c>
      <c r="E211" s="297">
        <v>11</v>
      </c>
      <c r="F211" s="297">
        <v>0</v>
      </c>
    </row>
    <row r="212" spans="1:7" ht="5.0999999999999996" customHeight="1">
      <c r="B212" s="290"/>
      <c r="C212" s="297"/>
      <c r="D212" s="297"/>
      <c r="E212" s="297"/>
      <c r="F212" s="297"/>
    </row>
    <row r="213" spans="1:7" ht="13.5">
      <c r="A213" s="292" t="s">
        <v>104</v>
      </c>
      <c r="B213" s="292"/>
      <c r="C213" s="316">
        <v>514</v>
      </c>
      <c r="D213" s="295">
        <v>380</v>
      </c>
      <c r="E213" s="295">
        <v>126</v>
      </c>
      <c r="F213" s="295">
        <v>8</v>
      </c>
      <c r="G213" s="295"/>
    </row>
    <row r="214" spans="1:7" ht="5.0999999999999996" customHeight="1">
      <c r="B214" s="290"/>
      <c r="C214" s="297"/>
      <c r="D214" s="297"/>
      <c r="E214" s="297"/>
      <c r="F214" s="297"/>
    </row>
    <row r="215" spans="1:7" ht="13.5">
      <c r="B215" s="290" t="s">
        <v>255</v>
      </c>
      <c r="C215" s="297">
        <v>2</v>
      </c>
      <c r="D215" s="297">
        <v>1</v>
      </c>
      <c r="E215" s="297">
        <v>1</v>
      </c>
      <c r="F215" s="297">
        <v>0</v>
      </c>
    </row>
    <row r="216" spans="1:7" ht="13.5">
      <c r="B216" s="290" t="s">
        <v>256</v>
      </c>
      <c r="C216" s="297">
        <v>276</v>
      </c>
      <c r="D216" s="297">
        <v>212</v>
      </c>
      <c r="E216" s="297">
        <v>57</v>
      </c>
      <c r="F216" s="297">
        <v>7</v>
      </c>
    </row>
    <row r="217" spans="1:7" ht="13.5">
      <c r="B217" s="290" t="s">
        <v>51</v>
      </c>
      <c r="C217" s="297">
        <v>228</v>
      </c>
      <c r="D217" s="297">
        <v>162</v>
      </c>
      <c r="E217" s="297">
        <v>65</v>
      </c>
      <c r="F217" s="297">
        <v>1</v>
      </c>
    </row>
    <row r="218" spans="1:7" ht="13.5">
      <c r="B218" s="290" t="s">
        <v>493</v>
      </c>
      <c r="C218" s="297">
        <v>8</v>
      </c>
      <c r="D218" s="297">
        <v>5</v>
      </c>
      <c r="E218" s="297">
        <v>3</v>
      </c>
      <c r="F218" s="297">
        <v>0</v>
      </c>
    </row>
    <row r="219" spans="1:7" ht="5.0999999999999996" customHeight="1">
      <c r="B219" s="290"/>
      <c r="C219" s="297"/>
      <c r="D219" s="297"/>
      <c r="E219" s="297"/>
      <c r="F219" s="297"/>
    </row>
    <row r="220" spans="1:7" ht="13.5">
      <c r="A220" s="292" t="s">
        <v>105</v>
      </c>
      <c r="B220" s="292"/>
      <c r="C220" s="316">
        <v>238</v>
      </c>
      <c r="D220" s="295">
        <v>163</v>
      </c>
      <c r="E220" s="295">
        <v>34</v>
      </c>
      <c r="F220" s="295">
        <v>41</v>
      </c>
      <c r="G220" s="295"/>
    </row>
    <row r="221" spans="1:7" ht="5.0999999999999996" customHeight="1">
      <c r="B221" s="290"/>
      <c r="C221" s="297"/>
      <c r="D221" s="297"/>
      <c r="E221" s="297"/>
      <c r="F221" s="297"/>
    </row>
    <row r="222" spans="1:7" ht="13.5">
      <c r="B222" s="290" t="s">
        <v>254</v>
      </c>
      <c r="C222" s="297">
        <v>125</v>
      </c>
      <c r="D222" s="297">
        <v>103</v>
      </c>
      <c r="E222" s="297">
        <v>22</v>
      </c>
      <c r="F222" s="297">
        <v>0</v>
      </c>
    </row>
    <row r="223" spans="1:7" ht="13.5">
      <c r="B223" s="290" t="s">
        <v>255</v>
      </c>
      <c r="C223" s="297">
        <v>4</v>
      </c>
      <c r="D223" s="297">
        <v>4</v>
      </c>
      <c r="E223" s="297">
        <v>0</v>
      </c>
      <c r="F223" s="297">
        <v>0</v>
      </c>
    </row>
    <row r="224" spans="1:7" ht="13.5">
      <c r="B224" s="290" t="s">
        <v>256</v>
      </c>
      <c r="C224" s="297">
        <v>81</v>
      </c>
      <c r="D224" s="297">
        <v>47</v>
      </c>
      <c r="E224" s="297">
        <v>9</v>
      </c>
      <c r="F224" s="297">
        <v>25</v>
      </c>
    </row>
    <row r="225" spans="1:7" ht="13.5">
      <c r="B225" s="290" t="s">
        <v>51</v>
      </c>
      <c r="C225" s="297">
        <v>24</v>
      </c>
      <c r="D225" s="297">
        <v>9</v>
      </c>
      <c r="E225" s="297">
        <v>3</v>
      </c>
      <c r="F225" s="297">
        <v>12</v>
      </c>
    </row>
    <row r="226" spans="1:7" ht="13.5">
      <c r="B226" s="290" t="s">
        <v>493</v>
      </c>
      <c r="C226" s="297">
        <v>4</v>
      </c>
      <c r="D226" s="297">
        <v>0</v>
      </c>
      <c r="E226" s="297">
        <v>0</v>
      </c>
      <c r="F226" s="297">
        <v>4</v>
      </c>
    </row>
    <row r="227" spans="1:7" ht="5.0999999999999996" customHeight="1">
      <c r="B227" s="290"/>
      <c r="C227" s="297"/>
      <c r="D227" s="297"/>
      <c r="E227" s="297"/>
      <c r="F227" s="297"/>
    </row>
    <row r="228" spans="1:7" ht="13.5">
      <c r="A228" s="292" t="s">
        <v>106</v>
      </c>
      <c r="B228" s="292"/>
      <c r="C228" s="316">
        <v>197</v>
      </c>
      <c r="D228" s="295">
        <v>160</v>
      </c>
      <c r="E228" s="295">
        <v>32</v>
      </c>
      <c r="F228" s="295">
        <v>5</v>
      </c>
      <c r="G228" s="295"/>
    </row>
    <row r="229" spans="1:7" ht="5.0999999999999996" customHeight="1">
      <c r="B229" s="290"/>
      <c r="C229" s="297"/>
      <c r="D229" s="297"/>
      <c r="E229" s="297"/>
      <c r="F229" s="297"/>
    </row>
    <row r="230" spans="1:7" ht="13.5">
      <c r="B230" s="290" t="s">
        <v>254</v>
      </c>
      <c r="C230" s="297">
        <v>1</v>
      </c>
      <c r="D230" s="297">
        <v>1</v>
      </c>
      <c r="E230" s="297">
        <v>0</v>
      </c>
      <c r="F230" s="297">
        <v>0</v>
      </c>
    </row>
    <row r="231" spans="1:7" ht="13.5">
      <c r="B231" s="290" t="s">
        <v>255</v>
      </c>
      <c r="C231" s="297">
        <v>1</v>
      </c>
      <c r="D231" s="297">
        <v>1</v>
      </c>
      <c r="E231" s="297">
        <v>0</v>
      </c>
      <c r="F231" s="297">
        <v>0</v>
      </c>
    </row>
    <row r="232" spans="1:7" ht="13.5">
      <c r="B232" s="290" t="s">
        <v>256</v>
      </c>
      <c r="C232" s="297">
        <v>142</v>
      </c>
      <c r="D232" s="297">
        <v>129</v>
      </c>
      <c r="E232" s="297">
        <v>11</v>
      </c>
      <c r="F232" s="297">
        <v>2</v>
      </c>
    </row>
    <row r="233" spans="1:7" ht="13.5">
      <c r="B233" s="290" t="s">
        <v>51</v>
      </c>
      <c r="C233" s="297">
        <v>53</v>
      </c>
      <c r="D233" s="297">
        <v>29</v>
      </c>
      <c r="E233" s="297">
        <v>21</v>
      </c>
      <c r="F233" s="297">
        <v>3</v>
      </c>
    </row>
    <row r="234" spans="1:7" ht="5.0999999999999996" customHeight="1">
      <c r="B234" s="290"/>
      <c r="C234" s="297"/>
      <c r="D234" s="297"/>
      <c r="E234" s="297"/>
      <c r="F234" s="297"/>
    </row>
    <row r="235" spans="1:7" ht="13.5">
      <c r="A235" s="292" t="s">
        <v>107</v>
      </c>
      <c r="B235" s="292"/>
      <c r="C235" s="316">
        <v>2047</v>
      </c>
      <c r="D235" s="295">
        <v>1529</v>
      </c>
      <c r="E235" s="295">
        <v>122</v>
      </c>
      <c r="F235" s="295">
        <v>396</v>
      </c>
      <c r="G235" s="295"/>
    </row>
    <row r="236" spans="1:7" ht="5.0999999999999996" customHeight="1">
      <c r="B236" s="290"/>
      <c r="C236" s="297"/>
      <c r="D236" s="297"/>
      <c r="E236" s="297"/>
      <c r="F236" s="297"/>
    </row>
    <row r="237" spans="1:7" ht="13.5">
      <c r="B237" s="290" t="s">
        <v>254</v>
      </c>
      <c r="C237" s="297">
        <v>2</v>
      </c>
      <c r="D237" s="297">
        <v>2</v>
      </c>
      <c r="E237" s="297">
        <v>0</v>
      </c>
      <c r="F237" s="297">
        <v>0</v>
      </c>
    </row>
    <row r="238" spans="1:7" ht="13.5">
      <c r="B238" s="290" t="s">
        <v>255</v>
      </c>
      <c r="C238" s="297">
        <v>4</v>
      </c>
      <c r="D238" s="297">
        <v>4</v>
      </c>
      <c r="E238" s="297">
        <v>0</v>
      </c>
      <c r="F238" s="297">
        <v>0</v>
      </c>
    </row>
    <row r="239" spans="1:7" ht="13.5">
      <c r="A239" s="315"/>
      <c r="B239" s="290" t="s">
        <v>256</v>
      </c>
      <c r="C239" s="297">
        <v>889</v>
      </c>
      <c r="D239" s="297">
        <v>578</v>
      </c>
      <c r="E239" s="297">
        <v>67</v>
      </c>
      <c r="F239" s="297">
        <v>244</v>
      </c>
    </row>
    <row r="240" spans="1:7" ht="13.5">
      <c r="A240" s="315"/>
      <c r="B240" s="290" t="s">
        <v>51</v>
      </c>
      <c r="C240" s="297">
        <v>1152</v>
      </c>
      <c r="D240" s="297">
        <v>945</v>
      </c>
      <c r="E240" s="297">
        <v>55</v>
      </c>
      <c r="F240" s="297">
        <v>152</v>
      </c>
    </row>
    <row r="241" spans="1:6" ht="13.5">
      <c r="A241" s="315"/>
      <c r="B241" s="290" t="s">
        <v>493</v>
      </c>
      <c r="C241" s="297">
        <v>3</v>
      </c>
      <c r="D241" s="297">
        <v>0</v>
      </c>
      <c r="E241" s="297">
        <v>0</v>
      </c>
      <c r="F241" s="298">
        <v>3</v>
      </c>
    </row>
    <row r="242" spans="1:6" ht="5.0999999999999996" customHeight="1">
      <c r="A242" s="312"/>
      <c r="B242" s="312"/>
      <c r="C242" s="312"/>
      <c r="D242" s="312"/>
      <c r="E242" s="312"/>
      <c r="F242" s="312"/>
    </row>
    <row r="243" spans="1:6" ht="5.0999999999999996" customHeight="1"/>
    <row r="244" spans="1:6">
      <c r="A244" s="301" t="s">
        <v>71</v>
      </c>
    </row>
    <row r="245" spans="1:6">
      <c r="A245" s="301" t="s">
        <v>231</v>
      </c>
    </row>
  </sheetData>
  <mergeCells count="7">
    <mergeCell ref="B7:B8"/>
    <mergeCell ref="D7:F7"/>
    <mergeCell ref="C7:C8"/>
    <mergeCell ref="B2:F2"/>
    <mergeCell ref="B3:F3"/>
    <mergeCell ref="B4:F4"/>
    <mergeCell ref="B5:F5"/>
  </mergeCell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685"/>
  <sheetViews>
    <sheetView workbookViewId="0">
      <selection activeCell="I28" sqref="I28"/>
    </sheetView>
  </sheetViews>
  <sheetFormatPr baseColWidth="10" defaultColWidth="11.42578125" defaultRowHeight="12.75"/>
  <cols>
    <col min="1" max="1" width="1.5703125" style="308" customWidth="1"/>
    <col min="2" max="2" width="22" style="308" customWidth="1"/>
    <col min="3" max="3" width="11.42578125" style="308"/>
    <col min="4" max="4" width="12.140625" style="308" customWidth="1"/>
    <col min="5" max="16384" width="11.42578125" style="308"/>
  </cols>
  <sheetData>
    <row r="1" spans="1:6" ht="13.5">
      <c r="B1" s="307"/>
      <c r="C1" s="317"/>
      <c r="D1" s="317"/>
      <c r="E1" s="317"/>
    </row>
    <row r="2" spans="1:6" ht="13.5">
      <c r="A2" s="434" t="s">
        <v>276</v>
      </c>
      <c r="B2" s="434"/>
      <c r="C2" s="434"/>
      <c r="D2" s="434"/>
      <c r="E2" s="434"/>
      <c r="F2" s="434"/>
    </row>
    <row r="3" spans="1:6" ht="13.5">
      <c r="A3" s="428" t="s">
        <v>17</v>
      </c>
      <c r="B3" s="428"/>
      <c r="C3" s="428"/>
      <c r="D3" s="428"/>
      <c r="E3" s="428"/>
      <c r="F3" s="428"/>
    </row>
    <row r="4" spans="1:6" ht="13.5">
      <c r="A4" s="428" t="s">
        <v>277</v>
      </c>
      <c r="B4" s="428"/>
      <c r="C4" s="428"/>
      <c r="D4" s="428"/>
      <c r="E4" s="428"/>
      <c r="F4" s="428"/>
    </row>
    <row r="5" spans="1:6" ht="13.5">
      <c r="A5" s="428" t="s">
        <v>507</v>
      </c>
      <c r="B5" s="428"/>
      <c r="C5" s="428"/>
      <c r="D5" s="428"/>
      <c r="E5" s="428"/>
      <c r="F5" s="428"/>
    </row>
    <row r="6" spans="1:6" ht="13.5">
      <c r="B6" s="309"/>
      <c r="C6" s="309"/>
      <c r="D6" s="309"/>
      <c r="E6" s="309"/>
    </row>
    <row r="7" spans="1:6" ht="12.75" customHeight="1">
      <c r="A7" s="432" t="s">
        <v>278</v>
      </c>
      <c r="B7" s="432"/>
      <c r="C7" s="432" t="s">
        <v>61</v>
      </c>
      <c r="D7" s="429" t="s">
        <v>279</v>
      </c>
      <c r="E7" s="429"/>
      <c r="F7" s="429"/>
    </row>
    <row r="8" spans="1:6">
      <c r="A8" s="433"/>
      <c r="B8" s="433"/>
      <c r="C8" s="433"/>
      <c r="D8" s="318" t="s">
        <v>38</v>
      </c>
      <c r="E8" s="318" t="s">
        <v>39</v>
      </c>
      <c r="F8" s="318" t="s">
        <v>466</v>
      </c>
    </row>
    <row r="9" spans="1:6" ht="5.0999999999999996" customHeight="1"/>
    <row r="10" spans="1:6" ht="13.5">
      <c r="A10" s="292" t="s">
        <v>585</v>
      </c>
      <c r="B10" s="292"/>
      <c r="C10" s="295">
        <v>34157</v>
      </c>
      <c r="D10" s="295">
        <v>21604</v>
      </c>
      <c r="E10" s="295">
        <v>12528</v>
      </c>
      <c r="F10" s="295">
        <v>25</v>
      </c>
    </row>
    <row r="11" spans="1:6" ht="5.0999999999999996" customHeight="1">
      <c r="C11" s="319"/>
      <c r="D11" s="319"/>
      <c r="E11" s="319"/>
      <c r="F11" s="319"/>
    </row>
    <row r="12" spans="1:6" ht="13.5">
      <c r="B12" s="290" t="s">
        <v>503</v>
      </c>
      <c r="C12" s="297">
        <v>480</v>
      </c>
      <c r="D12" s="297">
        <v>267</v>
      </c>
      <c r="E12" s="297">
        <v>198</v>
      </c>
      <c r="F12" s="297">
        <v>15</v>
      </c>
    </row>
    <row r="13" spans="1:6" ht="13.5">
      <c r="B13" s="290" t="s">
        <v>259</v>
      </c>
      <c r="C13" s="297">
        <v>212</v>
      </c>
      <c r="D13" s="297">
        <v>145</v>
      </c>
      <c r="E13" s="297">
        <v>67</v>
      </c>
      <c r="F13" s="297">
        <v>0</v>
      </c>
    </row>
    <row r="14" spans="1:6" ht="13.5">
      <c r="B14" s="290" t="s">
        <v>260</v>
      </c>
      <c r="C14" s="297">
        <v>193</v>
      </c>
      <c r="D14" s="297">
        <v>112</v>
      </c>
      <c r="E14" s="297">
        <v>81</v>
      </c>
      <c r="F14" s="297">
        <v>0</v>
      </c>
    </row>
    <row r="15" spans="1:6" ht="13.5">
      <c r="B15" s="290" t="s">
        <v>261</v>
      </c>
      <c r="C15" s="297">
        <v>233</v>
      </c>
      <c r="D15" s="297">
        <v>156</v>
      </c>
      <c r="E15" s="297">
        <v>77</v>
      </c>
      <c r="F15" s="297">
        <v>0</v>
      </c>
    </row>
    <row r="16" spans="1:6" ht="13.5">
      <c r="B16" s="290" t="s">
        <v>63</v>
      </c>
      <c r="C16" s="297">
        <v>594</v>
      </c>
      <c r="D16" s="297">
        <v>453</v>
      </c>
      <c r="E16" s="297">
        <v>141</v>
      </c>
      <c r="F16" s="297">
        <v>0</v>
      </c>
    </row>
    <row r="17" spans="1:6" ht="13.5">
      <c r="B17" s="290" t="s">
        <v>64</v>
      </c>
      <c r="C17" s="297">
        <v>900</v>
      </c>
      <c r="D17" s="297">
        <v>706</v>
      </c>
      <c r="E17" s="297">
        <v>194</v>
      </c>
      <c r="F17" s="297">
        <v>0</v>
      </c>
    </row>
    <row r="18" spans="1:6" ht="13.5">
      <c r="B18" s="290" t="s">
        <v>65</v>
      </c>
      <c r="C18" s="297">
        <v>1004</v>
      </c>
      <c r="D18" s="297">
        <v>762</v>
      </c>
      <c r="E18" s="297">
        <v>242</v>
      </c>
      <c r="F18" s="297">
        <v>0</v>
      </c>
    </row>
    <row r="19" spans="1:6" ht="13.5">
      <c r="B19" s="290" t="s">
        <v>66</v>
      </c>
      <c r="C19" s="297">
        <v>1065</v>
      </c>
      <c r="D19" s="297">
        <v>756</v>
      </c>
      <c r="E19" s="297">
        <v>309</v>
      </c>
      <c r="F19" s="297">
        <v>0</v>
      </c>
    </row>
    <row r="20" spans="1:6" ht="13.5">
      <c r="B20" s="290" t="s">
        <v>67</v>
      </c>
      <c r="C20" s="297">
        <v>1140</v>
      </c>
      <c r="D20" s="297">
        <v>798</v>
      </c>
      <c r="E20" s="297">
        <v>342</v>
      </c>
      <c r="F20" s="297">
        <v>0</v>
      </c>
    </row>
    <row r="21" spans="1:6" ht="13.5">
      <c r="B21" s="290" t="s">
        <v>68</v>
      </c>
      <c r="C21" s="297">
        <v>1261</v>
      </c>
      <c r="D21" s="297">
        <v>860</v>
      </c>
      <c r="E21" s="297">
        <v>401</v>
      </c>
      <c r="F21" s="297">
        <v>0</v>
      </c>
    </row>
    <row r="22" spans="1:6" ht="13.5">
      <c r="B22" s="290" t="s">
        <v>69</v>
      </c>
      <c r="C22" s="297">
        <v>1403</v>
      </c>
      <c r="D22" s="297">
        <v>936</v>
      </c>
      <c r="E22" s="297">
        <v>467</v>
      </c>
      <c r="F22" s="297">
        <v>0</v>
      </c>
    </row>
    <row r="23" spans="1:6" ht="13.5">
      <c r="B23" s="290" t="s">
        <v>262</v>
      </c>
      <c r="C23" s="297">
        <v>1754</v>
      </c>
      <c r="D23" s="297">
        <v>1172</v>
      </c>
      <c r="E23" s="297">
        <v>582</v>
      </c>
      <c r="F23" s="297">
        <v>0</v>
      </c>
    </row>
    <row r="24" spans="1:6" ht="13.5">
      <c r="B24" s="290" t="s">
        <v>263</v>
      </c>
      <c r="C24" s="297">
        <v>2061</v>
      </c>
      <c r="D24" s="297">
        <v>1355</v>
      </c>
      <c r="E24" s="297">
        <v>706</v>
      </c>
      <c r="F24" s="297">
        <v>0</v>
      </c>
    </row>
    <row r="25" spans="1:6" ht="13.5">
      <c r="B25" s="290" t="s">
        <v>264</v>
      </c>
      <c r="C25" s="297">
        <v>2459</v>
      </c>
      <c r="D25" s="297">
        <v>1641</v>
      </c>
      <c r="E25" s="297">
        <v>818</v>
      </c>
      <c r="F25" s="297">
        <v>0</v>
      </c>
    </row>
    <row r="26" spans="1:6" ht="13.5">
      <c r="B26" s="290" t="s">
        <v>265</v>
      </c>
      <c r="C26" s="297">
        <v>2524</v>
      </c>
      <c r="D26" s="297">
        <v>1624</v>
      </c>
      <c r="E26" s="297">
        <v>900</v>
      </c>
      <c r="F26" s="297">
        <v>0</v>
      </c>
    </row>
    <row r="27" spans="1:6" ht="13.5">
      <c r="B27" s="290" t="s">
        <v>266</v>
      </c>
      <c r="C27" s="297">
        <v>14934</v>
      </c>
      <c r="D27" s="297">
        <v>8773</v>
      </c>
      <c r="E27" s="297">
        <v>6161</v>
      </c>
      <c r="F27" s="297">
        <v>0</v>
      </c>
    </row>
    <row r="28" spans="1:6" ht="13.5">
      <c r="B28" s="290" t="s">
        <v>504</v>
      </c>
      <c r="C28" s="297">
        <v>1940</v>
      </c>
      <c r="D28" s="297">
        <v>1088</v>
      </c>
      <c r="E28" s="297">
        <v>842</v>
      </c>
      <c r="F28" s="297">
        <v>10</v>
      </c>
    </row>
    <row r="29" spans="1:6" ht="5.0999999999999996" customHeight="1">
      <c r="B29" s="290"/>
      <c r="C29" s="297"/>
      <c r="D29" s="297"/>
      <c r="E29" s="297"/>
      <c r="F29" s="297"/>
    </row>
    <row r="30" spans="1:6" ht="13.5">
      <c r="A30" s="292" t="s">
        <v>76</v>
      </c>
      <c r="B30" s="290"/>
      <c r="C30" s="295">
        <v>748</v>
      </c>
      <c r="D30" s="295">
        <v>506</v>
      </c>
      <c r="E30" s="295">
        <v>242</v>
      </c>
      <c r="F30" s="295">
        <v>0</v>
      </c>
    </row>
    <row r="31" spans="1:6" ht="5.0999999999999996" customHeight="1">
      <c r="B31" s="290"/>
      <c r="C31" s="297"/>
      <c r="D31" s="297"/>
      <c r="E31" s="297"/>
      <c r="F31" s="297"/>
    </row>
    <row r="32" spans="1:6" ht="13.5">
      <c r="B32" s="290" t="s">
        <v>503</v>
      </c>
      <c r="C32" s="297">
        <v>6</v>
      </c>
      <c r="D32" s="297">
        <v>3</v>
      </c>
      <c r="E32" s="297">
        <v>3</v>
      </c>
      <c r="F32" s="297">
        <v>0</v>
      </c>
    </row>
    <row r="33" spans="2:6" ht="13.5">
      <c r="B33" s="290" t="s">
        <v>259</v>
      </c>
      <c r="C33" s="297">
        <v>9</v>
      </c>
      <c r="D33" s="297">
        <v>3</v>
      </c>
      <c r="E33" s="297">
        <v>6</v>
      </c>
      <c r="F33" s="297">
        <v>0</v>
      </c>
    </row>
    <row r="34" spans="2:6" ht="13.5">
      <c r="B34" s="290" t="s">
        <v>260</v>
      </c>
      <c r="C34" s="297">
        <v>8</v>
      </c>
      <c r="D34" s="297">
        <v>6</v>
      </c>
      <c r="E34" s="297">
        <v>2</v>
      </c>
      <c r="F34" s="297">
        <v>0</v>
      </c>
    </row>
    <row r="35" spans="2:6" ht="13.5">
      <c r="B35" s="290" t="s">
        <v>261</v>
      </c>
      <c r="C35" s="297">
        <v>7</v>
      </c>
      <c r="D35" s="297">
        <v>2</v>
      </c>
      <c r="E35" s="297">
        <v>5</v>
      </c>
      <c r="F35" s="297">
        <v>0</v>
      </c>
    </row>
    <row r="36" spans="2:6" ht="13.5">
      <c r="B36" s="290" t="s">
        <v>63</v>
      </c>
      <c r="C36" s="297">
        <v>23</v>
      </c>
      <c r="D36" s="297">
        <v>19</v>
      </c>
      <c r="E36" s="297">
        <v>4</v>
      </c>
      <c r="F36" s="297">
        <v>0</v>
      </c>
    </row>
    <row r="37" spans="2:6" ht="13.5">
      <c r="B37" s="290" t="s">
        <v>64</v>
      </c>
      <c r="C37" s="297">
        <v>44</v>
      </c>
      <c r="D37" s="297">
        <v>34</v>
      </c>
      <c r="E37" s="297">
        <v>10</v>
      </c>
      <c r="F37" s="297">
        <v>0</v>
      </c>
    </row>
    <row r="38" spans="2:6" ht="13.5">
      <c r="B38" s="290" t="s">
        <v>65</v>
      </c>
      <c r="C38" s="297">
        <v>47</v>
      </c>
      <c r="D38" s="297">
        <v>37</v>
      </c>
      <c r="E38" s="297">
        <v>10</v>
      </c>
      <c r="F38" s="297">
        <v>0</v>
      </c>
    </row>
    <row r="39" spans="2:6" ht="13.5">
      <c r="B39" s="290" t="s">
        <v>66</v>
      </c>
      <c r="C39" s="297">
        <v>35</v>
      </c>
      <c r="D39" s="297">
        <v>28</v>
      </c>
      <c r="E39" s="297">
        <v>7</v>
      </c>
      <c r="F39" s="297">
        <v>0</v>
      </c>
    </row>
    <row r="40" spans="2:6" ht="13.5">
      <c r="B40" s="290" t="s">
        <v>67</v>
      </c>
      <c r="C40" s="297">
        <v>28</v>
      </c>
      <c r="D40" s="297">
        <v>19</v>
      </c>
      <c r="E40" s="297">
        <v>9</v>
      </c>
      <c r="F40" s="297">
        <v>0</v>
      </c>
    </row>
    <row r="41" spans="2:6" ht="13.5">
      <c r="B41" s="290" t="s">
        <v>68</v>
      </c>
      <c r="C41" s="297">
        <v>36</v>
      </c>
      <c r="D41" s="297">
        <v>21</v>
      </c>
      <c r="E41" s="297">
        <v>15</v>
      </c>
      <c r="F41" s="297">
        <v>0</v>
      </c>
    </row>
    <row r="42" spans="2:6" ht="13.5">
      <c r="B42" s="290" t="s">
        <v>69</v>
      </c>
      <c r="C42" s="297">
        <v>37</v>
      </c>
      <c r="D42" s="297">
        <v>29</v>
      </c>
      <c r="E42" s="297">
        <v>8</v>
      </c>
      <c r="F42" s="297">
        <v>0</v>
      </c>
    </row>
    <row r="43" spans="2:6" ht="13.5">
      <c r="B43" s="290" t="s">
        <v>262</v>
      </c>
      <c r="C43" s="297">
        <v>31</v>
      </c>
      <c r="D43" s="297">
        <v>22</v>
      </c>
      <c r="E43" s="297">
        <v>9</v>
      </c>
      <c r="F43" s="297">
        <v>0</v>
      </c>
    </row>
    <row r="44" spans="2:6" ht="13.5">
      <c r="B44" s="290" t="s">
        <v>263</v>
      </c>
      <c r="C44" s="297">
        <v>53</v>
      </c>
      <c r="D44" s="297">
        <v>34</v>
      </c>
      <c r="E44" s="297">
        <v>19</v>
      </c>
      <c r="F44" s="297">
        <v>0</v>
      </c>
    </row>
    <row r="45" spans="2:6" ht="13.5">
      <c r="B45" s="290" t="s">
        <v>264</v>
      </c>
      <c r="C45" s="297">
        <v>54</v>
      </c>
      <c r="D45" s="297">
        <v>40</v>
      </c>
      <c r="E45" s="297">
        <v>14</v>
      </c>
      <c r="F45" s="297">
        <v>0</v>
      </c>
    </row>
    <row r="46" spans="2:6" ht="13.5">
      <c r="B46" s="290" t="s">
        <v>265</v>
      </c>
      <c r="C46" s="297">
        <v>52</v>
      </c>
      <c r="D46" s="297">
        <v>36</v>
      </c>
      <c r="E46" s="297">
        <v>16</v>
      </c>
      <c r="F46" s="297">
        <v>0</v>
      </c>
    </row>
    <row r="47" spans="2:6" ht="13.5">
      <c r="B47" s="290" t="s">
        <v>266</v>
      </c>
      <c r="C47" s="297">
        <v>226</v>
      </c>
      <c r="D47" s="297">
        <v>151</v>
      </c>
      <c r="E47" s="297">
        <v>75</v>
      </c>
      <c r="F47" s="297">
        <v>0</v>
      </c>
    </row>
    <row r="48" spans="2:6" ht="13.5">
      <c r="B48" s="290" t="s">
        <v>504</v>
      </c>
      <c r="C48" s="297">
        <v>52</v>
      </c>
      <c r="D48" s="297">
        <v>22</v>
      </c>
      <c r="E48" s="297">
        <v>30</v>
      </c>
      <c r="F48" s="297">
        <v>0</v>
      </c>
    </row>
    <row r="49" spans="1:6" ht="5.0999999999999996" customHeight="1">
      <c r="B49" s="290"/>
      <c r="C49" s="297"/>
      <c r="D49" s="297"/>
      <c r="E49" s="297"/>
      <c r="F49" s="297"/>
    </row>
    <row r="50" spans="1:6" ht="13.5">
      <c r="A50" s="292" t="s">
        <v>77</v>
      </c>
      <c r="B50" s="290"/>
      <c r="C50" s="295">
        <v>540</v>
      </c>
      <c r="D50" s="295">
        <v>308</v>
      </c>
      <c r="E50" s="295">
        <v>220</v>
      </c>
      <c r="F50" s="295">
        <v>12</v>
      </c>
    </row>
    <row r="51" spans="1:6" ht="5.0999999999999996" customHeight="1">
      <c r="B51" s="290"/>
      <c r="C51" s="297"/>
      <c r="D51" s="297"/>
      <c r="E51" s="297"/>
      <c r="F51" s="297"/>
    </row>
    <row r="52" spans="1:6" ht="13.5">
      <c r="B52" s="290" t="s">
        <v>503</v>
      </c>
      <c r="C52" s="297">
        <v>20</v>
      </c>
      <c r="D52" s="297">
        <v>3</v>
      </c>
      <c r="E52" s="297">
        <v>5</v>
      </c>
      <c r="F52" s="297">
        <v>12</v>
      </c>
    </row>
    <row r="53" spans="1:6" ht="13.5">
      <c r="B53" s="290" t="s">
        <v>259</v>
      </c>
      <c r="C53" s="297">
        <v>3</v>
      </c>
      <c r="D53" s="297">
        <v>2</v>
      </c>
      <c r="E53" s="297">
        <v>1</v>
      </c>
      <c r="F53" s="297">
        <v>0</v>
      </c>
    </row>
    <row r="54" spans="1:6" ht="13.5">
      <c r="B54" s="290" t="s">
        <v>260</v>
      </c>
      <c r="C54" s="297">
        <v>2</v>
      </c>
      <c r="D54" s="297">
        <v>1</v>
      </c>
      <c r="E54" s="297">
        <v>1</v>
      </c>
      <c r="F54" s="297">
        <v>0</v>
      </c>
    </row>
    <row r="55" spans="1:6" ht="13.5">
      <c r="B55" s="290" t="s">
        <v>261</v>
      </c>
      <c r="C55" s="297">
        <v>2</v>
      </c>
      <c r="D55" s="297">
        <v>1</v>
      </c>
      <c r="E55" s="297">
        <v>1</v>
      </c>
      <c r="F55" s="297">
        <v>0</v>
      </c>
    </row>
    <row r="56" spans="1:6" ht="13.5">
      <c r="B56" s="290" t="s">
        <v>63</v>
      </c>
      <c r="C56" s="297">
        <v>8</v>
      </c>
      <c r="D56" s="297">
        <v>4</v>
      </c>
      <c r="E56" s="297">
        <v>4</v>
      </c>
      <c r="F56" s="297">
        <v>0</v>
      </c>
    </row>
    <row r="57" spans="1:6" ht="13.5">
      <c r="B57" s="290" t="s">
        <v>64</v>
      </c>
      <c r="C57" s="297">
        <v>8</v>
      </c>
      <c r="D57" s="297">
        <v>8</v>
      </c>
      <c r="E57" s="297">
        <v>0</v>
      </c>
      <c r="F57" s="297">
        <v>0</v>
      </c>
    </row>
    <row r="58" spans="1:6" ht="13.5">
      <c r="B58" s="290" t="s">
        <v>65</v>
      </c>
      <c r="C58" s="297">
        <v>15</v>
      </c>
      <c r="D58" s="297">
        <v>10</v>
      </c>
      <c r="E58" s="297">
        <v>5</v>
      </c>
      <c r="F58" s="297">
        <v>0</v>
      </c>
    </row>
    <row r="59" spans="1:6" ht="13.5">
      <c r="B59" s="290" t="s">
        <v>66</v>
      </c>
      <c r="C59" s="297">
        <v>21</v>
      </c>
      <c r="D59" s="297">
        <v>15</v>
      </c>
      <c r="E59" s="297">
        <v>6</v>
      </c>
      <c r="F59" s="297">
        <v>0</v>
      </c>
    </row>
    <row r="60" spans="1:6" ht="13.5">
      <c r="B60" s="290" t="s">
        <v>67</v>
      </c>
      <c r="C60" s="297">
        <v>19</v>
      </c>
      <c r="D60" s="297">
        <v>13</v>
      </c>
      <c r="E60" s="297">
        <v>6</v>
      </c>
      <c r="F60" s="297">
        <v>0</v>
      </c>
    </row>
    <row r="61" spans="1:6" ht="13.5">
      <c r="B61" s="290" t="s">
        <v>68</v>
      </c>
      <c r="C61" s="297">
        <v>29</v>
      </c>
      <c r="D61" s="297">
        <v>19</v>
      </c>
      <c r="E61" s="297">
        <v>10</v>
      </c>
      <c r="F61" s="297">
        <v>0</v>
      </c>
    </row>
    <row r="62" spans="1:6" ht="13.5">
      <c r="B62" s="290" t="s">
        <v>69</v>
      </c>
      <c r="C62" s="297">
        <v>21</v>
      </c>
      <c r="D62" s="297">
        <v>14</v>
      </c>
      <c r="E62" s="297">
        <v>7</v>
      </c>
      <c r="F62" s="297">
        <v>0</v>
      </c>
    </row>
    <row r="63" spans="1:6" ht="13.5">
      <c r="B63" s="290" t="s">
        <v>262</v>
      </c>
      <c r="C63" s="297">
        <v>35</v>
      </c>
      <c r="D63" s="297">
        <v>18</v>
      </c>
      <c r="E63" s="297">
        <v>17</v>
      </c>
      <c r="F63" s="297">
        <v>0</v>
      </c>
    </row>
    <row r="64" spans="1:6" ht="13.5">
      <c r="B64" s="290" t="s">
        <v>263</v>
      </c>
      <c r="C64" s="297">
        <v>26</v>
      </c>
      <c r="D64" s="297">
        <v>18</v>
      </c>
      <c r="E64" s="297">
        <v>8</v>
      </c>
      <c r="F64" s="297">
        <v>0</v>
      </c>
    </row>
    <row r="65" spans="1:6" ht="13.5">
      <c r="B65" s="290" t="s">
        <v>264</v>
      </c>
      <c r="C65" s="297">
        <v>33</v>
      </c>
      <c r="D65" s="297">
        <v>20</v>
      </c>
      <c r="E65" s="297">
        <v>13</v>
      </c>
      <c r="F65" s="297">
        <v>0</v>
      </c>
    </row>
    <row r="66" spans="1:6" ht="13.5">
      <c r="B66" s="290" t="s">
        <v>265</v>
      </c>
      <c r="C66" s="297">
        <v>47</v>
      </c>
      <c r="D66" s="297">
        <v>29</v>
      </c>
      <c r="E66" s="297">
        <v>18</v>
      </c>
      <c r="F66" s="297">
        <v>0</v>
      </c>
    </row>
    <row r="67" spans="1:6" ht="13.5">
      <c r="B67" s="290" t="s">
        <v>266</v>
      </c>
      <c r="C67" s="297">
        <v>246</v>
      </c>
      <c r="D67" s="297">
        <v>131</v>
      </c>
      <c r="E67" s="297">
        <v>115</v>
      </c>
      <c r="F67" s="297">
        <v>0</v>
      </c>
    </row>
    <row r="68" spans="1:6" ht="13.5">
      <c r="B68" s="290" t="s">
        <v>504</v>
      </c>
      <c r="C68" s="297">
        <v>5</v>
      </c>
      <c r="D68" s="297">
        <v>2</v>
      </c>
      <c r="E68" s="297">
        <v>3</v>
      </c>
      <c r="F68" s="297">
        <v>0</v>
      </c>
    </row>
    <row r="69" spans="1:6" ht="5.0999999999999996" customHeight="1">
      <c r="B69" s="290"/>
      <c r="C69" s="297"/>
      <c r="D69" s="297"/>
      <c r="E69" s="297"/>
      <c r="F69" s="297"/>
    </row>
    <row r="70" spans="1:6" ht="13.5">
      <c r="A70" s="292" t="s">
        <v>78</v>
      </c>
      <c r="B70" s="290"/>
      <c r="C70" s="295">
        <v>351</v>
      </c>
      <c r="D70" s="295">
        <v>219</v>
      </c>
      <c r="E70" s="295">
        <v>132</v>
      </c>
      <c r="F70" s="295">
        <v>0</v>
      </c>
    </row>
    <row r="71" spans="1:6" ht="5.0999999999999996" customHeight="1">
      <c r="B71" s="290"/>
      <c r="C71" s="297"/>
      <c r="D71" s="297"/>
      <c r="E71" s="297"/>
      <c r="F71" s="297"/>
    </row>
    <row r="72" spans="1:6" ht="13.5">
      <c r="B72" s="290" t="s">
        <v>503</v>
      </c>
      <c r="C72" s="297">
        <v>6</v>
      </c>
      <c r="D72" s="297">
        <v>4</v>
      </c>
      <c r="E72" s="297">
        <v>2</v>
      </c>
      <c r="F72" s="297">
        <v>0</v>
      </c>
    </row>
    <row r="73" spans="1:6" ht="13.5">
      <c r="B73" s="290" t="s">
        <v>259</v>
      </c>
      <c r="C73" s="297">
        <v>1</v>
      </c>
      <c r="D73" s="297">
        <v>1</v>
      </c>
      <c r="E73" s="297">
        <v>0</v>
      </c>
      <c r="F73" s="297">
        <v>0</v>
      </c>
    </row>
    <row r="74" spans="1:6" ht="13.5">
      <c r="B74" s="290" t="s">
        <v>63</v>
      </c>
      <c r="C74" s="297">
        <v>8</v>
      </c>
      <c r="D74" s="297">
        <v>7</v>
      </c>
      <c r="E74" s="297">
        <v>1</v>
      </c>
      <c r="F74" s="297">
        <v>0</v>
      </c>
    </row>
    <row r="75" spans="1:6" ht="13.5">
      <c r="B75" s="290" t="s">
        <v>64</v>
      </c>
      <c r="C75" s="297">
        <v>6</v>
      </c>
      <c r="D75" s="297">
        <v>6</v>
      </c>
      <c r="E75" s="297">
        <v>0</v>
      </c>
      <c r="F75" s="297">
        <v>0</v>
      </c>
    </row>
    <row r="76" spans="1:6" ht="13.5">
      <c r="B76" s="290" t="s">
        <v>65</v>
      </c>
      <c r="C76" s="297">
        <v>4</v>
      </c>
      <c r="D76" s="297">
        <v>2</v>
      </c>
      <c r="E76" s="297">
        <v>2</v>
      </c>
      <c r="F76" s="297">
        <v>0</v>
      </c>
    </row>
    <row r="77" spans="1:6" ht="13.5">
      <c r="B77" s="290" t="s">
        <v>66</v>
      </c>
      <c r="C77" s="297">
        <v>8</v>
      </c>
      <c r="D77" s="297">
        <v>3</v>
      </c>
      <c r="E77" s="297">
        <v>5</v>
      </c>
      <c r="F77" s="297">
        <v>0</v>
      </c>
    </row>
    <row r="78" spans="1:6" ht="13.5">
      <c r="B78" s="290" t="s">
        <v>67</v>
      </c>
      <c r="C78" s="297">
        <v>8</v>
      </c>
      <c r="D78" s="297">
        <v>7</v>
      </c>
      <c r="E78" s="297">
        <v>1</v>
      </c>
      <c r="F78" s="297">
        <v>0</v>
      </c>
    </row>
    <row r="79" spans="1:6" ht="13.5">
      <c r="B79" s="290" t="s">
        <v>68</v>
      </c>
      <c r="C79" s="297">
        <v>13</v>
      </c>
      <c r="D79" s="297">
        <v>9</v>
      </c>
      <c r="E79" s="297">
        <v>4</v>
      </c>
      <c r="F79" s="297">
        <v>0</v>
      </c>
    </row>
    <row r="80" spans="1:6" ht="13.5">
      <c r="B80" s="290" t="s">
        <v>69</v>
      </c>
      <c r="C80" s="297">
        <v>9</v>
      </c>
      <c r="D80" s="297">
        <v>6</v>
      </c>
      <c r="E80" s="297">
        <v>3</v>
      </c>
      <c r="F80" s="297">
        <v>0</v>
      </c>
    </row>
    <row r="81" spans="1:6" ht="13.5">
      <c r="B81" s="290" t="s">
        <v>262</v>
      </c>
      <c r="C81" s="297">
        <v>19</v>
      </c>
      <c r="D81" s="297">
        <v>13</v>
      </c>
      <c r="E81" s="297">
        <v>6</v>
      </c>
      <c r="F81" s="297">
        <v>0</v>
      </c>
    </row>
    <row r="82" spans="1:6" ht="13.5">
      <c r="B82" s="290" t="s">
        <v>263</v>
      </c>
      <c r="C82" s="297">
        <v>23</v>
      </c>
      <c r="D82" s="297">
        <v>13</v>
      </c>
      <c r="E82" s="297">
        <v>10</v>
      </c>
      <c r="F82" s="297">
        <v>0</v>
      </c>
    </row>
    <row r="83" spans="1:6" ht="13.5">
      <c r="B83" s="290" t="s">
        <v>264</v>
      </c>
      <c r="C83" s="297">
        <v>22</v>
      </c>
      <c r="D83" s="297">
        <v>16</v>
      </c>
      <c r="E83" s="297">
        <v>6</v>
      </c>
      <c r="F83" s="297">
        <v>0</v>
      </c>
    </row>
    <row r="84" spans="1:6" ht="13.5">
      <c r="B84" s="290" t="s">
        <v>265</v>
      </c>
      <c r="C84" s="297">
        <v>30</v>
      </c>
      <c r="D84" s="297">
        <v>19</v>
      </c>
      <c r="E84" s="297">
        <v>11</v>
      </c>
      <c r="F84" s="297">
        <v>0</v>
      </c>
    </row>
    <row r="85" spans="1:6" ht="13.5">
      <c r="B85" s="290" t="s">
        <v>266</v>
      </c>
      <c r="C85" s="297">
        <v>193</v>
      </c>
      <c r="D85" s="297">
        <v>113</v>
      </c>
      <c r="E85" s="297">
        <v>80</v>
      </c>
      <c r="F85" s="297">
        <v>0</v>
      </c>
    </row>
    <row r="86" spans="1:6" ht="13.5">
      <c r="B86" s="290" t="s">
        <v>504</v>
      </c>
      <c r="C86" s="297">
        <v>1</v>
      </c>
      <c r="D86" s="297">
        <v>0</v>
      </c>
      <c r="E86" s="297">
        <v>1</v>
      </c>
      <c r="F86" s="297">
        <v>0</v>
      </c>
    </row>
    <row r="87" spans="1:6" ht="5.0999999999999996" customHeight="1">
      <c r="B87" s="290"/>
      <c r="C87" s="297"/>
      <c r="D87" s="297"/>
      <c r="E87" s="297"/>
      <c r="F87" s="297"/>
    </row>
    <row r="88" spans="1:6" ht="12.75" customHeight="1">
      <c r="A88" s="292" t="s">
        <v>79</v>
      </c>
      <c r="B88" s="290"/>
      <c r="C88" s="295">
        <v>610</v>
      </c>
      <c r="D88" s="295">
        <v>370</v>
      </c>
      <c r="E88" s="295">
        <v>240</v>
      </c>
      <c r="F88" s="295">
        <v>0</v>
      </c>
    </row>
    <row r="89" spans="1:6" ht="5.0999999999999996" customHeight="1">
      <c r="B89" s="290"/>
      <c r="C89" s="297"/>
      <c r="D89" s="297"/>
      <c r="E89" s="297"/>
      <c r="F89" s="297"/>
    </row>
    <row r="90" spans="1:6" ht="12.75" customHeight="1">
      <c r="B90" s="290" t="s">
        <v>503</v>
      </c>
      <c r="C90" s="297">
        <v>10</v>
      </c>
      <c r="D90" s="297">
        <v>2</v>
      </c>
      <c r="E90" s="297">
        <v>8</v>
      </c>
      <c r="F90" s="297">
        <v>0</v>
      </c>
    </row>
    <row r="91" spans="1:6" ht="13.5">
      <c r="B91" s="290" t="s">
        <v>259</v>
      </c>
      <c r="C91" s="297">
        <v>3</v>
      </c>
      <c r="D91" s="297">
        <v>2</v>
      </c>
      <c r="E91" s="297">
        <v>1</v>
      </c>
      <c r="F91" s="297">
        <v>0</v>
      </c>
    </row>
    <row r="92" spans="1:6" ht="13.5">
      <c r="B92" s="290" t="s">
        <v>261</v>
      </c>
      <c r="C92" s="297">
        <v>3</v>
      </c>
      <c r="D92" s="297">
        <v>2</v>
      </c>
      <c r="E92" s="297">
        <v>1</v>
      </c>
      <c r="F92" s="297">
        <v>0</v>
      </c>
    </row>
    <row r="93" spans="1:6" ht="13.5">
      <c r="B93" s="290" t="s">
        <v>63</v>
      </c>
      <c r="C93" s="297">
        <v>13</v>
      </c>
      <c r="D93" s="297">
        <v>8</v>
      </c>
      <c r="E93" s="297">
        <v>5</v>
      </c>
      <c r="F93" s="297">
        <v>0</v>
      </c>
    </row>
    <row r="94" spans="1:6" ht="13.5">
      <c r="B94" s="290" t="s">
        <v>64</v>
      </c>
      <c r="C94" s="297">
        <v>22</v>
      </c>
      <c r="D94" s="297">
        <v>18</v>
      </c>
      <c r="E94" s="297">
        <v>4</v>
      </c>
      <c r="F94" s="297">
        <v>0</v>
      </c>
    </row>
    <row r="95" spans="1:6" ht="13.5">
      <c r="B95" s="290" t="s">
        <v>65</v>
      </c>
      <c r="C95" s="297">
        <v>14</v>
      </c>
      <c r="D95" s="297">
        <v>11</v>
      </c>
      <c r="E95" s="297">
        <v>3</v>
      </c>
      <c r="F95" s="297">
        <v>0</v>
      </c>
    </row>
    <row r="96" spans="1:6" ht="13.5">
      <c r="B96" s="290" t="s">
        <v>66</v>
      </c>
      <c r="C96" s="297">
        <v>13</v>
      </c>
      <c r="D96" s="297">
        <v>10</v>
      </c>
      <c r="E96" s="297">
        <v>3</v>
      </c>
      <c r="F96" s="297">
        <v>0</v>
      </c>
    </row>
    <row r="97" spans="1:6" ht="13.5">
      <c r="B97" s="290" t="s">
        <v>67</v>
      </c>
      <c r="C97" s="297">
        <v>30</v>
      </c>
      <c r="D97" s="297">
        <v>20</v>
      </c>
      <c r="E97" s="297">
        <v>10</v>
      </c>
      <c r="F97" s="297">
        <v>0</v>
      </c>
    </row>
    <row r="98" spans="1:6" ht="13.5">
      <c r="B98" s="290" t="s">
        <v>68</v>
      </c>
      <c r="C98" s="297">
        <v>25</v>
      </c>
      <c r="D98" s="297">
        <v>15</v>
      </c>
      <c r="E98" s="297">
        <v>10</v>
      </c>
      <c r="F98" s="297">
        <v>0</v>
      </c>
    </row>
    <row r="99" spans="1:6" ht="13.5">
      <c r="B99" s="290" t="s">
        <v>69</v>
      </c>
      <c r="C99" s="297">
        <v>17</v>
      </c>
      <c r="D99" s="297">
        <v>11</v>
      </c>
      <c r="E99" s="297">
        <v>6</v>
      </c>
      <c r="F99" s="297">
        <v>0</v>
      </c>
    </row>
    <row r="100" spans="1:6" ht="13.5">
      <c r="B100" s="290" t="s">
        <v>262</v>
      </c>
      <c r="C100" s="297">
        <v>31</v>
      </c>
      <c r="D100" s="297">
        <v>21</v>
      </c>
      <c r="E100" s="297">
        <v>10</v>
      </c>
      <c r="F100" s="297">
        <v>0</v>
      </c>
    </row>
    <row r="101" spans="1:6" ht="13.5">
      <c r="B101" s="290" t="s">
        <v>263</v>
      </c>
      <c r="C101" s="297">
        <v>35</v>
      </c>
      <c r="D101" s="297">
        <v>27</v>
      </c>
      <c r="E101" s="297">
        <v>8</v>
      </c>
      <c r="F101" s="297">
        <v>0</v>
      </c>
    </row>
    <row r="102" spans="1:6" ht="13.5">
      <c r="B102" s="290" t="s">
        <v>264</v>
      </c>
      <c r="C102" s="297">
        <v>46</v>
      </c>
      <c r="D102" s="297">
        <v>33</v>
      </c>
      <c r="E102" s="297">
        <v>13</v>
      </c>
      <c r="F102" s="297">
        <v>0</v>
      </c>
    </row>
    <row r="103" spans="1:6" ht="13.5">
      <c r="B103" s="290" t="s">
        <v>265</v>
      </c>
      <c r="C103" s="297">
        <v>55</v>
      </c>
      <c r="D103" s="297">
        <v>29</v>
      </c>
      <c r="E103" s="297">
        <v>26</v>
      </c>
      <c r="F103" s="297">
        <v>0</v>
      </c>
    </row>
    <row r="104" spans="1:6" ht="13.5">
      <c r="B104" s="290" t="s">
        <v>266</v>
      </c>
      <c r="C104" s="297">
        <v>290</v>
      </c>
      <c r="D104" s="297">
        <v>161</v>
      </c>
      <c r="E104" s="297">
        <v>129</v>
      </c>
      <c r="F104" s="297">
        <v>0</v>
      </c>
    </row>
    <row r="105" spans="1:6" ht="13.5">
      <c r="B105" s="290" t="s">
        <v>504</v>
      </c>
      <c r="C105" s="297">
        <v>3</v>
      </c>
      <c r="D105" s="297">
        <v>0</v>
      </c>
      <c r="E105" s="297">
        <v>3</v>
      </c>
      <c r="F105" s="297">
        <v>0</v>
      </c>
    </row>
    <row r="106" spans="1:6" ht="5.0999999999999996" customHeight="1">
      <c r="B106" s="290"/>
      <c r="C106" s="297"/>
      <c r="D106" s="297"/>
      <c r="E106" s="297"/>
      <c r="F106" s="297"/>
    </row>
    <row r="107" spans="1:6" ht="12.75" customHeight="1">
      <c r="A107" s="292" t="s">
        <v>80</v>
      </c>
      <c r="B107" s="290"/>
      <c r="C107" s="295">
        <v>257</v>
      </c>
      <c r="D107" s="295">
        <v>164</v>
      </c>
      <c r="E107" s="295">
        <v>93</v>
      </c>
      <c r="F107" s="295">
        <v>0</v>
      </c>
    </row>
    <row r="108" spans="1:6" ht="5.0999999999999996" customHeight="1">
      <c r="B108" s="290"/>
      <c r="C108" s="297"/>
      <c r="D108" s="297"/>
      <c r="E108" s="297"/>
      <c r="F108" s="297"/>
    </row>
    <row r="109" spans="1:6" ht="12.75" customHeight="1">
      <c r="B109" s="290" t="s">
        <v>503</v>
      </c>
      <c r="C109" s="297">
        <v>1</v>
      </c>
      <c r="D109" s="297">
        <v>1</v>
      </c>
      <c r="E109" s="297">
        <v>0</v>
      </c>
      <c r="F109" s="297">
        <v>0</v>
      </c>
    </row>
    <row r="110" spans="1:6" ht="12.75" customHeight="1">
      <c r="B110" s="290" t="s">
        <v>261</v>
      </c>
      <c r="C110" s="297">
        <v>1</v>
      </c>
      <c r="D110" s="297">
        <v>0</v>
      </c>
      <c r="E110" s="297">
        <v>1</v>
      </c>
      <c r="F110" s="297">
        <v>0</v>
      </c>
    </row>
    <row r="111" spans="1:6" ht="13.5">
      <c r="B111" s="290" t="s">
        <v>63</v>
      </c>
      <c r="C111" s="297">
        <v>2</v>
      </c>
      <c r="D111" s="297">
        <v>2</v>
      </c>
      <c r="E111" s="297">
        <v>0</v>
      </c>
      <c r="F111" s="297">
        <v>0</v>
      </c>
    </row>
    <row r="112" spans="1:6" ht="13.5">
      <c r="B112" s="290" t="s">
        <v>64</v>
      </c>
      <c r="C112" s="297">
        <v>5</v>
      </c>
      <c r="D112" s="297">
        <v>2</v>
      </c>
      <c r="E112" s="297">
        <v>3</v>
      </c>
      <c r="F112" s="297">
        <v>0</v>
      </c>
    </row>
    <row r="113" spans="1:6" ht="13.5">
      <c r="B113" s="290" t="s">
        <v>65</v>
      </c>
      <c r="C113" s="297">
        <v>2</v>
      </c>
      <c r="D113" s="297">
        <v>2</v>
      </c>
      <c r="E113" s="297">
        <v>0</v>
      </c>
      <c r="F113" s="297">
        <v>0</v>
      </c>
    </row>
    <row r="114" spans="1:6" ht="13.5">
      <c r="B114" s="290" t="s">
        <v>66</v>
      </c>
      <c r="C114" s="297">
        <v>10</v>
      </c>
      <c r="D114" s="297">
        <v>7</v>
      </c>
      <c r="E114" s="297">
        <v>3</v>
      </c>
      <c r="F114" s="297">
        <v>0</v>
      </c>
    </row>
    <row r="115" spans="1:6" ht="13.5">
      <c r="B115" s="290" t="s">
        <v>67</v>
      </c>
      <c r="C115" s="297">
        <v>10</v>
      </c>
      <c r="D115" s="297">
        <v>7</v>
      </c>
      <c r="E115" s="297">
        <v>3</v>
      </c>
      <c r="F115" s="297">
        <v>0</v>
      </c>
    </row>
    <row r="116" spans="1:6" ht="13.5">
      <c r="B116" s="290" t="s">
        <v>68</v>
      </c>
      <c r="C116" s="297">
        <v>12</v>
      </c>
      <c r="D116" s="297">
        <v>7</v>
      </c>
      <c r="E116" s="297">
        <v>5</v>
      </c>
      <c r="F116" s="297">
        <v>0</v>
      </c>
    </row>
    <row r="117" spans="1:6" ht="13.5">
      <c r="B117" s="290" t="s">
        <v>69</v>
      </c>
      <c r="C117" s="297">
        <v>12</v>
      </c>
      <c r="D117" s="297">
        <v>8</v>
      </c>
      <c r="E117" s="297">
        <v>4</v>
      </c>
      <c r="F117" s="297">
        <v>0</v>
      </c>
    </row>
    <row r="118" spans="1:6" ht="13.5">
      <c r="B118" s="290" t="s">
        <v>262</v>
      </c>
      <c r="C118" s="297">
        <v>13</v>
      </c>
      <c r="D118" s="297">
        <v>9</v>
      </c>
      <c r="E118" s="297">
        <v>4</v>
      </c>
      <c r="F118" s="297">
        <v>0</v>
      </c>
    </row>
    <row r="119" spans="1:6" ht="13.5">
      <c r="B119" s="290" t="s">
        <v>263</v>
      </c>
      <c r="C119" s="297">
        <v>20</v>
      </c>
      <c r="D119" s="297">
        <v>12</v>
      </c>
      <c r="E119" s="297">
        <v>8</v>
      </c>
      <c r="F119" s="297">
        <v>0</v>
      </c>
    </row>
    <row r="120" spans="1:6" ht="13.5">
      <c r="B120" s="290" t="s">
        <v>264</v>
      </c>
      <c r="C120" s="297">
        <v>21</v>
      </c>
      <c r="D120" s="297">
        <v>18</v>
      </c>
      <c r="E120" s="297">
        <v>3</v>
      </c>
      <c r="F120" s="297">
        <v>0</v>
      </c>
    </row>
    <row r="121" spans="1:6" ht="13.5">
      <c r="B121" s="290" t="s">
        <v>265</v>
      </c>
      <c r="C121" s="297">
        <v>16</v>
      </c>
      <c r="D121" s="297">
        <v>8</v>
      </c>
      <c r="E121" s="297">
        <v>8</v>
      </c>
      <c r="F121" s="297">
        <v>0</v>
      </c>
    </row>
    <row r="122" spans="1:6" ht="13.5">
      <c r="B122" s="290" t="s">
        <v>266</v>
      </c>
      <c r="C122" s="297">
        <v>128</v>
      </c>
      <c r="D122" s="297">
        <v>78</v>
      </c>
      <c r="E122" s="297">
        <v>50</v>
      </c>
      <c r="F122" s="297">
        <v>0</v>
      </c>
    </row>
    <row r="123" spans="1:6" ht="13.5">
      <c r="B123" s="290" t="s">
        <v>504</v>
      </c>
      <c r="C123" s="297">
        <v>4</v>
      </c>
      <c r="D123" s="297">
        <v>3</v>
      </c>
      <c r="E123" s="297">
        <v>1</v>
      </c>
      <c r="F123" s="297">
        <v>0</v>
      </c>
    </row>
    <row r="124" spans="1:6" ht="5.0999999999999996" customHeight="1">
      <c r="B124" s="290"/>
      <c r="C124" s="297"/>
      <c r="D124" s="297"/>
      <c r="E124" s="297"/>
      <c r="F124" s="297"/>
    </row>
    <row r="125" spans="1:6" ht="13.5">
      <c r="A125" s="292" t="s">
        <v>81</v>
      </c>
      <c r="B125" s="290"/>
      <c r="C125" s="295">
        <v>1660</v>
      </c>
      <c r="D125" s="295">
        <v>1002</v>
      </c>
      <c r="E125" s="295">
        <v>658</v>
      </c>
      <c r="F125" s="295">
        <v>0</v>
      </c>
    </row>
    <row r="126" spans="1:6" ht="5.0999999999999996" customHeight="1">
      <c r="B126" s="290"/>
      <c r="C126" s="297"/>
      <c r="D126" s="297"/>
      <c r="E126" s="297"/>
      <c r="F126" s="297"/>
    </row>
    <row r="127" spans="1:6" ht="13.5">
      <c r="B127" s="290" t="s">
        <v>503</v>
      </c>
      <c r="C127" s="297">
        <v>89</v>
      </c>
      <c r="D127" s="297">
        <v>56</v>
      </c>
      <c r="E127" s="297">
        <v>33</v>
      </c>
      <c r="F127" s="297">
        <v>0</v>
      </c>
    </row>
    <row r="128" spans="1:6" ht="13.5">
      <c r="B128" s="290" t="s">
        <v>259</v>
      </c>
      <c r="C128" s="297">
        <v>9</v>
      </c>
      <c r="D128" s="297">
        <v>7</v>
      </c>
      <c r="E128" s="297">
        <v>2</v>
      </c>
      <c r="F128" s="297">
        <v>0</v>
      </c>
    </row>
    <row r="129" spans="2:6" ht="13.5">
      <c r="B129" s="290" t="s">
        <v>260</v>
      </c>
      <c r="C129" s="297">
        <v>5</v>
      </c>
      <c r="D129" s="297">
        <v>2</v>
      </c>
      <c r="E129" s="297">
        <v>3</v>
      </c>
      <c r="F129" s="297">
        <v>0</v>
      </c>
    </row>
    <row r="130" spans="2:6" ht="13.5">
      <c r="B130" s="290" t="s">
        <v>261</v>
      </c>
      <c r="C130" s="297">
        <v>6</v>
      </c>
      <c r="D130" s="297">
        <v>3</v>
      </c>
      <c r="E130" s="297">
        <v>3</v>
      </c>
      <c r="F130" s="297">
        <v>0</v>
      </c>
    </row>
    <row r="131" spans="2:6" ht="13.5">
      <c r="B131" s="290" t="s">
        <v>63</v>
      </c>
      <c r="C131" s="297">
        <v>22</v>
      </c>
      <c r="D131" s="297">
        <v>14</v>
      </c>
      <c r="E131" s="297">
        <v>8</v>
      </c>
      <c r="F131" s="297">
        <v>0</v>
      </c>
    </row>
    <row r="132" spans="2:6" ht="13.5">
      <c r="B132" s="290" t="s">
        <v>64</v>
      </c>
      <c r="C132" s="297">
        <v>35</v>
      </c>
      <c r="D132" s="297">
        <v>25</v>
      </c>
      <c r="E132" s="297">
        <v>10</v>
      </c>
      <c r="F132" s="297">
        <v>0</v>
      </c>
    </row>
    <row r="133" spans="2:6" ht="13.5">
      <c r="B133" s="290" t="s">
        <v>65</v>
      </c>
      <c r="C133" s="297">
        <v>54</v>
      </c>
      <c r="D133" s="297">
        <v>38</v>
      </c>
      <c r="E133" s="297">
        <v>16</v>
      </c>
      <c r="F133" s="297">
        <v>0</v>
      </c>
    </row>
    <row r="134" spans="2:6" ht="13.5">
      <c r="B134" s="290" t="s">
        <v>66</v>
      </c>
      <c r="C134" s="297">
        <v>49</v>
      </c>
      <c r="D134" s="297">
        <v>29</v>
      </c>
      <c r="E134" s="297">
        <v>20</v>
      </c>
      <c r="F134" s="297">
        <v>0</v>
      </c>
    </row>
    <row r="135" spans="2:6" ht="13.5">
      <c r="B135" s="290" t="s">
        <v>67</v>
      </c>
      <c r="C135" s="297">
        <v>43</v>
      </c>
      <c r="D135" s="297">
        <v>35</v>
      </c>
      <c r="E135" s="297">
        <v>8</v>
      </c>
      <c r="F135" s="297">
        <v>0</v>
      </c>
    </row>
    <row r="136" spans="2:6" ht="13.5">
      <c r="B136" s="290" t="s">
        <v>68</v>
      </c>
      <c r="C136" s="297">
        <v>57</v>
      </c>
      <c r="D136" s="297">
        <v>45</v>
      </c>
      <c r="E136" s="297">
        <v>12</v>
      </c>
      <c r="F136" s="297">
        <v>0</v>
      </c>
    </row>
    <row r="137" spans="2:6" ht="13.5">
      <c r="B137" s="290" t="s">
        <v>69</v>
      </c>
      <c r="C137" s="297">
        <v>58</v>
      </c>
      <c r="D137" s="297">
        <v>37</v>
      </c>
      <c r="E137" s="297">
        <v>21</v>
      </c>
      <c r="F137" s="297">
        <v>0</v>
      </c>
    </row>
    <row r="138" spans="2:6" ht="13.5">
      <c r="B138" s="290" t="s">
        <v>262</v>
      </c>
      <c r="C138" s="297">
        <v>85</v>
      </c>
      <c r="D138" s="297">
        <v>47</v>
      </c>
      <c r="E138" s="297">
        <v>38</v>
      </c>
      <c r="F138" s="297">
        <v>0</v>
      </c>
    </row>
    <row r="139" spans="2:6" ht="13.5">
      <c r="B139" s="290" t="s">
        <v>263</v>
      </c>
      <c r="C139" s="297">
        <v>95</v>
      </c>
      <c r="D139" s="297">
        <v>59</v>
      </c>
      <c r="E139" s="297">
        <v>36</v>
      </c>
      <c r="F139" s="297">
        <v>0</v>
      </c>
    </row>
    <row r="140" spans="2:6" ht="13.5">
      <c r="B140" s="290" t="s">
        <v>264</v>
      </c>
      <c r="C140" s="297">
        <v>137</v>
      </c>
      <c r="D140" s="297">
        <v>84</v>
      </c>
      <c r="E140" s="297">
        <v>53</v>
      </c>
      <c r="F140" s="297">
        <v>0</v>
      </c>
    </row>
    <row r="141" spans="2:6" ht="13.5">
      <c r="B141" s="290" t="s">
        <v>265</v>
      </c>
      <c r="C141" s="297">
        <v>122</v>
      </c>
      <c r="D141" s="297">
        <v>75</v>
      </c>
      <c r="E141" s="297">
        <v>47</v>
      </c>
      <c r="F141" s="297">
        <v>0</v>
      </c>
    </row>
    <row r="142" spans="2:6" ht="13.5">
      <c r="B142" s="290" t="s">
        <v>266</v>
      </c>
      <c r="C142" s="297">
        <v>783</v>
      </c>
      <c r="D142" s="297">
        <v>439</v>
      </c>
      <c r="E142" s="297">
        <v>344</v>
      </c>
      <c r="F142" s="297">
        <v>0</v>
      </c>
    </row>
    <row r="143" spans="2:6" ht="13.5">
      <c r="B143" s="290" t="s">
        <v>504</v>
      </c>
      <c r="C143" s="297">
        <v>11</v>
      </c>
      <c r="D143" s="297">
        <v>7</v>
      </c>
      <c r="E143" s="297">
        <v>4</v>
      </c>
      <c r="F143" s="297">
        <v>0</v>
      </c>
    </row>
    <row r="144" spans="2:6" ht="5.0999999999999996" customHeight="1">
      <c r="B144" s="290"/>
      <c r="C144" s="297"/>
      <c r="D144" s="297"/>
      <c r="E144" s="297"/>
      <c r="F144" s="297"/>
    </row>
    <row r="145" spans="1:6" ht="13.5">
      <c r="A145" s="292" t="s">
        <v>82</v>
      </c>
      <c r="B145" s="290"/>
      <c r="C145" s="295">
        <v>261</v>
      </c>
      <c r="D145" s="295">
        <v>162</v>
      </c>
      <c r="E145" s="295">
        <v>99</v>
      </c>
      <c r="F145" s="295">
        <v>0</v>
      </c>
    </row>
    <row r="146" spans="1:6" ht="5.0999999999999996" customHeight="1">
      <c r="B146" s="290"/>
      <c r="C146" s="297"/>
      <c r="D146" s="297"/>
      <c r="E146" s="297"/>
      <c r="F146" s="297"/>
    </row>
    <row r="147" spans="1:6" ht="13.5">
      <c r="B147" s="290" t="s">
        <v>503</v>
      </c>
      <c r="C147" s="297">
        <v>2</v>
      </c>
      <c r="D147" s="297">
        <v>0</v>
      </c>
      <c r="E147" s="297">
        <v>2</v>
      </c>
      <c r="F147" s="297">
        <v>0</v>
      </c>
    </row>
    <row r="148" spans="1:6" ht="13.5">
      <c r="B148" s="290" t="s">
        <v>259</v>
      </c>
      <c r="C148" s="297">
        <v>2</v>
      </c>
      <c r="D148" s="297">
        <v>2</v>
      </c>
      <c r="E148" s="297">
        <v>0</v>
      </c>
      <c r="F148" s="297">
        <v>0</v>
      </c>
    </row>
    <row r="149" spans="1:6" ht="13.5">
      <c r="B149" s="290" t="s">
        <v>261</v>
      </c>
      <c r="C149" s="297">
        <v>1</v>
      </c>
      <c r="D149" s="297">
        <v>1</v>
      </c>
      <c r="E149" s="297">
        <v>0</v>
      </c>
      <c r="F149" s="297">
        <v>0</v>
      </c>
    </row>
    <row r="150" spans="1:6" ht="13.5">
      <c r="B150" s="290" t="s">
        <v>63</v>
      </c>
      <c r="C150" s="297">
        <v>4</v>
      </c>
      <c r="D150" s="297">
        <v>1</v>
      </c>
      <c r="E150" s="297">
        <v>3</v>
      </c>
      <c r="F150" s="297">
        <v>0</v>
      </c>
    </row>
    <row r="151" spans="1:6" ht="13.5">
      <c r="B151" s="290" t="s">
        <v>64</v>
      </c>
      <c r="C151" s="297">
        <v>6</v>
      </c>
      <c r="D151" s="297">
        <v>4</v>
      </c>
      <c r="E151" s="297">
        <v>2</v>
      </c>
      <c r="F151" s="297">
        <v>0</v>
      </c>
    </row>
    <row r="152" spans="1:6" ht="13.5">
      <c r="B152" s="290" t="s">
        <v>65</v>
      </c>
      <c r="C152" s="297">
        <v>8</v>
      </c>
      <c r="D152" s="297">
        <v>4</v>
      </c>
      <c r="E152" s="297">
        <v>4</v>
      </c>
      <c r="F152" s="297">
        <v>0</v>
      </c>
    </row>
    <row r="153" spans="1:6" ht="13.5">
      <c r="B153" s="290" t="s">
        <v>66</v>
      </c>
      <c r="C153" s="297">
        <v>6</v>
      </c>
      <c r="D153" s="297">
        <v>6</v>
      </c>
      <c r="E153" s="297">
        <v>0</v>
      </c>
      <c r="F153" s="297">
        <v>0</v>
      </c>
    </row>
    <row r="154" spans="1:6" ht="13.5">
      <c r="B154" s="290" t="s">
        <v>67</v>
      </c>
      <c r="C154" s="297">
        <v>11</v>
      </c>
      <c r="D154" s="297">
        <v>10</v>
      </c>
      <c r="E154" s="297">
        <v>1</v>
      </c>
      <c r="F154" s="297">
        <v>0</v>
      </c>
    </row>
    <row r="155" spans="1:6" ht="13.5">
      <c r="B155" s="290" t="s">
        <v>68</v>
      </c>
      <c r="C155" s="297">
        <v>10</v>
      </c>
      <c r="D155" s="297">
        <v>7</v>
      </c>
      <c r="E155" s="297">
        <v>3</v>
      </c>
      <c r="F155" s="297">
        <v>0</v>
      </c>
    </row>
    <row r="156" spans="1:6" ht="13.5">
      <c r="B156" s="290" t="s">
        <v>69</v>
      </c>
      <c r="C156" s="297">
        <v>12</v>
      </c>
      <c r="D156" s="297">
        <v>8</v>
      </c>
      <c r="E156" s="297">
        <v>4</v>
      </c>
      <c r="F156" s="297">
        <v>0</v>
      </c>
    </row>
    <row r="157" spans="1:6" ht="13.5">
      <c r="B157" s="290" t="s">
        <v>262</v>
      </c>
      <c r="C157" s="297">
        <v>8</v>
      </c>
      <c r="D157" s="297">
        <v>6</v>
      </c>
      <c r="E157" s="297">
        <v>2</v>
      </c>
      <c r="F157" s="297">
        <v>0</v>
      </c>
    </row>
    <row r="158" spans="1:6" ht="13.5">
      <c r="B158" s="290" t="s">
        <v>263</v>
      </c>
      <c r="C158" s="297">
        <v>23</v>
      </c>
      <c r="D158" s="297">
        <v>15</v>
      </c>
      <c r="E158" s="297">
        <v>8</v>
      </c>
      <c r="F158" s="297">
        <v>0</v>
      </c>
    </row>
    <row r="159" spans="1:6" ht="13.5">
      <c r="B159" s="290" t="s">
        <v>264</v>
      </c>
      <c r="C159" s="297">
        <v>12</v>
      </c>
      <c r="D159" s="297">
        <v>8</v>
      </c>
      <c r="E159" s="297">
        <v>4</v>
      </c>
      <c r="F159" s="297">
        <v>0</v>
      </c>
    </row>
    <row r="160" spans="1:6" ht="13.5">
      <c r="B160" s="290" t="s">
        <v>265</v>
      </c>
      <c r="C160" s="297">
        <v>22</v>
      </c>
      <c r="D160" s="297">
        <v>9</v>
      </c>
      <c r="E160" s="297">
        <v>13</v>
      </c>
      <c r="F160" s="297">
        <v>0</v>
      </c>
    </row>
    <row r="161" spans="1:6" ht="13.5">
      <c r="B161" s="290" t="s">
        <v>266</v>
      </c>
      <c r="C161" s="297">
        <v>134</v>
      </c>
      <c r="D161" s="297">
        <v>81</v>
      </c>
      <c r="E161" s="297">
        <v>53</v>
      </c>
      <c r="F161" s="297">
        <v>0</v>
      </c>
    </row>
    <row r="162" spans="1:6" ht="5.0999999999999996" customHeight="1">
      <c r="B162" s="290"/>
      <c r="C162" s="297"/>
      <c r="D162" s="297"/>
      <c r="E162" s="297"/>
      <c r="F162" s="297"/>
    </row>
    <row r="163" spans="1:6" ht="13.5">
      <c r="A163" s="292" t="s">
        <v>83</v>
      </c>
      <c r="B163" s="290"/>
      <c r="C163" s="295">
        <v>411</v>
      </c>
      <c r="D163" s="295">
        <v>236</v>
      </c>
      <c r="E163" s="295">
        <v>175</v>
      </c>
      <c r="F163" s="295">
        <v>0</v>
      </c>
    </row>
    <row r="164" spans="1:6" ht="5.0999999999999996" customHeight="1">
      <c r="B164" s="290"/>
      <c r="C164" s="297"/>
      <c r="D164" s="297"/>
      <c r="E164" s="297"/>
      <c r="F164" s="297"/>
    </row>
    <row r="165" spans="1:6" ht="13.5">
      <c r="B165" s="290" t="s">
        <v>260</v>
      </c>
      <c r="C165" s="297">
        <v>2</v>
      </c>
      <c r="D165" s="297">
        <v>1</v>
      </c>
      <c r="E165" s="297">
        <v>1</v>
      </c>
      <c r="F165" s="297">
        <v>0</v>
      </c>
    </row>
    <row r="166" spans="1:6" ht="13.5">
      <c r="B166" s="290" t="s">
        <v>261</v>
      </c>
      <c r="C166" s="297">
        <v>2</v>
      </c>
      <c r="D166" s="297">
        <v>1</v>
      </c>
      <c r="E166" s="297">
        <v>1</v>
      </c>
      <c r="F166" s="297">
        <v>0</v>
      </c>
    </row>
    <row r="167" spans="1:6" ht="13.5">
      <c r="B167" s="290" t="s">
        <v>63</v>
      </c>
      <c r="C167" s="297">
        <v>7</v>
      </c>
      <c r="D167" s="297">
        <v>5</v>
      </c>
      <c r="E167" s="297">
        <v>2</v>
      </c>
      <c r="F167" s="297">
        <v>0</v>
      </c>
    </row>
    <row r="168" spans="1:6" ht="13.5">
      <c r="B168" s="290" t="s">
        <v>64</v>
      </c>
      <c r="C168" s="297">
        <v>6</v>
      </c>
      <c r="D168" s="297">
        <v>4</v>
      </c>
      <c r="E168" s="297">
        <v>2</v>
      </c>
      <c r="F168" s="297">
        <v>0</v>
      </c>
    </row>
    <row r="169" spans="1:6" ht="13.5">
      <c r="B169" s="290" t="s">
        <v>65</v>
      </c>
      <c r="C169" s="297">
        <v>10</v>
      </c>
      <c r="D169" s="297">
        <v>5</v>
      </c>
      <c r="E169" s="297">
        <v>5</v>
      </c>
      <c r="F169" s="297">
        <v>0</v>
      </c>
    </row>
    <row r="170" spans="1:6" ht="13.5">
      <c r="B170" s="290" t="s">
        <v>66</v>
      </c>
      <c r="C170" s="297">
        <v>8</v>
      </c>
      <c r="D170" s="297">
        <v>5</v>
      </c>
      <c r="E170" s="297">
        <v>3</v>
      </c>
      <c r="F170" s="297">
        <v>0</v>
      </c>
    </row>
    <row r="171" spans="1:6" ht="13.5">
      <c r="B171" s="290" t="s">
        <v>67</v>
      </c>
      <c r="C171" s="297">
        <v>8</v>
      </c>
      <c r="D171" s="297">
        <v>5</v>
      </c>
      <c r="E171" s="297">
        <v>3</v>
      </c>
      <c r="F171" s="297">
        <v>0</v>
      </c>
    </row>
    <row r="172" spans="1:6" ht="13.5">
      <c r="B172" s="290" t="s">
        <v>68</v>
      </c>
      <c r="C172" s="297">
        <v>14</v>
      </c>
      <c r="D172" s="297">
        <v>10</v>
      </c>
      <c r="E172" s="297">
        <v>4</v>
      </c>
      <c r="F172" s="297">
        <v>0</v>
      </c>
    </row>
    <row r="173" spans="1:6" ht="13.5">
      <c r="B173" s="290" t="s">
        <v>69</v>
      </c>
      <c r="C173" s="297">
        <v>17</v>
      </c>
      <c r="D173" s="297">
        <v>7</v>
      </c>
      <c r="E173" s="297">
        <v>10</v>
      </c>
      <c r="F173" s="297">
        <v>0</v>
      </c>
    </row>
    <row r="174" spans="1:6" ht="13.5">
      <c r="B174" s="290" t="s">
        <v>262</v>
      </c>
      <c r="C174" s="297">
        <v>16</v>
      </c>
      <c r="D174" s="297">
        <v>11</v>
      </c>
      <c r="E174" s="297">
        <v>5</v>
      </c>
      <c r="F174" s="297">
        <v>0</v>
      </c>
    </row>
    <row r="175" spans="1:6" ht="13.5">
      <c r="B175" s="290" t="s">
        <v>263</v>
      </c>
      <c r="C175" s="297">
        <v>27</v>
      </c>
      <c r="D175" s="297">
        <v>14</v>
      </c>
      <c r="E175" s="297">
        <v>13</v>
      </c>
      <c r="F175" s="297">
        <v>0</v>
      </c>
    </row>
    <row r="176" spans="1:6" ht="13.5">
      <c r="B176" s="290" t="s">
        <v>264</v>
      </c>
      <c r="C176" s="297">
        <v>28</v>
      </c>
      <c r="D176" s="297">
        <v>17</v>
      </c>
      <c r="E176" s="297">
        <v>11</v>
      </c>
      <c r="F176" s="297">
        <v>0</v>
      </c>
    </row>
    <row r="177" spans="1:6" ht="13.5">
      <c r="B177" s="290" t="s">
        <v>265</v>
      </c>
      <c r="C177" s="297">
        <v>36</v>
      </c>
      <c r="D177" s="297">
        <v>24</v>
      </c>
      <c r="E177" s="297">
        <v>12</v>
      </c>
      <c r="F177" s="297">
        <v>0</v>
      </c>
    </row>
    <row r="178" spans="1:6" ht="13.5">
      <c r="B178" s="290" t="s">
        <v>266</v>
      </c>
      <c r="C178" s="297">
        <v>230</v>
      </c>
      <c r="D178" s="297">
        <v>127</v>
      </c>
      <c r="E178" s="297">
        <v>103</v>
      </c>
      <c r="F178" s="297">
        <v>0</v>
      </c>
    </row>
    <row r="179" spans="1:6" ht="5.0999999999999996" customHeight="1">
      <c r="B179" s="290"/>
      <c r="C179" s="297"/>
      <c r="D179" s="297"/>
      <c r="E179" s="297"/>
      <c r="F179" s="297"/>
    </row>
    <row r="180" spans="1:6" ht="13.5">
      <c r="A180" s="292" t="s">
        <v>84</v>
      </c>
      <c r="B180" s="290"/>
      <c r="C180" s="295">
        <v>1199</v>
      </c>
      <c r="D180" s="295">
        <v>741</v>
      </c>
      <c r="E180" s="295">
        <v>458</v>
      </c>
      <c r="F180" s="295">
        <v>0</v>
      </c>
    </row>
    <row r="181" spans="1:6" ht="5.0999999999999996" customHeight="1">
      <c r="B181" s="290"/>
      <c r="C181" s="297"/>
      <c r="D181" s="297"/>
      <c r="E181" s="297"/>
      <c r="F181" s="297"/>
    </row>
    <row r="182" spans="1:6" ht="13.5">
      <c r="B182" s="290" t="s">
        <v>503</v>
      </c>
      <c r="C182" s="297">
        <v>4</v>
      </c>
      <c r="D182" s="297">
        <v>1</v>
      </c>
      <c r="E182" s="297">
        <v>3</v>
      </c>
      <c r="F182" s="297">
        <v>0</v>
      </c>
    </row>
    <row r="183" spans="1:6" ht="13.5">
      <c r="B183" s="290" t="s">
        <v>259</v>
      </c>
      <c r="C183" s="297">
        <v>5</v>
      </c>
      <c r="D183" s="297">
        <v>4</v>
      </c>
      <c r="E183" s="297">
        <v>1</v>
      </c>
      <c r="F183" s="297">
        <v>0</v>
      </c>
    </row>
    <row r="184" spans="1:6" ht="13.5">
      <c r="B184" s="290" t="s">
        <v>260</v>
      </c>
      <c r="C184" s="297">
        <v>5</v>
      </c>
      <c r="D184" s="297">
        <v>1</v>
      </c>
      <c r="E184" s="297">
        <v>4</v>
      </c>
      <c r="F184" s="297">
        <v>0</v>
      </c>
    </row>
    <row r="185" spans="1:6" ht="13.5">
      <c r="B185" s="290" t="s">
        <v>261</v>
      </c>
      <c r="C185" s="297">
        <v>1</v>
      </c>
      <c r="D185" s="297">
        <v>1</v>
      </c>
      <c r="E185" s="297">
        <v>0</v>
      </c>
      <c r="F185" s="297">
        <v>0</v>
      </c>
    </row>
    <row r="186" spans="1:6" ht="13.5">
      <c r="B186" s="290" t="s">
        <v>63</v>
      </c>
      <c r="C186" s="297">
        <v>22</v>
      </c>
      <c r="D186" s="297">
        <v>17</v>
      </c>
      <c r="E186" s="297">
        <v>5</v>
      </c>
      <c r="F186" s="297">
        <v>0</v>
      </c>
    </row>
    <row r="187" spans="1:6" ht="13.5">
      <c r="B187" s="290" t="s">
        <v>64</v>
      </c>
      <c r="C187" s="297">
        <v>21</v>
      </c>
      <c r="D187" s="297">
        <v>16</v>
      </c>
      <c r="E187" s="297">
        <v>5</v>
      </c>
      <c r="F187" s="297">
        <v>0</v>
      </c>
    </row>
    <row r="188" spans="1:6" ht="13.5">
      <c r="B188" s="290" t="s">
        <v>65</v>
      </c>
      <c r="C188" s="297">
        <v>22</v>
      </c>
      <c r="D188" s="297">
        <v>18</v>
      </c>
      <c r="E188" s="297">
        <v>4</v>
      </c>
      <c r="F188" s="297">
        <v>0</v>
      </c>
    </row>
    <row r="189" spans="1:6" ht="13.5">
      <c r="B189" s="290" t="s">
        <v>66</v>
      </c>
      <c r="C189" s="297">
        <v>29</v>
      </c>
      <c r="D189" s="297">
        <v>20</v>
      </c>
      <c r="E189" s="297">
        <v>9</v>
      </c>
      <c r="F189" s="297">
        <v>0</v>
      </c>
    </row>
    <row r="190" spans="1:6" ht="13.5">
      <c r="B190" s="290" t="s">
        <v>67</v>
      </c>
      <c r="C190" s="297">
        <v>24</v>
      </c>
      <c r="D190" s="297">
        <v>13</v>
      </c>
      <c r="E190" s="297">
        <v>11</v>
      </c>
      <c r="F190" s="297">
        <v>0</v>
      </c>
    </row>
    <row r="191" spans="1:6" ht="13.5">
      <c r="B191" s="290" t="s">
        <v>68</v>
      </c>
      <c r="C191" s="297">
        <v>35</v>
      </c>
      <c r="D191" s="297">
        <v>26</v>
      </c>
      <c r="E191" s="297">
        <v>9</v>
      </c>
      <c r="F191" s="297">
        <v>0</v>
      </c>
    </row>
    <row r="192" spans="1:6" ht="13.5">
      <c r="B192" s="290" t="s">
        <v>69</v>
      </c>
      <c r="C192" s="297">
        <v>52</v>
      </c>
      <c r="D192" s="297">
        <v>35</v>
      </c>
      <c r="E192" s="297">
        <v>17</v>
      </c>
      <c r="F192" s="297">
        <v>0</v>
      </c>
    </row>
    <row r="193" spans="1:6" ht="13.5">
      <c r="B193" s="290" t="s">
        <v>262</v>
      </c>
      <c r="C193" s="297">
        <v>57</v>
      </c>
      <c r="D193" s="297">
        <v>44</v>
      </c>
      <c r="E193" s="297">
        <v>13</v>
      </c>
      <c r="F193" s="297">
        <v>0</v>
      </c>
    </row>
    <row r="194" spans="1:6" ht="13.5">
      <c r="B194" s="290" t="s">
        <v>263</v>
      </c>
      <c r="C194" s="297">
        <v>77</v>
      </c>
      <c r="D194" s="297">
        <v>56</v>
      </c>
      <c r="E194" s="297">
        <v>21</v>
      </c>
      <c r="F194" s="297">
        <v>0</v>
      </c>
    </row>
    <row r="195" spans="1:6" ht="13.5">
      <c r="B195" s="290" t="s">
        <v>264</v>
      </c>
      <c r="C195" s="297">
        <v>102</v>
      </c>
      <c r="D195" s="297">
        <v>67</v>
      </c>
      <c r="E195" s="297">
        <v>35</v>
      </c>
      <c r="F195" s="297">
        <v>0</v>
      </c>
    </row>
    <row r="196" spans="1:6" ht="13.5">
      <c r="B196" s="290" t="s">
        <v>265</v>
      </c>
      <c r="C196" s="297">
        <v>98</v>
      </c>
      <c r="D196" s="297">
        <v>71</v>
      </c>
      <c r="E196" s="297">
        <v>27</v>
      </c>
      <c r="F196" s="297">
        <v>0</v>
      </c>
    </row>
    <row r="197" spans="1:6" ht="13.5">
      <c r="B197" s="290" t="s">
        <v>266</v>
      </c>
      <c r="C197" s="297">
        <v>640</v>
      </c>
      <c r="D197" s="297">
        <v>348</v>
      </c>
      <c r="E197" s="297">
        <v>292</v>
      </c>
      <c r="F197" s="297">
        <v>0</v>
      </c>
    </row>
    <row r="198" spans="1:6" ht="13.5">
      <c r="B198" s="290" t="s">
        <v>504</v>
      </c>
      <c r="C198" s="297">
        <v>5</v>
      </c>
      <c r="D198" s="297">
        <v>3</v>
      </c>
      <c r="E198" s="297">
        <v>2</v>
      </c>
      <c r="F198" s="297">
        <v>0</v>
      </c>
    </row>
    <row r="199" spans="1:6" ht="5.0999999999999996" customHeight="1">
      <c r="B199" s="290"/>
      <c r="C199" s="297"/>
      <c r="D199" s="297"/>
      <c r="E199" s="297"/>
      <c r="F199" s="297"/>
    </row>
    <row r="200" spans="1:6" ht="13.5">
      <c r="A200" s="292" t="s">
        <v>85</v>
      </c>
      <c r="B200" s="290"/>
      <c r="C200" s="295">
        <v>242</v>
      </c>
      <c r="D200" s="295">
        <v>168</v>
      </c>
      <c r="E200" s="295">
        <v>74</v>
      </c>
      <c r="F200" s="295">
        <v>0</v>
      </c>
    </row>
    <row r="201" spans="1:6" ht="5.0999999999999996" customHeight="1">
      <c r="B201" s="290"/>
      <c r="C201" s="297"/>
      <c r="D201" s="297"/>
      <c r="E201" s="297"/>
      <c r="F201" s="297"/>
    </row>
    <row r="202" spans="1:6" ht="13.5">
      <c r="B202" s="290" t="s">
        <v>503</v>
      </c>
      <c r="C202" s="297">
        <v>2</v>
      </c>
      <c r="D202" s="297">
        <v>1</v>
      </c>
      <c r="E202" s="297">
        <v>1</v>
      </c>
      <c r="F202" s="297">
        <v>0</v>
      </c>
    </row>
    <row r="203" spans="1:6" ht="13.5">
      <c r="B203" s="290" t="s">
        <v>260</v>
      </c>
      <c r="C203" s="297">
        <v>1</v>
      </c>
      <c r="D203" s="297">
        <v>0</v>
      </c>
      <c r="E203" s="297">
        <v>1</v>
      </c>
      <c r="F203" s="297">
        <v>0</v>
      </c>
    </row>
    <row r="204" spans="1:6" ht="13.5">
      <c r="B204" s="290" t="s">
        <v>261</v>
      </c>
      <c r="C204" s="297">
        <v>1</v>
      </c>
      <c r="D204" s="297">
        <v>1</v>
      </c>
      <c r="E204" s="297">
        <v>0</v>
      </c>
      <c r="F204" s="297">
        <v>0</v>
      </c>
    </row>
    <row r="205" spans="1:6" ht="13.5">
      <c r="B205" s="290" t="s">
        <v>63</v>
      </c>
      <c r="C205" s="297">
        <v>4</v>
      </c>
      <c r="D205" s="297">
        <v>4</v>
      </c>
      <c r="E205" s="297">
        <v>0</v>
      </c>
      <c r="F205" s="297">
        <v>0</v>
      </c>
    </row>
    <row r="206" spans="1:6" ht="13.5">
      <c r="B206" s="290" t="s">
        <v>64</v>
      </c>
      <c r="C206" s="297">
        <v>3</v>
      </c>
      <c r="D206" s="297">
        <v>1</v>
      </c>
      <c r="E206" s="297">
        <v>2</v>
      </c>
      <c r="F206" s="297">
        <v>0</v>
      </c>
    </row>
    <row r="207" spans="1:6" ht="13.5">
      <c r="B207" s="290" t="s">
        <v>65</v>
      </c>
      <c r="C207" s="297">
        <v>5</v>
      </c>
      <c r="D207" s="297">
        <v>4</v>
      </c>
      <c r="E207" s="297">
        <v>1</v>
      </c>
      <c r="F207" s="297">
        <v>0</v>
      </c>
    </row>
    <row r="208" spans="1:6" ht="13.5">
      <c r="B208" s="290" t="s">
        <v>66</v>
      </c>
      <c r="C208" s="297">
        <v>7</v>
      </c>
      <c r="D208" s="297">
        <v>6</v>
      </c>
      <c r="E208" s="297">
        <v>1</v>
      </c>
      <c r="F208" s="297">
        <v>0</v>
      </c>
    </row>
    <row r="209" spans="1:6" ht="13.5">
      <c r="B209" s="290" t="s">
        <v>67</v>
      </c>
      <c r="C209" s="297">
        <v>8</v>
      </c>
      <c r="D209" s="297">
        <v>6</v>
      </c>
      <c r="E209" s="297">
        <v>2</v>
      </c>
      <c r="F209" s="297">
        <v>0</v>
      </c>
    </row>
    <row r="210" spans="1:6" ht="13.5">
      <c r="B210" s="290" t="s">
        <v>68</v>
      </c>
      <c r="C210" s="297">
        <v>9</v>
      </c>
      <c r="D210" s="297">
        <v>6</v>
      </c>
      <c r="E210" s="297">
        <v>3</v>
      </c>
      <c r="F210" s="297">
        <v>0</v>
      </c>
    </row>
    <row r="211" spans="1:6" ht="13.5">
      <c r="B211" s="290" t="s">
        <v>69</v>
      </c>
      <c r="C211" s="297">
        <v>6</v>
      </c>
      <c r="D211" s="297">
        <v>4</v>
      </c>
      <c r="E211" s="297">
        <v>2</v>
      </c>
      <c r="F211" s="297">
        <v>0</v>
      </c>
    </row>
    <row r="212" spans="1:6" ht="13.5">
      <c r="B212" s="290" t="s">
        <v>262</v>
      </c>
      <c r="C212" s="297">
        <v>12</v>
      </c>
      <c r="D212" s="297">
        <v>9</v>
      </c>
      <c r="E212" s="297">
        <v>3</v>
      </c>
      <c r="F212" s="297">
        <v>0</v>
      </c>
    </row>
    <row r="213" spans="1:6" ht="13.5">
      <c r="B213" s="290" t="s">
        <v>263</v>
      </c>
      <c r="C213" s="297">
        <v>11</v>
      </c>
      <c r="D213" s="297">
        <v>6</v>
      </c>
      <c r="E213" s="297">
        <v>5</v>
      </c>
      <c r="F213" s="297">
        <v>0</v>
      </c>
    </row>
    <row r="214" spans="1:6" ht="13.5">
      <c r="B214" s="290" t="s">
        <v>264</v>
      </c>
      <c r="C214" s="297">
        <v>19</v>
      </c>
      <c r="D214" s="297">
        <v>18</v>
      </c>
      <c r="E214" s="297">
        <v>1</v>
      </c>
      <c r="F214" s="297">
        <v>0</v>
      </c>
    </row>
    <row r="215" spans="1:6" ht="13.5">
      <c r="B215" s="290" t="s">
        <v>265</v>
      </c>
      <c r="C215" s="297">
        <v>24</v>
      </c>
      <c r="D215" s="297">
        <v>17</v>
      </c>
      <c r="E215" s="297">
        <v>7</v>
      </c>
      <c r="F215" s="297">
        <v>0</v>
      </c>
    </row>
    <row r="216" spans="1:6" ht="13.5">
      <c r="B216" s="290" t="s">
        <v>266</v>
      </c>
      <c r="C216" s="297">
        <v>129</v>
      </c>
      <c r="D216" s="297">
        <v>85</v>
      </c>
      <c r="E216" s="297">
        <v>44</v>
      </c>
      <c r="F216" s="297">
        <v>0</v>
      </c>
    </row>
    <row r="217" spans="1:6" ht="13.5">
      <c r="B217" s="290" t="s">
        <v>504</v>
      </c>
      <c r="C217" s="297">
        <v>1</v>
      </c>
      <c r="D217" s="297">
        <v>0</v>
      </c>
      <c r="E217" s="297">
        <v>1</v>
      </c>
      <c r="F217" s="297">
        <v>0</v>
      </c>
    </row>
    <row r="218" spans="1:6" ht="5.0999999999999996" customHeight="1">
      <c r="C218" s="297"/>
      <c r="D218" s="297"/>
      <c r="E218" s="297"/>
      <c r="F218" s="297"/>
    </row>
    <row r="219" spans="1:6" ht="13.5">
      <c r="A219" s="292" t="s">
        <v>86</v>
      </c>
      <c r="B219" s="292"/>
      <c r="C219" s="295">
        <v>707</v>
      </c>
      <c r="D219" s="295">
        <v>423</v>
      </c>
      <c r="E219" s="295">
        <v>284</v>
      </c>
      <c r="F219" s="295">
        <v>0</v>
      </c>
    </row>
    <row r="220" spans="1:6" ht="5.0999999999999996" customHeight="1">
      <c r="C220" s="297"/>
      <c r="D220" s="297"/>
      <c r="E220" s="297"/>
      <c r="F220" s="297"/>
    </row>
    <row r="221" spans="1:6" ht="13.5">
      <c r="B221" s="290" t="s">
        <v>503</v>
      </c>
      <c r="C221" s="297">
        <v>7</v>
      </c>
      <c r="D221" s="297">
        <v>7</v>
      </c>
      <c r="E221" s="297">
        <v>0</v>
      </c>
      <c r="F221" s="297">
        <v>0</v>
      </c>
    </row>
    <row r="222" spans="1:6" ht="13.5">
      <c r="B222" s="290" t="s">
        <v>259</v>
      </c>
      <c r="C222" s="297">
        <v>4</v>
      </c>
      <c r="D222" s="297">
        <v>4</v>
      </c>
      <c r="E222" s="297">
        <v>0</v>
      </c>
      <c r="F222" s="297">
        <v>0</v>
      </c>
    </row>
    <row r="223" spans="1:6" ht="13.5">
      <c r="B223" s="290" t="s">
        <v>260</v>
      </c>
      <c r="C223" s="297">
        <v>3</v>
      </c>
      <c r="D223" s="297">
        <v>2</v>
      </c>
      <c r="E223" s="297">
        <v>1</v>
      </c>
      <c r="F223" s="297">
        <v>0</v>
      </c>
    </row>
    <row r="224" spans="1:6" ht="13.5">
      <c r="B224" s="290" t="s">
        <v>261</v>
      </c>
      <c r="C224" s="297">
        <v>5</v>
      </c>
      <c r="D224" s="297">
        <v>5</v>
      </c>
      <c r="E224" s="297">
        <v>0</v>
      </c>
      <c r="F224" s="297">
        <v>0</v>
      </c>
    </row>
    <row r="225" spans="1:6" ht="13.5">
      <c r="B225" s="290" t="s">
        <v>63</v>
      </c>
      <c r="C225" s="297">
        <v>14</v>
      </c>
      <c r="D225" s="297">
        <v>11</v>
      </c>
      <c r="E225" s="297">
        <v>3</v>
      </c>
      <c r="F225" s="297">
        <v>0</v>
      </c>
    </row>
    <row r="226" spans="1:6" ht="13.5">
      <c r="B226" s="290" t="s">
        <v>64</v>
      </c>
      <c r="C226" s="297">
        <v>14</v>
      </c>
      <c r="D226" s="297">
        <v>12</v>
      </c>
      <c r="E226" s="297">
        <v>2</v>
      </c>
      <c r="F226" s="297">
        <v>0</v>
      </c>
    </row>
    <row r="227" spans="1:6" ht="13.5">
      <c r="B227" s="290" t="s">
        <v>65</v>
      </c>
      <c r="C227" s="297">
        <v>32</v>
      </c>
      <c r="D227" s="297">
        <v>28</v>
      </c>
      <c r="E227" s="297">
        <v>4</v>
      </c>
      <c r="F227" s="297">
        <v>0</v>
      </c>
    </row>
    <row r="228" spans="1:6" ht="13.5">
      <c r="B228" s="290" t="s">
        <v>66</v>
      </c>
      <c r="C228" s="297">
        <v>19</v>
      </c>
      <c r="D228" s="297">
        <v>14</v>
      </c>
      <c r="E228" s="297">
        <v>5</v>
      </c>
      <c r="F228" s="297">
        <v>0</v>
      </c>
    </row>
    <row r="229" spans="1:6" ht="13.5">
      <c r="B229" s="290" t="s">
        <v>67</v>
      </c>
      <c r="C229" s="297">
        <v>31</v>
      </c>
      <c r="D229" s="297">
        <v>21</v>
      </c>
      <c r="E229" s="297">
        <v>10</v>
      </c>
      <c r="F229" s="297">
        <v>0</v>
      </c>
    </row>
    <row r="230" spans="1:6" ht="13.5">
      <c r="B230" s="290" t="s">
        <v>68</v>
      </c>
      <c r="C230" s="297">
        <v>28</v>
      </c>
      <c r="D230" s="297">
        <v>18</v>
      </c>
      <c r="E230" s="297">
        <v>10</v>
      </c>
      <c r="F230" s="297">
        <v>0</v>
      </c>
    </row>
    <row r="231" spans="1:6" ht="13.5">
      <c r="B231" s="290" t="s">
        <v>69</v>
      </c>
      <c r="C231" s="297">
        <v>35</v>
      </c>
      <c r="D231" s="297">
        <v>19</v>
      </c>
      <c r="E231" s="297">
        <v>16</v>
      </c>
      <c r="F231" s="297">
        <v>0</v>
      </c>
    </row>
    <row r="232" spans="1:6" ht="13.5">
      <c r="B232" s="290" t="s">
        <v>262</v>
      </c>
      <c r="C232" s="297">
        <v>43</v>
      </c>
      <c r="D232" s="297">
        <v>27</v>
      </c>
      <c r="E232" s="297">
        <v>16</v>
      </c>
      <c r="F232" s="297">
        <v>0</v>
      </c>
    </row>
    <row r="233" spans="1:6" ht="13.5">
      <c r="B233" s="290" t="s">
        <v>263</v>
      </c>
      <c r="C233" s="297">
        <v>41</v>
      </c>
      <c r="D233" s="297">
        <v>26</v>
      </c>
      <c r="E233" s="297">
        <v>15</v>
      </c>
      <c r="F233" s="297">
        <v>0</v>
      </c>
    </row>
    <row r="234" spans="1:6" ht="13.5">
      <c r="B234" s="290" t="s">
        <v>264</v>
      </c>
      <c r="C234" s="297">
        <v>44</v>
      </c>
      <c r="D234" s="297">
        <v>22</v>
      </c>
      <c r="E234" s="297">
        <v>22</v>
      </c>
      <c r="F234" s="297">
        <v>0</v>
      </c>
    </row>
    <row r="235" spans="1:6" ht="13.5">
      <c r="B235" s="290" t="s">
        <v>265</v>
      </c>
      <c r="C235" s="297">
        <v>60</v>
      </c>
      <c r="D235" s="297">
        <v>32</v>
      </c>
      <c r="E235" s="297">
        <v>28</v>
      </c>
      <c r="F235" s="297">
        <v>0</v>
      </c>
    </row>
    <row r="236" spans="1:6" ht="13.5">
      <c r="B236" s="290" t="s">
        <v>266</v>
      </c>
      <c r="C236" s="297">
        <v>325</v>
      </c>
      <c r="D236" s="297">
        <v>173</v>
      </c>
      <c r="E236" s="297">
        <v>152</v>
      </c>
      <c r="F236" s="297">
        <v>0</v>
      </c>
    </row>
    <row r="237" spans="1:6" ht="13.5">
      <c r="B237" s="290" t="s">
        <v>504</v>
      </c>
      <c r="C237" s="297">
        <v>2</v>
      </c>
      <c r="D237" s="297">
        <v>2</v>
      </c>
      <c r="E237" s="297">
        <v>0</v>
      </c>
      <c r="F237" s="297">
        <v>0</v>
      </c>
    </row>
    <row r="238" spans="1:6" ht="5.0999999999999996" customHeight="1">
      <c r="B238" s="290"/>
      <c r="C238" s="297"/>
      <c r="D238" s="297"/>
      <c r="E238" s="297"/>
      <c r="F238" s="297"/>
    </row>
    <row r="239" spans="1:6" ht="13.5">
      <c r="A239" s="292" t="s">
        <v>87</v>
      </c>
      <c r="B239" s="292"/>
      <c r="C239" s="295">
        <v>344</v>
      </c>
      <c r="D239" s="295">
        <v>219</v>
      </c>
      <c r="E239" s="295">
        <v>124</v>
      </c>
      <c r="F239" s="295">
        <v>1</v>
      </c>
    </row>
    <row r="240" spans="1:6" ht="5.0999999999999996" customHeight="1">
      <c r="B240" s="290"/>
      <c r="C240" s="297"/>
      <c r="D240" s="297"/>
      <c r="E240" s="297"/>
      <c r="F240" s="297"/>
    </row>
    <row r="241" spans="2:6" ht="13.5">
      <c r="B241" s="290" t="s">
        <v>503</v>
      </c>
      <c r="C241" s="297">
        <v>6</v>
      </c>
      <c r="D241" s="297">
        <v>2</v>
      </c>
      <c r="E241" s="297">
        <v>3</v>
      </c>
      <c r="F241" s="297">
        <v>1</v>
      </c>
    </row>
    <row r="242" spans="2:6" ht="13.5">
      <c r="B242" s="290" t="s">
        <v>260</v>
      </c>
      <c r="C242" s="297">
        <v>3</v>
      </c>
      <c r="D242" s="297">
        <v>2</v>
      </c>
      <c r="E242" s="297">
        <v>1</v>
      </c>
      <c r="F242" s="297">
        <v>0</v>
      </c>
    </row>
    <row r="243" spans="2:6" ht="13.5">
      <c r="B243" s="290" t="s">
        <v>261</v>
      </c>
      <c r="C243" s="297">
        <v>2</v>
      </c>
      <c r="D243" s="297">
        <v>2</v>
      </c>
      <c r="E243" s="297">
        <v>0</v>
      </c>
      <c r="F243" s="297">
        <v>0</v>
      </c>
    </row>
    <row r="244" spans="2:6" ht="13.5">
      <c r="B244" s="290" t="s">
        <v>63</v>
      </c>
      <c r="C244" s="297">
        <v>5</v>
      </c>
      <c r="D244" s="297">
        <v>5</v>
      </c>
      <c r="E244" s="297">
        <v>0</v>
      </c>
      <c r="F244" s="297">
        <v>0</v>
      </c>
    </row>
    <row r="245" spans="2:6" ht="13.5">
      <c r="B245" s="290" t="s">
        <v>64</v>
      </c>
      <c r="C245" s="297">
        <v>10</v>
      </c>
      <c r="D245" s="297">
        <v>6</v>
      </c>
      <c r="E245" s="297">
        <v>4</v>
      </c>
      <c r="F245" s="297">
        <v>0</v>
      </c>
    </row>
    <row r="246" spans="2:6" ht="13.5">
      <c r="B246" s="290" t="s">
        <v>65</v>
      </c>
      <c r="C246" s="297">
        <v>10</v>
      </c>
      <c r="D246" s="297">
        <v>7</v>
      </c>
      <c r="E246" s="297">
        <v>3</v>
      </c>
      <c r="F246" s="297">
        <v>0</v>
      </c>
    </row>
    <row r="247" spans="2:6" ht="13.5">
      <c r="B247" s="290" t="s">
        <v>66</v>
      </c>
      <c r="C247" s="297">
        <v>20</v>
      </c>
      <c r="D247" s="297">
        <v>12</v>
      </c>
      <c r="E247" s="297">
        <v>8</v>
      </c>
      <c r="F247" s="297">
        <v>0</v>
      </c>
    </row>
    <row r="248" spans="2:6" ht="13.5">
      <c r="B248" s="290" t="s">
        <v>67</v>
      </c>
      <c r="C248" s="297">
        <v>17</v>
      </c>
      <c r="D248" s="297">
        <v>11</v>
      </c>
      <c r="E248" s="297">
        <v>6</v>
      </c>
      <c r="F248" s="297">
        <v>0</v>
      </c>
    </row>
    <row r="249" spans="2:6" ht="13.5">
      <c r="B249" s="290" t="s">
        <v>68</v>
      </c>
      <c r="C249" s="297">
        <v>14</v>
      </c>
      <c r="D249" s="297">
        <v>9</v>
      </c>
      <c r="E249" s="297">
        <v>5</v>
      </c>
      <c r="F249" s="297">
        <v>0</v>
      </c>
    </row>
    <row r="250" spans="2:6" ht="13.5">
      <c r="B250" s="290" t="s">
        <v>69</v>
      </c>
      <c r="C250" s="297">
        <v>16</v>
      </c>
      <c r="D250" s="297">
        <v>12</v>
      </c>
      <c r="E250" s="297">
        <v>4</v>
      </c>
      <c r="F250" s="297">
        <v>0</v>
      </c>
    </row>
    <row r="251" spans="2:6" ht="13.5">
      <c r="B251" s="290" t="s">
        <v>262</v>
      </c>
      <c r="C251" s="297">
        <v>27</v>
      </c>
      <c r="D251" s="297">
        <v>21</v>
      </c>
      <c r="E251" s="297">
        <v>6</v>
      </c>
      <c r="F251" s="297">
        <v>0</v>
      </c>
    </row>
    <row r="252" spans="2:6" ht="13.5">
      <c r="B252" s="290" t="s">
        <v>263</v>
      </c>
      <c r="C252" s="297">
        <v>35</v>
      </c>
      <c r="D252" s="297">
        <v>17</v>
      </c>
      <c r="E252" s="297">
        <v>18</v>
      </c>
      <c r="F252" s="297">
        <v>0</v>
      </c>
    </row>
    <row r="253" spans="2:6" ht="13.5">
      <c r="B253" s="290" t="s">
        <v>264</v>
      </c>
      <c r="C253" s="297">
        <v>26</v>
      </c>
      <c r="D253" s="297">
        <v>17</v>
      </c>
      <c r="E253" s="297">
        <v>9</v>
      </c>
      <c r="F253" s="297">
        <v>0</v>
      </c>
    </row>
    <row r="254" spans="2:6" ht="13.5">
      <c r="B254" s="290" t="s">
        <v>265</v>
      </c>
      <c r="C254" s="297">
        <v>23</v>
      </c>
      <c r="D254" s="297">
        <v>15</v>
      </c>
      <c r="E254" s="297">
        <v>8</v>
      </c>
      <c r="F254" s="297">
        <v>0</v>
      </c>
    </row>
    <row r="255" spans="2:6" ht="13.5">
      <c r="B255" s="290" t="s">
        <v>266</v>
      </c>
      <c r="C255" s="297">
        <v>130</v>
      </c>
      <c r="D255" s="297">
        <v>81</v>
      </c>
      <c r="E255" s="297">
        <v>49</v>
      </c>
      <c r="F255" s="297">
        <v>0</v>
      </c>
    </row>
    <row r="256" spans="2:6" ht="5.0999999999999996" customHeight="1">
      <c r="B256" s="290"/>
      <c r="C256" s="297"/>
      <c r="D256" s="297"/>
      <c r="E256" s="297"/>
      <c r="F256" s="297"/>
    </row>
    <row r="257" spans="1:6" ht="13.5">
      <c r="A257" s="292" t="s">
        <v>88</v>
      </c>
      <c r="B257" s="292"/>
      <c r="C257" s="295">
        <v>1615</v>
      </c>
      <c r="D257" s="295">
        <v>954</v>
      </c>
      <c r="E257" s="295">
        <v>661</v>
      </c>
      <c r="F257" s="295">
        <v>0</v>
      </c>
    </row>
    <row r="258" spans="1:6" ht="5.0999999999999996" customHeight="1">
      <c r="B258" s="290"/>
      <c r="C258" s="297"/>
      <c r="D258" s="297"/>
      <c r="E258" s="297"/>
      <c r="F258" s="297"/>
    </row>
    <row r="259" spans="1:6" ht="13.5">
      <c r="B259" s="290" t="s">
        <v>503</v>
      </c>
      <c r="C259" s="297">
        <v>6</v>
      </c>
      <c r="D259" s="297">
        <v>6</v>
      </c>
      <c r="E259" s="297">
        <v>0</v>
      </c>
      <c r="F259" s="297">
        <v>0</v>
      </c>
    </row>
    <row r="260" spans="1:6" ht="13.5">
      <c r="B260" s="290" t="s">
        <v>259</v>
      </c>
      <c r="C260" s="297">
        <v>5</v>
      </c>
      <c r="D260" s="297">
        <v>2</v>
      </c>
      <c r="E260" s="297">
        <v>3</v>
      </c>
      <c r="F260" s="297">
        <v>0</v>
      </c>
    </row>
    <row r="261" spans="1:6" ht="13.5">
      <c r="B261" s="290" t="s">
        <v>260</v>
      </c>
      <c r="C261" s="297">
        <v>6</v>
      </c>
      <c r="D261" s="297">
        <v>4</v>
      </c>
      <c r="E261" s="297">
        <v>2</v>
      </c>
      <c r="F261" s="297">
        <v>0</v>
      </c>
    </row>
    <row r="262" spans="1:6" ht="13.5">
      <c r="B262" s="290" t="s">
        <v>261</v>
      </c>
      <c r="C262" s="297">
        <v>7</v>
      </c>
      <c r="D262" s="297">
        <v>6</v>
      </c>
      <c r="E262" s="297">
        <v>1</v>
      </c>
      <c r="F262" s="297">
        <v>0</v>
      </c>
    </row>
    <row r="263" spans="1:6" ht="13.5">
      <c r="B263" s="290" t="s">
        <v>63</v>
      </c>
      <c r="C263" s="297">
        <v>27</v>
      </c>
      <c r="D263" s="297">
        <v>19</v>
      </c>
      <c r="E263" s="297">
        <v>8</v>
      </c>
      <c r="F263" s="297">
        <v>0</v>
      </c>
    </row>
    <row r="264" spans="1:6" ht="13.5">
      <c r="B264" s="290" t="s">
        <v>64</v>
      </c>
      <c r="C264" s="297">
        <v>35</v>
      </c>
      <c r="D264" s="297">
        <v>26</v>
      </c>
      <c r="E264" s="297">
        <v>9</v>
      </c>
      <c r="F264" s="297">
        <v>0</v>
      </c>
    </row>
    <row r="265" spans="1:6" ht="13.5">
      <c r="B265" s="290" t="s">
        <v>65</v>
      </c>
      <c r="C265" s="297">
        <v>32</v>
      </c>
      <c r="D265" s="297">
        <v>23</v>
      </c>
      <c r="E265" s="297">
        <v>9</v>
      </c>
      <c r="F265" s="297">
        <v>0</v>
      </c>
    </row>
    <row r="266" spans="1:6" ht="13.5">
      <c r="B266" s="290" t="s">
        <v>66</v>
      </c>
      <c r="C266" s="297">
        <v>54</v>
      </c>
      <c r="D266" s="297">
        <v>37</v>
      </c>
      <c r="E266" s="297">
        <v>17</v>
      </c>
      <c r="F266" s="297">
        <v>0</v>
      </c>
    </row>
    <row r="267" spans="1:6" ht="13.5">
      <c r="B267" s="290" t="s">
        <v>67</v>
      </c>
      <c r="C267" s="297">
        <v>42</v>
      </c>
      <c r="D267" s="297">
        <v>28</v>
      </c>
      <c r="E267" s="297">
        <v>14</v>
      </c>
      <c r="F267" s="297">
        <v>0</v>
      </c>
    </row>
    <row r="268" spans="1:6" ht="13.5">
      <c r="B268" s="290" t="s">
        <v>68</v>
      </c>
      <c r="C268" s="297">
        <v>51</v>
      </c>
      <c r="D268" s="297">
        <v>32</v>
      </c>
      <c r="E268" s="297">
        <v>19</v>
      </c>
      <c r="F268" s="297">
        <v>0</v>
      </c>
    </row>
    <row r="269" spans="1:6" ht="13.5">
      <c r="B269" s="290" t="s">
        <v>69</v>
      </c>
      <c r="C269" s="297">
        <v>61</v>
      </c>
      <c r="D269" s="297">
        <v>42</v>
      </c>
      <c r="E269" s="297">
        <v>19</v>
      </c>
      <c r="F269" s="297">
        <v>0</v>
      </c>
    </row>
    <row r="270" spans="1:6" ht="13.5">
      <c r="B270" s="290" t="s">
        <v>262</v>
      </c>
      <c r="C270" s="297">
        <v>76</v>
      </c>
      <c r="D270" s="297">
        <v>52</v>
      </c>
      <c r="E270" s="297">
        <v>24</v>
      </c>
      <c r="F270" s="297">
        <v>0</v>
      </c>
    </row>
    <row r="271" spans="1:6" ht="13.5">
      <c r="B271" s="290" t="s">
        <v>263</v>
      </c>
      <c r="C271" s="297">
        <v>113</v>
      </c>
      <c r="D271" s="297">
        <v>60</v>
      </c>
      <c r="E271" s="297">
        <v>53</v>
      </c>
      <c r="F271" s="297">
        <v>0</v>
      </c>
    </row>
    <row r="272" spans="1:6" ht="13.5">
      <c r="B272" s="290" t="s">
        <v>264</v>
      </c>
      <c r="C272" s="297">
        <v>128</v>
      </c>
      <c r="D272" s="297">
        <v>72</v>
      </c>
      <c r="E272" s="297">
        <v>56</v>
      </c>
      <c r="F272" s="297">
        <v>0</v>
      </c>
    </row>
    <row r="273" spans="1:6" ht="13.5">
      <c r="B273" s="290" t="s">
        <v>265</v>
      </c>
      <c r="C273" s="297">
        <v>142</v>
      </c>
      <c r="D273" s="297">
        <v>78</v>
      </c>
      <c r="E273" s="297">
        <v>64</v>
      </c>
      <c r="F273" s="297">
        <v>0</v>
      </c>
    </row>
    <row r="274" spans="1:6" ht="13.5">
      <c r="B274" s="290" t="s">
        <v>266</v>
      </c>
      <c r="C274" s="297">
        <v>828</v>
      </c>
      <c r="D274" s="297">
        <v>467</v>
      </c>
      <c r="E274" s="297">
        <v>361</v>
      </c>
      <c r="F274" s="297">
        <v>0</v>
      </c>
    </row>
    <row r="275" spans="1:6" ht="13.5">
      <c r="B275" s="290" t="s">
        <v>504</v>
      </c>
      <c r="C275" s="297">
        <v>2</v>
      </c>
      <c r="D275" s="297">
        <v>0</v>
      </c>
      <c r="E275" s="297">
        <v>2</v>
      </c>
      <c r="F275" s="297">
        <v>0</v>
      </c>
    </row>
    <row r="276" spans="1:6" ht="5.0999999999999996" customHeight="1">
      <c r="B276" s="290"/>
      <c r="C276" s="297"/>
      <c r="D276" s="297"/>
      <c r="E276" s="297"/>
      <c r="F276" s="297"/>
    </row>
    <row r="277" spans="1:6" ht="13.5">
      <c r="A277" s="292" t="s">
        <v>89</v>
      </c>
      <c r="B277" s="292"/>
      <c r="C277" s="295">
        <v>542</v>
      </c>
      <c r="D277" s="295">
        <v>320</v>
      </c>
      <c r="E277" s="295">
        <v>222</v>
      </c>
      <c r="F277" s="295">
        <v>0</v>
      </c>
    </row>
    <row r="278" spans="1:6" ht="5.0999999999999996" customHeight="1">
      <c r="B278" s="290"/>
      <c r="C278" s="297"/>
      <c r="D278" s="297"/>
      <c r="E278" s="297"/>
      <c r="F278" s="297"/>
    </row>
    <row r="279" spans="1:6" ht="13.5">
      <c r="B279" s="290" t="s">
        <v>503</v>
      </c>
      <c r="C279" s="297">
        <v>35</v>
      </c>
      <c r="D279" s="297">
        <v>17</v>
      </c>
      <c r="E279" s="297">
        <v>18</v>
      </c>
      <c r="F279" s="297">
        <v>0</v>
      </c>
    </row>
    <row r="280" spans="1:6" ht="13.5">
      <c r="B280" s="290" t="s">
        <v>259</v>
      </c>
      <c r="C280" s="297">
        <v>2</v>
      </c>
      <c r="D280" s="297">
        <v>0</v>
      </c>
      <c r="E280" s="297">
        <v>2</v>
      </c>
      <c r="F280" s="297">
        <v>0</v>
      </c>
    </row>
    <row r="281" spans="1:6" ht="13.5">
      <c r="B281" s="290" t="s">
        <v>260</v>
      </c>
      <c r="C281" s="297">
        <v>3</v>
      </c>
      <c r="D281" s="297">
        <v>2</v>
      </c>
      <c r="E281" s="297">
        <v>1</v>
      </c>
      <c r="F281" s="297">
        <v>0</v>
      </c>
    </row>
    <row r="282" spans="1:6" ht="13.5">
      <c r="B282" s="290" t="s">
        <v>261</v>
      </c>
      <c r="C282" s="297">
        <v>5</v>
      </c>
      <c r="D282" s="297">
        <v>4</v>
      </c>
      <c r="E282" s="297">
        <v>1</v>
      </c>
      <c r="F282" s="297">
        <v>0</v>
      </c>
    </row>
    <row r="283" spans="1:6" ht="13.5">
      <c r="B283" s="290" t="s">
        <v>63</v>
      </c>
      <c r="C283" s="297">
        <v>10</v>
      </c>
      <c r="D283" s="297">
        <v>10</v>
      </c>
      <c r="E283" s="297">
        <v>0</v>
      </c>
      <c r="F283" s="297">
        <v>0</v>
      </c>
    </row>
    <row r="284" spans="1:6" ht="13.5">
      <c r="B284" s="290" t="s">
        <v>64</v>
      </c>
      <c r="C284" s="297">
        <v>8</v>
      </c>
      <c r="D284" s="297">
        <v>7</v>
      </c>
      <c r="E284" s="297">
        <v>1</v>
      </c>
      <c r="F284" s="297">
        <v>0</v>
      </c>
    </row>
    <row r="285" spans="1:6" ht="13.5">
      <c r="B285" s="290" t="s">
        <v>65</v>
      </c>
      <c r="C285" s="297">
        <v>13</v>
      </c>
      <c r="D285" s="297">
        <v>11</v>
      </c>
      <c r="E285" s="297">
        <v>2</v>
      </c>
      <c r="F285" s="297">
        <v>0</v>
      </c>
    </row>
    <row r="286" spans="1:6" ht="13.5">
      <c r="B286" s="290" t="s">
        <v>66</v>
      </c>
      <c r="C286" s="297">
        <v>14</v>
      </c>
      <c r="D286" s="297">
        <v>9</v>
      </c>
      <c r="E286" s="297">
        <v>5</v>
      </c>
      <c r="F286" s="297">
        <v>0</v>
      </c>
    </row>
    <row r="287" spans="1:6" ht="13.5">
      <c r="B287" s="290" t="s">
        <v>67</v>
      </c>
      <c r="C287" s="297">
        <v>24</v>
      </c>
      <c r="D287" s="297">
        <v>15</v>
      </c>
      <c r="E287" s="297">
        <v>9</v>
      </c>
      <c r="F287" s="297">
        <v>0</v>
      </c>
    </row>
    <row r="288" spans="1:6" ht="13.5">
      <c r="B288" s="290" t="s">
        <v>68</v>
      </c>
      <c r="C288" s="297">
        <v>15</v>
      </c>
      <c r="D288" s="297">
        <v>10</v>
      </c>
      <c r="E288" s="297">
        <v>5</v>
      </c>
      <c r="F288" s="297">
        <v>0</v>
      </c>
    </row>
    <row r="289" spans="1:6" ht="13.5">
      <c r="B289" s="290" t="s">
        <v>69</v>
      </c>
      <c r="C289" s="297">
        <v>36</v>
      </c>
      <c r="D289" s="297">
        <v>19</v>
      </c>
      <c r="E289" s="297">
        <v>17</v>
      </c>
      <c r="F289" s="297">
        <v>0</v>
      </c>
    </row>
    <row r="290" spans="1:6" ht="13.5">
      <c r="B290" s="290" t="s">
        <v>262</v>
      </c>
      <c r="C290" s="297">
        <v>31</v>
      </c>
      <c r="D290" s="297">
        <v>15</v>
      </c>
      <c r="E290" s="297">
        <v>16</v>
      </c>
      <c r="F290" s="297">
        <v>0</v>
      </c>
    </row>
    <row r="291" spans="1:6" ht="13.5">
      <c r="B291" s="290" t="s">
        <v>263</v>
      </c>
      <c r="C291" s="297">
        <v>28</v>
      </c>
      <c r="D291" s="297">
        <v>16</v>
      </c>
      <c r="E291" s="297">
        <v>12</v>
      </c>
      <c r="F291" s="297">
        <v>0</v>
      </c>
    </row>
    <row r="292" spans="1:6" ht="13.5">
      <c r="B292" s="290" t="s">
        <v>264</v>
      </c>
      <c r="C292" s="297">
        <v>57</v>
      </c>
      <c r="D292" s="297">
        <v>36</v>
      </c>
      <c r="E292" s="297">
        <v>21</v>
      </c>
      <c r="F292" s="297">
        <v>0</v>
      </c>
    </row>
    <row r="293" spans="1:6" ht="13.5">
      <c r="B293" s="290" t="s">
        <v>265</v>
      </c>
      <c r="C293" s="297">
        <v>44</v>
      </c>
      <c r="D293" s="297">
        <v>24</v>
      </c>
      <c r="E293" s="297">
        <v>20</v>
      </c>
      <c r="F293" s="297">
        <v>0</v>
      </c>
    </row>
    <row r="294" spans="1:6" ht="13.5">
      <c r="B294" s="290" t="s">
        <v>266</v>
      </c>
      <c r="C294" s="297">
        <v>217</v>
      </c>
      <c r="D294" s="297">
        <v>125</v>
      </c>
      <c r="E294" s="297">
        <v>92</v>
      </c>
      <c r="F294" s="297">
        <v>0</v>
      </c>
    </row>
    <row r="295" spans="1:6" ht="5.0999999999999996" customHeight="1">
      <c r="B295" s="290"/>
      <c r="C295" s="297"/>
      <c r="D295" s="297"/>
      <c r="E295" s="297"/>
      <c r="F295" s="297"/>
    </row>
    <row r="296" spans="1:6" ht="13.5">
      <c r="A296" s="292" t="s">
        <v>90</v>
      </c>
      <c r="B296" s="292"/>
      <c r="C296" s="295">
        <v>462</v>
      </c>
      <c r="D296" s="295">
        <v>249</v>
      </c>
      <c r="E296" s="295">
        <v>213</v>
      </c>
      <c r="F296" s="295">
        <v>0</v>
      </c>
    </row>
    <row r="297" spans="1:6" ht="5.0999999999999996" customHeight="1">
      <c r="B297" s="290"/>
      <c r="C297" s="297"/>
      <c r="D297" s="297"/>
      <c r="E297" s="297"/>
      <c r="F297" s="297"/>
    </row>
    <row r="298" spans="1:6" ht="13.5">
      <c r="B298" s="290" t="s">
        <v>503</v>
      </c>
      <c r="C298" s="297">
        <v>4</v>
      </c>
      <c r="D298" s="297">
        <v>3</v>
      </c>
      <c r="E298" s="297">
        <v>1</v>
      </c>
      <c r="F298" s="297">
        <v>0</v>
      </c>
    </row>
    <row r="299" spans="1:6" ht="13.5">
      <c r="B299" s="290" t="s">
        <v>259</v>
      </c>
      <c r="C299" s="297">
        <v>2</v>
      </c>
      <c r="D299" s="297">
        <v>0</v>
      </c>
      <c r="E299" s="297">
        <v>2</v>
      </c>
      <c r="F299" s="297">
        <v>0</v>
      </c>
    </row>
    <row r="300" spans="1:6" ht="13.5">
      <c r="B300" s="290" t="s">
        <v>260</v>
      </c>
      <c r="C300" s="297">
        <v>2</v>
      </c>
      <c r="D300" s="297">
        <v>0</v>
      </c>
      <c r="E300" s="297">
        <v>2</v>
      </c>
      <c r="F300" s="297">
        <v>0</v>
      </c>
    </row>
    <row r="301" spans="1:6" ht="13.5">
      <c r="B301" s="290" t="s">
        <v>261</v>
      </c>
      <c r="C301" s="297">
        <v>2</v>
      </c>
      <c r="D301" s="297">
        <v>0</v>
      </c>
      <c r="E301" s="297">
        <v>2</v>
      </c>
      <c r="F301" s="297">
        <v>0</v>
      </c>
    </row>
    <row r="302" spans="1:6" ht="13.5">
      <c r="B302" s="290" t="s">
        <v>63</v>
      </c>
      <c r="C302" s="297">
        <v>3</v>
      </c>
      <c r="D302" s="297">
        <v>2</v>
      </c>
      <c r="E302" s="297">
        <v>1</v>
      </c>
      <c r="F302" s="297">
        <v>0</v>
      </c>
    </row>
    <row r="303" spans="1:6" ht="13.5">
      <c r="B303" s="290" t="s">
        <v>64</v>
      </c>
      <c r="C303" s="297">
        <v>9</v>
      </c>
      <c r="D303" s="297">
        <v>6</v>
      </c>
      <c r="E303" s="297">
        <v>3</v>
      </c>
      <c r="F303" s="297">
        <v>0</v>
      </c>
    </row>
    <row r="304" spans="1:6" ht="13.5">
      <c r="B304" s="290" t="s">
        <v>65</v>
      </c>
      <c r="C304" s="297">
        <v>4</v>
      </c>
      <c r="D304" s="297">
        <v>3</v>
      </c>
      <c r="E304" s="297">
        <v>1</v>
      </c>
      <c r="F304" s="297">
        <v>0</v>
      </c>
    </row>
    <row r="305" spans="1:6" ht="13.5">
      <c r="B305" s="290" t="s">
        <v>66</v>
      </c>
      <c r="C305" s="297">
        <v>13</v>
      </c>
      <c r="D305" s="297">
        <v>5</v>
      </c>
      <c r="E305" s="297">
        <v>8</v>
      </c>
      <c r="F305" s="297">
        <v>0</v>
      </c>
    </row>
    <row r="306" spans="1:6" ht="13.5">
      <c r="B306" s="290" t="s">
        <v>67</v>
      </c>
      <c r="C306" s="297">
        <v>7</v>
      </c>
      <c r="D306" s="297">
        <v>3</v>
      </c>
      <c r="E306" s="297">
        <v>4</v>
      </c>
      <c r="F306" s="297">
        <v>0</v>
      </c>
    </row>
    <row r="307" spans="1:6" ht="13.5">
      <c r="B307" s="290" t="s">
        <v>68</v>
      </c>
      <c r="C307" s="297">
        <v>14</v>
      </c>
      <c r="D307" s="297">
        <v>12</v>
      </c>
      <c r="E307" s="297">
        <v>2</v>
      </c>
      <c r="F307" s="297">
        <v>0</v>
      </c>
    </row>
    <row r="308" spans="1:6" ht="13.5">
      <c r="B308" s="290" t="s">
        <v>69</v>
      </c>
      <c r="C308" s="297">
        <v>22</v>
      </c>
      <c r="D308" s="297">
        <v>14</v>
      </c>
      <c r="E308" s="297">
        <v>8</v>
      </c>
      <c r="F308" s="297">
        <v>0</v>
      </c>
    </row>
    <row r="309" spans="1:6" ht="13.5">
      <c r="B309" s="290" t="s">
        <v>262</v>
      </c>
      <c r="C309" s="297">
        <v>23</v>
      </c>
      <c r="D309" s="297">
        <v>14</v>
      </c>
      <c r="E309" s="297">
        <v>9</v>
      </c>
      <c r="F309" s="297">
        <v>0</v>
      </c>
    </row>
    <row r="310" spans="1:6" ht="13.5">
      <c r="B310" s="290" t="s">
        <v>263</v>
      </c>
      <c r="C310" s="297">
        <v>29</v>
      </c>
      <c r="D310" s="297">
        <v>24</v>
      </c>
      <c r="E310" s="297">
        <v>5</v>
      </c>
      <c r="F310" s="297">
        <v>0</v>
      </c>
    </row>
    <row r="311" spans="1:6" ht="13.5">
      <c r="B311" s="290" t="s">
        <v>264</v>
      </c>
      <c r="C311" s="297">
        <v>35</v>
      </c>
      <c r="D311" s="297">
        <v>22</v>
      </c>
      <c r="E311" s="297">
        <v>13</v>
      </c>
      <c r="F311" s="297">
        <v>0</v>
      </c>
    </row>
    <row r="312" spans="1:6" ht="13.5">
      <c r="B312" s="290" t="s">
        <v>265</v>
      </c>
      <c r="C312" s="297">
        <v>31</v>
      </c>
      <c r="D312" s="297">
        <v>16</v>
      </c>
      <c r="E312" s="297">
        <v>15</v>
      </c>
      <c r="F312" s="297">
        <v>0</v>
      </c>
    </row>
    <row r="313" spans="1:6" ht="13.5">
      <c r="B313" s="290" t="s">
        <v>266</v>
      </c>
      <c r="C313" s="297">
        <v>259</v>
      </c>
      <c r="D313" s="297">
        <v>124</v>
      </c>
      <c r="E313" s="297">
        <v>135</v>
      </c>
      <c r="F313" s="297">
        <v>0</v>
      </c>
    </row>
    <row r="314" spans="1:6" ht="13.5">
      <c r="B314" s="290" t="s">
        <v>504</v>
      </c>
      <c r="C314" s="297">
        <v>3</v>
      </c>
      <c r="D314" s="297">
        <v>1</v>
      </c>
      <c r="E314" s="297">
        <v>2</v>
      </c>
      <c r="F314" s="297">
        <v>0</v>
      </c>
    </row>
    <row r="315" spans="1:6" ht="5.0999999999999996" customHeight="1">
      <c r="B315" s="290"/>
      <c r="C315" s="297"/>
      <c r="D315" s="297"/>
      <c r="E315" s="297"/>
      <c r="F315" s="297"/>
    </row>
    <row r="316" spans="1:6" ht="13.5">
      <c r="A316" s="292" t="s">
        <v>91</v>
      </c>
      <c r="B316" s="292"/>
      <c r="C316" s="295">
        <v>26</v>
      </c>
      <c r="D316" s="295">
        <v>17</v>
      </c>
      <c r="E316" s="295">
        <v>9</v>
      </c>
      <c r="F316" s="295">
        <v>0</v>
      </c>
    </row>
    <row r="317" spans="1:6" ht="5.0999999999999996" customHeight="1">
      <c r="B317" s="290"/>
      <c r="C317" s="297"/>
      <c r="D317" s="297"/>
      <c r="E317" s="297"/>
      <c r="F317" s="297"/>
    </row>
    <row r="318" spans="1:6" ht="13.5">
      <c r="B318" s="290" t="s">
        <v>503</v>
      </c>
      <c r="C318" s="297">
        <v>3</v>
      </c>
      <c r="D318" s="297">
        <v>2</v>
      </c>
      <c r="E318" s="297">
        <v>1</v>
      </c>
      <c r="F318" s="297">
        <v>0</v>
      </c>
    </row>
    <row r="319" spans="1:6" ht="13.5">
      <c r="B319" s="290" t="s">
        <v>259</v>
      </c>
      <c r="C319" s="297">
        <v>2</v>
      </c>
      <c r="D319" s="297">
        <v>2</v>
      </c>
      <c r="E319" s="297">
        <v>0</v>
      </c>
      <c r="F319" s="297">
        <v>0</v>
      </c>
    </row>
    <row r="320" spans="1:6" ht="13.5">
      <c r="B320" s="290" t="s">
        <v>64</v>
      </c>
      <c r="C320" s="297">
        <v>1</v>
      </c>
      <c r="D320" s="297">
        <v>1</v>
      </c>
      <c r="E320" s="297">
        <v>0</v>
      </c>
      <c r="F320" s="297">
        <v>0</v>
      </c>
    </row>
    <row r="321" spans="1:6" ht="13.5">
      <c r="B321" s="290" t="s">
        <v>65</v>
      </c>
      <c r="C321" s="297">
        <v>1</v>
      </c>
      <c r="D321" s="297">
        <v>1</v>
      </c>
      <c r="E321" s="297">
        <v>0</v>
      </c>
      <c r="F321" s="297">
        <v>0</v>
      </c>
    </row>
    <row r="322" spans="1:6" ht="13.5">
      <c r="B322" s="290" t="s">
        <v>66</v>
      </c>
      <c r="C322" s="297">
        <v>2</v>
      </c>
      <c r="D322" s="297">
        <v>2</v>
      </c>
      <c r="E322" s="297">
        <v>0</v>
      </c>
      <c r="F322" s="297">
        <v>0</v>
      </c>
    </row>
    <row r="323" spans="1:6" ht="13.5">
      <c r="B323" s="290" t="s">
        <v>67</v>
      </c>
      <c r="C323" s="297">
        <v>1</v>
      </c>
      <c r="D323" s="297">
        <v>0</v>
      </c>
      <c r="E323" s="297">
        <v>1</v>
      </c>
      <c r="F323" s="297">
        <v>0</v>
      </c>
    </row>
    <row r="324" spans="1:6" ht="13.5">
      <c r="B324" s="290" t="s">
        <v>68</v>
      </c>
      <c r="C324" s="297">
        <v>3</v>
      </c>
      <c r="D324" s="297">
        <v>2</v>
      </c>
      <c r="E324" s="297">
        <v>1</v>
      </c>
      <c r="F324" s="297">
        <v>0</v>
      </c>
    </row>
    <row r="325" spans="1:6" ht="13.5">
      <c r="B325" s="290" t="s">
        <v>69</v>
      </c>
      <c r="C325" s="297">
        <v>6</v>
      </c>
      <c r="D325" s="297">
        <v>3</v>
      </c>
      <c r="E325" s="297">
        <v>3</v>
      </c>
      <c r="F325" s="297">
        <v>0</v>
      </c>
    </row>
    <row r="326" spans="1:6" ht="13.5">
      <c r="B326" s="290" t="s">
        <v>264</v>
      </c>
      <c r="C326" s="297">
        <v>1</v>
      </c>
      <c r="D326" s="297">
        <v>1</v>
      </c>
      <c r="E326" s="297">
        <v>0</v>
      </c>
      <c r="F326" s="297">
        <v>0</v>
      </c>
    </row>
    <row r="327" spans="1:6" ht="13.5">
      <c r="B327" s="290" t="s">
        <v>265</v>
      </c>
      <c r="C327" s="297">
        <v>2</v>
      </c>
      <c r="D327" s="297">
        <v>1</v>
      </c>
      <c r="E327" s="297">
        <v>1</v>
      </c>
      <c r="F327" s="297">
        <v>0</v>
      </c>
    </row>
    <row r="328" spans="1:6" ht="13.5">
      <c r="B328" s="290" t="s">
        <v>266</v>
      </c>
      <c r="C328" s="297">
        <v>4</v>
      </c>
      <c r="D328" s="297">
        <v>2</v>
      </c>
      <c r="E328" s="297">
        <v>2</v>
      </c>
      <c r="F328" s="297">
        <v>0</v>
      </c>
    </row>
    <row r="329" spans="1:6" ht="5.0999999999999996" customHeight="1">
      <c r="B329" s="290"/>
      <c r="C329" s="297"/>
      <c r="D329" s="297"/>
      <c r="E329" s="297"/>
      <c r="F329" s="297"/>
    </row>
    <row r="330" spans="1:6" ht="13.5">
      <c r="A330" s="292" t="s">
        <v>92</v>
      </c>
      <c r="B330" s="292"/>
      <c r="C330" s="295">
        <v>509</v>
      </c>
      <c r="D330" s="295">
        <v>313</v>
      </c>
      <c r="E330" s="295">
        <v>196</v>
      </c>
      <c r="F330" s="295">
        <v>0</v>
      </c>
    </row>
    <row r="331" spans="1:6" ht="5.0999999999999996" customHeight="1">
      <c r="B331" s="290"/>
      <c r="C331" s="297"/>
      <c r="D331" s="297"/>
      <c r="E331" s="297"/>
      <c r="F331" s="297"/>
    </row>
    <row r="332" spans="1:6" ht="13.5">
      <c r="B332" s="290" t="s">
        <v>503</v>
      </c>
      <c r="C332" s="297">
        <v>7</v>
      </c>
      <c r="D332" s="297">
        <v>6</v>
      </c>
      <c r="E332" s="297">
        <v>1</v>
      </c>
      <c r="F332" s="297">
        <v>0</v>
      </c>
    </row>
    <row r="333" spans="1:6" ht="13.5">
      <c r="B333" s="290" t="s">
        <v>259</v>
      </c>
      <c r="C333" s="297">
        <v>4</v>
      </c>
      <c r="D333" s="297">
        <v>2</v>
      </c>
      <c r="E333" s="297">
        <v>2</v>
      </c>
      <c r="F333" s="297">
        <v>0</v>
      </c>
    </row>
    <row r="334" spans="1:6" ht="13.5">
      <c r="B334" s="290" t="s">
        <v>261</v>
      </c>
      <c r="C334" s="297">
        <v>3</v>
      </c>
      <c r="D334" s="297">
        <v>3</v>
      </c>
      <c r="E334" s="297">
        <v>0</v>
      </c>
      <c r="F334" s="297">
        <v>0</v>
      </c>
    </row>
    <row r="335" spans="1:6" ht="13.5">
      <c r="B335" s="290" t="s">
        <v>63</v>
      </c>
      <c r="C335" s="297">
        <v>4</v>
      </c>
      <c r="D335" s="297">
        <v>1</v>
      </c>
      <c r="E335" s="297">
        <v>3</v>
      </c>
      <c r="F335" s="297">
        <v>0</v>
      </c>
    </row>
    <row r="336" spans="1:6" ht="13.5">
      <c r="B336" s="290" t="s">
        <v>64</v>
      </c>
      <c r="C336" s="297">
        <v>8</v>
      </c>
      <c r="D336" s="297">
        <v>7</v>
      </c>
      <c r="E336" s="297">
        <v>1</v>
      </c>
      <c r="F336" s="297">
        <v>0</v>
      </c>
    </row>
    <row r="337" spans="1:6" ht="13.5">
      <c r="B337" s="290" t="s">
        <v>65</v>
      </c>
      <c r="C337" s="297">
        <v>12</v>
      </c>
      <c r="D337" s="297">
        <v>10</v>
      </c>
      <c r="E337" s="297">
        <v>2</v>
      </c>
      <c r="F337" s="297">
        <v>0</v>
      </c>
    </row>
    <row r="338" spans="1:6" ht="13.5">
      <c r="B338" s="290" t="s">
        <v>66</v>
      </c>
      <c r="C338" s="297">
        <v>9</v>
      </c>
      <c r="D338" s="297">
        <v>5</v>
      </c>
      <c r="E338" s="297">
        <v>4</v>
      </c>
      <c r="F338" s="297">
        <v>0</v>
      </c>
    </row>
    <row r="339" spans="1:6" ht="13.5">
      <c r="B339" s="290" t="s">
        <v>67</v>
      </c>
      <c r="C339" s="297">
        <v>16</v>
      </c>
      <c r="D339" s="297">
        <v>9</v>
      </c>
      <c r="E339" s="297">
        <v>7</v>
      </c>
      <c r="F339" s="297">
        <v>0</v>
      </c>
    </row>
    <row r="340" spans="1:6" ht="13.5">
      <c r="B340" s="290" t="s">
        <v>68</v>
      </c>
      <c r="C340" s="297">
        <v>18</v>
      </c>
      <c r="D340" s="297">
        <v>13</v>
      </c>
      <c r="E340" s="297">
        <v>5</v>
      </c>
      <c r="F340" s="297">
        <v>0</v>
      </c>
    </row>
    <row r="341" spans="1:6" ht="13.5">
      <c r="B341" s="290" t="s">
        <v>69</v>
      </c>
      <c r="C341" s="297">
        <v>17</v>
      </c>
      <c r="D341" s="297">
        <v>15</v>
      </c>
      <c r="E341" s="297">
        <v>2</v>
      </c>
      <c r="F341" s="297">
        <v>0</v>
      </c>
    </row>
    <row r="342" spans="1:6" ht="13.5">
      <c r="B342" s="290" t="s">
        <v>262</v>
      </c>
      <c r="C342" s="297">
        <v>30</v>
      </c>
      <c r="D342" s="297">
        <v>15</v>
      </c>
      <c r="E342" s="297">
        <v>15</v>
      </c>
      <c r="F342" s="297">
        <v>0</v>
      </c>
    </row>
    <row r="343" spans="1:6" ht="13.5">
      <c r="B343" s="290" t="s">
        <v>263</v>
      </c>
      <c r="C343" s="297">
        <v>33</v>
      </c>
      <c r="D343" s="297">
        <v>25</v>
      </c>
      <c r="E343" s="297">
        <v>8</v>
      </c>
      <c r="F343" s="297">
        <v>0</v>
      </c>
    </row>
    <row r="344" spans="1:6" ht="13.5">
      <c r="B344" s="290" t="s">
        <v>264</v>
      </c>
      <c r="C344" s="297">
        <v>34</v>
      </c>
      <c r="D344" s="297">
        <v>19</v>
      </c>
      <c r="E344" s="297">
        <v>15</v>
      </c>
      <c r="F344" s="297">
        <v>0</v>
      </c>
    </row>
    <row r="345" spans="1:6" ht="13.5">
      <c r="B345" s="290" t="s">
        <v>265</v>
      </c>
      <c r="C345" s="297">
        <v>39</v>
      </c>
      <c r="D345" s="297">
        <v>27</v>
      </c>
      <c r="E345" s="297">
        <v>12</v>
      </c>
      <c r="F345" s="297">
        <v>0</v>
      </c>
    </row>
    <row r="346" spans="1:6" ht="13.5">
      <c r="B346" s="290" t="s">
        <v>266</v>
      </c>
      <c r="C346" s="297">
        <v>269</v>
      </c>
      <c r="D346" s="297">
        <v>151</v>
      </c>
      <c r="E346" s="297">
        <v>118</v>
      </c>
      <c r="F346" s="297">
        <v>0</v>
      </c>
    </row>
    <row r="347" spans="1:6" ht="13.5">
      <c r="B347" s="290" t="s">
        <v>504</v>
      </c>
      <c r="C347" s="297">
        <v>6</v>
      </c>
      <c r="D347" s="297">
        <v>5</v>
      </c>
      <c r="E347" s="297">
        <v>1</v>
      </c>
      <c r="F347" s="297">
        <v>0</v>
      </c>
    </row>
    <row r="348" spans="1:6" ht="5.0999999999999996" customHeight="1">
      <c r="B348" s="290"/>
      <c r="C348" s="297"/>
      <c r="D348" s="297"/>
      <c r="E348" s="297"/>
      <c r="F348" s="297"/>
    </row>
    <row r="349" spans="1:6" ht="13.5">
      <c r="A349" s="292" t="s">
        <v>93</v>
      </c>
      <c r="B349" s="292"/>
      <c r="C349" s="295">
        <v>1307</v>
      </c>
      <c r="D349" s="295">
        <v>827</v>
      </c>
      <c r="E349" s="295">
        <v>480</v>
      </c>
      <c r="F349" s="295">
        <v>0</v>
      </c>
    </row>
    <row r="350" spans="1:6" ht="5.0999999999999996" customHeight="1">
      <c r="B350" s="290"/>
      <c r="C350" s="297"/>
      <c r="D350" s="297"/>
      <c r="E350" s="297"/>
      <c r="F350" s="297"/>
    </row>
    <row r="351" spans="1:6" ht="13.5">
      <c r="B351" s="290" t="s">
        <v>503</v>
      </c>
      <c r="C351" s="297">
        <v>7</v>
      </c>
      <c r="D351" s="297">
        <v>7</v>
      </c>
      <c r="E351" s="297">
        <v>0</v>
      </c>
      <c r="F351" s="297">
        <v>0</v>
      </c>
    </row>
    <row r="352" spans="1:6" ht="13.5">
      <c r="B352" s="290" t="s">
        <v>259</v>
      </c>
      <c r="C352" s="297">
        <v>1</v>
      </c>
      <c r="D352" s="297">
        <v>1</v>
      </c>
      <c r="E352" s="297">
        <v>0</v>
      </c>
      <c r="F352" s="297">
        <v>0</v>
      </c>
    </row>
    <row r="353" spans="2:6" ht="13.5">
      <c r="B353" s="290" t="s">
        <v>260</v>
      </c>
      <c r="C353" s="297">
        <v>1</v>
      </c>
      <c r="D353" s="297">
        <v>1</v>
      </c>
      <c r="E353" s="297">
        <v>0</v>
      </c>
      <c r="F353" s="297">
        <v>0</v>
      </c>
    </row>
    <row r="354" spans="2:6" ht="13.5">
      <c r="B354" s="290" t="s">
        <v>261</v>
      </c>
      <c r="C354" s="297">
        <v>3</v>
      </c>
      <c r="D354" s="297">
        <v>1</v>
      </c>
      <c r="E354" s="297">
        <v>2</v>
      </c>
      <c r="F354" s="297">
        <v>0</v>
      </c>
    </row>
    <row r="355" spans="2:6" ht="13.5">
      <c r="B355" s="290" t="s">
        <v>63</v>
      </c>
      <c r="C355" s="297">
        <v>10</v>
      </c>
      <c r="D355" s="297">
        <v>7</v>
      </c>
      <c r="E355" s="297">
        <v>3</v>
      </c>
      <c r="F355" s="297">
        <v>0</v>
      </c>
    </row>
    <row r="356" spans="2:6" ht="13.5">
      <c r="B356" s="290" t="s">
        <v>64</v>
      </c>
      <c r="C356" s="297">
        <v>26</v>
      </c>
      <c r="D356" s="297">
        <v>19</v>
      </c>
      <c r="E356" s="297">
        <v>7</v>
      </c>
      <c r="F356" s="297">
        <v>0</v>
      </c>
    </row>
    <row r="357" spans="2:6" ht="13.5">
      <c r="B357" s="290" t="s">
        <v>65</v>
      </c>
      <c r="C357" s="297">
        <v>23</v>
      </c>
      <c r="D357" s="297">
        <v>15</v>
      </c>
      <c r="E357" s="297">
        <v>8</v>
      </c>
      <c r="F357" s="297">
        <v>0</v>
      </c>
    </row>
    <row r="358" spans="2:6" ht="13.5">
      <c r="B358" s="290" t="s">
        <v>66</v>
      </c>
      <c r="C358" s="297">
        <v>22</v>
      </c>
      <c r="D358" s="297">
        <v>15</v>
      </c>
      <c r="E358" s="297">
        <v>7</v>
      </c>
      <c r="F358" s="297">
        <v>0</v>
      </c>
    </row>
    <row r="359" spans="2:6" ht="13.5">
      <c r="B359" s="290" t="s">
        <v>67</v>
      </c>
      <c r="C359" s="297">
        <v>41</v>
      </c>
      <c r="D359" s="297">
        <v>25</v>
      </c>
      <c r="E359" s="297">
        <v>16</v>
      </c>
      <c r="F359" s="297">
        <v>0</v>
      </c>
    </row>
    <row r="360" spans="2:6" ht="13.5">
      <c r="B360" s="290" t="s">
        <v>68</v>
      </c>
      <c r="C360" s="297">
        <v>41</v>
      </c>
      <c r="D360" s="297">
        <v>25</v>
      </c>
      <c r="E360" s="297">
        <v>16</v>
      </c>
      <c r="F360" s="297">
        <v>0</v>
      </c>
    </row>
    <row r="361" spans="2:6" ht="13.5">
      <c r="B361" s="290" t="s">
        <v>69</v>
      </c>
      <c r="C361" s="297">
        <v>50</v>
      </c>
      <c r="D361" s="297">
        <v>31</v>
      </c>
      <c r="E361" s="297">
        <v>19</v>
      </c>
      <c r="F361" s="297">
        <v>0</v>
      </c>
    </row>
    <row r="362" spans="2:6" ht="13.5">
      <c r="B362" s="290" t="s">
        <v>262</v>
      </c>
      <c r="C362" s="297">
        <v>63</v>
      </c>
      <c r="D362" s="297">
        <v>48</v>
      </c>
      <c r="E362" s="297">
        <v>15</v>
      </c>
      <c r="F362" s="297">
        <v>0</v>
      </c>
    </row>
    <row r="363" spans="2:6" ht="13.5">
      <c r="B363" s="290" t="s">
        <v>263</v>
      </c>
      <c r="C363" s="297">
        <v>84</v>
      </c>
      <c r="D363" s="297">
        <v>51</v>
      </c>
      <c r="E363" s="297">
        <v>33</v>
      </c>
      <c r="F363" s="297">
        <v>0</v>
      </c>
    </row>
    <row r="364" spans="2:6" ht="13.5">
      <c r="B364" s="290" t="s">
        <v>264</v>
      </c>
      <c r="C364" s="297">
        <v>132</v>
      </c>
      <c r="D364" s="297">
        <v>71</v>
      </c>
      <c r="E364" s="297">
        <v>61</v>
      </c>
      <c r="F364" s="297">
        <v>0</v>
      </c>
    </row>
    <row r="365" spans="2:6" ht="13.5">
      <c r="B365" s="290" t="s">
        <v>265</v>
      </c>
      <c r="C365" s="297">
        <v>123</v>
      </c>
      <c r="D365" s="297">
        <v>87</v>
      </c>
      <c r="E365" s="297">
        <v>36</v>
      </c>
      <c r="F365" s="297">
        <v>0</v>
      </c>
    </row>
    <row r="366" spans="2:6" ht="13.5">
      <c r="B366" s="290" t="s">
        <v>266</v>
      </c>
      <c r="C366" s="297">
        <v>677</v>
      </c>
      <c r="D366" s="297">
        <v>421</v>
      </c>
      <c r="E366" s="297">
        <v>256</v>
      </c>
      <c r="F366" s="297">
        <v>0</v>
      </c>
    </row>
    <row r="367" spans="2:6" ht="13.5">
      <c r="B367" s="290" t="s">
        <v>504</v>
      </c>
      <c r="C367" s="297">
        <v>3</v>
      </c>
      <c r="D367" s="297">
        <v>2</v>
      </c>
      <c r="E367" s="297">
        <v>1</v>
      </c>
      <c r="F367" s="297">
        <v>0</v>
      </c>
    </row>
    <row r="368" spans="2:6" ht="5.0999999999999996" customHeight="1">
      <c r="B368" s="290"/>
      <c r="C368" s="297"/>
      <c r="D368" s="297"/>
      <c r="E368" s="297"/>
      <c r="F368" s="297"/>
    </row>
    <row r="369" spans="1:6" ht="13.5">
      <c r="A369" s="292" t="s">
        <v>175</v>
      </c>
      <c r="B369" s="292"/>
      <c r="C369" s="295">
        <v>675</v>
      </c>
      <c r="D369" s="295">
        <v>381</v>
      </c>
      <c r="E369" s="295">
        <v>294</v>
      </c>
      <c r="F369" s="295">
        <v>0</v>
      </c>
    </row>
    <row r="370" spans="1:6" ht="5.0999999999999996" customHeight="1">
      <c r="B370" s="290"/>
      <c r="C370" s="297"/>
      <c r="D370" s="297"/>
      <c r="E370" s="297"/>
      <c r="F370" s="297"/>
    </row>
    <row r="371" spans="1:6" ht="13.5">
      <c r="B371" s="290" t="s">
        <v>503</v>
      </c>
      <c r="C371" s="297">
        <v>15</v>
      </c>
      <c r="D371" s="297">
        <v>9</v>
      </c>
      <c r="E371" s="297">
        <v>6</v>
      </c>
      <c r="F371" s="297">
        <v>0</v>
      </c>
    </row>
    <row r="372" spans="1:6" ht="13.5">
      <c r="B372" s="290" t="s">
        <v>259</v>
      </c>
      <c r="C372" s="297">
        <v>4</v>
      </c>
      <c r="D372" s="297">
        <v>3</v>
      </c>
      <c r="E372" s="297">
        <v>1</v>
      </c>
      <c r="F372" s="297">
        <v>0</v>
      </c>
    </row>
    <row r="373" spans="1:6" ht="13.5">
      <c r="B373" s="290" t="s">
        <v>260</v>
      </c>
      <c r="C373" s="297">
        <v>4</v>
      </c>
      <c r="D373" s="297">
        <v>1</v>
      </c>
      <c r="E373" s="297">
        <v>3</v>
      </c>
      <c r="F373" s="297">
        <v>0</v>
      </c>
    </row>
    <row r="374" spans="1:6" ht="13.5">
      <c r="B374" s="290" t="s">
        <v>261</v>
      </c>
      <c r="C374" s="297">
        <v>11</v>
      </c>
      <c r="D374" s="297">
        <v>5</v>
      </c>
      <c r="E374" s="297">
        <v>6</v>
      </c>
      <c r="F374" s="297">
        <v>0</v>
      </c>
    </row>
    <row r="375" spans="1:6" ht="13.5">
      <c r="B375" s="290" t="s">
        <v>63</v>
      </c>
      <c r="C375" s="297">
        <v>8</v>
      </c>
      <c r="D375" s="297">
        <v>7</v>
      </c>
      <c r="E375" s="297">
        <v>1</v>
      </c>
      <c r="F375" s="297">
        <v>0</v>
      </c>
    </row>
    <row r="376" spans="1:6" ht="13.5">
      <c r="B376" s="290" t="s">
        <v>64</v>
      </c>
      <c r="C376" s="297">
        <v>20</v>
      </c>
      <c r="D376" s="297">
        <v>16</v>
      </c>
      <c r="E376" s="297">
        <v>4</v>
      </c>
      <c r="F376" s="297">
        <v>0</v>
      </c>
    </row>
    <row r="377" spans="1:6" ht="13.5">
      <c r="B377" s="290" t="s">
        <v>65</v>
      </c>
      <c r="C377" s="297">
        <v>13</v>
      </c>
      <c r="D377" s="297">
        <v>10</v>
      </c>
      <c r="E377" s="297">
        <v>3</v>
      </c>
      <c r="F377" s="297">
        <v>0</v>
      </c>
    </row>
    <row r="378" spans="1:6" ht="13.5">
      <c r="B378" s="290" t="s">
        <v>66</v>
      </c>
      <c r="C378" s="297">
        <v>13</v>
      </c>
      <c r="D378" s="297">
        <v>10</v>
      </c>
      <c r="E378" s="297">
        <v>3</v>
      </c>
      <c r="F378" s="297">
        <v>0</v>
      </c>
    </row>
    <row r="379" spans="1:6" ht="13.5">
      <c r="B379" s="290" t="s">
        <v>67</v>
      </c>
      <c r="C379" s="297">
        <v>19</v>
      </c>
      <c r="D379" s="297">
        <v>16</v>
      </c>
      <c r="E379" s="297">
        <v>3</v>
      </c>
      <c r="F379" s="297">
        <v>0</v>
      </c>
    </row>
    <row r="380" spans="1:6" ht="13.5">
      <c r="B380" s="290" t="s">
        <v>68</v>
      </c>
      <c r="C380" s="297">
        <v>11</v>
      </c>
      <c r="D380" s="297">
        <v>7</v>
      </c>
      <c r="E380" s="297">
        <v>4</v>
      </c>
      <c r="F380" s="297">
        <v>0</v>
      </c>
    </row>
    <row r="381" spans="1:6" ht="13.5">
      <c r="B381" s="290" t="s">
        <v>69</v>
      </c>
      <c r="C381" s="297">
        <v>14</v>
      </c>
      <c r="D381" s="297">
        <v>9</v>
      </c>
      <c r="E381" s="297">
        <v>5</v>
      </c>
      <c r="F381" s="297">
        <v>0</v>
      </c>
    </row>
    <row r="382" spans="1:6" ht="13.5">
      <c r="B382" s="290" t="s">
        <v>262</v>
      </c>
      <c r="C382" s="297">
        <v>33</v>
      </c>
      <c r="D382" s="297">
        <v>25</v>
      </c>
      <c r="E382" s="297">
        <v>8</v>
      </c>
      <c r="F382" s="297">
        <v>0</v>
      </c>
    </row>
    <row r="383" spans="1:6" ht="13.5">
      <c r="B383" s="290" t="s">
        <v>263</v>
      </c>
      <c r="C383" s="297">
        <v>42</v>
      </c>
      <c r="D383" s="297">
        <v>28</v>
      </c>
      <c r="E383" s="297">
        <v>14</v>
      </c>
      <c r="F383" s="297">
        <v>0</v>
      </c>
    </row>
    <row r="384" spans="1:6" ht="13.5">
      <c r="B384" s="290" t="s">
        <v>264</v>
      </c>
      <c r="C384" s="297">
        <v>46</v>
      </c>
      <c r="D384" s="297">
        <v>25</v>
      </c>
      <c r="E384" s="297">
        <v>21</v>
      </c>
      <c r="F384" s="297">
        <v>0</v>
      </c>
    </row>
    <row r="385" spans="1:6" ht="13.5">
      <c r="B385" s="290" t="s">
        <v>265</v>
      </c>
      <c r="C385" s="297">
        <v>55</v>
      </c>
      <c r="D385" s="297">
        <v>32</v>
      </c>
      <c r="E385" s="297">
        <v>23</v>
      </c>
      <c r="F385" s="297">
        <v>0</v>
      </c>
    </row>
    <row r="386" spans="1:6" ht="13.5">
      <c r="B386" s="290" t="s">
        <v>266</v>
      </c>
      <c r="C386" s="297">
        <v>358</v>
      </c>
      <c r="D386" s="297">
        <v>175</v>
      </c>
      <c r="E386" s="297">
        <v>183</v>
      </c>
      <c r="F386" s="297">
        <v>0</v>
      </c>
    </row>
    <row r="387" spans="1:6" ht="13.5">
      <c r="B387" s="290" t="s">
        <v>504</v>
      </c>
      <c r="C387" s="297">
        <v>9</v>
      </c>
      <c r="D387" s="297">
        <v>3</v>
      </c>
      <c r="E387" s="297">
        <v>6</v>
      </c>
      <c r="F387" s="297">
        <v>0</v>
      </c>
    </row>
    <row r="388" spans="1:6" ht="5.0999999999999996" customHeight="1">
      <c r="B388" s="290"/>
      <c r="C388" s="297"/>
      <c r="D388" s="297"/>
      <c r="E388" s="297"/>
      <c r="F388" s="297"/>
    </row>
    <row r="389" spans="1:6" ht="13.5">
      <c r="A389" s="292" t="s">
        <v>95</v>
      </c>
      <c r="B389" s="292"/>
      <c r="C389" s="295">
        <v>429</v>
      </c>
      <c r="D389" s="295">
        <v>259</v>
      </c>
      <c r="E389" s="295">
        <v>170</v>
      </c>
      <c r="F389" s="295">
        <v>0</v>
      </c>
    </row>
    <row r="390" spans="1:6" ht="5.0999999999999996" customHeight="1">
      <c r="B390" s="290"/>
      <c r="C390" s="297"/>
      <c r="D390" s="297"/>
      <c r="E390" s="297"/>
      <c r="F390" s="297"/>
    </row>
    <row r="391" spans="1:6" ht="13.5">
      <c r="B391" s="290" t="s">
        <v>503</v>
      </c>
      <c r="C391" s="297">
        <v>5</v>
      </c>
      <c r="D391" s="297">
        <v>5</v>
      </c>
      <c r="E391" s="297">
        <v>0</v>
      </c>
      <c r="F391" s="297">
        <v>0</v>
      </c>
    </row>
    <row r="392" spans="1:6" ht="13.5">
      <c r="B392" s="290" t="s">
        <v>259</v>
      </c>
      <c r="C392" s="297">
        <v>2</v>
      </c>
      <c r="D392" s="297">
        <v>2</v>
      </c>
      <c r="E392" s="297">
        <v>0</v>
      </c>
      <c r="F392" s="297">
        <v>0</v>
      </c>
    </row>
    <row r="393" spans="1:6" ht="13.5">
      <c r="B393" s="290" t="s">
        <v>260</v>
      </c>
      <c r="C393" s="297">
        <v>2</v>
      </c>
      <c r="D393" s="297">
        <v>1</v>
      </c>
      <c r="E393" s="297">
        <v>1</v>
      </c>
      <c r="F393" s="297">
        <v>0</v>
      </c>
    </row>
    <row r="394" spans="1:6" ht="13.5">
      <c r="B394" s="290" t="s">
        <v>261</v>
      </c>
      <c r="C394" s="297">
        <v>4</v>
      </c>
      <c r="D394" s="297">
        <v>2</v>
      </c>
      <c r="E394" s="297">
        <v>2</v>
      </c>
      <c r="F394" s="297">
        <v>0</v>
      </c>
    </row>
    <row r="395" spans="1:6" ht="13.5">
      <c r="B395" s="290" t="s">
        <v>63</v>
      </c>
      <c r="C395" s="297">
        <v>5</v>
      </c>
      <c r="D395" s="297">
        <v>4</v>
      </c>
      <c r="E395" s="297">
        <v>1</v>
      </c>
      <c r="F395" s="297">
        <v>0</v>
      </c>
    </row>
    <row r="396" spans="1:6" ht="13.5">
      <c r="B396" s="290" t="s">
        <v>64</v>
      </c>
      <c r="C396" s="297">
        <v>14</v>
      </c>
      <c r="D396" s="297">
        <v>9</v>
      </c>
      <c r="E396" s="297">
        <v>5</v>
      </c>
      <c r="F396" s="297">
        <v>0</v>
      </c>
    </row>
    <row r="397" spans="1:6" ht="13.5">
      <c r="B397" s="290" t="s">
        <v>65</v>
      </c>
      <c r="C397" s="297">
        <v>16</v>
      </c>
      <c r="D397" s="297">
        <v>15</v>
      </c>
      <c r="E397" s="297">
        <v>1</v>
      </c>
      <c r="F397" s="297">
        <v>0</v>
      </c>
    </row>
    <row r="398" spans="1:6" ht="13.5">
      <c r="B398" s="290" t="s">
        <v>66</v>
      </c>
      <c r="C398" s="297">
        <v>9</v>
      </c>
      <c r="D398" s="297">
        <v>7</v>
      </c>
      <c r="E398" s="297">
        <v>2</v>
      </c>
      <c r="F398" s="297">
        <v>0</v>
      </c>
    </row>
    <row r="399" spans="1:6" ht="13.5">
      <c r="B399" s="290" t="s">
        <v>67</v>
      </c>
      <c r="C399" s="297">
        <v>22</v>
      </c>
      <c r="D399" s="297">
        <v>12</v>
      </c>
      <c r="E399" s="297">
        <v>10</v>
      </c>
      <c r="F399" s="297">
        <v>0</v>
      </c>
    </row>
    <row r="400" spans="1:6" ht="13.5">
      <c r="B400" s="290" t="s">
        <v>68</v>
      </c>
      <c r="C400" s="297">
        <v>13</v>
      </c>
      <c r="D400" s="297">
        <v>7</v>
      </c>
      <c r="E400" s="297">
        <v>6</v>
      </c>
      <c r="F400" s="297">
        <v>0</v>
      </c>
    </row>
    <row r="401" spans="1:6" ht="13.5">
      <c r="B401" s="290" t="s">
        <v>69</v>
      </c>
      <c r="C401" s="297">
        <v>24</v>
      </c>
      <c r="D401" s="297">
        <v>13</v>
      </c>
      <c r="E401" s="297">
        <v>11</v>
      </c>
      <c r="F401" s="297">
        <v>0</v>
      </c>
    </row>
    <row r="402" spans="1:6" ht="13.5">
      <c r="B402" s="290" t="s">
        <v>262</v>
      </c>
      <c r="C402" s="297">
        <v>18</v>
      </c>
      <c r="D402" s="297">
        <v>10</v>
      </c>
      <c r="E402" s="297">
        <v>8</v>
      </c>
      <c r="F402" s="297">
        <v>0</v>
      </c>
    </row>
    <row r="403" spans="1:6" ht="13.5">
      <c r="B403" s="290" t="s">
        <v>263</v>
      </c>
      <c r="C403" s="297">
        <v>24</v>
      </c>
      <c r="D403" s="297">
        <v>13</v>
      </c>
      <c r="E403" s="297">
        <v>11</v>
      </c>
      <c r="F403" s="297">
        <v>0</v>
      </c>
    </row>
    <row r="404" spans="1:6" ht="13.5">
      <c r="B404" s="290" t="s">
        <v>264</v>
      </c>
      <c r="C404" s="297">
        <v>28</v>
      </c>
      <c r="D404" s="297">
        <v>20</v>
      </c>
      <c r="E404" s="297">
        <v>8</v>
      </c>
      <c r="F404" s="297">
        <v>0</v>
      </c>
    </row>
    <row r="405" spans="1:6" ht="13.5">
      <c r="B405" s="290" t="s">
        <v>265</v>
      </c>
      <c r="C405" s="297">
        <v>41</v>
      </c>
      <c r="D405" s="297">
        <v>18</v>
      </c>
      <c r="E405" s="297">
        <v>23</v>
      </c>
      <c r="F405" s="297">
        <v>0</v>
      </c>
    </row>
    <row r="406" spans="1:6" ht="13.5">
      <c r="B406" s="290" t="s">
        <v>266</v>
      </c>
      <c r="C406" s="297">
        <v>200</v>
      </c>
      <c r="D406" s="297">
        <v>120</v>
      </c>
      <c r="E406" s="297">
        <v>80</v>
      </c>
      <c r="F406" s="297">
        <v>0</v>
      </c>
    </row>
    <row r="407" spans="1:6" ht="13.5">
      <c r="B407" s="290" t="s">
        <v>504</v>
      </c>
      <c r="C407" s="297">
        <v>2</v>
      </c>
      <c r="D407" s="297">
        <v>1</v>
      </c>
      <c r="E407" s="297">
        <v>1</v>
      </c>
      <c r="F407" s="297">
        <v>0</v>
      </c>
    </row>
    <row r="408" spans="1:6" ht="5.0999999999999996" customHeight="1">
      <c r="B408" s="290"/>
      <c r="C408" s="297"/>
      <c r="D408" s="297"/>
      <c r="E408" s="297"/>
      <c r="F408" s="297"/>
    </row>
    <row r="409" spans="1:6" ht="13.5">
      <c r="A409" s="292" t="s">
        <v>96</v>
      </c>
      <c r="B409" s="292"/>
      <c r="C409" s="295">
        <v>1245</v>
      </c>
      <c r="D409" s="295">
        <v>743</v>
      </c>
      <c r="E409" s="295">
        <v>502</v>
      </c>
      <c r="F409" s="295">
        <v>0</v>
      </c>
    </row>
    <row r="410" spans="1:6" ht="5.0999999999999996" customHeight="1">
      <c r="B410" s="290"/>
      <c r="C410" s="297"/>
      <c r="D410" s="297"/>
      <c r="E410" s="297"/>
      <c r="F410" s="297"/>
    </row>
    <row r="411" spans="1:6" ht="13.5">
      <c r="B411" s="290" t="s">
        <v>503</v>
      </c>
      <c r="C411" s="297">
        <v>8</v>
      </c>
      <c r="D411" s="297">
        <v>2</v>
      </c>
      <c r="E411" s="297">
        <v>6</v>
      </c>
      <c r="F411" s="297">
        <v>0</v>
      </c>
    </row>
    <row r="412" spans="1:6" ht="13.5">
      <c r="B412" s="290" t="s">
        <v>259</v>
      </c>
      <c r="C412" s="297">
        <v>2</v>
      </c>
      <c r="D412" s="297">
        <v>2</v>
      </c>
      <c r="E412" s="297">
        <v>0</v>
      </c>
      <c r="F412" s="297">
        <v>0</v>
      </c>
    </row>
    <row r="413" spans="1:6" ht="13.5">
      <c r="B413" s="290" t="s">
        <v>260</v>
      </c>
      <c r="C413" s="297">
        <v>4</v>
      </c>
      <c r="D413" s="297">
        <v>2</v>
      </c>
      <c r="E413" s="297">
        <v>2</v>
      </c>
      <c r="F413" s="297">
        <v>0</v>
      </c>
    </row>
    <row r="414" spans="1:6" ht="13.5">
      <c r="B414" s="290" t="s">
        <v>261</v>
      </c>
      <c r="C414" s="297">
        <v>6</v>
      </c>
      <c r="D414" s="297">
        <v>3</v>
      </c>
      <c r="E414" s="297">
        <v>3</v>
      </c>
      <c r="F414" s="297">
        <v>0</v>
      </c>
    </row>
    <row r="415" spans="1:6" ht="13.5">
      <c r="B415" s="290" t="s">
        <v>63</v>
      </c>
      <c r="C415" s="297">
        <v>30</v>
      </c>
      <c r="D415" s="297">
        <v>22</v>
      </c>
      <c r="E415" s="297">
        <v>8</v>
      </c>
      <c r="F415" s="297">
        <v>0</v>
      </c>
    </row>
    <row r="416" spans="1:6" ht="13.5">
      <c r="B416" s="290" t="s">
        <v>64</v>
      </c>
      <c r="C416" s="297">
        <v>31</v>
      </c>
      <c r="D416" s="297">
        <v>22</v>
      </c>
      <c r="E416" s="297">
        <v>9</v>
      </c>
      <c r="F416" s="297">
        <v>0</v>
      </c>
    </row>
    <row r="417" spans="1:6" ht="13.5">
      <c r="B417" s="290" t="s">
        <v>65</v>
      </c>
      <c r="C417" s="297">
        <v>44</v>
      </c>
      <c r="D417" s="297">
        <v>33</v>
      </c>
      <c r="E417" s="297">
        <v>11</v>
      </c>
      <c r="F417" s="297">
        <v>0</v>
      </c>
    </row>
    <row r="418" spans="1:6" ht="13.5">
      <c r="B418" s="290" t="s">
        <v>66</v>
      </c>
      <c r="C418" s="297">
        <v>45</v>
      </c>
      <c r="D418" s="297">
        <v>27</v>
      </c>
      <c r="E418" s="297">
        <v>18</v>
      </c>
      <c r="F418" s="297">
        <v>0</v>
      </c>
    </row>
    <row r="419" spans="1:6" ht="13.5">
      <c r="B419" s="290" t="s">
        <v>67</v>
      </c>
      <c r="C419" s="297">
        <v>47</v>
      </c>
      <c r="D419" s="297">
        <v>27</v>
      </c>
      <c r="E419" s="297">
        <v>20</v>
      </c>
      <c r="F419" s="297">
        <v>0</v>
      </c>
    </row>
    <row r="420" spans="1:6" ht="13.5">
      <c r="B420" s="290" t="s">
        <v>68</v>
      </c>
      <c r="C420" s="297">
        <v>61</v>
      </c>
      <c r="D420" s="297">
        <v>41</v>
      </c>
      <c r="E420" s="297">
        <v>20</v>
      </c>
      <c r="F420" s="297">
        <v>0</v>
      </c>
    </row>
    <row r="421" spans="1:6" ht="13.5">
      <c r="B421" s="290" t="s">
        <v>69</v>
      </c>
      <c r="C421" s="297">
        <v>49</v>
      </c>
      <c r="D421" s="297">
        <v>30</v>
      </c>
      <c r="E421" s="297">
        <v>19</v>
      </c>
      <c r="F421" s="297">
        <v>0</v>
      </c>
    </row>
    <row r="422" spans="1:6" ht="13.5">
      <c r="B422" s="290" t="s">
        <v>262</v>
      </c>
      <c r="C422" s="297">
        <v>73</v>
      </c>
      <c r="D422" s="297">
        <v>44</v>
      </c>
      <c r="E422" s="297">
        <v>29</v>
      </c>
      <c r="F422" s="297">
        <v>0</v>
      </c>
    </row>
    <row r="423" spans="1:6" ht="13.5">
      <c r="B423" s="290" t="s">
        <v>263</v>
      </c>
      <c r="C423" s="297">
        <v>74</v>
      </c>
      <c r="D423" s="297">
        <v>49</v>
      </c>
      <c r="E423" s="297">
        <v>25</v>
      </c>
      <c r="F423" s="297">
        <v>0</v>
      </c>
    </row>
    <row r="424" spans="1:6" ht="13.5">
      <c r="B424" s="290" t="s">
        <v>264</v>
      </c>
      <c r="C424" s="297">
        <v>106</v>
      </c>
      <c r="D424" s="297">
        <v>67</v>
      </c>
      <c r="E424" s="297">
        <v>39</v>
      </c>
      <c r="F424" s="297">
        <v>0</v>
      </c>
    </row>
    <row r="425" spans="1:6" ht="13.5">
      <c r="B425" s="290" t="s">
        <v>265</v>
      </c>
      <c r="C425" s="297">
        <v>104</v>
      </c>
      <c r="D425" s="297">
        <v>64</v>
      </c>
      <c r="E425" s="297">
        <v>40</v>
      </c>
      <c r="F425" s="297">
        <v>0</v>
      </c>
    </row>
    <row r="426" spans="1:6" ht="13.5">
      <c r="B426" s="290" t="s">
        <v>266</v>
      </c>
      <c r="C426" s="297">
        <v>553</v>
      </c>
      <c r="D426" s="297">
        <v>305</v>
      </c>
      <c r="E426" s="297">
        <v>248</v>
      </c>
      <c r="F426" s="297">
        <v>0</v>
      </c>
    </row>
    <row r="427" spans="1:6" ht="13.5">
      <c r="B427" s="290" t="s">
        <v>504</v>
      </c>
      <c r="C427" s="297">
        <v>8</v>
      </c>
      <c r="D427" s="297">
        <v>3</v>
      </c>
      <c r="E427" s="297">
        <v>5</v>
      </c>
      <c r="F427" s="297">
        <v>0</v>
      </c>
    </row>
    <row r="428" spans="1:6" ht="5.0999999999999996" customHeight="1">
      <c r="B428" s="290"/>
      <c r="C428" s="297"/>
      <c r="D428" s="297"/>
      <c r="E428" s="297"/>
      <c r="F428" s="297"/>
    </row>
    <row r="429" spans="1:6" ht="13.5">
      <c r="A429" s="292" t="s">
        <v>97</v>
      </c>
      <c r="B429" s="292"/>
      <c r="C429" s="295">
        <v>837</v>
      </c>
      <c r="D429" s="295">
        <v>484</v>
      </c>
      <c r="E429" s="295">
        <v>353</v>
      </c>
      <c r="F429" s="295">
        <v>0</v>
      </c>
    </row>
    <row r="430" spans="1:6" ht="5.0999999999999996" customHeight="1">
      <c r="B430" s="290"/>
      <c r="C430" s="297"/>
      <c r="D430" s="297"/>
      <c r="E430" s="297"/>
      <c r="F430" s="297"/>
    </row>
    <row r="431" spans="1:6" ht="13.5">
      <c r="B431" s="290" t="s">
        <v>503</v>
      </c>
      <c r="C431" s="297">
        <v>7</v>
      </c>
      <c r="D431" s="297">
        <v>3</v>
      </c>
      <c r="E431" s="297">
        <v>4</v>
      </c>
      <c r="F431" s="297">
        <v>0</v>
      </c>
    </row>
    <row r="432" spans="1:6" ht="13.5">
      <c r="B432" s="290" t="s">
        <v>259</v>
      </c>
      <c r="C432" s="297">
        <v>2</v>
      </c>
      <c r="D432" s="297">
        <v>2</v>
      </c>
      <c r="E432" s="297">
        <v>0</v>
      </c>
      <c r="F432" s="297">
        <v>0</v>
      </c>
    </row>
    <row r="433" spans="1:6" ht="13.5">
      <c r="B433" s="290" t="s">
        <v>261</v>
      </c>
      <c r="C433" s="297">
        <v>5</v>
      </c>
      <c r="D433" s="297">
        <v>4</v>
      </c>
      <c r="E433" s="297">
        <v>1</v>
      </c>
      <c r="F433" s="297">
        <v>0</v>
      </c>
    </row>
    <row r="434" spans="1:6" ht="13.5">
      <c r="B434" s="290" t="s">
        <v>63</v>
      </c>
      <c r="C434" s="297">
        <v>6</v>
      </c>
      <c r="D434" s="297">
        <v>3</v>
      </c>
      <c r="E434" s="297">
        <v>3</v>
      </c>
      <c r="F434" s="297">
        <v>0</v>
      </c>
    </row>
    <row r="435" spans="1:6" ht="13.5">
      <c r="B435" s="290" t="s">
        <v>64</v>
      </c>
      <c r="C435" s="297">
        <v>23</v>
      </c>
      <c r="D435" s="297">
        <v>18</v>
      </c>
      <c r="E435" s="297">
        <v>5</v>
      </c>
      <c r="F435" s="297">
        <v>0</v>
      </c>
    </row>
    <row r="436" spans="1:6" ht="13.5">
      <c r="B436" s="290" t="s">
        <v>65</v>
      </c>
      <c r="C436" s="297">
        <v>31</v>
      </c>
      <c r="D436" s="297">
        <v>18</v>
      </c>
      <c r="E436" s="297">
        <v>13</v>
      </c>
      <c r="F436" s="297">
        <v>0</v>
      </c>
    </row>
    <row r="437" spans="1:6" ht="13.5">
      <c r="B437" s="290" t="s">
        <v>66</v>
      </c>
      <c r="C437" s="297">
        <v>29</v>
      </c>
      <c r="D437" s="297">
        <v>16</v>
      </c>
      <c r="E437" s="297">
        <v>13</v>
      </c>
      <c r="F437" s="297">
        <v>0</v>
      </c>
    </row>
    <row r="438" spans="1:6" ht="13.5">
      <c r="B438" s="290" t="s">
        <v>67</v>
      </c>
      <c r="C438" s="297">
        <v>39</v>
      </c>
      <c r="D438" s="297">
        <v>21</v>
      </c>
      <c r="E438" s="297">
        <v>18</v>
      </c>
      <c r="F438" s="297">
        <v>0</v>
      </c>
    </row>
    <row r="439" spans="1:6" ht="13.5">
      <c r="B439" s="290" t="s">
        <v>68</v>
      </c>
      <c r="C439" s="297">
        <v>28</v>
      </c>
      <c r="D439" s="297">
        <v>21</v>
      </c>
      <c r="E439" s="297">
        <v>7</v>
      </c>
      <c r="F439" s="297">
        <v>0</v>
      </c>
    </row>
    <row r="440" spans="1:6" ht="13.5">
      <c r="B440" s="290" t="s">
        <v>69</v>
      </c>
      <c r="C440" s="297">
        <v>32</v>
      </c>
      <c r="D440" s="297">
        <v>19</v>
      </c>
      <c r="E440" s="297">
        <v>13</v>
      </c>
      <c r="F440" s="297">
        <v>0</v>
      </c>
    </row>
    <row r="441" spans="1:6" ht="13.5">
      <c r="B441" s="290" t="s">
        <v>262</v>
      </c>
      <c r="C441" s="297">
        <v>52</v>
      </c>
      <c r="D441" s="297">
        <v>28</v>
      </c>
      <c r="E441" s="297">
        <v>24</v>
      </c>
      <c r="F441" s="297">
        <v>0</v>
      </c>
    </row>
    <row r="442" spans="1:6" ht="13.5">
      <c r="B442" s="290" t="s">
        <v>263</v>
      </c>
      <c r="C442" s="297">
        <v>46</v>
      </c>
      <c r="D442" s="297">
        <v>26</v>
      </c>
      <c r="E442" s="297">
        <v>20</v>
      </c>
      <c r="F442" s="297">
        <v>0</v>
      </c>
    </row>
    <row r="443" spans="1:6" ht="13.5">
      <c r="B443" s="290" t="s">
        <v>264</v>
      </c>
      <c r="C443" s="297">
        <v>48</v>
      </c>
      <c r="D443" s="297">
        <v>26</v>
      </c>
      <c r="E443" s="297">
        <v>22</v>
      </c>
      <c r="F443" s="297">
        <v>0</v>
      </c>
    </row>
    <row r="444" spans="1:6" ht="13.5">
      <c r="B444" s="290" t="s">
        <v>265</v>
      </c>
      <c r="C444" s="297">
        <v>74</v>
      </c>
      <c r="D444" s="297">
        <v>39</v>
      </c>
      <c r="E444" s="297">
        <v>35</v>
      </c>
      <c r="F444" s="297">
        <v>0</v>
      </c>
    </row>
    <row r="445" spans="1:6" ht="13.5">
      <c r="B445" s="290" t="s">
        <v>266</v>
      </c>
      <c r="C445" s="297">
        <v>409</v>
      </c>
      <c r="D445" s="297">
        <v>236</v>
      </c>
      <c r="E445" s="297">
        <v>173</v>
      </c>
      <c r="F445" s="297">
        <v>0</v>
      </c>
    </row>
    <row r="446" spans="1:6" ht="13.5">
      <c r="B446" s="290" t="s">
        <v>504</v>
      </c>
      <c r="C446" s="297">
        <v>6</v>
      </c>
      <c r="D446" s="297">
        <v>4</v>
      </c>
      <c r="E446" s="297">
        <v>2</v>
      </c>
      <c r="F446" s="297">
        <v>0</v>
      </c>
    </row>
    <row r="447" spans="1:6" ht="5.0999999999999996" customHeight="1">
      <c r="B447" s="290"/>
      <c r="C447" s="297"/>
      <c r="D447" s="297"/>
      <c r="E447" s="297"/>
      <c r="F447" s="297"/>
    </row>
    <row r="448" spans="1:6" ht="13.5">
      <c r="A448" s="292" t="s">
        <v>98</v>
      </c>
      <c r="B448" s="292"/>
      <c r="C448" s="295">
        <v>745</v>
      </c>
      <c r="D448" s="295">
        <v>404</v>
      </c>
      <c r="E448" s="295">
        <v>341</v>
      </c>
      <c r="F448" s="295">
        <v>0</v>
      </c>
    </row>
    <row r="449" spans="2:6" ht="5.0999999999999996" customHeight="1">
      <c r="B449" s="290"/>
      <c r="C449" s="297"/>
      <c r="D449" s="297"/>
      <c r="E449" s="297"/>
      <c r="F449" s="297"/>
    </row>
    <row r="450" spans="2:6" ht="13.5">
      <c r="B450" s="290" t="s">
        <v>503</v>
      </c>
      <c r="C450" s="297">
        <v>17</v>
      </c>
      <c r="D450" s="297">
        <v>10</v>
      </c>
      <c r="E450" s="297">
        <v>7</v>
      </c>
      <c r="F450" s="297">
        <v>0</v>
      </c>
    </row>
    <row r="451" spans="2:6" ht="13.5">
      <c r="B451" s="290" t="s">
        <v>259</v>
      </c>
      <c r="C451" s="297">
        <v>7</v>
      </c>
      <c r="D451" s="297">
        <v>5</v>
      </c>
      <c r="E451" s="297">
        <v>2</v>
      </c>
      <c r="F451" s="297">
        <v>0</v>
      </c>
    </row>
    <row r="452" spans="2:6" ht="13.5">
      <c r="B452" s="290" t="s">
        <v>260</v>
      </c>
      <c r="C452" s="297">
        <v>5</v>
      </c>
      <c r="D452" s="297">
        <v>2</v>
      </c>
      <c r="E452" s="297">
        <v>3</v>
      </c>
      <c r="F452" s="297">
        <v>0</v>
      </c>
    </row>
    <row r="453" spans="2:6" ht="13.5">
      <c r="B453" s="290" t="s">
        <v>261</v>
      </c>
      <c r="C453" s="297">
        <v>10</v>
      </c>
      <c r="D453" s="297">
        <v>4</v>
      </c>
      <c r="E453" s="297">
        <v>6</v>
      </c>
      <c r="F453" s="297">
        <v>0</v>
      </c>
    </row>
    <row r="454" spans="2:6" ht="13.5">
      <c r="B454" s="290" t="s">
        <v>63</v>
      </c>
      <c r="C454" s="297">
        <v>15</v>
      </c>
      <c r="D454" s="297">
        <v>13</v>
      </c>
      <c r="E454" s="297">
        <v>2</v>
      </c>
      <c r="F454" s="297">
        <v>0</v>
      </c>
    </row>
    <row r="455" spans="2:6" ht="13.5">
      <c r="B455" s="290" t="s">
        <v>64</v>
      </c>
      <c r="C455" s="297">
        <v>14</v>
      </c>
      <c r="D455" s="297">
        <v>11</v>
      </c>
      <c r="E455" s="297">
        <v>3</v>
      </c>
      <c r="F455" s="297">
        <v>0</v>
      </c>
    </row>
    <row r="456" spans="2:6" ht="13.5">
      <c r="B456" s="290" t="s">
        <v>65</v>
      </c>
      <c r="C456" s="297">
        <v>21</v>
      </c>
      <c r="D456" s="297">
        <v>13</v>
      </c>
      <c r="E456" s="297">
        <v>8</v>
      </c>
      <c r="F456" s="297">
        <v>0</v>
      </c>
    </row>
    <row r="457" spans="2:6" ht="13.5">
      <c r="B457" s="290" t="s">
        <v>66</v>
      </c>
      <c r="C457" s="297">
        <v>25</v>
      </c>
      <c r="D457" s="297">
        <v>17</v>
      </c>
      <c r="E457" s="297">
        <v>8</v>
      </c>
      <c r="F457" s="297">
        <v>0</v>
      </c>
    </row>
    <row r="458" spans="2:6" ht="13.5">
      <c r="B458" s="290" t="s">
        <v>67</v>
      </c>
      <c r="C458" s="297">
        <v>27</v>
      </c>
      <c r="D458" s="297">
        <v>15</v>
      </c>
      <c r="E458" s="297">
        <v>12</v>
      </c>
      <c r="F458" s="297">
        <v>0</v>
      </c>
    </row>
    <row r="459" spans="2:6" ht="13.5">
      <c r="B459" s="290" t="s">
        <v>68</v>
      </c>
      <c r="C459" s="297">
        <v>34</v>
      </c>
      <c r="D459" s="297">
        <v>16</v>
      </c>
      <c r="E459" s="297">
        <v>18</v>
      </c>
      <c r="F459" s="297">
        <v>0</v>
      </c>
    </row>
    <row r="460" spans="2:6" ht="13.5">
      <c r="B460" s="290" t="s">
        <v>69</v>
      </c>
      <c r="C460" s="297">
        <v>25</v>
      </c>
      <c r="D460" s="297">
        <v>13</v>
      </c>
      <c r="E460" s="297">
        <v>12</v>
      </c>
      <c r="F460" s="297">
        <v>0</v>
      </c>
    </row>
    <row r="461" spans="2:6" ht="13.5">
      <c r="B461" s="290" t="s">
        <v>262</v>
      </c>
      <c r="C461" s="297">
        <v>35</v>
      </c>
      <c r="D461" s="297">
        <v>19</v>
      </c>
      <c r="E461" s="297">
        <v>16</v>
      </c>
      <c r="F461" s="297">
        <v>0</v>
      </c>
    </row>
    <row r="462" spans="2:6" ht="13.5">
      <c r="B462" s="290" t="s">
        <v>263</v>
      </c>
      <c r="C462" s="297">
        <v>52</v>
      </c>
      <c r="D462" s="297">
        <v>30</v>
      </c>
      <c r="E462" s="297">
        <v>22</v>
      </c>
      <c r="F462" s="297">
        <v>0</v>
      </c>
    </row>
    <row r="463" spans="2:6" ht="13.5">
      <c r="B463" s="290" t="s">
        <v>264</v>
      </c>
      <c r="C463" s="297">
        <v>52</v>
      </c>
      <c r="D463" s="297">
        <v>31</v>
      </c>
      <c r="E463" s="297">
        <v>21</v>
      </c>
      <c r="F463" s="297">
        <v>0</v>
      </c>
    </row>
    <row r="464" spans="2:6" ht="13.5">
      <c r="B464" s="290" t="s">
        <v>265</v>
      </c>
      <c r="C464" s="297">
        <v>51</v>
      </c>
      <c r="D464" s="297">
        <v>28</v>
      </c>
      <c r="E464" s="297">
        <v>23</v>
      </c>
      <c r="F464" s="297">
        <v>0</v>
      </c>
    </row>
    <row r="465" spans="1:6" ht="13.5">
      <c r="B465" s="290" t="s">
        <v>266</v>
      </c>
      <c r="C465" s="297">
        <v>345</v>
      </c>
      <c r="D465" s="297">
        <v>174</v>
      </c>
      <c r="E465" s="297">
        <v>171</v>
      </c>
      <c r="F465" s="297">
        <v>0</v>
      </c>
    </row>
    <row r="466" spans="1:6" ht="13.5">
      <c r="B466" s="290" t="s">
        <v>504</v>
      </c>
      <c r="C466" s="297">
        <v>10</v>
      </c>
      <c r="D466" s="297">
        <v>3</v>
      </c>
      <c r="E466" s="297">
        <v>7</v>
      </c>
      <c r="F466" s="297">
        <v>0</v>
      </c>
    </row>
    <row r="467" spans="1:6" ht="5.0999999999999996" customHeight="1">
      <c r="B467" s="290"/>
      <c r="C467" s="297"/>
      <c r="D467" s="297"/>
      <c r="E467" s="297"/>
      <c r="F467" s="297"/>
    </row>
    <row r="468" spans="1:6" ht="13.5">
      <c r="A468" s="292" t="s">
        <v>99</v>
      </c>
      <c r="B468" s="292"/>
      <c r="C468" s="295">
        <v>713</v>
      </c>
      <c r="D468" s="295">
        <v>410</v>
      </c>
      <c r="E468" s="295">
        <v>303</v>
      </c>
      <c r="F468" s="295">
        <v>0</v>
      </c>
    </row>
    <row r="469" spans="1:6" ht="5.0999999999999996" customHeight="1">
      <c r="B469" s="290"/>
      <c r="C469" s="297"/>
      <c r="D469" s="297"/>
      <c r="E469" s="297"/>
      <c r="F469" s="297"/>
    </row>
    <row r="470" spans="1:6" ht="13.5">
      <c r="B470" s="290" t="s">
        <v>503</v>
      </c>
      <c r="C470" s="297">
        <v>6</v>
      </c>
      <c r="D470" s="297">
        <v>5</v>
      </c>
      <c r="E470" s="297">
        <v>1</v>
      </c>
      <c r="F470" s="297">
        <v>0</v>
      </c>
    </row>
    <row r="471" spans="1:6" ht="13.5">
      <c r="B471" s="290" t="s">
        <v>259</v>
      </c>
      <c r="C471" s="297">
        <v>4</v>
      </c>
      <c r="D471" s="297">
        <v>4</v>
      </c>
      <c r="E471" s="297">
        <v>0</v>
      </c>
      <c r="F471" s="297">
        <v>0</v>
      </c>
    </row>
    <row r="472" spans="1:6" ht="13.5">
      <c r="B472" s="290" t="s">
        <v>260</v>
      </c>
      <c r="C472" s="297">
        <v>1</v>
      </c>
      <c r="D472" s="297">
        <v>0</v>
      </c>
      <c r="E472" s="297">
        <v>1</v>
      </c>
      <c r="F472" s="297">
        <v>0</v>
      </c>
    </row>
    <row r="473" spans="1:6" ht="13.5">
      <c r="B473" s="290" t="s">
        <v>261</v>
      </c>
      <c r="C473" s="297">
        <v>4</v>
      </c>
      <c r="D473" s="297">
        <v>2</v>
      </c>
      <c r="E473" s="297">
        <v>2</v>
      </c>
      <c r="F473" s="297">
        <v>0</v>
      </c>
    </row>
    <row r="474" spans="1:6" ht="13.5">
      <c r="B474" s="290" t="s">
        <v>63</v>
      </c>
      <c r="C474" s="297">
        <v>17</v>
      </c>
      <c r="D474" s="297">
        <v>12</v>
      </c>
      <c r="E474" s="297">
        <v>5</v>
      </c>
      <c r="F474" s="297">
        <v>0</v>
      </c>
    </row>
    <row r="475" spans="1:6" ht="13.5">
      <c r="B475" s="290" t="s">
        <v>64</v>
      </c>
      <c r="C475" s="297">
        <v>22</v>
      </c>
      <c r="D475" s="297">
        <v>21</v>
      </c>
      <c r="E475" s="297">
        <v>1</v>
      </c>
      <c r="F475" s="297">
        <v>0</v>
      </c>
    </row>
    <row r="476" spans="1:6" ht="13.5">
      <c r="B476" s="290" t="s">
        <v>65</v>
      </c>
      <c r="C476" s="297">
        <v>16</v>
      </c>
      <c r="D476" s="297">
        <v>15</v>
      </c>
      <c r="E476" s="297">
        <v>1</v>
      </c>
      <c r="F476" s="297">
        <v>0</v>
      </c>
    </row>
    <row r="477" spans="1:6" ht="13.5">
      <c r="B477" s="290" t="s">
        <v>66</v>
      </c>
      <c r="C477" s="297">
        <v>26</v>
      </c>
      <c r="D477" s="297">
        <v>19</v>
      </c>
      <c r="E477" s="297">
        <v>7</v>
      </c>
      <c r="F477" s="297">
        <v>0</v>
      </c>
    </row>
    <row r="478" spans="1:6" ht="13.5">
      <c r="B478" s="290" t="s">
        <v>67</v>
      </c>
      <c r="C478" s="297">
        <v>33</v>
      </c>
      <c r="D478" s="297">
        <v>27</v>
      </c>
      <c r="E478" s="297">
        <v>6</v>
      </c>
      <c r="F478" s="297">
        <v>0</v>
      </c>
    </row>
    <row r="479" spans="1:6" ht="13.5">
      <c r="B479" s="290" t="s">
        <v>68</v>
      </c>
      <c r="C479" s="297">
        <v>23</v>
      </c>
      <c r="D479" s="297">
        <v>13</v>
      </c>
      <c r="E479" s="297">
        <v>10</v>
      </c>
      <c r="F479" s="297">
        <v>0</v>
      </c>
    </row>
    <row r="480" spans="1:6" ht="13.5">
      <c r="B480" s="290" t="s">
        <v>69</v>
      </c>
      <c r="C480" s="297">
        <v>47</v>
      </c>
      <c r="D480" s="297">
        <v>30</v>
      </c>
      <c r="E480" s="297">
        <v>17</v>
      </c>
      <c r="F480" s="297">
        <v>0</v>
      </c>
    </row>
    <row r="481" spans="1:6" ht="13.5">
      <c r="B481" s="290" t="s">
        <v>262</v>
      </c>
      <c r="C481" s="297">
        <v>59</v>
      </c>
      <c r="D481" s="297">
        <v>32</v>
      </c>
      <c r="E481" s="297">
        <v>27</v>
      </c>
      <c r="F481" s="297">
        <v>0</v>
      </c>
    </row>
    <row r="482" spans="1:6" ht="13.5">
      <c r="B482" s="290" t="s">
        <v>263</v>
      </c>
      <c r="C482" s="297">
        <v>56</v>
      </c>
      <c r="D482" s="297">
        <v>25</v>
      </c>
      <c r="E482" s="297">
        <v>31</v>
      </c>
      <c r="F482" s="297">
        <v>0</v>
      </c>
    </row>
    <row r="483" spans="1:6" ht="13.5">
      <c r="B483" s="290" t="s">
        <v>264</v>
      </c>
      <c r="C483" s="297">
        <v>44</v>
      </c>
      <c r="D483" s="297">
        <v>25</v>
      </c>
      <c r="E483" s="297">
        <v>19</v>
      </c>
      <c r="F483" s="297">
        <v>0</v>
      </c>
    </row>
    <row r="484" spans="1:6" ht="13.5">
      <c r="B484" s="290" t="s">
        <v>265</v>
      </c>
      <c r="C484" s="297">
        <v>51</v>
      </c>
      <c r="D484" s="297">
        <v>25</v>
      </c>
      <c r="E484" s="297">
        <v>26</v>
      </c>
      <c r="F484" s="297">
        <v>0</v>
      </c>
    </row>
    <row r="485" spans="1:6" ht="13.5">
      <c r="B485" s="290" t="s">
        <v>266</v>
      </c>
      <c r="C485" s="297">
        <v>294</v>
      </c>
      <c r="D485" s="297">
        <v>151</v>
      </c>
      <c r="E485" s="297">
        <v>143</v>
      </c>
      <c r="F485" s="297">
        <v>0</v>
      </c>
    </row>
    <row r="486" spans="1:6" ht="13.5">
      <c r="B486" s="290" t="s">
        <v>504</v>
      </c>
      <c r="C486" s="297">
        <v>10</v>
      </c>
      <c r="D486" s="297">
        <v>4</v>
      </c>
      <c r="E486" s="297">
        <v>6</v>
      </c>
      <c r="F486" s="297">
        <v>0</v>
      </c>
    </row>
    <row r="487" spans="1:6" ht="5.0999999999999996" customHeight="1">
      <c r="B487" s="290"/>
      <c r="C487" s="297"/>
      <c r="D487" s="297"/>
      <c r="E487" s="297"/>
      <c r="F487" s="297"/>
    </row>
    <row r="488" spans="1:6" ht="13.5">
      <c r="A488" s="292" t="s">
        <v>100</v>
      </c>
      <c r="B488" s="292"/>
      <c r="C488" s="295">
        <v>2720</v>
      </c>
      <c r="D488" s="295">
        <v>1609</v>
      </c>
      <c r="E488" s="295">
        <v>1109</v>
      </c>
      <c r="F488" s="295">
        <v>2</v>
      </c>
    </row>
    <row r="489" spans="1:6" ht="5.0999999999999996" customHeight="1">
      <c r="B489" s="290"/>
      <c r="C489" s="297"/>
      <c r="D489" s="297"/>
      <c r="E489" s="297"/>
      <c r="F489" s="297"/>
    </row>
    <row r="490" spans="1:6" ht="13.5">
      <c r="B490" s="290" t="s">
        <v>503</v>
      </c>
      <c r="C490" s="297">
        <v>69</v>
      </c>
      <c r="D490" s="297">
        <v>36</v>
      </c>
      <c r="E490" s="297">
        <v>32</v>
      </c>
      <c r="F490" s="297">
        <v>1</v>
      </c>
    </row>
    <row r="491" spans="1:6" ht="13.5">
      <c r="B491" s="290" t="s">
        <v>259</v>
      </c>
      <c r="C491" s="297">
        <v>23</v>
      </c>
      <c r="D491" s="297">
        <v>10</v>
      </c>
      <c r="E491" s="297">
        <v>13</v>
      </c>
      <c r="F491" s="297">
        <v>0</v>
      </c>
    </row>
    <row r="492" spans="1:6" ht="13.5">
      <c r="B492" s="290" t="s">
        <v>260</v>
      </c>
      <c r="C492" s="297">
        <v>29</v>
      </c>
      <c r="D492" s="297">
        <v>16</v>
      </c>
      <c r="E492" s="297">
        <v>13</v>
      </c>
      <c r="F492" s="297">
        <v>0</v>
      </c>
    </row>
    <row r="493" spans="1:6" ht="13.5">
      <c r="B493" s="290" t="s">
        <v>261</v>
      </c>
      <c r="C493" s="297">
        <v>23</v>
      </c>
      <c r="D493" s="297">
        <v>12</v>
      </c>
      <c r="E493" s="297">
        <v>11</v>
      </c>
      <c r="F493" s="297">
        <v>0</v>
      </c>
    </row>
    <row r="494" spans="1:6" ht="13.5">
      <c r="B494" s="290" t="s">
        <v>63</v>
      </c>
      <c r="C494" s="297">
        <v>40</v>
      </c>
      <c r="D494" s="297">
        <v>27</v>
      </c>
      <c r="E494" s="297">
        <v>13</v>
      </c>
      <c r="F494" s="297">
        <v>0</v>
      </c>
    </row>
    <row r="495" spans="1:6" ht="13.5">
      <c r="B495" s="290" t="s">
        <v>64</v>
      </c>
      <c r="C495" s="297">
        <v>57</v>
      </c>
      <c r="D495" s="297">
        <v>47</v>
      </c>
      <c r="E495" s="297">
        <v>10</v>
      </c>
      <c r="F495" s="297">
        <v>0</v>
      </c>
    </row>
    <row r="496" spans="1:6" ht="13.5">
      <c r="B496" s="290" t="s">
        <v>65</v>
      </c>
      <c r="C496" s="297">
        <v>53</v>
      </c>
      <c r="D496" s="297">
        <v>41</v>
      </c>
      <c r="E496" s="297">
        <v>12</v>
      </c>
      <c r="F496" s="297">
        <v>0</v>
      </c>
    </row>
    <row r="497" spans="1:6" ht="13.5">
      <c r="B497" s="290" t="s">
        <v>66</v>
      </c>
      <c r="C497" s="297">
        <v>78</v>
      </c>
      <c r="D497" s="297">
        <v>44</v>
      </c>
      <c r="E497" s="297">
        <v>34</v>
      </c>
      <c r="F497" s="297">
        <v>0</v>
      </c>
    </row>
    <row r="498" spans="1:6" ht="13.5">
      <c r="B498" s="290" t="s">
        <v>67</v>
      </c>
      <c r="C498" s="297">
        <v>65</v>
      </c>
      <c r="D498" s="297">
        <v>42</v>
      </c>
      <c r="E498" s="297">
        <v>23</v>
      </c>
      <c r="F498" s="297">
        <v>0</v>
      </c>
    </row>
    <row r="499" spans="1:6" ht="13.5">
      <c r="B499" s="290" t="s">
        <v>68</v>
      </c>
      <c r="C499" s="297">
        <v>101</v>
      </c>
      <c r="D499" s="297">
        <v>60</v>
      </c>
      <c r="E499" s="297">
        <v>41</v>
      </c>
      <c r="F499" s="297">
        <v>0</v>
      </c>
    </row>
    <row r="500" spans="1:6" ht="13.5">
      <c r="B500" s="290" t="s">
        <v>69</v>
      </c>
      <c r="C500" s="297">
        <v>102</v>
      </c>
      <c r="D500" s="297">
        <v>65</v>
      </c>
      <c r="E500" s="297">
        <v>37</v>
      </c>
      <c r="F500" s="297">
        <v>0</v>
      </c>
    </row>
    <row r="501" spans="1:6" ht="13.5">
      <c r="B501" s="290" t="s">
        <v>262</v>
      </c>
      <c r="C501" s="297">
        <v>128</v>
      </c>
      <c r="D501" s="297">
        <v>78</v>
      </c>
      <c r="E501" s="297">
        <v>50</v>
      </c>
      <c r="F501" s="297">
        <v>0</v>
      </c>
    </row>
    <row r="502" spans="1:6" ht="13.5">
      <c r="B502" s="290" t="s">
        <v>263</v>
      </c>
      <c r="C502" s="297">
        <v>164</v>
      </c>
      <c r="D502" s="297">
        <v>112</v>
      </c>
      <c r="E502" s="297">
        <v>52</v>
      </c>
      <c r="F502" s="297">
        <v>0</v>
      </c>
    </row>
    <row r="503" spans="1:6" ht="13.5">
      <c r="B503" s="290" t="s">
        <v>264</v>
      </c>
      <c r="C503" s="297">
        <v>212</v>
      </c>
      <c r="D503" s="297">
        <v>151</v>
      </c>
      <c r="E503" s="297">
        <v>61</v>
      </c>
      <c r="F503" s="297">
        <v>0</v>
      </c>
    </row>
    <row r="504" spans="1:6" ht="13.5">
      <c r="B504" s="290" t="s">
        <v>265</v>
      </c>
      <c r="C504" s="297">
        <v>206</v>
      </c>
      <c r="D504" s="297">
        <v>133</v>
      </c>
      <c r="E504" s="297">
        <v>73</v>
      </c>
      <c r="F504" s="297">
        <v>0</v>
      </c>
    </row>
    <row r="505" spans="1:6" ht="13.5">
      <c r="B505" s="290" t="s">
        <v>266</v>
      </c>
      <c r="C505" s="297">
        <v>1359</v>
      </c>
      <c r="D505" s="297">
        <v>732</v>
      </c>
      <c r="E505" s="297">
        <v>627</v>
      </c>
      <c r="F505" s="297">
        <v>0</v>
      </c>
    </row>
    <row r="506" spans="1:6" ht="13.5">
      <c r="B506" s="290" t="s">
        <v>504</v>
      </c>
      <c r="C506" s="297">
        <v>11</v>
      </c>
      <c r="D506" s="297">
        <v>3</v>
      </c>
      <c r="E506" s="297">
        <v>7</v>
      </c>
      <c r="F506" s="297">
        <v>1</v>
      </c>
    </row>
    <row r="507" spans="1:6" ht="5.0999999999999996" customHeight="1">
      <c r="B507" s="290"/>
      <c r="C507" s="297"/>
      <c r="D507" s="297"/>
      <c r="E507" s="297"/>
      <c r="F507" s="297"/>
    </row>
    <row r="508" spans="1:6" ht="13.5">
      <c r="A508" s="292" t="s">
        <v>101</v>
      </c>
      <c r="B508" s="292"/>
      <c r="C508" s="295">
        <v>391</v>
      </c>
      <c r="D508" s="295">
        <v>235</v>
      </c>
      <c r="E508" s="295">
        <v>156</v>
      </c>
      <c r="F508" s="295">
        <v>0</v>
      </c>
    </row>
    <row r="509" spans="1:6" ht="5.0999999999999996" customHeight="1">
      <c r="B509" s="290"/>
      <c r="C509" s="297"/>
      <c r="D509" s="297"/>
      <c r="E509" s="297"/>
      <c r="F509" s="297"/>
    </row>
    <row r="510" spans="1:6" ht="13.5">
      <c r="B510" s="290" t="s">
        <v>503</v>
      </c>
      <c r="C510" s="297">
        <v>3</v>
      </c>
      <c r="D510" s="297">
        <v>3</v>
      </c>
      <c r="E510" s="297">
        <v>0</v>
      </c>
      <c r="F510" s="297">
        <v>0</v>
      </c>
    </row>
    <row r="511" spans="1:6" ht="13.5">
      <c r="B511" s="290" t="s">
        <v>261</v>
      </c>
      <c r="C511" s="297">
        <v>2</v>
      </c>
      <c r="D511" s="297">
        <v>2</v>
      </c>
      <c r="E511" s="297">
        <v>0</v>
      </c>
      <c r="F511" s="297">
        <v>0</v>
      </c>
    </row>
    <row r="512" spans="1:6" ht="13.5">
      <c r="B512" s="290" t="s">
        <v>63</v>
      </c>
      <c r="C512" s="297">
        <v>2</v>
      </c>
      <c r="D512" s="297">
        <v>1</v>
      </c>
      <c r="E512" s="297">
        <v>1</v>
      </c>
      <c r="F512" s="297">
        <v>0</v>
      </c>
    </row>
    <row r="513" spans="1:6" ht="13.5">
      <c r="B513" s="290" t="s">
        <v>64</v>
      </c>
      <c r="C513" s="297">
        <v>3</v>
      </c>
      <c r="D513" s="297">
        <v>3</v>
      </c>
      <c r="E513" s="297">
        <v>0</v>
      </c>
      <c r="F513" s="297">
        <v>0</v>
      </c>
    </row>
    <row r="514" spans="1:6" ht="13.5">
      <c r="B514" s="290" t="s">
        <v>65</v>
      </c>
      <c r="C514" s="297">
        <v>9</v>
      </c>
      <c r="D514" s="297">
        <v>8</v>
      </c>
      <c r="E514" s="297">
        <v>1</v>
      </c>
      <c r="F514" s="297">
        <v>0</v>
      </c>
    </row>
    <row r="515" spans="1:6" ht="13.5">
      <c r="B515" s="290" t="s">
        <v>66</v>
      </c>
      <c r="C515" s="297">
        <v>17</v>
      </c>
      <c r="D515" s="297">
        <v>11</v>
      </c>
      <c r="E515" s="297">
        <v>6</v>
      </c>
      <c r="F515" s="297">
        <v>0</v>
      </c>
    </row>
    <row r="516" spans="1:6" ht="13.5">
      <c r="B516" s="290" t="s">
        <v>67</v>
      </c>
      <c r="C516" s="297">
        <v>12</v>
      </c>
      <c r="D516" s="297">
        <v>10</v>
      </c>
      <c r="E516" s="297">
        <v>2</v>
      </c>
      <c r="F516" s="297">
        <v>0</v>
      </c>
    </row>
    <row r="517" spans="1:6" ht="13.5">
      <c r="B517" s="290" t="s">
        <v>68</v>
      </c>
      <c r="C517" s="297">
        <v>8</v>
      </c>
      <c r="D517" s="297">
        <v>4</v>
      </c>
      <c r="E517" s="297">
        <v>4</v>
      </c>
      <c r="F517" s="297">
        <v>0</v>
      </c>
    </row>
    <row r="518" spans="1:6" ht="13.5">
      <c r="B518" s="290" t="s">
        <v>69</v>
      </c>
      <c r="C518" s="297">
        <v>14</v>
      </c>
      <c r="D518" s="297">
        <v>6</v>
      </c>
      <c r="E518" s="297">
        <v>8</v>
      </c>
      <c r="F518" s="297">
        <v>0</v>
      </c>
    </row>
    <row r="519" spans="1:6" ht="13.5">
      <c r="B519" s="290" t="s">
        <v>262</v>
      </c>
      <c r="C519" s="297">
        <v>14</v>
      </c>
      <c r="D519" s="297">
        <v>10</v>
      </c>
      <c r="E519" s="297">
        <v>4</v>
      </c>
      <c r="F519" s="297">
        <v>0</v>
      </c>
    </row>
    <row r="520" spans="1:6" ht="13.5">
      <c r="B520" s="290" t="s">
        <v>263</v>
      </c>
      <c r="C520" s="297">
        <v>25</v>
      </c>
      <c r="D520" s="297">
        <v>14</v>
      </c>
      <c r="E520" s="297">
        <v>11</v>
      </c>
      <c r="F520" s="297">
        <v>0</v>
      </c>
    </row>
    <row r="521" spans="1:6" ht="13.5">
      <c r="B521" s="290" t="s">
        <v>264</v>
      </c>
      <c r="C521" s="297">
        <v>31</v>
      </c>
      <c r="D521" s="297">
        <v>22</v>
      </c>
      <c r="E521" s="297">
        <v>9</v>
      </c>
      <c r="F521" s="297">
        <v>0</v>
      </c>
    </row>
    <row r="522" spans="1:6" ht="13.5">
      <c r="B522" s="290" t="s">
        <v>265</v>
      </c>
      <c r="C522" s="297">
        <v>24</v>
      </c>
      <c r="D522" s="297">
        <v>14</v>
      </c>
      <c r="E522" s="297">
        <v>10</v>
      </c>
      <c r="F522" s="297">
        <v>0</v>
      </c>
    </row>
    <row r="523" spans="1:6" ht="13.5">
      <c r="B523" s="290" t="s">
        <v>266</v>
      </c>
      <c r="C523" s="297">
        <v>225</v>
      </c>
      <c r="D523" s="297">
        <v>126</v>
      </c>
      <c r="E523" s="297">
        <v>99</v>
      </c>
      <c r="F523" s="297">
        <v>0</v>
      </c>
    </row>
    <row r="524" spans="1:6" ht="13.5">
      <c r="B524" s="290" t="s">
        <v>504</v>
      </c>
      <c r="C524" s="297">
        <v>2</v>
      </c>
      <c r="D524" s="297">
        <v>1</v>
      </c>
      <c r="E524" s="297">
        <v>1</v>
      </c>
      <c r="F524" s="297">
        <v>0</v>
      </c>
    </row>
    <row r="525" spans="1:6" ht="5.0999999999999996" customHeight="1">
      <c r="B525" s="290"/>
      <c r="C525" s="297"/>
      <c r="D525" s="297"/>
      <c r="E525" s="297"/>
      <c r="F525" s="297"/>
    </row>
    <row r="526" spans="1:6" ht="13.5">
      <c r="A526" s="292" t="s">
        <v>102</v>
      </c>
      <c r="B526" s="292"/>
      <c r="C526" s="295">
        <v>444</v>
      </c>
      <c r="D526" s="295">
        <v>273</v>
      </c>
      <c r="E526" s="295">
        <v>171</v>
      </c>
      <c r="F526" s="295">
        <v>0</v>
      </c>
    </row>
    <row r="527" spans="1:6" ht="5.0999999999999996" customHeight="1">
      <c r="B527" s="290"/>
      <c r="C527" s="297"/>
      <c r="D527" s="297"/>
      <c r="E527" s="297"/>
      <c r="F527" s="297"/>
    </row>
    <row r="528" spans="1:6" ht="13.5">
      <c r="B528" s="290" t="s">
        <v>503</v>
      </c>
      <c r="C528" s="297">
        <v>2</v>
      </c>
      <c r="D528" s="297">
        <v>1</v>
      </c>
      <c r="E528" s="297">
        <v>1</v>
      </c>
      <c r="F528" s="297">
        <v>0</v>
      </c>
    </row>
    <row r="529" spans="2:6" ht="13.5">
      <c r="B529" s="290" t="s">
        <v>259</v>
      </c>
      <c r="C529" s="297">
        <v>2</v>
      </c>
      <c r="D529" s="297">
        <v>1</v>
      </c>
      <c r="E529" s="297">
        <v>1</v>
      </c>
      <c r="F529" s="297">
        <v>0</v>
      </c>
    </row>
    <row r="530" spans="2:6" ht="13.5">
      <c r="B530" s="290" t="s">
        <v>260</v>
      </c>
      <c r="C530" s="297">
        <v>3</v>
      </c>
      <c r="D530" s="297">
        <v>3</v>
      </c>
      <c r="E530" s="297">
        <v>0</v>
      </c>
      <c r="F530" s="297">
        <v>0</v>
      </c>
    </row>
    <row r="531" spans="2:6" ht="13.5">
      <c r="B531" s="290" t="s">
        <v>261</v>
      </c>
      <c r="C531" s="297">
        <v>6</v>
      </c>
      <c r="D531" s="297">
        <v>5</v>
      </c>
      <c r="E531" s="297">
        <v>1</v>
      </c>
      <c r="F531" s="297">
        <v>0</v>
      </c>
    </row>
    <row r="532" spans="2:6" ht="13.5">
      <c r="B532" s="290" t="s">
        <v>63</v>
      </c>
      <c r="C532" s="297">
        <v>7</v>
      </c>
      <c r="D532" s="297">
        <v>5</v>
      </c>
      <c r="E532" s="297">
        <v>2</v>
      </c>
      <c r="F532" s="297">
        <v>0</v>
      </c>
    </row>
    <row r="533" spans="2:6" ht="13.5">
      <c r="B533" s="290" t="s">
        <v>64</v>
      </c>
      <c r="C533" s="297">
        <v>8</v>
      </c>
      <c r="D533" s="297">
        <v>6</v>
      </c>
      <c r="E533" s="297">
        <v>2</v>
      </c>
      <c r="F533" s="297">
        <v>0</v>
      </c>
    </row>
    <row r="534" spans="2:6" ht="13.5">
      <c r="B534" s="290" t="s">
        <v>65</v>
      </c>
      <c r="C534" s="297">
        <v>14</v>
      </c>
      <c r="D534" s="297">
        <v>11</v>
      </c>
      <c r="E534" s="297">
        <v>3</v>
      </c>
      <c r="F534" s="297">
        <v>0</v>
      </c>
    </row>
    <row r="535" spans="2:6" ht="13.5">
      <c r="B535" s="290" t="s">
        <v>66</v>
      </c>
      <c r="C535" s="297">
        <v>12</v>
      </c>
      <c r="D535" s="297">
        <v>11</v>
      </c>
      <c r="E535" s="297">
        <v>1</v>
      </c>
      <c r="F535" s="297">
        <v>0</v>
      </c>
    </row>
    <row r="536" spans="2:6" ht="13.5">
      <c r="B536" s="290" t="s">
        <v>67</v>
      </c>
      <c r="C536" s="297">
        <v>12</v>
      </c>
      <c r="D536" s="297">
        <v>8</v>
      </c>
      <c r="E536" s="297">
        <v>4</v>
      </c>
      <c r="F536" s="297">
        <v>0</v>
      </c>
    </row>
    <row r="537" spans="2:6" ht="13.5">
      <c r="B537" s="290" t="s">
        <v>68</v>
      </c>
      <c r="C537" s="297">
        <v>18</v>
      </c>
      <c r="D537" s="297">
        <v>10</v>
      </c>
      <c r="E537" s="297">
        <v>8</v>
      </c>
      <c r="F537" s="297">
        <v>0</v>
      </c>
    </row>
    <row r="538" spans="2:6" ht="13.5">
      <c r="B538" s="290" t="s">
        <v>69</v>
      </c>
      <c r="C538" s="297">
        <v>15</v>
      </c>
      <c r="D538" s="297">
        <v>9</v>
      </c>
      <c r="E538" s="297">
        <v>6</v>
      </c>
      <c r="F538" s="297">
        <v>0</v>
      </c>
    </row>
    <row r="539" spans="2:6" ht="13.5">
      <c r="B539" s="290" t="s">
        <v>262</v>
      </c>
      <c r="C539" s="297">
        <v>37</v>
      </c>
      <c r="D539" s="297">
        <v>22</v>
      </c>
      <c r="E539" s="297">
        <v>15</v>
      </c>
      <c r="F539" s="297">
        <v>0</v>
      </c>
    </row>
    <row r="540" spans="2:6" ht="13.5">
      <c r="B540" s="290" t="s">
        <v>263</v>
      </c>
      <c r="C540" s="297">
        <v>19</v>
      </c>
      <c r="D540" s="297">
        <v>13</v>
      </c>
      <c r="E540" s="297">
        <v>6</v>
      </c>
      <c r="F540" s="297">
        <v>0</v>
      </c>
    </row>
    <row r="541" spans="2:6" ht="13.5">
      <c r="B541" s="290" t="s">
        <v>264</v>
      </c>
      <c r="C541" s="297">
        <v>37</v>
      </c>
      <c r="D541" s="297">
        <v>25</v>
      </c>
      <c r="E541" s="297">
        <v>12</v>
      </c>
      <c r="F541" s="297">
        <v>0</v>
      </c>
    </row>
    <row r="542" spans="2:6" ht="13.5">
      <c r="B542" s="290" t="s">
        <v>265</v>
      </c>
      <c r="C542" s="297">
        <v>33</v>
      </c>
      <c r="D542" s="297">
        <v>21</v>
      </c>
      <c r="E542" s="297">
        <v>12</v>
      </c>
      <c r="F542" s="297">
        <v>0</v>
      </c>
    </row>
    <row r="543" spans="2:6" ht="13.5">
      <c r="B543" s="290" t="s">
        <v>266</v>
      </c>
      <c r="C543" s="297">
        <v>218</v>
      </c>
      <c r="D543" s="297">
        <v>122</v>
      </c>
      <c r="E543" s="297">
        <v>96</v>
      </c>
      <c r="F543" s="297">
        <v>0</v>
      </c>
    </row>
    <row r="544" spans="2:6" ht="13.5">
      <c r="B544" s="290" t="s">
        <v>504</v>
      </c>
      <c r="C544" s="297">
        <v>1</v>
      </c>
      <c r="D544" s="297">
        <v>0</v>
      </c>
      <c r="E544" s="297">
        <v>1</v>
      </c>
      <c r="F544" s="297">
        <v>0</v>
      </c>
    </row>
    <row r="545" spans="1:6" ht="5.0999999999999996" customHeight="1">
      <c r="B545" s="290"/>
      <c r="C545" s="297"/>
      <c r="D545" s="297"/>
      <c r="E545" s="297"/>
      <c r="F545" s="297"/>
    </row>
    <row r="546" spans="1:6" ht="13.5">
      <c r="A546" s="292" t="s">
        <v>103</v>
      </c>
      <c r="B546" s="292"/>
      <c r="C546" s="295">
        <v>703</v>
      </c>
      <c r="D546" s="295">
        <v>438</v>
      </c>
      <c r="E546" s="295">
        <v>265</v>
      </c>
      <c r="F546" s="295">
        <v>0</v>
      </c>
    </row>
    <row r="547" spans="1:6" ht="5.0999999999999996" customHeight="1">
      <c r="B547" s="290"/>
      <c r="C547" s="297"/>
      <c r="D547" s="297"/>
      <c r="E547" s="297"/>
      <c r="F547" s="297"/>
    </row>
    <row r="548" spans="1:6" ht="13.5">
      <c r="B548" s="290" t="s">
        <v>503</v>
      </c>
      <c r="C548" s="297">
        <v>9</v>
      </c>
      <c r="D548" s="297">
        <v>6</v>
      </c>
      <c r="E548" s="297">
        <v>3</v>
      </c>
      <c r="F548" s="297">
        <v>0</v>
      </c>
    </row>
    <row r="549" spans="1:6" ht="13.5">
      <c r="B549" s="290" t="s">
        <v>259</v>
      </c>
      <c r="C549" s="297">
        <v>3</v>
      </c>
      <c r="D549" s="297">
        <v>1</v>
      </c>
      <c r="E549" s="297">
        <v>2</v>
      </c>
      <c r="F549" s="297">
        <v>0</v>
      </c>
    </row>
    <row r="550" spans="1:6" ht="13.5">
      <c r="B550" s="290" t="s">
        <v>260</v>
      </c>
      <c r="C550" s="297">
        <v>8</v>
      </c>
      <c r="D550" s="297">
        <v>4</v>
      </c>
      <c r="E550" s="297">
        <v>4</v>
      </c>
      <c r="F550" s="297">
        <v>0</v>
      </c>
    </row>
    <row r="551" spans="1:6" ht="13.5">
      <c r="B551" s="290" t="s">
        <v>261</v>
      </c>
      <c r="C551" s="297">
        <v>7</v>
      </c>
      <c r="D551" s="297">
        <v>3</v>
      </c>
      <c r="E551" s="297">
        <v>4</v>
      </c>
      <c r="F551" s="297">
        <v>0</v>
      </c>
    </row>
    <row r="552" spans="1:6" ht="13.5">
      <c r="B552" s="290" t="s">
        <v>63</v>
      </c>
      <c r="C552" s="297">
        <v>12</v>
      </c>
      <c r="D552" s="297">
        <v>11</v>
      </c>
      <c r="E552" s="297">
        <v>1</v>
      </c>
      <c r="F552" s="297">
        <v>0</v>
      </c>
    </row>
    <row r="553" spans="1:6" ht="13.5">
      <c r="B553" s="290" t="s">
        <v>64</v>
      </c>
      <c r="C553" s="297">
        <v>18</v>
      </c>
      <c r="D553" s="297">
        <v>14</v>
      </c>
      <c r="E553" s="297">
        <v>4</v>
      </c>
      <c r="F553" s="297">
        <v>0</v>
      </c>
    </row>
    <row r="554" spans="1:6" ht="13.5">
      <c r="B554" s="290" t="s">
        <v>65</v>
      </c>
      <c r="C554" s="297">
        <v>23</v>
      </c>
      <c r="D554" s="297">
        <v>20</v>
      </c>
      <c r="E554" s="297">
        <v>3</v>
      </c>
      <c r="F554" s="297">
        <v>0</v>
      </c>
    </row>
    <row r="555" spans="1:6" ht="13.5">
      <c r="B555" s="290" t="s">
        <v>66</v>
      </c>
      <c r="C555" s="297">
        <v>26</v>
      </c>
      <c r="D555" s="297">
        <v>21</v>
      </c>
      <c r="E555" s="297">
        <v>5</v>
      </c>
      <c r="F555" s="297">
        <v>0</v>
      </c>
    </row>
    <row r="556" spans="1:6" ht="13.5">
      <c r="B556" s="290" t="s">
        <v>67</v>
      </c>
      <c r="C556" s="297">
        <v>27</v>
      </c>
      <c r="D556" s="297">
        <v>20</v>
      </c>
      <c r="E556" s="297">
        <v>7</v>
      </c>
      <c r="F556" s="297">
        <v>0</v>
      </c>
    </row>
    <row r="557" spans="1:6" ht="13.5">
      <c r="B557" s="290" t="s">
        <v>68</v>
      </c>
      <c r="C557" s="297">
        <v>29</v>
      </c>
      <c r="D557" s="297">
        <v>22</v>
      </c>
      <c r="E557" s="297">
        <v>7</v>
      </c>
      <c r="F557" s="297">
        <v>0</v>
      </c>
    </row>
    <row r="558" spans="1:6" ht="13.5">
      <c r="B558" s="290" t="s">
        <v>69</v>
      </c>
      <c r="C558" s="297">
        <v>39</v>
      </c>
      <c r="D558" s="297">
        <v>25</v>
      </c>
      <c r="E558" s="297">
        <v>14</v>
      </c>
      <c r="F558" s="297">
        <v>0</v>
      </c>
    </row>
    <row r="559" spans="1:6" ht="13.5">
      <c r="B559" s="290" t="s">
        <v>262</v>
      </c>
      <c r="C559" s="297">
        <v>49</v>
      </c>
      <c r="D559" s="297">
        <v>30</v>
      </c>
      <c r="E559" s="297">
        <v>19</v>
      </c>
      <c r="F559" s="297">
        <v>0</v>
      </c>
    </row>
    <row r="560" spans="1:6" ht="13.5">
      <c r="B560" s="290" t="s">
        <v>263</v>
      </c>
      <c r="C560" s="297">
        <v>46</v>
      </c>
      <c r="D560" s="297">
        <v>22</v>
      </c>
      <c r="E560" s="297">
        <v>24</v>
      </c>
      <c r="F560" s="297">
        <v>0</v>
      </c>
    </row>
    <row r="561" spans="1:6" ht="13.5">
      <c r="B561" s="290" t="s">
        <v>264</v>
      </c>
      <c r="C561" s="297">
        <v>53</v>
      </c>
      <c r="D561" s="297">
        <v>33</v>
      </c>
      <c r="E561" s="297">
        <v>20</v>
      </c>
      <c r="F561" s="297">
        <v>0</v>
      </c>
    </row>
    <row r="562" spans="1:6" ht="13.5">
      <c r="B562" s="290" t="s">
        <v>265</v>
      </c>
      <c r="C562" s="297">
        <v>48</v>
      </c>
      <c r="D562" s="297">
        <v>27</v>
      </c>
      <c r="E562" s="297">
        <v>21</v>
      </c>
      <c r="F562" s="297">
        <v>0</v>
      </c>
    </row>
    <row r="563" spans="1:6" ht="13.5">
      <c r="B563" s="290" t="s">
        <v>266</v>
      </c>
      <c r="C563" s="297">
        <v>299</v>
      </c>
      <c r="D563" s="297">
        <v>176</v>
      </c>
      <c r="E563" s="297">
        <v>123</v>
      </c>
      <c r="F563" s="297">
        <v>0</v>
      </c>
    </row>
    <row r="564" spans="1:6" ht="13.5">
      <c r="B564" s="290" t="s">
        <v>504</v>
      </c>
      <c r="C564" s="297">
        <v>7</v>
      </c>
      <c r="D564" s="297">
        <v>3</v>
      </c>
      <c r="E564" s="297">
        <v>4</v>
      </c>
      <c r="F564" s="297">
        <v>0</v>
      </c>
    </row>
    <row r="565" spans="1:6" ht="5.0999999999999996" customHeight="1">
      <c r="B565" s="290"/>
      <c r="C565" s="297"/>
      <c r="D565" s="297"/>
      <c r="E565" s="297"/>
      <c r="F565" s="297"/>
    </row>
    <row r="566" spans="1:6" ht="13.5">
      <c r="A566" s="292" t="s">
        <v>104</v>
      </c>
      <c r="B566" s="292"/>
      <c r="C566" s="295">
        <v>531</v>
      </c>
      <c r="D566" s="295">
        <v>316</v>
      </c>
      <c r="E566" s="295">
        <v>215</v>
      </c>
      <c r="F566" s="295">
        <v>0</v>
      </c>
    </row>
    <row r="567" spans="1:6" ht="5.0999999999999996" customHeight="1">
      <c r="B567" s="290"/>
      <c r="C567" s="297"/>
      <c r="D567" s="297"/>
      <c r="E567" s="297"/>
      <c r="F567" s="297"/>
    </row>
    <row r="568" spans="1:6" ht="13.5">
      <c r="B568" s="290" t="s">
        <v>503</v>
      </c>
      <c r="C568" s="297">
        <v>6</v>
      </c>
      <c r="D568" s="297">
        <v>5</v>
      </c>
      <c r="E568" s="297">
        <v>1</v>
      </c>
      <c r="F568" s="297">
        <v>0</v>
      </c>
    </row>
    <row r="569" spans="1:6" ht="13.5">
      <c r="B569" s="290" t="s">
        <v>259</v>
      </c>
      <c r="C569" s="297">
        <v>2</v>
      </c>
      <c r="D569" s="297">
        <v>0</v>
      </c>
      <c r="E569" s="297">
        <v>2</v>
      </c>
      <c r="F569" s="297">
        <v>0</v>
      </c>
    </row>
    <row r="570" spans="1:6" ht="13.5">
      <c r="B570" s="290" t="s">
        <v>260</v>
      </c>
      <c r="C570" s="297">
        <v>1</v>
      </c>
      <c r="D570" s="297">
        <v>1</v>
      </c>
      <c r="E570" s="297">
        <v>0</v>
      </c>
      <c r="F570" s="297">
        <v>0</v>
      </c>
    </row>
    <row r="571" spans="1:6" ht="13.5">
      <c r="B571" s="290" t="s">
        <v>261</v>
      </c>
      <c r="C571" s="297">
        <v>5</v>
      </c>
      <c r="D571" s="297">
        <v>2</v>
      </c>
      <c r="E571" s="297">
        <v>3</v>
      </c>
      <c r="F571" s="297">
        <v>0</v>
      </c>
    </row>
    <row r="572" spans="1:6" ht="13.5">
      <c r="B572" s="290" t="s">
        <v>63</v>
      </c>
      <c r="C572" s="297">
        <v>7</v>
      </c>
      <c r="D572" s="297">
        <v>4</v>
      </c>
      <c r="E572" s="297">
        <v>3</v>
      </c>
      <c r="F572" s="297">
        <v>0</v>
      </c>
    </row>
    <row r="573" spans="1:6" ht="13.5">
      <c r="B573" s="290" t="s">
        <v>64</v>
      </c>
      <c r="C573" s="297">
        <v>8</v>
      </c>
      <c r="D573" s="297">
        <v>7</v>
      </c>
      <c r="E573" s="297">
        <v>1</v>
      </c>
      <c r="F573" s="297">
        <v>0</v>
      </c>
    </row>
    <row r="574" spans="1:6" ht="13.5">
      <c r="B574" s="290" t="s">
        <v>65</v>
      </c>
      <c r="C574" s="297">
        <v>14</v>
      </c>
      <c r="D574" s="297">
        <v>10</v>
      </c>
      <c r="E574" s="297">
        <v>4</v>
      </c>
      <c r="F574" s="297">
        <v>0</v>
      </c>
    </row>
    <row r="575" spans="1:6" ht="13.5">
      <c r="B575" s="290" t="s">
        <v>66</v>
      </c>
      <c r="C575" s="297">
        <v>15</v>
      </c>
      <c r="D575" s="297">
        <v>14</v>
      </c>
      <c r="E575" s="297">
        <v>1</v>
      </c>
      <c r="F575" s="297">
        <v>0</v>
      </c>
    </row>
    <row r="576" spans="1:6" ht="13.5">
      <c r="B576" s="290" t="s">
        <v>67</v>
      </c>
      <c r="C576" s="297">
        <v>13</v>
      </c>
      <c r="D576" s="297">
        <v>5</v>
      </c>
      <c r="E576" s="297">
        <v>8</v>
      </c>
      <c r="F576" s="297">
        <v>0</v>
      </c>
    </row>
    <row r="577" spans="1:6" ht="13.5">
      <c r="B577" s="290" t="s">
        <v>68</v>
      </c>
      <c r="C577" s="297">
        <v>25</v>
      </c>
      <c r="D577" s="297">
        <v>17</v>
      </c>
      <c r="E577" s="297">
        <v>8</v>
      </c>
      <c r="F577" s="297">
        <v>0</v>
      </c>
    </row>
    <row r="578" spans="1:6" ht="13.5">
      <c r="B578" s="290" t="s">
        <v>69</v>
      </c>
      <c r="C578" s="297">
        <v>30</v>
      </c>
      <c r="D578" s="297">
        <v>18</v>
      </c>
      <c r="E578" s="297">
        <v>12</v>
      </c>
      <c r="F578" s="297">
        <v>0</v>
      </c>
    </row>
    <row r="579" spans="1:6" ht="13.5">
      <c r="B579" s="290" t="s">
        <v>262</v>
      </c>
      <c r="C579" s="297">
        <v>28</v>
      </c>
      <c r="D579" s="297">
        <v>19</v>
      </c>
      <c r="E579" s="297">
        <v>9</v>
      </c>
      <c r="F579" s="297">
        <v>0</v>
      </c>
    </row>
    <row r="580" spans="1:6" ht="13.5">
      <c r="B580" s="290" t="s">
        <v>263</v>
      </c>
      <c r="C580" s="297">
        <v>42</v>
      </c>
      <c r="D580" s="297">
        <v>22</v>
      </c>
      <c r="E580" s="297">
        <v>20</v>
      </c>
      <c r="F580" s="297">
        <v>0</v>
      </c>
    </row>
    <row r="581" spans="1:6" ht="13.5">
      <c r="B581" s="290" t="s">
        <v>264</v>
      </c>
      <c r="C581" s="297">
        <v>36</v>
      </c>
      <c r="D581" s="297">
        <v>19</v>
      </c>
      <c r="E581" s="297">
        <v>17</v>
      </c>
      <c r="F581" s="297">
        <v>0</v>
      </c>
    </row>
    <row r="582" spans="1:6" ht="13.5">
      <c r="B582" s="290" t="s">
        <v>265</v>
      </c>
      <c r="C582" s="297">
        <v>32</v>
      </c>
      <c r="D582" s="297">
        <v>18</v>
      </c>
      <c r="E582" s="297">
        <v>14</v>
      </c>
      <c r="F582" s="297">
        <v>0</v>
      </c>
    </row>
    <row r="583" spans="1:6" ht="13.5">
      <c r="B583" s="290" t="s">
        <v>266</v>
      </c>
      <c r="C583" s="297">
        <v>262</v>
      </c>
      <c r="D583" s="297">
        <v>152</v>
      </c>
      <c r="E583" s="297">
        <v>110</v>
      </c>
      <c r="F583" s="297">
        <v>0</v>
      </c>
    </row>
    <row r="584" spans="1:6" ht="13.5">
      <c r="B584" s="290" t="s">
        <v>504</v>
      </c>
      <c r="C584" s="297">
        <v>5</v>
      </c>
      <c r="D584" s="297">
        <v>3</v>
      </c>
      <c r="E584" s="297">
        <v>2</v>
      </c>
      <c r="F584" s="297">
        <v>0</v>
      </c>
    </row>
    <row r="585" spans="1:6" ht="5.0999999999999996" customHeight="1">
      <c r="B585" s="290"/>
      <c r="C585" s="297"/>
      <c r="D585" s="297"/>
      <c r="E585" s="297"/>
      <c r="F585" s="297"/>
    </row>
    <row r="586" spans="1:6" ht="13.5">
      <c r="A586" s="292" t="s">
        <v>105</v>
      </c>
      <c r="B586" s="292"/>
      <c r="C586" s="295">
        <v>377</v>
      </c>
      <c r="D586" s="295">
        <v>231</v>
      </c>
      <c r="E586" s="295">
        <v>146</v>
      </c>
      <c r="F586" s="295">
        <v>0</v>
      </c>
    </row>
    <row r="587" spans="1:6" ht="5.0999999999999996" customHeight="1">
      <c r="B587" s="290"/>
      <c r="C587" s="297"/>
      <c r="D587" s="297"/>
      <c r="E587" s="297"/>
      <c r="F587" s="297"/>
    </row>
    <row r="588" spans="1:6" ht="13.5">
      <c r="B588" s="290" t="s">
        <v>503</v>
      </c>
      <c r="C588" s="297">
        <v>4</v>
      </c>
      <c r="D588" s="297">
        <v>1</v>
      </c>
      <c r="E588" s="297">
        <v>3</v>
      </c>
      <c r="F588" s="297">
        <v>0</v>
      </c>
    </row>
    <row r="589" spans="1:6" ht="13.5">
      <c r="B589" s="290" t="s">
        <v>259</v>
      </c>
      <c r="C589" s="297">
        <v>1</v>
      </c>
      <c r="D589" s="297">
        <v>1</v>
      </c>
      <c r="E589" s="297">
        <v>0</v>
      </c>
      <c r="F589" s="297">
        <v>0</v>
      </c>
    </row>
    <row r="590" spans="1:6" ht="13.5">
      <c r="B590" s="290" t="s">
        <v>260</v>
      </c>
      <c r="C590" s="297">
        <v>2</v>
      </c>
      <c r="D590" s="297">
        <v>2</v>
      </c>
      <c r="E590" s="297">
        <v>0</v>
      </c>
      <c r="F590" s="297">
        <v>0</v>
      </c>
    </row>
    <row r="591" spans="1:6" ht="13.5">
      <c r="B591" s="290" t="s">
        <v>63</v>
      </c>
      <c r="C591" s="297">
        <v>3</v>
      </c>
      <c r="D591" s="297">
        <v>3</v>
      </c>
      <c r="E591" s="297">
        <v>0</v>
      </c>
      <c r="F591" s="297">
        <v>0</v>
      </c>
    </row>
    <row r="592" spans="1:6" ht="13.5">
      <c r="B592" s="290" t="s">
        <v>64</v>
      </c>
      <c r="C592" s="297">
        <v>4</v>
      </c>
      <c r="D592" s="297">
        <v>4</v>
      </c>
      <c r="E592" s="297">
        <v>0</v>
      </c>
      <c r="F592" s="297">
        <v>0</v>
      </c>
    </row>
    <row r="593" spans="1:6" ht="13.5">
      <c r="B593" s="290" t="s">
        <v>65</v>
      </c>
      <c r="C593" s="297">
        <v>8</v>
      </c>
      <c r="D593" s="297">
        <v>5</v>
      </c>
      <c r="E593" s="297">
        <v>3</v>
      </c>
      <c r="F593" s="297">
        <v>0</v>
      </c>
    </row>
    <row r="594" spans="1:6" ht="13.5">
      <c r="B594" s="290" t="s">
        <v>66</v>
      </c>
      <c r="C594" s="297">
        <v>10</v>
      </c>
      <c r="D594" s="297">
        <v>7</v>
      </c>
      <c r="E594" s="297">
        <v>3</v>
      </c>
      <c r="F594" s="297">
        <v>0</v>
      </c>
    </row>
    <row r="595" spans="1:6" ht="13.5">
      <c r="B595" s="290" t="s">
        <v>67</v>
      </c>
      <c r="C595" s="297">
        <v>13</v>
      </c>
      <c r="D595" s="297">
        <v>9</v>
      </c>
      <c r="E595" s="297">
        <v>4</v>
      </c>
      <c r="F595" s="297">
        <v>0</v>
      </c>
    </row>
    <row r="596" spans="1:6" ht="13.5">
      <c r="B596" s="290" t="s">
        <v>68</v>
      </c>
      <c r="C596" s="297">
        <v>13</v>
      </c>
      <c r="D596" s="297">
        <v>10</v>
      </c>
      <c r="E596" s="297">
        <v>3</v>
      </c>
      <c r="F596" s="297">
        <v>0</v>
      </c>
    </row>
    <row r="597" spans="1:6" ht="13.5">
      <c r="B597" s="290" t="s">
        <v>69</v>
      </c>
      <c r="C597" s="297">
        <v>13</v>
      </c>
      <c r="D597" s="297">
        <v>8</v>
      </c>
      <c r="E597" s="297">
        <v>5</v>
      </c>
      <c r="F597" s="297">
        <v>0</v>
      </c>
    </row>
    <row r="598" spans="1:6" ht="13.5">
      <c r="B598" s="290" t="s">
        <v>262</v>
      </c>
      <c r="C598" s="297">
        <v>22</v>
      </c>
      <c r="D598" s="297">
        <v>13</v>
      </c>
      <c r="E598" s="297">
        <v>9</v>
      </c>
      <c r="F598" s="297">
        <v>0</v>
      </c>
    </row>
    <row r="599" spans="1:6" ht="13.5">
      <c r="B599" s="290" t="s">
        <v>263</v>
      </c>
      <c r="C599" s="297">
        <v>14</v>
      </c>
      <c r="D599" s="297">
        <v>6</v>
      </c>
      <c r="E599" s="297">
        <v>8</v>
      </c>
      <c r="F599" s="297">
        <v>0</v>
      </c>
    </row>
    <row r="600" spans="1:6" ht="13.5">
      <c r="B600" s="290" t="s">
        <v>264</v>
      </c>
      <c r="C600" s="297">
        <v>28</v>
      </c>
      <c r="D600" s="297">
        <v>19</v>
      </c>
      <c r="E600" s="297">
        <v>9</v>
      </c>
      <c r="F600" s="297">
        <v>0</v>
      </c>
    </row>
    <row r="601" spans="1:6" ht="13.5">
      <c r="B601" s="290" t="s">
        <v>265</v>
      </c>
      <c r="C601" s="297">
        <v>41</v>
      </c>
      <c r="D601" s="297">
        <v>33</v>
      </c>
      <c r="E601" s="297">
        <v>8</v>
      </c>
      <c r="F601" s="297">
        <v>0</v>
      </c>
    </row>
    <row r="602" spans="1:6" ht="13.5">
      <c r="B602" s="290" t="s">
        <v>266</v>
      </c>
      <c r="C602" s="297">
        <v>199</v>
      </c>
      <c r="D602" s="297">
        <v>109</v>
      </c>
      <c r="E602" s="297">
        <v>90</v>
      </c>
      <c r="F602" s="297">
        <v>0</v>
      </c>
    </row>
    <row r="603" spans="1:6" ht="13.5">
      <c r="B603" s="290" t="s">
        <v>504</v>
      </c>
      <c r="C603" s="297">
        <v>2</v>
      </c>
      <c r="D603" s="297">
        <v>1</v>
      </c>
      <c r="E603" s="297">
        <v>1</v>
      </c>
      <c r="F603" s="297">
        <v>0</v>
      </c>
    </row>
    <row r="604" spans="1:6" ht="5.0999999999999996" customHeight="1">
      <c r="B604" s="290"/>
      <c r="C604" s="297"/>
      <c r="D604" s="297"/>
      <c r="E604" s="297"/>
      <c r="F604" s="297"/>
    </row>
    <row r="605" spans="1:6" ht="13.5">
      <c r="A605" s="292" t="s">
        <v>106</v>
      </c>
      <c r="B605" s="292"/>
      <c r="C605" s="295">
        <v>286</v>
      </c>
      <c r="D605" s="295">
        <v>181</v>
      </c>
      <c r="E605" s="295">
        <v>105</v>
      </c>
      <c r="F605" s="295">
        <v>0</v>
      </c>
    </row>
    <row r="606" spans="1:6" ht="5.0999999999999996" customHeight="1">
      <c r="B606" s="290"/>
      <c r="C606" s="297"/>
      <c r="D606" s="297"/>
      <c r="E606" s="297"/>
      <c r="F606" s="297"/>
    </row>
    <row r="607" spans="1:6" ht="13.5">
      <c r="B607" s="290" t="s">
        <v>503</v>
      </c>
      <c r="C607" s="297">
        <v>2</v>
      </c>
      <c r="D607" s="297">
        <v>2</v>
      </c>
      <c r="E607" s="297">
        <v>0</v>
      </c>
      <c r="F607" s="297">
        <v>0</v>
      </c>
    </row>
    <row r="608" spans="1:6" ht="13.5">
      <c r="B608" s="290" t="s">
        <v>261</v>
      </c>
      <c r="C608" s="297">
        <v>2</v>
      </c>
      <c r="D608" s="297">
        <v>2</v>
      </c>
      <c r="E608" s="297">
        <v>0</v>
      </c>
      <c r="F608" s="297">
        <v>0</v>
      </c>
    </row>
    <row r="609" spans="1:6" ht="13.5">
      <c r="B609" s="290" t="s">
        <v>63</v>
      </c>
      <c r="C609" s="297">
        <v>5</v>
      </c>
      <c r="D609" s="297">
        <v>4</v>
      </c>
      <c r="E609" s="297">
        <v>1</v>
      </c>
      <c r="F609" s="297">
        <v>0</v>
      </c>
    </row>
    <row r="610" spans="1:6" ht="13.5">
      <c r="B610" s="290" t="s">
        <v>64</v>
      </c>
      <c r="C610" s="297">
        <v>6</v>
      </c>
      <c r="D610" s="297">
        <v>3</v>
      </c>
      <c r="E610" s="297">
        <v>3</v>
      </c>
      <c r="F610" s="297">
        <v>0</v>
      </c>
    </row>
    <row r="611" spans="1:6" ht="13.5">
      <c r="B611" s="290" t="s">
        <v>65</v>
      </c>
      <c r="C611" s="297">
        <v>5</v>
      </c>
      <c r="D611" s="297">
        <v>2</v>
      </c>
      <c r="E611" s="297">
        <v>3</v>
      </c>
      <c r="F611" s="297">
        <v>0</v>
      </c>
    </row>
    <row r="612" spans="1:6" ht="13.5">
      <c r="B612" s="290" t="s">
        <v>66</v>
      </c>
      <c r="C612" s="297">
        <v>10</v>
      </c>
      <c r="D612" s="297">
        <v>8</v>
      </c>
      <c r="E612" s="297">
        <v>2</v>
      </c>
      <c r="F612" s="297">
        <v>0</v>
      </c>
    </row>
    <row r="613" spans="1:6" ht="13.5">
      <c r="B613" s="290" t="s">
        <v>67</v>
      </c>
      <c r="C613" s="297">
        <v>9</v>
      </c>
      <c r="D613" s="297">
        <v>3</v>
      </c>
      <c r="E613" s="297">
        <v>6</v>
      </c>
      <c r="F613" s="297">
        <v>0</v>
      </c>
    </row>
    <row r="614" spans="1:6" ht="13.5">
      <c r="B614" s="290" t="s">
        <v>68</v>
      </c>
      <c r="C614" s="297">
        <v>12</v>
      </c>
      <c r="D614" s="297">
        <v>7</v>
      </c>
      <c r="E614" s="297">
        <v>5</v>
      </c>
      <c r="F614" s="297">
        <v>0</v>
      </c>
    </row>
    <row r="615" spans="1:6" ht="13.5">
      <c r="B615" s="290" t="s">
        <v>69</v>
      </c>
      <c r="C615" s="297">
        <v>5</v>
      </c>
      <c r="D615" s="297">
        <v>2</v>
      </c>
      <c r="E615" s="297">
        <v>3</v>
      </c>
      <c r="F615" s="297">
        <v>0</v>
      </c>
    </row>
    <row r="616" spans="1:6" ht="13.5">
      <c r="B616" s="290" t="s">
        <v>262</v>
      </c>
      <c r="C616" s="297">
        <v>17</v>
      </c>
      <c r="D616" s="297">
        <v>10</v>
      </c>
      <c r="E616" s="297">
        <v>7</v>
      </c>
      <c r="F616" s="297">
        <v>0</v>
      </c>
    </row>
    <row r="617" spans="1:6" ht="13.5">
      <c r="B617" s="290" t="s">
        <v>263</v>
      </c>
      <c r="C617" s="297">
        <v>23</v>
      </c>
      <c r="D617" s="297">
        <v>15</v>
      </c>
      <c r="E617" s="297">
        <v>8</v>
      </c>
      <c r="F617" s="297">
        <v>0</v>
      </c>
    </row>
    <row r="618" spans="1:6" ht="13.5">
      <c r="B618" s="290" t="s">
        <v>264</v>
      </c>
      <c r="C618" s="297">
        <v>15</v>
      </c>
      <c r="D618" s="297">
        <v>12</v>
      </c>
      <c r="E618" s="297">
        <v>3</v>
      </c>
      <c r="F618" s="297">
        <v>0</v>
      </c>
    </row>
    <row r="619" spans="1:6" ht="13.5">
      <c r="B619" s="290" t="s">
        <v>265</v>
      </c>
      <c r="C619" s="297">
        <v>20</v>
      </c>
      <c r="D619" s="297">
        <v>15</v>
      </c>
      <c r="E619" s="297">
        <v>5</v>
      </c>
      <c r="F619" s="297">
        <v>0</v>
      </c>
    </row>
    <row r="620" spans="1:6" ht="13.5">
      <c r="B620" s="290" t="s">
        <v>266</v>
      </c>
      <c r="C620" s="297">
        <v>152</v>
      </c>
      <c r="D620" s="297">
        <v>93</v>
      </c>
      <c r="E620" s="297">
        <v>59</v>
      </c>
      <c r="F620" s="297">
        <v>0</v>
      </c>
    </row>
    <row r="621" spans="1:6" ht="13.5">
      <c r="B621" s="290" t="s">
        <v>504</v>
      </c>
      <c r="C621" s="297">
        <v>3</v>
      </c>
      <c r="D621" s="297">
        <v>3</v>
      </c>
      <c r="E621" s="297">
        <v>0</v>
      </c>
      <c r="F621" s="297">
        <v>0</v>
      </c>
    </row>
    <row r="622" spans="1:6" ht="5.0999999999999996" customHeight="1">
      <c r="B622" s="290"/>
      <c r="C622" s="297"/>
      <c r="D622" s="297"/>
      <c r="E622" s="297"/>
      <c r="F622" s="297"/>
    </row>
    <row r="623" spans="1:6" ht="13.5">
      <c r="A623" s="292" t="s">
        <v>107</v>
      </c>
      <c r="B623" s="292"/>
      <c r="C623" s="295">
        <v>609</v>
      </c>
      <c r="D623" s="295">
        <v>334</v>
      </c>
      <c r="E623" s="295">
        <v>275</v>
      </c>
      <c r="F623" s="295">
        <v>0</v>
      </c>
    </row>
    <row r="624" spans="1:6" ht="5.0999999999999996" customHeight="1">
      <c r="B624" s="290"/>
      <c r="C624" s="297"/>
      <c r="D624" s="297"/>
      <c r="E624" s="297"/>
      <c r="F624" s="297"/>
    </row>
    <row r="625" spans="2:6" ht="13.5">
      <c r="B625" s="290" t="s">
        <v>503</v>
      </c>
      <c r="C625" s="297">
        <v>68</v>
      </c>
      <c r="D625" s="297">
        <v>34</v>
      </c>
      <c r="E625" s="297">
        <v>34</v>
      </c>
      <c r="F625" s="297">
        <v>0</v>
      </c>
    </row>
    <row r="626" spans="2:6" ht="13.5">
      <c r="B626" s="290" t="s">
        <v>259</v>
      </c>
      <c r="C626" s="297">
        <v>8</v>
      </c>
      <c r="D626" s="297">
        <v>4</v>
      </c>
      <c r="E626" s="297">
        <v>4</v>
      </c>
      <c r="F626" s="297">
        <v>0</v>
      </c>
    </row>
    <row r="627" spans="2:6" ht="13.5">
      <c r="B627" s="290" t="s">
        <v>260</v>
      </c>
      <c r="C627" s="297">
        <v>11</v>
      </c>
      <c r="D627" s="297">
        <v>6</v>
      </c>
      <c r="E627" s="297">
        <v>5</v>
      </c>
      <c r="F627" s="297">
        <v>0</v>
      </c>
    </row>
    <row r="628" spans="2:6" ht="13.5">
      <c r="B628" s="290" t="s">
        <v>261</v>
      </c>
      <c r="C628" s="297">
        <v>7</v>
      </c>
      <c r="D628" s="297">
        <v>5</v>
      </c>
      <c r="E628" s="297">
        <v>2</v>
      </c>
      <c r="F628" s="297">
        <v>0</v>
      </c>
    </row>
    <row r="629" spans="2:6" ht="13.5">
      <c r="B629" s="290" t="s">
        <v>63</v>
      </c>
      <c r="C629" s="297">
        <v>14</v>
      </c>
      <c r="D629" s="297">
        <v>6</v>
      </c>
      <c r="E629" s="297">
        <v>8</v>
      </c>
      <c r="F629" s="297">
        <v>0</v>
      </c>
    </row>
    <row r="630" spans="2:6" ht="13.5">
      <c r="B630" s="290" t="s">
        <v>64</v>
      </c>
      <c r="C630" s="297">
        <v>24</v>
      </c>
      <c r="D630" s="297">
        <v>14</v>
      </c>
      <c r="E630" s="297">
        <v>10</v>
      </c>
      <c r="F630" s="297">
        <v>0</v>
      </c>
    </row>
    <row r="631" spans="2:6" ht="13.5">
      <c r="B631" s="290" t="s">
        <v>65</v>
      </c>
      <c r="C631" s="297">
        <v>16</v>
      </c>
      <c r="D631" s="297">
        <v>9</v>
      </c>
      <c r="E631" s="297">
        <v>7</v>
      </c>
      <c r="F631" s="297">
        <v>0</v>
      </c>
    </row>
    <row r="632" spans="2:6" ht="13.5">
      <c r="B632" s="290" t="s">
        <v>66</v>
      </c>
      <c r="C632" s="297">
        <v>23</v>
      </c>
      <c r="D632" s="297">
        <v>12</v>
      </c>
      <c r="E632" s="297">
        <v>11</v>
      </c>
      <c r="F632" s="297">
        <v>0</v>
      </c>
    </row>
    <row r="633" spans="2:6" ht="13.5">
      <c r="B633" s="290" t="s">
        <v>67</v>
      </c>
      <c r="C633" s="297">
        <v>25</v>
      </c>
      <c r="D633" s="297">
        <v>15</v>
      </c>
      <c r="E633" s="297">
        <v>10</v>
      </c>
      <c r="F633" s="297">
        <v>0</v>
      </c>
    </row>
    <row r="634" spans="2:6" ht="13.5">
      <c r="B634" s="290" t="s">
        <v>68</v>
      </c>
      <c r="C634" s="297">
        <v>25</v>
      </c>
      <c r="D634" s="297">
        <v>14</v>
      </c>
      <c r="E634" s="297">
        <v>11</v>
      </c>
      <c r="F634" s="297">
        <v>0</v>
      </c>
    </row>
    <row r="635" spans="2:6" ht="13.5">
      <c r="B635" s="290" t="s">
        <v>69</v>
      </c>
      <c r="C635" s="297">
        <v>33</v>
      </c>
      <c r="D635" s="297">
        <v>22</v>
      </c>
      <c r="E635" s="297">
        <v>11</v>
      </c>
      <c r="F635" s="297">
        <v>0</v>
      </c>
    </row>
    <row r="636" spans="2:6" ht="13.5">
      <c r="B636" s="290" t="s">
        <v>262</v>
      </c>
      <c r="C636" s="297">
        <v>27</v>
      </c>
      <c r="D636" s="297">
        <v>19</v>
      </c>
      <c r="E636" s="297">
        <v>8</v>
      </c>
      <c r="F636" s="297">
        <v>0</v>
      </c>
    </row>
    <row r="637" spans="2:6" ht="13.5">
      <c r="B637" s="290" t="s">
        <v>263</v>
      </c>
      <c r="C637" s="297">
        <v>33</v>
      </c>
      <c r="D637" s="297">
        <v>18</v>
      </c>
      <c r="E637" s="297">
        <v>15</v>
      </c>
      <c r="F637" s="297">
        <v>0</v>
      </c>
    </row>
    <row r="638" spans="2:6" ht="13.5">
      <c r="B638" s="290" t="s">
        <v>264</v>
      </c>
      <c r="C638" s="297">
        <v>34</v>
      </c>
      <c r="D638" s="297">
        <v>20</v>
      </c>
      <c r="E638" s="297">
        <v>14</v>
      </c>
      <c r="F638" s="297">
        <v>0</v>
      </c>
    </row>
    <row r="639" spans="2:6" ht="13.5">
      <c r="B639" s="290" t="s">
        <v>265</v>
      </c>
      <c r="C639" s="297">
        <v>41</v>
      </c>
      <c r="D639" s="297">
        <v>24</v>
      </c>
      <c r="E639" s="297">
        <v>17</v>
      </c>
      <c r="F639" s="297">
        <v>0</v>
      </c>
    </row>
    <row r="640" spans="2:6" ht="13.5">
      <c r="B640" s="290" t="s">
        <v>266</v>
      </c>
      <c r="C640" s="297">
        <v>216</v>
      </c>
      <c r="D640" s="297">
        <v>111</v>
      </c>
      <c r="E640" s="297">
        <v>105</v>
      </c>
      <c r="F640" s="297">
        <v>0</v>
      </c>
    </row>
    <row r="641" spans="1:6" ht="13.5">
      <c r="B641" s="290" t="s">
        <v>504</v>
      </c>
      <c r="C641" s="297">
        <v>4</v>
      </c>
      <c r="D641" s="297">
        <v>1</v>
      </c>
      <c r="E641" s="297">
        <v>3</v>
      </c>
      <c r="F641" s="297">
        <v>0</v>
      </c>
    </row>
    <row r="642" spans="1:6" ht="5.0999999999999996" customHeight="1">
      <c r="B642" s="290"/>
      <c r="C642" s="297"/>
      <c r="D642" s="297"/>
      <c r="E642" s="297"/>
      <c r="F642" s="297"/>
    </row>
    <row r="643" spans="1:6" ht="13.5">
      <c r="A643" s="292" t="s">
        <v>584</v>
      </c>
      <c r="B643" s="292"/>
      <c r="C643" s="295">
        <v>210</v>
      </c>
      <c r="D643" s="295">
        <v>145</v>
      </c>
      <c r="E643" s="295">
        <v>65</v>
      </c>
      <c r="F643" s="295">
        <v>0</v>
      </c>
    </row>
    <row r="644" spans="1:6" ht="5.0999999999999996" customHeight="1">
      <c r="B644" s="290"/>
      <c r="C644" s="297"/>
      <c r="D644" s="297"/>
      <c r="E644" s="297"/>
      <c r="F644" s="297"/>
    </row>
    <row r="645" spans="1:6" ht="13.5">
      <c r="B645" s="290" t="s">
        <v>503</v>
      </c>
      <c r="C645" s="297">
        <v>3</v>
      </c>
      <c r="D645" s="297">
        <v>0</v>
      </c>
      <c r="E645" s="297">
        <v>3</v>
      </c>
      <c r="F645" s="297">
        <v>0</v>
      </c>
    </row>
    <row r="646" spans="1:6" ht="13.5">
      <c r="B646" s="290" t="s">
        <v>259</v>
      </c>
      <c r="C646" s="297">
        <v>5</v>
      </c>
      <c r="D646" s="297">
        <v>1</v>
      </c>
      <c r="E646" s="297">
        <v>4</v>
      </c>
      <c r="F646" s="297">
        <v>0</v>
      </c>
    </row>
    <row r="647" spans="1:6" ht="13.5">
      <c r="B647" s="290" t="s">
        <v>260</v>
      </c>
      <c r="C647" s="297">
        <v>1</v>
      </c>
      <c r="D647" s="297">
        <v>0</v>
      </c>
      <c r="E647" s="297">
        <v>1</v>
      </c>
      <c r="F647" s="297">
        <v>0</v>
      </c>
    </row>
    <row r="648" spans="1:6" ht="13.5">
      <c r="B648" s="290" t="s">
        <v>261</v>
      </c>
      <c r="C648" s="297">
        <v>3</v>
      </c>
      <c r="D648" s="297">
        <v>3</v>
      </c>
      <c r="E648" s="297">
        <v>0</v>
      </c>
      <c r="F648" s="297">
        <v>0</v>
      </c>
    </row>
    <row r="649" spans="1:6" ht="13.5">
      <c r="B649" s="290" t="s">
        <v>63</v>
      </c>
      <c r="C649" s="297">
        <v>4</v>
      </c>
      <c r="D649" s="297">
        <v>4</v>
      </c>
      <c r="E649" s="297">
        <v>0</v>
      </c>
      <c r="F649" s="297">
        <v>0</v>
      </c>
    </row>
    <row r="650" spans="1:6" ht="13.5">
      <c r="B650" s="290" t="s">
        <v>64</v>
      </c>
      <c r="C650" s="297">
        <v>6</v>
      </c>
      <c r="D650" s="297">
        <v>6</v>
      </c>
      <c r="E650" s="297">
        <v>0</v>
      </c>
      <c r="F650" s="297">
        <v>0</v>
      </c>
    </row>
    <row r="651" spans="1:6" ht="13.5">
      <c r="B651" s="290" t="s">
        <v>65</v>
      </c>
      <c r="C651" s="297">
        <v>13</v>
      </c>
      <c r="D651" s="297">
        <v>9</v>
      </c>
      <c r="E651" s="297">
        <v>4</v>
      </c>
      <c r="F651" s="297">
        <v>0</v>
      </c>
    </row>
    <row r="652" spans="1:6" ht="13.5">
      <c r="B652" s="290" t="s">
        <v>66</v>
      </c>
      <c r="C652" s="297">
        <v>7</v>
      </c>
      <c r="D652" s="297">
        <v>2</v>
      </c>
      <c r="E652" s="297">
        <v>5</v>
      </c>
      <c r="F652" s="297">
        <v>0</v>
      </c>
    </row>
    <row r="653" spans="1:6" ht="13.5">
      <c r="B653" s="290" t="s">
        <v>67</v>
      </c>
      <c r="C653" s="297">
        <v>7</v>
      </c>
      <c r="D653" s="297">
        <v>5</v>
      </c>
      <c r="E653" s="297">
        <v>2</v>
      </c>
      <c r="F653" s="297">
        <v>0</v>
      </c>
    </row>
    <row r="654" spans="1:6" ht="13.5">
      <c r="B654" s="290" t="s">
        <v>68</v>
      </c>
      <c r="C654" s="297">
        <v>11</v>
      </c>
      <c r="D654" s="297">
        <v>6</v>
      </c>
      <c r="E654" s="297">
        <v>5</v>
      </c>
      <c r="F654" s="297">
        <v>0</v>
      </c>
    </row>
    <row r="655" spans="1:6" ht="13.5">
      <c r="B655" s="290" t="s">
        <v>69</v>
      </c>
      <c r="C655" s="297">
        <v>5</v>
      </c>
      <c r="D655" s="297">
        <v>3</v>
      </c>
      <c r="E655" s="297">
        <v>2</v>
      </c>
      <c r="F655" s="297">
        <v>0</v>
      </c>
    </row>
    <row r="656" spans="1:6" ht="13.5">
      <c r="B656" s="290" t="s">
        <v>262</v>
      </c>
      <c r="C656" s="297">
        <v>4</v>
      </c>
      <c r="D656" s="297">
        <v>4</v>
      </c>
      <c r="E656" s="297">
        <v>0</v>
      </c>
      <c r="F656" s="297">
        <v>0</v>
      </c>
    </row>
    <row r="657" spans="1:6" ht="13.5">
      <c r="B657" s="290" t="s">
        <v>263</v>
      </c>
      <c r="C657" s="297">
        <v>7</v>
      </c>
      <c r="D657" s="297">
        <v>5</v>
      </c>
      <c r="E657" s="297">
        <v>2</v>
      </c>
      <c r="F657" s="297">
        <v>0</v>
      </c>
    </row>
    <row r="658" spans="1:6" ht="13.5">
      <c r="B658" s="290" t="s">
        <v>264</v>
      </c>
      <c r="C658" s="297">
        <v>17</v>
      </c>
      <c r="D658" s="297">
        <v>12</v>
      </c>
      <c r="E658" s="297">
        <v>5</v>
      </c>
      <c r="F658" s="297">
        <v>0</v>
      </c>
    </row>
    <row r="659" spans="1:6" ht="13.5">
      <c r="B659" s="290" t="s">
        <v>265</v>
      </c>
      <c r="C659" s="297">
        <v>17</v>
      </c>
      <c r="D659" s="297">
        <v>14</v>
      </c>
      <c r="E659" s="297">
        <v>3</v>
      </c>
      <c r="F659" s="297">
        <v>0</v>
      </c>
    </row>
    <row r="660" spans="1:6" ht="13.5">
      <c r="B660" s="290" t="s">
        <v>266</v>
      </c>
      <c r="C660" s="297">
        <v>74</v>
      </c>
      <c r="D660" s="297">
        <v>53</v>
      </c>
      <c r="E660" s="297">
        <v>21</v>
      </c>
      <c r="F660" s="297">
        <v>0</v>
      </c>
    </row>
    <row r="661" spans="1:6" ht="13.5">
      <c r="B661" s="290" t="s">
        <v>504</v>
      </c>
      <c r="C661" s="297">
        <v>26</v>
      </c>
      <c r="D661" s="297">
        <v>18</v>
      </c>
      <c r="E661" s="297">
        <v>8</v>
      </c>
      <c r="F661" s="297">
        <v>0</v>
      </c>
    </row>
    <row r="662" spans="1:6" ht="5.0999999999999996" customHeight="1">
      <c r="B662" s="290"/>
      <c r="C662" s="297"/>
      <c r="D662" s="297"/>
      <c r="E662" s="297"/>
      <c r="F662" s="297"/>
    </row>
    <row r="663" spans="1:6" ht="13.5">
      <c r="A663" s="292" t="s">
        <v>33</v>
      </c>
      <c r="B663" s="292"/>
      <c r="C663" s="295">
        <v>11451</v>
      </c>
      <c r="D663" s="295">
        <v>7963</v>
      </c>
      <c r="E663" s="295">
        <v>3478</v>
      </c>
      <c r="F663" s="295">
        <v>10</v>
      </c>
    </row>
    <row r="664" spans="1:6" ht="5.0999999999999996" customHeight="1">
      <c r="B664" s="290"/>
      <c r="C664" s="297"/>
      <c r="D664" s="297"/>
      <c r="E664" s="297"/>
      <c r="F664" s="297"/>
    </row>
    <row r="665" spans="1:6" ht="13.5">
      <c r="B665" s="290" t="s">
        <v>503</v>
      </c>
      <c r="C665" s="297">
        <v>41</v>
      </c>
      <c r="D665" s="297">
        <v>24</v>
      </c>
      <c r="E665" s="297">
        <v>16</v>
      </c>
      <c r="F665" s="297">
        <v>1</v>
      </c>
    </row>
    <row r="666" spans="1:6" ht="13.5">
      <c r="B666" s="290" t="s">
        <v>259</v>
      </c>
      <c r="C666" s="297">
        <v>95</v>
      </c>
      <c r="D666" s="297">
        <v>77</v>
      </c>
      <c r="E666" s="297">
        <v>18</v>
      </c>
      <c r="F666" s="297">
        <v>0</v>
      </c>
    </row>
    <row r="667" spans="1:6" ht="13.5">
      <c r="B667" s="290" t="s">
        <v>260</v>
      </c>
      <c r="C667" s="297">
        <v>81</v>
      </c>
      <c r="D667" s="297">
        <v>52</v>
      </c>
      <c r="E667" s="297">
        <v>29</v>
      </c>
      <c r="F667" s="297">
        <v>0</v>
      </c>
    </row>
    <row r="668" spans="1:6" ht="13.5">
      <c r="B668" s="290" t="s">
        <v>261</v>
      </c>
      <c r="C668" s="297">
        <v>87</v>
      </c>
      <c r="D668" s="297">
        <v>69</v>
      </c>
      <c r="E668" s="297">
        <v>18</v>
      </c>
      <c r="F668" s="297">
        <v>0</v>
      </c>
    </row>
    <row r="669" spans="1:6" ht="13.5">
      <c r="B669" s="290" t="s">
        <v>63</v>
      </c>
      <c r="C669" s="297">
        <v>233</v>
      </c>
      <c r="D669" s="297">
        <v>191</v>
      </c>
      <c r="E669" s="297">
        <v>42</v>
      </c>
      <c r="F669" s="297">
        <v>0</v>
      </c>
    </row>
    <row r="670" spans="1:6" ht="13.5">
      <c r="B670" s="290" t="s">
        <v>64</v>
      </c>
      <c r="C670" s="297">
        <v>375</v>
      </c>
      <c r="D670" s="297">
        <v>303</v>
      </c>
      <c r="E670" s="297">
        <v>72</v>
      </c>
      <c r="F670" s="297">
        <v>0</v>
      </c>
    </row>
    <row r="671" spans="1:6" ht="13.5">
      <c r="B671" s="290" t="s">
        <v>65</v>
      </c>
      <c r="C671" s="297">
        <v>400</v>
      </c>
      <c r="D671" s="297">
        <v>314</v>
      </c>
      <c r="E671" s="297">
        <v>86</v>
      </c>
      <c r="F671" s="297">
        <v>0</v>
      </c>
    </row>
    <row r="672" spans="1:6" ht="13.5">
      <c r="B672" s="290" t="s">
        <v>66</v>
      </c>
      <c r="C672" s="297">
        <v>381</v>
      </c>
      <c r="D672" s="297">
        <v>302</v>
      </c>
      <c r="E672" s="297">
        <v>79</v>
      </c>
      <c r="F672" s="297">
        <v>0</v>
      </c>
    </row>
    <row r="673" spans="1:6" ht="13.5">
      <c r="B673" s="290" t="s">
        <v>67</v>
      </c>
      <c r="C673" s="297">
        <v>402</v>
      </c>
      <c r="D673" s="297">
        <v>316</v>
      </c>
      <c r="E673" s="297">
        <v>86</v>
      </c>
      <c r="F673" s="297">
        <v>0</v>
      </c>
    </row>
    <row r="674" spans="1:6" ht="13.5">
      <c r="B674" s="290" t="s">
        <v>68</v>
      </c>
      <c r="C674" s="297">
        <v>425</v>
      </c>
      <c r="D674" s="297">
        <v>319</v>
      </c>
      <c r="E674" s="297">
        <v>106</v>
      </c>
      <c r="F674" s="297">
        <v>0</v>
      </c>
    </row>
    <row r="675" spans="1:6" ht="13.5">
      <c r="B675" s="290" t="s">
        <v>69</v>
      </c>
      <c r="C675" s="297">
        <v>472</v>
      </c>
      <c r="D675" s="297">
        <v>350</v>
      </c>
      <c r="E675" s="297">
        <v>122</v>
      </c>
      <c r="F675" s="297">
        <v>0</v>
      </c>
    </row>
    <row r="676" spans="1:6" ht="13.5">
      <c r="B676" s="290" t="s">
        <v>262</v>
      </c>
      <c r="C676" s="297">
        <v>558</v>
      </c>
      <c r="D676" s="297">
        <v>417</v>
      </c>
      <c r="E676" s="297">
        <v>141</v>
      </c>
      <c r="F676" s="297">
        <v>0</v>
      </c>
    </row>
    <row r="677" spans="1:6" ht="13.5">
      <c r="B677" s="290" t="s">
        <v>263</v>
      </c>
      <c r="C677" s="297">
        <v>641</v>
      </c>
      <c r="D677" s="297">
        <v>484</v>
      </c>
      <c r="E677" s="297">
        <v>157</v>
      </c>
      <c r="F677" s="297">
        <v>0</v>
      </c>
    </row>
    <row r="678" spans="1:6" ht="13.5">
      <c r="B678" s="290" t="s">
        <v>264</v>
      </c>
      <c r="C678" s="297">
        <v>741</v>
      </c>
      <c r="D678" s="297">
        <v>553</v>
      </c>
      <c r="E678" s="297">
        <v>188</v>
      </c>
      <c r="F678" s="297">
        <v>0</v>
      </c>
    </row>
    <row r="679" spans="1:6" ht="13.5">
      <c r="B679" s="290" t="s">
        <v>265</v>
      </c>
      <c r="C679" s="297">
        <v>720</v>
      </c>
      <c r="D679" s="297">
        <v>522</v>
      </c>
      <c r="E679" s="297">
        <v>198</v>
      </c>
      <c r="F679" s="297">
        <v>0</v>
      </c>
    </row>
    <row r="680" spans="1:6" ht="13.5">
      <c r="B680" s="290" t="s">
        <v>266</v>
      </c>
      <c r="C680" s="297">
        <v>4063</v>
      </c>
      <c r="D680" s="297">
        <v>2680</v>
      </c>
      <c r="E680" s="297">
        <v>1383</v>
      </c>
      <c r="F680" s="297">
        <v>0</v>
      </c>
    </row>
    <row r="681" spans="1:6" ht="13.5">
      <c r="B681" s="290" t="s">
        <v>504</v>
      </c>
      <c r="C681" s="297">
        <v>1736</v>
      </c>
      <c r="D681" s="297">
        <v>990</v>
      </c>
      <c r="E681" s="297">
        <v>737</v>
      </c>
      <c r="F681" s="297">
        <v>9</v>
      </c>
    </row>
    <row r="682" spans="1:6" ht="5.0999999999999996" customHeight="1">
      <c r="A682" s="312"/>
      <c r="B682" s="299"/>
      <c r="C682" s="299"/>
      <c r="D682" s="299"/>
      <c r="E682" s="299"/>
      <c r="F682" s="299"/>
    </row>
    <row r="683" spans="1:6" ht="5.0999999999999996" customHeight="1">
      <c r="B683" s="290"/>
      <c r="C683" s="290"/>
      <c r="D683" s="290"/>
      <c r="E683" s="290"/>
      <c r="F683" s="290"/>
    </row>
    <row r="684" spans="1:6" ht="13.5">
      <c r="A684" s="301" t="s">
        <v>71</v>
      </c>
      <c r="B684" s="290"/>
      <c r="C684" s="290"/>
      <c r="D684" s="290"/>
      <c r="E684" s="290"/>
      <c r="F684" s="290"/>
    </row>
    <row r="685" spans="1:6" ht="13.5">
      <c r="A685" s="301" t="s">
        <v>231</v>
      </c>
      <c r="B685" s="290"/>
      <c r="C685" s="290"/>
      <c r="D685" s="290"/>
      <c r="E685" s="290"/>
      <c r="F685" s="290"/>
    </row>
  </sheetData>
  <mergeCells count="7">
    <mergeCell ref="A2:F2"/>
    <mergeCell ref="D7:F7"/>
    <mergeCell ref="C7:C8"/>
    <mergeCell ref="A7:B8"/>
    <mergeCell ref="A5:F5"/>
    <mergeCell ref="A4:F4"/>
    <mergeCell ref="A3:F3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2:Q649"/>
  <sheetViews>
    <sheetView workbookViewId="0">
      <selection activeCell="I14" sqref="I14"/>
    </sheetView>
  </sheetViews>
  <sheetFormatPr baseColWidth="10" defaultColWidth="11.42578125" defaultRowHeight="12.75"/>
  <cols>
    <col min="1" max="1" width="1.5703125" style="290" customWidth="1"/>
    <col min="2" max="2" width="16.85546875" style="290" customWidth="1"/>
    <col min="3" max="3" width="12.140625" style="290" customWidth="1"/>
    <col min="4" max="16384" width="11.42578125" style="290"/>
  </cols>
  <sheetData>
    <row r="2" spans="1:17">
      <c r="A2" s="434" t="s">
        <v>280</v>
      </c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</row>
    <row r="3" spans="1:17">
      <c r="A3" s="428" t="s">
        <v>17</v>
      </c>
      <c r="B3" s="428"/>
      <c r="C3" s="428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</row>
    <row r="4" spans="1:17">
      <c r="A4" s="428" t="s">
        <v>508</v>
      </c>
      <c r="B4" s="428"/>
      <c r="C4" s="428"/>
      <c r="D4" s="428"/>
      <c r="E4" s="428"/>
      <c r="F4" s="428"/>
      <c r="G4" s="428"/>
      <c r="H4" s="428"/>
      <c r="I4" s="428"/>
      <c r="J4" s="428"/>
      <c r="K4" s="428"/>
      <c r="L4" s="428"/>
      <c r="M4" s="428"/>
      <c r="N4" s="428"/>
      <c r="O4" s="428"/>
      <c r="P4" s="428"/>
    </row>
    <row r="6" spans="1:17" ht="12.75" customHeight="1">
      <c r="A6" s="436" t="s">
        <v>258</v>
      </c>
      <c r="B6" s="436"/>
      <c r="C6" s="423" t="s">
        <v>281</v>
      </c>
      <c r="D6" s="423"/>
      <c r="E6" s="423"/>
      <c r="F6" s="423"/>
      <c r="G6" s="423"/>
      <c r="H6" s="423"/>
      <c r="I6" s="423"/>
      <c r="J6" s="423"/>
      <c r="K6" s="423"/>
      <c r="L6" s="423"/>
      <c r="M6" s="423"/>
      <c r="N6" s="423"/>
      <c r="O6" s="423"/>
      <c r="P6" s="423"/>
    </row>
    <row r="7" spans="1:17">
      <c r="A7" s="437"/>
      <c r="B7" s="437"/>
      <c r="C7" s="424" t="s">
        <v>61</v>
      </c>
      <c r="D7" s="423"/>
      <c r="E7" s="423"/>
      <c r="F7" s="423"/>
      <c r="G7" s="424" t="s">
        <v>61</v>
      </c>
      <c r="H7" s="423" t="s">
        <v>41</v>
      </c>
      <c r="I7" s="423"/>
      <c r="J7" s="423"/>
      <c r="K7" s="424" t="s">
        <v>61</v>
      </c>
      <c r="L7" s="423" t="s">
        <v>42</v>
      </c>
      <c r="M7" s="423"/>
      <c r="N7" s="424" t="s">
        <v>61</v>
      </c>
      <c r="O7" s="423" t="s">
        <v>504</v>
      </c>
      <c r="P7" s="423"/>
    </row>
    <row r="8" spans="1:17">
      <c r="A8" s="438"/>
      <c r="B8" s="438"/>
      <c r="C8" s="425"/>
      <c r="D8" s="302" t="s">
        <v>38</v>
      </c>
      <c r="E8" s="302" t="s">
        <v>39</v>
      </c>
      <c r="F8" s="302" t="s">
        <v>466</v>
      </c>
      <c r="G8" s="425"/>
      <c r="H8" s="302" t="s">
        <v>38</v>
      </c>
      <c r="I8" s="302" t="s">
        <v>39</v>
      </c>
      <c r="J8" s="302" t="s">
        <v>466</v>
      </c>
      <c r="K8" s="425"/>
      <c r="L8" s="302" t="s">
        <v>38</v>
      </c>
      <c r="M8" s="302" t="s">
        <v>39</v>
      </c>
      <c r="N8" s="425"/>
      <c r="O8" s="302" t="s">
        <v>38</v>
      </c>
      <c r="P8" s="302" t="s">
        <v>39</v>
      </c>
      <c r="Q8" s="320"/>
    </row>
    <row r="9" spans="1:17" ht="5.0999999999999996" customHeight="1"/>
    <row r="10" spans="1:17" s="292" customFormat="1">
      <c r="A10" s="292" t="s">
        <v>585</v>
      </c>
      <c r="C10" s="293">
        <v>34157</v>
      </c>
      <c r="D10" s="293">
        <v>21604</v>
      </c>
      <c r="E10" s="293">
        <v>12528</v>
      </c>
      <c r="F10" s="293">
        <v>25</v>
      </c>
      <c r="G10" s="293">
        <v>28101</v>
      </c>
      <c r="H10" s="293">
        <v>17870</v>
      </c>
      <c r="I10" s="293">
        <v>10206</v>
      </c>
      <c r="J10" s="293">
        <v>25</v>
      </c>
      <c r="K10" s="293">
        <v>5592</v>
      </c>
      <c r="L10" s="293">
        <v>3447</v>
      </c>
      <c r="M10" s="293">
        <v>2145</v>
      </c>
      <c r="N10" s="293">
        <v>464</v>
      </c>
      <c r="O10" s="293">
        <v>287</v>
      </c>
      <c r="P10" s="293">
        <v>177</v>
      </c>
    </row>
    <row r="11" spans="1:17" ht="5.0999999999999996" customHeight="1">
      <c r="C11" s="294"/>
      <c r="D11" s="294"/>
      <c r="E11" s="294"/>
      <c r="F11" s="294"/>
      <c r="G11" s="294"/>
      <c r="H11" s="294"/>
      <c r="I11" s="294"/>
      <c r="J11" s="294"/>
      <c r="K11" s="294"/>
      <c r="L11" s="294"/>
      <c r="M11" s="294"/>
      <c r="N11" s="294"/>
      <c r="O11" s="294"/>
      <c r="P11" s="294"/>
    </row>
    <row r="12" spans="1:17">
      <c r="B12" s="290" t="s">
        <v>503</v>
      </c>
      <c r="C12" s="294">
        <v>480</v>
      </c>
      <c r="D12" s="294">
        <v>267</v>
      </c>
      <c r="E12" s="294">
        <v>198</v>
      </c>
      <c r="F12" s="294">
        <v>15</v>
      </c>
      <c r="G12" s="294">
        <v>387</v>
      </c>
      <c r="H12" s="294">
        <v>217</v>
      </c>
      <c r="I12" s="294">
        <v>155</v>
      </c>
      <c r="J12" s="294">
        <v>15</v>
      </c>
      <c r="K12" s="294">
        <v>29</v>
      </c>
      <c r="L12" s="294">
        <v>16</v>
      </c>
      <c r="M12" s="294">
        <v>13</v>
      </c>
      <c r="N12" s="294">
        <v>64</v>
      </c>
      <c r="O12" s="294">
        <v>34</v>
      </c>
      <c r="P12" s="294">
        <v>30</v>
      </c>
    </row>
    <row r="13" spans="1:17">
      <c r="B13" s="290" t="s">
        <v>259</v>
      </c>
      <c r="C13" s="294">
        <v>212</v>
      </c>
      <c r="D13" s="294">
        <v>145</v>
      </c>
      <c r="E13" s="294">
        <v>67</v>
      </c>
      <c r="F13" s="294">
        <v>0</v>
      </c>
      <c r="G13" s="294">
        <v>190</v>
      </c>
      <c r="H13" s="294">
        <v>130</v>
      </c>
      <c r="I13" s="294">
        <v>60</v>
      </c>
      <c r="J13" s="294">
        <v>0</v>
      </c>
      <c r="K13" s="294">
        <v>17</v>
      </c>
      <c r="L13" s="294">
        <v>12</v>
      </c>
      <c r="M13" s="294">
        <v>5</v>
      </c>
      <c r="N13" s="294">
        <v>5</v>
      </c>
      <c r="O13" s="294">
        <v>3</v>
      </c>
      <c r="P13" s="294">
        <v>2</v>
      </c>
    </row>
    <row r="14" spans="1:17">
      <c r="B14" s="290" t="s">
        <v>260</v>
      </c>
      <c r="C14" s="294">
        <v>193</v>
      </c>
      <c r="D14" s="294">
        <v>112</v>
      </c>
      <c r="E14" s="294">
        <v>81</v>
      </c>
      <c r="F14" s="294">
        <v>0</v>
      </c>
      <c r="G14" s="294">
        <v>165</v>
      </c>
      <c r="H14" s="294">
        <v>96</v>
      </c>
      <c r="I14" s="294">
        <v>69</v>
      </c>
      <c r="J14" s="294">
        <v>0</v>
      </c>
      <c r="K14" s="294">
        <v>22</v>
      </c>
      <c r="L14" s="294">
        <v>13</v>
      </c>
      <c r="M14" s="294">
        <v>9</v>
      </c>
      <c r="N14" s="294">
        <v>6</v>
      </c>
      <c r="O14" s="294">
        <v>3</v>
      </c>
      <c r="P14" s="294">
        <v>3</v>
      </c>
    </row>
    <row r="15" spans="1:17">
      <c r="B15" s="290" t="s">
        <v>261</v>
      </c>
      <c r="C15" s="294">
        <v>233</v>
      </c>
      <c r="D15" s="294">
        <v>156</v>
      </c>
      <c r="E15" s="294">
        <v>77</v>
      </c>
      <c r="F15" s="294">
        <v>0</v>
      </c>
      <c r="G15" s="294">
        <v>196</v>
      </c>
      <c r="H15" s="294">
        <v>136</v>
      </c>
      <c r="I15" s="294">
        <v>60</v>
      </c>
      <c r="J15" s="294">
        <v>0</v>
      </c>
      <c r="K15" s="294">
        <v>34</v>
      </c>
      <c r="L15" s="294">
        <v>18</v>
      </c>
      <c r="M15" s="294">
        <v>16</v>
      </c>
      <c r="N15" s="294">
        <v>3</v>
      </c>
      <c r="O15" s="294">
        <v>2</v>
      </c>
      <c r="P15" s="294">
        <v>1</v>
      </c>
    </row>
    <row r="16" spans="1:17">
      <c r="B16" s="290" t="s">
        <v>63</v>
      </c>
      <c r="C16" s="294">
        <v>594</v>
      </c>
      <c r="D16" s="294">
        <v>453</v>
      </c>
      <c r="E16" s="294">
        <v>141</v>
      </c>
      <c r="F16" s="294">
        <v>0</v>
      </c>
      <c r="G16" s="294">
        <v>478</v>
      </c>
      <c r="H16" s="294">
        <v>365</v>
      </c>
      <c r="I16" s="294">
        <v>113</v>
      </c>
      <c r="J16" s="294">
        <v>0</v>
      </c>
      <c r="K16" s="294">
        <v>105</v>
      </c>
      <c r="L16" s="294">
        <v>81</v>
      </c>
      <c r="M16" s="294">
        <v>24</v>
      </c>
      <c r="N16" s="294">
        <v>11</v>
      </c>
      <c r="O16" s="294">
        <v>7</v>
      </c>
      <c r="P16" s="294">
        <v>4</v>
      </c>
    </row>
    <row r="17" spans="1:16">
      <c r="B17" s="290" t="s">
        <v>64</v>
      </c>
      <c r="C17" s="294">
        <v>900</v>
      </c>
      <c r="D17" s="294">
        <v>706</v>
      </c>
      <c r="E17" s="294">
        <v>194</v>
      </c>
      <c r="F17" s="294">
        <v>0</v>
      </c>
      <c r="G17" s="294">
        <v>750</v>
      </c>
      <c r="H17" s="294">
        <v>589</v>
      </c>
      <c r="I17" s="294">
        <v>161</v>
      </c>
      <c r="J17" s="294">
        <v>0</v>
      </c>
      <c r="K17" s="294">
        <v>139</v>
      </c>
      <c r="L17" s="294">
        <v>112</v>
      </c>
      <c r="M17" s="294">
        <v>27</v>
      </c>
      <c r="N17" s="294">
        <v>11</v>
      </c>
      <c r="O17" s="294">
        <v>5</v>
      </c>
      <c r="P17" s="294">
        <v>6</v>
      </c>
    </row>
    <row r="18" spans="1:16">
      <c r="B18" s="290" t="s">
        <v>65</v>
      </c>
      <c r="C18" s="294">
        <v>1004</v>
      </c>
      <c r="D18" s="294">
        <v>762</v>
      </c>
      <c r="E18" s="294">
        <v>242</v>
      </c>
      <c r="F18" s="294">
        <v>0</v>
      </c>
      <c r="G18" s="294">
        <v>849</v>
      </c>
      <c r="H18" s="294">
        <v>642</v>
      </c>
      <c r="I18" s="294">
        <v>207</v>
      </c>
      <c r="J18" s="294">
        <v>0</v>
      </c>
      <c r="K18" s="294">
        <v>148</v>
      </c>
      <c r="L18" s="294">
        <v>114</v>
      </c>
      <c r="M18" s="294">
        <v>34</v>
      </c>
      <c r="N18" s="294">
        <v>7</v>
      </c>
      <c r="O18" s="294">
        <v>6</v>
      </c>
      <c r="P18" s="294">
        <v>1</v>
      </c>
    </row>
    <row r="19" spans="1:16">
      <c r="B19" s="290" t="s">
        <v>66</v>
      </c>
      <c r="C19" s="294">
        <v>1065</v>
      </c>
      <c r="D19" s="294">
        <v>756</v>
      </c>
      <c r="E19" s="294">
        <v>309</v>
      </c>
      <c r="F19" s="294">
        <v>0</v>
      </c>
      <c r="G19" s="294">
        <v>864</v>
      </c>
      <c r="H19" s="294">
        <v>619</v>
      </c>
      <c r="I19" s="294">
        <v>245</v>
      </c>
      <c r="J19" s="294">
        <v>0</v>
      </c>
      <c r="K19" s="294">
        <v>177</v>
      </c>
      <c r="L19" s="294">
        <v>117</v>
      </c>
      <c r="M19" s="294">
        <v>60</v>
      </c>
      <c r="N19" s="294">
        <v>24</v>
      </c>
      <c r="O19" s="294">
        <v>20</v>
      </c>
      <c r="P19" s="294">
        <v>4</v>
      </c>
    </row>
    <row r="20" spans="1:16">
      <c r="B20" s="290" t="s">
        <v>67</v>
      </c>
      <c r="C20" s="294">
        <v>1140</v>
      </c>
      <c r="D20" s="294">
        <v>798</v>
      </c>
      <c r="E20" s="294">
        <v>342</v>
      </c>
      <c r="F20" s="294">
        <v>0</v>
      </c>
      <c r="G20" s="294">
        <v>956</v>
      </c>
      <c r="H20" s="294">
        <v>676</v>
      </c>
      <c r="I20" s="294">
        <v>280</v>
      </c>
      <c r="J20" s="294">
        <v>0</v>
      </c>
      <c r="K20" s="294">
        <v>157</v>
      </c>
      <c r="L20" s="294">
        <v>103</v>
      </c>
      <c r="M20" s="294">
        <v>54</v>
      </c>
      <c r="N20" s="294">
        <v>27</v>
      </c>
      <c r="O20" s="294">
        <v>19</v>
      </c>
      <c r="P20" s="294">
        <v>8</v>
      </c>
    </row>
    <row r="21" spans="1:16">
      <c r="B21" s="290" t="s">
        <v>68</v>
      </c>
      <c r="C21" s="294">
        <v>1261</v>
      </c>
      <c r="D21" s="294">
        <v>860</v>
      </c>
      <c r="E21" s="294">
        <v>401</v>
      </c>
      <c r="F21" s="294">
        <v>0</v>
      </c>
      <c r="G21" s="294">
        <v>1053</v>
      </c>
      <c r="H21" s="294">
        <v>722</v>
      </c>
      <c r="I21" s="294">
        <v>331</v>
      </c>
      <c r="J21" s="294">
        <v>0</v>
      </c>
      <c r="K21" s="294">
        <v>180</v>
      </c>
      <c r="L21" s="294">
        <v>120</v>
      </c>
      <c r="M21" s="294">
        <v>60</v>
      </c>
      <c r="N21" s="294">
        <v>28</v>
      </c>
      <c r="O21" s="294">
        <v>18</v>
      </c>
      <c r="P21" s="294">
        <v>10</v>
      </c>
    </row>
    <row r="22" spans="1:16">
      <c r="B22" s="290" t="s">
        <v>69</v>
      </c>
      <c r="C22" s="294">
        <v>1403</v>
      </c>
      <c r="D22" s="294">
        <v>936</v>
      </c>
      <c r="E22" s="294">
        <v>467</v>
      </c>
      <c r="F22" s="294">
        <v>0</v>
      </c>
      <c r="G22" s="294">
        <v>1180</v>
      </c>
      <c r="H22" s="294">
        <v>790</v>
      </c>
      <c r="I22" s="294">
        <v>390</v>
      </c>
      <c r="J22" s="294">
        <v>0</v>
      </c>
      <c r="K22" s="294">
        <v>208</v>
      </c>
      <c r="L22" s="294">
        <v>135</v>
      </c>
      <c r="M22" s="294">
        <v>73</v>
      </c>
      <c r="N22" s="294">
        <v>15</v>
      </c>
      <c r="O22" s="294">
        <v>11</v>
      </c>
      <c r="P22" s="294">
        <v>4</v>
      </c>
    </row>
    <row r="23" spans="1:16">
      <c r="B23" s="290" t="s">
        <v>262</v>
      </c>
      <c r="C23" s="294">
        <v>1754</v>
      </c>
      <c r="D23" s="294">
        <v>1172</v>
      </c>
      <c r="E23" s="294">
        <v>582</v>
      </c>
      <c r="F23" s="294">
        <v>0</v>
      </c>
      <c r="G23" s="294">
        <v>1478</v>
      </c>
      <c r="H23" s="294">
        <v>986</v>
      </c>
      <c r="I23" s="294">
        <v>492</v>
      </c>
      <c r="J23" s="294">
        <v>0</v>
      </c>
      <c r="K23" s="294">
        <v>253</v>
      </c>
      <c r="L23" s="294">
        <v>169</v>
      </c>
      <c r="M23" s="294">
        <v>84</v>
      </c>
      <c r="N23" s="294">
        <v>23</v>
      </c>
      <c r="O23" s="294">
        <v>17</v>
      </c>
      <c r="P23" s="294">
        <v>6</v>
      </c>
    </row>
    <row r="24" spans="1:16">
      <c r="B24" s="290" t="s">
        <v>263</v>
      </c>
      <c r="C24" s="294">
        <v>2061</v>
      </c>
      <c r="D24" s="294">
        <v>1355</v>
      </c>
      <c r="E24" s="294">
        <v>706</v>
      </c>
      <c r="F24" s="294">
        <v>0</v>
      </c>
      <c r="G24" s="294">
        <v>1739</v>
      </c>
      <c r="H24" s="294">
        <v>1162</v>
      </c>
      <c r="I24" s="294">
        <v>577</v>
      </c>
      <c r="J24" s="294">
        <v>0</v>
      </c>
      <c r="K24" s="294">
        <v>302</v>
      </c>
      <c r="L24" s="294">
        <v>180</v>
      </c>
      <c r="M24" s="294">
        <v>122</v>
      </c>
      <c r="N24" s="294">
        <v>20</v>
      </c>
      <c r="O24" s="294">
        <v>13</v>
      </c>
      <c r="P24" s="294">
        <v>7</v>
      </c>
    </row>
    <row r="25" spans="1:16">
      <c r="B25" s="290" t="s">
        <v>264</v>
      </c>
      <c r="C25" s="294">
        <v>2459</v>
      </c>
      <c r="D25" s="294">
        <v>1641</v>
      </c>
      <c r="E25" s="294">
        <v>818</v>
      </c>
      <c r="F25" s="294">
        <v>0</v>
      </c>
      <c r="G25" s="294">
        <v>2047</v>
      </c>
      <c r="H25" s="294">
        <v>1382</v>
      </c>
      <c r="I25" s="294">
        <v>665</v>
      </c>
      <c r="J25" s="294">
        <v>0</v>
      </c>
      <c r="K25" s="294">
        <v>394</v>
      </c>
      <c r="L25" s="294">
        <v>251</v>
      </c>
      <c r="M25" s="294">
        <v>143</v>
      </c>
      <c r="N25" s="294">
        <v>18</v>
      </c>
      <c r="O25" s="294">
        <v>8</v>
      </c>
      <c r="P25" s="294">
        <v>10</v>
      </c>
    </row>
    <row r="26" spans="1:16">
      <c r="B26" s="290" t="s">
        <v>265</v>
      </c>
      <c r="C26" s="294">
        <v>2524</v>
      </c>
      <c r="D26" s="294">
        <v>1624</v>
      </c>
      <c r="E26" s="294">
        <v>900</v>
      </c>
      <c r="F26" s="294">
        <v>0</v>
      </c>
      <c r="G26" s="294">
        <v>2093</v>
      </c>
      <c r="H26" s="294">
        <v>1368</v>
      </c>
      <c r="I26" s="294">
        <v>725</v>
      </c>
      <c r="J26" s="294">
        <v>0</v>
      </c>
      <c r="K26" s="294">
        <v>406</v>
      </c>
      <c r="L26" s="294">
        <v>241</v>
      </c>
      <c r="M26" s="294">
        <v>165</v>
      </c>
      <c r="N26" s="294">
        <v>25</v>
      </c>
      <c r="O26" s="294">
        <v>15</v>
      </c>
      <c r="P26" s="294">
        <v>10</v>
      </c>
    </row>
    <row r="27" spans="1:16">
      <c r="B27" s="290" t="s">
        <v>266</v>
      </c>
      <c r="C27" s="294">
        <v>14934</v>
      </c>
      <c r="D27" s="294">
        <v>8773</v>
      </c>
      <c r="E27" s="294">
        <v>6161</v>
      </c>
      <c r="F27" s="294">
        <v>0</v>
      </c>
      <c r="G27" s="294">
        <v>11943</v>
      </c>
      <c r="H27" s="294">
        <v>7021</v>
      </c>
      <c r="I27" s="294">
        <v>4922</v>
      </c>
      <c r="J27" s="294">
        <v>0</v>
      </c>
      <c r="K27" s="294">
        <v>2843</v>
      </c>
      <c r="L27" s="294">
        <v>1659</v>
      </c>
      <c r="M27" s="294">
        <v>1184</v>
      </c>
      <c r="N27" s="294">
        <v>148</v>
      </c>
      <c r="O27" s="294">
        <v>93</v>
      </c>
      <c r="P27" s="294">
        <v>55</v>
      </c>
    </row>
    <row r="28" spans="1:16">
      <c r="B28" s="290" t="s">
        <v>504</v>
      </c>
      <c r="C28" s="294">
        <v>1940</v>
      </c>
      <c r="D28" s="294">
        <v>1088</v>
      </c>
      <c r="E28" s="294">
        <v>842</v>
      </c>
      <c r="F28" s="294">
        <v>10</v>
      </c>
      <c r="G28" s="294">
        <v>1733</v>
      </c>
      <c r="H28" s="294">
        <v>969</v>
      </c>
      <c r="I28" s="294">
        <v>754</v>
      </c>
      <c r="J28" s="294">
        <v>10</v>
      </c>
      <c r="K28" s="294">
        <v>178</v>
      </c>
      <c r="L28" s="294">
        <v>106</v>
      </c>
      <c r="M28" s="294">
        <v>72</v>
      </c>
      <c r="N28" s="294">
        <v>29</v>
      </c>
      <c r="O28" s="294">
        <v>13</v>
      </c>
      <c r="P28" s="294">
        <v>16</v>
      </c>
    </row>
    <row r="29" spans="1:16" ht="5.0999999999999996" customHeight="1">
      <c r="C29" s="294"/>
      <c r="D29" s="294"/>
      <c r="E29" s="294"/>
      <c r="F29" s="294"/>
      <c r="G29" s="294"/>
      <c r="H29" s="294"/>
      <c r="I29" s="294"/>
      <c r="J29" s="294"/>
      <c r="K29" s="294"/>
      <c r="L29" s="294"/>
      <c r="M29" s="294"/>
      <c r="N29" s="294"/>
      <c r="O29" s="294"/>
      <c r="P29" s="294"/>
    </row>
    <row r="30" spans="1:16" s="292" customFormat="1">
      <c r="A30" s="292" t="s">
        <v>76</v>
      </c>
      <c r="C30" s="293">
        <v>11497</v>
      </c>
      <c r="D30" s="293">
        <v>8131</v>
      </c>
      <c r="E30" s="293">
        <v>3366</v>
      </c>
      <c r="F30" s="293">
        <v>0</v>
      </c>
      <c r="G30" s="293">
        <v>11266</v>
      </c>
      <c r="H30" s="293">
        <v>7948</v>
      </c>
      <c r="I30" s="293">
        <v>3318</v>
      </c>
      <c r="J30" s="293">
        <v>0</v>
      </c>
      <c r="K30" s="293">
        <v>99</v>
      </c>
      <c r="L30" s="293">
        <v>78</v>
      </c>
      <c r="M30" s="293">
        <v>21</v>
      </c>
      <c r="N30" s="293">
        <v>132</v>
      </c>
      <c r="O30" s="293">
        <v>105</v>
      </c>
      <c r="P30" s="293">
        <v>27</v>
      </c>
    </row>
    <row r="31" spans="1:16" ht="5.0999999999999996" customHeight="1"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4"/>
      <c r="P31" s="294"/>
    </row>
    <row r="32" spans="1:16">
      <c r="B32" s="290" t="s">
        <v>503</v>
      </c>
      <c r="C32" s="294">
        <v>5</v>
      </c>
      <c r="D32" s="294">
        <v>1</v>
      </c>
      <c r="E32" s="294">
        <v>4</v>
      </c>
      <c r="F32" s="294">
        <v>0</v>
      </c>
      <c r="G32" s="294">
        <v>5</v>
      </c>
      <c r="H32" s="294">
        <v>1</v>
      </c>
      <c r="I32" s="294">
        <v>4</v>
      </c>
      <c r="J32" s="294">
        <v>0</v>
      </c>
      <c r="K32" s="294">
        <v>0</v>
      </c>
      <c r="L32" s="294">
        <v>0</v>
      </c>
      <c r="M32" s="294">
        <v>0</v>
      </c>
      <c r="N32" s="294">
        <v>0</v>
      </c>
      <c r="O32" s="294">
        <v>0</v>
      </c>
      <c r="P32" s="294">
        <v>0</v>
      </c>
    </row>
    <row r="33" spans="2:16">
      <c r="B33" s="290" t="s">
        <v>259</v>
      </c>
      <c r="C33" s="294">
        <v>97</v>
      </c>
      <c r="D33" s="294">
        <v>75</v>
      </c>
      <c r="E33" s="294">
        <v>22</v>
      </c>
      <c r="F33" s="294">
        <v>0</v>
      </c>
      <c r="G33" s="294">
        <v>96</v>
      </c>
      <c r="H33" s="294">
        <v>74</v>
      </c>
      <c r="I33" s="294">
        <v>22</v>
      </c>
      <c r="J33" s="294">
        <v>0</v>
      </c>
      <c r="K33" s="294">
        <v>1</v>
      </c>
      <c r="L33" s="294">
        <v>1</v>
      </c>
      <c r="M33" s="294">
        <v>0</v>
      </c>
      <c r="N33" s="294">
        <v>0</v>
      </c>
      <c r="O33" s="294">
        <v>0</v>
      </c>
      <c r="P33" s="294">
        <v>0</v>
      </c>
    </row>
    <row r="34" spans="2:16">
      <c r="B34" s="290" t="s">
        <v>260</v>
      </c>
      <c r="C34" s="294">
        <v>79</v>
      </c>
      <c r="D34" s="294">
        <v>53</v>
      </c>
      <c r="E34" s="294">
        <v>26</v>
      </c>
      <c r="F34" s="294">
        <v>0</v>
      </c>
      <c r="G34" s="294">
        <v>77</v>
      </c>
      <c r="H34" s="294">
        <v>51</v>
      </c>
      <c r="I34" s="294">
        <v>26</v>
      </c>
      <c r="J34" s="294">
        <v>0</v>
      </c>
      <c r="K34" s="294">
        <v>0</v>
      </c>
      <c r="L34" s="294">
        <v>0</v>
      </c>
      <c r="M34" s="294">
        <v>0</v>
      </c>
      <c r="N34" s="294">
        <v>2</v>
      </c>
      <c r="O34" s="294">
        <v>2</v>
      </c>
      <c r="P34" s="294">
        <v>0</v>
      </c>
    </row>
    <row r="35" spans="2:16">
      <c r="B35" s="290" t="s">
        <v>261</v>
      </c>
      <c r="C35" s="294">
        <v>82</v>
      </c>
      <c r="D35" s="294">
        <v>65</v>
      </c>
      <c r="E35" s="294">
        <v>17</v>
      </c>
      <c r="F35" s="294">
        <v>0</v>
      </c>
      <c r="G35" s="294">
        <v>81</v>
      </c>
      <c r="H35" s="294">
        <v>64</v>
      </c>
      <c r="I35" s="294">
        <v>17</v>
      </c>
      <c r="J35" s="294">
        <v>0</v>
      </c>
      <c r="K35" s="294">
        <v>0</v>
      </c>
      <c r="L35" s="294">
        <v>0</v>
      </c>
      <c r="M35" s="294">
        <v>0</v>
      </c>
      <c r="N35" s="294">
        <v>1</v>
      </c>
      <c r="O35" s="294">
        <v>1</v>
      </c>
      <c r="P35" s="294">
        <v>0</v>
      </c>
    </row>
    <row r="36" spans="2:16">
      <c r="B36" s="290" t="s">
        <v>63</v>
      </c>
      <c r="C36" s="294">
        <v>224</v>
      </c>
      <c r="D36" s="294">
        <v>187</v>
      </c>
      <c r="E36" s="294">
        <v>37</v>
      </c>
      <c r="F36" s="294">
        <v>0</v>
      </c>
      <c r="G36" s="294">
        <v>220</v>
      </c>
      <c r="H36" s="294">
        <v>184</v>
      </c>
      <c r="I36" s="294">
        <v>36</v>
      </c>
      <c r="J36" s="294">
        <v>0</v>
      </c>
      <c r="K36" s="294">
        <v>0</v>
      </c>
      <c r="L36" s="294">
        <v>0</v>
      </c>
      <c r="M36" s="294">
        <v>0</v>
      </c>
      <c r="N36" s="294">
        <v>4</v>
      </c>
      <c r="O36" s="294">
        <v>3</v>
      </c>
      <c r="P36" s="294">
        <v>1</v>
      </c>
    </row>
    <row r="37" spans="2:16">
      <c r="B37" s="290" t="s">
        <v>64</v>
      </c>
      <c r="C37" s="294">
        <v>368</v>
      </c>
      <c r="D37" s="294">
        <v>300</v>
      </c>
      <c r="E37" s="294">
        <v>68</v>
      </c>
      <c r="F37" s="294">
        <v>0</v>
      </c>
      <c r="G37" s="294">
        <v>361</v>
      </c>
      <c r="H37" s="294">
        <v>297</v>
      </c>
      <c r="I37" s="294">
        <v>64</v>
      </c>
      <c r="J37" s="294">
        <v>0</v>
      </c>
      <c r="K37" s="294">
        <v>4</v>
      </c>
      <c r="L37" s="294">
        <v>2</v>
      </c>
      <c r="M37" s="294">
        <v>2</v>
      </c>
      <c r="N37" s="294">
        <v>3</v>
      </c>
      <c r="O37" s="294">
        <v>1</v>
      </c>
      <c r="P37" s="294">
        <v>2</v>
      </c>
    </row>
    <row r="38" spans="2:16">
      <c r="B38" s="290" t="s">
        <v>65</v>
      </c>
      <c r="C38" s="294">
        <v>402</v>
      </c>
      <c r="D38" s="294">
        <v>315</v>
      </c>
      <c r="E38" s="294">
        <v>87</v>
      </c>
      <c r="F38" s="294">
        <v>0</v>
      </c>
      <c r="G38" s="294">
        <v>400</v>
      </c>
      <c r="H38" s="294">
        <v>313</v>
      </c>
      <c r="I38" s="294">
        <v>87</v>
      </c>
      <c r="J38" s="294">
        <v>0</v>
      </c>
      <c r="K38" s="294">
        <v>0</v>
      </c>
      <c r="L38" s="294">
        <v>0</v>
      </c>
      <c r="M38" s="294">
        <v>0</v>
      </c>
      <c r="N38" s="294">
        <v>2</v>
      </c>
      <c r="O38" s="294">
        <v>2</v>
      </c>
      <c r="P38" s="294">
        <v>0</v>
      </c>
    </row>
    <row r="39" spans="2:16">
      <c r="B39" s="290" t="s">
        <v>66</v>
      </c>
      <c r="C39" s="294">
        <v>389</v>
      </c>
      <c r="D39" s="294">
        <v>304</v>
      </c>
      <c r="E39" s="294">
        <v>85</v>
      </c>
      <c r="F39" s="294">
        <v>0</v>
      </c>
      <c r="G39" s="294">
        <v>373</v>
      </c>
      <c r="H39" s="294">
        <v>290</v>
      </c>
      <c r="I39" s="294">
        <v>83</v>
      </c>
      <c r="J39" s="294">
        <v>0</v>
      </c>
      <c r="K39" s="294">
        <v>4</v>
      </c>
      <c r="L39" s="294">
        <v>2</v>
      </c>
      <c r="M39" s="294">
        <v>2</v>
      </c>
      <c r="N39" s="294">
        <v>12</v>
      </c>
      <c r="O39" s="294">
        <v>12</v>
      </c>
      <c r="P39" s="294">
        <v>0</v>
      </c>
    </row>
    <row r="40" spans="2:16">
      <c r="B40" s="290" t="s">
        <v>67</v>
      </c>
      <c r="C40" s="294">
        <v>399</v>
      </c>
      <c r="D40" s="294">
        <v>316</v>
      </c>
      <c r="E40" s="294">
        <v>83</v>
      </c>
      <c r="F40" s="294">
        <v>0</v>
      </c>
      <c r="G40" s="294">
        <v>384</v>
      </c>
      <c r="H40" s="294">
        <v>303</v>
      </c>
      <c r="I40" s="294">
        <v>81</v>
      </c>
      <c r="J40" s="294">
        <v>0</v>
      </c>
      <c r="K40" s="294">
        <v>2</v>
      </c>
      <c r="L40" s="294">
        <v>2</v>
      </c>
      <c r="M40" s="294">
        <v>0</v>
      </c>
      <c r="N40" s="294">
        <v>13</v>
      </c>
      <c r="O40" s="294">
        <v>11</v>
      </c>
      <c r="P40" s="294">
        <v>2</v>
      </c>
    </row>
    <row r="41" spans="2:16">
      <c r="B41" s="290" t="s">
        <v>68</v>
      </c>
      <c r="C41" s="294">
        <v>444</v>
      </c>
      <c r="D41" s="294">
        <v>333</v>
      </c>
      <c r="E41" s="294">
        <v>111</v>
      </c>
      <c r="F41" s="294">
        <v>0</v>
      </c>
      <c r="G41" s="294">
        <v>427</v>
      </c>
      <c r="H41" s="294">
        <v>320</v>
      </c>
      <c r="I41" s="294">
        <v>107</v>
      </c>
      <c r="J41" s="294">
        <v>0</v>
      </c>
      <c r="K41" s="294">
        <v>0</v>
      </c>
      <c r="L41" s="294">
        <v>0</v>
      </c>
      <c r="M41" s="294">
        <v>0</v>
      </c>
      <c r="N41" s="294">
        <v>17</v>
      </c>
      <c r="O41" s="294">
        <v>13</v>
      </c>
      <c r="P41" s="294">
        <v>4</v>
      </c>
    </row>
    <row r="42" spans="2:16">
      <c r="B42" s="290" t="s">
        <v>69</v>
      </c>
      <c r="C42" s="294">
        <v>495</v>
      </c>
      <c r="D42" s="294">
        <v>364</v>
      </c>
      <c r="E42" s="294">
        <v>131</v>
      </c>
      <c r="F42" s="294">
        <v>0</v>
      </c>
      <c r="G42" s="294">
        <v>480</v>
      </c>
      <c r="H42" s="294">
        <v>350</v>
      </c>
      <c r="I42" s="294">
        <v>130</v>
      </c>
      <c r="J42" s="294">
        <v>0</v>
      </c>
      <c r="K42" s="294">
        <v>8</v>
      </c>
      <c r="L42" s="294">
        <v>8</v>
      </c>
      <c r="M42" s="294">
        <v>0</v>
      </c>
      <c r="N42" s="294">
        <v>7</v>
      </c>
      <c r="O42" s="294">
        <v>6</v>
      </c>
      <c r="P42" s="294">
        <v>1</v>
      </c>
    </row>
    <row r="43" spans="2:16">
      <c r="B43" s="290" t="s">
        <v>262</v>
      </c>
      <c r="C43" s="294">
        <v>573</v>
      </c>
      <c r="D43" s="294">
        <v>420</v>
      </c>
      <c r="E43" s="294">
        <v>153</v>
      </c>
      <c r="F43" s="294">
        <v>0</v>
      </c>
      <c r="G43" s="294">
        <v>563</v>
      </c>
      <c r="H43" s="294">
        <v>412</v>
      </c>
      <c r="I43" s="294">
        <v>151</v>
      </c>
      <c r="J43" s="294">
        <v>0</v>
      </c>
      <c r="K43" s="294">
        <v>5</v>
      </c>
      <c r="L43" s="294">
        <v>4</v>
      </c>
      <c r="M43" s="294">
        <v>1</v>
      </c>
      <c r="N43" s="294">
        <v>5</v>
      </c>
      <c r="O43" s="294">
        <v>4</v>
      </c>
      <c r="P43" s="294">
        <v>1</v>
      </c>
    </row>
    <row r="44" spans="2:16">
      <c r="B44" s="290" t="s">
        <v>263</v>
      </c>
      <c r="C44" s="294">
        <v>693</v>
      </c>
      <c r="D44" s="294">
        <v>519</v>
      </c>
      <c r="E44" s="294">
        <v>174</v>
      </c>
      <c r="F44" s="294">
        <v>0</v>
      </c>
      <c r="G44" s="294">
        <v>673</v>
      </c>
      <c r="H44" s="294">
        <v>502</v>
      </c>
      <c r="I44" s="294">
        <v>171</v>
      </c>
      <c r="J44" s="294">
        <v>0</v>
      </c>
      <c r="K44" s="294">
        <v>12</v>
      </c>
      <c r="L44" s="294">
        <v>11</v>
      </c>
      <c r="M44" s="294">
        <v>1</v>
      </c>
      <c r="N44" s="294">
        <v>8</v>
      </c>
      <c r="O44" s="294">
        <v>6</v>
      </c>
      <c r="P44" s="294">
        <v>2</v>
      </c>
    </row>
    <row r="45" spans="2:16">
      <c r="B45" s="290" t="s">
        <v>264</v>
      </c>
      <c r="C45" s="294">
        <v>790</v>
      </c>
      <c r="D45" s="294">
        <v>589</v>
      </c>
      <c r="E45" s="294">
        <v>201</v>
      </c>
      <c r="F45" s="294">
        <v>0</v>
      </c>
      <c r="G45" s="294">
        <v>779</v>
      </c>
      <c r="H45" s="294">
        <v>579</v>
      </c>
      <c r="I45" s="294">
        <v>200</v>
      </c>
      <c r="J45" s="294">
        <v>0</v>
      </c>
      <c r="K45" s="294">
        <v>8</v>
      </c>
      <c r="L45" s="294">
        <v>7</v>
      </c>
      <c r="M45" s="294">
        <v>1</v>
      </c>
      <c r="N45" s="294">
        <v>3</v>
      </c>
      <c r="O45" s="294">
        <v>3</v>
      </c>
      <c r="P45" s="294">
        <v>0</v>
      </c>
    </row>
    <row r="46" spans="2:16">
      <c r="B46" s="290" t="s">
        <v>265</v>
      </c>
      <c r="C46" s="294">
        <v>786</v>
      </c>
      <c r="D46" s="294">
        <v>574</v>
      </c>
      <c r="E46" s="294">
        <v>212</v>
      </c>
      <c r="F46" s="294">
        <v>0</v>
      </c>
      <c r="G46" s="294">
        <v>765</v>
      </c>
      <c r="H46" s="294">
        <v>556</v>
      </c>
      <c r="I46" s="294">
        <v>209</v>
      </c>
      <c r="J46" s="294">
        <v>0</v>
      </c>
      <c r="K46" s="294">
        <v>11</v>
      </c>
      <c r="L46" s="294">
        <v>9</v>
      </c>
      <c r="M46" s="294">
        <v>2</v>
      </c>
      <c r="N46" s="294">
        <v>10</v>
      </c>
      <c r="O46" s="294">
        <v>9</v>
      </c>
      <c r="P46" s="294">
        <v>1</v>
      </c>
    </row>
    <row r="47" spans="2:16">
      <c r="B47" s="290" t="s">
        <v>266</v>
      </c>
      <c r="C47" s="294">
        <v>4216</v>
      </c>
      <c r="D47" s="294">
        <v>2865</v>
      </c>
      <c r="E47" s="294">
        <v>1351</v>
      </c>
      <c r="F47" s="294">
        <v>0</v>
      </c>
      <c r="G47" s="294">
        <v>4155</v>
      </c>
      <c r="H47" s="294">
        <v>2820</v>
      </c>
      <c r="I47" s="294">
        <v>1335</v>
      </c>
      <c r="J47" s="294">
        <v>0</v>
      </c>
      <c r="K47" s="294">
        <v>31</v>
      </c>
      <c r="L47" s="294">
        <v>21</v>
      </c>
      <c r="M47" s="294">
        <v>10</v>
      </c>
      <c r="N47" s="294">
        <v>30</v>
      </c>
      <c r="O47" s="294">
        <v>24</v>
      </c>
      <c r="P47" s="294">
        <v>6</v>
      </c>
    </row>
    <row r="48" spans="2:16">
      <c r="B48" s="290" t="s">
        <v>504</v>
      </c>
      <c r="C48" s="294">
        <v>1455</v>
      </c>
      <c r="D48" s="294">
        <v>851</v>
      </c>
      <c r="E48" s="294">
        <v>604</v>
      </c>
      <c r="F48" s="294">
        <v>0</v>
      </c>
      <c r="G48" s="294">
        <v>1427</v>
      </c>
      <c r="H48" s="294">
        <v>832</v>
      </c>
      <c r="I48" s="294">
        <v>595</v>
      </c>
      <c r="J48" s="294">
        <v>0</v>
      </c>
      <c r="K48" s="294">
        <v>13</v>
      </c>
      <c r="L48" s="294">
        <v>11</v>
      </c>
      <c r="M48" s="294">
        <v>2</v>
      </c>
      <c r="N48" s="294">
        <v>15</v>
      </c>
      <c r="O48" s="294">
        <v>8</v>
      </c>
      <c r="P48" s="294">
        <v>7</v>
      </c>
    </row>
    <row r="49" spans="1:16" ht="5.0999999999999996" customHeight="1"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</row>
    <row r="50" spans="1:16" s="292" customFormat="1">
      <c r="A50" s="292" t="s">
        <v>77</v>
      </c>
      <c r="C50" s="293">
        <v>457</v>
      </c>
      <c r="D50" s="293">
        <v>243</v>
      </c>
      <c r="E50" s="293">
        <v>197</v>
      </c>
      <c r="F50" s="293">
        <v>17</v>
      </c>
      <c r="G50" s="293">
        <v>431</v>
      </c>
      <c r="H50" s="293">
        <v>226</v>
      </c>
      <c r="I50" s="293">
        <v>188</v>
      </c>
      <c r="J50" s="293">
        <v>17</v>
      </c>
      <c r="K50" s="293">
        <v>24</v>
      </c>
      <c r="L50" s="293">
        <v>16</v>
      </c>
      <c r="M50" s="293">
        <v>8</v>
      </c>
      <c r="N50" s="293">
        <v>2</v>
      </c>
      <c r="O50" s="293">
        <v>1</v>
      </c>
      <c r="P50" s="293">
        <v>1</v>
      </c>
    </row>
    <row r="51" spans="1:16" ht="5.0999999999999996" customHeight="1"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4"/>
      <c r="P51" s="294"/>
    </row>
    <row r="52" spans="1:16">
      <c r="B52" s="290" t="s">
        <v>503</v>
      </c>
      <c r="C52" s="294">
        <v>19</v>
      </c>
      <c r="D52" s="294">
        <v>2</v>
      </c>
      <c r="E52" s="294">
        <v>5</v>
      </c>
      <c r="F52" s="294">
        <v>12</v>
      </c>
      <c r="G52" s="294">
        <v>19</v>
      </c>
      <c r="H52" s="294">
        <v>2</v>
      </c>
      <c r="I52" s="294">
        <v>5</v>
      </c>
      <c r="J52" s="294">
        <v>12</v>
      </c>
      <c r="K52" s="294">
        <v>0</v>
      </c>
      <c r="L52" s="294">
        <v>0</v>
      </c>
      <c r="M52" s="294">
        <v>0</v>
      </c>
      <c r="N52" s="294">
        <v>0</v>
      </c>
      <c r="O52" s="294">
        <v>0</v>
      </c>
      <c r="P52" s="294">
        <v>0</v>
      </c>
    </row>
    <row r="53" spans="1:16">
      <c r="B53" s="290" t="s">
        <v>259</v>
      </c>
      <c r="C53" s="294">
        <v>3</v>
      </c>
      <c r="D53" s="294">
        <v>2</v>
      </c>
      <c r="E53" s="294">
        <v>1</v>
      </c>
      <c r="F53" s="294">
        <v>0</v>
      </c>
      <c r="G53" s="294">
        <v>3</v>
      </c>
      <c r="H53" s="294">
        <v>2</v>
      </c>
      <c r="I53" s="294">
        <v>1</v>
      </c>
      <c r="J53" s="294">
        <v>0</v>
      </c>
      <c r="K53" s="294">
        <v>0</v>
      </c>
      <c r="L53" s="294">
        <v>0</v>
      </c>
      <c r="M53" s="294">
        <v>0</v>
      </c>
      <c r="N53" s="294">
        <v>0</v>
      </c>
      <c r="O53" s="294">
        <v>0</v>
      </c>
      <c r="P53" s="294">
        <v>0</v>
      </c>
    </row>
    <row r="54" spans="1:16">
      <c r="B54" s="290" t="s">
        <v>260</v>
      </c>
      <c r="C54" s="294">
        <v>1</v>
      </c>
      <c r="D54" s="294">
        <v>0</v>
      </c>
      <c r="E54" s="294">
        <v>1</v>
      </c>
      <c r="F54" s="294">
        <v>0</v>
      </c>
      <c r="G54" s="294">
        <v>1</v>
      </c>
      <c r="H54" s="294">
        <v>0</v>
      </c>
      <c r="I54" s="294">
        <v>1</v>
      </c>
      <c r="J54" s="294">
        <v>0</v>
      </c>
      <c r="K54" s="294">
        <v>0</v>
      </c>
      <c r="L54" s="294">
        <v>0</v>
      </c>
      <c r="M54" s="294">
        <v>0</v>
      </c>
      <c r="N54" s="294">
        <v>0</v>
      </c>
      <c r="O54" s="294">
        <v>0</v>
      </c>
      <c r="P54" s="294">
        <v>0</v>
      </c>
    </row>
    <row r="55" spans="1:16">
      <c r="B55" s="290" t="s">
        <v>261</v>
      </c>
      <c r="C55" s="294">
        <v>2</v>
      </c>
      <c r="D55" s="294">
        <v>1</v>
      </c>
      <c r="E55" s="294">
        <v>1</v>
      </c>
      <c r="F55" s="294">
        <v>0</v>
      </c>
      <c r="G55" s="294">
        <v>2</v>
      </c>
      <c r="H55" s="294">
        <v>1</v>
      </c>
      <c r="I55" s="294">
        <v>1</v>
      </c>
      <c r="J55" s="294">
        <v>0</v>
      </c>
      <c r="K55" s="294">
        <v>0</v>
      </c>
      <c r="L55" s="294">
        <v>0</v>
      </c>
      <c r="M55" s="294">
        <v>0</v>
      </c>
      <c r="N55" s="294">
        <v>0</v>
      </c>
      <c r="O55" s="294">
        <v>0</v>
      </c>
      <c r="P55" s="294">
        <v>0</v>
      </c>
    </row>
    <row r="56" spans="1:16">
      <c r="B56" s="290" t="s">
        <v>63</v>
      </c>
      <c r="C56" s="294">
        <v>6</v>
      </c>
      <c r="D56" s="294">
        <v>2</v>
      </c>
      <c r="E56" s="294">
        <v>4</v>
      </c>
      <c r="F56" s="294">
        <v>0</v>
      </c>
      <c r="G56" s="294">
        <v>6</v>
      </c>
      <c r="H56" s="294">
        <v>2</v>
      </c>
      <c r="I56" s="294">
        <v>4</v>
      </c>
      <c r="J56" s="294">
        <v>0</v>
      </c>
      <c r="K56" s="294">
        <v>0</v>
      </c>
      <c r="L56" s="294">
        <v>0</v>
      </c>
      <c r="M56" s="294">
        <v>0</v>
      </c>
      <c r="N56" s="294">
        <v>0</v>
      </c>
      <c r="O56" s="294">
        <v>0</v>
      </c>
      <c r="P56" s="294">
        <v>0</v>
      </c>
    </row>
    <row r="57" spans="1:16">
      <c r="B57" s="290" t="s">
        <v>64</v>
      </c>
      <c r="C57" s="294">
        <v>7</v>
      </c>
      <c r="D57" s="294">
        <v>7</v>
      </c>
      <c r="E57" s="294">
        <v>0</v>
      </c>
      <c r="F57" s="294">
        <v>0</v>
      </c>
      <c r="G57" s="294">
        <v>6</v>
      </c>
      <c r="H57" s="294">
        <v>6</v>
      </c>
      <c r="I57" s="294">
        <v>0</v>
      </c>
      <c r="J57" s="294">
        <v>0</v>
      </c>
      <c r="K57" s="294">
        <v>1</v>
      </c>
      <c r="L57" s="294">
        <v>1</v>
      </c>
      <c r="M57" s="294">
        <v>0</v>
      </c>
      <c r="N57" s="294">
        <v>0</v>
      </c>
      <c r="O57" s="294">
        <v>0</v>
      </c>
      <c r="P57" s="294">
        <v>0</v>
      </c>
    </row>
    <row r="58" spans="1:16">
      <c r="B58" s="290" t="s">
        <v>65</v>
      </c>
      <c r="C58" s="294">
        <v>10</v>
      </c>
      <c r="D58" s="294">
        <v>6</v>
      </c>
      <c r="E58" s="294">
        <v>4</v>
      </c>
      <c r="F58" s="294">
        <v>0</v>
      </c>
      <c r="G58" s="294">
        <v>8</v>
      </c>
      <c r="H58" s="294">
        <v>4</v>
      </c>
      <c r="I58" s="294">
        <v>4</v>
      </c>
      <c r="J58" s="294">
        <v>0</v>
      </c>
      <c r="K58" s="294">
        <v>2</v>
      </c>
      <c r="L58" s="294">
        <v>2</v>
      </c>
      <c r="M58" s="294">
        <v>0</v>
      </c>
      <c r="N58" s="294">
        <v>0</v>
      </c>
      <c r="O58" s="294">
        <v>0</v>
      </c>
      <c r="P58" s="294">
        <v>0</v>
      </c>
    </row>
    <row r="59" spans="1:16">
      <c r="B59" s="290" t="s">
        <v>66</v>
      </c>
      <c r="C59" s="294">
        <v>22</v>
      </c>
      <c r="D59" s="294">
        <v>14</v>
      </c>
      <c r="E59" s="294">
        <v>8</v>
      </c>
      <c r="F59" s="294">
        <v>0</v>
      </c>
      <c r="G59" s="294">
        <v>21</v>
      </c>
      <c r="H59" s="294">
        <v>13</v>
      </c>
      <c r="I59" s="294">
        <v>8</v>
      </c>
      <c r="J59" s="294">
        <v>0</v>
      </c>
      <c r="K59" s="294">
        <v>1</v>
      </c>
      <c r="L59" s="294">
        <v>1</v>
      </c>
      <c r="M59" s="294">
        <v>0</v>
      </c>
      <c r="N59" s="294">
        <v>0</v>
      </c>
      <c r="O59" s="294">
        <v>0</v>
      </c>
      <c r="P59" s="294">
        <v>0</v>
      </c>
    </row>
    <row r="60" spans="1:16">
      <c r="B60" s="290" t="s">
        <v>67</v>
      </c>
      <c r="C60" s="294">
        <v>19</v>
      </c>
      <c r="D60" s="294">
        <v>12</v>
      </c>
      <c r="E60" s="294">
        <v>7</v>
      </c>
      <c r="F60" s="294">
        <v>0</v>
      </c>
      <c r="G60" s="294">
        <v>18</v>
      </c>
      <c r="H60" s="294">
        <v>11</v>
      </c>
      <c r="I60" s="294">
        <v>7</v>
      </c>
      <c r="J60" s="294">
        <v>0</v>
      </c>
      <c r="K60" s="294">
        <v>1</v>
      </c>
      <c r="L60" s="294">
        <v>1</v>
      </c>
      <c r="M60" s="294">
        <v>0</v>
      </c>
      <c r="N60" s="294">
        <v>0</v>
      </c>
      <c r="O60" s="294">
        <v>0</v>
      </c>
      <c r="P60" s="294">
        <v>0</v>
      </c>
    </row>
    <row r="61" spans="1:16">
      <c r="B61" s="290" t="s">
        <v>68</v>
      </c>
      <c r="C61" s="294">
        <v>21</v>
      </c>
      <c r="D61" s="294">
        <v>14</v>
      </c>
      <c r="E61" s="294">
        <v>7</v>
      </c>
      <c r="F61" s="294">
        <v>0</v>
      </c>
      <c r="G61" s="294">
        <v>21</v>
      </c>
      <c r="H61" s="294">
        <v>14</v>
      </c>
      <c r="I61" s="294">
        <v>7</v>
      </c>
      <c r="J61" s="294">
        <v>0</v>
      </c>
      <c r="K61" s="294">
        <v>0</v>
      </c>
      <c r="L61" s="294">
        <v>0</v>
      </c>
      <c r="M61" s="294">
        <v>0</v>
      </c>
      <c r="N61" s="294">
        <v>0</v>
      </c>
      <c r="O61" s="294">
        <v>0</v>
      </c>
      <c r="P61" s="294">
        <v>0</v>
      </c>
    </row>
    <row r="62" spans="1:16">
      <c r="B62" s="290" t="s">
        <v>69</v>
      </c>
      <c r="C62" s="294">
        <v>20</v>
      </c>
      <c r="D62" s="294">
        <v>13</v>
      </c>
      <c r="E62" s="294">
        <v>7</v>
      </c>
      <c r="F62" s="294">
        <v>0</v>
      </c>
      <c r="G62" s="294">
        <v>20</v>
      </c>
      <c r="H62" s="294">
        <v>13</v>
      </c>
      <c r="I62" s="294">
        <v>7</v>
      </c>
      <c r="J62" s="294">
        <v>0</v>
      </c>
      <c r="K62" s="294">
        <v>0</v>
      </c>
      <c r="L62" s="294">
        <v>0</v>
      </c>
      <c r="M62" s="294">
        <v>0</v>
      </c>
      <c r="N62" s="294">
        <v>0</v>
      </c>
      <c r="O62" s="294">
        <v>0</v>
      </c>
      <c r="P62" s="294">
        <v>0</v>
      </c>
    </row>
    <row r="63" spans="1:16">
      <c r="B63" s="290" t="s">
        <v>262</v>
      </c>
      <c r="C63" s="294">
        <v>27</v>
      </c>
      <c r="D63" s="294">
        <v>13</v>
      </c>
      <c r="E63" s="294">
        <v>14</v>
      </c>
      <c r="F63" s="294">
        <v>0</v>
      </c>
      <c r="G63" s="294">
        <v>27</v>
      </c>
      <c r="H63" s="294">
        <v>13</v>
      </c>
      <c r="I63" s="294">
        <v>14</v>
      </c>
      <c r="J63" s="294">
        <v>0</v>
      </c>
      <c r="K63" s="294">
        <v>0</v>
      </c>
      <c r="L63" s="294">
        <v>0</v>
      </c>
      <c r="M63" s="294">
        <v>0</v>
      </c>
      <c r="N63" s="294">
        <v>0</v>
      </c>
      <c r="O63" s="294">
        <v>0</v>
      </c>
      <c r="P63" s="294">
        <v>0</v>
      </c>
    </row>
    <row r="64" spans="1:16">
      <c r="B64" s="290" t="s">
        <v>263</v>
      </c>
      <c r="C64" s="294">
        <v>23</v>
      </c>
      <c r="D64" s="294">
        <v>17</v>
      </c>
      <c r="E64" s="294">
        <v>6</v>
      </c>
      <c r="F64" s="294">
        <v>0</v>
      </c>
      <c r="G64" s="294">
        <v>23</v>
      </c>
      <c r="H64" s="294">
        <v>17</v>
      </c>
      <c r="I64" s="294">
        <v>6</v>
      </c>
      <c r="J64" s="294">
        <v>0</v>
      </c>
      <c r="K64" s="294">
        <v>0</v>
      </c>
      <c r="L64" s="294">
        <v>0</v>
      </c>
      <c r="M64" s="294">
        <v>0</v>
      </c>
      <c r="N64" s="294">
        <v>0</v>
      </c>
      <c r="O64" s="294">
        <v>0</v>
      </c>
      <c r="P64" s="294">
        <v>0</v>
      </c>
    </row>
    <row r="65" spans="1:16">
      <c r="B65" s="290" t="s">
        <v>264</v>
      </c>
      <c r="C65" s="294">
        <v>24</v>
      </c>
      <c r="D65" s="294">
        <v>13</v>
      </c>
      <c r="E65" s="294">
        <v>11</v>
      </c>
      <c r="F65" s="294">
        <v>0</v>
      </c>
      <c r="G65" s="294">
        <v>24</v>
      </c>
      <c r="H65" s="294">
        <v>13</v>
      </c>
      <c r="I65" s="294">
        <v>11</v>
      </c>
      <c r="J65" s="294">
        <v>0</v>
      </c>
      <c r="K65" s="294">
        <v>0</v>
      </c>
      <c r="L65" s="294">
        <v>0</v>
      </c>
      <c r="M65" s="294">
        <v>0</v>
      </c>
      <c r="N65" s="294">
        <v>0</v>
      </c>
      <c r="O65" s="294">
        <v>0</v>
      </c>
      <c r="P65" s="294">
        <v>0</v>
      </c>
    </row>
    <row r="66" spans="1:16">
      <c r="B66" s="290" t="s">
        <v>265</v>
      </c>
      <c r="C66" s="294">
        <v>38</v>
      </c>
      <c r="D66" s="294">
        <v>22</v>
      </c>
      <c r="E66" s="294">
        <v>16</v>
      </c>
      <c r="F66" s="294">
        <v>0</v>
      </c>
      <c r="G66" s="294">
        <v>35</v>
      </c>
      <c r="H66" s="294">
        <v>21</v>
      </c>
      <c r="I66" s="294">
        <v>14</v>
      </c>
      <c r="J66" s="294">
        <v>0</v>
      </c>
      <c r="K66" s="294">
        <v>3</v>
      </c>
      <c r="L66" s="294">
        <v>1</v>
      </c>
      <c r="M66" s="294">
        <v>2</v>
      </c>
      <c r="N66" s="294">
        <v>0</v>
      </c>
      <c r="O66" s="294">
        <v>0</v>
      </c>
      <c r="P66" s="294">
        <v>0</v>
      </c>
    </row>
    <row r="67" spans="1:16">
      <c r="B67" s="290" t="s">
        <v>266</v>
      </c>
      <c r="C67" s="294">
        <v>204</v>
      </c>
      <c r="D67" s="294">
        <v>103</v>
      </c>
      <c r="E67" s="294">
        <v>101</v>
      </c>
      <c r="F67" s="294">
        <v>0</v>
      </c>
      <c r="G67" s="294">
        <v>187</v>
      </c>
      <c r="H67" s="294">
        <v>93</v>
      </c>
      <c r="I67" s="294">
        <v>94</v>
      </c>
      <c r="J67" s="294">
        <v>0</v>
      </c>
      <c r="K67" s="294">
        <v>16</v>
      </c>
      <c r="L67" s="294">
        <v>10</v>
      </c>
      <c r="M67" s="294">
        <v>6</v>
      </c>
      <c r="N67" s="294">
        <v>1</v>
      </c>
      <c r="O67" s="294">
        <v>0</v>
      </c>
      <c r="P67" s="294">
        <v>1</v>
      </c>
    </row>
    <row r="68" spans="1:16">
      <c r="B68" s="290" t="s">
        <v>504</v>
      </c>
      <c r="C68" s="294">
        <v>11</v>
      </c>
      <c r="D68" s="294">
        <v>2</v>
      </c>
      <c r="E68" s="294">
        <v>4</v>
      </c>
      <c r="F68" s="294">
        <v>5</v>
      </c>
      <c r="G68" s="294">
        <v>10</v>
      </c>
      <c r="H68" s="294">
        <v>1</v>
      </c>
      <c r="I68" s="294">
        <v>4</v>
      </c>
      <c r="J68" s="294">
        <v>5</v>
      </c>
      <c r="K68" s="294">
        <v>0</v>
      </c>
      <c r="L68" s="294">
        <v>0</v>
      </c>
      <c r="M68" s="294">
        <v>0</v>
      </c>
      <c r="N68" s="294">
        <v>1</v>
      </c>
      <c r="O68" s="294">
        <v>1</v>
      </c>
      <c r="P68" s="294">
        <v>0</v>
      </c>
    </row>
    <row r="69" spans="1:16" ht="5.0999999999999996" customHeight="1">
      <c r="C69" s="294"/>
      <c r="D69" s="294"/>
      <c r="E69" s="294"/>
      <c r="F69" s="294"/>
      <c r="G69" s="294"/>
      <c r="H69" s="294"/>
      <c r="I69" s="294"/>
      <c r="J69" s="294"/>
      <c r="K69" s="294"/>
      <c r="L69" s="294"/>
      <c r="M69" s="294"/>
      <c r="N69" s="294"/>
      <c r="O69" s="294"/>
      <c r="P69" s="294"/>
    </row>
    <row r="70" spans="1:16" s="292" customFormat="1">
      <c r="A70" s="292" t="s">
        <v>78</v>
      </c>
      <c r="C70" s="293">
        <v>243</v>
      </c>
      <c r="D70" s="293">
        <v>153</v>
      </c>
      <c r="E70" s="293">
        <v>90</v>
      </c>
      <c r="F70" s="293">
        <v>0</v>
      </c>
      <c r="G70" s="293">
        <v>182</v>
      </c>
      <c r="H70" s="293">
        <v>110</v>
      </c>
      <c r="I70" s="293">
        <v>72</v>
      </c>
      <c r="J70" s="293">
        <v>0</v>
      </c>
      <c r="K70" s="293">
        <v>61</v>
      </c>
      <c r="L70" s="293">
        <v>43</v>
      </c>
      <c r="M70" s="293">
        <v>18</v>
      </c>
      <c r="N70" s="293">
        <v>0</v>
      </c>
      <c r="O70" s="293">
        <v>0</v>
      </c>
      <c r="P70" s="293">
        <v>0</v>
      </c>
    </row>
    <row r="71" spans="1:16" ht="5.0999999999999996" customHeight="1">
      <c r="C71" s="294"/>
      <c r="D71" s="294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294"/>
      <c r="P71" s="294"/>
    </row>
    <row r="72" spans="1:16">
      <c r="B72" s="290" t="s">
        <v>503</v>
      </c>
      <c r="C72" s="294">
        <v>5</v>
      </c>
      <c r="D72" s="294">
        <v>5</v>
      </c>
      <c r="E72" s="294">
        <v>0</v>
      </c>
      <c r="F72" s="294">
        <v>0</v>
      </c>
      <c r="G72" s="294">
        <v>5</v>
      </c>
      <c r="H72" s="294">
        <v>5</v>
      </c>
      <c r="I72" s="294">
        <v>0</v>
      </c>
      <c r="J72" s="294">
        <v>0</v>
      </c>
      <c r="K72" s="294">
        <v>0</v>
      </c>
      <c r="L72" s="294">
        <v>0</v>
      </c>
      <c r="M72" s="294">
        <v>0</v>
      </c>
      <c r="N72" s="294">
        <v>0</v>
      </c>
      <c r="O72" s="294">
        <v>0</v>
      </c>
      <c r="P72" s="294">
        <v>0</v>
      </c>
    </row>
    <row r="73" spans="1:16">
      <c r="B73" s="290" t="s">
        <v>259</v>
      </c>
      <c r="C73" s="294">
        <v>1</v>
      </c>
      <c r="D73" s="294">
        <v>1</v>
      </c>
      <c r="E73" s="294">
        <v>0</v>
      </c>
      <c r="F73" s="294">
        <v>0</v>
      </c>
      <c r="G73" s="294">
        <v>1</v>
      </c>
      <c r="H73" s="294">
        <v>1</v>
      </c>
      <c r="I73" s="294">
        <v>0</v>
      </c>
      <c r="J73" s="294">
        <v>0</v>
      </c>
      <c r="K73" s="294">
        <v>0</v>
      </c>
      <c r="L73" s="294">
        <v>0</v>
      </c>
      <c r="M73" s="294">
        <v>0</v>
      </c>
      <c r="N73" s="294">
        <v>0</v>
      </c>
      <c r="O73" s="294">
        <v>0</v>
      </c>
      <c r="P73" s="294">
        <v>0</v>
      </c>
    </row>
    <row r="74" spans="1:16">
      <c r="B74" s="290" t="s">
        <v>260</v>
      </c>
      <c r="C74" s="294">
        <v>1</v>
      </c>
      <c r="D74" s="294">
        <v>0</v>
      </c>
      <c r="E74" s="294">
        <v>1</v>
      </c>
      <c r="F74" s="294">
        <v>0</v>
      </c>
      <c r="G74" s="294">
        <v>1</v>
      </c>
      <c r="H74" s="294">
        <v>0</v>
      </c>
      <c r="I74" s="294">
        <v>1</v>
      </c>
      <c r="J74" s="294">
        <v>0</v>
      </c>
      <c r="K74" s="294">
        <v>0</v>
      </c>
      <c r="L74" s="294">
        <v>0</v>
      </c>
      <c r="M74" s="294">
        <v>0</v>
      </c>
      <c r="N74" s="294">
        <v>0</v>
      </c>
      <c r="O74" s="294">
        <v>0</v>
      </c>
      <c r="P74" s="294">
        <v>0</v>
      </c>
    </row>
    <row r="75" spans="1:16">
      <c r="B75" s="290" t="s">
        <v>63</v>
      </c>
      <c r="C75" s="294">
        <v>6</v>
      </c>
      <c r="D75" s="294">
        <v>5</v>
      </c>
      <c r="E75" s="294">
        <v>1</v>
      </c>
      <c r="F75" s="294">
        <v>0</v>
      </c>
      <c r="G75" s="294">
        <v>5</v>
      </c>
      <c r="H75" s="294">
        <v>4</v>
      </c>
      <c r="I75" s="294">
        <v>1</v>
      </c>
      <c r="J75" s="294">
        <v>0</v>
      </c>
      <c r="K75" s="294">
        <v>1</v>
      </c>
      <c r="L75" s="294">
        <v>1</v>
      </c>
      <c r="M75" s="294">
        <v>0</v>
      </c>
      <c r="N75" s="294">
        <v>0</v>
      </c>
      <c r="O75" s="294">
        <v>0</v>
      </c>
      <c r="P75" s="294">
        <v>0</v>
      </c>
    </row>
    <row r="76" spans="1:16">
      <c r="B76" s="290" t="s">
        <v>64</v>
      </c>
      <c r="C76" s="294">
        <v>5</v>
      </c>
      <c r="D76" s="294">
        <v>5</v>
      </c>
      <c r="E76" s="294">
        <v>0</v>
      </c>
      <c r="F76" s="294">
        <v>0</v>
      </c>
      <c r="G76" s="294">
        <v>3</v>
      </c>
      <c r="H76" s="294">
        <v>3</v>
      </c>
      <c r="I76" s="294">
        <v>0</v>
      </c>
      <c r="J76" s="294">
        <v>0</v>
      </c>
      <c r="K76" s="294">
        <v>2</v>
      </c>
      <c r="L76" s="294">
        <v>2</v>
      </c>
      <c r="M76" s="294">
        <v>0</v>
      </c>
      <c r="N76" s="294">
        <v>0</v>
      </c>
      <c r="O76" s="294">
        <v>0</v>
      </c>
      <c r="P76" s="294">
        <v>0</v>
      </c>
    </row>
    <row r="77" spans="1:16">
      <c r="B77" s="290" t="s">
        <v>65</v>
      </c>
      <c r="C77" s="294">
        <v>5</v>
      </c>
      <c r="D77" s="294">
        <v>2</v>
      </c>
      <c r="E77" s="294">
        <v>3</v>
      </c>
      <c r="F77" s="294">
        <v>0</v>
      </c>
      <c r="G77" s="294">
        <v>4</v>
      </c>
      <c r="H77" s="294">
        <v>2</v>
      </c>
      <c r="I77" s="294">
        <v>2</v>
      </c>
      <c r="J77" s="294">
        <v>0</v>
      </c>
      <c r="K77" s="294">
        <v>1</v>
      </c>
      <c r="L77" s="294">
        <v>0</v>
      </c>
      <c r="M77" s="294">
        <v>1</v>
      </c>
      <c r="N77" s="294">
        <v>0</v>
      </c>
      <c r="O77" s="294">
        <v>0</v>
      </c>
      <c r="P77" s="294">
        <v>0</v>
      </c>
    </row>
    <row r="78" spans="1:16">
      <c r="B78" s="290" t="s">
        <v>66</v>
      </c>
      <c r="C78" s="294">
        <v>7</v>
      </c>
      <c r="D78" s="294">
        <v>4</v>
      </c>
      <c r="E78" s="294">
        <v>3</v>
      </c>
      <c r="F78" s="294">
        <v>0</v>
      </c>
      <c r="G78" s="294">
        <v>5</v>
      </c>
      <c r="H78" s="294">
        <v>2</v>
      </c>
      <c r="I78" s="294">
        <v>3</v>
      </c>
      <c r="J78" s="294">
        <v>0</v>
      </c>
      <c r="K78" s="294">
        <v>2</v>
      </c>
      <c r="L78" s="294">
        <v>2</v>
      </c>
      <c r="M78" s="294">
        <v>0</v>
      </c>
      <c r="N78" s="294">
        <v>0</v>
      </c>
      <c r="O78" s="294">
        <v>0</v>
      </c>
      <c r="P78" s="294">
        <v>0</v>
      </c>
    </row>
    <row r="79" spans="1:16">
      <c r="B79" s="290" t="s">
        <v>67</v>
      </c>
      <c r="C79" s="294">
        <v>5</v>
      </c>
      <c r="D79" s="294">
        <v>4</v>
      </c>
      <c r="E79" s="294">
        <v>1</v>
      </c>
      <c r="F79" s="294">
        <v>0</v>
      </c>
      <c r="G79" s="294">
        <v>4</v>
      </c>
      <c r="H79" s="294">
        <v>3</v>
      </c>
      <c r="I79" s="294">
        <v>1</v>
      </c>
      <c r="J79" s="294">
        <v>0</v>
      </c>
      <c r="K79" s="294">
        <v>1</v>
      </c>
      <c r="L79" s="294">
        <v>1</v>
      </c>
      <c r="M79" s="294">
        <v>0</v>
      </c>
      <c r="N79" s="294">
        <v>0</v>
      </c>
      <c r="O79" s="294">
        <v>0</v>
      </c>
      <c r="P79" s="294">
        <v>0</v>
      </c>
    </row>
    <row r="80" spans="1:16">
      <c r="B80" s="290" t="s">
        <v>68</v>
      </c>
      <c r="C80" s="294">
        <v>6</v>
      </c>
      <c r="D80" s="294">
        <v>5</v>
      </c>
      <c r="E80" s="294">
        <v>1</v>
      </c>
      <c r="F80" s="294">
        <v>0</v>
      </c>
      <c r="G80" s="294">
        <v>4</v>
      </c>
      <c r="H80" s="294">
        <v>3</v>
      </c>
      <c r="I80" s="294">
        <v>1</v>
      </c>
      <c r="J80" s="294">
        <v>0</v>
      </c>
      <c r="K80" s="294">
        <v>2</v>
      </c>
      <c r="L80" s="294">
        <v>2</v>
      </c>
      <c r="M80" s="294">
        <v>0</v>
      </c>
      <c r="N80" s="294">
        <v>0</v>
      </c>
      <c r="O80" s="294">
        <v>0</v>
      </c>
      <c r="P80" s="294">
        <v>0</v>
      </c>
    </row>
    <row r="81" spans="1:16">
      <c r="B81" s="290" t="s">
        <v>69</v>
      </c>
      <c r="C81" s="294">
        <v>6</v>
      </c>
      <c r="D81" s="294">
        <v>4</v>
      </c>
      <c r="E81" s="294">
        <v>2</v>
      </c>
      <c r="F81" s="294">
        <v>0</v>
      </c>
      <c r="G81" s="294">
        <v>5</v>
      </c>
      <c r="H81" s="294">
        <v>4</v>
      </c>
      <c r="I81" s="294">
        <v>1</v>
      </c>
      <c r="J81" s="294">
        <v>0</v>
      </c>
      <c r="K81" s="294">
        <v>1</v>
      </c>
      <c r="L81" s="294">
        <v>0</v>
      </c>
      <c r="M81" s="294">
        <v>1</v>
      </c>
      <c r="N81" s="294">
        <v>0</v>
      </c>
      <c r="O81" s="294">
        <v>0</v>
      </c>
      <c r="P81" s="294">
        <v>0</v>
      </c>
    </row>
    <row r="82" spans="1:16">
      <c r="B82" s="290" t="s">
        <v>262</v>
      </c>
      <c r="C82" s="294">
        <v>13</v>
      </c>
      <c r="D82" s="294">
        <v>9</v>
      </c>
      <c r="E82" s="294">
        <v>4</v>
      </c>
      <c r="F82" s="294">
        <v>0</v>
      </c>
      <c r="G82" s="294">
        <v>8</v>
      </c>
      <c r="H82" s="294">
        <v>6</v>
      </c>
      <c r="I82" s="294">
        <v>2</v>
      </c>
      <c r="J82" s="294">
        <v>0</v>
      </c>
      <c r="K82" s="294">
        <v>5</v>
      </c>
      <c r="L82" s="294">
        <v>3</v>
      </c>
      <c r="M82" s="294">
        <v>2</v>
      </c>
      <c r="N82" s="294">
        <v>0</v>
      </c>
      <c r="O82" s="294">
        <v>0</v>
      </c>
      <c r="P82" s="294">
        <v>0</v>
      </c>
    </row>
    <row r="83" spans="1:16">
      <c r="B83" s="290" t="s">
        <v>263</v>
      </c>
      <c r="C83" s="294">
        <v>15</v>
      </c>
      <c r="D83" s="294">
        <v>8</v>
      </c>
      <c r="E83" s="294">
        <v>7</v>
      </c>
      <c r="F83" s="294">
        <v>0</v>
      </c>
      <c r="G83" s="294">
        <v>11</v>
      </c>
      <c r="H83" s="294">
        <v>6</v>
      </c>
      <c r="I83" s="294">
        <v>5</v>
      </c>
      <c r="J83" s="294">
        <v>0</v>
      </c>
      <c r="K83" s="294">
        <v>4</v>
      </c>
      <c r="L83" s="294">
        <v>2</v>
      </c>
      <c r="M83" s="294">
        <v>2</v>
      </c>
      <c r="N83" s="294">
        <v>0</v>
      </c>
      <c r="O83" s="294">
        <v>0</v>
      </c>
      <c r="P83" s="294">
        <v>0</v>
      </c>
    </row>
    <row r="84" spans="1:16">
      <c r="B84" s="290" t="s">
        <v>264</v>
      </c>
      <c r="C84" s="294">
        <v>15</v>
      </c>
      <c r="D84" s="294">
        <v>12</v>
      </c>
      <c r="E84" s="294">
        <v>3</v>
      </c>
      <c r="F84" s="294">
        <v>0</v>
      </c>
      <c r="G84" s="294">
        <v>11</v>
      </c>
      <c r="H84" s="294">
        <v>8</v>
      </c>
      <c r="I84" s="294">
        <v>3</v>
      </c>
      <c r="J84" s="294">
        <v>0</v>
      </c>
      <c r="K84" s="294">
        <v>4</v>
      </c>
      <c r="L84" s="294">
        <v>4</v>
      </c>
      <c r="M84" s="294">
        <v>0</v>
      </c>
      <c r="N84" s="294">
        <v>0</v>
      </c>
      <c r="O84" s="294">
        <v>0</v>
      </c>
      <c r="P84" s="294">
        <v>0</v>
      </c>
    </row>
    <row r="85" spans="1:16">
      <c r="B85" s="290" t="s">
        <v>265</v>
      </c>
      <c r="C85" s="294">
        <v>14</v>
      </c>
      <c r="D85" s="294">
        <v>7</v>
      </c>
      <c r="E85" s="294">
        <v>7</v>
      </c>
      <c r="F85" s="294">
        <v>0</v>
      </c>
      <c r="G85" s="294">
        <v>7</v>
      </c>
      <c r="H85" s="294">
        <v>3</v>
      </c>
      <c r="I85" s="294">
        <v>4</v>
      </c>
      <c r="J85" s="294">
        <v>0</v>
      </c>
      <c r="K85" s="294">
        <v>7</v>
      </c>
      <c r="L85" s="294">
        <v>4</v>
      </c>
      <c r="M85" s="294">
        <v>3</v>
      </c>
      <c r="N85" s="294">
        <v>0</v>
      </c>
      <c r="O85" s="294">
        <v>0</v>
      </c>
      <c r="P85" s="294">
        <v>0</v>
      </c>
    </row>
    <row r="86" spans="1:16">
      <c r="B86" s="290" t="s">
        <v>266</v>
      </c>
      <c r="C86" s="294">
        <v>130</v>
      </c>
      <c r="D86" s="294">
        <v>76</v>
      </c>
      <c r="E86" s="294">
        <v>54</v>
      </c>
      <c r="F86" s="294">
        <v>0</v>
      </c>
      <c r="G86" s="294">
        <v>105</v>
      </c>
      <c r="H86" s="294">
        <v>59</v>
      </c>
      <c r="I86" s="294">
        <v>46</v>
      </c>
      <c r="J86" s="294">
        <v>0</v>
      </c>
      <c r="K86" s="294">
        <v>25</v>
      </c>
      <c r="L86" s="294">
        <v>17</v>
      </c>
      <c r="M86" s="294">
        <v>8</v>
      </c>
      <c r="N86" s="294">
        <v>0</v>
      </c>
      <c r="O86" s="294">
        <v>0</v>
      </c>
      <c r="P86" s="294">
        <v>0</v>
      </c>
    </row>
    <row r="87" spans="1:16">
      <c r="B87" s="290" t="s">
        <v>504</v>
      </c>
      <c r="C87" s="294">
        <v>9</v>
      </c>
      <c r="D87" s="294">
        <v>6</v>
      </c>
      <c r="E87" s="294">
        <v>3</v>
      </c>
      <c r="F87" s="294">
        <v>0</v>
      </c>
      <c r="G87" s="294">
        <v>3</v>
      </c>
      <c r="H87" s="294">
        <v>1</v>
      </c>
      <c r="I87" s="294">
        <v>2</v>
      </c>
      <c r="J87" s="294">
        <v>0</v>
      </c>
      <c r="K87" s="294">
        <v>6</v>
      </c>
      <c r="L87" s="294">
        <v>5</v>
      </c>
      <c r="M87" s="294">
        <v>1</v>
      </c>
      <c r="N87" s="294">
        <v>0</v>
      </c>
      <c r="O87" s="294">
        <v>0</v>
      </c>
      <c r="P87" s="294">
        <v>0</v>
      </c>
    </row>
    <row r="88" spans="1:16" ht="5.0999999999999996" customHeight="1"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</row>
    <row r="89" spans="1:16" s="292" customFormat="1">
      <c r="A89" s="292" t="s">
        <v>79</v>
      </c>
      <c r="C89" s="293">
        <v>527</v>
      </c>
      <c r="D89" s="293">
        <v>315</v>
      </c>
      <c r="E89" s="293">
        <v>212</v>
      </c>
      <c r="F89" s="293">
        <v>0</v>
      </c>
      <c r="G89" s="293">
        <v>350</v>
      </c>
      <c r="H89" s="293">
        <v>204</v>
      </c>
      <c r="I89" s="293">
        <v>146</v>
      </c>
      <c r="J89" s="293">
        <v>0</v>
      </c>
      <c r="K89" s="293">
        <v>177</v>
      </c>
      <c r="L89" s="293">
        <v>111</v>
      </c>
      <c r="M89" s="293">
        <v>66</v>
      </c>
      <c r="N89" s="293">
        <v>0</v>
      </c>
      <c r="O89" s="293">
        <v>0</v>
      </c>
      <c r="P89" s="293">
        <v>0</v>
      </c>
    </row>
    <row r="90" spans="1:16" ht="5.0999999999999996" customHeight="1"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</row>
    <row r="91" spans="1:16">
      <c r="B91" s="290" t="s">
        <v>503</v>
      </c>
      <c r="C91" s="294">
        <v>10</v>
      </c>
      <c r="D91" s="294">
        <v>1</v>
      </c>
      <c r="E91" s="294">
        <v>9</v>
      </c>
      <c r="F91" s="294">
        <v>0</v>
      </c>
      <c r="G91" s="294">
        <v>10</v>
      </c>
      <c r="H91" s="294">
        <v>1</v>
      </c>
      <c r="I91" s="294">
        <v>9</v>
      </c>
      <c r="J91" s="294">
        <v>0</v>
      </c>
      <c r="K91" s="294">
        <v>0</v>
      </c>
      <c r="L91" s="294">
        <v>0</v>
      </c>
      <c r="M91" s="294">
        <v>0</v>
      </c>
      <c r="N91" s="294">
        <v>0</v>
      </c>
      <c r="O91" s="294">
        <v>0</v>
      </c>
      <c r="P91" s="294">
        <v>0</v>
      </c>
    </row>
    <row r="92" spans="1:16">
      <c r="B92" s="290" t="s">
        <v>259</v>
      </c>
      <c r="C92" s="294">
        <v>1</v>
      </c>
      <c r="D92" s="294">
        <v>1</v>
      </c>
      <c r="E92" s="294">
        <v>0</v>
      </c>
      <c r="F92" s="294">
        <v>0</v>
      </c>
      <c r="G92" s="294">
        <v>1</v>
      </c>
      <c r="H92" s="294">
        <v>1</v>
      </c>
      <c r="I92" s="294">
        <v>0</v>
      </c>
      <c r="J92" s="294">
        <v>0</v>
      </c>
      <c r="K92" s="294">
        <v>0</v>
      </c>
      <c r="L92" s="294">
        <v>0</v>
      </c>
      <c r="M92" s="294">
        <v>0</v>
      </c>
      <c r="N92" s="294">
        <v>0</v>
      </c>
      <c r="O92" s="294">
        <v>0</v>
      </c>
      <c r="P92" s="294">
        <v>0</v>
      </c>
    </row>
    <row r="93" spans="1:16">
      <c r="B93" s="290" t="s">
        <v>260</v>
      </c>
      <c r="C93" s="294">
        <v>2</v>
      </c>
      <c r="D93" s="294">
        <v>0</v>
      </c>
      <c r="E93" s="294">
        <v>2</v>
      </c>
      <c r="F93" s="294">
        <v>0</v>
      </c>
      <c r="G93" s="294">
        <v>2</v>
      </c>
      <c r="H93" s="294">
        <v>0</v>
      </c>
      <c r="I93" s="294">
        <v>2</v>
      </c>
      <c r="J93" s="294">
        <v>0</v>
      </c>
      <c r="K93" s="294">
        <v>0</v>
      </c>
      <c r="L93" s="294">
        <v>0</v>
      </c>
      <c r="M93" s="294">
        <v>0</v>
      </c>
      <c r="N93" s="294">
        <v>0</v>
      </c>
      <c r="O93" s="294">
        <v>0</v>
      </c>
      <c r="P93" s="294">
        <v>0</v>
      </c>
    </row>
    <row r="94" spans="1:16">
      <c r="B94" s="290" t="s">
        <v>261</v>
      </c>
      <c r="C94" s="294">
        <v>3</v>
      </c>
      <c r="D94" s="294">
        <v>2</v>
      </c>
      <c r="E94" s="294">
        <v>1</v>
      </c>
      <c r="F94" s="294">
        <v>0</v>
      </c>
      <c r="G94" s="294">
        <v>2</v>
      </c>
      <c r="H94" s="294">
        <v>2</v>
      </c>
      <c r="I94" s="294">
        <v>0</v>
      </c>
      <c r="J94" s="294">
        <v>0</v>
      </c>
      <c r="K94" s="294">
        <v>1</v>
      </c>
      <c r="L94" s="294">
        <v>0</v>
      </c>
      <c r="M94" s="294">
        <v>1</v>
      </c>
      <c r="N94" s="294">
        <v>0</v>
      </c>
      <c r="O94" s="294">
        <v>0</v>
      </c>
      <c r="P94" s="294">
        <v>0</v>
      </c>
    </row>
    <row r="95" spans="1:16">
      <c r="B95" s="290" t="s">
        <v>63</v>
      </c>
      <c r="C95" s="294">
        <v>9</v>
      </c>
      <c r="D95" s="294">
        <v>5</v>
      </c>
      <c r="E95" s="294">
        <v>4</v>
      </c>
      <c r="F95" s="294">
        <v>0</v>
      </c>
      <c r="G95" s="294">
        <v>3</v>
      </c>
      <c r="H95" s="294">
        <v>2</v>
      </c>
      <c r="I95" s="294">
        <v>1</v>
      </c>
      <c r="J95" s="294">
        <v>0</v>
      </c>
      <c r="K95" s="294">
        <v>6</v>
      </c>
      <c r="L95" s="294">
        <v>3</v>
      </c>
      <c r="M95" s="294">
        <v>3</v>
      </c>
      <c r="N95" s="294">
        <v>0</v>
      </c>
      <c r="O95" s="294">
        <v>0</v>
      </c>
      <c r="P95" s="294">
        <v>0</v>
      </c>
    </row>
    <row r="96" spans="1:16">
      <c r="B96" s="290" t="s">
        <v>64</v>
      </c>
      <c r="C96" s="294">
        <v>18</v>
      </c>
      <c r="D96" s="294">
        <v>14</v>
      </c>
      <c r="E96" s="294">
        <v>4</v>
      </c>
      <c r="F96" s="294">
        <v>0</v>
      </c>
      <c r="G96" s="294">
        <v>14</v>
      </c>
      <c r="H96" s="294">
        <v>10</v>
      </c>
      <c r="I96" s="294">
        <v>4</v>
      </c>
      <c r="J96" s="294">
        <v>0</v>
      </c>
      <c r="K96" s="294">
        <v>4</v>
      </c>
      <c r="L96" s="294">
        <v>4</v>
      </c>
      <c r="M96" s="294">
        <v>0</v>
      </c>
      <c r="N96" s="294">
        <v>0</v>
      </c>
      <c r="O96" s="294">
        <v>0</v>
      </c>
      <c r="P96" s="294">
        <v>0</v>
      </c>
    </row>
    <row r="97" spans="1:16">
      <c r="B97" s="290" t="s">
        <v>65</v>
      </c>
      <c r="C97" s="294">
        <v>15</v>
      </c>
      <c r="D97" s="294">
        <v>12</v>
      </c>
      <c r="E97" s="294">
        <v>3</v>
      </c>
      <c r="F97" s="294">
        <v>0</v>
      </c>
      <c r="G97" s="294">
        <v>12</v>
      </c>
      <c r="H97" s="294">
        <v>10</v>
      </c>
      <c r="I97" s="294">
        <v>2</v>
      </c>
      <c r="J97" s="294">
        <v>0</v>
      </c>
      <c r="K97" s="294">
        <v>3</v>
      </c>
      <c r="L97" s="294">
        <v>2</v>
      </c>
      <c r="M97" s="294">
        <v>1</v>
      </c>
      <c r="N97" s="294">
        <v>0</v>
      </c>
      <c r="O97" s="294">
        <v>0</v>
      </c>
      <c r="P97" s="294">
        <v>0</v>
      </c>
    </row>
    <row r="98" spans="1:16">
      <c r="B98" s="290" t="s">
        <v>66</v>
      </c>
      <c r="C98" s="294">
        <v>15</v>
      </c>
      <c r="D98" s="294">
        <v>12</v>
      </c>
      <c r="E98" s="294">
        <v>3</v>
      </c>
      <c r="F98" s="294">
        <v>0</v>
      </c>
      <c r="G98" s="294">
        <v>7</v>
      </c>
      <c r="H98" s="294">
        <v>5</v>
      </c>
      <c r="I98" s="294">
        <v>2</v>
      </c>
      <c r="J98" s="294">
        <v>0</v>
      </c>
      <c r="K98" s="294">
        <v>8</v>
      </c>
      <c r="L98" s="294">
        <v>7</v>
      </c>
      <c r="M98" s="294">
        <v>1</v>
      </c>
      <c r="N98" s="294">
        <v>0</v>
      </c>
      <c r="O98" s="294">
        <v>0</v>
      </c>
      <c r="P98" s="294">
        <v>0</v>
      </c>
    </row>
    <row r="99" spans="1:16">
      <c r="B99" s="290" t="s">
        <v>67</v>
      </c>
      <c r="C99" s="294">
        <v>18</v>
      </c>
      <c r="D99" s="294">
        <v>11</v>
      </c>
      <c r="E99" s="294">
        <v>7</v>
      </c>
      <c r="F99" s="294">
        <v>0</v>
      </c>
      <c r="G99" s="294">
        <v>15</v>
      </c>
      <c r="H99" s="294">
        <v>9</v>
      </c>
      <c r="I99" s="294">
        <v>6</v>
      </c>
      <c r="J99" s="294">
        <v>0</v>
      </c>
      <c r="K99" s="294">
        <v>3</v>
      </c>
      <c r="L99" s="294">
        <v>2</v>
      </c>
      <c r="M99" s="294">
        <v>1</v>
      </c>
      <c r="N99" s="294">
        <v>0</v>
      </c>
      <c r="O99" s="294">
        <v>0</v>
      </c>
      <c r="P99" s="294">
        <v>0</v>
      </c>
    </row>
    <row r="100" spans="1:16">
      <c r="B100" s="290" t="s">
        <v>68</v>
      </c>
      <c r="C100" s="294">
        <v>19</v>
      </c>
      <c r="D100" s="294">
        <v>12</v>
      </c>
      <c r="E100" s="294">
        <v>7</v>
      </c>
      <c r="F100" s="294">
        <v>0</v>
      </c>
      <c r="G100" s="294">
        <v>12</v>
      </c>
      <c r="H100" s="294">
        <v>6</v>
      </c>
      <c r="I100" s="294">
        <v>6</v>
      </c>
      <c r="J100" s="294">
        <v>0</v>
      </c>
      <c r="K100" s="294">
        <v>7</v>
      </c>
      <c r="L100" s="294">
        <v>6</v>
      </c>
      <c r="M100" s="294">
        <v>1</v>
      </c>
      <c r="N100" s="294">
        <v>0</v>
      </c>
      <c r="O100" s="294">
        <v>0</v>
      </c>
      <c r="P100" s="294">
        <v>0</v>
      </c>
    </row>
    <row r="101" spans="1:16">
      <c r="B101" s="290" t="s">
        <v>69</v>
      </c>
      <c r="C101" s="294">
        <v>8</v>
      </c>
      <c r="D101" s="294">
        <v>4</v>
      </c>
      <c r="E101" s="294">
        <v>4</v>
      </c>
      <c r="F101" s="294">
        <v>0</v>
      </c>
      <c r="G101" s="294">
        <v>6</v>
      </c>
      <c r="H101" s="294">
        <v>4</v>
      </c>
      <c r="I101" s="294">
        <v>2</v>
      </c>
      <c r="J101" s="294">
        <v>0</v>
      </c>
      <c r="K101" s="294">
        <v>2</v>
      </c>
      <c r="L101" s="294">
        <v>0</v>
      </c>
      <c r="M101" s="294">
        <v>2</v>
      </c>
      <c r="N101" s="294">
        <v>0</v>
      </c>
      <c r="O101" s="294">
        <v>0</v>
      </c>
      <c r="P101" s="294">
        <v>0</v>
      </c>
    </row>
    <row r="102" spans="1:16">
      <c r="B102" s="290" t="s">
        <v>262</v>
      </c>
      <c r="C102" s="294">
        <v>21</v>
      </c>
      <c r="D102" s="294">
        <v>14</v>
      </c>
      <c r="E102" s="294">
        <v>7</v>
      </c>
      <c r="F102" s="294">
        <v>0</v>
      </c>
      <c r="G102" s="294">
        <v>14</v>
      </c>
      <c r="H102" s="294">
        <v>9</v>
      </c>
      <c r="I102" s="294">
        <v>5</v>
      </c>
      <c r="J102" s="294">
        <v>0</v>
      </c>
      <c r="K102" s="294">
        <v>7</v>
      </c>
      <c r="L102" s="294">
        <v>5</v>
      </c>
      <c r="M102" s="294">
        <v>2</v>
      </c>
      <c r="N102" s="294">
        <v>0</v>
      </c>
      <c r="O102" s="294">
        <v>0</v>
      </c>
      <c r="P102" s="294">
        <v>0</v>
      </c>
    </row>
    <row r="103" spans="1:16">
      <c r="B103" s="290" t="s">
        <v>263</v>
      </c>
      <c r="C103" s="294">
        <v>28</v>
      </c>
      <c r="D103" s="294">
        <v>20</v>
      </c>
      <c r="E103" s="294">
        <v>8</v>
      </c>
      <c r="F103" s="294">
        <v>0</v>
      </c>
      <c r="G103" s="294">
        <v>19</v>
      </c>
      <c r="H103" s="294">
        <v>13</v>
      </c>
      <c r="I103" s="294">
        <v>6</v>
      </c>
      <c r="J103" s="294">
        <v>0</v>
      </c>
      <c r="K103" s="294">
        <v>9</v>
      </c>
      <c r="L103" s="294">
        <v>7</v>
      </c>
      <c r="M103" s="294">
        <v>2</v>
      </c>
      <c r="N103" s="294">
        <v>0</v>
      </c>
      <c r="O103" s="294">
        <v>0</v>
      </c>
      <c r="P103" s="294">
        <v>0</v>
      </c>
    </row>
    <row r="104" spans="1:16">
      <c r="B104" s="290" t="s">
        <v>264</v>
      </c>
      <c r="C104" s="294">
        <v>35</v>
      </c>
      <c r="D104" s="294">
        <v>26</v>
      </c>
      <c r="E104" s="294">
        <v>9</v>
      </c>
      <c r="F104" s="294">
        <v>0</v>
      </c>
      <c r="G104" s="294">
        <v>24</v>
      </c>
      <c r="H104" s="294">
        <v>16</v>
      </c>
      <c r="I104" s="294">
        <v>8</v>
      </c>
      <c r="J104" s="294">
        <v>0</v>
      </c>
      <c r="K104" s="294">
        <v>11</v>
      </c>
      <c r="L104" s="294">
        <v>10</v>
      </c>
      <c r="M104" s="294">
        <v>1</v>
      </c>
      <c r="N104" s="294">
        <v>0</v>
      </c>
      <c r="O104" s="294">
        <v>0</v>
      </c>
      <c r="P104" s="294">
        <v>0</v>
      </c>
    </row>
    <row r="105" spans="1:16">
      <c r="B105" s="290" t="s">
        <v>265</v>
      </c>
      <c r="C105" s="294">
        <v>49</v>
      </c>
      <c r="D105" s="294">
        <v>27</v>
      </c>
      <c r="E105" s="294">
        <v>22</v>
      </c>
      <c r="F105" s="294">
        <v>0</v>
      </c>
      <c r="G105" s="294">
        <v>35</v>
      </c>
      <c r="H105" s="294">
        <v>18</v>
      </c>
      <c r="I105" s="294">
        <v>17</v>
      </c>
      <c r="J105" s="294">
        <v>0</v>
      </c>
      <c r="K105" s="294">
        <v>14</v>
      </c>
      <c r="L105" s="294">
        <v>9</v>
      </c>
      <c r="M105" s="294">
        <v>5</v>
      </c>
      <c r="N105" s="294">
        <v>0</v>
      </c>
      <c r="O105" s="294">
        <v>0</v>
      </c>
      <c r="P105" s="294">
        <v>0</v>
      </c>
    </row>
    <row r="106" spans="1:16">
      <c r="B106" s="290" t="s">
        <v>266</v>
      </c>
      <c r="C106" s="294">
        <v>273</v>
      </c>
      <c r="D106" s="294">
        <v>153</v>
      </c>
      <c r="E106" s="294">
        <v>120</v>
      </c>
      <c r="F106" s="294">
        <v>0</v>
      </c>
      <c r="G106" s="294">
        <v>171</v>
      </c>
      <c r="H106" s="294">
        <v>97</v>
      </c>
      <c r="I106" s="294">
        <v>74</v>
      </c>
      <c r="J106" s="294">
        <v>0</v>
      </c>
      <c r="K106" s="294">
        <v>102</v>
      </c>
      <c r="L106" s="294">
        <v>56</v>
      </c>
      <c r="M106" s="294">
        <v>46</v>
      </c>
      <c r="N106" s="294">
        <v>0</v>
      </c>
      <c r="O106" s="294">
        <v>0</v>
      </c>
      <c r="P106" s="294">
        <v>0</v>
      </c>
    </row>
    <row r="107" spans="1:16">
      <c r="B107" s="290" t="s">
        <v>504</v>
      </c>
      <c r="C107" s="294">
        <v>3</v>
      </c>
      <c r="D107" s="294">
        <v>1</v>
      </c>
      <c r="E107" s="294">
        <v>2</v>
      </c>
      <c r="F107" s="294">
        <v>0</v>
      </c>
      <c r="G107" s="294">
        <v>3</v>
      </c>
      <c r="H107" s="294">
        <v>1</v>
      </c>
      <c r="I107" s="294">
        <v>2</v>
      </c>
      <c r="J107" s="294">
        <v>0</v>
      </c>
      <c r="K107" s="294">
        <v>0</v>
      </c>
      <c r="L107" s="294">
        <v>0</v>
      </c>
      <c r="M107" s="294">
        <v>0</v>
      </c>
      <c r="N107" s="294">
        <v>0</v>
      </c>
      <c r="O107" s="294">
        <v>0</v>
      </c>
      <c r="P107" s="294">
        <v>0</v>
      </c>
    </row>
    <row r="108" spans="1:16" ht="5.0999999999999996" customHeight="1">
      <c r="C108" s="294"/>
      <c r="D108" s="294"/>
      <c r="E108" s="294"/>
      <c r="F108" s="294"/>
      <c r="G108" s="294"/>
      <c r="H108" s="294"/>
      <c r="I108" s="294"/>
      <c r="J108" s="294"/>
      <c r="K108" s="294"/>
      <c r="L108" s="294"/>
      <c r="M108" s="294"/>
      <c r="N108" s="294"/>
      <c r="O108" s="294"/>
      <c r="P108" s="294"/>
    </row>
    <row r="109" spans="1:16" s="292" customFormat="1">
      <c r="A109" s="292" t="s">
        <v>80</v>
      </c>
      <c r="C109" s="293">
        <v>192</v>
      </c>
      <c r="D109" s="293">
        <v>116</v>
      </c>
      <c r="E109" s="293">
        <v>76</v>
      </c>
      <c r="F109" s="293">
        <v>0</v>
      </c>
      <c r="G109" s="293">
        <v>136</v>
      </c>
      <c r="H109" s="293">
        <v>79</v>
      </c>
      <c r="I109" s="293">
        <v>57</v>
      </c>
      <c r="J109" s="293">
        <v>0</v>
      </c>
      <c r="K109" s="293">
        <v>56</v>
      </c>
      <c r="L109" s="293">
        <v>37</v>
      </c>
      <c r="M109" s="293">
        <v>19</v>
      </c>
      <c r="N109" s="293">
        <v>0</v>
      </c>
      <c r="O109" s="293">
        <v>0</v>
      </c>
      <c r="P109" s="293">
        <v>0</v>
      </c>
    </row>
    <row r="110" spans="1:16" ht="5.0999999999999996" customHeight="1">
      <c r="C110" s="294"/>
      <c r="D110" s="294"/>
      <c r="E110" s="294"/>
      <c r="F110" s="294"/>
      <c r="G110" s="294"/>
      <c r="H110" s="294"/>
      <c r="I110" s="294"/>
      <c r="J110" s="294"/>
      <c r="K110" s="294"/>
      <c r="L110" s="294"/>
      <c r="M110" s="294"/>
      <c r="N110" s="294"/>
      <c r="O110" s="294"/>
      <c r="P110" s="294"/>
    </row>
    <row r="111" spans="1:16">
      <c r="B111" s="290" t="s">
        <v>503</v>
      </c>
      <c r="C111" s="294">
        <v>1</v>
      </c>
      <c r="D111" s="294">
        <v>1</v>
      </c>
      <c r="E111" s="294">
        <v>0</v>
      </c>
      <c r="F111" s="294">
        <v>0</v>
      </c>
      <c r="G111" s="294">
        <v>0</v>
      </c>
      <c r="H111" s="294">
        <v>0</v>
      </c>
      <c r="I111" s="294">
        <v>0</v>
      </c>
      <c r="J111" s="294">
        <v>0</v>
      </c>
      <c r="K111" s="294">
        <v>1</v>
      </c>
      <c r="L111" s="294">
        <v>1</v>
      </c>
      <c r="M111" s="294">
        <v>0</v>
      </c>
      <c r="N111" s="294">
        <v>0</v>
      </c>
      <c r="O111" s="294">
        <v>0</v>
      </c>
      <c r="P111" s="294">
        <v>0</v>
      </c>
    </row>
    <row r="112" spans="1:16">
      <c r="B112" s="290" t="s">
        <v>261</v>
      </c>
      <c r="C112" s="294">
        <v>1</v>
      </c>
      <c r="D112" s="294">
        <v>0</v>
      </c>
      <c r="E112" s="294">
        <v>1</v>
      </c>
      <c r="F112" s="294">
        <v>0</v>
      </c>
      <c r="G112" s="294">
        <v>0</v>
      </c>
      <c r="H112" s="294">
        <v>0</v>
      </c>
      <c r="I112" s="294">
        <v>0</v>
      </c>
      <c r="J112" s="294">
        <v>0</v>
      </c>
      <c r="K112" s="294">
        <v>1</v>
      </c>
      <c r="L112" s="294">
        <v>0</v>
      </c>
      <c r="M112" s="294">
        <v>1</v>
      </c>
      <c r="N112" s="294">
        <v>0</v>
      </c>
      <c r="O112" s="294">
        <v>0</v>
      </c>
      <c r="P112" s="294">
        <v>0</v>
      </c>
    </row>
    <row r="113" spans="1:16">
      <c r="B113" s="290" t="s">
        <v>63</v>
      </c>
      <c r="C113" s="294">
        <v>3</v>
      </c>
      <c r="D113" s="294">
        <v>3</v>
      </c>
      <c r="E113" s="294">
        <v>0</v>
      </c>
      <c r="F113" s="294">
        <v>0</v>
      </c>
      <c r="G113" s="294">
        <v>2</v>
      </c>
      <c r="H113" s="294">
        <v>2</v>
      </c>
      <c r="I113" s="294">
        <v>0</v>
      </c>
      <c r="J113" s="294">
        <v>0</v>
      </c>
      <c r="K113" s="294">
        <v>1</v>
      </c>
      <c r="L113" s="294">
        <v>1</v>
      </c>
      <c r="M113" s="294">
        <v>0</v>
      </c>
      <c r="N113" s="294">
        <v>0</v>
      </c>
      <c r="O113" s="294">
        <v>0</v>
      </c>
      <c r="P113" s="294">
        <v>0</v>
      </c>
    </row>
    <row r="114" spans="1:16">
      <c r="B114" s="290" t="s">
        <v>64</v>
      </c>
      <c r="C114" s="294">
        <v>4</v>
      </c>
      <c r="D114" s="294">
        <v>1</v>
      </c>
      <c r="E114" s="294">
        <v>3</v>
      </c>
      <c r="F114" s="294">
        <v>0</v>
      </c>
      <c r="G114" s="294">
        <v>4</v>
      </c>
      <c r="H114" s="294">
        <v>1</v>
      </c>
      <c r="I114" s="294">
        <v>3</v>
      </c>
      <c r="J114" s="294">
        <v>0</v>
      </c>
      <c r="K114" s="294">
        <v>0</v>
      </c>
      <c r="L114" s="294">
        <v>0</v>
      </c>
      <c r="M114" s="294">
        <v>0</v>
      </c>
      <c r="N114" s="294">
        <v>0</v>
      </c>
      <c r="O114" s="294">
        <v>0</v>
      </c>
      <c r="P114" s="294">
        <v>0</v>
      </c>
    </row>
    <row r="115" spans="1:16">
      <c r="B115" s="290" t="s">
        <v>65</v>
      </c>
      <c r="C115" s="294">
        <v>1</v>
      </c>
      <c r="D115" s="294">
        <v>1</v>
      </c>
      <c r="E115" s="294">
        <v>0</v>
      </c>
      <c r="F115" s="294">
        <v>0</v>
      </c>
      <c r="G115" s="294">
        <v>1</v>
      </c>
      <c r="H115" s="294">
        <v>1</v>
      </c>
      <c r="I115" s="294">
        <v>0</v>
      </c>
      <c r="J115" s="294">
        <v>0</v>
      </c>
      <c r="K115" s="294">
        <v>0</v>
      </c>
      <c r="L115" s="294">
        <v>0</v>
      </c>
      <c r="M115" s="294">
        <v>0</v>
      </c>
      <c r="N115" s="294">
        <v>0</v>
      </c>
      <c r="O115" s="294">
        <v>0</v>
      </c>
      <c r="P115" s="294">
        <v>0</v>
      </c>
    </row>
    <row r="116" spans="1:16">
      <c r="B116" s="290" t="s">
        <v>66</v>
      </c>
      <c r="C116" s="294">
        <v>2</v>
      </c>
      <c r="D116" s="294">
        <v>2</v>
      </c>
      <c r="E116" s="294">
        <v>0</v>
      </c>
      <c r="F116" s="294">
        <v>0</v>
      </c>
      <c r="G116" s="294">
        <v>2</v>
      </c>
      <c r="H116" s="294">
        <v>2</v>
      </c>
      <c r="I116" s="294">
        <v>0</v>
      </c>
      <c r="J116" s="294">
        <v>0</v>
      </c>
      <c r="K116" s="294">
        <v>0</v>
      </c>
      <c r="L116" s="294">
        <v>0</v>
      </c>
      <c r="M116" s="294">
        <v>0</v>
      </c>
      <c r="N116" s="294">
        <v>0</v>
      </c>
      <c r="O116" s="294">
        <v>0</v>
      </c>
      <c r="P116" s="294">
        <v>0</v>
      </c>
    </row>
    <row r="117" spans="1:16">
      <c r="B117" s="290" t="s">
        <v>67</v>
      </c>
      <c r="C117" s="294">
        <v>5</v>
      </c>
      <c r="D117" s="294">
        <v>4</v>
      </c>
      <c r="E117" s="294">
        <v>1</v>
      </c>
      <c r="F117" s="294">
        <v>0</v>
      </c>
      <c r="G117" s="294">
        <v>3</v>
      </c>
      <c r="H117" s="294">
        <v>3</v>
      </c>
      <c r="I117" s="294">
        <v>0</v>
      </c>
      <c r="J117" s="294">
        <v>0</v>
      </c>
      <c r="K117" s="294">
        <v>2</v>
      </c>
      <c r="L117" s="294">
        <v>1</v>
      </c>
      <c r="M117" s="294">
        <v>1</v>
      </c>
      <c r="N117" s="294">
        <v>0</v>
      </c>
      <c r="O117" s="294">
        <v>0</v>
      </c>
      <c r="P117" s="294">
        <v>0</v>
      </c>
    </row>
    <row r="118" spans="1:16">
      <c r="B118" s="290" t="s">
        <v>68</v>
      </c>
      <c r="C118" s="294">
        <v>6</v>
      </c>
      <c r="D118" s="294">
        <v>3</v>
      </c>
      <c r="E118" s="294">
        <v>3</v>
      </c>
      <c r="F118" s="294">
        <v>0</v>
      </c>
      <c r="G118" s="294">
        <v>6</v>
      </c>
      <c r="H118" s="294">
        <v>3</v>
      </c>
      <c r="I118" s="294">
        <v>3</v>
      </c>
      <c r="J118" s="294">
        <v>0</v>
      </c>
      <c r="K118" s="294">
        <v>0</v>
      </c>
      <c r="L118" s="294">
        <v>0</v>
      </c>
      <c r="M118" s="294">
        <v>0</v>
      </c>
      <c r="N118" s="294">
        <v>0</v>
      </c>
      <c r="O118" s="294">
        <v>0</v>
      </c>
      <c r="P118" s="294">
        <v>0</v>
      </c>
    </row>
    <row r="119" spans="1:16">
      <c r="B119" s="290" t="s">
        <v>69</v>
      </c>
      <c r="C119" s="294">
        <v>10</v>
      </c>
      <c r="D119" s="294">
        <v>6</v>
      </c>
      <c r="E119" s="294">
        <v>4</v>
      </c>
      <c r="F119" s="294">
        <v>0</v>
      </c>
      <c r="G119" s="294">
        <v>9</v>
      </c>
      <c r="H119" s="294">
        <v>5</v>
      </c>
      <c r="I119" s="294">
        <v>4</v>
      </c>
      <c r="J119" s="294">
        <v>0</v>
      </c>
      <c r="K119" s="294">
        <v>1</v>
      </c>
      <c r="L119" s="294">
        <v>1</v>
      </c>
      <c r="M119" s="294">
        <v>0</v>
      </c>
      <c r="N119" s="294">
        <v>0</v>
      </c>
      <c r="O119" s="294">
        <v>0</v>
      </c>
      <c r="P119" s="294">
        <v>0</v>
      </c>
    </row>
    <row r="120" spans="1:16">
      <c r="B120" s="290" t="s">
        <v>262</v>
      </c>
      <c r="C120" s="294">
        <v>7</v>
      </c>
      <c r="D120" s="294">
        <v>6</v>
      </c>
      <c r="E120" s="294">
        <v>1</v>
      </c>
      <c r="F120" s="294">
        <v>0</v>
      </c>
      <c r="G120" s="294">
        <v>6</v>
      </c>
      <c r="H120" s="294">
        <v>5</v>
      </c>
      <c r="I120" s="294">
        <v>1</v>
      </c>
      <c r="J120" s="294">
        <v>0</v>
      </c>
      <c r="K120" s="294">
        <v>1</v>
      </c>
      <c r="L120" s="294">
        <v>1</v>
      </c>
      <c r="M120" s="294">
        <v>0</v>
      </c>
      <c r="N120" s="294">
        <v>0</v>
      </c>
      <c r="O120" s="294">
        <v>0</v>
      </c>
      <c r="P120" s="294">
        <v>0</v>
      </c>
    </row>
    <row r="121" spans="1:16">
      <c r="B121" s="290" t="s">
        <v>263</v>
      </c>
      <c r="C121" s="294">
        <v>9</v>
      </c>
      <c r="D121" s="294">
        <v>5</v>
      </c>
      <c r="E121" s="294">
        <v>4</v>
      </c>
      <c r="F121" s="294">
        <v>0</v>
      </c>
      <c r="G121" s="294">
        <v>6</v>
      </c>
      <c r="H121" s="294">
        <v>2</v>
      </c>
      <c r="I121" s="294">
        <v>4</v>
      </c>
      <c r="J121" s="294">
        <v>0</v>
      </c>
      <c r="K121" s="294">
        <v>3</v>
      </c>
      <c r="L121" s="294">
        <v>3</v>
      </c>
      <c r="M121" s="294">
        <v>0</v>
      </c>
      <c r="N121" s="294">
        <v>0</v>
      </c>
      <c r="O121" s="294">
        <v>0</v>
      </c>
      <c r="P121" s="294">
        <v>0</v>
      </c>
    </row>
    <row r="122" spans="1:16">
      <c r="B122" s="290" t="s">
        <v>264</v>
      </c>
      <c r="C122" s="294">
        <v>14</v>
      </c>
      <c r="D122" s="294">
        <v>13</v>
      </c>
      <c r="E122" s="294">
        <v>1</v>
      </c>
      <c r="F122" s="294">
        <v>0</v>
      </c>
      <c r="G122" s="294">
        <v>11</v>
      </c>
      <c r="H122" s="294">
        <v>11</v>
      </c>
      <c r="I122" s="294">
        <v>0</v>
      </c>
      <c r="J122" s="294">
        <v>0</v>
      </c>
      <c r="K122" s="294">
        <v>3</v>
      </c>
      <c r="L122" s="294">
        <v>2</v>
      </c>
      <c r="M122" s="294">
        <v>1</v>
      </c>
      <c r="N122" s="294">
        <v>0</v>
      </c>
      <c r="O122" s="294">
        <v>0</v>
      </c>
      <c r="P122" s="294">
        <v>0</v>
      </c>
    </row>
    <row r="123" spans="1:16">
      <c r="B123" s="290" t="s">
        <v>265</v>
      </c>
      <c r="C123" s="294">
        <v>11</v>
      </c>
      <c r="D123" s="294">
        <v>5</v>
      </c>
      <c r="E123" s="294">
        <v>6</v>
      </c>
      <c r="F123" s="294">
        <v>0</v>
      </c>
      <c r="G123" s="294">
        <v>8</v>
      </c>
      <c r="H123" s="294">
        <v>2</v>
      </c>
      <c r="I123" s="294">
        <v>6</v>
      </c>
      <c r="J123" s="294">
        <v>0</v>
      </c>
      <c r="K123" s="294">
        <v>3</v>
      </c>
      <c r="L123" s="294">
        <v>3</v>
      </c>
      <c r="M123" s="294">
        <v>0</v>
      </c>
      <c r="N123" s="294">
        <v>0</v>
      </c>
      <c r="O123" s="294">
        <v>0</v>
      </c>
      <c r="P123" s="294">
        <v>0</v>
      </c>
    </row>
    <row r="124" spans="1:16">
      <c r="B124" s="290" t="s">
        <v>266</v>
      </c>
      <c r="C124" s="294">
        <v>107</v>
      </c>
      <c r="D124" s="294">
        <v>58</v>
      </c>
      <c r="E124" s="294">
        <v>49</v>
      </c>
      <c r="F124" s="294">
        <v>0</v>
      </c>
      <c r="G124" s="294">
        <v>71</v>
      </c>
      <c r="H124" s="294">
        <v>38</v>
      </c>
      <c r="I124" s="294">
        <v>33</v>
      </c>
      <c r="J124" s="294">
        <v>0</v>
      </c>
      <c r="K124" s="294">
        <v>36</v>
      </c>
      <c r="L124" s="294">
        <v>20</v>
      </c>
      <c r="M124" s="294">
        <v>16</v>
      </c>
      <c r="N124" s="294">
        <v>0</v>
      </c>
      <c r="O124" s="294">
        <v>0</v>
      </c>
      <c r="P124" s="294">
        <v>0</v>
      </c>
    </row>
    <row r="125" spans="1:16">
      <c r="B125" s="290" t="s">
        <v>504</v>
      </c>
      <c r="C125" s="294">
        <v>11</v>
      </c>
      <c r="D125" s="294">
        <v>8</v>
      </c>
      <c r="E125" s="294">
        <v>3</v>
      </c>
      <c r="F125" s="294">
        <v>0</v>
      </c>
      <c r="G125" s="294">
        <v>7</v>
      </c>
      <c r="H125" s="294">
        <v>4</v>
      </c>
      <c r="I125" s="294">
        <v>3</v>
      </c>
      <c r="J125" s="294">
        <v>0</v>
      </c>
      <c r="K125" s="294">
        <v>4</v>
      </c>
      <c r="L125" s="294">
        <v>4</v>
      </c>
      <c r="M125" s="294">
        <v>0</v>
      </c>
      <c r="N125" s="294">
        <v>0</v>
      </c>
      <c r="O125" s="294">
        <v>0</v>
      </c>
      <c r="P125" s="294">
        <v>0</v>
      </c>
    </row>
    <row r="126" spans="1:16" ht="5.0999999999999996" customHeight="1">
      <c r="C126" s="294"/>
      <c r="D126" s="294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4"/>
      <c r="P126" s="294"/>
    </row>
    <row r="127" spans="1:16" s="292" customFormat="1">
      <c r="A127" s="292" t="s">
        <v>81</v>
      </c>
      <c r="C127" s="293">
        <v>1638</v>
      </c>
      <c r="D127" s="293">
        <v>982</v>
      </c>
      <c r="E127" s="293">
        <v>656</v>
      </c>
      <c r="F127" s="293">
        <v>0</v>
      </c>
      <c r="G127" s="293">
        <v>1200</v>
      </c>
      <c r="H127" s="293">
        <v>720</v>
      </c>
      <c r="I127" s="293">
        <v>480</v>
      </c>
      <c r="J127" s="293">
        <v>0</v>
      </c>
      <c r="K127" s="293">
        <v>438</v>
      </c>
      <c r="L127" s="293">
        <v>262</v>
      </c>
      <c r="M127" s="293">
        <v>176</v>
      </c>
      <c r="N127" s="293">
        <v>0</v>
      </c>
      <c r="O127" s="293">
        <v>0</v>
      </c>
      <c r="P127" s="293">
        <v>0</v>
      </c>
    </row>
    <row r="128" spans="1:16" ht="5.0999999999999996" customHeight="1">
      <c r="C128" s="294"/>
      <c r="D128" s="294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294"/>
      <c r="P128" s="294"/>
    </row>
    <row r="129" spans="2:16">
      <c r="B129" s="290" t="s">
        <v>503</v>
      </c>
      <c r="C129" s="294">
        <v>92</v>
      </c>
      <c r="D129" s="294">
        <v>60</v>
      </c>
      <c r="E129" s="294">
        <v>32</v>
      </c>
      <c r="F129" s="294">
        <v>0</v>
      </c>
      <c r="G129" s="294">
        <v>89</v>
      </c>
      <c r="H129" s="294">
        <v>58</v>
      </c>
      <c r="I129" s="294">
        <v>31</v>
      </c>
      <c r="J129" s="294">
        <v>0</v>
      </c>
      <c r="K129" s="294">
        <v>3</v>
      </c>
      <c r="L129" s="294">
        <v>2</v>
      </c>
      <c r="M129" s="294">
        <v>1</v>
      </c>
      <c r="N129" s="294">
        <v>0</v>
      </c>
      <c r="O129" s="294">
        <v>0</v>
      </c>
      <c r="P129" s="294">
        <v>0</v>
      </c>
    </row>
    <row r="130" spans="2:16">
      <c r="B130" s="290" t="s">
        <v>259</v>
      </c>
      <c r="C130" s="294">
        <v>9</v>
      </c>
      <c r="D130" s="294">
        <v>7</v>
      </c>
      <c r="E130" s="294">
        <v>2</v>
      </c>
      <c r="F130" s="294">
        <v>0</v>
      </c>
      <c r="G130" s="294">
        <v>8</v>
      </c>
      <c r="H130" s="294">
        <v>6</v>
      </c>
      <c r="I130" s="294">
        <v>2</v>
      </c>
      <c r="J130" s="294">
        <v>0</v>
      </c>
      <c r="K130" s="294">
        <v>1</v>
      </c>
      <c r="L130" s="294">
        <v>1</v>
      </c>
      <c r="M130" s="294">
        <v>0</v>
      </c>
      <c r="N130" s="294">
        <v>0</v>
      </c>
      <c r="O130" s="294">
        <v>0</v>
      </c>
      <c r="P130" s="294">
        <v>0</v>
      </c>
    </row>
    <row r="131" spans="2:16">
      <c r="B131" s="290" t="s">
        <v>260</v>
      </c>
      <c r="C131" s="294">
        <v>6</v>
      </c>
      <c r="D131" s="294">
        <v>2</v>
      </c>
      <c r="E131" s="294">
        <v>4</v>
      </c>
      <c r="F131" s="294">
        <v>0</v>
      </c>
      <c r="G131" s="294">
        <v>4</v>
      </c>
      <c r="H131" s="294">
        <v>2</v>
      </c>
      <c r="I131" s="294">
        <v>2</v>
      </c>
      <c r="J131" s="294">
        <v>0</v>
      </c>
      <c r="K131" s="294">
        <v>2</v>
      </c>
      <c r="L131" s="294">
        <v>0</v>
      </c>
      <c r="M131" s="294">
        <v>2</v>
      </c>
      <c r="N131" s="294">
        <v>0</v>
      </c>
      <c r="O131" s="294">
        <v>0</v>
      </c>
      <c r="P131" s="294">
        <v>0</v>
      </c>
    </row>
    <row r="132" spans="2:16">
      <c r="B132" s="290" t="s">
        <v>261</v>
      </c>
      <c r="C132" s="294">
        <v>8</v>
      </c>
      <c r="D132" s="294">
        <v>6</v>
      </c>
      <c r="E132" s="294">
        <v>2</v>
      </c>
      <c r="F132" s="294">
        <v>0</v>
      </c>
      <c r="G132" s="294">
        <v>6</v>
      </c>
      <c r="H132" s="294">
        <v>5</v>
      </c>
      <c r="I132" s="294">
        <v>1</v>
      </c>
      <c r="J132" s="294">
        <v>0</v>
      </c>
      <c r="K132" s="294">
        <v>2</v>
      </c>
      <c r="L132" s="294">
        <v>1</v>
      </c>
      <c r="M132" s="294">
        <v>1</v>
      </c>
      <c r="N132" s="294">
        <v>0</v>
      </c>
      <c r="O132" s="294">
        <v>0</v>
      </c>
      <c r="P132" s="294">
        <v>0</v>
      </c>
    </row>
    <row r="133" spans="2:16">
      <c r="B133" s="290" t="s">
        <v>63</v>
      </c>
      <c r="C133" s="294">
        <v>30</v>
      </c>
      <c r="D133" s="294">
        <v>20</v>
      </c>
      <c r="E133" s="294">
        <v>10</v>
      </c>
      <c r="F133" s="294">
        <v>0</v>
      </c>
      <c r="G133" s="294">
        <v>21</v>
      </c>
      <c r="H133" s="294">
        <v>14</v>
      </c>
      <c r="I133" s="294">
        <v>7</v>
      </c>
      <c r="J133" s="294">
        <v>0</v>
      </c>
      <c r="K133" s="294">
        <v>9</v>
      </c>
      <c r="L133" s="294">
        <v>6</v>
      </c>
      <c r="M133" s="294">
        <v>3</v>
      </c>
      <c r="N133" s="294">
        <v>0</v>
      </c>
      <c r="O133" s="294">
        <v>0</v>
      </c>
      <c r="P133" s="294">
        <v>0</v>
      </c>
    </row>
    <row r="134" spans="2:16">
      <c r="B134" s="290" t="s">
        <v>64</v>
      </c>
      <c r="C134" s="294">
        <v>43</v>
      </c>
      <c r="D134" s="294">
        <v>31</v>
      </c>
      <c r="E134" s="294">
        <v>12</v>
      </c>
      <c r="F134" s="294">
        <v>0</v>
      </c>
      <c r="G134" s="294">
        <v>33</v>
      </c>
      <c r="H134" s="294">
        <v>22</v>
      </c>
      <c r="I134" s="294">
        <v>11</v>
      </c>
      <c r="J134" s="294">
        <v>0</v>
      </c>
      <c r="K134" s="294">
        <v>10</v>
      </c>
      <c r="L134" s="294">
        <v>9</v>
      </c>
      <c r="M134" s="294">
        <v>1</v>
      </c>
      <c r="N134" s="294">
        <v>0</v>
      </c>
      <c r="O134" s="294">
        <v>0</v>
      </c>
      <c r="P134" s="294">
        <v>0</v>
      </c>
    </row>
    <row r="135" spans="2:16">
      <c r="B135" s="290" t="s">
        <v>65</v>
      </c>
      <c r="C135" s="294">
        <v>55</v>
      </c>
      <c r="D135" s="294">
        <v>39</v>
      </c>
      <c r="E135" s="294">
        <v>16</v>
      </c>
      <c r="F135" s="294">
        <v>0</v>
      </c>
      <c r="G135" s="294">
        <v>42</v>
      </c>
      <c r="H135" s="294">
        <v>29</v>
      </c>
      <c r="I135" s="294">
        <v>13</v>
      </c>
      <c r="J135" s="294">
        <v>0</v>
      </c>
      <c r="K135" s="294">
        <v>13</v>
      </c>
      <c r="L135" s="294">
        <v>10</v>
      </c>
      <c r="M135" s="294">
        <v>3</v>
      </c>
      <c r="N135" s="294">
        <v>0</v>
      </c>
      <c r="O135" s="294">
        <v>0</v>
      </c>
      <c r="P135" s="294">
        <v>0</v>
      </c>
    </row>
    <row r="136" spans="2:16">
      <c r="B136" s="290" t="s">
        <v>66</v>
      </c>
      <c r="C136" s="294">
        <v>43</v>
      </c>
      <c r="D136" s="294">
        <v>26</v>
      </c>
      <c r="E136" s="294">
        <v>17</v>
      </c>
      <c r="F136" s="294">
        <v>0</v>
      </c>
      <c r="G136" s="294">
        <v>28</v>
      </c>
      <c r="H136" s="294">
        <v>17</v>
      </c>
      <c r="I136" s="294">
        <v>11</v>
      </c>
      <c r="J136" s="294">
        <v>0</v>
      </c>
      <c r="K136" s="294">
        <v>15</v>
      </c>
      <c r="L136" s="294">
        <v>9</v>
      </c>
      <c r="M136" s="294">
        <v>6</v>
      </c>
      <c r="N136" s="294">
        <v>0</v>
      </c>
      <c r="O136" s="294">
        <v>0</v>
      </c>
      <c r="P136" s="294">
        <v>0</v>
      </c>
    </row>
    <row r="137" spans="2:16">
      <c r="B137" s="290" t="s">
        <v>67</v>
      </c>
      <c r="C137" s="294">
        <v>51</v>
      </c>
      <c r="D137" s="294">
        <v>41</v>
      </c>
      <c r="E137" s="294">
        <v>10</v>
      </c>
      <c r="F137" s="294">
        <v>0</v>
      </c>
      <c r="G137" s="294">
        <v>36</v>
      </c>
      <c r="H137" s="294">
        <v>29</v>
      </c>
      <c r="I137" s="294">
        <v>7</v>
      </c>
      <c r="J137" s="294">
        <v>0</v>
      </c>
      <c r="K137" s="294">
        <v>15</v>
      </c>
      <c r="L137" s="294">
        <v>12</v>
      </c>
      <c r="M137" s="294">
        <v>3</v>
      </c>
      <c r="N137" s="294">
        <v>0</v>
      </c>
      <c r="O137" s="294">
        <v>0</v>
      </c>
      <c r="P137" s="294">
        <v>0</v>
      </c>
    </row>
    <row r="138" spans="2:16">
      <c r="B138" s="290" t="s">
        <v>68</v>
      </c>
      <c r="C138" s="294">
        <v>50</v>
      </c>
      <c r="D138" s="294">
        <v>38</v>
      </c>
      <c r="E138" s="294">
        <v>12</v>
      </c>
      <c r="F138" s="294">
        <v>0</v>
      </c>
      <c r="G138" s="294">
        <v>40</v>
      </c>
      <c r="H138" s="294">
        <v>31</v>
      </c>
      <c r="I138" s="294">
        <v>9</v>
      </c>
      <c r="J138" s="294">
        <v>0</v>
      </c>
      <c r="K138" s="294">
        <v>10</v>
      </c>
      <c r="L138" s="294">
        <v>7</v>
      </c>
      <c r="M138" s="294">
        <v>3</v>
      </c>
      <c r="N138" s="294">
        <v>0</v>
      </c>
      <c r="O138" s="294">
        <v>0</v>
      </c>
      <c r="P138" s="294">
        <v>0</v>
      </c>
    </row>
    <row r="139" spans="2:16">
      <c r="B139" s="290" t="s">
        <v>69</v>
      </c>
      <c r="C139" s="294">
        <v>55</v>
      </c>
      <c r="D139" s="294">
        <v>36</v>
      </c>
      <c r="E139" s="294">
        <v>19</v>
      </c>
      <c r="F139" s="294">
        <v>0</v>
      </c>
      <c r="G139" s="294">
        <v>43</v>
      </c>
      <c r="H139" s="294">
        <v>27</v>
      </c>
      <c r="I139" s="294">
        <v>16</v>
      </c>
      <c r="J139" s="294">
        <v>0</v>
      </c>
      <c r="K139" s="294">
        <v>12</v>
      </c>
      <c r="L139" s="294">
        <v>9</v>
      </c>
      <c r="M139" s="294">
        <v>3</v>
      </c>
      <c r="N139" s="294">
        <v>0</v>
      </c>
      <c r="O139" s="294">
        <v>0</v>
      </c>
      <c r="P139" s="294">
        <v>0</v>
      </c>
    </row>
    <row r="140" spans="2:16">
      <c r="B140" s="290" t="s">
        <v>262</v>
      </c>
      <c r="C140" s="294">
        <v>84</v>
      </c>
      <c r="D140" s="294">
        <v>47</v>
      </c>
      <c r="E140" s="294">
        <v>37</v>
      </c>
      <c r="F140" s="294">
        <v>0</v>
      </c>
      <c r="G140" s="294">
        <v>56</v>
      </c>
      <c r="H140" s="294">
        <v>28</v>
      </c>
      <c r="I140" s="294">
        <v>28</v>
      </c>
      <c r="J140" s="294">
        <v>0</v>
      </c>
      <c r="K140" s="294">
        <v>28</v>
      </c>
      <c r="L140" s="294">
        <v>19</v>
      </c>
      <c r="M140" s="294">
        <v>9</v>
      </c>
      <c r="N140" s="294">
        <v>0</v>
      </c>
      <c r="O140" s="294">
        <v>0</v>
      </c>
      <c r="P140" s="294">
        <v>0</v>
      </c>
    </row>
    <row r="141" spans="2:16">
      <c r="B141" s="290" t="s">
        <v>263</v>
      </c>
      <c r="C141" s="294">
        <v>93</v>
      </c>
      <c r="D141" s="294">
        <v>56</v>
      </c>
      <c r="E141" s="294">
        <v>37</v>
      </c>
      <c r="F141" s="294">
        <v>0</v>
      </c>
      <c r="G141" s="294">
        <v>69</v>
      </c>
      <c r="H141" s="294">
        <v>39</v>
      </c>
      <c r="I141" s="294">
        <v>30</v>
      </c>
      <c r="J141" s="294">
        <v>0</v>
      </c>
      <c r="K141" s="294">
        <v>24</v>
      </c>
      <c r="L141" s="294">
        <v>17</v>
      </c>
      <c r="M141" s="294">
        <v>7</v>
      </c>
      <c r="N141" s="294">
        <v>0</v>
      </c>
      <c r="O141" s="294">
        <v>0</v>
      </c>
      <c r="P141" s="294">
        <v>0</v>
      </c>
    </row>
    <row r="142" spans="2:16">
      <c r="B142" s="290" t="s">
        <v>264</v>
      </c>
      <c r="C142" s="294">
        <v>118</v>
      </c>
      <c r="D142" s="294">
        <v>71</v>
      </c>
      <c r="E142" s="294">
        <v>47</v>
      </c>
      <c r="F142" s="294">
        <v>0</v>
      </c>
      <c r="G142" s="294">
        <v>82</v>
      </c>
      <c r="H142" s="294">
        <v>48</v>
      </c>
      <c r="I142" s="294">
        <v>34</v>
      </c>
      <c r="J142" s="294">
        <v>0</v>
      </c>
      <c r="K142" s="294">
        <v>36</v>
      </c>
      <c r="L142" s="294">
        <v>23</v>
      </c>
      <c r="M142" s="294">
        <v>13</v>
      </c>
      <c r="N142" s="294">
        <v>0</v>
      </c>
      <c r="O142" s="294">
        <v>0</v>
      </c>
      <c r="P142" s="294">
        <v>0</v>
      </c>
    </row>
    <row r="143" spans="2:16">
      <c r="B143" s="290" t="s">
        <v>265</v>
      </c>
      <c r="C143" s="294">
        <v>130</v>
      </c>
      <c r="D143" s="294">
        <v>86</v>
      </c>
      <c r="E143" s="294">
        <v>44</v>
      </c>
      <c r="F143" s="294">
        <v>0</v>
      </c>
      <c r="G143" s="294">
        <v>104</v>
      </c>
      <c r="H143" s="294">
        <v>71</v>
      </c>
      <c r="I143" s="294">
        <v>33</v>
      </c>
      <c r="J143" s="294">
        <v>0</v>
      </c>
      <c r="K143" s="294">
        <v>26</v>
      </c>
      <c r="L143" s="294">
        <v>15</v>
      </c>
      <c r="M143" s="294">
        <v>11</v>
      </c>
      <c r="N143" s="294">
        <v>0</v>
      </c>
      <c r="O143" s="294">
        <v>0</v>
      </c>
      <c r="P143" s="294">
        <v>0</v>
      </c>
    </row>
    <row r="144" spans="2:16">
      <c r="B144" s="290" t="s">
        <v>266</v>
      </c>
      <c r="C144" s="294">
        <v>741</v>
      </c>
      <c r="D144" s="294">
        <v>401</v>
      </c>
      <c r="E144" s="294">
        <v>340</v>
      </c>
      <c r="F144" s="294">
        <v>0</v>
      </c>
      <c r="G144" s="294">
        <v>518</v>
      </c>
      <c r="H144" s="294">
        <v>282</v>
      </c>
      <c r="I144" s="294">
        <v>236</v>
      </c>
      <c r="J144" s="294">
        <v>0</v>
      </c>
      <c r="K144" s="294">
        <v>223</v>
      </c>
      <c r="L144" s="294">
        <v>119</v>
      </c>
      <c r="M144" s="294">
        <v>104</v>
      </c>
      <c r="N144" s="294">
        <v>0</v>
      </c>
      <c r="O144" s="294">
        <v>0</v>
      </c>
      <c r="P144" s="294">
        <v>0</v>
      </c>
    </row>
    <row r="145" spans="1:16">
      <c r="B145" s="290" t="s">
        <v>504</v>
      </c>
      <c r="C145" s="294">
        <v>30</v>
      </c>
      <c r="D145" s="294">
        <v>15</v>
      </c>
      <c r="E145" s="294">
        <v>15</v>
      </c>
      <c r="F145" s="294">
        <v>0</v>
      </c>
      <c r="G145" s="294">
        <v>21</v>
      </c>
      <c r="H145" s="294">
        <v>12</v>
      </c>
      <c r="I145" s="294">
        <v>9</v>
      </c>
      <c r="J145" s="294">
        <v>0</v>
      </c>
      <c r="K145" s="294">
        <v>9</v>
      </c>
      <c r="L145" s="294">
        <v>3</v>
      </c>
      <c r="M145" s="294">
        <v>6</v>
      </c>
      <c r="N145" s="294">
        <v>0</v>
      </c>
      <c r="O145" s="294">
        <v>0</v>
      </c>
      <c r="P145" s="294">
        <v>0</v>
      </c>
    </row>
    <row r="146" spans="1:16" ht="5.0999999999999996" customHeight="1">
      <c r="C146" s="294"/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294"/>
      <c r="P146" s="294"/>
    </row>
    <row r="147" spans="1:16" s="292" customFormat="1">
      <c r="A147" s="292" t="s">
        <v>82</v>
      </c>
      <c r="C147" s="293">
        <v>141</v>
      </c>
      <c r="D147" s="293">
        <v>87</v>
      </c>
      <c r="E147" s="293">
        <v>54</v>
      </c>
      <c r="F147" s="293">
        <v>0</v>
      </c>
      <c r="G147" s="293">
        <v>83</v>
      </c>
      <c r="H147" s="293">
        <v>50</v>
      </c>
      <c r="I147" s="293">
        <v>33</v>
      </c>
      <c r="J147" s="293">
        <v>0</v>
      </c>
      <c r="K147" s="293">
        <v>58</v>
      </c>
      <c r="L147" s="293">
        <v>37</v>
      </c>
      <c r="M147" s="293">
        <v>21</v>
      </c>
      <c r="N147" s="293">
        <v>0</v>
      </c>
      <c r="O147" s="293">
        <v>0</v>
      </c>
      <c r="P147" s="293">
        <v>0</v>
      </c>
    </row>
    <row r="148" spans="1:16" ht="5.0999999999999996" customHeight="1">
      <c r="C148" s="294"/>
      <c r="D148" s="294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</row>
    <row r="149" spans="1:16">
      <c r="B149" s="290" t="s">
        <v>503</v>
      </c>
      <c r="C149" s="294">
        <v>1</v>
      </c>
      <c r="D149" s="294">
        <v>0</v>
      </c>
      <c r="E149" s="294">
        <v>1</v>
      </c>
      <c r="F149" s="294">
        <v>0</v>
      </c>
      <c r="G149" s="294">
        <v>1</v>
      </c>
      <c r="H149" s="294">
        <v>0</v>
      </c>
      <c r="I149" s="294">
        <v>1</v>
      </c>
      <c r="J149" s="294">
        <v>0</v>
      </c>
      <c r="K149" s="294">
        <v>0</v>
      </c>
      <c r="L149" s="294">
        <v>0</v>
      </c>
      <c r="M149" s="294">
        <v>0</v>
      </c>
      <c r="N149" s="294">
        <v>0</v>
      </c>
      <c r="O149" s="294">
        <v>0</v>
      </c>
      <c r="P149" s="294">
        <v>0</v>
      </c>
    </row>
    <row r="150" spans="1:16">
      <c r="B150" s="290" t="s">
        <v>259</v>
      </c>
      <c r="C150" s="294">
        <v>2</v>
      </c>
      <c r="D150" s="294">
        <v>2</v>
      </c>
      <c r="E150" s="294">
        <v>0</v>
      </c>
      <c r="F150" s="294">
        <v>0</v>
      </c>
      <c r="G150" s="294">
        <v>2</v>
      </c>
      <c r="H150" s="294">
        <v>2</v>
      </c>
      <c r="I150" s="294">
        <v>0</v>
      </c>
      <c r="J150" s="294">
        <v>0</v>
      </c>
      <c r="K150" s="294">
        <v>0</v>
      </c>
      <c r="L150" s="294">
        <v>0</v>
      </c>
      <c r="M150" s="294">
        <v>0</v>
      </c>
      <c r="N150" s="294">
        <v>0</v>
      </c>
      <c r="O150" s="294">
        <v>0</v>
      </c>
      <c r="P150" s="294">
        <v>0</v>
      </c>
    </row>
    <row r="151" spans="1:16">
      <c r="B151" s="290" t="s">
        <v>261</v>
      </c>
      <c r="C151" s="294">
        <v>1</v>
      </c>
      <c r="D151" s="294">
        <v>1</v>
      </c>
      <c r="E151" s="294">
        <v>0</v>
      </c>
      <c r="F151" s="294">
        <v>0</v>
      </c>
      <c r="G151" s="294">
        <v>1</v>
      </c>
      <c r="H151" s="294">
        <v>1</v>
      </c>
      <c r="I151" s="294">
        <v>0</v>
      </c>
      <c r="J151" s="294">
        <v>0</v>
      </c>
      <c r="K151" s="294">
        <v>0</v>
      </c>
      <c r="L151" s="294">
        <v>0</v>
      </c>
      <c r="M151" s="294">
        <v>0</v>
      </c>
      <c r="N151" s="294">
        <v>0</v>
      </c>
      <c r="O151" s="294">
        <v>0</v>
      </c>
      <c r="P151" s="294">
        <v>0</v>
      </c>
    </row>
    <row r="152" spans="1:16">
      <c r="B152" s="290" t="s">
        <v>63</v>
      </c>
      <c r="C152" s="294">
        <v>2</v>
      </c>
      <c r="D152" s="294">
        <v>0</v>
      </c>
      <c r="E152" s="294">
        <v>2</v>
      </c>
      <c r="F152" s="294">
        <v>0</v>
      </c>
      <c r="G152" s="294">
        <v>0</v>
      </c>
      <c r="H152" s="294">
        <v>0</v>
      </c>
      <c r="I152" s="294">
        <v>0</v>
      </c>
      <c r="J152" s="294">
        <v>0</v>
      </c>
      <c r="K152" s="294">
        <v>2</v>
      </c>
      <c r="L152" s="294">
        <v>0</v>
      </c>
      <c r="M152" s="294">
        <v>2</v>
      </c>
      <c r="N152" s="294">
        <v>0</v>
      </c>
      <c r="O152" s="294">
        <v>0</v>
      </c>
      <c r="P152" s="294">
        <v>0</v>
      </c>
    </row>
    <row r="153" spans="1:16">
      <c r="B153" s="290" t="s">
        <v>64</v>
      </c>
      <c r="C153" s="294">
        <v>5</v>
      </c>
      <c r="D153" s="294">
        <v>3</v>
      </c>
      <c r="E153" s="294">
        <v>2</v>
      </c>
      <c r="F153" s="294">
        <v>0</v>
      </c>
      <c r="G153" s="294">
        <v>4</v>
      </c>
      <c r="H153" s="294">
        <v>2</v>
      </c>
      <c r="I153" s="294">
        <v>2</v>
      </c>
      <c r="J153" s="294">
        <v>0</v>
      </c>
      <c r="K153" s="294">
        <v>1</v>
      </c>
      <c r="L153" s="294">
        <v>1</v>
      </c>
      <c r="M153" s="294">
        <v>0</v>
      </c>
      <c r="N153" s="294">
        <v>0</v>
      </c>
      <c r="O153" s="294">
        <v>0</v>
      </c>
      <c r="P153" s="294">
        <v>0</v>
      </c>
    </row>
    <row r="154" spans="1:16">
      <c r="B154" s="290" t="s">
        <v>65</v>
      </c>
      <c r="C154" s="294">
        <v>4</v>
      </c>
      <c r="D154" s="294">
        <v>2</v>
      </c>
      <c r="E154" s="294">
        <v>2</v>
      </c>
      <c r="F154" s="294">
        <v>0</v>
      </c>
      <c r="G154" s="294">
        <v>3</v>
      </c>
      <c r="H154" s="294">
        <v>2</v>
      </c>
      <c r="I154" s="294">
        <v>1</v>
      </c>
      <c r="J154" s="294">
        <v>0</v>
      </c>
      <c r="K154" s="294">
        <v>1</v>
      </c>
      <c r="L154" s="294">
        <v>0</v>
      </c>
      <c r="M154" s="294">
        <v>1</v>
      </c>
      <c r="N154" s="294">
        <v>0</v>
      </c>
      <c r="O154" s="294">
        <v>0</v>
      </c>
      <c r="P154" s="294">
        <v>0</v>
      </c>
    </row>
    <row r="155" spans="1:16">
      <c r="B155" s="290" t="s">
        <v>67</v>
      </c>
      <c r="C155" s="294">
        <v>7</v>
      </c>
      <c r="D155" s="294">
        <v>7</v>
      </c>
      <c r="E155" s="294">
        <v>0</v>
      </c>
      <c r="F155" s="294">
        <v>0</v>
      </c>
      <c r="G155" s="294">
        <v>5</v>
      </c>
      <c r="H155" s="294">
        <v>5</v>
      </c>
      <c r="I155" s="294">
        <v>0</v>
      </c>
      <c r="J155" s="294">
        <v>0</v>
      </c>
      <c r="K155" s="294">
        <v>2</v>
      </c>
      <c r="L155" s="294">
        <v>2</v>
      </c>
      <c r="M155" s="294">
        <v>0</v>
      </c>
      <c r="N155" s="294">
        <v>0</v>
      </c>
      <c r="O155" s="294">
        <v>0</v>
      </c>
      <c r="P155" s="294">
        <v>0</v>
      </c>
    </row>
    <row r="156" spans="1:16">
      <c r="B156" s="290" t="s">
        <v>68</v>
      </c>
      <c r="C156" s="294">
        <v>4</v>
      </c>
      <c r="D156" s="294">
        <v>2</v>
      </c>
      <c r="E156" s="294">
        <v>2</v>
      </c>
      <c r="F156" s="294">
        <v>0</v>
      </c>
      <c r="G156" s="294">
        <v>2</v>
      </c>
      <c r="H156" s="294">
        <v>1</v>
      </c>
      <c r="I156" s="294">
        <v>1</v>
      </c>
      <c r="J156" s="294">
        <v>0</v>
      </c>
      <c r="K156" s="294">
        <v>2</v>
      </c>
      <c r="L156" s="294">
        <v>1</v>
      </c>
      <c r="M156" s="294">
        <v>1</v>
      </c>
      <c r="N156" s="294">
        <v>0</v>
      </c>
      <c r="O156" s="294">
        <v>0</v>
      </c>
      <c r="P156" s="294">
        <v>0</v>
      </c>
    </row>
    <row r="157" spans="1:16">
      <c r="B157" s="290" t="s">
        <v>69</v>
      </c>
      <c r="C157" s="294">
        <v>5</v>
      </c>
      <c r="D157" s="294">
        <v>3</v>
      </c>
      <c r="E157" s="294">
        <v>2</v>
      </c>
      <c r="F157" s="294">
        <v>0</v>
      </c>
      <c r="G157" s="294">
        <v>4</v>
      </c>
      <c r="H157" s="294">
        <v>2</v>
      </c>
      <c r="I157" s="294">
        <v>2</v>
      </c>
      <c r="J157" s="294">
        <v>0</v>
      </c>
      <c r="K157" s="294">
        <v>1</v>
      </c>
      <c r="L157" s="294">
        <v>1</v>
      </c>
      <c r="M157" s="294">
        <v>0</v>
      </c>
      <c r="N157" s="294">
        <v>0</v>
      </c>
      <c r="O157" s="294">
        <v>0</v>
      </c>
      <c r="P157" s="294">
        <v>0</v>
      </c>
    </row>
    <row r="158" spans="1:16">
      <c r="B158" s="290" t="s">
        <v>262</v>
      </c>
      <c r="C158" s="294">
        <v>3</v>
      </c>
      <c r="D158" s="294">
        <v>2</v>
      </c>
      <c r="E158" s="294">
        <v>1</v>
      </c>
      <c r="F158" s="294">
        <v>0</v>
      </c>
      <c r="G158" s="294">
        <v>2</v>
      </c>
      <c r="H158" s="294">
        <v>1</v>
      </c>
      <c r="I158" s="294">
        <v>1</v>
      </c>
      <c r="J158" s="294">
        <v>0</v>
      </c>
      <c r="K158" s="294">
        <v>1</v>
      </c>
      <c r="L158" s="294">
        <v>1</v>
      </c>
      <c r="M158" s="294">
        <v>0</v>
      </c>
      <c r="N158" s="294">
        <v>0</v>
      </c>
      <c r="O158" s="294">
        <v>0</v>
      </c>
      <c r="P158" s="294">
        <v>0</v>
      </c>
    </row>
    <row r="159" spans="1:16">
      <c r="B159" s="290" t="s">
        <v>263</v>
      </c>
      <c r="C159" s="294">
        <v>8</v>
      </c>
      <c r="D159" s="294">
        <v>5</v>
      </c>
      <c r="E159" s="294">
        <v>3</v>
      </c>
      <c r="F159" s="294">
        <v>0</v>
      </c>
      <c r="G159" s="294">
        <v>5</v>
      </c>
      <c r="H159" s="294">
        <v>4</v>
      </c>
      <c r="I159" s="294">
        <v>1</v>
      </c>
      <c r="J159" s="294">
        <v>0</v>
      </c>
      <c r="K159" s="294">
        <v>3</v>
      </c>
      <c r="L159" s="294">
        <v>1</v>
      </c>
      <c r="M159" s="294">
        <v>2</v>
      </c>
      <c r="N159" s="294">
        <v>0</v>
      </c>
      <c r="O159" s="294">
        <v>0</v>
      </c>
      <c r="P159" s="294">
        <v>0</v>
      </c>
    </row>
    <row r="160" spans="1:16">
      <c r="B160" s="290" t="s">
        <v>264</v>
      </c>
      <c r="C160" s="294">
        <v>6</v>
      </c>
      <c r="D160" s="294">
        <v>4</v>
      </c>
      <c r="E160" s="294">
        <v>2</v>
      </c>
      <c r="F160" s="294">
        <v>0</v>
      </c>
      <c r="G160" s="294">
        <v>3</v>
      </c>
      <c r="H160" s="294">
        <v>2</v>
      </c>
      <c r="I160" s="294">
        <v>1</v>
      </c>
      <c r="J160" s="294">
        <v>0</v>
      </c>
      <c r="K160" s="294">
        <v>3</v>
      </c>
      <c r="L160" s="294">
        <v>2</v>
      </c>
      <c r="M160" s="294">
        <v>1</v>
      </c>
      <c r="N160" s="294">
        <v>0</v>
      </c>
      <c r="O160" s="294">
        <v>0</v>
      </c>
      <c r="P160" s="294">
        <v>0</v>
      </c>
    </row>
    <row r="161" spans="1:16">
      <c r="B161" s="290" t="s">
        <v>265</v>
      </c>
      <c r="C161" s="294">
        <v>17</v>
      </c>
      <c r="D161" s="294">
        <v>8</v>
      </c>
      <c r="E161" s="294">
        <v>9</v>
      </c>
      <c r="F161" s="294">
        <v>0</v>
      </c>
      <c r="G161" s="294">
        <v>11</v>
      </c>
      <c r="H161" s="294">
        <v>5</v>
      </c>
      <c r="I161" s="294">
        <v>6</v>
      </c>
      <c r="J161" s="294">
        <v>0</v>
      </c>
      <c r="K161" s="294">
        <v>6</v>
      </c>
      <c r="L161" s="294">
        <v>3</v>
      </c>
      <c r="M161" s="294">
        <v>3</v>
      </c>
      <c r="N161" s="294">
        <v>0</v>
      </c>
      <c r="O161" s="294">
        <v>0</v>
      </c>
      <c r="P161" s="294">
        <v>0</v>
      </c>
    </row>
    <row r="162" spans="1:16">
      <c r="B162" s="290" t="s">
        <v>266</v>
      </c>
      <c r="C162" s="294">
        <v>75</v>
      </c>
      <c r="D162" s="294">
        <v>48</v>
      </c>
      <c r="E162" s="294">
        <v>27</v>
      </c>
      <c r="F162" s="294">
        <v>0</v>
      </c>
      <c r="G162" s="294">
        <v>39</v>
      </c>
      <c r="H162" s="294">
        <v>23</v>
      </c>
      <c r="I162" s="294">
        <v>16</v>
      </c>
      <c r="J162" s="294">
        <v>0</v>
      </c>
      <c r="K162" s="294">
        <v>36</v>
      </c>
      <c r="L162" s="294">
        <v>25</v>
      </c>
      <c r="M162" s="294">
        <v>11</v>
      </c>
      <c r="N162" s="294">
        <v>0</v>
      </c>
      <c r="O162" s="294">
        <v>0</v>
      </c>
      <c r="P162" s="294">
        <v>0</v>
      </c>
    </row>
    <row r="163" spans="1:16">
      <c r="B163" s="290" t="s">
        <v>504</v>
      </c>
      <c r="C163" s="294">
        <v>1</v>
      </c>
      <c r="D163" s="294">
        <v>0</v>
      </c>
      <c r="E163" s="294">
        <v>1</v>
      </c>
      <c r="F163" s="294">
        <v>0</v>
      </c>
      <c r="G163" s="294">
        <v>1</v>
      </c>
      <c r="H163" s="294">
        <v>0</v>
      </c>
      <c r="I163" s="294">
        <v>1</v>
      </c>
      <c r="J163" s="294">
        <v>0</v>
      </c>
      <c r="K163" s="294">
        <v>0</v>
      </c>
      <c r="L163" s="294">
        <v>0</v>
      </c>
      <c r="M163" s="294">
        <v>0</v>
      </c>
      <c r="N163" s="294">
        <v>0</v>
      </c>
      <c r="O163" s="294">
        <v>0</v>
      </c>
      <c r="P163" s="294">
        <v>0</v>
      </c>
    </row>
    <row r="164" spans="1:16" ht="5.0999999999999996" customHeight="1">
      <c r="C164" s="294"/>
      <c r="D164" s="294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294"/>
      <c r="P164" s="294"/>
    </row>
    <row r="165" spans="1:16" s="292" customFormat="1">
      <c r="A165" s="292" t="s">
        <v>83</v>
      </c>
      <c r="C165" s="293">
        <v>180</v>
      </c>
      <c r="D165" s="293">
        <v>108</v>
      </c>
      <c r="E165" s="293">
        <v>72</v>
      </c>
      <c r="F165" s="293">
        <v>0</v>
      </c>
      <c r="G165" s="293">
        <v>109</v>
      </c>
      <c r="H165" s="293">
        <v>57</v>
      </c>
      <c r="I165" s="293">
        <v>52</v>
      </c>
      <c r="J165" s="293">
        <v>0</v>
      </c>
      <c r="K165" s="293">
        <v>70</v>
      </c>
      <c r="L165" s="293">
        <v>50</v>
      </c>
      <c r="M165" s="293">
        <v>20</v>
      </c>
      <c r="N165" s="293">
        <v>1</v>
      </c>
      <c r="O165" s="293">
        <v>1</v>
      </c>
      <c r="P165" s="293">
        <v>0</v>
      </c>
    </row>
    <row r="166" spans="1:16" ht="5.0999999999999996" customHeight="1"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</row>
    <row r="167" spans="1:16">
      <c r="B167" s="290" t="s">
        <v>260</v>
      </c>
      <c r="C167" s="294">
        <v>2</v>
      </c>
      <c r="D167" s="294">
        <v>2</v>
      </c>
      <c r="E167" s="294">
        <v>0</v>
      </c>
      <c r="F167" s="294">
        <v>0</v>
      </c>
      <c r="G167" s="294">
        <v>0</v>
      </c>
      <c r="H167" s="294">
        <v>0</v>
      </c>
      <c r="I167" s="294">
        <v>0</v>
      </c>
      <c r="J167" s="294">
        <v>0</v>
      </c>
      <c r="K167" s="294">
        <v>2</v>
      </c>
      <c r="L167" s="294">
        <v>2</v>
      </c>
      <c r="M167" s="294">
        <v>0</v>
      </c>
      <c r="N167" s="294">
        <v>0</v>
      </c>
      <c r="O167" s="294">
        <v>0</v>
      </c>
      <c r="P167" s="294">
        <v>0</v>
      </c>
    </row>
    <row r="168" spans="1:16">
      <c r="B168" s="290" t="s">
        <v>261</v>
      </c>
      <c r="C168" s="294">
        <v>1</v>
      </c>
      <c r="D168" s="294">
        <v>0</v>
      </c>
      <c r="E168" s="294">
        <v>1</v>
      </c>
      <c r="F168" s="294">
        <v>0</v>
      </c>
      <c r="G168" s="294">
        <v>1</v>
      </c>
      <c r="H168" s="294">
        <v>0</v>
      </c>
      <c r="I168" s="294">
        <v>1</v>
      </c>
      <c r="J168" s="294">
        <v>0</v>
      </c>
      <c r="K168" s="294">
        <v>0</v>
      </c>
      <c r="L168" s="294">
        <v>0</v>
      </c>
      <c r="M168" s="294">
        <v>0</v>
      </c>
      <c r="N168" s="294">
        <v>0</v>
      </c>
      <c r="O168" s="294">
        <v>0</v>
      </c>
      <c r="P168" s="294">
        <v>0</v>
      </c>
    </row>
    <row r="169" spans="1:16">
      <c r="B169" s="290" t="s">
        <v>63</v>
      </c>
      <c r="C169" s="294">
        <v>6</v>
      </c>
      <c r="D169" s="294">
        <v>6</v>
      </c>
      <c r="E169" s="294">
        <v>0</v>
      </c>
      <c r="F169" s="294">
        <v>0</v>
      </c>
      <c r="G169" s="294">
        <v>2</v>
      </c>
      <c r="H169" s="294">
        <v>2</v>
      </c>
      <c r="I169" s="294">
        <v>0</v>
      </c>
      <c r="J169" s="294">
        <v>0</v>
      </c>
      <c r="K169" s="294">
        <v>4</v>
      </c>
      <c r="L169" s="294">
        <v>4</v>
      </c>
      <c r="M169" s="294">
        <v>0</v>
      </c>
      <c r="N169" s="294">
        <v>0</v>
      </c>
      <c r="O169" s="294">
        <v>0</v>
      </c>
      <c r="P169" s="294">
        <v>0</v>
      </c>
    </row>
    <row r="170" spans="1:16">
      <c r="B170" s="290" t="s">
        <v>64</v>
      </c>
      <c r="C170" s="294">
        <v>1</v>
      </c>
      <c r="D170" s="294">
        <v>1</v>
      </c>
      <c r="E170" s="294">
        <v>0</v>
      </c>
      <c r="F170" s="294">
        <v>0</v>
      </c>
      <c r="G170" s="294">
        <v>0</v>
      </c>
      <c r="H170" s="294">
        <v>0</v>
      </c>
      <c r="I170" s="294">
        <v>0</v>
      </c>
      <c r="J170" s="294">
        <v>0</v>
      </c>
      <c r="K170" s="294">
        <v>1</v>
      </c>
      <c r="L170" s="294">
        <v>1</v>
      </c>
      <c r="M170" s="294">
        <v>0</v>
      </c>
      <c r="N170" s="294">
        <v>0</v>
      </c>
      <c r="O170" s="294">
        <v>0</v>
      </c>
      <c r="P170" s="294">
        <v>0</v>
      </c>
    </row>
    <row r="171" spans="1:16">
      <c r="B171" s="290" t="s">
        <v>65</v>
      </c>
      <c r="C171" s="294">
        <v>6</v>
      </c>
      <c r="D171" s="294">
        <v>2</v>
      </c>
      <c r="E171" s="294">
        <v>4</v>
      </c>
      <c r="F171" s="294">
        <v>0</v>
      </c>
      <c r="G171" s="294">
        <v>4</v>
      </c>
      <c r="H171" s="294">
        <v>2</v>
      </c>
      <c r="I171" s="294">
        <v>2</v>
      </c>
      <c r="J171" s="294">
        <v>0</v>
      </c>
      <c r="K171" s="294">
        <v>2</v>
      </c>
      <c r="L171" s="294">
        <v>0</v>
      </c>
      <c r="M171" s="294">
        <v>2</v>
      </c>
      <c r="N171" s="294">
        <v>0</v>
      </c>
      <c r="O171" s="294">
        <v>0</v>
      </c>
      <c r="P171" s="294">
        <v>0</v>
      </c>
    </row>
    <row r="172" spans="1:16">
      <c r="B172" s="290" t="s">
        <v>66</v>
      </c>
      <c r="C172" s="294">
        <v>3</v>
      </c>
      <c r="D172" s="294">
        <v>1</v>
      </c>
      <c r="E172" s="294">
        <v>2</v>
      </c>
      <c r="F172" s="294">
        <v>0</v>
      </c>
      <c r="G172" s="294">
        <v>1</v>
      </c>
      <c r="H172" s="294">
        <v>0</v>
      </c>
      <c r="I172" s="294">
        <v>1</v>
      </c>
      <c r="J172" s="294">
        <v>0</v>
      </c>
      <c r="K172" s="294">
        <v>2</v>
      </c>
      <c r="L172" s="294">
        <v>1</v>
      </c>
      <c r="M172" s="294">
        <v>1</v>
      </c>
      <c r="N172" s="294">
        <v>0</v>
      </c>
      <c r="O172" s="294">
        <v>0</v>
      </c>
      <c r="P172" s="294">
        <v>0</v>
      </c>
    </row>
    <row r="173" spans="1:16">
      <c r="B173" s="290" t="s">
        <v>67</v>
      </c>
      <c r="C173" s="294">
        <v>3</v>
      </c>
      <c r="D173" s="294">
        <v>2</v>
      </c>
      <c r="E173" s="294">
        <v>1</v>
      </c>
      <c r="F173" s="294">
        <v>0</v>
      </c>
      <c r="G173" s="294">
        <v>1</v>
      </c>
      <c r="H173" s="294">
        <v>1</v>
      </c>
      <c r="I173" s="294">
        <v>0</v>
      </c>
      <c r="J173" s="294">
        <v>0</v>
      </c>
      <c r="K173" s="294">
        <v>2</v>
      </c>
      <c r="L173" s="294">
        <v>1</v>
      </c>
      <c r="M173" s="294">
        <v>1</v>
      </c>
      <c r="N173" s="294">
        <v>0</v>
      </c>
      <c r="O173" s="294">
        <v>0</v>
      </c>
      <c r="P173" s="294">
        <v>0</v>
      </c>
    </row>
    <row r="174" spans="1:16">
      <c r="B174" s="290" t="s">
        <v>68</v>
      </c>
      <c r="C174" s="294">
        <v>6</v>
      </c>
      <c r="D174" s="294">
        <v>5</v>
      </c>
      <c r="E174" s="294">
        <v>1</v>
      </c>
      <c r="F174" s="294">
        <v>0</v>
      </c>
      <c r="G174" s="294">
        <v>3</v>
      </c>
      <c r="H174" s="294">
        <v>3</v>
      </c>
      <c r="I174" s="294">
        <v>0</v>
      </c>
      <c r="J174" s="294">
        <v>0</v>
      </c>
      <c r="K174" s="294">
        <v>3</v>
      </c>
      <c r="L174" s="294">
        <v>2</v>
      </c>
      <c r="M174" s="294">
        <v>1</v>
      </c>
      <c r="N174" s="294">
        <v>0</v>
      </c>
      <c r="O174" s="294">
        <v>0</v>
      </c>
      <c r="P174" s="294">
        <v>0</v>
      </c>
    </row>
    <row r="175" spans="1:16">
      <c r="B175" s="290" t="s">
        <v>69</v>
      </c>
      <c r="C175" s="294">
        <v>8</v>
      </c>
      <c r="D175" s="294">
        <v>4</v>
      </c>
      <c r="E175" s="294">
        <v>4</v>
      </c>
      <c r="F175" s="294">
        <v>0</v>
      </c>
      <c r="G175" s="294">
        <v>6</v>
      </c>
      <c r="H175" s="294">
        <v>2</v>
      </c>
      <c r="I175" s="294">
        <v>4</v>
      </c>
      <c r="J175" s="294">
        <v>0</v>
      </c>
      <c r="K175" s="294">
        <v>2</v>
      </c>
      <c r="L175" s="294">
        <v>2</v>
      </c>
      <c r="M175" s="294">
        <v>0</v>
      </c>
      <c r="N175" s="294">
        <v>0</v>
      </c>
      <c r="O175" s="294">
        <v>0</v>
      </c>
      <c r="P175" s="294">
        <v>0</v>
      </c>
    </row>
    <row r="176" spans="1:16">
      <c r="B176" s="290" t="s">
        <v>262</v>
      </c>
      <c r="C176" s="294">
        <v>6</v>
      </c>
      <c r="D176" s="294">
        <v>6</v>
      </c>
      <c r="E176" s="294">
        <v>0</v>
      </c>
      <c r="F176" s="294">
        <v>0</v>
      </c>
      <c r="G176" s="294">
        <v>3</v>
      </c>
      <c r="H176" s="294">
        <v>3</v>
      </c>
      <c r="I176" s="294">
        <v>0</v>
      </c>
      <c r="J176" s="294">
        <v>0</v>
      </c>
      <c r="K176" s="294">
        <v>2</v>
      </c>
      <c r="L176" s="294">
        <v>2</v>
      </c>
      <c r="M176" s="294">
        <v>0</v>
      </c>
      <c r="N176" s="294">
        <v>1</v>
      </c>
      <c r="O176" s="294">
        <v>1</v>
      </c>
      <c r="P176" s="294">
        <v>0</v>
      </c>
    </row>
    <row r="177" spans="1:16">
      <c r="B177" s="290" t="s">
        <v>263</v>
      </c>
      <c r="C177" s="294">
        <v>11</v>
      </c>
      <c r="D177" s="294">
        <v>6</v>
      </c>
      <c r="E177" s="294">
        <v>5</v>
      </c>
      <c r="F177" s="294">
        <v>0</v>
      </c>
      <c r="G177" s="294">
        <v>7</v>
      </c>
      <c r="H177" s="294">
        <v>4</v>
      </c>
      <c r="I177" s="294">
        <v>3</v>
      </c>
      <c r="J177" s="294">
        <v>0</v>
      </c>
      <c r="K177" s="294">
        <v>4</v>
      </c>
      <c r="L177" s="294">
        <v>2</v>
      </c>
      <c r="M177" s="294">
        <v>2</v>
      </c>
      <c r="N177" s="294">
        <v>0</v>
      </c>
      <c r="O177" s="294">
        <v>0</v>
      </c>
      <c r="P177" s="294">
        <v>0</v>
      </c>
    </row>
    <row r="178" spans="1:16">
      <c r="B178" s="290" t="s">
        <v>264</v>
      </c>
      <c r="C178" s="294">
        <v>6</v>
      </c>
      <c r="D178" s="294">
        <v>3</v>
      </c>
      <c r="E178" s="294">
        <v>3</v>
      </c>
      <c r="F178" s="294">
        <v>0</v>
      </c>
      <c r="G178" s="294">
        <v>3</v>
      </c>
      <c r="H178" s="294">
        <v>1</v>
      </c>
      <c r="I178" s="294">
        <v>2</v>
      </c>
      <c r="J178" s="294">
        <v>0</v>
      </c>
      <c r="K178" s="294">
        <v>3</v>
      </c>
      <c r="L178" s="294">
        <v>2</v>
      </c>
      <c r="M178" s="294">
        <v>1</v>
      </c>
      <c r="N178" s="294">
        <v>0</v>
      </c>
      <c r="O178" s="294">
        <v>0</v>
      </c>
      <c r="P178" s="294">
        <v>0</v>
      </c>
    </row>
    <row r="179" spans="1:16">
      <c r="B179" s="290" t="s">
        <v>265</v>
      </c>
      <c r="C179" s="294">
        <v>11</v>
      </c>
      <c r="D179" s="294">
        <v>7</v>
      </c>
      <c r="E179" s="294">
        <v>4</v>
      </c>
      <c r="F179" s="294">
        <v>0</v>
      </c>
      <c r="G179" s="294">
        <v>8</v>
      </c>
      <c r="H179" s="294">
        <v>6</v>
      </c>
      <c r="I179" s="294">
        <v>2</v>
      </c>
      <c r="J179" s="294">
        <v>0</v>
      </c>
      <c r="K179" s="294">
        <v>3</v>
      </c>
      <c r="L179" s="294">
        <v>1</v>
      </c>
      <c r="M179" s="294">
        <v>2</v>
      </c>
      <c r="N179" s="294">
        <v>0</v>
      </c>
      <c r="O179" s="294">
        <v>0</v>
      </c>
      <c r="P179" s="294">
        <v>0</v>
      </c>
    </row>
    <row r="180" spans="1:16">
      <c r="B180" s="290" t="s">
        <v>266</v>
      </c>
      <c r="C180" s="294">
        <v>105</v>
      </c>
      <c r="D180" s="294">
        <v>59</v>
      </c>
      <c r="E180" s="294">
        <v>46</v>
      </c>
      <c r="F180" s="294">
        <v>0</v>
      </c>
      <c r="G180" s="294">
        <v>69</v>
      </c>
      <c r="H180" s="294">
        <v>33</v>
      </c>
      <c r="I180" s="294">
        <v>36</v>
      </c>
      <c r="J180" s="294">
        <v>0</v>
      </c>
      <c r="K180" s="294">
        <v>36</v>
      </c>
      <c r="L180" s="294">
        <v>26</v>
      </c>
      <c r="M180" s="294">
        <v>10</v>
      </c>
      <c r="N180" s="294">
        <v>0</v>
      </c>
      <c r="O180" s="294">
        <v>0</v>
      </c>
      <c r="P180" s="294">
        <v>0</v>
      </c>
    </row>
    <row r="181" spans="1:16">
      <c r="B181" s="290" t="s">
        <v>504</v>
      </c>
      <c r="C181" s="294">
        <v>5</v>
      </c>
      <c r="D181" s="294">
        <v>4</v>
      </c>
      <c r="E181" s="294">
        <v>1</v>
      </c>
      <c r="F181" s="294">
        <v>0</v>
      </c>
      <c r="G181" s="294">
        <v>1</v>
      </c>
      <c r="H181" s="294">
        <v>0</v>
      </c>
      <c r="I181" s="294">
        <v>1</v>
      </c>
      <c r="J181" s="294">
        <v>0</v>
      </c>
      <c r="K181" s="294">
        <v>4</v>
      </c>
      <c r="L181" s="294">
        <v>4</v>
      </c>
      <c r="M181" s="294">
        <v>0</v>
      </c>
      <c r="N181" s="294">
        <v>0</v>
      </c>
      <c r="O181" s="294">
        <v>0</v>
      </c>
      <c r="P181" s="294">
        <v>0</v>
      </c>
    </row>
    <row r="182" spans="1:16" ht="5.0999999999999996" customHeight="1"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4"/>
      <c r="P182" s="294"/>
    </row>
    <row r="183" spans="1:16" s="292" customFormat="1">
      <c r="A183" s="292" t="s">
        <v>84</v>
      </c>
      <c r="C183" s="293">
        <v>791</v>
      </c>
      <c r="D183" s="293">
        <v>484</v>
      </c>
      <c r="E183" s="293">
        <v>307</v>
      </c>
      <c r="F183" s="293">
        <v>0</v>
      </c>
      <c r="G183" s="293">
        <v>314</v>
      </c>
      <c r="H183" s="293">
        <v>189</v>
      </c>
      <c r="I183" s="293">
        <v>125</v>
      </c>
      <c r="J183" s="293">
        <v>0</v>
      </c>
      <c r="K183" s="293">
        <v>477</v>
      </c>
      <c r="L183" s="293">
        <v>295</v>
      </c>
      <c r="M183" s="293">
        <v>182</v>
      </c>
      <c r="N183" s="293">
        <v>0</v>
      </c>
      <c r="O183" s="293">
        <v>0</v>
      </c>
      <c r="P183" s="293">
        <v>0</v>
      </c>
    </row>
    <row r="184" spans="1:16" ht="5.0999999999999996" customHeight="1">
      <c r="C184" s="294"/>
      <c r="D184" s="294"/>
      <c r="E184" s="294"/>
      <c r="F184" s="294"/>
      <c r="G184" s="294"/>
      <c r="H184" s="294"/>
      <c r="I184" s="294"/>
      <c r="J184" s="294"/>
      <c r="K184" s="294"/>
      <c r="L184" s="294"/>
      <c r="M184" s="294"/>
      <c r="N184" s="294"/>
      <c r="O184" s="294"/>
      <c r="P184" s="294"/>
    </row>
    <row r="185" spans="1:16">
      <c r="B185" s="290" t="s">
        <v>259</v>
      </c>
      <c r="C185" s="294">
        <v>4</v>
      </c>
      <c r="D185" s="294">
        <v>3</v>
      </c>
      <c r="E185" s="294">
        <v>1</v>
      </c>
      <c r="F185" s="294">
        <v>0</v>
      </c>
      <c r="G185" s="294">
        <v>2</v>
      </c>
      <c r="H185" s="294">
        <v>2</v>
      </c>
      <c r="I185" s="294">
        <v>0</v>
      </c>
      <c r="J185" s="294">
        <v>0</v>
      </c>
      <c r="K185" s="294">
        <v>2</v>
      </c>
      <c r="L185" s="294">
        <v>1</v>
      </c>
      <c r="M185" s="294">
        <v>1</v>
      </c>
      <c r="N185" s="294">
        <v>0</v>
      </c>
      <c r="O185" s="294">
        <v>0</v>
      </c>
      <c r="P185" s="294">
        <v>0</v>
      </c>
    </row>
    <row r="186" spans="1:16">
      <c r="B186" s="290" t="s">
        <v>260</v>
      </c>
      <c r="C186" s="294">
        <v>3</v>
      </c>
      <c r="D186" s="294">
        <v>0</v>
      </c>
      <c r="E186" s="294">
        <v>3</v>
      </c>
      <c r="F186" s="294">
        <v>0</v>
      </c>
      <c r="G186" s="294">
        <v>3</v>
      </c>
      <c r="H186" s="294">
        <v>0</v>
      </c>
      <c r="I186" s="294">
        <v>3</v>
      </c>
      <c r="J186" s="294">
        <v>0</v>
      </c>
      <c r="K186" s="294">
        <v>0</v>
      </c>
      <c r="L186" s="294">
        <v>0</v>
      </c>
      <c r="M186" s="294">
        <v>0</v>
      </c>
      <c r="N186" s="294">
        <v>0</v>
      </c>
      <c r="O186" s="294">
        <v>0</v>
      </c>
      <c r="P186" s="294">
        <v>0</v>
      </c>
    </row>
    <row r="187" spans="1:16">
      <c r="B187" s="290" t="s">
        <v>261</v>
      </c>
      <c r="C187" s="294">
        <v>1</v>
      </c>
      <c r="D187" s="294">
        <v>0</v>
      </c>
      <c r="E187" s="294">
        <v>1</v>
      </c>
      <c r="F187" s="294">
        <v>0</v>
      </c>
      <c r="G187" s="294">
        <v>1</v>
      </c>
      <c r="H187" s="294">
        <v>0</v>
      </c>
      <c r="I187" s="294">
        <v>1</v>
      </c>
      <c r="J187" s="294">
        <v>0</v>
      </c>
      <c r="K187" s="294">
        <v>0</v>
      </c>
      <c r="L187" s="294">
        <v>0</v>
      </c>
      <c r="M187" s="294">
        <v>0</v>
      </c>
      <c r="N187" s="294">
        <v>0</v>
      </c>
      <c r="O187" s="294">
        <v>0</v>
      </c>
      <c r="P187" s="294">
        <v>0</v>
      </c>
    </row>
    <row r="188" spans="1:16">
      <c r="B188" s="290" t="s">
        <v>63</v>
      </c>
      <c r="C188" s="294">
        <v>16</v>
      </c>
      <c r="D188" s="294">
        <v>12</v>
      </c>
      <c r="E188" s="294">
        <v>4</v>
      </c>
      <c r="F188" s="294">
        <v>0</v>
      </c>
      <c r="G188" s="294">
        <v>9</v>
      </c>
      <c r="H188" s="294">
        <v>5</v>
      </c>
      <c r="I188" s="294">
        <v>4</v>
      </c>
      <c r="J188" s="294">
        <v>0</v>
      </c>
      <c r="K188" s="294">
        <v>7</v>
      </c>
      <c r="L188" s="294">
        <v>7</v>
      </c>
      <c r="M188" s="294">
        <v>0</v>
      </c>
      <c r="N188" s="294">
        <v>0</v>
      </c>
      <c r="O188" s="294">
        <v>0</v>
      </c>
      <c r="P188" s="294">
        <v>0</v>
      </c>
    </row>
    <row r="189" spans="1:16">
      <c r="B189" s="290" t="s">
        <v>64</v>
      </c>
      <c r="C189" s="294">
        <v>13</v>
      </c>
      <c r="D189" s="294">
        <v>9</v>
      </c>
      <c r="E189" s="294">
        <v>4</v>
      </c>
      <c r="F189" s="294">
        <v>0</v>
      </c>
      <c r="G189" s="294">
        <v>4</v>
      </c>
      <c r="H189" s="294">
        <v>2</v>
      </c>
      <c r="I189" s="294">
        <v>2</v>
      </c>
      <c r="J189" s="294">
        <v>0</v>
      </c>
      <c r="K189" s="294">
        <v>9</v>
      </c>
      <c r="L189" s="294">
        <v>7</v>
      </c>
      <c r="M189" s="294">
        <v>2</v>
      </c>
      <c r="N189" s="294">
        <v>0</v>
      </c>
      <c r="O189" s="294">
        <v>0</v>
      </c>
      <c r="P189" s="294">
        <v>0</v>
      </c>
    </row>
    <row r="190" spans="1:16">
      <c r="B190" s="290" t="s">
        <v>65</v>
      </c>
      <c r="C190" s="294">
        <v>18</v>
      </c>
      <c r="D190" s="294">
        <v>14</v>
      </c>
      <c r="E190" s="294">
        <v>4</v>
      </c>
      <c r="F190" s="294">
        <v>0</v>
      </c>
      <c r="G190" s="294">
        <v>4</v>
      </c>
      <c r="H190" s="294">
        <v>3</v>
      </c>
      <c r="I190" s="294">
        <v>1</v>
      </c>
      <c r="J190" s="294">
        <v>0</v>
      </c>
      <c r="K190" s="294">
        <v>14</v>
      </c>
      <c r="L190" s="294">
        <v>11</v>
      </c>
      <c r="M190" s="294">
        <v>3</v>
      </c>
      <c r="N190" s="294">
        <v>0</v>
      </c>
      <c r="O190" s="294">
        <v>0</v>
      </c>
      <c r="P190" s="294">
        <v>0</v>
      </c>
    </row>
    <row r="191" spans="1:16">
      <c r="B191" s="290" t="s">
        <v>66</v>
      </c>
      <c r="C191" s="294">
        <v>19</v>
      </c>
      <c r="D191" s="294">
        <v>13</v>
      </c>
      <c r="E191" s="294">
        <v>6</v>
      </c>
      <c r="F191" s="294">
        <v>0</v>
      </c>
      <c r="G191" s="294">
        <v>7</v>
      </c>
      <c r="H191" s="294">
        <v>3</v>
      </c>
      <c r="I191" s="294">
        <v>4</v>
      </c>
      <c r="J191" s="294">
        <v>0</v>
      </c>
      <c r="K191" s="294">
        <v>12</v>
      </c>
      <c r="L191" s="294">
        <v>10</v>
      </c>
      <c r="M191" s="294">
        <v>2</v>
      </c>
      <c r="N191" s="294">
        <v>0</v>
      </c>
      <c r="O191" s="294">
        <v>0</v>
      </c>
      <c r="P191" s="294">
        <v>0</v>
      </c>
    </row>
    <row r="192" spans="1:16">
      <c r="B192" s="290" t="s">
        <v>67</v>
      </c>
      <c r="C192" s="294">
        <v>17</v>
      </c>
      <c r="D192" s="294">
        <v>8</v>
      </c>
      <c r="E192" s="294">
        <v>9</v>
      </c>
      <c r="F192" s="294">
        <v>0</v>
      </c>
      <c r="G192" s="294">
        <v>8</v>
      </c>
      <c r="H192" s="294">
        <v>4</v>
      </c>
      <c r="I192" s="294">
        <v>4</v>
      </c>
      <c r="J192" s="294">
        <v>0</v>
      </c>
      <c r="K192" s="294">
        <v>9</v>
      </c>
      <c r="L192" s="294">
        <v>4</v>
      </c>
      <c r="M192" s="294">
        <v>5</v>
      </c>
      <c r="N192" s="294">
        <v>0</v>
      </c>
      <c r="O192" s="294">
        <v>0</v>
      </c>
      <c r="P192" s="294">
        <v>0</v>
      </c>
    </row>
    <row r="193" spans="1:16">
      <c r="B193" s="290" t="s">
        <v>68</v>
      </c>
      <c r="C193" s="294">
        <v>24</v>
      </c>
      <c r="D193" s="294">
        <v>18</v>
      </c>
      <c r="E193" s="294">
        <v>6</v>
      </c>
      <c r="F193" s="294">
        <v>0</v>
      </c>
      <c r="G193" s="294">
        <v>10</v>
      </c>
      <c r="H193" s="294">
        <v>9</v>
      </c>
      <c r="I193" s="294">
        <v>1</v>
      </c>
      <c r="J193" s="294">
        <v>0</v>
      </c>
      <c r="K193" s="294">
        <v>14</v>
      </c>
      <c r="L193" s="294">
        <v>9</v>
      </c>
      <c r="M193" s="294">
        <v>5</v>
      </c>
      <c r="N193" s="294">
        <v>0</v>
      </c>
      <c r="O193" s="294">
        <v>0</v>
      </c>
      <c r="P193" s="294">
        <v>0</v>
      </c>
    </row>
    <row r="194" spans="1:16">
      <c r="B194" s="290" t="s">
        <v>69</v>
      </c>
      <c r="C194" s="294">
        <v>40</v>
      </c>
      <c r="D194" s="294">
        <v>27</v>
      </c>
      <c r="E194" s="294">
        <v>13</v>
      </c>
      <c r="F194" s="294">
        <v>0</v>
      </c>
      <c r="G194" s="294">
        <v>20</v>
      </c>
      <c r="H194" s="294">
        <v>14</v>
      </c>
      <c r="I194" s="294">
        <v>6</v>
      </c>
      <c r="J194" s="294">
        <v>0</v>
      </c>
      <c r="K194" s="294">
        <v>20</v>
      </c>
      <c r="L194" s="294">
        <v>13</v>
      </c>
      <c r="M194" s="294">
        <v>7</v>
      </c>
      <c r="N194" s="294">
        <v>0</v>
      </c>
      <c r="O194" s="294">
        <v>0</v>
      </c>
      <c r="P194" s="294">
        <v>0</v>
      </c>
    </row>
    <row r="195" spans="1:16">
      <c r="B195" s="290" t="s">
        <v>262</v>
      </c>
      <c r="C195" s="294">
        <v>31</v>
      </c>
      <c r="D195" s="294">
        <v>24</v>
      </c>
      <c r="E195" s="294">
        <v>7</v>
      </c>
      <c r="F195" s="294">
        <v>0</v>
      </c>
      <c r="G195" s="294">
        <v>14</v>
      </c>
      <c r="H195" s="294">
        <v>12</v>
      </c>
      <c r="I195" s="294">
        <v>2</v>
      </c>
      <c r="J195" s="294">
        <v>0</v>
      </c>
      <c r="K195" s="294">
        <v>17</v>
      </c>
      <c r="L195" s="294">
        <v>12</v>
      </c>
      <c r="M195" s="294">
        <v>5</v>
      </c>
      <c r="N195" s="294">
        <v>0</v>
      </c>
      <c r="O195" s="294">
        <v>0</v>
      </c>
      <c r="P195" s="294">
        <v>0</v>
      </c>
    </row>
    <row r="196" spans="1:16">
      <c r="B196" s="290" t="s">
        <v>263</v>
      </c>
      <c r="C196" s="294">
        <v>46</v>
      </c>
      <c r="D196" s="294">
        <v>33</v>
      </c>
      <c r="E196" s="294">
        <v>13</v>
      </c>
      <c r="F196" s="294">
        <v>0</v>
      </c>
      <c r="G196" s="294">
        <v>23</v>
      </c>
      <c r="H196" s="294">
        <v>17</v>
      </c>
      <c r="I196" s="294">
        <v>6</v>
      </c>
      <c r="J196" s="294">
        <v>0</v>
      </c>
      <c r="K196" s="294">
        <v>23</v>
      </c>
      <c r="L196" s="294">
        <v>16</v>
      </c>
      <c r="M196" s="294">
        <v>7</v>
      </c>
      <c r="N196" s="294">
        <v>0</v>
      </c>
      <c r="O196" s="294">
        <v>0</v>
      </c>
      <c r="P196" s="294">
        <v>0</v>
      </c>
    </row>
    <row r="197" spans="1:16">
      <c r="B197" s="290" t="s">
        <v>264</v>
      </c>
      <c r="C197" s="294">
        <v>61</v>
      </c>
      <c r="D197" s="294">
        <v>44</v>
      </c>
      <c r="E197" s="294">
        <v>17</v>
      </c>
      <c r="F197" s="294">
        <v>0</v>
      </c>
      <c r="G197" s="294">
        <v>27</v>
      </c>
      <c r="H197" s="294">
        <v>19</v>
      </c>
      <c r="I197" s="294">
        <v>8</v>
      </c>
      <c r="J197" s="294">
        <v>0</v>
      </c>
      <c r="K197" s="294">
        <v>34</v>
      </c>
      <c r="L197" s="294">
        <v>25</v>
      </c>
      <c r="M197" s="294">
        <v>9</v>
      </c>
      <c r="N197" s="294">
        <v>0</v>
      </c>
      <c r="O197" s="294">
        <v>0</v>
      </c>
      <c r="P197" s="294">
        <v>0</v>
      </c>
    </row>
    <row r="198" spans="1:16">
      <c r="B198" s="290" t="s">
        <v>265</v>
      </c>
      <c r="C198" s="294">
        <v>51</v>
      </c>
      <c r="D198" s="294">
        <v>38</v>
      </c>
      <c r="E198" s="294">
        <v>13</v>
      </c>
      <c r="F198" s="294">
        <v>0</v>
      </c>
      <c r="G198" s="294">
        <v>16</v>
      </c>
      <c r="H198" s="294">
        <v>11</v>
      </c>
      <c r="I198" s="294">
        <v>5</v>
      </c>
      <c r="J198" s="294">
        <v>0</v>
      </c>
      <c r="K198" s="294">
        <v>35</v>
      </c>
      <c r="L198" s="294">
        <v>27</v>
      </c>
      <c r="M198" s="294">
        <v>8</v>
      </c>
      <c r="N198" s="294">
        <v>0</v>
      </c>
      <c r="O198" s="294">
        <v>0</v>
      </c>
      <c r="P198" s="294">
        <v>0</v>
      </c>
    </row>
    <row r="199" spans="1:16">
      <c r="B199" s="290" t="s">
        <v>266</v>
      </c>
      <c r="C199" s="294">
        <v>435</v>
      </c>
      <c r="D199" s="294">
        <v>236</v>
      </c>
      <c r="E199" s="294">
        <v>199</v>
      </c>
      <c r="F199" s="294">
        <v>0</v>
      </c>
      <c r="G199" s="294">
        <v>164</v>
      </c>
      <c r="H199" s="294">
        <v>87</v>
      </c>
      <c r="I199" s="294">
        <v>77</v>
      </c>
      <c r="J199" s="294">
        <v>0</v>
      </c>
      <c r="K199" s="294">
        <v>271</v>
      </c>
      <c r="L199" s="294">
        <v>149</v>
      </c>
      <c r="M199" s="294">
        <v>122</v>
      </c>
      <c r="N199" s="294">
        <v>0</v>
      </c>
      <c r="O199" s="294">
        <v>0</v>
      </c>
      <c r="P199" s="294">
        <v>0</v>
      </c>
    </row>
    <row r="200" spans="1:16">
      <c r="B200" s="290" t="s">
        <v>504</v>
      </c>
      <c r="C200" s="294">
        <v>12</v>
      </c>
      <c r="D200" s="294">
        <v>5</v>
      </c>
      <c r="E200" s="294">
        <v>7</v>
      </c>
      <c r="F200" s="294">
        <v>0</v>
      </c>
      <c r="G200" s="294">
        <v>2</v>
      </c>
      <c r="H200" s="294">
        <v>1</v>
      </c>
      <c r="I200" s="294">
        <v>1</v>
      </c>
      <c r="J200" s="294">
        <v>0</v>
      </c>
      <c r="K200" s="294">
        <v>10</v>
      </c>
      <c r="L200" s="294">
        <v>4</v>
      </c>
      <c r="M200" s="294">
        <v>6</v>
      </c>
      <c r="N200" s="294">
        <v>0</v>
      </c>
      <c r="O200" s="294">
        <v>0</v>
      </c>
      <c r="P200" s="294">
        <v>0</v>
      </c>
    </row>
    <row r="201" spans="1:16" ht="5.0999999999999996" customHeight="1">
      <c r="C201" s="294"/>
      <c r="D201" s="294"/>
      <c r="E201" s="294"/>
      <c r="F201" s="294"/>
      <c r="G201" s="294"/>
      <c r="H201" s="294"/>
      <c r="I201" s="294"/>
      <c r="J201" s="294"/>
      <c r="K201" s="294"/>
      <c r="L201" s="294"/>
      <c r="M201" s="294"/>
      <c r="N201" s="294"/>
      <c r="O201" s="294"/>
      <c r="P201" s="294"/>
    </row>
    <row r="202" spans="1:16" s="292" customFormat="1">
      <c r="A202" s="292" t="s">
        <v>85</v>
      </c>
      <c r="C202" s="293">
        <v>175</v>
      </c>
      <c r="D202" s="293">
        <v>125</v>
      </c>
      <c r="E202" s="293">
        <v>50</v>
      </c>
      <c r="F202" s="293">
        <v>0</v>
      </c>
      <c r="G202" s="293">
        <v>157</v>
      </c>
      <c r="H202" s="293">
        <v>112</v>
      </c>
      <c r="I202" s="293">
        <v>45</v>
      </c>
      <c r="J202" s="293">
        <v>0</v>
      </c>
      <c r="K202" s="293">
        <v>18</v>
      </c>
      <c r="L202" s="293">
        <v>13</v>
      </c>
      <c r="M202" s="293">
        <v>5</v>
      </c>
      <c r="N202" s="293">
        <v>0</v>
      </c>
      <c r="O202" s="293">
        <v>0</v>
      </c>
      <c r="P202" s="293">
        <v>0</v>
      </c>
    </row>
    <row r="203" spans="1:16" ht="5.0999999999999996" customHeight="1"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294"/>
      <c r="P203" s="294"/>
    </row>
    <row r="204" spans="1:16">
      <c r="B204" s="290" t="s">
        <v>503</v>
      </c>
      <c r="C204" s="294">
        <v>2</v>
      </c>
      <c r="D204" s="294">
        <v>1</v>
      </c>
      <c r="E204" s="294">
        <v>1</v>
      </c>
      <c r="F204" s="294">
        <v>0</v>
      </c>
      <c r="G204" s="294">
        <v>2</v>
      </c>
      <c r="H204" s="294">
        <v>1</v>
      </c>
      <c r="I204" s="294">
        <v>1</v>
      </c>
      <c r="J204" s="294">
        <v>0</v>
      </c>
      <c r="K204" s="294">
        <v>0</v>
      </c>
      <c r="L204" s="294">
        <v>0</v>
      </c>
      <c r="M204" s="294">
        <v>0</v>
      </c>
      <c r="N204" s="294">
        <v>0</v>
      </c>
      <c r="O204" s="294">
        <v>0</v>
      </c>
      <c r="P204" s="294">
        <v>0</v>
      </c>
    </row>
    <row r="205" spans="1:16">
      <c r="B205" s="290" t="s">
        <v>261</v>
      </c>
      <c r="C205" s="294">
        <v>1</v>
      </c>
      <c r="D205" s="294">
        <v>1</v>
      </c>
      <c r="E205" s="294">
        <v>0</v>
      </c>
      <c r="F205" s="294">
        <v>0</v>
      </c>
      <c r="G205" s="294">
        <v>0</v>
      </c>
      <c r="H205" s="294">
        <v>0</v>
      </c>
      <c r="I205" s="294">
        <v>0</v>
      </c>
      <c r="J205" s="294">
        <v>0</v>
      </c>
      <c r="K205" s="294">
        <v>1</v>
      </c>
      <c r="L205" s="294">
        <v>1</v>
      </c>
      <c r="M205" s="294">
        <v>0</v>
      </c>
      <c r="N205" s="294">
        <v>0</v>
      </c>
      <c r="O205" s="294">
        <v>0</v>
      </c>
      <c r="P205" s="294">
        <v>0</v>
      </c>
    </row>
    <row r="206" spans="1:16">
      <c r="B206" s="290" t="s">
        <v>63</v>
      </c>
      <c r="C206" s="294">
        <v>4</v>
      </c>
      <c r="D206" s="294">
        <v>4</v>
      </c>
      <c r="E206" s="294">
        <v>0</v>
      </c>
      <c r="F206" s="294">
        <v>0</v>
      </c>
      <c r="G206" s="294">
        <v>2</v>
      </c>
      <c r="H206" s="294">
        <v>2</v>
      </c>
      <c r="I206" s="294">
        <v>0</v>
      </c>
      <c r="J206" s="294">
        <v>0</v>
      </c>
      <c r="K206" s="294">
        <v>2</v>
      </c>
      <c r="L206" s="294">
        <v>2</v>
      </c>
      <c r="M206" s="294">
        <v>0</v>
      </c>
      <c r="N206" s="294">
        <v>0</v>
      </c>
      <c r="O206" s="294">
        <v>0</v>
      </c>
      <c r="P206" s="294">
        <v>0</v>
      </c>
    </row>
    <row r="207" spans="1:16">
      <c r="B207" s="290" t="s">
        <v>64</v>
      </c>
      <c r="C207" s="294">
        <v>1</v>
      </c>
      <c r="D207" s="294">
        <v>1</v>
      </c>
      <c r="E207" s="294">
        <v>0</v>
      </c>
      <c r="F207" s="294">
        <v>0</v>
      </c>
      <c r="G207" s="294">
        <v>1</v>
      </c>
      <c r="H207" s="294">
        <v>1</v>
      </c>
      <c r="I207" s="294">
        <v>0</v>
      </c>
      <c r="J207" s="294">
        <v>0</v>
      </c>
      <c r="K207" s="294">
        <v>0</v>
      </c>
      <c r="L207" s="294">
        <v>0</v>
      </c>
      <c r="M207" s="294">
        <v>0</v>
      </c>
      <c r="N207" s="294">
        <v>0</v>
      </c>
      <c r="O207" s="294">
        <v>0</v>
      </c>
      <c r="P207" s="294">
        <v>0</v>
      </c>
    </row>
    <row r="208" spans="1:16">
      <c r="B208" s="290" t="s">
        <v>65</v>
      </c>
      <c r="C208" s="294">
        <v>4</v>
      </c>
      <c r="D208" s="294">
        <v>3</v>
      </c>
      <c r="E208" s="294">
        <v>1</v>
      </c>
      <c r="F208" s="294">
        <v>0</v>
      </c>
      <c r="G208" s="294">
        <v>4</v>
      </c>
      <c r="H208" s="294">
        <v>3</v>
      </c>
      <c r="I208" s="294">
        <v>1</v>
      </c>
      <c r="J208" s="294">
        <v>0</v>
      </c>
      <c r="K208" s="294">
        <v>0</v>
      </c>
      <c r="L208" s="294">
        <v>0</v>
      </c>
      <c r="M208" s="294">
        <v>0</v>
      </c>
      <c r="N208" s="294">
        <v>0</v>
      </c>
      <c r="O208" s="294">
        <v>0</v>
      </c>
      <c r="P208" s="294">
        <v>0</v>
      </c>
    </row>
    <row r="209" spans="1:16">
      <c r="B209" s="290" t="s">
        <v>66</v>
      </c>
      <c r="C209" s="294">
        <v>4</v>
      </c>
      <c r="D209" s="294">
        <v>3</v>
      </c>
      <c r="E209" s="294">
        <v>1</v>
      </c>
      <c r="F209" s="294">
        <v>0</v>
      </c>
      <c r="G209" s="294">
        <v>4</v>
      </c>
      <c r="H209" s="294">
        <v>3</v>
      </c>
      <c r="I209" s="294">
        <v>1</v>
      </c>
      <c r="J209" s="294">
        <v>0</v>
      </c>
      <c r="K209" s="294">
        <v>0</v>
      </c>
      <c r="L209" s="294">
        <v>0</v>
      </c>
      <c r="M209" s="294">
        <v>0</v>
      </c>
      <c r="N209" s="294">
        <v>0</v>
      </c>
      <c r="O209" s="294">
        <v>0</v>
      </c>
      <c r="P209" s="294">
        <v>0</v>
      </c>
    </row>
    <row r="210" spans="1:16">
      <c r="B210" s="290" t="s">
        <v>67</v>
      </c>
      <c r="C210" s="294">
        <v>7</v>
      </c>
      <c r="D210" s="294">
        <v>6</v>
      </c>
      <c r="E210" s="294">
        <v>1</v>
      </c>
      <c r="F210" s="294">
        <v>0</v>
      </c>
      <c r="G210" s="294">
        <v>7</v>
      </c>
      <c r="H210" s="294">
        <v>6</v>
      </c>
      <c r="I210" s="294">
        <v>1</v>
      </c>
      <c r="J210" s="294">
        <v>0</v>
      </c>
      <c r="K210" s="294">
        <v>0</v>
      </c>
      <c r="L210" s="294">
        <v>0</v>
      </c>
      <c r="M210" s="294">
        <v>0</v>
      </c>
      <c r="N210" s="294">
        <v>0</v>
      </c>
      <c r="O210" s="294">
        <v>0</v>
      </c>
      <c r="P210" s="294">
        <v>0</v>
      </c>
    </row>
    <row r="211" spans="1:16">
      <c r="B211" s="290" t="s">
        <v>68</v>
      </c>
      <c r="C211" s="294">
        <v>8</v>
      </c>
      <c r="D211" s="294">
        <v>6</v>
      </c>
      <c r="E211" s="294">
        <v>2</v>
      </c>
      <c r="F211" s="294">
        <v>0</v>
      </c>
      <c r="G211" s="294">
        <v>7</v>
      </c>
      <c r="H211" s="294">
        <v>5</v>
      </c>
      <c r="I211" s="294">
        <v>2</v>
      </c>
      <c r="J211" s="294">
        <v>0</v>
      </c>
      <c r="K211" s="294">
        <v>1</v>
      </c>
      <c r="L211" s="294">
        <v>1</v>
      </c>
      <c r="M211" s="294">
        <v>0</v>
      </c>
      <c r="N211" s="294">
        <v>0</v>
      </c>
      <c r="O211" s="294">
        <v>0</v>
      </c>
      <c r="P211" s="294">
        <v>0</v>
      </c>
    </row>
    <row r="212" spans="1:16">
      <c r="B212" s="290" t="s">
        <v>69</v>
      </c>
      <c r="C212" s="294">
        <v>4</v>
      </c>
      <c r="D212" s="294">
        <v>3</v>
      </c>
      <c r="E212" s="294">
        <v>1</v>
      </c>
      <c r="F212" s="294">
        <v>0</v>
      </c>
      <c r="G212" s="294">
        <v>4</v>
      </c>
      <c r="H212" s="294">
        <v>3</v>
      </c>
      <c r="I212" s="294">
        <v>1</v>
      </c>
      <c r="J212" s="294">
        <v>0</v>
      </c>
      <c r="K212" s="294">
        <v>0</v>
      </c>
      <c r="L212" s="294">
        <v>0</v>
      </c>
      <c r="M212" s="294">
        <v>0</v>
      </c>
      <c r="N212" s="294">
        <v>0</v>
      </c>
      <c r="O212" s="294">
        <v>0</v>
      </c>
      <c r="P212" s="294">
        <v>0</v>
      </c>
    </row>
    <row r="213" spans="1:16">
      <c r="B213" s="290" t="s">
        <v>262</v>
      </c>
      <c r="C213" s="294">
        <v>11</v>
      </c>
      <c r="D213" s="294">
        <v>8</v>
      </c>
      <c r="E213" s="294">
        <v>3</v>
      </c>
      <c r="F213" s="294">
        <v>0</v>
      </c>
      <c r="G213" s="294">
        <v>11</v>
      </c>
      <c r="H213" s="294">
        <v>8</v>
      </c>
      <c r="I213" s="294">
        <v>3</v>
      </c>
      <c r="J213" s="294">
        <v>0</v>
      </c>
      <c r="K213" s="294">
        <v>0</v>
      </c>
      <c r="L213" s="294">
        <v>0</v>
      </c>
      <c r="M213" s="294">
        <v>0</v>
      </c>
      <c r="N213" s="294">
        <v>0</v>
      </c>
      <c r="O213" s="294">
        <v>0</v>
      </c>
      <c r="P213" s="294">
        <v>0</v>
      </c>
    </row>
    <row r="214" spans="1:16">
      <c r="B214" s="290" t="s">
        <v>263</v>
      </c>
      <c r="C214" s="294">
        <v>7</v>
      </c>
      <c r="D214" s="294">
        <v>4</v>
      </c>
      <c r="E214" s="294">
        <v>3</v>
      </c>
      <c r="F214" s="294">
        <v>0</v>
      </c>
      <c r="G214" s="294">
        <v>6</v>
      </c>
      <c r="H214" s="294">
        <v>4</v>
      </c>
      <c r="I214" s="294">
        <v>2</v>
      </c>
      <c r="J214" s="294">
        <v>0</v>
      </c>
      <c r="K214" s="294">
        <v>1</v>
      </c>
      <c r="L214" s="294">
        <v>0</v>
      </c>
      <c r="M214" s="294">
        <v>1</v>
      </c>
      <c r="N214" s="294">
        <v>0</v>
      </c>
      <c r="O214" s="294">
        <v>0</v>
      </c>
      <c r="P214" s="294">
        <v>0</v>
      </c>
    </row>
    <row r="215" spans="1:16">
      <c r="B215" s="290" t="s">
        <v>264</v>
      </c>
      <c r="C215" s="294">
        <v>12</v>
      </c>
      <c r="D215" s="294">
        <v>11</v>
      </c>
      <c r="E215" s="294">
        <v>1</v>
      </c>
      <c r="F215" s="294">
        <v>0</v>
      </c>
      <c r="G215" s="294">
        <v>11</v>
      </c>
      <c r="H215" s="294">
        <v>10</v>
      </c>
      <c r="I215" s="294">
        <v>1</v>
      </c>
      <c r="J215" s="294">
        <v>0</v>
      </c>
      <c r="K215" s="294">
        <v>1</v>
      </c>
      <c r="L215" s="294">
        <v>1</v>
      </c>
      <c r="M215" s="294">
        <v>0</v>
      </c>
      <c r="N215" s="294">
        <v>0</v>
      </c>
      <c r="O215" s="294">
        <v>0</v>
      </c>
      <c r="P215" s="294">
        <v>0</v>
      </c>
    </row>
    <row r="216" spans="1:16">
      <c r="B216" s="290" t="s">
        <v>265</v>
      </c>
      <c r="C216" s="294">
        <v>19</v>
      </c>
      <c r="D216" s="294">
        <v>13</v>
      </c>
      <c r="E216" s="294">
        <v>6</v>
      </c>
      <c r="F216" s="294">
        <v>0</v>
      </c>
      <c r="G216" s="294">
        <v>17</v>
      </c>
      <c r="H216" s="294">
        <v>13</v>
      </c>
      <c r="I216" s="294">
        <v>4</v>
      </c>
      <c r="J216" s="294">
        <v>0</v>
      </c>
      <c r="K216" s="294">
        <v>2</v>
      </c>
      <c r="L216" s="294">
        <v>0</v>
      </c>
      <c r="M216" s="294">
        <v>2</v>
      </c>
      <c r="N216" s="294">
        <v>0</v>
      </c>
      <c r="O216" s="294">
        <v>0</v>
      </c>
      <c r="P216" s="294">
        <v>0</v>
      </c>
    </row>
    <row r="217" spans="1:16">
      <c r="B217" s="290" t="s">
        <v>266</v>
      </c>
      <c r="C217" s="294">
        <v>89</v>
      </c>
      <c r="D217" s="294">
        <v>61</v>
      </c>
      <c r="E217" s="294">
        <v>28</v>
      </c>
      <c r="F217" s="294">
        <v>0</v>
      </c>
      <c r="G217" s="294">
        <v>80</v>
      </c>
      <c r="H217" s="294">
        <v>53</v>
      </c>
      <c r="I217" s="294">
        <v>27</v>
      </c>
      <c r="J217" s="294">
        <v>0</v>
      </c>
      <c r="K217" s="294">
        <v>9</v>
      </c>
      <c r="L217" s="294">
        <v>8</v>
      </c>
      <c r="M217" s="294">
        <v>1</v>
      </c>
      <c r="N217" s="294">
        <v>0</v>
      </c>
      <c r="O217" s="294">
        <v>0</v>
      </c>
      <c r="P217" s="294">
        <v>0</v>
      </c>
    </row>
    <row r="218" spans="1:16">
      <c r="B218" s="290" t="s">
        <v>504</v>
      </c>
      <c r="C218" s="294">
        <v>2</v>
      </c>
      <c r="D218" s="294">
        <v>0</v>
      </c>
      <c r="E218" s="294">
        <v>2</v>
      </c>
      <c r="F218" s="294">
        <v>0</v>
      </c>
      <c r="G218" s="294">
        <v>1</v>
      </c>
      <c r="H218" s="294">
        <v>0</v>
      </c>
      <c r="I218" s="294">
        <v>1</v>
      </c>
      <c r="J218" s="294">
        <v>0</v>
      </c>
      <c r="K218" s="294">
        <v>1</v>
      </c>
      <c r="L218" s="294">
        <v>0</v>
      </c>
      <c r="M218" s="294">
        <v>1</v>
      </c>
      <c r="N218" s="294">
        <v>0</v>
      </c>
      <c r="O218" s="294">
        <v>0</v>
      </c>
      <c r="P218" s="294">
        <v>0</v>
      </c>
    </row>
    <row r="219" spans="1:16" ht="5.0999999999999996" customHeight="1">
      <c r="C219" s="294"/>
      <c r="D219" s="294"/>
      <c r="E219" s="294"/>
      <c r="F219" s="294"/>
      <c r="G219" s="294"/>
      <c r="H219" s="294"/>
      <c r="I219" s="294"/>
      <c r="J219" s="294"/>
      <c r="K219" s="294"/>
      <c r="L219" s="294"/>
      <c r="M219" s="294"/>
      <c r="N219" s="294"/>
      <c r="O219" s="294"/>
      <c r="P219" s="294"/>
    </row>
    <row r="220" spans="1:16" s="292" customFormat="1">
      <c r="A220" s="292" t="s">
        <v>86</v>
      </c>
      <c r="C220" s="293">
        <v>665</v>
      </c>
      <c r="D220" s="293">
        <v>416</v>
      </c>
      <c r="E220" s="293">
        <v>249</v>
      </c>
      <c r="F220" s="293">
        <v>0</v>
      </c>
      <c r="G220" s="293">
        <v>615</v>
      </c>
      <c r="H220" s="293">
        <v>389</v>
      </c>
      <c r="I220" s="293">
        <v>226</v>
      </c>
      <c r="J220" s="293">
        <v>0</v>
      </c>
      <c r="K220" s="293">
        <v>0</v>
      </c>
      <c r="L220" s="293">
        <v>0</v>
      </c>
      <c r="M220" s="293">
        <v>0</v>
      </c>
      <c r="N220" s="293">
        <v>50</v>
      </c>
      <c r="O220" s="293">
        <v>27</v>
      </c>
      <c r="P220" s="293">
        <v>23</v>
      </c>
    </row>
    <row r="221" spans="1:16" ht="5.0999999999999996" customHeight="1"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294"/>
      <c r="P221" s="294"/>
    </row>
    <row r="222" spans="1:16">
      <c r="B222" s="290" t="s">
        <v>503</v>
      </c>
      <c r="C222" s="294">
        <v>11</v>
      </c>
      <c r="D222" s="294">
        <v>11</v>
      </c>
      <c r="E222" s="294">
        <v>0</v>
      </c>
      <c r="F222" s="294">
        <v>0</v>
      </c>
      <c r="G222" s="294">
        <v>10</v>
      </c>
      <c r="H222" s="294">
        <v>10</v>
      </c>
      <c r="I222" s="294">
        <v>0</v>
      </c>
      <c r="J222" s="294">
        <v>0</v>
      </c>
      <c r="K222" s="294">
        <v>0</v>
      </c>
      <c r="L222" s="294">
        <v>0</v>
      </c>
      <c r="M222" s="294">
        <v>0</v>
      </c>
      <c r="N222" s="294">
        <v>1</v>
      </c>
      <c r="O222" s="294">
        <v>1</v>
      </c>
      <c r="P222" s="294">
        <v>0</v>
      </c>
    </row>
    <row r="223" spans="1:16">
      <c r="B223" s="290" t="s">
        <v>259</v>
      </c>
      <c r="C223" s="294">
        <v>4</v>
      </c>
      <c r="D223" s="294">
        <v>4</v>
      </c>
      <c r="E223" s="294">
        <v>0</v>
      </c>
      <c r="F223" s="294">
        <v>0</v>
      </c>
      <c r="G223" s="294">
        <v>4</v>
      </c>
      <c r="H223" s="294">
        <v>4</v>
      </c>
      <c r="I223" s="294">
        <v>0</v>
      </c>
      <c r="J223" s="294">
        <v>0</v>
      </c>
      <c r="K223" s="294">
        <v>0</v>
      </c>
      <c r="L223" s="294">
        <v>0</v>
      </c>
      <c r="M223" s="294">
        <v>0</v>
      </c>
      <c r="N223" s="294">
        <v>0</v>
      </c>
      <c r="O223" s="294">
        <v>0</v>
      </c>
      <c r="P223" s="294">
        <v>0</v>
      </c>
    </row>
    <row r="224" spans="1:16">
      <c r="B224" s="290" t="s">
        <v>260</v>
      </c>
      <c r="C224" s="294">
        <v>3</v>
      </c>
      <c r="D224" s="294">
        <v>2</v>
      </c>
      <c r="E224" s="294">
        <v>1</v>
      </c>
      <c r="F224" s="294">
        <v>0</v>
      </c>
      <c r="G224" s="294">
        <v>3</v>
      </c>
      <c r="H224" s="294">
        <v>2</v>
      </c>
      <c r="I224" s="294">
        <v>1</v>
      </c>
      <c r="J224" s="294">
        <v>0</v>
      </c>
      <c r="K224" s="294">
        <v>0</v>
      </c>
      <c r="L224" s="294">
        <v>0</v>
      </c>
      <c r="M224" s="294">
        <v>0</v>
      </c>
      <c r="N224" s="294">
        <v>0</v>
      </c>
      <c r="O224" s="294">
        <v>0</v>
      </c>
      <c r="P224" s="294">
        <v>0</v>
      </c>
    </row>
    <row r="225" spans="1:16">
      <c r="B225" s="290" t="s">
        <v>261</v>
      </c>
      <c r="C225" s="294">
        <v>5</v>
      </c>
      <c r="D225" s="294">
        <v>5</v>
      </c>
      <c r="E225" s="294">
        <v>0</v>
      </c>
      <c r="F225" s="294">
        <v>0</v>
      </c>
      <c r="G225" s="294">
        <v>5</v>
      </c>
      <c r="H225" s="294">
        <v>5</v>
      </c>
      <c r="I225" s="294">
        <v>0</v>
      </c>
      <c r="J225" s="294">
        <v>0</v>
      </c>
      <c r="K225" s="294">
        <v>0</v>
      </c>
      <c r="L225" s="294">
        <v>0</v>
      </c>
      <c r="M225" s="294">
        <v>0</v>
      </c>
      <c r="N225" s="294">
        <v>0</v>
      </c>
      <c r="O225" s="294">
        <v>0</v>
      </c>
      <c r="P225" s="294">
        <v>0</v>
      </c>
    </row>
    <row r="226" spans="1:16">
      <c r="B226" s="290" t="s">
        <v>63</v>
      </c>
      <c r="C226" s="294">
        <v>16</v>
      </c>
      <c r="D226" s="294">
        <v>12</v>
      </c>
      <c r="E226" s="294">
        <v>4</v>
      </c>
      <c r="F226" s="294">
        <v>0</v>
      </c>
      <c r="G226" s="294">
        <v>14</v>
      </c>
      <c r="H226" s="294">
        <v>11</v>
      </c>
      <c r="I226" s="294">
        <v>3</v>
      </c>
      <c r="J226" s="294">
        <v>0</v>
      </c>
      <c r="K226" s="294">
        <v>0</v>
      </c>
      <c r="L226" s="294">
        <v>0</v>
      </c>
      <c r="M226" s="294">
        <v>0</v>
      </c>
      <c r="N226" s="294">
        <v>2</v>
      </c>
      <c r="O226" s="294">
        <v>1</v>
      </c>
      <c r="P226" s="294">
        <v>1</v>
      </c>
    </row>
    <row r="227" spans="1:16">
      <c r="B227" s="290" t="s">
        <v>64</v>
      </c>
      <c r="C227" s="294">
        <v>17</v>
      </c>
      <c r="D227" s="294">
        <v>13</v>
      </c>
      <c r="E227" s="294">
        <v>4</v>
      </c>
      <c r="F227" s="294">
        <v>0</v>
      </c>
      <c r="G227" s="294">
        <v>16</v>
      </c>
      <c r="H227" s="294">
        <v>13</v>
      </c>
      <c r="I227" s="294">
        <v>3</v>
      </c>
      <c r="J227" s="294">
        <v>0</v>
      </c>
      <c r="K227" s="294">
        <v>0</v>
      </c>
      <c r="L227" s="294">
        <v>0</v>
      </c>
      <c r="M227" s="294">
        <v>0</v>
      </c>
      <c r="N227" s="294">
        <v>1</v>
      </c>
      <c r="O227" s="294">
        <v>0</v>
      </c>
      <c r="P227" s="294">
        <v>1</v>
      </c>
    </row>
    <row r="228" spans="1:16">
      <c r="B228" s="290" t="s">
        <v>65</v>
      </c>
      <c r="C228" s="294">
        <v>28</v>
      </c>
      <c r="D228" s="294">
        <v>24</v>
      </c>
      <c r="E228" s="294">
        <v>4</v>
      </c>
      <c r="F228" s="294">
        <v>0</v>
      </c>
      <c r="G228" s="294">
        <v>27</v>
      </c>
      <c r="H228" s="294">
        <v>23</v>
      </c>
      <c r="I228" s="294">
        <v>4</v>
      </c>
      <c r="J228" s="294">
        <v>0</v>
      </c>
      <c r="K228" s="294">
        <v>0</v>
      </c>
      <c r="L228" s="294">
        <v>0</v>
      </c>
      <c r="M228" s="294">
        <v>0</v>
      </c>
      <c r="N228" s="294">
        <v>1</v>
      </c>
      <c r="O228" s="294">
        <v>1</v>
      </c>
      <c r="P228" s="294">
        <v>0</v>
      </c>
    </row>
    <row r="229" spans="1:16">
      <c r="B229" s="290" t="s">
        <v>66</v>
      </c>
      <c r="C229" s="294">
        <v>18</v>
      </c>
      <c r="D229" s="294">
        <v>14</v>
      </c>
      <c r="E229" s="294">
        <v>4</v>
      </c>
      <c r="F229" s="294">
        <v>0</v>
      </c>
      <c r="G229" s="294">
        <v>17</v>
      </c>
      <c r="H229" s="294">
        <v>13</v>
      </c>
      <c r="I229" s="294">
        <v>4</v>
      </c>
      <c r="J229" s="294">
        <v>0</v>
      </c>
      <c r="K229" s="294">
        <v>0</v>
      </c>
      <c r="L229" s="294">
        <v>0</v>
      </c>
      <c r="M229" s="294">
        <v>0</v>
      </c>
      <c r="N229" s="294">
        <v>1</v>
      </c>
      <c r="O229" s="294">
        <v>1</v>
      </c>
      <c r="P229" s="294">
        <v>0</v>
      </c>
    </row>
    <row r="230" spans="1:16">
      <c r="B230" s="290" t="s">
        <v>67</v>
      </c>
      <c r="C230" s="294">
        <v>30</v>
      </c>
      <c r="D230" s="294">
        <v>21</v>
      </c>
      <c r="E230" s="294">
        <v>9</v>
      </c>
      <c r="F230" s="294">
        <v>0</v>
      </c>
      <c r="G230" s="294">
        <v>26</v>
      </c>
      <c r="H230" s="294">
        <v>18</v>
      </c>
      <c r="I230" s="294">
        <v>8</v>
      </c>
      <c r="J230" s="294">
        <v>0</v>
      </c>
      <c r="K230" s="294">
        <v>0</v>
      </c>
      <c r="L230" s="294">
        <v>0</v>
      </c>
      <c r="M230" s="294">
        <v>0</v>
      </c>
      <c r="N230" s="294">
        <v>4</v>
      </c>
      <c r="O230" s="294">
        <v>3</v>
      </c>
      <c r="P230" s="294">
        <v>1</v>
      </c>
    </row>
    <row r="231" spans="1:16">
      <c r="B231" s="290" t="s">
        <v>68</v>
      </c>
      <c r="C231" s="294">
        <v>31</v>
      </c>
      <c r="D231" s="294">
        <v>20</v>
      </c>
      <c r="E231" s="294">
        <v>11</v>
      </c>
      <c r="F231" s="294">
        <v>0</v>
      </c>
      <c r="G231" s="294">
        <v>27</v>
      </c>
      <c r="H231" s="294">
        <v>18</v>
      </c>
      <c r="I231" s="294">
        <v>9</v>
      </c>
      <c r="J231" s="294">
        <v>0</v>
      </c>
      <c r="K231" s="294">
        <v>0</v>
      </c>
      <c r="L231" s="294">
        <v>0</v>
      </c>
      <c r="M231" s="294">
        <v>0</v>
      </c>
      <c r="N231" s="294">
        <v>4</v>
      </c>
      <c r="O231" s="294">
        <v>2</v>
      </c>
      <c r="P231" s="294">
        <v>2</v>
      </c>
    </row>
    <row r="232" spans="1:16">
      <c r="B232" s="290" t="s">
        <v>69</v>
      </c>
      <c r="C232" s="294">
        <v>36</v>
      </c>
      <c r="D232" s="294">
        <v>16</v>
      </c>
      <c r="E232" s="294">
        <v>20</v>
      </c>
      <c r="F232" s="294">
        <v>0</v>
      </c>
      <c r="G232" s="294">
        <v>33</v>
      </c>
      <c r="H232" s="294">
        <v>15</v>
      </c>
      <c r="I232" s="294">
        <v>18</v>
      </c>
      <c r="J232" s="294">
        <v>0</v>
      </c>
      <c r="K232" s="294">
        <v>0</v>
      </c>
      <c r="L232" s="294">
        <v>0</v>
      </c>
      <c r="M232" s="294">
        <v>0</v>
      </c>
      <c r="N232" s="294">
        <v>3</v>
      </c>
      <c r="O232" s="294">
        <v>1</v>
      </c>
      <c r="P232" s="294">
        <v>2</v>
      </c>
    </row>
    <row r="233" spans="1:16">
      <c r="B233" s="290" t="s">
        <v>262</v>
      </c>
      <c r="C233" s="294">
        <v>41</v>
      </c>
      <c r="D233" s="294">
        <v>24</v>
      </c>
      <c r="E233" s="294">
        <v>17</v>
      </c>
      <c r="F233" s="294">
        <v>0</v>
      </c>
      <c r="G233" s="294">
        <v>37</v>
      </c>
      <c r="H233" s="294">
        <v>21</v>
      </c>
      <c r="I233" s="294">
        <v>16</v>
      </c>
      <c r="J233" s="294">
        <v>0</v>
      </c>
      <c r="K233" s="294">
        <v>0</v>
      </c>
      <c r="L233" s="294">
        <v>0</v>
      </c>
      <c r="M233" s="294">
        <v>0</v>
      </c>
      <c r="N233" s="294">
        <v>4</v>
      </c>
      <c r="O233" s="294">
        <v>3</v>
      </c>
      <c r="P233" s="294">
        <v>1</v>
      </c>
    </row>
    <row r="234" spans="1:16">
      <c r="B234" s="290" t="s">
        <v>263</v>
      </c>
      <c r="C234" s="294">
        <v>39</v>
      </c>
      <c r="D234" s="294">
        <v>25</v>
      </c>
      <c r="E234" s="294">
        <v>14</v>
      </c>
      <c r="F234" s="294">
        <v>0</v>
      </c>
      <c r="G234" s="294">
        <v>36</v>
      </c>
      <c r="H234" s="294">
        <v>24</v>
      </c>
      <c r="I234" s="294">
        <v>12</v>
      </c>
      <c r="J234" s="294">
        <v>0</v>
      </c>
      <c r="K234" s="294">
        <v>0</v>
      </c>
      <c r="L234" s="294">
        <v>0</v>
      </c>
      <c r="M234" s="294">
        <v>0</v>
      </c>
      <c r="N234" s="294">
        <v>3</v>
      </c>
      <c r="O234" s="294">
        <v>1</v>
      </c>
      <c r="P234" s="294">
        <v>2</v>
      </c>
    </row>
    <row r="235" spans="1:16">
      <c r="B235" s="290" t="s">
        <v>264</v>
      </c>
      <c r="C235" s="294">
        <v>35</v>
      </c>
      <c r="D235" s="294">
        <v>18</v>
      </c>
      <c r="E235" s="294">
        <v>17</v>
      </c>
      <c r="F235" s="294">
        <v>0</v>
      </c>
      <c r="G235" s="294">
        <v>33</v>
      </c>
      <c r="H235" s="294">
        <v>18</v>
      </c>
      <c r="I235" s="294">
        <v>15</v>
      </c>
      <c r="J235" s="294">
        <v>0</v>
      </c>
      <c r="K235" s="294">
        <v>0</v>
      </c>
      <c r="L235" s="294">
        <v>0</v>
      </c>
      <c r="M235" s="294">
        <v>0</v>
      </c>
      <c r="N235" s="294">
        <v>2</v>
      </c>
      <c r="O235" s="294">
        <v>0</v>
      </c>
      <c r="P235" s="294">
        <v>2</v>
      </c>
    </row>
    <row r="236" spans="1:16">
      <c r="B236" s="290" t="s">
        <v>265</v>
      </c>
      <c r="C236" s="294">
        <v>47</v>
      </c>
      <c r="D236" s="294">
        <v>25</v>
      </c>
      <c r="E236" s="294">
        <v>22</v>
      </c>
      <c r="F236" s="294">
        <v>0</v>
      </c>
      <c r="G236" s="294">
        <v>46</v>
      </c>
      <c r="H236" s="294">
        <v>25</v>
      </c>
      <c r="I236" s="294">
        <v>21</v>
      </c>
      <c r="J236" s="294">
        <v>0</v>
      </c>
      <c r="K236" s="294">
        <v>0</v>
      </c>
      <c r="L236" s="294">
        <v>0</v>
      </c>
      <c r="M236" s="294">
        <v>0</v>
      </c>
      <c r="N236" s="294">
        <v>1</v>
      </c>
      <c r="O236" s="294">
        <v>0</v>
      </c>
      <c r="P236" s="294">
        <v>1</v>
      </c>
    </row>
    <row r="237" spans="1:16">
      <c r="B237" s="290" t="s">
        <v>266</v>
      </c>
      <c r="C237" s="294">
        <v>283</v>
      </c>
      <c r="D237" s="294">
        <v>168</v>
      </c>
      <c r="E237" s="294">
        <v>115</v>
      </c>
      <c r="F237" s="294">
        <v>0</v>
      </c>
      <c r="G237" s="294">
        <v>264</v>
      </c>
      <c r="H237" s="294">
        <v>157</v>
      </c>
      <c r="I237" s="294">
        <v>107</v>
      </c>
      <c r="J237" s="294">
        <v>0</v>
      </c>
      <c r="K237" s="294">
        <v>0</v>
      </c>
      <c r="L237" s="294">
        <v>0</v>
      </c>
      <c r="M237" s="294">
        <v>0</v>
      </c>
      <c r="N237" s="294">
        <v>19</v>
      </c>
      <c r="O237" s="294">
        <v>11</v>
      </c>
      <c r="P237" s="294">
        <v>8</v>
      </c>
    </row>
    <row r="238" spans="1:16">
      <c r="B238" s="290" t="s">
        <v>504</v>
      </c>
      <c r="C238" s="294">
        <v>21</v>
      </c>
      <c r="D238" s="294">
        <v>14</v>
      </c>
      <c r="E238" s="294">
        <v>7</v>
      </c>
      <c r="F238" s="294">
        <v>0</v>
      </c>
      <c r="G238" s="294">
        <v>17</v>
      </c>
      <c r="H238" s="294">
        <v>12</v>
      </c>
      <c r="I238" s="294">
        <v>5</v>
      </c>
      <c r="J238" s="294">
        <v>0</v>
      </c>
      <c r="K238" s="294">
        <v>0</v>
      </c>
      <c r="L238" s="294">
        <v>0</v>
      </c>
      <c r="M238" s="294">
        <v>0</v>
      </c>
      <c r="N238" s="294">
        <v>4</v>
      </c>
      <c r="O238" s="294">
        <v>2</v>
      </c>
      <c r="P238" s="294">
        <v>2</v>
      </c>
    </row>
    <row r="239" spans="1:16" ht="5.0999999999999996" customHeight="1"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294"/>
      <c r="P239" s="294"/>
    </row>
    <row r="240" spans="1:16" s="292" customFormat="1">
      <c r="A240" s="292" t="s">
        <v>87</v>
      </c>
      <c r="C240" s="293">
        <v>607</v>
      </c>
      <c r="D240" s="293">
        <v>331</v>
      </c>
      <c r="E240" s="293">
        <v>274</v>
      </c>
      <c r="F240" s="293">
        <v>2</v>
      </c>
      <c r="G240" s="293">
        <v>474</v>
      </c>
      <c r="H240" s="293">
        <v>259</v>
      </c>
      <c r="I240" s="293">
        <v>213</v>
      </c>
      <c r="J240" s="293">
        <v>2</v>
      </c>
      <c r="K240" s="293">
        <v>132</v>
      </c>
      <c r="L240" s="293">
        <v>71</v>
      </c>
      <c r="M240" s="293">
        <v>61</v>
      </c>
      <c r="N240" s="293">
        <v>1</v>
      </c>
      <c r="O240" s="293">
        <v>1</v>
      </c>
      <c r="P240" s="293">
        <v>0</v>
      </c>
    </row>
    <row r="241" spans="2:16" ht="5.0999999999999996" customHeight="1">
      <c r="C241" s="294"/>
      <c r="D241" s="294"/>
      <c r="E241" s="294"/>
      <c r="F241" s="294"/>
      <c r="G241" s="294"/>
      <c r="H241" s="294"/>
      <c r="I241" s="294"/>
      <c r="J241" s="294"/>
      <c r="K241" s="294"/>
      <c r="L241" s="294"/>
      <c r="M241" s="294"/>
      <c r="N241" s="294"/>
      <c r="O241" s="294"/>
      <c r="P241" s="294"/>
    </row>
    <row r="242" spans="2:16">
      <c r="B242" s="290" t="s">
        <v>503</v>
      </c>
      <c r="C242" s="294">
        <v>7</v>
      </c>
      <c r="D242" s="294">
        <v>2</v>
      </c>
      <c r="E242" s="294">
        <v>3</v>
      </c>
      <c r="F242" s="294">
        <v>2</v>
      </c>
      <c r="G242" s="294">
        <v>6</v>
      </c>
      <c r="H242" s="294">
        <v>2</v>
      </c>
      <c r="I242" s="294">
        <v>2</v>
      </c>
      <c r="J242" s="294">
        <v>2</v>
      </c>
      <c r="K242" s="294">
        <v>1</v>
      </c>
      <c r="L242" s="294">
        <v>0</v>
      </c>
      <c r="M242" s="294">
        <v>1</v>
      </c>
      <c r="N242" s="294">
        <v>0</v>
      </c>
      <c r="O242" s="294">
        <v>0</v>
      </c>
      <c r="P242" s="294">
        <v>0</v>
      </c>
    </row>
    <row r="243" spans="2:16">
      <c r="B243" s="290" t="s">
        <v>260</v>
      </c>
      <c r="C243" s="294">
        <v>2</v>
      </c>
      <c r="D243" s="294">
        <v>1</v>
      </c>
      <c r="E243" s="294">
        <v>1</v>
      </c>
      <c r="F243" s="294">
        <v>0</v>
      </c>
      <c r="G243" s="294">
        <v>1</v>
      </c>
      <c r="H243" s="294">
        <v>1</v>
      </c>
      <c r="I243" s="294">
        <v>0</v>
      </c>
      <c r="J243" s="294">
        <v>0</v>
      </c>
      <c r="K243" s="294">
        <v>1</v>
      </c>
      <c r="L243" s="294">
        <v>0</v>
      </c>
      <c r="M243" s="294">
        <v>1</v>
      </c>
      <c r="N243" s="294">
        <v>0</v>
      </c>
      <c r="O243" s="294">
        <v>0</v>
      </c>
      <c r="P243" s="294">
        <v>0</v>
      </c>
    </row>
    <row r="244" spans="2:16">
      <c r="B244" s="290" t="s">
        <v>261</v>
      </c>
      <c r="C244" s="294">
        <v>1</v>
      </c>
      <c r="D244" s="294">
        <v>1</v>
      </c>
      <c r="E244" s="294">
        <v>0</v>
      </c>
      <c r="F244" s="294">
        <v>0</v>
      </c>
      <c r="G244" s="294">
        <v>1</v>
      </c>
      <c r="H244" s="294">
        <v>1</v>
      </c>
      <c r="I244" s="294">
        <v>0</v>
      </c>
      <c r="J244" s="294">
        <v>0</v>
      </c>
      <c r="K244" s="294">
        <v>0</v>
      </c>
      <c r="L244" s="294">
        <v>0</v>
      </c>
      <c r="M244" s="294">
        <v>0</v>
      </c>
      <c r="N244" s="294">
        <v>0</v>
      </c>
      <c r="O244" s="294">
        <v>0</v>
      </c>
      <c r="P244" s="294">
        <v>0</v>
      </c>
    </row>
    <row r="245" spans="2:16">
      <c r="B245" s="290" t="s">
        <v>63</v>
      </c>
      <c r="C245" s="294">
        <v>4</v>
      </c>
      <c r="D245" s="294">
        <v>4</v>
      </c>
      <c r="E245" s="294">
        <v>0</v>
      </c>
      <c r="F245" s="294">
        <v>0</v>
      </c>
      <c r="G245" s="294">
        <v>3</v>
      </c>
      <c r="H245" s="294">
        <v>3</v>
      </c>
      <c r="I245" s="294">
        <v>0</v>
      </c>
      <c r="J245" s="294">
        <v>0</v>
      </c>
      <c r="K245" s="294">
        <v>0</v>
      </c>
      <c r="L245" s="294">
        <v>0</v>
      </c>
      <c r="M245" s="294">
        <v>0</v>
      </c>
      <c r="N245" s="294">
        <v>1</v>
      </c>
      <c r="O245" s="294">
        <v>1</v>
      </c>
      <c r="P245" s="294">
        <v>0</v>
      </c>
    </row>
    <row r="246" spans="2:16">
      <c r="B246" s="290" t="s">
        <v>64</v>
      </c>
      <c r="C246" s="294">
        <v>13</v>
      </c>
      <c r="D246" s="294">
        <v>7</v>
      </c>
      <c r="E246" s="294">
        <v>6</v>
      </c>
      <c r="F246" s="294">
        <v>0</v>
      </c>
      <c r="G246" s="294">
        <v>11</v>
      </c>
      <c r="H246" s="294">
        <v>6</v>
      </c>
      <c r="I246" s="294">
        <v>5</v>
      </c>
      <c r="J246" s="294">
        <v>0</v>
      </c>
      <c r="K246" s="294">
        <v>2</v>
      </c>
      <c r="L246" s="294">
        <v>1</v>
      </c>
      <c r="M246" s="294">
        <v>1</v>
      </c>
      <c r="N246" s="294">
        <v>0</v>
      </c>
      <c r="O246" s="294">
        <v>0</v>
      </c>
      <c r="P246" s="294">
        <v>0</v>
      </c>
    </row>
    <row r="247" spans="2:16">
      <c r="B247" s="290" t="s">
        <v>65</v>
      </c>
      <c r="C247" s="294">
        <v>18</v>
      </c>
      <c r="D247" s="294">
        <v>13</v>
      </c>
      <c r="E247" s="294">
        <v>5</v>
      </c>
      <c r="F247" s="294">
        <v>0</v>
      </c>
      <c r="G247" s="294">
        <v>14</v>
      </c>
      <c r="H247" s="294">
        <v>10</v>
      </c>
      <c r="I247" s="294">
        <v>4</v>
      </c>
      <c r="J247" s="294">
        <v>0</v>
      </c>
      <c r="K247" s="294">
        <v>4</v>
      </c>
      <c r="L247" s="294">
        <v>3</v>
      </c>
      <c r="M247" s="294">
        <v>1</v>
      </c>
      <c r="N247" s="294">
        <v>0</v>
      </c>
      <c r="O247" s="294">
        <v>0</v>
      </c>
      <c r="P247" s="294">
        <v>0</v>
      </c>
    </row>
    <row r="248" spans="2:16">
      <c r="B248" s="290" t="s">
        <v>66</v>
      </c>
      <c r="C248" s="294">
        <v>20</v>
      </c>
      <c r="D248" s="294">
        <v>11</v>
      </c>
      <c r="E248" s="294">
        <v>9</v>
      </c>
      <c r="F248" s="294">
        <v>0</v>
      </c>
      <c r="G248" s="294">
        <v>17</v>
      </c>
      <c r="H248" s="294">
        <v>10</v>
      </c>
      <c r="I248" s="294">
        <v>7</v>
      </c>
      <c r="J248" s="294">
        <v>0</v>
      </c>
      <c r="K248" s="294">
        <v>3</v>
      </c>
      <c r="L248" s="294">
        <v>1</v>
      </c>
      <c r="M248" s="294">
        <v>2</v>
      </c>
      <c r="N248" s="294">
        <v>0</v>
      </c>
      <c r="O248" s="294">
        <v>0</v>
      </c>
      <c r="P248" s="294">
        <v>0</v>
      </c>
    </row>
    <row r="249" spans="2:16">
      <c r="B249" s="290" t="s">
        <v>67</v>
      </c>
      <c r="C249" s="294">
        <v>20</v>
      </c>
      <c r="D249" s="294">
        <v>10</v>
      </c>
      <c r="E249" s="294">
        <v>10</v>
      </c>
      <c r="F249" s="294">
        <v>0</v>
      </c>
      <c r="G249" s="294">
        <v>13</v>
      </c>
      <c r="H249" s="294">
        <v>9</v>
      </c>
      <c r="I249" s="294">
        <v>4</v>
      </c>
      <c r="J249" s="294">
        <v>0</v>
      </c>
      <c r="K249" s="294">
        <v>7</v>
      </c>
      <c r="L249" s="294">
        <v>1</v>
      </c>
      <c r="M249" s="294">
        <v>6</v>
      </c>
      <c r="N249" s="294">
        <v>0</v>
      </c>
      <c r="O249" s="294">
        <v>0</v>
      </c>
      <c r="P249" s="294">
        <v>0</v>
      </c>
    </row>
    <row r="250" spans="2:16">
      <c r="B250" s="290" t="s">
        <v>68</v>
      </c>
      <c r="C250" s="294">
        <v>19</v>
      </c>
      <c r="D250" s="294">
        <v>13</v>
      </c>
      <c r="E250" s="294">
        <v>6</v>
      </c>
      <c r="F250" s="294">
        <v>0</v>
      </c>
      <c r="G250" s="294">
        <v>14</v>
      </c>
      <c r="H250" s="294">
        <v>9</v>
      </c>
      <c r="I250" s="294">
        <v>5</v>
      </c>
      <c r="J250" s="294">
        <v>0</v>
      </c>
      <c r="K250" s="294">
        <v>5</v>
      </c>
      <c r="L250" s="294">
        <v>4</v>
      </c>
      <c r="M250" s="294">
        <v>1</v>
      </c>
      <c r="N250" s="294">
        <v>0</v>
      </c>
      <c r="O250" s="294">
        <v>0</v>
      </c>
      <c r="P250" s="294">
        <v>0</v>
      </c>
    </row>
    <row r="251" spans="2:16">
      <c r="B251" s="290" t="s">
        <v>69</v>
      </c>
      <c r="C251" s="294">
        <v>26</v>
      </c>
      <c r="D251" s="294">
        <v>16</v>
      </c>
      <c r="E251" s="294">
        <v>10</v>
      </c>
      <c r="F251" s="294">
        <v>0</v>
      </c>
      <c r="G251" s="294">
        <v>21</v>
      </c>
      <c r="H251" s="294">
        <v>14</v>
      </c>
      <c r="I251" s="294">
        <v>7</v>
      </c>
      <c r="J251" s="294">
        <v>0</v>
      </c>
      <c r="K251" s="294">
        <v>5</v>
      </c>
      <c r="L251" s="294">
        <v>2</v>
      </c>
      <c r="M251" s="294">
        <v>3</v>
      </c>
      <c r="N251" s="294">
        <v>0</v>
      </c>
      <c r="O251" s="294">
        <v>0</v>
      </c>
      <c r="P251" s="294">
        <v>0</v>
      </c>
    </row>
    <row r="252" spans="2:16">
      <c r="B252" s="290" t="s">
        <v>262</v>
      </c>
      <c r="C252" s="294">
        <v>40</v>
      </c>
      <c r="D252" s="294">
        <v>31</v>
      </c>
      <c r="E252" s="294">
        <v>9</v>
      </c>
      <c r="F252" s="294">
        <v>0</v>
      </c>
      <c r="G252" s="294">
        <v>32</v>
      </c>
      <c r="H252" s="294">
        <v>27</v>
      </c>
      <c r="I252" s="294">
        <v>5</v>
      </c>
      <c r="J252" s="294">
        <v>0</v>
      </c>
      <c r="K252" s="294">
        <v>8</v>
      </c>
      <c r="L252" s="294">
        <v>4</v>
      </c>
      <c r="M252" s="294">
        <v>4</v>
      </c>
      <c r="N252" s="294">
        <v>0</v>
      </c>
      <c r="O252" s="294">
        <v>0</v>
      </c>
      <c r="P252" s="294">
        <v>0</v>
      </c>
    </row>
    <row r="253" spans="2:16">
      <c r="B253" s="290" t="s">
        <v>263</v>
      </c>
      <c r="C253" s="294">
        <v>45</v>
      </c>
      <c r="D253" s="294">
        <v>22</v>
      </c>
      <c r="E253" s="294">
        <v>23</v>
      </c>
      <c r="F253" s="294">
        <v>0</v>
      </c>
      <c r="G253" s="294">
        <v>36</v>
      </c>
      <c r="H253" s="294">
        <v>18</v>
      </c>
      <c r="I253" s="294">
        <v>18</v>
      </c>
      <c r="J253" s="294">
        <v>0</v>
      </c>
      <c r="K253" s="294">
        <v>9</v>
      </c>
      <c r="L253" s="294">
        <v>4</v>
      </c>
      <c r="M253" s="294">
        <v>5</v>
      </c>
      <c r="N253" s="294">
        <v>0</v>
      </c>
      <c r="O253" s="294">
        <v>0</v>
      </c>
      <c r="P253" s="294">
        <v>0</v>
      </c>
    </row>
    <row r="254" spans="2:16">
      <c r="B254" s="290" t="s">
        <v>264</v>
      </c>
      <c r="C254" s="294">
        <v>48</v>
      </c>
      <c r="D254" s="294">
        <v>27</v>
      </c>
      <c r="E254" s="294">
        <v>21</v>
      </c>
      <c r="F254" s="294">
        <v>0</v>
      </c>
      <c r="G254" s="294">
        <v>36</v>
      </c>
      <c r="H254" s="294">
        <v>20</v>
      </c>
      <c r="I254" s="294">
        <v>16</v>
      </c>
      <c r="J254" s="294">
        <v>0</v>
      </c>
      <c r="K254" s="294">
        <v>12</v>
      </c>
      <c r="L254" s="294">
        <v>7</v>
      </c>
      <c r="M254" s="294">
        <v>5</v>
      </c>
      <c r="N254" s="294">
        <v>0</v>
      </c>
      <c r="O254" s="294">
        <v>0</v>
      </c>
      <c r="P254" s="294">
        <v>0</v>
      </c>
    </row>
    <row r="255" spans="2:16">
      <c r="B255" s="290" t="s">
        <v>265</v>
      </c>
      <c r="C255" s="294">
        <v>54</v>
      </c>
      <c r="D255" s="294">
        <v>31</v>
      </c>
      <c r="E255" s="294">
        <v>23</v>
      </c>
      <c r="F255" s="294">
        <v>0</v>
      </c>
      <c r="G255" s="294">
        <v>45</v>
      </c>
      <c r="H255" s="294">
        <v>27</v>
      </c>
      <c r="I255" s="294">
        <v>18</v>
      </c>
      <c r="J255" s="294">
        <v>0</v>
      </c>
      <c r="K255" s="294">
        <v>9</v>
      </c>
      <c r="L255" s="294">
        <v>4</v>
      </c>
      <c r="M255" s="294">
        <v>5</v>
      </c>
      <c r="N255" s="294">
        <v>0</v>
      </c>
      <c r="O255" s="294">
        <v>0</v>
      </c>
      <c r="P255" s="294">
        <v>0</v>
      </c>
    </row>
    <row r="256" spans="2:16">
      <c r="B256" s="290" t="s">
        <v>266</v>
      </c>
      <c r="C256" s="294">
        <v>278</v>
      </c>
      <c r="D256" s="294">
        <v>135</v>
      </c>
      <c r="E256" s="294">
        <v>143</v>
      </c>
      <c r="F256" s="294">
        <v>0</v>
      </c>
      <c r="G256" s="294">
        <v>222</v>
      </c>
      <c r="H256" s="294">
        <v>102</v>
      </c>
      <c r="I256" s="294">
        <v>120</v>
      </c>
      <c r="J256" s="294">
        <v>0</v>
      </c>
      <c r="K256" s="294">
        <v>56</v>
      </c>
      <c r="L256" s="294">
        <v>33</v>
      </c>
      <c r="M256" s="294">
        <v>23</v>
      </c>
      <c r="N256" s="294">
        <v>0</v>
      </c>
      <c r="O256" s="294">
        <v>0</v>
      </c>
      <c r="P256" s="294">
        <v>0</v>
      </c>
    </row>
    <row r="257" spans="1:16">
      <c r="B257" s="290" t="s">
        <v>504</v>
      </c>
      <c r="C257" s="294">
        <v>12</v>
      </c>
      <c r="D257" s="294">
        <v>7</v>
      </c>
      <c r="E257" s="294">
        <v>5</v>
      </c>
      <c r="F257" s="294">
        <v>0</v>
      </c>
      <c r="G257" s="294">
        <v>2</v>
      </c>
      <c r="H257" s="294">
        <v>0</v>
      </c>
      <c r="I257" s="294">
        <v>2</v>
      </c>
      <c r="J257" s="294">
        <v>0</v>
      </c>
      <c r="K257" s="294">
        <v>10</v>
      </c>
      <c r="L257" s="294">
        <v>7</v>
      </c>
      <c r="M257" s="294">
        <v>3</v>
      </c>
      <c r="N257" s="294">
        <v>0</v>
      </c>
      <c r="O257" s="294">
        <v>0</v>
      </c>
      <c r="P257" s="294">
        <v>0</v>
      </c>
    </row>
    <row r="258" spans="1:16" ht="5.0999999999999996" customHeight="1">
      <c r="C258" s="294"/>
      <c r="D258" s="294"/>
      <c r="E258" s="294"/>
      <c r="F258" s="294"/>
      <c r="G258" s="294"/>
      <c r="H258" s="294"/>
      <c r="I258" s="294"/>
      <c r="J258" s="294"/>
      <c r="K258" s="294"/>
      <c r="L258" s="294"/>
      <c r="M258" s="294"/>
      <c r="N258" s="294"/>
      <c r="O258" s="294"/>
      <c r="P258" s="294"/>
    </row>
    <row r="259" spans="1:16" s="292" customFormat="1">
      <c r="A259" s="292" t="s">
        <v>88</v>
      </c>
      <c r="C259" s="293">
        <v>1765</v>
      </c>
      <c r="D259" s="293">
        <v>1057</v>
      </c>
      <c r="E259" s="293">
        <v>708</v>
      </c>
      <c r="F259" s="293">
        <v>0</v>
      </c>
      <c r="G259" s="293">
        <v>895</v>
      </c>
      <c r="H259" s="293">
        <v>510</v>
      </c>
      <c r="I259" s="293">
        <v>385</v>
      </c>
      <c r="J259" s="293">
        <v>0</v>
      </c>
      <c r="K259" s="293">
        <v>862</v>
      </c>
      <c r="L259" s="293">
        <v>540</v>
      </c>
      <c r="M259" s="293">
        <v>322</v>
      </c>
      <c r="N259" s="293">
        <v>8</v>
      </c>
      <c r="O259" s="293">
        <v>7</v>
      </c>
      <c r="P259" s="293">
        <v>1</v>
      </c>
    </row>
    <row r="260" spans="1:16" ht="5.0999999999999996" customHeight="1"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294"/>
      <c r="P260" s="294"/>
    </row>
    <row r="261" spans="1:16">
      <c r="B261" s="290" t="s">
        <v>503</v>
      </c>
      <c r="C261" s="294">
        <v>5</v>
      </c>
      <c r="D261" s="294">
        <v>4</v>
      </c>
      <c r="E261" s="294">
        <v>1</v>
      </c>
      <c r="F261" s="294">
        <v>0</v>
      </c>
      <c r="G261" s="294">
        <v>1</v>
      </c>
      <c r="H261" s="294">
        <v>1</v>
      </c>
      <c r="I261" s="294">
        <v>0</v>
      </c>
      <c r="J261" s="294">
        <v>0</v>
      </c>
      <c r="K261" s="294">
        <v>4</v>
      </c>
      <c r="L261" s="294">
        <v>3</v>
      </c>
      <c r="M261" s="294">
        <v>1</v>
      </c>
      <c r="N261" s="294">
        <v>0</v>
      </c>
      <c r="O261" s="294">
        <v>0</v>
      </c>
      <c r="P261" s="294">
        <v>0</v>
      </c>
    </row>
    <row r="262" spans="1:16">
      <c r="B262" s="290" t="s">
        <v>259</v>
      </c>
      <c r="C262" s="294">
        <v>3</v>
      </c>
      <c r="D262" s="294">
        <v>2</v>
      </c>
      <c r="E262" s="294">
        <v>1</v>
      </c>
      <c r="F262" s="294">
        <v>0</v>
      </c>
      <c r="G262" s="294">
        <v>3</v>
      </c>
      <c r="H262" s="294">
        <v>2</v>
      </c>
      <c r="I262" s="294">
        <v>1</v>
      </c>
      <c r="J262" s="294">
        <v>0</v>
      </c>
      <c r="K262" s="294">
        <v>0</v>
      </c>
      <c r="L262" s="294">
        <v>0</v>
      </c>
      <c r="M262" s="294">
        <v>0</v>
      </c>
      <c r="N262" s="294">
        <v>0</v>
      </c>
      <c r="O262" s="294">
        <v>0</v>
      </c>
      <c r="P262" s="294">
        <v>0</v>
      </c>
    </row>
    <row r="263" spans="1:16">
      <c r="B263" s="290" t="s">
        <v>260</v>
      </c>
      <c r="C263" s="294">
        <v>5</v>
      </c>
      <c r="D263" s="294">
        <v>3</v>
      </c>
      <c r="E263" s="294">
        <v>2</v>
      </c>
      <c r="F263" s="294">
        <v>0</v>
      </c>
      <c r="G263" s="294">
        <v>3</v>
      </c>
      <c r="H263" s="294">
        <v>2</v>
      </c>
      <c r="I263" s="294">
        <v>1</v>
      </c>
      <c r="J263" s="294">
        <v>0</v>
      </c>
      <c r="K263" s="294">
        <v>2</v>
      </c>
      <c r="L263" s="294">
        <v>1</v>
      </c>
      <c r="M263" s="294">
        <v>1</v>
      </c>
      <c r="N263" s="294">
        <v>0</v>
      </c>
      <c r="O263" s="294">
        <v>0</v>
      </c>
      <c r="P263" s="294">
        <v>0</v>
      </c>
    </row>
    <row r="264" spans="1:16">
      <c r="B264" s="290" t="s">
        <v>261</v>
      </c>
      <c r="C264" s="294">
        <v>11</v>
      </c>
      <c r="D264" s="294">
        <v>8</v>
      </c>
      <c r="E264" s="294">
        <v>3</v>
      </c>
      <c r="F264" s="294">
        <v>0</v>
      </c>
      <c r="G264" s="294">
        <v>6</v>
      </c>
      <c r="H264" s="294">
        <v>5</v>
      </c>
      <c r="I264" s="294">
        <v>1</v>
      </c>
      <c r="J264" s="294">
        <v>0</v>
      </c>
      <c r="K264" s="294">
        <v>5</v>
      </c>
      <c r="L264" s="294">
        <v>3</v>
      </c>
      <c r="M264" s="294">
        <v>2</v>
      </c>
      <c r="N264" s="294">
        <v>0</v>
      </c>
      <c r="O264" s="294">
        <v>0</v>
      </c>
      <c r="P264" s="294">
        <v>0</v>
      </c>
    </row>
    <row r="265" spans="1:16">
      <c r="B265" s="290" t="s">
        <v>63</v>
      </c>
      <c r="C265" s="294">
        <v>34</v>
      </c>
      <c r="D265" s="294">
        <v>27</v>
      </c>
      <c r="E265" s="294">
        <v>7</v>
      </c>
      <c r="F265" s="294">
        <v>0</v>
      </c>
      <c r="G265" s="294">
        <v>12</v>
      </c>
      <c r="H265" s="294">
        <v>10</v>
      </c>
      <c r="I265" s="294">
        <v>2</v>
      </c>
      <c r="J265" s="294">
        <v>0</v>
      </c>
      <c r="K265" s="294">
        <v>22</v>
      </c>
      <c r="L265" s="294">
        <v>17</v>
      </c>
      <c r="M265" s="294">
        <v>5</v>
      </c>
      <c r="N265" s="294">
        <v>0</v>
      </c>
      <c r="O265" s="294">
        <v>0</v>
      </c>
      <c r="P265" s="294">
        <v>0</v>
      </c>
    </row>
    <row r="266" spans="1:16">
      <c r="B266" s="290" t="s">
        <v>64</v>
      </c>
      <c r="C266" s="294">
        <v>46</v>
      </c>
      <c r="D266" s="294">
        <v>37</v>
      </c>
      <c r="E266" s="294">
        <v>9</v>
      </c>
      <c r="F266" s="294">
        <v>0</v>
      </c>
      <c r="G266" s="294">
        <v>11</v>
      </c>
      <c r="H266" s="294">
        <v>8</v>
      </c>
      <c r="I266" s="294">
        <v>3</v>
      </c>
      <c r="J266" s="294">
        <v>0</v>
      </c>
      <c r="K266" s="294">
        <v>35</v>
      </c>
      <c r="L266" s="294">
        <v>29</v>
      </c>
      <c r="M266" s="294">
        <v>6</v>
      </c>
      <c r="N266" s="294">
        <v>0</v>
      </c>
      <c r="O266" s="294">
        <v>0</v>
      </c>
      <c r="P266" s="294">
        <v>0</v>
      </c>
    </row>
    <row r="267" spans="1:16">
      <c r="B267" s="290" t="s">
        <v>65</v>
      </c>
      <c r="C267" s="294">
        <v>40</v>
      </c>
      <c r="D267" s="294">
        <v>32</v>
      </c>
      <c r="E267" s="294">
        <v>8</v>
      </c>
      <c r="F267" s="294">
        <v>0</v>
      </c>
      <c r="G267" s="294">
        <v>17</v>
      </c>
      <c r="H267" s="294">
        <v>15</v>
      </c>
      <c r="I267" s="294">
        <v>2</v>
      </c>
      <c r="J267" s="294">
        <v>0</v>
      </c>
      <c r="K267" s="294">
        <v>23</v>
      </c>
      <c r="L267" s="294">
        <v>17</v>
      </c>
      <c r="M267" s="294">
        <v>6</v>
      </c>
      <c r="N267" s="294">
        <v>0</v>
      </c>
      <c r="O267" s="294">
        <v>0</v>
      </c>
      <c r="P267" s="294">
        <v>0</v>
      </c>
    </row>
    <row r="268" spans="1:16">
      <c r="B268" s="290" t="s">
        <v>66</v>
      </c>
      <c r="C268" s="294">
        <v>59</v>
      </c>
      <c r="D268" s="294">
        <v>41</v>
      </c>
      <c r="E268" s="294">
        <v>18</v>
      </c>
      <c r="F268" s="294">
        <v>0</v>
      </c>
      <c r="G268" s="294">
        <v>24</v>
      </c>
      <c r="H268" s="294">
        <v>15</v>
      </c>
      <c r="I268" s="294">
        <v>9</v>
      </c>
      <c r="J268" s="294">
        <v>0</v>
      </c>
      <c r="K268" s="294">
        <v>34</v>
      </c>
      <c r="L268" s="294">
        <v>25</v>
      </c>
      <c r="M268" s="294">
        <v>9</v>
      </c>
      <c r="N268" s="294">
        <v>1</v>
      </c>
      <c r="O268" s="294">
        <v>1</v>
      </c>
      <c r="P268" s="294">
        <v>0</v>
      </c>
    </row>
    <row r="269" spans="1:16">
      <c r="B269" s="290" t="s">
        <v>67</v>
      </c>
      <c r="C269" s="294">
        <v>55</v>
      </c>
      <c r="D269" s="294">
        <v>37</v>
      </c>
      <c r="E269" s="294">
        <v>18</v>
      </c>
      <c r="F269" s="294">
        <v>0</v>
      </c>
      <c r="G269" s="294">
        <v>27</v>
      </c>
      <c r="H269" s="294">
        <v>18</v>
      </c>
      <c r="I269" s="294">
        <v>9</v>
      </c>
      <c r="J269" s="294">
        <v>0</v>
      </c>
      <c r="K269" s="294">
        <v>27</v>
      </c>
      <c r="L269" s="294">
        <v>18</v>
      </c>
      <c r="M269" s="294">
        <v>9</v>
      </c>
      <c r="N269" s="294">
        <v>1</v>
      </c>
      <c r="O269" s="294">
        <v>1</v>
      </c>
      <c r="P269" s="294">
        <v>0</v>
      </c>
    </row>
    <row r="270" spans="1:16">
      <c r="B270" s="290" t="s">
        <v>68</v>
      </c>
      <c r="C270" s="294">
        <v>57</v>
      </c>
      <c r="D270" s="294">
        <v>35</v>
      </c>
      <c r="E270" s="294">
        <v>22</v>
      </c>
      <c r="F270" s="294">
        <v>0</v>
      </c>
      <c r="G270" s="294">
        <v>28</v>
      </c>
      <c r="H270" s="294">
        <v>15</v>
      </c>
      <c r="I270" s="294">
        <v>13</v>
      </c>
      <c r="J270" s="294">
        <v>0</v>
      </c>
      <c r="K270" s="294">
        <v>28</v>
      </c>
      <c r="L270" s="294">
        <v>19</v>
      </c>
      <c r="M270" s="294">
        <v>9</v>
      </c>
      <c r="N270" s="294">
        <v>1</v>
      </c>
      <c r="O270" s="294">
        <v>1</v>
      </c>
      <c r="P270" s="294">
        <v>0</v>
      </c>
    </row>
    <row r="271" spans="1:16">
      <c r="B271" s="290" t="s">
        <v>69</v>
      </c>
      <c r="C271" s="294">
        <v>72</v>
      </c>
      <c r="D271" s="294">
        <v>49</v>
      </c>
      <c r="E271" s="294">
        <v>23</v>
      </c>
      <c r="F271" s="294">
        <v>0</v>
      </c>
      <c r="G271" s="294">
        <v>36</v>
      </c>
      <c r="H271" s="294">
        <v>24</v>
      </c>
      <c r="I271" s="294">
        <v>12</v>
      </c>
      <c r="J271" s="294">
        <v>0</v>
      </c>
      <c r="K271" s="294">
        <v>36</v>
      </c>
      <c r="L271" s="294">
        <v>25</v>
      </c>
      <c r="M271" s="294">
        <v>11</v>
      </c>
      <c r="N271" s="294">
        <v>0</v>
      </c>
      <c r="O271" s="294">
        <v>0</v>
      </c>
      <c r="P271" s="294">
        <v>0</v>
      </c>
    </row>
    <row r="272" spans="1:16">
      <c r="B272" s="290" t="s">
        <v>262</v>
      </c>
      <c r="C272" s="294">
        <v>77</v>
      </c>
      <c r="D272" s="294">
        <v>58</v>
      </c>
      <c r="E272" s="294">
        <v>19</v>
      </c>
      <c r="F272" s="294">
        <v>0</v>
      </c>
      <c r="G272" s="294">
        <v>41</v>
      </c>
      <c r="H272" s="294">
        <v>32</v>
      </c>
      <c r="I272" s="294">
        <v>9</v>
      </c>
      <c r="J272" s="294">
        <v>0</v>
      </c>
      <c r="K272" s="294">
        <v>36</v>
      </c>
      <c r="L272" s="294">
        <v>26</v>
      </c>
      <c r="M272" s="294">
        <v>10</v>
      </c>
      <c r="N272" s="294">
        <v>0</v>
      </c>
      <c r="O272" s="294">
        <v>0</v>
      </c>
      <c r="P272" s="294">
        <v>0</v>
      </c>
    </row>
    <row r="273" spans="1:16">
      <c r="B273" s="290" t="s">
        <v>263</v>
      </c>
      <c r="C273" s="294">
        <v>108</v>
      </c>
      <c r="D273" s="294">
        <v>59</v>
      </c>
      <c r="E273" s="294">
        <v>49</v>
      </c>
      <c r="F273" s="294">
        <v>0</v>
      </c>
      <c r="G273" s="294">
        <v>56</v>
      </c>
      <c r="H273" s="294">
        <v>31</v>
      </c>
      <c r="I273" s="294">
        <v>25</v>
      </c>
      <c r="J273" s="294">
        <v>0</v>
      </c>
      <c r="K273" s="294">
        <v>51</v>
      </c>
      <c r="L273" s="294">
        <v>27</v>
      </c>
      <c r="M273" s="294">
        <v>24</v>
      </c>
      <c r="N273" s="294">
        <v>1</v>
      </c>
      <c r="O273" s="294">
        <v>1</v>
      </c>
      <c r="P273" s="294">
        <v>0</v>
      </c>
    </row>
    <row r="274" spans="1:16">
      <c r="B274" s="290" t="s">
        <v>264</v>
      </c>
      <c r="C274" s="294">
        <v>129</v>
      </c>
      <c r="D274" s="294">
        <v>70</v>
      </c>
      <c r="E274" s="294">
        <v>59</v>
      </c>
      <c r="F274" s="294">
        <v>0</v>
      </c>
      <c r="G274" s="294">
        <v>84</v>
      </c>
      <c r="H274" s="294">
        <v>48</v>
      </c>
      <c r="I274" s="294">
        <v>36</v>
      </c>
      <c r="J274" s="294">
        <v>0</v>
      </c>
      <c r="K274" s="294">
        <v>45</v>
      </c>
      <c r="L274" s="294">
        <v>22</v>
      </c>
      <c r="M274" s="294">
        <v>23</v>
      </c>
      <c r="N274" s="294">
        <v>0</v>
      </c>
      <c r="O274" s="294">
        <v>0</v>
      </c>
      <c r="P274" s="294">
        <v>0</v>
      </c>
    </row>
    <row r="275" spans="1:16">
      <c r="B275" s="290" t="s">
        <v>265</v>
      </c>
      <c r="C275" s="294">
        <v>140</v>
      </c>
      <c r="D275" s="294">
        <v>79</v>
      </c>
      <c r="E275" s="294">
        <v>61</v>
      </c>
      <c r="F275" s="294">
        <v>0</v>
      </c>
      <c r="G275" s="294">
        <v>87</v>
      </c>
      <c r="H275" s="294">
        <v>48</v>
      </c>
      <c r="I275" s="294">
        <v>39</v>
      </c>
      <c r="J275" s="294">
        <v>0</v>
      </c>
      <c r="K275" s="294">
        <v>53</v>
      </c>
      <c r="L275" s="294">
        <v>31</v>
      </c>
      <c r="M275" s="294">
        <v>22</v>
      </c>
      <c r="N275" s="294">
        <v>0</v>
      </c>
      <c r="O275" s="294">
        <v>0</v>
      </c>
      <c r="P275" s="294">
        <v>0</v>
      </c>
    </row>
    <row r="276" spans="1:16">
      <c r="B276" s="290" t="s">
        <v>266</v>
      </c>
      <c r="C276" s="294">
        <v>838</v>
      </c>
      <c r="D276" s="294">
        <v>468</v>
      </c>
      <c r="E276" s="294">
        <v>370</v>
      </c>
      <c r="F276" s="294">
        <v>0</v>
      </c>
      <c r="G276" s="294">
        <v>411</v>
      </c>
      <c r="H276" s="294">
        <v>214</v>
      </c>
      <c r="I276" s="294">
        <v>197</v>
      </c>
      <c r="J276" s="294">
        <v>0</v>
      </c>
      <c r="K276" s="294">
        <v>423</v>
      </c>
      <c r="L276" s="294">
        <v>251</v>
      </c>
      <c r="M276" s="294">
        <v>172</v>
      </c>
      <c r="N276" s="294">
        <v>4</v>
      </c>
      <c r="O276" s="294">
        <v>3</v>
      </c>
      <c r="P276" s="294">
        <v>1</v>
      </c>
    </row>
    <row r="277" spans="1:16">
      <c r="B277" s="290" t="s">
        <v>504</v>
      </c>
      <c r="C277" s="294">
        <v>86</v>
      </c>
      <c r="D277" s="294">
        <v>48</v>
      </c>
      <c r="E277" s="294">
        <v>38</v>
      </c>
      <c r="F277" s="294">
        <v>0</v>
      </c>
      <c r="G277" s="294">
        <v>48</v>
      </c>
      <c r="H277" s="294">
        <v>22</v>
      </c>
      <c r="I277" s="294">
        <v>26</v>
      </c>
      <c r="J277" s="294">
        <v>0</v>
      </c>
      <c r="K277" s="294">
        <v>38</v>
      </c>
      <c r="L277" s="294">
        <v>26</v>
      </c>
      <c r="M277" s="294">
        <v>12</v>
      </c>
      <c r="N277" s="294">
        <v>0</v>
      </c>
      <c r="O277" s="294">
        <v>0</v>
      </c>
      <c r="P277" s="294">
        <v>0</v>
      </c>
    </row>
    <row r="278" spans="1:16" ht="5.0999999999999996" customHeight="1"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294"/>
      <c r="P278" s="294"/>
    </row>
    <row r="279" spans="1:16" s="292" customFormat="1">
      <c r="A279" s="292" t="s">
        <v>89</v>
      </c>
      <c r="C279" s="293">
        <v>598</v>
      </c>
      <c r="D279" s="293">
        <v>356</v>
      </c>
      <c r="E279" s="293">
        <v>241</v>
      </c>
      <c r="F279" s="293">
        <v>1</v>
      </c>
      <c r="G279" s="293">
        <v>393</v>
      </c>
      <c r="H279" s="293">
        <v>235</v>
      </c>
      <c r="I279" s="293">
        <v>157</v>
      </c>
      <c r="J279" s="293">
        <v>1</v>
      </c>
      <c r="K279" s="293">
        <v>205</v>
      </c>
      <c r="L279" s="293">
        <v>121</v>
      </c>
      <c r="M279" s="293">
        <v>84</v>
      </c>
      <c r="N279" s="293">
        <v>0</v>
      </c>
      <c r="O279" s="293">
        <v>0</v>
      </c>
      <c r="P279" s="293">
        <v>0</v>
      </c>
    </row>
    <row r="280" spans="1:16" ht="5.0999999999999996" customHeight="1">
      <c r="C280" s="294"/>
      <c r="D280" s="294"/>
      <c r="E280" s="294"/>
      <c r="F280" s="294"/>
      <c r="G280" s="294"/>
      <c r="H280" s="294"/>
      <c r="I280" s="294"/>
      <c r="J280" s="294"/>
      <c r="K280" s="294"/>
      <c r="L280" s="294"/>
      <c r="M280" s="294"/>
      <c r="N280" s="294"/>
      <c r="O280" s="294"/>
      <c r="P280" s="294"/>
    </row>
    <row r="281" spans="1:16">
      <c r="B281" s="290" t="s">
        <v>503</v>
      </c>
      <c r="C281" s="294">
        <v>54</v>
      </c>
      <c r="D281" s="294">
        <v>28</v>
      </c>
      <c r="E281" s="294">
        <v>26</v>
      </c>
      <c r="F281" s="294">
        <v>0</v>
      </c>
      <c r="G281" s="294">
        <v>52</v>
      </c>
      <c r="H281" s="294">
        <v>28</v>
      </c>
      <c r="I281" s="294">
        <v>24</v>
      </c>
      <c r="J281" s="294">
        <v>0</v>
      </c>
      <c r="K281" s="294">
        <v>2</v>
      </c>
      <c r="L281" s="294">
        <v>0</v>
      </c>
      <c r="M281" s="294">
        <v>2</v>
      </c>
      <c r="N281" s="294">
        <v>0</v>
      </c>
      <c r="O281" s="294">
        <v>0</v>
      </c>
      <c r="P281" s="294">
        <v>0</v>
      </c>
    </row>
    <row r="282" spans="1:16">
      <c r="B282" s="290" t="s">
        <v>259</v>
      </c>
      <c r="C282" s="294">
        <v>3</v>
      </c>
      <c r="D282" s="294">
        <v>0</v>
      </c>
      <c r="E282" s="294">
        <v>3</v>
      </c>
      <c r="F282" s="294">
        <v>0</v>
      </c>
      <c r="G282" s="294">
        <v>2</v>
      </c>
      <c r="H282" s="294">
        <v>0</v>
      </c>
      <c r="I282" s="294">
        <v>2</v>
      </c>
      <c r="J282" s="294">
        <v>0</v>
      </c>
      <c r="K282" s="294">
        <v>1</v>
      </c>
      <c r="L282" s="294">
        <v>0</v>
      </c>
      <c r="M282" s="294">
        <v>1</v>
      </c>
      <c r="N282" s="294">
        <v>0</v>
      </c>
      <c r="O282" s="294">
        <v>0</v>
      </c>
      <c r="P282" s="294">
        <v>0</v>
      </c>
    </row>
    <row r="283" spans="1:16">
      <c r="B283" s="290" t="s">
        <v>260</v>
      </c>
      <c r="C283" s="294">
        <v>4</v>
      </c>
      <c r="D283" s="294">
        <v>3</v>
      </c>
      <c r="E283" s="294">
        <v>1</v>
      </c>
      <c r="F283" s="294">
        <v>0</v>
      </c>
      <c r="G283" s="294">
        <v>4</v>
      </c>
      <c r="H283" s="294">
        <v>3</v>
      </c>
      <c r="I283" s="294">
        <v>1</v>
      </c>
      <c r="J283" s="294">
        <v>0</v>
      </c>
      <c r="K283" s="294">
        <v>0</v>
      </c>
      <c r="L283" s="294">
        <v>0</v>
      </c>
      <c r="M283" s="294">
        <v>0</v>
      </c>
      <c r="N283" s="294">
        <v>0</v>
      </c>
      <c r="O283" s="294">
        <v>0</v>
      </c>
      <c r="P283" s="294">
        <v>0</v>
      </c>
    </row>
    <row r="284" spans="1:16">
      <c r="B284" s="290" t="s">
        <v>261</v>
      </c>
      <c r="C284" s="294">
        <v>6</v>
      </c>
      <c r="D284" s="294">
        <v>5</v>
      </c>
      <c r="E284" s="294">
        <v>1</v>
      </c>
      <c r="F284" s="294">
        <v>0</v>
      </c>
      <c r="G284" s="294">
        <v>5</v>
      </c>
      <c r="H284" s="294">
        <v>4</v>
      </c>
      <c r="I284" s="294">
        <v>1</v>
      </c>
      <c r="J284" s="294">
        <v>0</v>
      </c>
      <c r="K284" s="294">
        <v>1</v>
      </c>
      <c r="L284" s="294">
        <v>1</v>
      </c>
      <c r="M284" s="294">
        <v>0</v>
      </c>
      <c r="N284" s="294">
        <v>0</v>
      </c>
      <c r="O284" s="294">
        <v>0</v>
      </c>
      <c r="P284" s="294">
        <v>0</v>
      </c>
    </row>
    <row r="285" spans="1:16">
      <c r="B285" s="290" t="s">
        <v>63</v>
      </c>
      <c r="C285" s="294">
        <v>9</v>
      </c>
      <c r="D285" s="294">
        <v>9</v>
      </c>
      <c r="E285" s="294">
        <v>0</v>
      </c>
      <c r="F285" s="294">
        <v>0</v>
      </c>
      <c r="G285" s="294">
        <v>6</v>
      </c>
      <c r="H285" s="294">
        <v>6</v>
      </c>
      <c r="I285" s="294">
        <v>0</v>
      </c>
      <c r="J285" s="294">
        <v>0</v>
      </c>
      <c r="K285" s="294">
        <v>3</v>
      </c>
      <c r="L285" s="294">
        <v>3</v>
      </c>
      <c r="M285" s="294">
        <v>0</v>
      </c>
      <c r="N285" s="294">
        <v>0</v>
      </c>
      <c r="O285" s="294">
        <v>0</v>
      </c>
      <c r="P285" s="294">
        <v>0</v>
      </c>
    </row>
    <row r="286" spans="1:16">
      <c r="B286" s="290" t="s">
        <v>64</v>
      </c>
      <c r="C286" s="294">
        <v>6</v>
      </c>
      <c r="D286" s="294">
        <v>6</v>
      </c>
      <c r="E286" s="294">
        <v>0</v>
      </c>
      <c r="F286" s="294">
        <v>0</v>
      </c>
      <c r="G286" s="294">
        <v>6</v>
      </c>
      <c r="H286" s="294">
        <v>6</v>
      </c>
      <c r="I286" s="294">
        <v>0</v>
      </c>
      <c r="J286" s="294">
        <v>0</v>
      </c>
      <c r="K286" s="294">
        <v>0</v>
      </c>
      <c r="L286" s="294">
        <v>0</v>
      </c>
      <c r="M286" s="294">
        <v>0</v>
      </c>
      <c r="N286" s="294">
        <v>0</v>
      </c>
      <c r="O286" s="294">
        <v>0</v>
      </c>
      <c r="P286" s="294">
        <v>0</v>
      </c>
    </row>
    <row r="287" spans="1:16">
      <c r="B287" s="290" t="s">
        <v>65</v>
      </c>
      <c r="C287" s="294">
        <v>11</v>
      </c>
      <c r="D287" s="294">
        <v>9</v>
      </c>
      <c r="E287" s="294">
        <v>2</v>
      </c>
      <c r="F287" s="294">
        <v>0</v>
      </c>
      <c r="G287" s="294">
        <v>8</v>
      </c>
      <c r="H287" s="294">
        <v>6</v>
      </c>
      <c r="I287" s="294">
        <v>2</v>
      </c>
      <c r="J287" s="294">
        <v>0</v>
      </c>
      <c r="K287" s="294">
        <v>3</v>
      </c>
      <c r="L287" s="294">
        <v>3</v>
      </c>
      <c r="M287" s="294">
        <v>0</v>
      </c>
      <c r="N287" s="294">
        <v>0</v>
      </c>
      <c r="O287" s="294">
        <v>0</v>
      </c>
      <c r="P287" s="294">
        <v>0</v>
      </c>
    </row>
    <row r="288" spans="1:16">
      <c r="B288" s="290" t="s">
        <v>66</v>
      </c>
      <c r="C288" s="294">
        <v>17</v>
      </c>
      <c r="D288" s="294">
        <v>9</v>
      </c>
      <c r="E288" s="294">
        <v>8</v>
      </c>
      <c r="F288" s="294">
        <v>0</v>
      </c>
      <c r="G288" s="294">
        <v>11</v>
      </c>
      <c r="H288" s="294">
        <v>7</v>
      </c>
      <c r="I288" s="294">
        <v>4</v>
      </c>
      <c r="J288" s="294">
        <v>0</v>
      </c>
      <c r="K288" s="294">
        <v>6</v>
      </c>
      <c r="L288" s="294">
        <v>2</v>
      </c>
      <c r="M288" s="294">
        <v>4</v>
      </c>
      <c r="N288" s="294">
        <v>0</v>
      </c>
      <c r="O288" s="294">
        <v>0</v>
      </c>
      <c r="P288" s="294">
        <v>0</v>
      </c>
    </row>
    <row r="289" spans="1:16">
      <c r="B289" s="290" t="s">
        <v>67</v>
      </c>
      <c r="C289" s="294">
        <v>23</v>
      </c>
      <c r="D289" s="294">
        <v>14</v>
      </c>
      <c r="E289" s="294">
        <v>9</v>
      </c>
      <c r="F289" s="294">
        <v>0</v>
      </c>
      <c r="G289" s="294">
        <v>15</v>
      </c>
      <c r="H289" s="294">
        <v>7</v>
      </c>
      <c r="I289" s="294">
        <v>8</v>
      </c>
      <c r="J289" s="294">
        <v>0</v>
      </c>
      <c r="K289" s="294">
        <v>8</v>
      </c>
      <c r="L289" s="294">
        <v>7</v>
      </c>
      <c r="M289" s="294">
        <v>1</v>
      </c>
      <c r="N289" s="294">
        <v>0</v>
      </c>
      <c r="O289" s="294">
        <v>0</v>
      </c>
      <c r="P289" s="294">
        <v>0</v>
      </c>
    </row>
    <row r="290" spans="1:16">
      <c r="B290" s="290" t="s">
        <v>68</v>
      </c>
      <c r="C290" s="294">
        <v>15</v>
      </c>
      <c r="D290" s="294">
        <v>10</v>
      </c>
      <c r="E290" s="294">
        <v>5</v>
      </c>
      <c r="F290" s="294">
        <v>0</v>
      </c>
      <c r="G290" s="294">
        <v>9</v>
      </c>
      <c r="H290" s="294">
        <v>6</v>
      </c>
      <c r="I290" s="294">
        <v>3</v>
      </c>
      <c r="J290" s="294">
        <v>0</v>
      </c>
      <c r="K290" s="294">
        <v>6</v>
      </c>
      <c r="L290" s="294">
        <v>4</v>
      </c>
      <c r="M290" s="294">
        <v>2</v>
      </c>
      <c r="N290" s="294">
        <v>0</v>
      </c>
      <c r="O290" s="294">
        <v>0</v>
      </c>
      <c r="P290" s="294">
        <v>0</v>
      </c>
    </row>
    <row r="291" spans="1:16">
      <c r="B291" s="290" t="s">
        <v>69</v>
      </c>
      <c r="C291" s="294">
        <v>26</v>
      </c>
      <c r="D291" s="294">
        <v>14</v>
      </c>
      <c r="E291" s="294">
        <v>12</v>
      </c>
      <c r="F291" s="294">
        <v>0</v>
      </c>
      <c r="G291" s="294">
        <v>21</v>
      </c>
      <c r="H291" s="294">
        <v>11</v>
      </c>
      <c r="I291" s="294">
        <v>10</v>
      </c>
      <c r="J291" s="294">
        <v>0</v>
      </c>
      <c r="K291" s="294">
        <v>5</v>
      </c>
      <c r="L291" s="294">
        <v>3</v>
      </c>
      <c r="M291" s="294">
        <v>2</v>
      </c>
      <c r="N291" s="294">
        <v>0</v>
      </c>
      <c r="O291" s="294">
        <v>0</v>
      </c>
      <c r="P291" s="294">
        <v>0</v>
      </c>
    </row>
    <row r="292" spans="1:16">
      <c r="B292" s="290" t="s">
        <v>262</v>
      </c>
      <c r="C292" s="294">
        <v>24</v>
      </c>
      <c r="D292" s="294">
        <v>12</v>
      </c>
      <c r="E292" s="294">
        <v>12</v>
      </c>
      <c r="F292" s="294">
        <v>0</v>
      </c>
      <c r="G292" s="294">
        <v>11</v>
      </c>
      <c r="H292" s="294">
        <v>6</v>
      </c>
      <c r="I292" s="294">
        <v>5</v>
      </c>
      <c r="J292" s="294">
        <v>0</v>
      </c>
      <c r="K292" s="294">
        <v>13</v>
      </c>
      <c r="L292" s="294">
        <v>6</v>
      </c>
      <c r="M292" s="294">
        <v>7</v>
      </c>
      <c r="N292" s="294">
        <v>0</v>
      </c>
      <c r="O292" s="294">
        <v>0</v>
      </c>
      <c r="P292" s="294">
        <v>0</v>
      </c>
    </row>
    <row r="293" spans="1:16">
      <c r="B293" s="290" t="s">
        <v>263</v>
      </c>
      <c r="C293" s="294">
        <v>26</v>
      </c>
      <c r="D293" s="294">
        <v>14</v>
      </c>
      <c r="E293" s="294">
        <v>12</v>
      </c>
      <c r="F293" s="294">
        <v>0</v>
      </c>
      <c r="G293" s="294">
        <v>19</v>
      </c>
      <c r="H293" s="294">
        <v>10</v>
      </c>
      <c r="I293" s="294">
        <v>9</v>
      </c>
      <c r="J293" s="294">
        <v>0</v>
      </c>
      <c r="K293" s="294">
        <v>7</v>
      </c>
      <c r="L293" s="294">
        <v>4</v>
      </c>
      <c r="M293" s="294">
        <v>3</v>
      </c>
      <c r="N293" s="294">
        <v>0</v>
      </c>
      <c r="O293" s="294">
        <v>0</v>
      </c>
      <c r="P293" s="294">
        <v>0</v>
      </c>
    </row>
    <row r="294" spans="1:16">
      <c r="B294" s="290" t="s">
        <v>264</v>
      </c>
      <c r="C294" s="294">
        <v>48</v>
      </c>
      <c r="D294" s="294">
        <v>29</v>
      </c>
      <c r="E294" s="294">
        <v>19</v>
      </c>
      <c r="F294" s="294">
        <v>0</v>
      </c>
      <c r="G294" s="294">
        <v>25</v>
      </c>
      <c r="H294" s="294">
        <v>17</v>
      </c>
      <c r="I294" s="294">
        <v>8</v>
      </c>
      <c r="J294" s="294">
        <v>0</v>
      </c>
      <c r="K294" s="294">
        <v>23</v>
      </c>
      <c r="L294" s="294">
        <v>12</v>
      </c>
      <c r="M294" s="294">
        <v>11</v>
      </c>
      <c r="N294" s="294">
        <v>0</v>
      </c>
      <c r="O294" s="294">
        <v>0</v>
      </c>
      <c r="P294" s="294">
        <v>0</v>
      </c>
    </row>
    <row r="295" spans="1:16">
      <c r="B295" s="290" t="s">
        <v>265</v>
      </c>
      <c r="C295" s="294">
        <v>42</v>
      </c>
      <c r="D295" s="294">
        <v>22</v>
      </c>
      <c r="E295" s="294">
        <v>20</v>
      </c>
      <c r="F295" s="294">
        <v>0</v>
      </c>
      <c r="G295" s="294">
        <v>28</v>
      </c>
      <c r="H295" s="294">
        <v>15</v>
      </c>
      <c r="I295" s="294">
        <v>13</v>
      </c>
      <c r="J295" s="294">
        <v>0</v>
      </c>
      <c r="K295" s="294">
        <v>14</v>
      </c>
      <c r="L295" s="294">
        <v>7</v>
      </c>
      <c r="M295" s="294">
        <v>7</v>
      </c>
      <c r="N295" s="294">
        <v>0</v>
      </c>
      <c r="O295" s="294">
        <v>0</v>
      </c>
      <c r="P295" s="294">
        <v>0</v>
      </c>
    </row>
    <row r="296" spans="1:16">
      <c r="B296" s="290" t="s">
        <v>266</v>
      </c>
      <c r="C296" s="294">
        <v>273</v>
      </c>
      <c r="D296" s="294">
        <v>166</v>
      </c>
      <c r="E296" s="294">
        <v>107</v>
      </c>
      <c r="F296" s="294">
        <v>0</v>
      </c>
      <c r="G296" s="294">
        <v>164</v>
      </c>
      <c r="H296" s="294">
        <v>100</v>
      </c>
      <c r="I296" s="294">
        <v>64</v>
      </c>
      <c r="J296" s="294">
        <v>0</v>
      </c>
      <c r="K296" s="294">
        <v>109</v>
      </c>
      <c r="L296" s="294">
        <v>66</v>
      </c>
      <c r="M296" s="294">
        <v>43</v>
      </c>
      <c r="N296" s="294">
        <v>0</v>
      </c>
      <c r="O296" s="294">
        <v>0</v>
      </c>
      <c r="P296" s="294">
        <v>0</v>
      </c>
    </row>
    <row r="297" spans="1:16">
      <c r="B297" s="290" t="s">
        <v>504</v>
      </c>
      <c r="C297" s="294">
        <v>11</v>
      </c>
      <c r="D297" s="294">
        <v>6</v>
      </c>
      <c r="E297" s="294">
        <v>4</v>
      </c>
      <c r="F297" s="294">
        <v>1</v>
      </c>
      <c r="G297" s="294">
        <v>7</v>
      </c>
      <c r="H297" s="294">
        <v>3</v>
      </c>
      <c r="I297" s="294">
        <v>3</v>
      </c>
      <c r="J297" s="294">
        <v>1</v>
      </c>
      <c r="K297" s="294">
        <v>4</v>
      </c>
      <c r="L297" s="294">
        <v>3</v>
      </c>
      <c r="M297" s="294">
        <v>1</v>
      </c>
      <c r="N297" s="294">
        <v>0</v>
      </c>
      <c r="O297" s="294">
        <v>0</v>
      </c>
      <c r="P297" s="294">
        <v>0</v>
      </c>
    </row>
    <row r="298" spans="1:16" ht="5.0999999999999996" customHeight="1">
      <c r="C298" s="294"/>
      <c r="D298" s="294"/>
      <c r="E298" s="294"/>
      <c r="F298" s="294"/>
      <c r="G298" s="294"/>
      <c r="H298" s="294"/>
      <c r="I298" s="294"/>
      <c r="J298" s="294"/>
      <c r="K298" s="294"/>
      <c r="L298" s="294"/>
      <c r="M298" s="294"/>
      <c r="N298" s="294"/>
      <c r="O298" s="294"/>
      <c r="P298" s="294"/>
    </row>
    <row r="299" spans="1:16" s="292" customFormat="1">
      <c r="A299" s="292" t="s">
        <v>90</v>
      </c>
      <c r="C299" s="293">
        <v>413</v>
      </c>
      <c r="D299" s="293">
        <v>234</v>
      </c>
      <c r="E299" s="293">
        <v>179</v>
      </c>
      <c r="F299" s="293">
        <v>0</v>
      </c>
      <c r="G299" s="293">
        <v>294</v>
      </c>
      <c r="H299" s="293">
        <v>167</v>
      </c>
      <c r="I299" s="293">
        <v>127</v>
      </c>
      <c r="J299" s="293">
        <v>0</v>
      </c>
      <c r="K299" s="293">
        <v>118</v>
      </c>
      <c r="L299" s="293">
        <v>66</v>
      </c>
      <c r="M299" s="293">
        <v>52</v>
      </c>
      <c r="N299" s="293">
        <v>1</v>
      </c>
      <c r="O299" s="293">
        <v>1</v>
      </c>
      <c r="P299" s="293">
        <v>0</v>
      </c>
    </row>
    <row r="300" spans="1:16" ht="5.0999999999999996" customHeight="1">
      <c r="C300" s="294"/>
      <c r="D300" s="294"/>
      <c r="E300" s="294"/>
      <c r="F300" s="294"/>
      <c r="G300" s="294"/>
      <c r="H300" s="294"/>
      <c r="I300" s="294"/>
      <c r="J300" s="294"/>
      <c r="K300" s="294"/>
      <c r="L300" s="294"/>
      <c r="M300" s="294"/>
      <c r="N300" s="294"/>
      <c r="O300" s="294"/>
      <c r="P300" s="294"/>
    </row>
    <row r="301" spans="1:16">
      <c r="B301" s="290" t="s">
        <v>503</v>
      </c>
      <c r="C301" s="294">
        <v>3</v>
      </c>
      <c r="D301" s="294">
        <v>1</v>
      </c>
      <c r="E301" s="294">
        <v>2</v>
      </c>
      <c r="F301" s="294">
        <v>0</v>
      </c>
      <c r="G301" s="294">
        <v>3</v>
      </c>
      <c r="H301" s="294">
        <v>1</v>
      </c>
      <c r="I301" s="294">
        <v>2</v>
      </c>
      <c r="J301" s="294">
        <v>0</v>
      </c>
      <c r="K301" s="294">
        <v>0</v>
      </c>
      <c r="L301" s="294">
        <v>0</v>
      </c>
      <c r="M301" s="294">
        <v>0</v>
      </c>
      <c r="N301" s="294">
        <v>0</v>
      </c>
      <c r="O301" s="294">
        <v>0</v>
      </c>
      <c r="P301" s="294">
        <v>0</v>
      </c>
    </row>
    <row r="302" spans="1:16">
      <c r="B302" s="290" t="s">
        <v>259</v>
      </c>
      <c r="C302" s="294">
        <v>2</v>
      </c>
      <c r="D302" s="294">
        <v>0</v>
      </c>
      <c r="E302" s="294">
        <v>2</v>
      </c>
      <c r="F302" s="294">
        <v>0</v>
      </c>
      <c r="G302" s="294">
        <v>2</v>
      </c>
      <c r="H302" s="294">
        <v>0</v>
      </c>
      <c r="I302" s="294">
        <v>2</v>
      </c>
      <c r="J302" s="294">
        <v>0</v>
      </c>
      <c r="K302" s="294">
        <v>0</v>
      </c>
      <c r="L302" s="294">
        <v>0</v>
      </c>
      <c r="M302" s="294">
        <v>0</v>
      </c>
      <c r="N302" s="294">
        <v>0</v>
      </c>
      <c r="O302" s="294">
        <v>0</v>
      </c>
      <c r="P302" s="294">
        <v>0</v>
      </c>
    </row>
    <row r="303" spans="1:16">
      <c r="B303" s="290" t="s">
        <v>260</v>
      </c>
      <c r="C303" s="294">
        <v>2</v>
      </c>
      <c r="D303" s="294">
        <v>0</v>
      </c>
      <c r="E303" s="294">
        <v>2</v>
      </c>
      <c r="F303" s="294">
        <v>0</v>
      </c>
      <c r="G303" s="294">
        <v>2</v>
      </c>
      <c r="H303" s="294">
        <v>0</v>
      </c>
      <c r="I303" s="294">
        <v>2</v>
      </c>
      <c r="J303" s="294">
        <v>0</v>
      </c>
      <c r="K303" s="294">
        <v>0</v>
      </c>
      <c r="L303" s="294">
        <v>0</v>
      </c>
      <c r="M303" s="294">
        <v>0</v>
      </c>
      <c r="N303" s="294">
        <v>0</v>
      </c>
      <c r="O303" s="294">
        <v>0</v>
      </c>
      <c r="P303" s="294">
        <v>0</v>
      </c>
    </row>
    <row r="304" spans="1:16">
      <c r="B304" s="290" t="s">
        <v>261</v>
      </c>
      <c r="C304" s="294">
        <v>2</v>
      </c>
      <c r="D304" s="294">
        <v>0</v>
      </c>
      <c r="E304" s="294">
        <v>2</v>
      </c>
      <c r="F304" s="294">
        <v>0</v>
      </c>
      <c r="G304" s="294">
        <v>1</v>
      </c>
      <c r="H304" s="294">
        <v>0</v>
      </c>
      <c r="I304" s="294">
        <v>1</v>
      </c>
      <c r="J304" s="294">
        <v>0</v>
      </c>
      <c r="K304" s="294">
        <v>1</v>
      </c>
      <c r="L304" s="294">
        <v>0</v>
      </c>
      <c r="M304" s="294">
        <v>1</v>
      </c>
      <c r="N304" s="294">
        <v>0</v>
      </c>
      <c r="O304" s="294">
        <v>0</v>
      </c>
      <c r="P304" s="294">
        <v>0</v>
      </c>
    </row>
    <row r="305" spans="1:16">
      <c r="B305" s="290" t="s">
        <v>63</v>
      </c>
      <c r="C305" s="294">
        <v>3</v>
      </c>
      <c r="D305" s="294">
        <v>2</v>
      </c>
      <c r="E305" s="294">
        <v>1</v>
      </c>
      <c r="F305" s="294">
        <v>0</v>
      </c>
      <c r="G305" s="294">
        <v>3</v>
      </c>
      <c r="H305" s="294">
        <v>2</v>
      </c>
      <c r="I305" s="294">
        <v>1</v>
      </c>
      <c r="J305" s="294">
        <v>0</v>
      </c>
      <c r="K305" s="294">
        <v>0</v>
      </c>
      <c r="L305" s="294">
        <v>0</v>
      </c>
      <c r="M305" s="294">
        <v>0</v>
      </c>
      <c r="N305" s="294">
        <v>0</v>
      </c>
      <c r="O305" s="294">
        <v>0</v>
      </c>
      <c r="P305" s="294">
        <v>0</v>
      </c>
    </row>
    <row r="306" spans="1:16">
      <c r="B306" s="290" t="s">
        <v>64</v>
      </c>
      <c r="C306" s="294">
        <v>6</v>
      </c>
      <c r="D306" s="294">
        <v>5</v>
      </c>
      <c r="E306" s="294">
        <v>1</v>
      </c>
      <c r="F306" s="294">
        <v>0</v>
      </c>
      <c r="G306" s="294">
        <v>3</v>
      </c>
      <c r="H306" s="294">
        <v>3</v>
      </c>
      <c r="I306" s="294">
        <v>0</v>
      </c>
      <c r="J306" s="294">
        <v>0</v>
      </c>
      <c r="K306" s="294">
        <v>3</v>
      </c>
      <c r="L306" s="294">
        <v>2</v>
      </c>
      <c r="M306" s="294">
        <v>1</v>
      </c>
      <c r="N306" s="294">
        <v>0</v>
      </c>
      <c r="O306" s="294">
        <v>0</v>
      </c>
      <c r="P306" s="294">
        <v>0</v>
      </c>
    </row>
    <row r="307" spans="1:16">
      <c r="B307" s="290" t="s">
        <v>65</v>
      </c>
      <c r="C307" s="294">
        <v>7</v>
      </c>
      <c r="D307" s="294">
        <v>4</v>
      </c>
      <c r="E307" s="294">
        <v>3</v>
      </c>
      <c r="F307" s="294">
        <v>0</v>
      </c>
      <c r="G307" s="294">
        <v>6</v>
      </c>
      <c r="H307" s="294">
        <v>4</v>
      </c>
      <c r="I307" s="294">
        <v>2</v>
      </c>
      <c r="J307" s="294">
        <v>0</v>
      </c>
      <c r="K307" s="294">
        <v>1</v>
      </c>
      <c r="L307" s="294">
        <v>0</v>
      </c>
      <c r="M307" s="294">
        <v>1</v>
      </c>
      <c r="N307" s="294">
        <v>0</v>
      </c>
      <c r="O307" s="294">
        <v>0</v>
      </c>
      <c r="P307" s="294">
        <v>0</v>
      </c>
    </row>
    <row r="308" spans="1:16">
      <c r="B308" s="290" t="s">
        <v>66</v>
      </c>
      <c r="C308" s="294">
        <v>15</v>
      </c>
      <c r="D308" s="294">
        <v>9</v>
      </c>
      <c r="E308" s="294">
        <v>6</v>
      </c>
      <c r="F308" s="294">
        <v>0</v>
      </c>
      <c r="G308" s="294">
        <v>11</v>
      </c>
      <c r="H308" s="294">
        <v>6</v>
      </c>
      <c r="I308" s="294">
        <v>5</v>
      </c>
      <c r="J308" s="294">
        <v>0</v>
      </c>
      <c r="K308" s="294">
        <v>4</v>
      </c>
      <c r="L308" s="294">
        <v>3</v>
      </c>
      <c r="M308" s="294">
        <v>1</v>
      </c>
      <c r="N308" s="294">
        <v>0</v>
      </c>
      <c r="O308" s="294">
        <v>0</v>
      </c>
      <c r="P308" s="294">
        <v>0</v>
      </c>
    </row>
    <row r="309" spans="1:16">
      <c r="B309" s="290" t="s">
        <v>67</v>
      </c>
      <c r="C309" s="294">
        <v>5</v>
      </c>
      <c r="D309" s="294">
        <v>3</v>
      </c>
      <c r="E309" s="294">
        <v>2</v>
      </c>
      <c r="F309" s="294">
        <v>0</v>
      </c>
      <c r="G309" s="294">
        <v>4</v>
      </c>
      <c r="H309" s="294">
        <v>2</v>
      </c>
      <c r="I309" s="294">
        <v>2</v>
      </c>
      <c r="J309" s="294">
        <v>0</v>
      </c>
      <c r="K309" s="294">
        <v>1</v>
      </c>
      <c r="L309" s="294">
        <v>1</v>
      </c>
      <c r="M309" s="294">
        <v>0</v>
      </c>
      <c r="N309" s="294">
        <v>0</v>
      </c>
      <c r="O309" s="294">
        <v>0</v>
      </c>
      <c r="P309" s="294">
        <v>0</v>
      </c>
    </row>
    <row r="310" spans="1:16">
      <c r="B310" s="290" t="s">
        <v>68</v>
      </c>
      <c r="C310" s="294">
        <v>14</v>
      </c>
      <c r="D310" s="294">
        <v>10</v>
      </c>
      <c r="E310" s="294">
        <v>4</v>
      </c>
      <c r="F310" s="294">
        <v>0</v>
      </c>
      <c r="G310" s="294">
        <v>11</v>
      </c>
      <c r="H310" s="294">
        <v>7</v>
      </c>
      <c r="I310" s="294">
        <v>4</v>
      </c>
      <c r="J310" s="294">
        <v>0</v>
      </c>
      <c r="K310" s="294">
        <v>3</v>
      </c>
      <c r="L310" s="294">
        <v>3</v>
      </c>
      <c r="M310" s="294">
        <v>0</v>
      </c>
      <c r="N310" s="294">
        <v>0</v>
      </c>
      <c r="O310" s="294">
        <v>0</v>
      </c>
      <c r="P310" s="294">
        <v>0</v>
      </c>
    </row>
    <row r="311" spans="1:16">
      <c r="B311" s="290" t="s">
        <v>69</v>
      </c>
      <c r="C311" s="294">
        <v>21</v>
      </c>
      <c r="D311" s="294">
        <v>14</v>
      </c>
      <c r="E311" s="294">
        <v>7</v>
      </c>
      <c r="F311" s="294">
        <v>0</v>
      </c>
      <c r="G311" s="294">
        <v>14</v>
      </c>
      <c r="H311" s="294">
        <v>10</v>
      </c>
      <c r="I311" s="294">
        <v>4</v>
      </c>
      <c r="J311" s="294">
        <v>0</v>
      </c>
      <c r="K311" s="294">
        <v>7</v>
      </c>
      <c r="L311" s="294">
        <v>4</v>
      </c>
      <c r="M311" s="294">
        <v>3</v>
      </c>
      <c r="N311" s="294">
        <v>0</v>
      </c>
      <c r="O311" s="294">
        <v>0</v>
      </c>
      <c r="P311" s="294">
        <v>0</v>
      </c>
    </row>
    <row r="312" spans="1:16">
      <c r="B312" s="290" t="s">
        <v>262</v>
      </c>
      <c r="C312" s="294">
        <v>19</v>
      </c>
      <c r="D312" s="294">
        <v>11</v>
      </c>
      <c r="E312" s="294">
        <v>8</v>
      </c>
      <c r="F312" s="294">
        <v>0</v>
      </c>
      <c r="G312" s="294">
        <v>15</v>
      </c>
      <c r="H312" s="294">
        <v>10</v>
      </c>
      <c r="I312" s="294">
        <v>5</v>
      </c>
      <c r="J312" s="294">
        <v>0</v>
      </c>
      <c r="K312" s="294">
        <v>4</v>
      </c>
      <c r="L312" s="294">
        <v>1</v>
      </c>
      <c r="M312" s="294">
        <v>3</v>
      </c>
      <c r="N312" s="294">
        <v>0</v>
      </c>
      <c r="O312" s="294">
        <v>0</v>
      </c>
      <c r="P312" s="294">
        <v>0</v>
      </c>
    </row>
    <row r="313" spans="1:16">
      <c r="B313" s="290" t="s">
        <v>263</v>
      </c>
      <c r="C313" s="294">
        <v>27</v>
      </c>
      <c r="D313" s="294">
        <v>24</v>
      </c>
      <c r="E313" s="294">
        <v>3</v>
      </c>
      <c r="F313" s="294">
        <v>0</v>
      </c>
      <c r="G313" s="294">
        <v>19</v>
      </c>
      <c r="H313" s="294">
        <v>19</v>
      </c>
      <c r="I313" s="294">
        <v>0</v>
      </c>
      <c r="J313" s="294">
        <v>0</v>
      </c>
      <c r="K313" s="294">
        <v>8</v>
      </c>
      <c r="L313" s="294">
        <v>5</v>
      </c>
      <c r="M313" s="294">
        <v>3</v>
      </c>
      <c r="N313" s="294">
        <v>0</v>
      </c>
      <c r="O313" s="294">
        <v>0</v>
      </c>
      <c r="P313" s="294">
        <v>0</v>
      </c>
    </row>
    <row r="314" spans="1:16">
      <c r="B314" s="290" t="s">
        <v>264</v>
      </c>
      <c r="C314" s="294">
        <v>30</v>
      </c>
      <c r="D314" s="294">
        <v>17</v>
      </c>
      <c r="E314" s="294">
        <v>13</v>
      </c>
      <c r="F314" s="294">
        <v>0</v>
      </c>
      <c r="G314" s="294">
        <v>21</v>
      </c>
      <c r="H314" s="294">
        <v>14</v>
      </c>
      <c r="I314" s="294">
        <v>7</v>
      </c>
      <c r="J314" s="294">
        <v>0</v>
      </c>
      <c r="K314" s="294">
        <v>9</v>
      </c>
      <c r="L314" s="294">
        <v>3</v>
      </c>
      <c r="M314" s="294">
        <v>6</v>
      </c>
      <c r="N314" s="294">
        <v>0</v>
      </c>
      <c r="O314" s="294">
        <v>0</v>
      </c>
      <c r="P314" s="294">
        <v>0</v>
      </c>
    </row>
    <row r="315" spans="1:16">
      <c r="B315" s="290" t="s">
        <v>265</v>
      </c>
      <c r="C315" s="294">
        <v>27</v>
      </c>
      <c r="D315" s="294">
        <v>12</v>
      </c>
      <c r="E315" s="294">
        <v>15</v>
      </c>
      <c r="F315" s="294">
        <v>0</v>
      </c>
      <c r="G315" s="294">
        <v>20</v>
      </c>
      <c r="H315" s="294">
        <v>9</v>
      </c>
      <c r="I315" s="294">
        <v>11</v>
      </c>
      <c r="J315" s="294">
        <v>0</v>
      </c>
      <c r="K315" s="294">
        <v>7</v>
      </c>
      <c r="L315" s="294">
        <v>3</v>
      </c>
      <c r="M315" s="294">
        <v>4</v>
      </c>
      <c r="N315" s="294">
        <v>0</v>
      </c>
      <c r="O315" s="294">
        <v>0</v>
      </c>
      <c r="P315" s="294">
        <v>0</v>
      </c>
    </row>
    <row r="316" spans="1:16">
      <c r="B316" s="290" t="s">
        <v>266</v>
      </c>
      <c r="C316" s="294">
        <v>219</v>
      </c>
      <c r="D316" s="294">
        <v>116</v>
      </c>
      <c r="E316" s="294">
        <v>103</v>
      </c>
      <c r="F316" s="294">
        <v>0</v>
      </c>
      <c r="G316" s="294">
        <v>153</v>
      </c>
      <c r="H316" s="294">
        <v>77</v>
      </c>
      <c r="I316" s="294">
        <v>76</v>
      </c>
      <c r="J316" s="294">
        <v>0</v>
      </c>
      <c r="K316" s="294">
        <v>65</v>
      </c>
      <c r="L316" s="294">
        <v>38</v>
      </c>
      <c r="M316" s="294">
        <v>27</v>
      </c>
      <c r="N316" s="294">
        <v>1</v>
      </c>
      <c r="O316" s="294">
        <v>1</v>
      </c>
      <c r="P316" s="294">
        <v>0</v>
      </c>
    </row>
    <row r="317" spans="1:16">
      <c r="B317" s="290" t="s">
        <v>504</v>
      </c>
      <c r="C317" s="294">
        <v>11</v>
      </c>
      <c r="D317" s="294">
        <v>6</v>
      </c>
      <c r="E317" s="294">
        <v>5</v>
      </c>
      <c r="F317" s="294">
        <v>0</v>
      </c>
      <c r="G317" s="294">
        <v>6</v>
      </c>
      <c r="H317" s="294">
        <v>3</v>
      </c>
      <c r="I317" s="294">
        <v>3</v>
      </c>
      <c r="J317" s="294">
        <v>0</v>
      </c>
      <c r="K317" s="294">
        <v>5</v>
      </c>
      <c r="L317" s="294">
        <v>3</v>
      </c>
      <c r="M317" s="294">
        <v>2</v>
      </c>
      <c r="N317" s="294">
        <v>0</v>
      </c>
      <c r="O317" s="294">
        <v>0</v>
      </c>
      <c r="P317" s="294">
        <v>0</v>
      </c>
    </row>
    <row r="318" spans="1:16" ht="5.0999999999999996" customHeight="1">
      <c r="C318" s="294"/>
      <c r="D318" s="294"/>
      <c r="E318" s="294"/>
      <c r="F318" s="294"/>
      <c r="G318" s="294"/>
      <c r="H318" s="294"/>
      <c r="I318" s="294"/>
      <c r="J318" s="294"/>
      <c r="K318" s="294"/>
      <c r="L318" s="294"/>
      <c r="M318" s="294"/>
      <c r="N318" s="294"/>
      <c r="O318" s="294"/>
      <c r="P318" s="294"/>
    </row>
    <row r="319" spans="1:16" s="292" customFormat="1">
      <c r="A319" s="292" t="s">
        <v>91</v>
      </c>
      <c r="C319" s="293">
        <v>51</v>
      </c>
      <c r="D319" s="293">
        <v>27</v>
      </c>
      <c r="E319" s="293">
        <v>24</v>
      </c>
      <c r="F319" s="293">
        <v>0</v>
      </c>
      <c r="G319" s="293">
        <v>51</v>
      </c>
      <c r="H319" s="293">
        <v>27</v>
      </c>
      <c r="I319" s="293">
        <v>24</v>
      </c>
      <c r="J319" s="293">
        <v>0</v>
      </c>
      <c r="K319" s="293">
        <v>0</v>
      </c>
      <c r="L319" s="293">
        <v>0</v>
      </c>
      <c r="M319" s="293">
        <v>0</v>
      </c>
      <c r="N319" s="293">
        <v>0</v>
      </c>
      <c r="O319" s="293">
        <v>0</v>
      </c>
      <c r="P319" s="293">
        <v>0</v>
      </c>
    </row>
    <row r="320" spans="1:16" ht="5.0999999999999996" customHeight="1">
      <c r="C320" s="294"/>
      <c r="D320" s="294"/>
      <c r="E320" s="294"/>
      <c r="F320" s="294"/>
      <c r="G320" s="294"/>
      <c r="H320" s="294"/>
      <c r="I320" s="294"/>
      <c r="J320" s="294"/>
      <c r="K320" s="294"/>
      <c r="L320" s="294"/>
      <c r="M320" s="294"/>
      <c r="N320" s="294"/>
      <c r="O320" s="294"/>
      <c r="P320" s="294"/>
    </row>
    <row r="321" spans="1:16">
      <c r="B321" s="290" t="s">
        <v>503</v>
      </c>
      <c r="C321" s="294">
        <v>4</v>
      </c>
      <c r="D321" s="294">
        <v>3</v>
      </c>
      <c r="E321" s="294">
        <v>1</v>
      </c>
      <c r="F321" s="294">
        <v>0</v>
      </c>
      <c r="G321" s="294">
        <v>4</v>
      </c>
      <c r="H321" s="294">
        <v>3</v>
      </c>
      <c r="I321" s="294">
        <v>1</v>
      </c>
      <c r="J321" s="294">
        <v>0</v>
      </c>
      <c r="K321" s="294">
        <v>0</v>
      </c>
      <c r="L321" s="294">
        <v>0</v>
      </c>
      <c r="M321" s="294">
        <v>0</v>
      </c>
      <c r="N321" s="294">
        <v>0</v>
      </c>
      <c r="O321" s="294">
        <v>0</v>
      </c>
      <c r="P321" s="294">
        <v>0</v>
      </c>
    </row>
    <row r="322" spans="1:16">
      <c r="B322" s="290" t="s">
        <v>259</v>
      </c>
      <c r="C322" s="294">
        <v>3</v>
      </c>
      <c r="D322" s="294">
        <v>3</v>
      </c>
      <c r="E322" s="294">
        <v>0</v>
      </c>
      <c r="F322" s="294">
        <v>0</v>
      </c>
      <c r="G322" s="294">
        <v>3</v>
      </c>
      <c r="H322" s="294">
        <v>3</v>
      </c>
      <c r="I322" s="294">
        <v>0</v>
      </c>
      <c r="J322" s="294">
        <v>0</v>
      </c>
      <c r="K322" s="294">
        <v>0</v>
      </c>
      <c r="L322" s="294">
        <v>0</v>
      </c>
      <c r="M322" s="294">
        <v>0</v>
      </c>
      <c r="N322" s="294">
        <v>0</v>
      </c>
      <c r="O322" s="294">
        <v>0</v>
      </c>
      <c r="P322" s="294">
        <v>0</v>
      </c>
    </row>
    <row r="323" spans="1:16">
      <c r="B323" s="290" t="s">
        <v>63</v>
      </c>
      <c r="C323" s="294">
        <v>1</v>
      </c>
      <c r="D323" s="294">
        <v>1</v>
      </c>
      <c r="E323" s="294">
        <v>0</v>
      </c>
      <c r="F323" s="294">
        <v>0</v>
      </c>
      <c r="G323" s="294">
        <v>1</v>
      </c>
      <c r="H323" s="294">
        <v>1</v>
      </c>
      <c r="I323" s="294">
        <v>0</v>
      </c>
      <c r="J323" s="294">
        <v>0</v>
      </c>
      <c r="K323" s="294">
        <v>0</v>
      </c>
      <c r="L323" s="294">
        <v>0</v>
      </c>
      <c r="M323" s="294">
        <v>0</v>
      </c>
      <c r="N323" s="294">
        <v>0</v>
      </c>
      <c r="O323" s="294">
        <v>0</v>
      </c>
      <c r="P323" s="294">
        <v>0</v>
      </c>
    </row>
    <row r="324" spans="1:16">
      <c r="B324" s="290" t="s">
        <v>64</v>
      </c>
      <c r="C324" s="294">
        <v>2</v>
      </c>
      <c r="D324" s="294">
        <v>1</v>
      </c>
      <c r="E324" s="294">
        <v>1</v>
      </c>
      <c r="F324" s="294">
        <v>0</v>
      </c>
      <c r="G324" s="294">
        <v>2</v>
      </c>
      <c r="H324" s="294">
        <v>1</v>
      </c>
      <c r="I324" s="294">
        <v>1</v>
      </c>
      <c r="J324" s="294">
        <v>0</v>
      </c>
      <c r="K324" s="294">
        <v>0</v>
      </c>
      <c r="L324" s="294">
        <v>0</v>
      </c>
      <c r="M324" s="294">
        <v>0</v>
      </c>
      <c r="N324" s="294">
        <v>0</v>
      </c>
      <c r="O324" s="294">
        <v>0</v>
      </c>
      <c r="P324" s="294">
        <v>0</v>
      </c>
    </row>
    <row r="325" spans="1:16">
      <c r="B325" s="290" t="s">
        <v>65</v>
      </c>
      <c r="C325" s="294">
        <v>1</v>
      </c>
      <c r="D325" s="294">
        <v>1</v>
      </c>
      <c r="E325" s="294">
        <v>0</v>
      </c>
      <c r="F325" s="294">
        <v>0</v>
      </c>
      <c r="G325" s="294">
        <v>1</v>
      </c>
      <c r="H325" s="294">
        <v>1</v>
      </c>
      <c r="I325" s="294">
        <v>0</v>
      </c>
      <c r="J325" s="294">
        <v>0</v>
      </c>
      <c r="K325" s="294">
        <v>0</v>
      </c>
      <c r="L325" s="294">
        <v>0</v>
      </c>
      <c r="M325" s="294">
        <v>0</v>
      </c>
      <c r="N325" s="294">
        <v>0</v>
      </c>
      <c r="O325" s="294">
        <v>0</v>
      </c>
      <c r="P325" s="294">
        <v>0</v>
      </c>
    </row>
    <row r="326" spans="1:16">
      <c r="B326" s="290" t="s">
        <v>66</v>
      </c>
      <c r="C326" s="294">
        <v>1</v>
      </c>
      <c r="D326" s="294">
        <v>1</v>
      </c>
      <c r="E326" s="294">
        <v>0</v>
      </c>
      <c r="F326" s="294">
        <v>0</v>
      </c>
      <c r="G326" s="294">
        <v>1</v>
      </c>
      <c r="H326" s="294">
        <v>1</v>
      </c>
      <c r="I326" s="294">
        <v>0</v>
      </c>
      <c r="J326" s="294">
        <v>0</v>
      </c>
      <c r="K326" s="294">
        <v>0</v>
      </c>
      <c r="L326" s="294">
        <v>0</v>
      </c>
      <c r="M326" s="294">
        <v>0</v>
      </c>
      <c r="N326" s="294">
        <v>0</v>
      </c>
      <c r="O326" s="294">
        <v>0</v>
      </c>
      <c r="P326" s="294">
        <v>0</v>
      </c>
    </row>
    <row r="327" spans="1:16">
      <c r="B327" s="290" t="s">
        <v>67</v>
      </c>
      <c r="C327" s="294">
        <v>2</v>
      </c>
      <c r="D327" s="294">
        <v>1</v>
      </c>
      <c r="E327" s="294">
        <v>1</v>
      </c>
      <c r="F327" s="294">
        <v>0</v>
      </c>
      <c r="G327" s="294">
        <v>2</v>
      </c>
      <c r="H327" s="294">
        <v>1</v>
      </c>
      <c r="I327" s="294">
        <v>1</v>
      </c>
      <c r="J327" s="294">
        <v>0</v>
      </c>
      <c r="K327" s="294">
        <v>0</v>
      </c>
      <c r="L327" s="294">
        <v>0</v>
      </c>
      <c r="M327" s="294">
        <v>0</v>
      </c>
      <c r="N327" s="294">
        <v>0</v>
      </c>
      <c r="O327" s="294">
        <v>0</v>
      </c>
      <c r="P327" s="294">
        <v>0</v>
      </c>
    </row>
    <row r="328" spans="1:16">
      <c r="B328" s="290" t="s">
        <v>68</v>
      </c>
      <c r="C328" s="294">
        <v>3</v>
      </c>
      <c r="D328" s="294">
        <v>2</v>
      </c>
      <c r="E328" s="294">
        <v>1</v>
      </c>
      <c r="F328" s="294">
        <v>0</v>
      </c>
      <c r="G328" s="294">
        <v>3</v>
      </c>
      <c r="H328" s="294">
        <v>2</v>
      </c>
      <c r="I328" s="294">
        <v>1</v>
      </c>
      <c r="J328" s="294">
        <v>0</v>
      </c>
      <c r="K328" s="294">
        <v>0</v>
      </c>
      <c r="L328" s="294">
        <v>0</v>
      </c>
      <c r="M328" s="294">
        <v>0</v>
      </c>
      <c r="N328" s="294">
        <v>0</v>
      </c>
      <c r="O328" s="294">
        <v>0</v>
      </c>
      <c r="P328" s="294">
        <v>0</v>
      </c>
    </row>
    <row r="329" spans="1:16">
      <c r="B329" s="290" t="s">
        <v>69</v>
      </c>
      <c r="C329" s="294">
        <v>4</v>
      </c>
      <c r="D329" s="294">
        <v>2</v>
      </c>
      <c r="E329" s="294">
        <v>2</v>
      </c>
      <c r="F329" s="294">
        <v>0</v>
      </c>
      <c r="G329" s="294">
        <v>4</v>
      </c>
      <c r="H329" s="294">
        <v>2</v>
      </c>
      <c r="I329" s="294">
        <v>2</v>
      </c>
      <c r="J329" s="294">
        <v>0</v>
      </c>
      <c r="K329" s="294">
        <v>0</v>
      </c>
      <c r="L329" s="294">
        <v>0</v>
      </c>
      <c r="M329" s="294">
        <v>0</v>
      </c>
      <c r="N329" s="294">
        <v>0</v>
      </c>
      <c r="O329" s="294">
        <v>0</v>
      </c>
      <c r="P329" s="294">
        <v>0</v>
      </c>
    </row>
    <row r="330" spans="1:16">
      <c r="B330" s="290" t="s">
        <v>262</v>
      </c>
      <c r="C330" s="294">
        <v>1</v>
      </c>
      <c r="D330" s="294">
        <v>0</v>
      </c>
      <c r="E330" s="294">
        <v>1</v>
      </c>
      <c r="F330" s="294">
        <v>0</v>
      </c>
      <c r="G330" s="294">
        <v>1</v>
      </c>
      <c r="H330" s="294">
        <v>0</v>
      </c>
      <c r="I330" s="294">
        <v>1</v>
      </c>
      <c r="J330" s="294">
        <v>0</v>
      </c>
      <c r="K330" s="294">
        <v>0</v>
      </c>
      <c r="L330" s="294">
        <v>0</v>
      </c>
      <c r="M330" s="294">
        <v>0</v>
      </c>
      <c r="N330" s="294">
        <v>0</v>
      </c>
      <c r="O330" s="294">
        <v>0</v>
      </c>
      <c r="P330" s="294">
        <v>0</v>
      </c>
    </row>
    <row r="331" spans="1:16">
      <c r="B331" s="290" t="s">
        <v>263</v>
      </c>
      <c r="C331" s="294">
        <v>1</v>
      </c>
      <c r="D331" s="294">
        <v>1</v>
      </c>
      <c r="E331" s="294">
        <v>0</v>
      </c>
      <c r="F331" s="294">
        <v>0</v>
      </c>
      <c r="G331" s="294">
        <v>1</v>
      </c>
      <c r="H331" s="294">
        <v>1</v>
      </c>
      <c r="I331" s="294">
        <v>0</v>
      </c>
      <c r="J331" s="294">
        <v>0</v>
      </c>
      <c r="K331" s="294">
        <v>0</v>
      </c>
      <c r="L331" s="294">
        <v>0</v>
      </c>
      <c r="M331" s="294">
        <v>0</v>
      </c>
      <c r="N331" s="294">
        <v>0</v>
      </c>
      <c r="O331" s="294">
        <v>0</v>
      </c>
      <c r="P331" s="294">
        <v>0</v>
      </c>
    </row>
    <row r="332" spans="1:16">
      <c r="B332" s="290" t="s">
        <v>264</v>
      </c>
      <c r="C332" s="294">
        <v>2</v>
      </c>
      <c r="D332" s="294">
        <v>1</v>
      </c>
      <c r="E332" s="294">
        <v>1</v>
      </c>
      <c r="F332" s="294">
        <v>0</v>
      </c>
      <c r="G332" s="294">
        <v>2</v>
      </c>
      <c r="H332" s="294">
        <v>1</v>
      </c>
      <c r="I332" s="294">
        <v>1</v>
      </c>
      <c r="J332" s="294">
        <v>0</v>
      </c>
      <c r="K332" s="294">
        <v>0</v>
      </c>
      <c r="L332" s="294">
        <v>0</v>
      </c>
      <c r="M332" s="294">
        <v>0</v>
      </c>
      <c r="N332" s="294">
        <v>0</v>
      </c>
      <c r="O332" s="294">
        <v>0</v>
      </c>
      <c r="P332" s="294">
        <v>0</v>
      </c>
    </row>
    <row r="333" spans="1:16">
      <c r="B333" s="290" t="s">
        <v>265</v>
      </c>
      <c r="C333" s="294">
        <v>4</v>
      </c>
      <c r="D333" s="294">
        <v>2</v>
      </c>
      <c r="E333" s="294">
        <v>2</v>
      </c>
      <c r="F333" s="294">
        <v>0</v>
      </c>
      <c r="G333" s="294">
        <v>4</v>
      </c>
      <c r="H333" s="294">
        <v>2</v>
      </c>
      <c r="I333" s="294">
        <v>2</v>
      </c>
      <c r="J333" s="294">
        <v>0</v>
      </c>
      <c r="K333" s="294">
        <v>0</v>
      </c>
      <c r="L333" s="294">
        <v>0</v>
      </c>
      <c r="M333" s="294">
        <v>0</v>
      </c>
      <c r="N333" s="294">
        <v>0</v>
      </c>
      <c r="O333" s="294">
        <v>0</v>
      </c>
      <c r="P333" s="294">
        <v>0</v>
      </c>
    </row>
    <row r="334" spans="1:16">
      <c r="B334" s="290" t="s">
        <v>266</v>
      </c>
      <c r="C334" s="294">
        <v>22</v>
      </c>
      <c r="D334" s="294">
        <v>8</v>
      </c>
      <c r="E334" s="294">
        <v>14</v>
      </c>
      <c r="F334" s="294">
        <v>0</v>
      </c>
      <c r="G334" s="294">
        <v>22</v>
      </c>
      <c r="H334" s="294">
        <v>8</v>
      </c>
      <c r="I334" s="294">
        <v>14</v>
      </c>
      <c r="J334" s="294">
        <v>0</v>
      </c>
      <c r="K334" s="294">
        <v>0</v>
      </c>
      <c r="L334" s="294">
        <v>0</v>
      </c>
      <c r="M334" s="294">
        <v>0</v>
      </c>
      <c r="N334" s="294">
        <v>0</v>
      </c>
      <c r="O334" s="294">
        <v>0</v>
      </c>
      <c r="P334" s="294">
        <v>0</v>
      </c>
    </row>
    <row r="335" spans="1:16" ht="5.0999999999999996" customHeight="1">
      <c r="C335" s="294"/>
      <c r="D335" s="294"/>
      <c r="E335" s="294"/>
      <c r="F335" s="294"/>
      <c r="G335" s="294"/>
      <c r="H335" s="294"/>
      <c r="I335" s="294"/>
      <c r="J335" s="294"/>
      <c r="K335" s="294"/>
      <c r="L335" s="294"/>
      <c r="M335" s="294"/>
      <c r="N335" s="294"/>
      <c r="O335" s="294"/>
      <c r="P335" s="294"/>
    </row>
    <row r="336" spans="1:16" s="292" customFormat="1">
      <c r="A336" s="292" t="s">
        <v>92</v>
      </c>
      <c r="C336" s="293">
        <v>415</v>
      </c>
      <c r="D336" s="293">
        <v>254</v>
      </c>
      <c r="E336" s="293">
        <v>161</v>
      </c>
      <c r="F336" s="293">
        <v>0</v>
      </c>
      <c r="G336" s="293">
        <v>411</v>
      </c>
      <c r="H336" s="293">
        <v>251</v>
      </c>
      <c r="I336" s="293">
        <v>160</v>
      </c>
      <c r="J336" s="293">
        <v>0</v>
      </c>
      <c r="K336" s="293">
        <v>4</v>
      </c>
      <c r="L336" s="293">
        <v>3</v>
      </c>
      <c r="M336" s="293">
        <v>1</v>
      </c>
      <c r="N336" s="293">
        <v>0</v>
      </c>
      <c r="O336" s="293">
        <v>0</v>
      </c>
      <c r="P336" s="293">
        <v>0</v>
      </c>
    </row>
    <row r="337" spans="2:16" ht="5.0999999999999996" customHeight="1">
      <c r="C337" s="294"/>
      <c r="D337" s="294"/>
      <c r="E337" s="294"/>
      <c r="F337" s="294"/>
      <c r="G337" s="294"/>
      <c r="H337" s="294"/>
      <c r="I337" s="294"/>
      <c r="J337" s="294"/>
      <c r="K337" s="294"/>
      <c r="L337" s="294"/>
      <c r="M337" s="294"/>
      <c r="N337" s="294"/>
      <c r="O337" s="294"/>
      <c r="P337" s="294"/>
    </row>
    <row r="338" spans="2:16">
      <c r="B338" s="290" t="s">
        <v>503</v>
      </c>
      <c r="C338" s="294">
        <v>6</v>
      </c>
      <c r="D338" s="294">
        <v>5</v>
      </c>
      <c r="E338" s="294">
        <v>1</v>
      </c>
      <c r="F338" s="294">
        <v>0</v>
      </c>
      <c r="G338" s="294">
        <v>6</v>
      </c>
      <c r="H338" s="294">
        <v>5</v>
      </c>
      <c r="I338" s="294">
        <v>1</v>
      </c>
      <c r="J338" s="294">
        <v>0</v>
      </c>
      <c r="K338" s="294">
        <v>0</v>
      </c>
      <c r="L338" s="294">
        <v>0</v>
      </c>
      <c r="M338" s="294">
        <v>0</v>
      </c>
      <c r="N338" s="294">
        <v>0</v>
      </c>
      <c r="O338" s="294">
        <v>0</v>
      </c>
      <c r="P338" s="294">
        <v>0</v>
      </c>
    </row>
    <row r="339" spans="2:16">
      <c r="B339" s="290" t="s">
        <v>259</v>
      </c>
      <c r="C339" s="294">
        <v>4</v>
      </c>
      <c r="D339" s="294">
        <v>2</v>
      </c>
      <c r="E339" s="294">
        <v>2</v>
      </c>
      <c r="F339" s="294">
        <v>0</v>
      </c>
      <c r="G339" s="294">
        <v>3</v>
      </c>
      <c r="H339" s="294">
        <v>1</v>
      </c>
      <c r="I339" s="294">
        <v>2</v>
      </c>
      <c r="J339" s="294">
        <v>0</v>
      </c>
      <c r="K339" s="294">
        <v>1</v>
      </c>
      <c r="L339" s="294">
        <v>1</v>
      </c>
      <c r="M339" s="294">
        <v>0</v>
      </c>
      <c r="N339" s="294">
        <v>0</v>
      </c>
      <c r="O339" s="294">
        <v>0</v>
      </c>
      <c r="P339" s="294">
        <v>0</v>
      </c>
    </row>
    <row r="340" spans="2:16">
      <c r="B340" s="290" t="s">
        <v>261</v>
      </c>
      <c r="C340" s="294">
        <v>3</v>
      </c>
      <c r="D340" s="294">
        <v>3</v>
      </c>
      <c r="E340" s="294">
        <v>0</v>
      </c>
      <c r="F340" s="294">
        <v>0</v>
      </c>
      <c r="G340" s="294">
        <v>3</v>
      </c>
      <c r="H340" s="294">
        <v>3</v>
      </c>
      <c r="I340" s="294">
        <v>0</v>
      </c>
      <c r="J340" s="294">
        <v>0</v>
      </c>
      <c r="K340" s="294">
        <v>0</v>
      </c>
      <c r="L340" s="294">
        <v>0</v>
      </c>
      <c r="M340" s="294">
        <v>0</v>
      </c>
      <c r="N340" s="294">
        <v>0</v>
      </c>
      <c r="O340" s="294">
        <v>0</v>
      </c>
      <c r="P340" s="294">
        <v>0</v>
      </c>
    </row>
    <row r="341" spans="2:16">
      <c r="B341" s="290" t="s">
        <v>63</v>
      </c>
      <c r="C341" s="294">
        <v>5</v>
      </c>
      <c r="D341" s="294">
        <v>3</v>
      </c>
      <c r="E341" s="294">
        <v>2</v>
      </c>
      <c r="F341" s="294">
        <v>0</v>
      </c>
      <c r="G341" s="294">
        <v>5</v>
      </c>
      <c r="H341" s="294">
        <v>3</v>
      </c>
      <c r="I341" s="294">
        <v>2</v>
      </c>
      <c r="J341" s="294">
        <v>0</v>
      </c>
      <c r="K341" s="294">
        <v>0</v>
      </c>
      <c r="L341" s="294">
        <v>0</v>
      </c>
      <c r="M341" s="294">
        <v>0</v>
      </c>
      <c r="N341" s="294">
        <v>0</v>
      </c>
      <c r="O341" s="294">
        <v>0</v>
      </c>
      <c r="P341" s="294">
        <v>0</v>
      </c>
    </row>
    <row r="342" spans="2:16">
      <c r="B342" s="290" t="s">
        <v>64</v>
      </c>
      <c r="C342" s="294">
        <v>6</v>
      </c>
      <c r="D342" s="294">
        <v>5</v>
      </c>
      <c r="E342" s="294">
        <v>1</v>
      </c>
      <c r="F342" s="294">
        <v>0</v>
      </c>
      <c r="G342" s="294">
        <v>6</v>
      </c>
      <c r="H342" s="294">
        <v>5</v>
      </c>
      <c r="I342" s="294">
        <v>1</v>
      </c>
      <c r="J342" s="294">
        <v>0</v>
      </c>
      <c r="K342" s="294">
        <v>0</v>
      </c>
      <c r="L342" s="294">
        <v>0</v>
      </c>
      <c r="M342" s="294">
        <v>0</v>
      </c>
      <c r="N342" s="294">
        <v>0</v>
      </c>
      <c r="O342" s="294">
        <v>0</v>
      </c>
      <c r="P342" s="294">
        <v>0</v>
      </c>
    </row>
    <row r="343" spans="2:16">
      <c r="B343" s="290" t="s">
        <v>65</v>
      </c>
      <c r="C343" s="294">
        <v>11</v>
      </c>
      <c r="D343" s="294">
        <v>10</v>
      </c>
      <c r="E343" s="294">
        <v>1</v>
      </c>
      <c r="F343" s="294">
        <v>0</v>
      </c>
      <c r="G343" s="294">
        <v>11</v>
      </c>
      <c r="H343" s="294">
        <v>10</v>
      </c>
      <c r="I343" s="294">
        <v>1</v>
      </c>
      <c r="J343" s="294">
        <v>0</v>
      </c>
      <c r="K343" s="294">
        <v>0</v>
      </c>
      <c r="L343" s="294">
        <v>0</v>
      </c>
      <c r="M343" s="294">
        <v>0</v>
      </c>
      <c r="N343" s="294">
        <v>0</v>
      </c>
      <c r="O343" s="294">
        <v>0</v>
      </c>
      <c r="P343" s="294">
        <v>0</v>
      </c>
    </row>
    <row r="344" spans="2:16">
      <c r="B344" s="290" t="s">
        <v>66</v>
      </c>
      <c r="C344" s="294">
        <v>5</v>
      </c>
      <c r="D344" s="294">
        <v>2</v>
      </c>
      <c r="E344" s="294">
        <v>3</v>
      </c>
      <c r="F344" s="294">
        <v>0</v>
      </c>
      <c r="G344" s="294">
        <v>5</v>
      </c>
      <c r="H344" s="294">
        <v>2</v>
      </c>
      <c r="I344" s="294">
        <v>3</v>
      </c>
      <c r="J344" s="294">
        <v>0</v>
      </c>
      <c r="K344" s="294">
        <v>0</v>
      </c>
      <c r="L344" s="294">
        <v>0</v>
      </c>
      <c r="M344" s="294">
        <v>0</v>
      </c>
      <c r="N344" s="294">
        <v>0</v>
      </c>
      <c r="O344" s="294">
        <v>0</v>
      </c>
      <c r="P344" s="294">
        <v>0</v>
      </c>
    </row>
    <row r="345" spans="2:16">
      <c r="B345" s="290" t="s">
        <v>67</v>
      </c>
      <c r="C345" s="294">
        <v>17</v>
      </c>
      <c r="D345" s="294">
        <v>9</v>
      </c>
      <c r="E345" s="294">
        <v>8</v>
      </c>
      <c r="F345" s="294">
        <v>0</v>
      </c>
      <c r="G345" s="294">
        <v>17</v>
      </c>
      <c r="H345" s="294">
        <v>9</v>
      </c>
      <c r="I345" s="294">
        <v>8</v>
      </c>
      <c r="J345" s="294">
        <v>0</v>
      </c>
      <c r="K345" s="294">
        <v>0</v>
      </c>
      <c r="L345" s="294">
        <v>0</v>
      </c>
      <c r="M345" s="294">
        <v>0</v>
      </c>
      <c r="N345" s="294">
        <v>0</v>
      </c>
      <c r="O345" s="294">
        <v>0</v>
      </c>
      <c r="P345" s="294">
        <v>0</v>
      </c>
    </row>
    <row r="346" spans="2:16">
      <c r="B346" s="290" t="s">
        <v>68</v>
      </c>
      <c r="C346" s="294">
        <v>13</v>
      </c>
      <c r="D346" s="294">
        <v>8</v>
      </c>
      <c r="E346" s="294">
        <v>5</v>
      </c>
      <c r="F346" s="294">
        <v>0</v>
      </c>
      <c r="G346" s="294">
        <v>13</v>
      </c>
      <c r="H346" s="294">
        <v>8</v>
      </c>
      <c r="I346" s="294">
        <v>5</v>
      </c>
      <c r="J346" s="294">
        <v>0</v>
      </c>
      <c r="K346" s="294">
        <v>0</v>
      </c>
      <c r="L346" s="294">
        <v>0</v>
      </c>
      <c r="M346" s="294">
        <v>0</v>
      </c>
      <c r="N346" s="294">
        <v>0</v>
      </c>
      <c r="O346" s="294">
        <v>0</v>
      </c>
      <c r="P346" s="294">
        <v>0</v>
      </c>
    </row>
    <row r="347" spans="2:16">
      <c r="B347" s="290" t="s">
        <v>69</v>
      </c>
      <c r="C347" s="294">
        <v>14</v>
      </c>
      <c r="D347" s="294">
        <v>12</v>
      </c>
      <c r="E347" s="294">
        <v>2</v>
      </c>
      <c r="F347" s="294">
        <v>0</v>
      </c>
      <c r="G347" s="294">
        <v>14</v>
      </c>
      <c r="H347" s="294">
        <v>12</v>
      </c>
      <c r="I347" s="294">
        <v>2</v>
      </c>
      <c r="J347" s="294">
        <v>0</v>
      </c>
      <c r="K347" s="294">
        <v>0</v>
      </c>
      <c r="L347" s="294">
        <v>0</v>
      </c>
      <c r="M347" s="294">
        <v>0</v>
      </c>
      <c r="N347" s="294">
        <v>0</v>
      </c>
      <c r="O347" s="294">
        <v>0</v>
      </c>
      <c r="P347" s="294">
        <v>0</v>
      </c>
    </row>
    <row r="348" spans="2:16">
      <c r="B348" s="290" t="s">
        <v>262</v>
      </c>
      <c r="C348" s="294">
        <v>24</v>
      </c>
      <c r="D348" s="294">
        <v>12</v>
      </c>
      <c r="E348" s="294">
        <v>12</v>
      </c>
      <c r="F348" s="294">
        <v>0</v>
      </c>
      <c r="G348" s="294">
        <v>24</v>
      </c>
      <c r="H348" s="294">
        <v>12</v>
      </c>
      <c r="I348" s="294">
        <v>12</v>
      </c>
      <c r="J348" s="294">
        <v>0</v>
      </c>
      <c r="K348" s="294">
        <v>0</v>
      </c>
      <c r="L348" s="294">
        <v>0</v>
      </c>
      <c r="M348" s="294">
        <v>0</v>
      </c>
      <c r="N348" s="294">
        <v>0</v>
      </c>
      <c r="O348" s="294">
        <v>0</v>
      </c>
      <c r="P348" s="294">
        <v>0</v>
      </c>
    </row>
    <row r="349" spans="2:16">
      <c r="B349" s="290" t="s">
        <v>263</v>
      </c>
      <c r="C349" s="294">
        <v>31</v>
      </c>
      <c r="D349" s="294">
        <v>22</v>
      </c>
      <c r="E349" s="294">
        <v>9</v>
      </c>
      <c r="F349" s="294">
        <v>0</v>
      </c>
      <c r="G349" s="294">
        <v>31</v>
      </c>
      <c r="H349" s="294">
        <v>22</v>
      </c>
      <c r="I349" s="294">
        <v>9</v>
      </c>
      <c r="J349" s="294">
        <v>0</v>
      </c>
      <c r="K349" s="294">
        <v>0</v>
      </c>
      <c r="L349" s="294">
        <v>0</v>
      </c>
      <c r="M349" s="294">
        <v>0</v>
      </c>
      <c r="N349" s="294">
        <v>0</v>
      </c>
      <c r="O349" s="294">
        <v>0</v>
      </c>
      <c r="P349" s="294">
        <v>0</v>
      </c>
    </row>
    <row r="350" spans="2:16">
      <c r="B350" s="290" t="s">
        <v>264</v>
      </c>
      <c r="C350" s="294">
        <v>29</v>
      </c>
      <c r="D350" s="294">
        <v>15</v>
      </c>
      <c r="E350" s="294">
        <v>14</v>
      </c>
      <c r="F350" s="294">
        <v>0</v>
      </c>
      <c r="G350" s="294">
        <v>28</v>
      </c>
      <c r="H350" s="294">
        <v>14</v>
      </c>
      <c r="I350" s="294">
        <v>14</v>
      </c>
      <c r="J350" s="294">
        <v>0</v>
      </c>
      <c r="K350" s="294">
        <v>1</v>
      </c>
      <c r="L350" s="294">
        <v>1</v>
      </c>
      <c r="M350" s="294">
        <v>0</v>
      </c>
      <c r="N350" s="294">
        <v>0</v>
      </c>
      <c r="O350" s="294">
        <v>0</v>
      </c>
      <c r="P350" s="294">
        <v>0</v>
      </c>
    </row>
    <row r="351" spans="2:16">
      <c r="B351" s="290" t="s">
        <v>265</v>
      </c>
      <c r="C351" s="294">
        <v>24</v>
      </c>
      <c r="D351" s="294">
        <v>16</v>
      </c>
      <c r="E351" s="294">
        <v>8</v>
      </c>
      <c r="F351" s="294">
        <v>0</v>
      </c>
      <c r="G351" s="294">
        <v>24</v>
      </c>
      <c r="H351" s="294">
        <v>16</v>
      </c>
      <c r="I351" s="294">
        <v>8</v>
      </c>
      <c r="J351" s="294">
        <v>0</v>
      </c>
      <c r="K351" s="294">
        <v>0</v>
      </c>
      <c r="L351" s="294">
        <v>0</v>
      </c>
      <c r="M351" s="294">
        <v>0</v>
      </c>
      <c r="N351" s="294">
        <v>0</v>
      </c>
      <c r="O351" s="294">
        <v>0</v>
      </c>
      <c r="P351" s="294">
        <v>0</v>
      </c>
    </row>
    <row r="352" spans="2:16">
      <c r="B352" s="290" t="s">
        <v>266</v>
      </c>
      <c r="C352" s="294">
        <v>218</v>
      </c>
      <c r="D352" s="294">
        <v>126</v>
      </c>
      <c r="E352" s="294">
        <v>92</v>
      </c>
      <c r="F352" s="294">
        <v>0</v>
      </c>
      <c r="G352" s="294">
        <v>216</v>
      </c>
      <c r="H352" s="294">
        <v>125</v>
      </c>
      <c r="I352" s="294">
        <v>91</v>
      </c>
      <c r="J352" s="294">
        <v>0</v>
      </c>
      <c r="K352" s="294">
        <v>2</v>
      </c>
      <c r="L352" s="294">
        <v>1</v>
      </c>
      <c r="M352" s="294">
        <v>1</v>
      </c>
      <c r="N352" s="294">
        <v>0</v>
      </c>
      <c r="O352" s="294">
        <v>0</v>
      </c>
      <c r="P352" s="294">
        <v>0</v>
      </c>
    </row>
    <row r="353" spans="1:16">
      <c r="B353" s="290" t="s">
        <v>504</v>
      </c>
      <c r="C353" s="294">
        <v>5</v>
      </c>
      <c r="D353" s="294">
        <v>4</v>
      </c>
      <c r="E353" s="294">
        <v>1</v>
      </c>
      <c r="F353" s="294">
        <v>0</v>
      </c>
      <c r="G353" s="294">
        <v>5</v>
      </c>
      <c r="H353" s="294">
        <v>4</v>
      </c>
      <c r="I353" s="294">
        <v>1</v>
      </c>
      <c r="J353" s="294">
        <v>0</v>
      </c>
      <c r="K353" s="294">
        <v>0</v>
      </c>
      <c r="L353" s="294">
        <v>0</v>
      </c>
      <c r="M353" s="294">
        <v>0</v>
      </c>
      <c r="N353" s="294">
        <v>0</v>
      </c>
      <c r="O353" s="294">
        <v>0</v>
      </c>
      <c r="P353" s="294">
        <v>0</v>
      </c>
    </row>
    <row r="354" spans="1:16" s="292" customFormat="1" ht="5.0999999999999996" customHeight="1">
      <c r="A354" s="290"/>
      <c r="B354" s="290"/>
      <c r="C354" s="294"/>
      <c r="D354" s="294"/>
      <c r="E354" s="294"/>
      <c r="F354" s="294"/>
      <c r="G354" s="294"/>
      <c r="H354" s="294"/>
      <c r="I354" s="294"/>
      <c r="J354" s="294"/>
      <c r="K354" s="294"/>
      <c r="L354" s="294"/>
      <c r="M354" s="294"/>
      <c r="N354" s="294"/>
      <c r="O354" s="294"/>
      <c r="P354" s="294"/>
    </row>
    <row r="355" spans="1:16" s="292" customFormat="1">
      <c r="A355" s="292" t="s">
        <v>93</v>
      </c>
      <c r="C355" s="293">
        <v>891</v>
      </c>
      <c r="D355" s="293">
        <v>560</v>
      </c>
      <c r="E355" s="293">
        <v>331</v>
      </c>
      <c r="F355" s="293">
        <v>0</v>
      </c>
      <c r="G355" s="293">
        <v>620</v>
      </c>
      <c r="H355" s="293">
        <v>388</v>
      </c>
      <c r="I355" s="293">
        <v>232</v>
      </c>
      <c r="J355" s="293">
        <v>0</v>
      </c>
      <c r="K355" s="293">
        <v>268</v>
      </c>
      <c r="L355" s="293">
        <v>171</v>
      </c>
      <c r="M355" s="293">
        <v>97</v>
      </c>
      <c r="N355" s="293">
        <v>3</v>
      </c>
      <c r="O355" s="293">
        <v>1</v>
      </c>
      <c r="P355" s="293">
        <v>2</v>
      </c>
    </row>
    <row r="356" spans="1:16" s="292" customFormat="1" ht="5.0999999999999996" customHeight="1">
      <c r="A356" s="290"/>
      <c r="B356" s="290"/>
      <c r="C356" s="294"/>
      <c r="D356" s="294"/>
      <c r="E356" s="294"/>
      <c r="F356" s="294"/>
      <c r="G356" s="294"/>
      <c r="H356" s="294"/>
      <c r="I356" s="294"/>
      <c r="J356" s="294"/>
      <c r="K356" s="294"/>
      <c r="L356" s="294"/>
      <c r="M356" s="294"/>
      <c r="N356" s="294"/>
      <c r="O356" s="294"/>
      <c r="P356" s="294"/>
    </row>
    <row r="357" spans="1:16" ht="12.75" customHeight="1">
      <c r="B357" s="290" t="s">
        <v>503</v>
      </c>
      <c r="C357" s="294">
        <v>6</v>
      </c>
      <c r="D357" s="294">
        <v>5</v>
      </c>
      <c r="E357" s="294">
        <v>1</v>
      </c>
      <c r="F357" s="294">
        <v>0</v>
      </c>
      <c r="G357" s="294">
        <v>5</v>
      </c>
      <c r="H357" s="294">
        <v>4</v>
      </c>
      <c r="I357" s="294">
        <v>1</v>
      </c>
      <c r="J357" s="294">
        <v>0</v>
      </c>
      <c r="K357" s="294">
        <v>1</v>
      </c>
      <c r="L357" s="294">
        <v>1</v>
      </c>
      <c r="M357" s="294">
        <v>0</v>
      </c>
      <c r="N357" s="294">
        <v>0</v>
      </c>
      <c r="O357" s="294">
        <v>0</v>
      </c>
      <c r="P357" s="294">
        <v>0</v>
      </c>
    </row>
    <row r="358" spans="1:16" ht="12.75" customHeight="1">
      <c r="B358" s="290" t="s">
        <v>260</v>
      </c>
      <c r="C358" s="294">
        <v>3</v>
      </c>
      <c r="D358" s="294">
        <v>2</v>
      </c>
      <c r="E358" s="294">
        <v>1</v>
      </c>
      <c r="F358" s="294">
        <v>0</v>
      </c>
      <c r="G358" s="294">
        <v>2</v>
      </c>
      <c r="H358" s="294">
        <v>1</v>
      </c>
      <c r="I358" s="294">
        <v>1</v>
      </c>
      <c r="J358" s="294">
        <v>0</v>
      </c>
      <c r="K358" s="294">
        <v>1</v>
      </c>
      <c r="L358" s="294">
        <v>1</v>
      </c>
      <c r="M358" s="294">
        <v>0</v>
      </c>
      <c r="N358" s="294">
        <v>0</v>
      </c>
      <c r="O358" s="294">
        <v>0</v>
      </c>
      <c r="P358" s="294">
        <v>0</v>
      </c>
    </row>
    <row r="359" spans="1:16" ht="12.75" customHeight="1">
      <c r="B359" s="290" t="s">
        <v>261</v>
      </c>
      <c r="C359" s="294">
        <v>2</v>
      </c>
      <c r="D359" s="294">
        <v>1</v>
      </c>
      <c r="E359" s="294">
        <v>1</v>
      </c>
      <c r="F359" s="294">
        <v>0</v>
      </c>
      <c r="G359" s="294">
        <v>2</v>
      </c>
      <c r="H359" s="294">
        <v>1</v>
      </c>
      <c r="I359" s="294">
        <v>1</v>
      </c>
      <c r="J359" s="294">
        <v>0</v>
      </c>
      <c r="K359" s="294">
        <v>0</v>
      </c>
      <c r="L359" s="294">
        <v>0</v>
      </c>
      <c r="M359" s="294">
        <v>0</v>
      </c>
      <c r="N359" s="294">
        <v>0</v>
      </c>
      <c r="O359" s="294">
        <v>0</v>
      </c>
      <c r="P359" s="294">
        <v>0</v>
      </c>
    </row>
    <row r="360" spans="1:16" ht="12.75" customHeight="1">
      <c r="B360" s="290" t="s">
        <v>63</v>
      </c>
      <c r="C360" s="294">
        <v>13</v>
      </c>
      <c r="D360" s="294">
        <v>10</v>
      </c>
      <c r="E360" s="294">
        <v>3</v>
      </c>
      <c r="F360" s="294">
        <v>0</v>
      </c>
      <c r="G360" s="294">
        <v>8</v>
      </c>
      <c r="H360" s="294">
        <v>7</v>
      </c>
      <c r="I360" s="294">
        <v>1</v>
      </c>
      <c r="J360" s="294">
        <v>0</v>
      </c>
      <c r="K360" s="294">
        <v>5</v>
      </c>
      <c r="L360" s="294">
        <v>3</v>
      </c>
      <c r="M360" s="294">
        <v>2</v>
      </c>
      <c r="N360" s="294">
        <v>0</v>
      </c>
      <c r="O360" s="294">
        <v>0</v>
      </c>
      <c r="P360" s="294">
        <v>0</v>
      </c>
    </row>
    <row r="361" spans="1:16" ht="12.75" customHeight="1">
      <c r="B361" s="290" t="s">
        <v>64</v>
      </c>
      <c r="C361" s="294">
        <v>23</v>
      </c>
      <c r="D361" s="294">
        <v>16</v>
      </c>
      <c r="E361" s="294">
        <v>7</v>
      </c>
      <c r="F361" s="294">
        <v>0</v>
      </c>
      <c r="G361" s="294">
        <v>18</v>
      </c>
      <c r="H361" s="294">
        <v>13</v>
      </c>
      <c r="I361" s="294">
        <v>5</v>
      </c>
      <c r="J361" s="294">
        <v>0</v>
      </c>
      <c r="K361" s="294">
        <v>5</v>
      </c>
      <c r="L361" s="294">
        <v>3</v>
      </c>
      <c r="M361" s="294">
        <v>2</v>
      </c>
      <c r="N361" s="294">
        <v>0</v>
      </c>
      <c r="O361" s="294">
        <v>0</v>
      </c>
      <c r="P361" s="294">
        <v>0</v>
      </c>
    </row>
    <row r="362" spans="1:16" ht="12.75" customHeight="1">
      <c r="B362" s="290" t="s">
        <v>65</v>
      </c>
      <c r="C362" s="294">
        <v>20</v>
      </c>
      <c r="D362" s="294">
        <v>15</v>
      </c>
      <c r="E362" s="294">
        <v>5</v>
      </c>
      <c r="F362" s="294">
        <v>0</v>
      </c>
      <c r="G362" s="294">
        <v>16</v>
      </c>
      <c r="H362" s="294">
        <v>12</v>
      </c>
      <c r="I362" s="294">
        <v>4</v>
      </c>
      <c r="J362" s="294">
        <v>0</v>
      </c>
      <c r="K362" s="294">
        <v>4</v>
      </c>
      <c r="L362" s="294">
        <v>3</v>
      </c>
      <c r="M362" s="294">
        <v>1</v>
      </c>
      <c r="N362" s="294">
        <v>0</v>
      </c>
      <c r="O362" s="294">
        <v>0</v>
      </c>
      <c r="P362" s="294">
        <v>0</v>
      </c>
    </row>
    <row r="363" spans="1:16" ht="12.75" customHeight="1">
      <c r="B363" s="290" t="s">
        <v>66</v>
      </c>
      <c r="C363" s="294">
        <v>18</v>
      </c>
      <c r="D363" s="294">
        <v>11</v>
      </c>
      <c r="E363" s="294">
        <v>7</v>
      </c>
      <c r="F363" s="294">
        <v>0</v>
      </c>
      <c r="G363" s="294">
        <v>16</v>
      </c>
      <c r="H363" s="294">
        <v>11</v>
      </c>
      <c r="I363" s="294">
        <v>5</v>
      </c>
      <c r="J363" s="294">
        <v>0</v>
      </c>
      <c r="K363" s="294">
        <v>2</v>
      </c>
      <c r="L363" s="294">
        <v>0</v>
      </c>
      <c r="M363" s="294">
        <v>2</v>
      </c>
      <c r="N363" s="294">
        <v>0</v>
      </c>
      <c r="O363" s="294">
        <v>0</v>
      </c>
      <c r="P363" s="294">
        <v>0</v>
      </c>
    </row>
    <row r="364" spans="1:16" ht="12.75" customHeight="1">
      <c r="B364" s="290" t="s">
        <v>67</v>
      </c>
      <c r="C364" s="294">
        <v>35</v>
      </c>
      <c r="D364" s="294">
        <v>22</v>
      </c>
      <c r="E364" s="294">
        <v>13</v>
      </c>
      <c r="F364" s="294">
        <v>0</v>
      </c>
      <c r="G364" s="294">
        <v>28</v>
      </c>
      <c r="H364" s="294">
        <v>17</v>
      </c>
      <c r="I364" s="294">
        <v>11</v>
      </c>
      <c r="J364" s="294">
        <v>0</v>
      </c>
      <c r="K364" s="294">
        <v>7</v>
      </c>
      <c r="L364" s="294">
        <v>5</v>
      </c>
      <c r="M364" s="294">
        <v>2</v>
      </c>
      <c r="N364" s="294">
        <v>0</v>
      </c>
      <c r="O364" s="294">
        <v>0</v>
      </c>
      <c r="P364" s="294">
        <v>0</v>
      </c>
    </row>
    <row r="365" spans="1:16" ht="12.75" customHeight="1">
      <c r="B365" s="290" t="s">
        <v>68</v>
      </c>
      <c r="C365" s="294">
        <v>30</v>
      </c>
      <c r="D365" s="294">
        <v>16</v>
      </c>
      <c r="E365" s="294">
        <v>14</v>
      </c>
      <c r="F365" s="294">
        <v>0</v>
      </c>
      <c r="G365" s="294">
        <v>19</v>
      </c>
      <c r="H365" s="294">
        <v>9</v>
      </c>
      <c r="I365" s="294">
        <v>10</v>
      </c>
      <c r="J365" s="294">
        <v>0</v>
      </c>
      <c r="K365" s="294">
        <v>11</v>
      </c>
      <c r="L365" s="294">
        <v>7</v>
      </c>
      <c r="M365" s="294">
        <v>4</v>
      </c>
      <c r="N365" s="294">
        <v>0</v>
      </c>
      <c r="O365" s="294">
        <v>0</v>
      </c>
      <c r="P365" s="294">
        <v>0</v>
      </c>
    </row>
    <row r="366" spans="1:16" ht="12.75" customHeight="1">
      <c r="B366" s="290" t="s">
        <v>69</v>
      </c>
      <c r="C366" s="294">
        <v>29</v>
      </c>
      <c r="D366" s="294">
        <v>17</v>
      </c>
      <c r="E366" s="294">
        <v>12</v>
      </c>
      <c r="F366" s="294">
        <v>0</v>
      </c>
      <c r="G366" s="294">
        <v>18</v>
      </c>
      <c r="H366" s="294">
        <v>12</v>
      </c>
      <c r="I366" s="294">
        <v>6</v>
      </c>
      <c r="J366" s="294">
        <v>0</v>
      </c>
      <c r="K366" s="294">
        <v>11</v>
      </c>
      <c r="L366" s="294">
        <v>5</v>
      </c>
      <c r="M366" s="294">
        <v>6</v>
      </c>
      <c r="N366" s="294">
        <v>0</v>
      </c>
      <c r="O366" s="294">
        <v>0</v>
      </c>
      <c r="P366" s="294">
        <v>0</v>
      </c>
    </row>
    <row r="367" spans="1:16" ht="12.75" customHeight="1">
      <c r="B367" s="290" t="s">
        <v>262</v>
      </c>
      <c r="C367" s="294">
        <v>39</v>
      </c>
      <c r="D367" s="294">
        <v>29</v>
      </c>
      <c r="E367" s="294">
        <v>10</v>
      </c>
      <c r="F367" s="294">
        <v>0</v>
      </c>
      <c r="G367" s="294">
        <v>30</v>
      </c>
      <c r="H367" s="294">
        <v>22</v>
      </c>
      <c r="I367" s="294">
        <v>8</v>
      </c>
      <c r="J367" s="294">
        <v>0</v>
      </c>
      <c r="K367" s="294">
        <v>9</v>
      </c>
      <c r="L367" s="294">
        <v>7</v>
      </c>
      <c r="M367" s="294">
        <v>2</v>
      </c>
      <c r="N367" s="294">
        <v>0</v>
      </c>
      <c r="O367" s="294">
        <v>0</v>
      </c>
      <c r="P367" s="294">
        <v>0</v>
      </c>
    </row>
    <row r="368" spans="1:16" ht="12.75" customHeight="1">
      <c r="B368" s="290" t="s">
        <v>263</v>
      </c>
      <c r="C368" s="294">
        <v>54</v>
      </c>
      <c r="D368" s="294">
        <v>33</v>
      </c>
      <c r="E368" s="294">
        <v>21</v>
      </c>
      <c r="F368" s="294">
        <v>0</v>
      </c>
      <c r="G368" s="294">
        <v>44</v>
      </c>
      <c r="H368" s="294">
        <v>26</v>
      </c>
      <c r="I368" s="294">
        <v>18</v>
      </c>
      <c r="J368" s="294">
        <v>0</v>
      </c>
      <c r="K368" s="294">
        <v>10</v>
      </c>
      <c r="L368" s="294">
        <v>7</v>
      </c>
      <c r="M368" s="294">
        <v>3</v>
      </c>
      <c r="N368" s="294">
        <v>0</v>
      </c>
      <c r="O368" s="294">
        <v>0</v>
      </c>
      <c r="P368" s="294">
        <v>0</v>
      </c>
    </row>
    <row r="369" spans="1:16" ht="12.75" customHeight="1">
      <c r="B369" s="290" t="s">
        <v>264</v>
      </c>
      <c r="C369" s="294">
        <v>76</v>
      </c>
      <c r="D369" s="294">
        <v>39</v>
      </c>
      <c r="E369" s="294">
        <v>37</v>
      </c>
      <c r="F369" s="294">
        <v>0</v>
      </c>
      <c r="G369" s="294">
        <v>48</v>
      </c>
      <c r="H369" s="294">
        <v>26</v>
      </c>
      <c r="I369" s="294">
        <v>22</v>
      </c>
      <c r="J369" s="294">
        <v>0</v>
      </c>
      <c r="K369" s="294">
        <v>26</v>
      </c>
      <c r="L369" s="294">
        <v>13</v>
      </c>
      <c r="M369" s="294">
        <v>13</v>
      </c>
      <c r="N369" s="294">
        <v>2</v>
      </c>
      <c r="O369" s="294">
        <v>0</v>
      </c>
      <c r="P369" s="294">
        <v>2</v>
      </c>
    </row>
    <row r="370" spans="1:16" ht="12.75" customHeight="1">
      <c r="B370" s="290" t="s">
        <v>265</v>
      </c>
      <c r="C370" s="294">
        <v>81</v>
      </c>
      <c r="D370" s="294">
        <v>57</v>
      </c>
      <c r="E370" s="294">
        <v>24</v>
      </c>
      <c r="F370" s="294">
        <v>0</v>
      </c>
      <c r="G370" s="294">
        <v>54</v>
      </c>
      <c r="H370" s="294">
        <v>39</v>
      </c>
      <c r="I370" s="294">
        <v>15</v>
      </c>
      <c r="J370" s="294">
        <v>0</v>
      </c>
      <c r="K370" s="294">
        <v>27</v>
      </c>
      <c r="L370" s="294">
        <v>18</v>
      </c>
      <c r="M370" s="294">
        <v>9</v>
      </c>
      <c r="N370" s="294">
        <v>0</v>
      </c>
      <c r="O370" s="294">
        <v>0</v>
      </c>
      <c r="P370" s="294">
        <v>0</v>
      </c>
    </row>
    <row r="371" spans="1:16" ht="12.75" customHeight="1">
      <c r="B371" s="290" t="s">
        <v>266</v>
      </c>
      <c r="C371" s="294">
        <v>455</v>
      </c>
      <c r="D371" s="294">
        <v>284</v>
      </c>
      <c r="E371" s="294">
        <v>171</v>
      </c>
      <c r="F371" s="294">
        <v>0</v>
      </c>
      <c r="G371" s="294">
        <v>309</v>
      </c>
      <c r="H371" s="294">
        <v>186</v>
      </c>
      <c r="I371" s="294">
        <v>123</v>
      </c>
      <c r="J371" s="294">
        <v>0</v>
      </c>
      <c r="K371" s="294">
        <v>145</v>
      </c>
      <c r="L371" s="294">
        <v>97</v>
      </c>
      <c r="M371" s="294">
        <v>48</v>
      </c>
      <c r="N371" s="294">
        <v>1</v>
      </c>
      <c r="O371" s="294">
        <v>1</v>
      </c>
      <c r="P371" s="294">
        <v>0</v>
      </c>
    </row>
    <row r="372" spans="1:16" ht="12.75" customHeight="1">
      <c r="B372" s="290" t="s">
        <v>504</v>
      </c>
      <c r="C372" s="294">
        <v>7</v>
      </c>
      <c r="D372" s="294">
        <v>3</v>
      </c>
      <c r="E372" s="294">
        <v>4</v>
      </c>
      <c r="F372" s="294">
        <v>0</v>
      </c>
      <c r="G372" s="294">
        <v>3</v>
      </c>
      <c r="H372" s="294">
        <v>2</v>
      </c>
      <c r="I372" s="294">
        <v>1</v>
      </c>
      <c r="J372" s="294">
        <v>0</v>
      </c>
      <c r="K372" s="294">
        <v>4</v>
      </c>
      <c r="L372" s="294">
        <v>1</v>
      </c>
      <c r="M372" s="294">
        <v>3</v>
      </c>
      <c r="N372" s="294">
        <v>0</v>
      </c>
      <c r="O372" s="294">
        <v>0</v>
      </c>
      <c r="P372" s="294">
        <v>0</v>
      </c>
    </row>
    <row r="373" spans="1:16" s="292" customFormat="1" ht="5.0999999999999996" customHeight="1">
      <c r="A373" s="290"/>
      <c r="B373" s="290"/>
      <c r="C373" s="294"/>
      <c r="D373" s="294"/>
      <c r="E373" s="294"/>
      <c r="F373" s="294"/>
      <c r="G373" s="294"/>
      <c r="H373" s="294"/>
      <c r="I373" s="294"/>
      <c r="J373" s="294"/>
      <c r="K373" s="294"/>
      <c r="L373" s="294"/>
      <c r="M373" s="294"/>
      <c r="N373" s="294"/>
      <c r="O373" s="294"/>
      <c r="P373" s="294"/>
    </row>
    <row r="374" spans="1:16" s="292" customFormat="1">
      <c r="A374" s="292" t="s">
        <v>175</v>
      </c>
      <c r="C374" s="293">
        <v>493</v>
      </c>
      <c r="D374" s="293">
        <v>269</v>
      </c>
      <c r="E374" s="293">
        <v>224</v>
      </c>
      <c r="F374" s="293">
        <v>0</v>
      </c>
      <c r="G374" s="293">
        <v>192</v>
      </c>
      <c r="H374" s="293">
        <v>106</v>
      </c>
      <c r="I374" s="293">
        <v>86</v>
      </c>
      <c r="J374" s="293">
        <v>0</v>
      </c>
      <c r="K374" s="293">
        <v>301</v>
      </c>
      <c r="L374" s="293">
        <v>163</v>
      </c>
      <c r="M374" s="293">
        <v>138</v>
      </c>
      <c r="N374" s="293">
        <v>0</v>
      </c>
      <c r="O374" s="293">
        <v>0</v>
      </c>
      <c r="P374" s="293">
        <v>0</v>
      </c>
    </row>
    <row r="375" spans="1:16" s="292" customFormat="1" ht="5.0999999999999996" customHeight="1">
      <c r="A375" s="290"/>
      <c r="B375" s="290"/>
      <c r="C375" s="294"/>
      <c r="D375" s="294"/>
      <c r="E375" s="294"/>
      <c r="F375" s="294"/>
      <c r="G375" s="294"/>
      <c r="H375" s="294"/>
      <c r="I375" s="294"/>
      <c r="J375" s="294"/>
      <c r="K375" s="294"/>
      <c r="L375" s="294"/>
      <c r="M375" s="294"/>
      <c r="N375" s="294"/>
      <c r="O375" s="294"/>
      <c r="P375" s="294"/>
    </row>
    <row r="376" spans="1:16" ht="12.75" customHeight="1">
      <c r="B376" s="290" t="s">
        <v>503</v>
      </c>
      <c r="C376" s="294">
        <v>13</v>
      </c>
      <c r="D376" s="294">
        <v>7</v>
      </c>
      <c r="E376" s="294">
        <v>6</v>
      </c>
      <c r="F376" s="294">
        <v>0</v>
      </c>
      <c r="G376" s="294">
        <v>10</v>
      </c>
      <c r="H376" s="294">
        <v>6</v>
      </c>
      <c r="I376" s="294">
        <v>4</v>
      </c>
      <c r="J376" s="294">
        <v>0</v>
      </c>
      <c r="K376" s="294">
        <v>3</v>
      </c>
      <c r="L376" s="294">
        <v>1</v>
      </c>
      <c r="M376" s="294">
        <v>2</v>
      </c>
      <c r="N376" s="294">
        <v>0</v>
      </c>
      <c r="O376" s="294">
        <v>0</v>
      </c>
      <c r="P376" s="294">
        <v>0</v>
      </c>
    </row>
    <row r="377" spans="1:16" ht="12.75" customHeight="1">
      <c r="B377" s="290" t="s">
        <v>259</v>
      </c>
      <c r="C377" s="294">
        <v>3</v>
      </c>
      <c r="D377" s="294">
        <v>2</v>
      </c>
      <c r="E377" s="294">
        <v>1</v>
      </c>
      <c r="F377" s="294">
        <v>0</v>
      </c>
      <c r="G377" s="294">
        <v>1</v>
      </c>
      <c r="H377" s="294">
        <v>1</v>
      </c>
      <c r="I377" s="294">
        <v>0</v>
      </c>
      <c r="J377" s="294">
        <v>0</v>
      </c>
      <c r="K377" s="294">
        <v>2</v>
      </c>
      <c r="L377" s="294">
        <v>1</v>
      </c>
      <c r="M377" s="294">
        <v>1</v>
      </c>
      <c r="N377" s="294">
        <v>0</v>
      </c>
      <c r="O377" s="294">
        <v>0</v>
      </c>
      <c r="P377" s="294">
        <v>0</v>
      </c>
    </row>
    <row r="378" spans="1:16" ht="12.75" customHeight="1">
      <c r="B378" s="290" t="s">
        <v>260</v>
      </c>
      <c r="C378" s="294">
        <v>4</v>
      </c>
      <c r="D378" s="294">
        <v>2</v>
      </c>
      <c r="E378" s="294">
        <v>2</v>
      </c>
      <c r="F378" s="294">
        <v>0</v>
      </c>
      <c r="G378" s="294">
        <v>2</v>
      </c>
      <c r="H378" s="294">
        <v>1</v>
      </c>
      <c r="I378" s="294">
        <v>1</v>
      </c>
      <c r="J378" s="294">
        <v>0</v>
      </c>
      <c r="K378" s="294">
        <v>2</v>
      </c>
      <c r="L378" s="294">
        <v>1</v>
      </c>
      <c r="M378" s="294">
        <v>1</v>
      </c>
      <c r="N378" s="294">
        <v>0</v>
      </c>
      <c r="O378" s="294">
        <v>0</v>
      </c>
      <c r="P378" s="294">
        <v>0</v>
      </c>
    </row>
    <row r="379" spans="1:16" ht="12.75" customHeight="1">
      <c r="B379" s="290" t="s">
        <v>261</v>
      </c>
      <c r="C379" s="294">
        <v>9</v>
      </c>
      <c r="D379" s="294">
        <v>4</v>
      </c>
      <c r="E379" s="294">
        <v>5</v>
      </c>
      <c r="F379" s="294">
        <v>0</v>
      </c>
      <c r="G379" s="294">
        <v>3</v>
      </c>
      <c r="H379" s="294">
        <v>2</v>
      </c>
      <c r="I379" s="294">
        <v>1</v>
      </c>
      <c r="J379" s="294">
        <v>0</v>
      </c>
      <c r="K379" s="294">
        <v>6</v>
      </c>
      <c r="L379" s="294">
        <v>2</v>
      </c>
      <c r="M379" s="294">
        <v>4</v>
      </c>
      <c r="N379" s="294">
        <v>0</v>
      </c>
      <c r="O379" s="294">
        <v>0</v>
      </c>
      <c r="P379" s="294">
        <v>0</v>
      </c>
    </row>
    <row r="380" spans="1:16" ht="12.75" customHeight="1">
      <c r="B380" s="290" t="s">
        <v>63</v>
      </c>
      <c r="C380" s="294">
        <v>5</v>
      </c>
      <c r="D380" s="294">
        <v>4</v>
      </c>
      <c r="E380" s="294">
        <v>1</v>
      </c>
      <c r="F380" s="294">
        <v>0</v>
      </c>
      <c r="G380" s="294">
        <v>2</v>
      </c>
      <c r="H380" s="294">
        <v>1</v>
      </c>
      <c r="I380" s="294">
        <v>1</v>
      </c>
      <c r="J380" s="294">
        <v>0</v>
      </c>
      <c r="K380" s="294">
        <v>3</v>
      </c>
      <c r="L380" s="294">
        <v>3</v>
      </c>
      <c r="M380" s="294">
        <v>0</v>
      </c>
      <c r="N380" s="294">
        <v>0</v>
      </c>
      <c r="O380" s="294">
        <v>0</v>
      </c>
      <c r="P380" s="294">
        <v>0</v>
      </c>
    </row>
    <row r="381" spans="1:16" ht="12.75" customHeight="1">
      <c r="B381" s="290" t="s">
        <v>64</v>
      </c>
      <c r="C381" s="294">
        <v>11</v>
      </c>
      <c r="D381" s="294">
        <v>9</v>
      </c>
      <c r="E381" s="294">
        <v>2</v>
      </c>
      <c r="F381" s="294">
        <v>0</v>
      </c>
      <c r="G381" s="294">
        <v>2</v>
      </c>
      <c r="H381" s="294">
        <v>2</v>
      </c>
      <c r="I381" s="294">
        <v>0</v>
      </c>
      <c r="J381" s="294">
        <v>0</v>
      </c>
      <c r="K381" s="294">
        <v>9</v>
      </c>
      <c r="L381" s="294">
        <v>7</v>
      </c>
      <c r="M381" s="294">
        <v>2</v>
      </c>
      <c r="N381" s="294">
        <v>0</v>
      </c>
      <c r="O381" s="294">
        <v>0</v>
      </c>
      <c r="P381" s="294">
        <v>0</v>
      </c>
    </row>
    <row r="382" spans="1:16" ht="12.75" customHeight="1">
      <c r="B382" s="290" t="s">
        <v>65</v>
      </c>
      <c r="C382" s="294">
        <v>8</v>
      </c>
      <c r="D382" s="294">
        <v>6</v>
      </c>
      <c r="E382" s="294">
        <v>2</v>
      </c>
      <c r="F382" s="294">
        <v>0</v>
      </c>
      <c r="G382" s="294">
        <v>1</v>
      </c>
      <c r="H382" s="294">
        <v>1</v>
      </c>
      <c r="I382" s="294">
        <v>0</v>
      </c>
      <c r="J382" s="294">
        <v>0</v>
      </c>
      <c r="K382" s="294">
        <v>7</v>
      </c>
      <c r="L382" s="294">
        <v>5</v>
      </c>
      <c r="M382" s="294">
        <v>2</v>
      </c>
      <c r="N382" s="294">
        <v>0</v>
      </c>
      <c r="O382" s="294">
        <v>0</v>
      </c>
      <c r="P382" s="294">
        <v>0</v>
      </c>
    </row>
    <row r="383" spans="1:16" ht="12.75" customHeight="1">
      <c r="B383" s="290" t="s">
        <v>66</v>
      </c>
      <c r="C383" s="294">
        <v>11</v>
      </c>
      <c r="D383" s="294">
        <v>8</v>
      </c>
      <c r="E383" s="294">
        <v>3</v>
      </c>
      <c r="F383" s="294">
        <v>0</v>
      </c>
      <c r="G383" s="294">
        <v>4</v>
      </c>
      <c r="H383" s="294">
        <v>3</v>
      </c>
      <c r="I383" s="294">
        <v>1</v>
      </c>
      <c r="J383" s="294">
        <v>0</v>
      </c>
      <c r="K383" s="294">
        <v>7</v>
      </c>
      <c r="L383" s="294">
        <v>5</v>
      </c>
      <c r="M383" s="294">
        <v>2</v>
      </c>
      <c r="N383" s="294">
        <v>0</v>
      </c>
      <c r="O383" s="294">
        <v>0</v>
      </c>
      <c r="P383" s="294">
        <v>0</v>
      </c>
    </row>
    <row r="384" spans="1:16" ht="12.75" customHeight="1">
      <c r="B384" s="290" t="s">
        <v>67</v>
      </c>
      <c r="C384" s="294">
        <v>8</v>
      </c>
      <c r="D384" s="294">
        <v>6</v>
      </c>
      <c r="E384" s="294">
        <v>2</v>
      </c>
      <c r="F384" s="294">
        <v>0</v>
      </c>
      <c r="G384" s="294">
        <v>5</v>
      </c>
      <c r="H384" s="294">
        <v>4</v>
      </c>
      <c r="I384" s="294">
        <v>1</v>
      </c>
      <c r="J384" s="294">
        <v>0</v>
      </c>
      <c r="K384" s="294">
        <v>3</v>
      </c>
      <c r="L384" s="294">
        <v>2</v>
      </c>
      <c r="M384" s="294">
        <v>1</v>
      </c>
      <c r="N384" s="294">
        <v>0</v>
      </c>
      <c r="O384" s="294">
        <v>0</v>
      </c>
      <c r="P384" s="294">
        <v>0</v>
      </c>
    </row>
    <row r="385" spans="1:16" ht="12.75" customHeight="1">
      <c r="B385" s="290" t="s">
        <v>68</v>
      </c>
      <c r="C385" s="294">
        <v>8</v>
      </c>
      <c r="D385" s="294">
        <v>5</v>
      </c>
      <c r="E385" s="294">
        <v>3</v>
      </c>
      <c r="F385" s="294">
        <v>0</v>
      </c>
      <c r="G385" s="294">
        <v>2</v>
      </c>
      <c r="H385" s="294">
        <v>2</v>
      </c>
      <c r="I385" s="294">
        <v>0</v>
      </c>
      <c r="J385" s="294">
        <v>0</v>
      </c>
      <c r="K385" s="294">
        <v>6</v>
      </c>
      <c r="L385" s="294">
        <v>3</v>
      </c>
      <c r="M385" s="294">
        <v>3</v>
      </c>
      <c r="N385" s="294">
        <v>0</v>
      </c>
      <c r="O385" s="294">
        <v>0</v>
      </c>
      <c r="P385" s="294">
        <v>0</v>
      </c>
    </row>
    <row r="386" spans="1:16" ht="12.75" customHeight="1">
      <c r="B386" s="290" t="s">
        <v>69</v>
      </c>
      <c r="C386" s="294">
        <v>13</v>
      </c>
      <c r="D386" s="294">
        <v>9</v>
      </c>
      <c r="E386" s="294">
        <v>4</v>
      </c>
      <c r="F386" s="294">
        <v>0</v>
      </c>
      <c r="G386" s="294">
        <v>4</v>
      </c>
      <c r="H386" s="294">
        <v>3</v>
      </c>
      <c r="I386" s="294">
        <v>1</v>
      </c>
      <c r="J386" s="294">
        <v>0</v>
      </c>
      <c r="K386" s="294">
        <v>9</v>
      </c>
      <c r="L386" s="294">
        <v>6</v>
      </c>
      <c r="M386" s="294">
        <v>3</v>
      </c>
      <c r="N386" s="294">
        <v>0</v>
      </c>
      <c r="O386" s="294">
        <v>0</v>
      </c>
      <c r="P386" s="294">
        <v>0</v>
      </c>
    </row>
    <row r="387" spans="1:16" ht="12.75" customHeight="1">
      <c r="B387" s="290" t="s">
        <v>262</v>
      </c>
      <c r="C387" s="294">
        <v>19</v>
      </c>
      <c r="D387" s="294">
        <v>15</v>
      </c>
      <c r="E387" s="294">
        <v>4</v>
      </c>
      <c r="F387" s="294">
        <v>0</v>
      </c>
      <c r="G387" s="294">
        <v>2</v>
      </c>
      <c r="H387" s="294">
        <v>2</v>
      </c>
      <c r="I387" s="294">
        <v>0</v>
      </c>
      <c r="J387" s="294">
        <v>0</v>
      </c>
      <c r="K387" s="294">
        <v>17</v>
      </c>
      <c r="L387" s="294">
        <v>13</v>
      </c>
      <c r="M387" s="294">
        <v>4</v>
      </c>
      <c r="N387" s="294">
        <v>0</v>
      </c>
      <c r="O387" s="294">
        <v>0</v>
      </c>
      <c r="P387" s="294">
        <v>0</v>
      </c>
    </row>
    <row r="388" spans="1:16" ht="12.75" customHeight="1">
      <c r="B388" s="290" t="s">
        <v>263</v>
      </c>
      <c r="C388" s="294">
        <v>26</v>
      </c>
      <c r="D388" s="294">
        <v>21</v>
      </c>
      <c r="E388" s="294">
        <v>5</v>
      </c>
      <c r="F388" s="294">
        <v>0</v>
      </c>
      <c r="G388" s="294">
        <v>11</v>
      </c>
      <c r="H388" s="294">
        <v>8</v>
      </c>
      <c r="I388" s="294">
        <v>3</v>
      </c>
      <c r="J388" s="294">
        <v>0</v>
      </c>
      <c r="K388" s="294">
        <v>15</v>
      </c>
      <c r="L388" s="294">
        <v>13</v>
      </c>
      <c r="M388" s="294">
        <v>2</v>
      </c>
      <c r="N388" s="294">
        <v>0</v>
      </c>
      <c r="O388" s="294">
        <v>0</v>
      </c>
      <c r="P388" s="294">
        <v>0</v>
      </c>
    </row>
    <row r="389" spans="1:16" ht="12.75" customHeight="1">
      <c r="B389" s="290" t="s">
        <v>264</v>
      </c>
      <c r="C389" s="294">
        <v>31</v>
      </c>
      <c r="D389" s="294">
        <v>15</v>
      </c>
      <c r="E389" s="294">
        <v>16</v>
      </c>
      <c r="F389" s="294">
        <v>0</v>
      </c>
      <c r="G389" s="294">
        <v>15</v>
      </c>
      <c r="H389" s="294">
        <v>9</v>
      </c>
      <c r="I389" s="294">
        <v>6</v>
      </c>
      <c r="J389" s="294">
        <v>0</v>
      </c>
      <c r="K389" s="294">
        <v>16</v>
      </c>
      <c r="L389" s="294">
        <v>6</v>
      </c>
      <c r="M389" s="294">
        <v>10</v>
      </c>
      <c r="N389" s="294">
        <v>0</v>
      </c>
      <c r="O389" s="294">
        <v>0</v>
      </c>
      <c r="P389" s="294">
        <v>0</v>
      </c>
    </row>
    <row r="390" spans="1:16" ht="12.75" customHeight="1">
      <c r="B390" s="290" t="s">
        <v>265</v>
      </c>
      <c r="C390" s="294">
        <v>17</v>
      </c>
      <c r="D390" s="294">
        <v>13</v>
      </c>
      <c r="E390" s="294">
        <v>4</v>
      </c>
      <c r="F390" s="294">
        <v>0</v>
      </c>
      <c r="G390" s="294">
        <v>6</v>
      </c>
      <c r="H390" s="294">
        <v>6</v>
      </c>
      <c r="I390" s="294">
        <v>0</v>
      </c>
      <c r="J390" s="294">
        <v>0</v>
      </c>
      <c r="K390" s="294">
        <v>11</v>
      </c>
      <c r="L390" s="294">
        <v>7</v>
      </c>
      <c r="M390" s="294">
        <v>4</v>
      </c>
      <c r="N390" s="294">
        <v>0</v>
      </c>
      <c r="O390" s="294">
        <v>0</v>
      </c>
      <c r="P390" s="294">
        <v>0</v>
      </c>
    </row>
    <row r="391" spans="1:16" ht="12.75" customHeight="1">
      <c r="B391" s="290" t="s">
        <v>266</v>
      </c>
      <c r="C391" s="294">
        <v>296</v>
      </c>
      <c r="D391" s="294">
        <v>139</v>
      </c>
      <c r="E391" s="294">
        <v>157</v>
      </c>
      <c r="F391" s="294">
        <v>0</v>
      </c>
      <c r="G391" s="294">
        <v>119</v>
      </c>
      <c r="H391" s="294">
        <v>52</v>
      </c>
      <c r="I391" s="294">
        <v>67</v>
      </c>
      <c r="J391" s="294">
        <v>0</v>
      </c>
      <c r="K391" s="294">
        <v>177</v>
      </c>
      <c r="L391" s="294">
        <v>87</v>
      </c>
      <c r="M391" s="294">
        <v>90</v>
      </c>
      <c r="N391" s="294">
        <v>0</v>
      </c>
      <c r="O391" s="294">
        <v>0</v>
      </c>
      <c r="P391" s="294">
        <v>0</v>
      </c>
    </row>
    <row r="392" spans="1:16" ht="12.75" customHeight="1">
      <c r="B392" s="290" t="s">
        <v>504</v>
      </c>
      <c r="C392" s="294">
        <v>11</v>
      </c>
      <c r="D392" s="294">
        <v>4</v>
      </c>
      <c r="E392" s="294">
        <v>7</v>
      </c>
      <c r="F392" s="294">
        <v>0</v>
      </c>
      <c r="G392" s="294">
        <v>3</v>
      </c>
      <c r="H392" s="294">
        <v>3</v>
      </c>
      <c r="I392" s="294">
        <v>0</v>
      </c>
      <c r="J392" s="294">
        <v>0</v>
      </c>
      <c r="K392" s="294">
        <v>8</v>
      </c>
      <c r="L392" s="294">
        <v>1</v>
      </c>
      <c r="M392" s="294">
        <v>7</v>
      </c>
      <c r="N392" s="294">
        <v>0</v>
      </c>
      <c r="O392" s="294">
        <v>0</v>
      </c>
      <c r="P392" s="294">
        <v>0</v>
      </c>
    </row>
    <row r="393" spans="1:16" s="292" customFormat="1" ht="5.0999999999999996" customHeight="1">
      <c r="A393" s="290"/>
      <c r="B393" s="290"/>
      <c r="C393" s="294"/>
      <c r="D393" s="294"/>
      <c r="E393" s="294"/>
      <c r="F393" s="294"/>
      <c r="G393" s="294"/>
      <c r="H393" s="294"/>
      <c r="I393" s="294"/>
      <c r="J393" s="294"/>
      <c r="K393" s="294"/>
      <c r="L393" s="294"/>
      <c r="M393" s="294"/>
      <c r="N393" s="294"/>
      <c r="O393" s="294"/>
      <c r="P393" s="294"/>
    </row>
    <row r="394" spans="1:16" s="292" customFormat="1">
      <c r="A394" s="292" t="s">
        <v>95</v>
      </c>
      <c r="C394" s="293">
        <v>353</v>
      </c>
      <c r="D394" s="293">
        <v>216</v>
      </c>
      <c r="E394" s="293">
        <v>137</v>
      </c>
      <c r="F394" s="293">
        <v>0</v>
      </c>
      <c r="G394" s="293">
        <v>228</v>
      </c>
      <c r="H394" s="293">
        <v>140</v>
      </c>
      <c r="I394" s="293">
        <v>88</v>
      </c>
      <c r="J394" s="293">
        <v>0</v>
      </c>
      <c r="K394" s="293">
        <v>125</v>
      </c>
      <c r="L394" s="293">
        <v>76</v>
      </c>
      <c r="M394" s="293">
        <v>49</v>
      </c>
      <c r="N394" s="293">
        <v>0</v>
      </c>
      <c r="O394" s="293">
        <v>0</v>
      </c>
      <c r="P394" s="293">
        <v>0</v>
      </c>
    </row>
    <row r="395" spans="1:16" s="292" customFormat="1" ht="5.0999999999999996" customHeight="1">
      <c r="A395" s="290"/>
      <c r="B395" s="290"/>
      <c r="C395" s="294"/>
      <c r="D395" s="294"/>
      <c r="E395" s="294"/>
      <c r="F395" s="294"/>
      <c r="G395" s="294"/>
      <c r="H395" s="294"/>
      <c r="I395" s="294"/>
      <c r="J395" s="294"/>
      <c r="K395" s="294"/>
      <c r="L395" s="294"/>
      <c r="M395" s="294"/>
      <c r="N395" s="294"/>
      <c r="O395" s="294"/>
      <c r="P395" s="294"/>
    </row>
    <row r="396" spans="1:16" ht="12.75" customHeight="1">
      <c r="B396" s="290" t="s">
        <v>503</v>
      </c>
      <c r="C396" s="294">
        <v>6</v>
      </c>
      <c r="D396" s="294">
        <v>5</v>
      </c>
      <c r="E396" s="294">
        <v>1</v>
      </c>
      <c r="F396" s="294">
        <v>0</v>
      </c>
      <c r="G396" s="294">
        <v>4</v>
      </c>
      <c r="H396" s="294">
        <v>3</v>
      </c>
      <c r="I396" s="294">
        <v>1</v>
      </c>
      <c r="J396" s="294">
        <v>0</v>
      </c>
      <c r="K396" s="294">
        <v>2</v>
      </c>
      <c r="L396" s="294">
        <v>2</v>
      </c>
      <c r="M396" s="294">
        <v>0</v>
      </c>
      <c r="N396" s="294">
        <v>0</v>
      </c>
      <c r="O396" s="294">
        <v>0</v>
      </c>
      <c r="P396" s="294">
        <v>0</v>
      </c>
    </row>
    <row r="397" spans="1:16" ht="12.75" customHeight="1">
      <c r="B397" s="290" t="s">
        <v>259</v>
      </c>
      <c r="C397" s="294">
        <v>2</v>
      </c>
      <c r="D397" s="294">
        <v>2</v>
      </c>
      <c r="E397" s="294">
        <v>0</v>
      </c>
      <c r="F397" s="294">
        <v>0</v>
      </c>
      <c r="G397" s="294">
        <v>2</v>
      </c>
      <c r="H397" s="294">
        <v>2</v>
      </c>
      <c r="I397" s="294">
        <v>0</v>
      </c>
      <c r="J397" s="294">
        <v>0</v>
      </c>
      <c r="K397" s="294">
        <v>0</v>
      </c>
      <c r="L397" s="294">
        <v>0</v>
      </c>
      <c r="M397" s="294">
        <v>0</v>
      </c>
      <c r="N397" s="294">
        <v>0</v>
      </c>
      <c r="O397" s="294">
        <v>0</v>
      </c>
      <c r="P397" s="294">
        <v>0</v>
      </c>
    </row>
    <row r="398" spans="1:16" ht="12.75" customHeight="1">
      <c r="B398" s="290" t="s">
        <v>260</v>
      </c>
      <c r="C398" s="294">
        <v>2</v>
      </c>
      <c r="D398" s="294">
        <v>1</v>
      </c>
      <c r="E398" s="294">
        <v>1</v>
      </c>
      <c r="F398" s="294">
        <v>0</v>
      </c>
      <c r="G398" s="294">
        <v>0</v>
      </c>
      <c r="H398" s="294">
        <v>0</v>
      </c>
      <c r="I398" s="294">
        <v>0</v>
      </c>
      <c r="J398" s="294">
        <v>0</v>
      </c>
      <c r="K398" s="294">
        <v>2</v>
      </c>
      <c r="L398" s="294">
        <v>1</v>
      </c>
      <c r="M398" s="294">
        <v>1</v>
      </c>
      <c r="N398" s="294">
        <v>0</v>
      </c>
      <c r="O398" s="294">
        <v>0</v>
      </c>
      <c r="P398" s="294">
        <v>0</v>
      </c>
    </row>
    <row r="399" spans="1:16" ht="12.75" customHeight="1">
      <c r="B399" s="290" t="s">
        <v>261</v>
      </c>
      <c r="C399" s="294">
        <v>3</v>
      </c>
      <c r="D399" s="294">
        <v>1</v>
      </c>
      <c r="E399" s="294">
        <v>2</v>
      </c>
      <c r="F399" s="294">
        <v>0</v>
      </c>
      <c r="G399" s="294">
        <v>2</v>
      </c>
      <c r="H399" s="294">
        <v>1</v>
      </c>
      <c r="I399" s="294">
        <v>1</v>
      </c>
      <c r="J399" s="294">
        <v>0</v>
      </c>
      <c r="K399" s="294">
        <v>1</v>
      </c>
      <c r="L399" s="294">
        <v>0</v>
      </c>
      <c r="M399" s="294">
        <v>1</v>
      </c>
      <c r="N399" s="294">
        <v>0</v>
      </c>
      <c r="O399" s="294">
        <v>0</v>
      </c>
      <c r="P399" s="294">
        <v>0</v>
      </c>
    </row>
    <row r="400" spans="1:16" ht="12.75" customHeight="1">
      <c r="B400" s="290" t="s">
        <v>63</v>
      </c>
      <c r="C400" s="294">
        <v>4</v>
      </c>
      <c r="D400" s="294">
        <v>3</v>
      </c>
      <c r="E400" s="294">
        <v>1</v>
      </c>
      <c r="F400" s="294">
        <v>0</v>
      </c>
      <c r="G400" s="294">
        <v>2</v>
      </c>
      <c r="H400" s="294">
        <v>2</v>
      </c>
      <c r="I400" s="294">
        <v>0</v>
      </c>
      <c r="J400" s="294">
        <v>0</v>
      </c>
      <c r="K400" s="294">
        <v>2</v>
      </c>
      <c r="L400" s="294">
        <v>1</v>
      </c>
      <c r="M400" s="294">
        <v>1</v>
      </c>
      <c r="N400" s="294">
        <v>0</v>
      </c>
      <c r="O400" s="294">
        <v>0</v>
      </c>
      <c r="P400" s="294">
        <v>0</v>
      </c>
    </row>
    <row r="401" spans="1:16" ht="12.75" customHeight="1">
      <c r="B401" s="290" t="s">
        <v>64</v>
      </c>
      <c r="C401" s="294">
        <v>13</v>
      </c>
      <c r="D401" s="294">
        <v>9</v>
      </c>
      <c r="E401" s="294">
        <v>4</v>
      </c>
      <c r="F401" s="294">
        <v>0</v>
      </c>
      <c r="G401" s="294">
        <v>6</v>
      </c>
      <c r="H401" s="294">
        <v>4</v>
      </c>
      <c r="I401" s="294">
        <v>2</v>
      </c>
      <c r="J401" s="294">
        <v>0</v>
      </c>
      <c r="K401" s="294">
        <v>7</v>
      </c>
      <c r="L401" s="294">
        <v>5</v>
      </c>
      <c r="M401" s="294">
        <v>2</v>
      </c>
      <c r="N401" s="294">
        <v>0</v>
      </c>
      <c r="O401" s="294">
        <v>0</v>
      </c>
      <c r="P401" s="294">
        <v>0</v>
      </c>
    </row>
    <row r="402" spans="1:16" ht="12.75" customHeight="1">
      <c r="B402" s="290" t="s">
        <v>65</v>
      </c>
      <c r="C402" s="294">
        <v>15</v>
      </c>
      <c r="D402" s="294">
        <v>13</v>
      </c>
      <c r="E402" s="294">
        <v>2</v>
      </c>
      <c r="F402" s="294">
        <v>0</v>
      </c>
      <c r="G402" s="294">
        <v>10</v>
      </c>
      <c r="H402" s="294">
        <v>8</v>
      </c>
      <c r="I402" s="294">
        <v>2</v>
      </c>
      <c r="J402" s="294">
        <v>0</v>
      </c>
      <c r="K402" s="294">
        <v>5</v>
      </c>
      <c r="L402" s="294">
        <v>5</v>
      </c>
      <c r="M402" s="294">
        <v>0</v>
      </c>
      <c r="N402" s="294">
        <v>0</v>
      </c>
      <c r="O402" s="294">
        <v>0</v>
      </c>
      <c r="P402" s="294">
        <v>0</v>
      </c>
    </row>
    <row r="403" spans="1:16" ht="12.75" customHeight="1">
      <c r="B403" s="290" t="s">
        <v>66</v>
      </c>
      <c r="C403" s="294">
        <v>9</v>
      </c>
      <c r="D403" s="294">
        <v>7</v>
      </c>
      <c r="E403" s="294">
        <v>2</v>
      </c>
      <c r="F403" s="294">
        <v>0</v>
      </c>
      <c r="G403" s="294">
        <v>5</v>
      </c>
      <c r="H403" s="294">
        <v>4</v>
      </c>
      <c r="I403" s="294">
        <v>1</v>
      </c>
      <c r="J403" s="294">
        <v>0</v>
      </c>
      <c r="K403" s="294">
        <v>4</v>
      </c>
      <c r="L403" s="294">
        <v>3</v>
      </c>
      <c r="M403" s="294">
        <v>1</v>
      </c>
      <c r="N403" s="294">
        <v>0</v>
      </c>
      <c r="O403" s="294">
        <v>0</v>
      </c>
      <c r="P403" s="294">
        <v>0</v>
      </c>
    </row>
    <row r="404" spans="1:16" ht="12.75" customHeight="1">
      <c r="B404" s="290" t="s">
        <v>67</v>
      </c>
      <c r="C404" s="294">
        <v>17</v>
      </c>
      <c r="D404" s="294">
        <v>9</v>
      </c>
      <c r="E404" s="294">
        <v>8</v>
      </c>
      <c r="F404" s="294">
        <v>0</v>
      </c>
      <c r="G404" s="294">
        <v>13</v>
      </c>
      <c r="H404" s="294">
        <v>9</v>
      </c>
      <c r="I404" s="294">
        <v>4</v>
      </c>
      <c r="J404" s="294">
        <v>0</v>
      </c>
      <c r="K404" s="294">
        <v>4</v>
      </c>
      <c r="L404" s="294">
        <v>0</v>
      </c>
      <c r="M404" s="294">
        <v>4</v>
      </c>
      <c r="N404" s="294">
        <v>0</v>
      </c>
      <c r="O404" s="294">
        <v>0</v>
      </c>
      <c r="P404" s="294">
        <v>0</v>
      </c>
    </row>
    <row r="405" spans="1:16" ht="12.75" customHeight="1">
      <c r="B405" s="290" t="s">
        <v>68</v>
      </c>
      <c r="C405" s="294">
        <v>9</v>
      </c>
      <c r="D405" s="294">
        <v>5</v>
      </c>
      <c r="E405" s="294">
        <v>4</v>
      </c>
      <c r="F405" s="294">
        <v>0</v>
      </c>
      <c r="G405" s="294">
        <v>5</v>
      </c>
      <c r="H405" s="294">
        <v>3</v>
      </c>
      <c r="I405" s="294">
        <v>2</v>
      </c>
      <c r="J405" s="294">
        <v>0</v>
      </c>
      <c r="K405" s="294">
        <v>4</v>
      </c>
      <c r="L405" s="294">
        <v>2</v>
      </c>
      <c r="M405" s="294">
        <v>2</v>
      </c>
      <c r="N405" s="294">
        <v>0</v>
      </c>
      <c r="O405" s="294">
        <v>0</v>
      </c>
      <c r="P405" s="294">
        <v>0</v>
      </c>
    </row>
    <row r="406" spans="1:16" ht="12.75" customHeight="1">
      <c r="B406" s="290" t="s">
        <v>69</v>
      </c>
      <c r="C406" s="294">
        <v>17</v>
      </c>
      <c r="D406" s="294">
        <v>9</v>
      </c>
      <c r="E406" s="294">
        <v>8</v>
      </c>
      <c r="F406" s="294">
        <v>0</v>
      </c>
      <c r="G406" s="294">
        <v>11</v>
      </c>
      <c r="H406" s="294">
        <v>6</v>
      </c>
      <c r="I406" s="294">
        <v>5</v>
      </c>
      <c r="J406" s="294">
        <v>0</v>
      </c>
      <c r="K406" s="294">
        <v>6</v>
      </c>
      <c r="L406" s="294">
        <v>3</v>
      </c>
      <c r="M406" s="294">
        <v>3</v>
      </c>
      <c r="N406" s="294">
        <v>0</v>
      </c>
      <c r="O406" s="294">
        <v>0</v>
      </c>
      <c r="P406" s="294">
        <v>0</v>
      </c>
    </row>
    <row r="407" spans="1:16" ht="12.75" customHeight="1">
      <c r="B407" s="290" t="s">
        <v>262</v>
      </c>
      <c r="C407" s="294">
        <v>15</v>
      </c>
      <c r="D407" s="294">
        <v>7</v>
      </c>
      <c r="E407" s="294">
        <v>8</v>
      </c>
      <c r="F407" s="294">
        <v>0</v>
      </c>
      <c r="G407" s="294">
        <v>10</v>
      </c>
      <c r="H407" s="294">
        <v>4</v>
      </c>
      <c r="I407" s="294">
        <v>6</v>
      </c>
      <c r="J407" s="294">
        <v>0</v>
      </c>
      <c r="K407" s="294">
        <v>5</v>
      </c>
      <c r="L407" s="294">
        <v>3</v>
      </c>
      <c r="M407" s="294">
        <v>2</v>
      </c>
      <c r="N407" s="294">
        <v>0</v>
      </c>
      <c r="O407" s="294">
        <v>0</v>
      </c>
      <c r="P407" s="294">
        <v>0</v>
      </c>
    </row>
    <row r="408" spans="1:16" ht="12.75" customHeight="1">
      <c r="B408" s="290" t="s">
        <v>263</v>
      </c>
      <c r="C408" s="294">
        <v>23</v>
      </c>
      <c r="D408" s="294">
        <v>10</v>
      </c>
      <c r="E408" s="294">
        <v>13</v>
      </c>
      <c r="F408" s="294">
        <v>0</v>
      </c>
      <c r="G408" s="294">
        <v>14</v>
      </c>
      <c r="H408" s="294">
        <v>5</v>
      </c>
      <c r="I408" s="294">
        <v>9</v>
      </c>
      <c r="J408" s="294">
        <v>0</v>
      </c>
      <c r="K408" s="294">
        <v>9</v>
      </c>
      <c r="L408" s="294">
        <v>5</v>
      </c>
      <c r="M408" s="294">
        <v>4</v>
      </c>
      <c r="N408" s="294">
        <v>0</v>
      </c>
      <c r="O408" s="294">
        <v>0</v>
      </c>
      <c r="P408" s="294">
        <v>0</v>
      </c>
    </row>
    <row r="409" spans="1:16" ht="12.75" customHeight="1">
      <c r="B409" s="290" t="s">
        <v>264</v>
      </c>
      <c r="C409" s="294">
        <v>21</v>
      </c>
      <c r="D409" s="294">
        <v>16</v>
      </c>
      <c r="E409" s="294">
        <v>5</v>
      </c>
      <c r="F409" s="294">
        <v>0</v>
      </c>
      <c r="G409" s="294">
        <v>12</v>
      </c>
      <c r="H409" s="294">
        <v>9</v>
      </c>
      <c r="I409" s="294">
        <v>3</v>
      </c>
      <c r="J409" s="294">
        <v>0</v>
      </c>
      <c r="K409" s="294">
        <v>9</v>
      </c>
      <c r="L409" s="294">
        <v>7</v>
      </c>
      <c r="M409" s="294">
        <v>2</v>
      </c>
      <c r="N409" s="294">
        <v>0</v>
      </c>
      <c r="O409" s="294">
        <v>0</v>
      </c>
      <c r="P409" s="294">
        <v>0</v>
      </c>
    </row>
    <row r="410" spans="1:16" ht="12.75" customHeight="1">
      <c r="B410" s="290" t="s">
        <v>265</v>
      </c>
      <c r="C410" s="294">
        <v>30</v>
      </c>
      <c r="D410" s="294">
        <v>18</v>
      </c>
      <c r="E410" s="294">
        <v>12</v>
      </c>
      <c r="F410" s="294">
        <v>0</v>
      </c>
      <c r="G410" s="294">
        <v>21</v>
      </c>
      <c r="H410" s="294">
        <v>15</v>
      </c>
      <c r="I410" s="294">
        <v>6</v>
      </c>
      <c r="J410" s="294">
        <v>0</v>
      </c>
      <c r="K410" s="294">
        <v>9</v>
      </c>
      <c r="L410" s="294">
        <v>3</v>
      </c>
      <c r="M410" s="294">
        <v>6</v>
      </c>
      <c r="N410" s="294">
        <v>0</v>
      </c>
      <c r="O410" s="294">
        <v>0</v>
      </c>
      <c r="P410" s="294">
        <v>0</v>
      </c>
    </row>
    <row r="411" spans="1:16" ht="12.75" customHeight="1">
      <c r="B411" s="290" t="s">
        <v>266</v>
      </c>
      <c r="C411" s="294">
        <v>162</v>
      </c>
      <c r="D411" s="294">
        <v>98</v>
      </c>
      <c r="E411" s="294">
        <v>64</v>
      </c>
      <c r="F411" s="294">
        <v>0</v>
      </c>
      <c r="G411" s="294">
        <v>108</v>
      </c>
      <c r="H411" s="294">
        <v>63</v>
      </c>
      <c r="I411" s="294">
        <v>45</v>
      </c>
      <c r="J411" s="294">
        <v>0</v>
      </c>
      <c r="K411" s="294">
        <v>54</v>
      </c>
      <c r="L411" s="294">
        <v>35</v>
      </c>
      <c r="M411" s="294">
        <v>19</v>
      </c>
      <c r="N411" s="294">
        <v>0</v>
      </c>
      <c r="O411" s="294">
        <v>0</v>
      </c>
      <c r="P411" s="294">
        <v>0</v>
      </c>
    </row>
    <row r="412" spans="1:16" ht="12.75" customHeight="1">
      <c r="B412" s="290" t="s">
        <v>504</v>
      </c>
      <c r="C412" s="294">
        <v>5</v>
      </c>
      <c r="D412" s="294">
        <v>3</v>
      </c>
      <c r="E412" s="294">
        <v>2</v>
      </c>
      <c r="F412" s="294">
        <v>0</v>
      </c>
      <c r="G412" s="294">
        <v>3</v>
      </c>
      <c r="H412" s="294">
        <v>2</v>
      </c>
      <c r="I412" s="294">
        <v>1</v>
      </c>
      <c r="J412" s="294">
        <v>0</v>
      </c>
      <c r="K412" s="294">
        <v>2</v>
      </c>
      <c r="L412" s="294">
        <v>1</v>
      </c>
      <c r="M412" s="294">
        <v>1</v>
      </c>
      <c r="N412" s="294">
        <v>0</v>
      </c>
      <c r="O412" s="294">
        <v>0</v>
      </c>
      <c r="P412" s="294">
        <v>0</v>
      </c>
    </row>
    <row r="413" spans="1:16" s="292" customFormat="1" ht="5.0999999999999996" customHeight="1">
      <c r="A413" s="290"/>
      <c r="B413" s="290"/>
      <c r="C413" s="294"/>
      <c r="D413" s="294"/>
      <c r="E413" s="294"/>
      <c r="F413" s="294"/>
      <c r="G413" s="294"/>
      <c r="H413" s="294"/>
      <c r="I413" s="294"/>
      <c r="J413" s="294"/>
      <c r="K413" s="294"/>
      <c r="L413" s="294"/>
      <c r="M413" s="294"/>
      <c r="N413" s="294"/>
      <c r="O413" s="294"/>
      <c r="P413" s="294"/>
    </row>
    <row r="414" spans="1:16" s="292" customFormat="1">
      <c r="A414" s="292" t="s">
        <v>96</v>
      </c>
      <c r="C414" s="293">
        <v>1431</v>
      </c>
      <c r="D414" s="293">
        <v>842</v>
      </c>
      <c r="E414" s="293">
        <v>589</v>
      </c>
      <c r="F414" s="293">
        <v>0</v>
      </c>
      <c r="G414" s="293">
        <v>962</v>
      </c>
      <c r="H414" s="293">
        <v>547</v>
      </c>
      <c r="I414" s="293">
        <v>415</v>
      </c>
      <c r="J414" s="293">
        <v>0</v>
      </c>
      <c r="K414" s="293">
        <v>463</v>
      </c>
      <c r="L414" s="293">
        <v>289</v>
      </c>
      <c r="M414" s="293">
        <v>174</v>
      </c>
      <c r="N414" s="293">
        <v>6</v>
      </c>
      <c r="O414" s="293">
        <v>6</v>
      </c>
      <c r="P414" s="293">
        <v>0</v>
      </c>
    </row>
    <row r="415" spans="1:16" s="292" customFormat="1" ht="5.0999999999999996" customHeight="1">
      <c r="A415" s="290"/>
      <c r="B415" s="290"/>
      <c r="C415" s="294"/>
      <c r="D415" s="294"/>
      <c r="E415" s="294"/>
      <c r="F415" s="294"/>
      <c r="G415" s="294"/>
      <c r="H415" s="294"/>
      <c r="I415" s="294"/>
      <c r="J415" s="294"/>
      <c r="K415" s="294"/>
      <c r="L415" s="294"/>
      <c r="M415" s="294"/>
      <c r="N415" s="294"/>
      <c r="O415" s="294"/>
      <c r="P415" s="294"/>
    </row>
    <row r="416" spans="1:16" ht="12.75" customHeight="1">
      <c r="B416" s="290" t="s">
        <v>503</v>
      </c>
      <c r="C416" s="294">
        <v>14</v>
      </c>
      <c r="D416" s="294">
        <v>4</v>
      </c>
      <c r="E416" s="294">
        <v>10</v>
      </c>
      <c r="F416" s="294">
        <v>0</v>
      </c>
      <c r="G416" s="294">
        <v>10</v>
      </c>
      <c r="H416" s="294">
        <v>4</v>
      </c>
      <c r="I416" s="294">
        <v>6</v>
      </c>
      <c r="J416" s="294">
        <v>0</v>
      </c>
      <c r="K416" s="294">
        <v>4</v>
      </c>
      <c r="L416" s="294">
        <v>0</v>
      </c>
      <c r="M416" s="294">
        <v>4</v>
      </c>
      <c r="N416" s="294">
        <v>0</v>
      </c>
      <c r="O416" s="294">
        <v>0</v>
      </c>
      <c r="P416" s="294">
        <v>0</v>
      </c>
    </row>
    <row r="417" spans="2:16" ht="12.75" customHeight="1">
      <c r="B417" s="290" t="s">
        <v>259</v>
      </c>
      <c r="C417" s="294">
        <v>4</v>
      </c>
      <c r="D417" s="294">
        <v>3</v>
      </c>
      <c r="E417" s="294">
        <v>1</v>
      </c>
      <c r="F417" s="294">
        <v>0</v>
      </c>
      <c r="G417" s="294">
        <v>3</v>
      </c>
      <c r="H417" s="294">
        <v>2</v>
      </c>
      <c r="I417" s="294">
        <v>1</v>
      </c>
      <c r="J417" s="294">
        <v>0</v>
      </c>
      <c r="K417" s="294">
        <v>1</v>
      </c>
      <c r="L417" s="294">
        <v>1</v>
      </c>
      <c r="M417" s="294">
        <v>0</v>
      </c>
      <c r="N417" s="294">
        <v>0</v>
      </c>
      <c r="O417" s="294">
        <v>0</v>
      </c>
      <c r="P417" s="294">
        <v>0</v>
      </c>
    </row>
    <row r="418" spans="2:16" ht="12.75" customHeight="1">
      <c r="B418" s="290" t="s">
        <v>260</v>
      </c>
      <c r="C418" s="294">
        <v>9</v>
      </c>
      <c r="D418" s="294">
        <v>4</v>
      </c>
      <c r="E418" s="294">
        <v>5</v>
      </c>
      <c r="F418" s="294">
        <v>0</v>
      </c>
      <c r="G418" s="294">
        <v>4</v>
      </c>
      <c r="H418" s="294">
        <v>1</v>
      </c>
      <c r="I418" s="294">
        <v>3</v>
      </c>
      <c r="J418" s="294">
        <v>0</v>
      </c>
      <c r="K418" s="294">
        <v>5</v>
      </c>
      <c r="L418" s="294">
        <v>3</v>
      </c>
      <c r="M418" s="294">
        <v>2</v>
      </c>
      <c r="N418" s="294">
        <v>0</v>
      </c>
      <c r="O418" s="294">
        <v>0</v>
      </c>
      <c r="P418" s="294">
        <v>0</v>
      </c>
    </row>
    <row r="419" spans="2:16" ht="12.75" customHeight="1">
      <c r="B419" s="290" t="s">
        <v>261</v>
      </c>
      <c r="C419" s="294">
        <v>10</v>
      </c>
      <c r="D419" s="294">
        <v>6</v>
      </c>
      <c r="E419" s="294">
        <v>4</v>
      </c>
      <c r="F419" s="294">
        <v>0</v>
      </c>
      <c r="G419" s="294">
        <v>6</v>
      </c>
      <c r="H419" s="294">
        <v>2</v>
      </c>
      <c r="I419" s="294">
        <v>4</v>
      </c>
      <c r="J419" s="294">
        <v>0</v>
      </c>
      <c r="K419" s="294">
        <v>4</v>
      </c>
      <c r="L419" s="294">
        <v>4</v>
      </c>
      <c r="M419" s="294">
        <v>0</v>
      </c>
      <c r="N419" s="294">
        <v>0</v>
      </c>
      <c r="O419" s="294">
        <v>0</v>
      </c>
      <c r="P419" s="294">
        <v>0</v>
      </c>
    </row>
    <row r="420" spans="2:16" ht="12.75" customHeight="1">
      <c r="B420" s="290" t="s">
        <v>63</v>
      </c>
      <c r="C420" s="294">
        <v>30</v>
      </c>
      <c r="D420" s="294">
        <v>24</v>
      </c>
      <c r="E420" s="294">
        <v>6</v>
      </c>
      <c r="F420" s="294">
        <v>0</v>
      </c>
      <c r="G420" s="294">
        <v>15</v>
      </c>
      <c r="H420" s="294">
        <v>11</v>
      </c>
      <c r="I420" s="294">
        <v>4</v>
      </c>
      <c r="J420" s="294">
        <v>0</v>
      </c>
      <c r="K420" s="294">
        <v>14</v>
      </c>
      <c r="L420" s="294">
        <v>12</v>
      </c>
      <c r="M420" s="294">
        <v>2</v>
      </c>
      <c r="N420" s="294">
        <v>1</v>
      </c>
      <c r="O420" s="294">
        <v>1</v>
      </c>
      <c r="P420" s="294">
        <v>0</v>
      </c>
    </row>
    <row r="421" spans="2:16" ht="12.75" customHeight="1">
      <c r="B421" s="290" t="s">
        <v>64</v>
      </c>
      <c r="C421" s="294">
        <v>33</v>
      </c>
      <c r="D421" s="294">
        <v>26</v>
      </c>
      <c r="E421" s="294">
        <v>7</v>
      </c>
      <c r="F421" s="294">
        <v>0</v>
      </c>
      <c r="G421" s="294">
        <v>20</v>
      </c>
      <c r="H421" s="294">
        <v>14</v>
      </c>
      <c r="I421" s="294">
        <v>6</v>
      </c>
      <c r="J421" s="294">
        <v>0</v>
      </c>
      <c r="K421" s="294">
        <v>11</v>
      </c>
      <c r="L421" s="294">
        <v>10</v>
      </c>
      <c r="M421" s="294">
        <v>1</v>
      </c>
      <c r="N421" s="294">
        <v>2</v>
      </c>
      <c r="O421" s="294">
        <v>2</v>
      </c>
      <c r="P421" s="294">
        <v>0</v>
      </c>
    </row>
    <row r="422" spans="2:16" ht="12.75" customHeight="1">
      <c r="B422" s="290" t="s">
        <v>65</v>
      </c>
      <c r="C422" s="294">
        <v>50</v>
      </c>
      <c r="D422" s="294">
        <v>37</v>
      </c>
      <c r="E422" s="294">
        <v>13</v>
      </c>
      <c r="F422" s="294">
        <v>0</v>
      </c>
      <c r="G422" s="294">
        <v>28</v>
      </c>
      <c r="H422" s="294">
        <v>18</v>
      </c>
      <c r="I422" s="294">
        <v>10</v>
      </c>
      <c r="J422" s="294">
        <v>0</v>
      </c>
      <c r="K422" s="294">
        <v>21</v>
      </c>
      <c r="L422" s="294">
        <v>18</v>
      </c>
      <c r="M422" s="294">
        <v>3</v>
      </c>
      <c r="N422" s="294">
        <v>1</v>
      </c>
      <c r="O422" s="294">
        <v>1</v>
      </c>
      <c r="P422" s="294">
        <v>0</v>
      </c>
    </row>
    <row r="423" spans="2:16" ht="12.75" customHeight="1">
      <c r="B423" s="290" t="s">
        <v>66</v>
      </c>
      <c r="C423" s="294">
        <v>45</v>
      </c>
      <c r="D423" s="294">
        <v>30</v>
      </c>
      <c r="E423" s="294">
        <v>15</v>
      </c>
      <c r="F423" s="294">
        <v>0</v>
      </c>
      <c r="G423" s="294">
        <v>25</v>
      </c>
      <c r="H423" s="294">
        <v>18</v>
      </c>
      <c r="I423" s="294">
        <v>7</v>
      </c>
      <c r="J423" s="294">
        <v>0</v>
      </c>
      <c r="K423" s="294">
        <v>19</v>
      </c>
      <c r="L423" s="294">
        <v>11</v>
      </c>
      <c r="M423" s="294">
        <v>8</v>
      </c>
      <c r="N423" s="294">
        <v>1</v>
      </c>
      <c r="O423" s="294">
        <v>1</v>
      </c>
      <c r="P423" s="294">
        <v>0</v>
      </c>
    </row>
    <row r="424" spans="2:16" ht="12.75" customHeight="1">
      <c r="B424" s="290" t="s">
        <v>67</v>
      </c>
      <c r="C424" s="294">
        <v>56</v>
      </c>
      <c r="D424" s="294">
        <v>36</v>
      </c>
      <c r="E424" s="294">
        <v>20</v>
      </c>
      <c r="F424" s="294">
        <v>0</v>
      </c>
      <c r="G424" s="294">
        <v>44</v>
      </c>
      <c r="H424" s="294">
        <v>28</v>
      </c>
      <c r="I424" s="294">
        <v>16</v>
      </c>
      <c r="J424" s="294">
        <v>0</v>
      </c>
      <c r="K424" s="294">
        <v>12</v>
      </c>
      <c r="L424" s="294">
        <v>8</v>
      </c>
      <c r="M424" s="294">
        <v>4</v>
      </c>
      <c r="N424" s="294">
        <v>0</v>
      </c>
      <c r="O424" s="294">
        <v>0</v>
      </c>
      <c r="P424" s="294">
        <v>0</v>
      </c>
    </row>
    <row r="425" spans="2:16" ht="12.75" customHeight="1">
      <c r="B425" s="290" t="s">
        <v>68</v>
      </c>
      <c r="C425" s="294">
        <v>75</v>
      </c>
      <c r="D425" s="294">
        <v>49</v>
      </c>
      <c r="E425" s="294">
        <v>26</v>
      </c>
      <c r="F425" s="294">
        <v>0</v>
      </c>
      <c r="G425" s="294">
        <v>54</v>
      </c>
      <c r="H425" s="294">
        <v>35</v>
      </c>
      <c r="I425" s="294">
        <v>19</v>
      </c>
      <c r="J425" s="294">
        <v>0</v>
      </c>
      <c r="K425" s="294">
        <v>21</v>
      </c>
      <c r="L425" s="294">
        <v>14</v>
      </c>
      <c r="M425" s="294">
        <v>7</v>
      </c>
      <c r="N425" s="294">
        <v>0</v>
      </c>
      <c r="O425" s="294">
        <v>0</v>
      </c>
      <c r="P425" s="294">
        <v>0</v>
      </c>
    </row>
    <row r="426" spans="2:16" ht="12.75" customHeight="1">
      <c r="B426" s="290" t="s">
        <v>69</v>
      </c>
      <c r="C426" s="294">
        <v>57</v>
      </c>
      <c r="D426" s="294">
        <v>35</v>
      </c>
      <c r="E426" s="294">
        <v>22</v>
      </c>
      <c r="F426" s="294">
        <v>0</v>
      </c>
      <c r="G426" s="294">
        <v>42</v>
      </c>
      <c r="H426" s="294">
        <v>28</v>
      </c>
      <c r="I426" s="294">
        <v>14</v>
      </c>
      <c r="J426" s="294">
        <v>0</v>
      </c>
      <c r="K426" s="294">
        <v>15</v>
      </c>
      <c r="L426" s="294">
        <v>7</v>
      </c>
      <c r="M426" s="294">
        <v>8</v>
      </c>
      <c r="N426" s="294">
        <v>0</v>
      </c>
      <c r="O426" s="294">
        <v>0</v>
      </c>
      <c r="P426" s="294">
        <v>0</v>
      </c>
    </row>
    <row r="427" spans="2:16" ht="12.75" customHeight="1">
      <c r="B427" s="290" t="s">
        <v>262</v>
      </c>
      <c r="C427" s="294">
        <v>76</v>
      </c>
      <c r="D427" s="294">
        <v>49</v>
      </c>
      <c r="E427" s="294">
        <v>27</v>
      </c>
      <c r="F427" s="294">
        <v>0</v>
      </c>
      <c r="G427" s="294">
        <v>53</v>
      </c>
      <c r="H427" s="294">
        <v>31</v>
      </c>
      <c r="I427" s="294">
        <v>22</v>
      </c>
      <c r="J427" s="294">
        <v>0</v>
      </c>
      <c r="K427" s="294">
        <v>23</v>
      </c>
      <c r="L427" s="294">
        <v>18</v>
      </c>
      <c r="M427" s="294">
        <v>5</v>
      </c>
      <c r="N427" s="294">
        <v>0</v>
      </c>
      <c r="O427" s="294">
        <v>0</v>
      </c>
      <c r="P427" s="294">
        <v>0</v>
      </c>
    </row>
    <row r="428" spans="2:16" ht="12.75" customHeight="1">
      <c r="B428" s="290" t="s">
        <v>263</v>
      </c>
      <c r="C428" s="294">
        <v>82</v>
      </c>
      <c r="D428" s="294">
        <v>54</v>
      </c>
      <c r="E428" s="294">
        <v>28</v>
      </c>
      <c r="F428" s="294">
        <v>0</v>
      </c>
      <c r="G428" s="294">
        <v>54</v>
      </c>
      <c r="H428" s="294">
        <v>37</v>
      </c>
      <c r="I428" s="294">
        <v>17</v>
      </c>
      <c r="J428" s="294">
        <v>0</v>
      </c>
      <c r="K428" s="294">
        <v>28</v>
      </c>
      <c r="L428" s="294">
        <v>17</v>
      </c>
      <c r="M428" s="294">
        <v>11</v>
      </c>
      <c r="N428" s="294">
        <v>0</v>
      </c>
      <c r="O428" s="294">
        <v>0</v>
      </c>
      <c r="P428" s="294">
        <v>0</v>
      </c>
    </row>
    <row r="429" spans="2:16" ht="12.75" customHeight="1">
      <c r="B429" s="290" t="s">
        <v>264</v>
      </c>
      <c r="C429" s="294">
        <v>117</v>
      </c>
      <c r="D429" s="294">
        <v>71</v>
      </c>
      <c r="E429" s="294">
        <v>46</v>
      </c>
      <c r="F429" s="294">
        <v>0</v>
      </c>
      <c r="G429" s="294">
        <v>82</v>
      </c>
      <c r="H429" s="294">
        <v>43</v>
      </c>
      <c r="I429" s="294">
        <v>39</v>
      </c>
      <c r="J429" s="294">
        <v>0</v>
      </c>
      <c r="K429" s="294">
        <v>35</v>
      </c>
      <c r="L429" s="294">
        <v>28</v>
      </c>
      <c r="M429" s="294">
        <v>7</v>
      </c>
      <c r="N429" s="294">
        <v>0</v>
      </c>
      <c r="O429" s="294">
        <v>0</v>
      </c>
      <c r="P429" s="294">
        <v>0</v>
      </c>
    </row>
    <row r="430" spans="2:16" ht="12.75" customHeight="1">
      <c r="B430" s="290" t="s">
        <v>265</v>
      </c>
      <c r="C430" s="294">
        <v>117</v>
      </c>
      <c r="D430" s="294">
        <v>74</v>
      </c>
      <c r="E430" s="294">
        <v>43</v>
      </c>
      <c r="F430" s="294">
        <v>0</v>
      </c>
      <c r="G430" s="294">
        <v>70</v>
      </c>
      <c r="H430" s="294">
        <v>45</v>
      </c>
      <c r="I430" s="294">
        <v>25</v>
      </c>
      <c r="J430" s="294">
        <v>0</v>
      </c>
      <c r="K430" s="294">
        <v>47</v>
      </c>
      <c r="L430" s="294">
        <v>29</v>
      </c>
      <c r="M430" s="294">
        <v>18</v>
      </c>
      <c r="N430" s="294">
        <v>0</v>
      </c>
      <c r="O430" s="294">
        <v>0</v>
      </c>
      <c r="P430" s="294">
        <v>0</v>
      </c>
    </row>
    <row r="431" spans="2:16" ht="12.75" customHeight="1">
      <c r="B431" s="290" t="s">
        <v>266</v>
      </c>
      <c r="C431" s="294">
        <v>604</v>
      </c>
      <c r="D431" s="294">
        <v>314</v>
      </c>
      <c r="E431" s="294">
        <v>290</v>
      </c>
      <c r="F431" s="294">
        <v>0</v>
      </c>
      <c r="G431" s="294">
        <v>415</v>
      </c>
      <c r="H431" s="294">
        <v>214</v>
      </c>
      <c r="I431" s="294">
        <v>201</v>
      </c>
      <c r="J431" s="294">
        <v>0</v>
      </c>
      <c r="K431" s="294">
        <v>188</v>
      </c>
      <c r="L431" s="294">
        <v>99</v>
      </c>
      <c r="M431" s="294">
        <v>89</v>
      </c>
      <c r="N431" s="294">
        <v>1</v>
      </c>
      <c r="O431" s="294">
        <v>1</v>
      </c>
      <c r="P431" s="294">
        <v>0</v>
      </c>
    </row>
    <row r="432" spans="2:16" ht="12.75" customHeight="1">
      <c r="B432" s="290" t="s">
        <v>504</v>
      </c>
      <c r="C432" s="294">
        <v>52</v>
      </c>
      <c r="D432" s="294">
        <v>26</v>
      </c>
      <c r="E432" s="294">
        <v>26</v>
      </c>
      <c r="F432" s="294">
        <v>0</v>
      </c>
      <c r="G432" s="294">
        <v>37</v>
      </c>
      <c r="H432" s="294">
        <v>16</v>
      </c>
      <c r="I432" s="294">
        <v>21</v>
      </c>
      <c r="J432" s="294">
        <v>0</v>
      </c>
      <c r="K432" s="294">
        <v>15</v>
      </c>
      <c r="L432" s="294">
        <v>10</v>
      </c>
      <c r="M432" s="294">
        <v>5</v>
      </c>
      <c r="N432" s="294">
        <v>0</v>
      </c>
      <c r="O432" s="294">
        <v>0</v>
      </c>
      <c r="P432" s="294">
        <v>0</v>
      </c>
    </row>
    <row r="433" spans="1:16" s="292" customFormat="1" ht="5.0999999999999996" customHeight="1">
      <c r="A433" s="290"/>
      <c r="B433" s="290"/>
      <c r="C433" s="294"/>
      <c r="D433" s="294"/>
      <c r="E433" s="294"/>
      <c r="F433" s="294"/>
      <c r="G433" s="294"/>
      <c r="H433" s="294"/>
      <c r="I433" s="294"/>
      <c r="J433" s="294"/>
      <c r="K433" s="294"/>
      <c r="L433" s="294"/>
      <c r="M433" s="294"/>
      <c r="N433" s="294"/>
      <c r="O433" s="294"/>
      <c r="P433" s="294"/>
    </row>
    <row r="434" spans="1:16" s="292" customFormat="1">
      <c r="A434" s="292" t="s">
        <v>97</v>
      </c>
      <c r="C434" s="293">
        <v>692</v>
      </c>
      <c r="D434" s="293">
        <v>416</v>
      </c>
      <c r="E434" s="293">
        <v>276</v>
      </c>
      <c r="F434" s="293">
        <v>0</v>
      </c>
      <c r="G434" s="293">
        <v>498</v>
      </c>
      <c r="H434" s="293">
        <v>288</v>
      </c>
      <c r="I434" s="293">
        <v>210</v>
      </c>
      <c r="J434" s="293">
        <v>0</v>
      </c>
      <c r="K434" s="293">
        <v>194</v>
      </c>
      <c r="L434" s="293">
        <v>128</v>
      </c>
      <c r="M434" s="293">
        <v>66</v>
      </c>
      <c r="N434" s="293">
        <v>0</v>
      </c>
      <c r="O434" s="293">
        <v>0</v>
      </c>
      <c r="P434" s="293">
        <v>0</v>
      </c>
    </row>
    <row r="435" spans="1:16" s="292" customFormat="1" ht="5.0999999999999996" customHeight="1">
      <c r="A435" s="290"/>
      <c r="B435" s="290"/>
      <c r="C435" s="294"/>
      <c r="D435" s="294"/>
      <c r="E435" s="294"/>
      <c r="F435" s="294"/>
      <c r="G435" s="294"/>
      <c r="H435" s="294"/>
      <c r="I435" s="294"/>
      <c r="J435" s="294"/>
      <c r="K435" s="294"/>
      <c r="L435" s="294"/>
      <c r="M435" s="294"/>
      <c r="N435" s="294"/>
      <c r="O435" s="294"/>
      <c r="P435" s="294"/>
    </row>
    <row r="436" spans="1:16" ht="12.75" customHeight="1">
      <c r="B436" s="290" t="s">
        <v>503</v>
      </c>
      <c r="C436" s="294">
        <v>8</v>
      </c>
      <c r="D436" s="294">
        <v>3</v>
      </c>
      <c r="E436" s="294">
        <v>5</v>
      </c>
      <c r="F436" s="294">
        <v>0</v>
      </c>
      <c r="G436" s="294">
        <v>8</v>
      </c>
      <c r="H436" s="294">
        <v>3</v>
      </c>
      <c r="I436" s="294">
        <v>5</v>
      </c>
      <c r="J436" s="294">
        <v>0</v>
      </c>
      <c r="K436" s="294">
        <v>0</v>
      </c>
      <c r="L436" s="294">
        <v>0</v>
      </c>
      <c r="M436" s="294">
        <v>0</v>
      </c>
      <c r="N436" s="294">
        <v>0</v>
      </c>
      <c r="O436" s="294">
        <v>0</v>
      </c>
      <c r="P436" s="294">
        <v>0</v>
      </c>
    </row>
    <row r="437" spans="1:16" ht="12.75" customHeight="1">
      <c r="B437" s="290" t="s">
        <v>259</v>
      </c>
      <c r="C437" s="294">
        <v>1</v>
      </c>
      <c r="D437" s="294">
        <v>1</v>
      </c>
      <c r="E437" s="294">
        <v>0</v>
      </c>
      <c r="F437" s="294">
        <v>0</v>
      </c>
      <c r="G437" s="294">
        <v>1</v>
      </c>
      <c r="H437" s="294">
        <v>1</v>
      </c>
      <c r="I437" s="294">
        <v>0</v>
      </c>
      <c r="J437" s="294">
        <v>0</v>
      </c>
      <c r="K437" s="294">
        <v>0</v>
      </c>
      <c r="L437" s="294">
        <v>0</v>
      </c>
      <c r="M437" s="294">
        <v>0</v>
      </c>
      <c r="N437" s="294">
        <v>0</v>
      </c>
      <c r="O437" s="294">
        <v>0</v>
      </c>
      <c r="P437" s="294">
        <v>0</v>
      </c>
    </row>
    <row r="438" spans="1:16" ht="12.75" customHeight="1">
      <c r="B438" s="290" t="s">
        <v>260</v>
      </c>
      <c r="C438" s="294">
        <v>1</v>
      </c>
      <c r="D438" s="294">
        <v>1</v>
      </c>
      <c r="E438" s="294">
        <v>0</v>
      </c>
      <c r="F438" s="294">
        <v>0</v>
      </c>
      <c r="G438" s="294">
        <v>0</v>
      </c>
      <c r="H438" s="294">
        <v>0</v>
      </c>
      <c r="I438" s="294">
        <v>0</v>
      </c>
      <c r="J438" s="294">
        <v>0</v>
      </c>
      <c r="K438" s="294">
        <v>1</v>
      </c>
      <c r="L438" s="294">
        <v>1</v>
      </c>
      <c r="M438" s="294">
        <v>0</v>
      </c>
      <c r="N438" s="294">
        <v>0</v>
      </c>
      <c r="O438" s="294">
        <v>0</v>
      </c>
      <c r="P438" s="294">
        <v>0</v>
      </c>
    </row>
    <row r="439" spans="1:16" ht="12.75" customHeight="1">
      <c r="B439" s="290" t="s">
        <v>261</v>
      </c>
      <c r="C439" s="294">
        <v>3</v>
      </c>
      <c r="D439" s="294">
        <v>3</v>
      </c>
      <c r="E439" s="294">
        <v>0</v>
      </c>
      <c r="F439" s="294">
        <v>0</v>
      </c>
      <c r="G439" s="294">
        <v>2</v>
      </c>
      <c r="H439" s="294">
        <v>2</v>
      </c>
      <c r="I439" s="294">
        <v>0</v>
      </c>
      <c r="J439" s="294">
        <v>0</v>
      </c>
      <c r="K439" s="294">
        <v>1</v>
      </c>
      <c r="L439" s="294">
        <v>1</v>
      </c>
      <c r="M439" s="294">
        <v>0</v>
      </c>
      <c r="N439" s="294">
        <v>0</v>
      </c>
      <c r="O439" s="294">
        <v>0</v>
      </c>
      <c r="P439" s="294">
        <v>0</v>
      </c>
    </row>
    <row r="440" spans="1:16" ht="12.75" customHeight="1">
      <c r="B440" s="290" t="s">
        <v>63</v>
      </c>
      <c r="C440" s="294">
        <v>6</v>
      </c>
      <c r="D440" s="294">
        <v>4</v>
      </c>
      <c r="E440" s="294">
        <v>2</v>
      </c>
      <c r="F440" s="294">
        <v>0</v>
      </c>
      <c r="G440" s="294">
        <v>4</v>
      </c>
      <c r="H440" s="294">
        <v>2</v>
      </c>
      <c r="I440" s="294">
        <v>2</v>
      </c>
      <c r="J440" s="294">
        <v>0</v>
      </c>
      <c r="K440" s="294">
        <v>2</v>
      </c>
      <c r="L440" s="294">
        <v>2</v>
      </c>
      <c r="M440" s="294">
        <v>0</v>
      </c>
      <c r="N440" s="294">
        <v>0</v>
      </c>
      <c r="O440" s="294">
        <v>0</v>
      </c>
      <c r="P440" s="294">
        <v>0</v>
      </c>
    </row>
    <row r="441" spans="1:16" ht="12.75" customHeight="1">
      <c r="B441" s="290" t="s">
        <v>64</v>
      </c>
      <c r="C441" s="294">
        <v>19</v>
      </c>
      <c r="D441" s="294">
        <v>15</v>
      </c>
      <c r="E441" s="294">
        <v>4</v>
      </c>
      <c r="F441" s="294">
        <v>0</v>
      </c>
      <c r="G441" s="294">
        <v>11</v>
      </c>
      <c r="H441" s="294">
        <v>10</v>
      </c>
      <c r="I441" s="294">
        <v>1</v>
      </c>
      <c r="J441" s="294">
        <v>0</v>
      </c>
      <c r="K441" s="294">
        <v>8</v>
      </c>
      <c r="L441" s="294">
        <v>5</v>
      </c>
      <c r="M441" s="294">
        <v>3</v>
      </c>
      <c r="N441" s="294">
        <v>0</v>
      </c>
      <c r="O441" s="294">
        <v>0</v>
      </c>
      <c r="P441" s="294">
        <v>0</v>
      </c>
    </row>
    <row r="442" spans="1:16" ht="12.75" customHeight="1">
      <c r="B442" s="290" t="s">
        <v>65</v>
      </c>
      <c r="C442" s="294">
        <v>21</v>
      </c>
      <c r="D442" s="294">
        <v>11</v>
      </c>
      <c r="E442" s="294">
        <v>10</v>
      </c>
      <c r="F442" s="294">
        <v>0</v>
      </c>
      <c r="G442" s="294">
        <v>12</v>
      </c>
      <c r="H442" s="294">
        <v>5</v>
      </c>
      <c r="I442" s="294">
        <v>7</v>
      </c>
      <c r="J442" s="294">
        <v>0</v>
      </c>
      <c r="K442" s="294">
        <v>9</v>
      </c>
      <c r="L442" s="294">
        <v>6</v>
      </c>
      <c r="M442" s="294">
        <v>3</v>
      </c>
      <c r="N442" s="294">
        <v>0</v>
      </c>
      <c r="O442" s="294">
        <v>0</v>
      </c>
      <c r="P442" s="294">
        <v>0</v>
      </c>
    </row>
    <row r="443" spans="1:16" ht="12.75" customHeight="1">
      <c r="B443" s="290" t="s">
        <v>66</v>
      </c>
      <c r="C443" s="294">
        <v>20</v>
      </c>
      <c r="D443" s="294">
        <v>12</v>
      </c>
      <c r="E443" s="294">
        <v>8</v>
      </c>
      <c r="F443" s="294">
        <v>0</v>
      </c>
      <c r="G443" s="294">
        <v>15</v>
      </c>
      <c r="H443" s="294">
        <v>8</v>
      </c>
      <c r="I443" s="294">
        <v>7</v>
      </c>
      <c r="J443" s="294">
        <v>0</v>
      </c>
      <c r="K443" s="294">
        <v>5</v>
      </c>
      <c r="L443" s="294">
        <v>4</v>
      </c>
      <c r="M443" s="294">
        <v>1</v>
      </c>
      <c r="N443" s="294">
        <v>0</v>
      </c>
      <c r="O443" s="294">
        <v>0</v>
      </c>
      <c r="P443" s="294">
        <v>0</v>
      </c>
    </row>
    <row r="444" spans="1:16" ht="12.75" customHeight="1">
      <c r="B444" s="290" t="s">
        <v>67</v>
      </c>
      <c r="C444" s="294">
        <v>25</v>
      </c>
      <c r="D444" s="294">
        <v>11</v>
      </c>
      <c r="E444" s="294">
        <v>14</v>
      </c>
      <c r="F444" s="294">
        <v>0</v>
      </c>
      <c r="G444" s="294">
        <v>17</v>
      </c>
      <c r="H444" s="294">
        <v>9</v>
      </c>
      <c r="I444" s="294">
        <v>8</v>
      </c>
      <c r="J444" s="294">
        <v>0</v>
      </c>
      <c r="K444" s="294">
        <v>8</v>
      </c>
      <c r="L444" s="294">
        <v>2</v>
      </c>
      <c r="M444" s="294">
        <v>6</v>
      </c>
      <c r="N444" s="294">
        <v>0</v>
      </c>
      <c r="O444" s="294">
        <v>0</v>
      </c>
      <c r="P444" s="294">
        <v>0</v>
      </c>
    </row>
    <row r="445" spans="1:16" ht="12.75" customHeight="1">
      <c r="B445" s="290" t="s">
        <v>68</v>
      </c>
      <c r="C445" s="294">
        <v>22</v>
      </c>
      <c r="D445" s="294">
        <v>13</v>
      </c>
      <c r="E445" s="294">
        <v>9</v>
      </c>
      <c r="F445" s="294">
        <v>0</v>
      </c>
      <c r="G445" s="294">
        <v>14</v>
      </c>
      <c r="H445" s="294">
        <v>8</v>
      </c>
      <c r="I445" s="294">
        <v>6</v>
      </c>
      <c r="J445" s="294">
        <v>0</v>
      </c>
      <c r="K445" s="294">
        <v>8</v>
      </c>
      <c r="L445" s="294">
        <v>5</v>
      </c>
      <c r="M445" s="294">
        <v>3</v>
      </c>
      <c r="N445" s="294">
        <v>0</v>
      </c>
      <c r="O445" s="294">
        <v>0</v>
      </c>
      <c r="P445" s="294">
        <v>0</v>
      </c>
    </row>
    <row r="446" spans="1:16" ht="12.75" customHeight="1">
      <c r="B446" s="290" t="s">
        <v>69</v>
      </c>
      <c r="C446" s="294">
        <v>26</v>
      </c>
      <c r="D446" s="294">
        <v>17</v>
      </c>
      <c r="E446" s="294">
        <v>9</v>
      </c>
      <c r="F446" s="294">
        <v>0</v>
      </c>
      <c r="G446" s="294">
        <v>14</v>
      </c>
      <c r="H446" s="294">
        <v>7</v>
      </c>
      <c r="I446" s="294">
        <v>7</v>
      </c>
      <c r="J446" s="294">
        <v>0</v>
      </c>
      <c r="K446" s="294">
        <v>12</v>
      </c>
      <c r="L446" s="294">
        <v>10</v>
      </c>
      <c r="M446" s="294">
        <v>2</v>
      </c>
      <c r="N446" s="294">
        <v>0</v>
      </c>
      <c r="O446" s="294">
        <v>0</v>
      </c>
      <c r="P446" s="294">
        <v>0</v>
      </c>
    </row>
    <row r="447" spans="1:16" ht="12.75" customHeight="1">
      <c r="B447" s="290" t="s">
        <v>262</v>
      </c>
      <c r="C447" s="294">
        <v>45</v>
      </c>
      <c r="D447" s="294">
        <v>29</v>
      </c>
      <c r="E447" s="294">
        <v>16</v>
      </c>
      <c r="F447" s="294">
        <v>0</v>
      </c>
      <c r="G447" s="294">
        <v>31</v>
      </c>
      <c r="H447" s="294">
        <v>22</v>
      </c>
      <c r="I447" s="294">
        <v>9</v>
      </c>
      <c r="J447" s="294">
        <v>0</v>
      </c>
      <c r="K447" s="294">
        <v>14</v>
      </c>
      <c r="L447" s="294">
        <v>7</v>
      </c>
      <c r="M447" s="294">
        <v>7</v>
      </c>
      <c r="N447" s="294">
        <v>0</v>
      </c>
      <c r="O447" s="294">
        <v>0</v>
      </c>
      <c r="P447" s="294">
        <v>0</v>
      </c>
    </row>
    <row r="448" spans="1:16" ht="12.75" customHeight="1">
      <c r="B448" s="290" t="s">
        <v>263</v>
      </c>
      <c r="C448" s="294">
        <v>33</v>
      </c>
      <c r="D448" s="294">
        <v>19</v>
      </c>
      <c r="E448" s="294">
        <v>14</v>
      </c>
      <c r="F448" s="294">
        <v>0</v>
      </c>
      <c r="G448" s="294">
        <v>25</v>
      </c>
      <c r="H448" s="294">
        <v>16</v>
      </c>
      <c r="I448" s="294">
        <v>9</v>
      </c>
      <c r="J448" s="294">
        <v>0</v>
      </c>
      <c r="K448" s="294">
        <v>8</v>
      </c>
      <c r="L448" s="294">
        <v>3</v>
      </c>
      <c r="M448" s="294">
        <v>5</v>
      </c>
      <c r="N448" s="294">
        <v>0</v>
      </c>
      <c r="O448" s="294">
        <v>0</v>
      </c>
      <c r="P448" s="294">
        <v>0</v>
      </c>
    </row>
    <row r="449" spans="1:16" ht="12.75" customHeight="1">
      <c r="B449" s="290" t="s">
        <v>264</v>
      </c>
      <c r="C449" s="294">
        <v>45</v>
      </c>
      <c r="D449" s="294">
        <v>28</v>
      </c>
      <c r="E449" s="294">
        <v>17</v>
      </c>
      <c r="F449" s="294">
        <v>0</v>
      </c>
      <c r="G449" s="294">
        <v>34</v>
      </c>
      <c r="H449" s="294">
        <v>22</v>
      </c>
      <c r="I449" s="294">
        <v>12</v>
      </c>
      <c r="J449" s="294">
        <v>0</v>
      </c>
      <c r="K449" s="294">
        <v>11</v>
      </c>
      <c r="L449" s="294">
        <v>6</v>
      </c>
      <c r="M449" s="294">
        <v>5</v>
      </c>
      <c r="N449" s="294">
        <v>0</v>
      </c>
      <c r="O449" s="294">
        <v>0</v>
      </c>
      <c r="P449" s="294">
        <v>0</v>
      </c>
    </row>
    <row r="450" spans="1:16" ht="12.75" customHeight="1">
      <c r="B450" s="290" t="s">
        <v>265</v>
      </c>
      <c r="C450" s="294">
        <v>58</v>
      </c>
      <c r="D450" s="294">
        <v>32</v>
      </c>
      <c r="E450" s="294">
        <v>26</v>
      </c>
      <c r="F450" s="294">
        <v>0</v>
      </c>
      <c r="G450" s="294">
        <v>47</v>
      </c>
      <c r="H450" s="294">
        <v>26</v>
      </c>
      <c r="I450" s="294">
        <v>21</v>
      </c>
      <c r="J450" s="294">
        <v>0</v>
      </c>
      <c r="K450" s="294">
        <v>11</v>
      </c>
      <c r="L450" s="294">
        <v>6</v>
      </c>
      <c r="M450" s="294">
        <v>5</v>
      </c>
      <c r="N450" s="294">
        <v>0</v>
      </c>
      <c r="O450" s="294">
        <v>0</v>
      </c>
      <c r="P450" s="294">
        <v>0</v>
      </c>
    </row>
    <row r="451" spans="1:16" ht="12.75" customHeight="1">
      <c r="B451" s="290" t="s">
        <v>266</v>
      </c>
      <c r="C451" s="294">
        <v>350</v>
      </c>
      <c r="D451" s="294">
        <v>215</v>
      </c>
      <c r="E451" s="294">
        <v>135</v>
      </c>
      <c r="F451" s="294">
        <v>0</v>
      </c>
      <c r="G451" s="294">
        <v>257</v>
      </c>
      <c r="H451" s="294">
        <v>145</v>
      </c>
      <c r="I451" s="294">
        <v>112</v>
      </c>
      <c r="J451" s="294">
        <v>0</v>
      </c>
      <c r="K451" s="294">
        <v>93</v>
      </c>
      <c r="L451" s="294">
        <v>70</v>
      </c>
      <c r="M451" s="294">
        <v>23</v>
      </c>
      <c r="N451" s="294">
        <v>0</v>
      </c>
      <c r="O451" s="294">
        <v>0</v>
      </c>
      <c r="P451" s="294">
        <v>0</v>
      </c>
    </row>
    <row r="452" spans="1:16" ht="12.75" customHeight="1">
      <c r="B452" s="290" t="s">
        <v>504</v>
      </c>
      <c r="C452" s="294">
        <v>9</v>
      </c>
      <c r="D452" s="294">
        <v>2</v>
      </c>
      <c r="E452" s="294">
        <v>7</v>
      </c>
      <c r="F452" s="294">
        <v>0</v>
      </c>
      <c r="G452" s="294">
        <v>6</v>
      </c>
      <c r="H452" s="294">
        <v>2</v>
      </c>
      <c r="I452" s="294">
        <v>4</v>
      </c>
      <c r="J452" s="294">
        <v>0</v>
      </c>
      <c r="K452" s="294">
        <v>3</v>
      </c>
      <c r="L452" s="294">
        <v>0</v>
      </c>
      <c r="M452" s="294">
        <v>3</v>
      </c>
      <c r="N452" s="294">
        <v>0</v>
      </c>
      <c r="O452" s="294">
        <v>0</v>
      </c>
      <c r="P452" s="294">
        <v>0</v>
      </c>
    </row>
    <row r="453" spans="1:16" s="292" customFormat="1" ht="5.0999999999999996" customHeight="1">
      <c r="A453" s="290"/>
      <c r="B453" s="290"/>
      <c r="C453" s="294"/>
      <c r="D453" s="294"/>
      <c r="E453" s="294"/>
      <c r="F453" s="294"/>
      <c r="G453" s="294"/>
      <c r="H453" s="294"/>
      <c r="I453" s="294"/>
      <c r="J453" s="294"/>
      <c r="K453" s="294"/>
      <c r="L453" s="294"/>
      <c r="M453" s="294"/>
      <c r="N453" s="294"/>
      <c r="O453" s="294"/>
      <c r="P453" s="294"/>
    </row>
    <row r="454" spans="1:16" s="292" customFormat="1">
      <c r="A454" s="292" t="s">
        <v>98</v>
      </c>
      <c r="C454" s="293">
        <v>1062</v>
      </c>
      <c r="D454" s="293">
        <v>599</v>
      </c>
      <c r="E454" s="293">
        <v>463</v>
      </c>
      <c r="F454" s="293">
        <v>0</v>
      </c>
      <c r="G454" s="293">
        <v>960</v>
      </c>
      <c r="H454" s="293">
        <v>535</v>
      </c>
      <c r="I454" s="293">
        <v>425</v>
      </c>
      <c r="J454" s="293">
        <v>0</v>
      </c>
      <c r="K454" s="293">
        <v>102</v>
      </c>
      <c r="L454" s="293">
        <v>64</v>
      </c>
      <c r="M454" s="293">
        <v>38</v>
      </c>
      <c r="N454" s="293">
        <v>0</v>
      </c>
      <c r="O454" s="293">
        <v>0</v>
      </c>
      <c r="P454" s="293">
        <v>0</v>
      </c>
    </row>
    <row r="455" spans="1:16" s="292" customFormat="1" ht="5.0999999999999996" customHeight="1">
      <c r="A455" s="290"/>
      <c r="B455" s="290"/>
      <c r="C455" s="294"/>
      <c r="D455" s="294"/>
      <c r="E455" s="294"/>
      <c r="F455" s="294"/>
      <c r="G455" s="294"/>
      <c r="H455" s="294"/>
      <c r="I455" s="294"/>
      <c r="J455" s="294"/>
      <c r="K455" s="294"/>
      <c r="L455" s="294"/>
      <c r="M455" s="294"/>
      <c r="N455" s="294"/>
      <c r="O455" s="294"/>
      <c r="P455" s="294"/>
    </row>
    <row r="456" spans="1:16" ht="12.75" customHeight="1">
      <c r="B456" s="290" t="s">
        <v>503</v>
      </c>
      <c r="C456" s="294">
        <v>20</v>
      </c>
      <c r="D456" s="294">
        <v>11</v>
      </c>
      <c r="E456" s="294">
        <v>9</v>
      </c>
      <c r="F456" s="294">
        <v>0</v>
      </c>
      <c r="G456" s="294">
        <v>19</v>
      </c>
      <c r="H456" s="294">
        <v>10</v>
      </c>
      <c r="I456" s="294">
        <v>9</v>
      </c>
      <c r="J456" s="294">
        <v>0</v>
      </c>
      <c r="K456" s="294">
        <v>1</v>
      </c>
      <c r="L456" s="294">
        <v>1</v>
      </c>
      <c r="M456" s="294">
        <v>0</v>
      </c>
      <c r="N456" s="294">
        <v>0</v>
      </c>
      <c r="O456" s="294">
        <v>0</v>
      </c>
      <c r="P456" s="294">
        <v>0</v>
      </c>
    </row>
    <row r="457" spans="1:16" ht="12.75" customHeight="1">
      <c r="B457" s="290" t="s">
        <v>259</v>
      </c>
      <c r="C457" s="294">
        <v>6</v>
      </c>
      <c r="D457" s="294">
        <v>4</v>
      </c>
      <c r="E457" s="294">
        <v>2</v>
      </c>
      <c r="F457" s="294">
        <v>0</v>
      </c>
      <c r="G457" s="294">
        <v>5</v>
      </c>
      <c r="H457" s="294">
        <v>4</v>
      </c>
      <c r="I457" s="294">
        <v>1</v>
      </c>
      <c r="J457" s="294">
        <v>0</v>
      </c>
      <c r="K457" s="294">
        <v>1</v>
      </c>
      <c r="L457" s="294">
        <v>0</v>
      </c>
      <c r="M457" s="294">
        <v>1</v>
      </c>
      <c r="N457" s="294">
        <v>0</v>
      </c>
      <c r="O457" s="294">
        <v>0</v>
      </c>
      <c r="P457" s="294">
        <v>0</v>
      </c>
    </row>
    <row r="458" spans="1:16" ht="12.75" customHeight="1">
      <c r="B458" s="290" t="s">
        <v>260</v>
      </c>
      <c r="C458" s="294">
        <v>6</v>
      </c>
      <c r="D458" s="294">
        <v>3</v>
      </c>
      <c r="E458" s="294">
        <v>3</v>
      </c>
      <c r="F458" s="294">
        <v>0</v>
      </c>
      <c r="G458" s="294">
        <v>5</v>
      </c>
      <c r="H458" s="294">
        <v>3</v>
      </c>
      <c r="I458" s="294">
        <v>2</v>
      </c>
      <c r="J458" s="294">
        <v>0</v>
      </c>
      <c r="K458" s="294">
        <v>1</v>
      </c>
      <c r="L458" s="294">
        <v>0</v>
      </c>
      <c r="M458" s="294">
        <v>1</v>
      </c>
      <c r="N458" s="294">
        <v>0</v>
      </c>
      <c r="O458" s="294">
        <v>0</v>
      </c>
      <c r="P458" s="294">
        <v>0</v>
      </c>
    </row>
    <row r="459" spans="1:16" ht="12.75" customHeight="1">
      <c r="B459" s="290" t="s">
        <v>261</v>
      </c>
      <c r="C459" s="294">
        <v>10</v>
      </c>
      <c r="D459" s="294">
        <v>4</v>
      </c>
      <c r="E459" s="294">
        <v>6</v>
      </c>
      <c r="F459" s="294">
        <v>0</v>
      </c>
      <c r="G459" s="294">
        <v>8</v>
      </c>
      <c r="H459" s="294">
        <v>4</v>
      </c>
      <c r="I459" s="294">
        <v>4</v>
      </c>
      <c r="J459" s="294">
        <v>0</v>
      </c>
      <c r="K459" s="294">
        <v>2</v>
      </c>
      <c r="L459" s="294">
        <v>0</v>
      </c>
      <c r="M459" s="294">
        <v>2</v>
      </c>
      <c r="N459" s="294">
        <v>0</v>
      </c>
      <c r="O459" s="294">
        <v>0</v>
      </c>
      <c r="P459" s="294">
        <v>0</v>
      </c>
    </row>
    <row r="460" spans="1:16" ht="12.75" customHeight="1">
      <c r="B460" s="290" t="s">
        <v>63</v>
      </c>
      <c r="C460" s="294">
        <v>19</v>
      </c>
      <c r="D460" s="294">
        <v>14</v>
      </c>
      <c r="E460" s="294">
        <v>5</v>
      </c>
      <c r="F460" s="294">
        <v>0</v>
      </c>
      <c r="G460" s="294">
        <v>16</v>
      </c>
      <c r="H460" s="294">
        <v>11</v>
      </c>
      <c r="I460" s="294">
        <v>5</v>
      </c>
      <c r="J460" s="294">
        <v>0</v>
      </c>
      <c r="K460" s="294">
        <v>3</v>
      </c>
      <c r="L460" s="294">
        <v>3</v>
      </c>
      <c r="M460" s="294">
        <v>0</v>
      </c>
      <c r="N460" s="294">
        <v>0</v>
      </c>
      <c r="O460" s="294">
        <v>0</v>
      </c>
      <c r="P460" s="294">
        <v>0</v>
      </c>
    </row>
    <row r="461" spans="1:16" ht="12.75" customHeight="1">
      <c r="B461" s="290" t="s">
        <v>64</v>
      </c>
      <c r="C461" s="294">
        <v>16</v>
      </c>
      <c r="D461" s="294">
        <v>11</v>
      </c>
      <c r="E461" s="294">
        <v>5</v>
      </c>
      <c r="F461" s="294">
        <v>0</v>
      </c>
      <c r="G461" s="294">
        <v>15</v>
      </c>
      <c r="H461" s="294">
        <v>10</v>
      </c>
      <c r="I461" s="294">
        <v>5</v>
      </c>
      <c r="J461" s="294">
        <v>0</v>
      </c>
      <c r="K461" s="294">
        <v>1</v>
      </c>
      <c r="L461" s="294">
        <v>1</v>
      </c>
      <c r="M461" s="294">
        <v>0</v>
      </c>
      <c r="N461" s="294">
        <v>0</v>
      </c>
      <c r="O461" s="294">
        <v>0</v>
      </c>
      <c r="P461" s="294">
        <v>0</v>
      </c>
    </row>
    <row r="462" spans="1:16" ht="12.75" customHeight="1">
      <c r="B462" s="290" t="s">
        <v>65</v>
      </c>
      <c r="C462" s="294">
        <v>32</v>
      </c>
      <c r="D462" s="294">
        <v>21</v>
      </c>
      <c r="E462" s="294">
        <v>11</v>
      </c>
      <c r="F462" s="294">
        <v>0</v>
      </c>
      <c r="G462" s="294">
        <v>27</v>
      </c>
      <c r="H462" s="294">
        <v>17</v>
      </c>
      <c r="I462" s="294">
        <v>10</v>
      </c>
      <c r="J462" s="294">
        <v>0</v>
      </c>
      <c r="K462" s="294">
        <v>5</v>
      </c>
      <c r="L462" s="294">
        <v>4</v>
      </c>
      <c r="M462" s="294">
        <v>1</v>
      </c>
      <c r="N462" s="294">
        <v>0</v>
      </c>
      <c r="O462" s="294">
        <v>0</v>
      </c>
      <c r="P462" s="294">
        <v>0</v>
      </c>
    </row>
    <row r="463" spans="1:16" ht="12.75" customHeight="1">
      <c r="B463" s="290" t="s">
        <v>66</v>
      </c>
      <c r="C463" s="294">
        <v>31</v>
      </c>
      <c r="D463" s="294">
        <v>23</v>
      </c>
      <c r="E463" s="294">
        <v>8</v>
      </c>
      <c r="F463" s="294">
        <v>0</v>
      </c>
      <c r="G463" s="294">
        <v>26</v>
      </c>
      <c r="H463" s="294">
        <v>20</v>
      </c>
      <c r="I463" s="294">
        <v>6</v>
      </c>
      <c r="J463" s="294">
        <v>0</v>
      </c>
      <c r="K463" s="294">
        <v>5</v>
      </c>
      <c r="L463" s="294">
        <v>3</v>
      </c>
      <c r="M463" s="294">
        <v>2</v>
      </c>
      <c r="N463" s="294">
        <v>0</v>
      </c>
      <c r="O463" s="294">
        <v>0</v>
      </c>
      <c r="P463" s="294">
        <v>0</v>
      </c>
    </row>
    <row r="464" spans="1:16" ht="12.75" customHeight="1">
      <c r="B464" s="290" t="s">
        <v>67</v>
      </c>
      <c r="C464" s="294">
        <v>43</v>
      </c>
      <c r="D464" s="294">
        <v>25</v>
      </c>
      <c r="E464" s="294">
        <v>18</v>
      </c>
      <c r="F464" s="294">
        <v>0</v>
      </c>
      <c r="G464" s="294">
        <v>42</v>
      </c>
      <c r="H464" s="294">
        <v>24</v>
      </c>
      <c r="I464" s="294">
        <v>18</v>
      </c>
      <c r="J464" s="294">
        <v>0</v>
      </c>
      <c r="K464" s="294">
        <v>1</v>
      </c>
      <c r="L464" s="294">
        <v>1</v>
      </c>
      <c r="M464" s="294">
        <v>0</v>
      </c>
      <c r="N464" s="294">
        <v>0</v>
      </c>
      <c r="O464" s="294">
        <v>0</v>
      </c>
      <c r="P464" s="294">
        <v>0</v>
      </c>
    </row>
    <row r="465" spans="1:16" ht="12.75" customHeight="1">
      <c r="B465" s="290" t="s">
        <v>68</v>
      </c>
      <c r="C465" s="294">
        <v>46</v>
      </c>
      <c r="D465" s="294">
        <v>25</v>
      </c>
      <c r="E465" s="294">
        <v>21</v>
      </c>
      <c r="F465" s="294">
        <v>0</v>
      </c>
      <c r="G465" s="294">
        <v>46</v>
      </c>
      <c r="H465" s="294">
        <v>25</v>
      </c>
      <c r="I465" s="294">
        <v>21</v>
      </c>
      <c r="J465" s="294">
        <v>0</v>
      </c>
      <c r="K465" s="294">
        <v>0</v>
      </c>
      <c r="L465" s="294">
        <v>0</v>
      </c>
      <c r="M465" s="294">
        <v>0</v>
      </c>
      <c r="N465" s="294">
        <v>0</v>
      </c>
      <c r="O465" s="294">
        <v>0</v>
      </c>
      <c r="P465" s="294">
        <v>0</v>
      </c>
    </row>
    <row r="466" spans="1:16" ht="12.75" customHeight="1">
      <c r="B466" s="290" t="s">
        <v>69</v>
      </c>
      <c r="C466" s="294">
        <v>37</v>
      </c>
      <c r="D466" s="294">
        <v>23</v>
      </c>
      <c r="E466" s="294">
        <v>14</v>
      </c>
      <c r="F466" s="294">
        <v>0</v>
      </c>
      <c r="G466" s="294">
        <v>33</v>
      </c>
      <c r="H466" s="294">
        <v>20</v>
      </c>
      <c r="I466" s="294">
        <v>13</v>
      </c>
      <c r="J466" s="294">
        <v>0</v>
      </c>
      <c r="K466" s="294">
        <v>4</v>
      </c>
      <c r="L466" s="294">
        <v>3</v>
      </c>
      <c r="M466" s="294">
        <v>1</v>
      </c>
      <c r="N466" s="294">
        <v>0</v>
      </c>
      <c r="O466" s="294">
        <v>0</v>
      </c>
      <c r="P466" s="294">
        <v>0</v>
      </c>
    </row>
    <row r="467" spans="1:16" ht="12.75" customHeight="1">
      <c r="B467" s="290" t="s">
        <v>262</v>
      </c>
      <c r="C467" s="294">
        <v>58</v>
      </c>
      <c r="D467" s="294">
        <v>35</v>
      </c>
      <c r="E467" s="294">
        <v>23</v>
      </c>
      <c r="F467" s="294">
        <v>0</v>
      </c>
      <c r="G467" s="294">
        <v>50</v>
      </c>
      <c r="H467" s="294">
        <v>28</v>
      </c>
      <c r="I467" s="294">
        <v>22</v>
      </c>
      <c r="J467" s="294">
        <v>0</v>
      </c>
      <c r="K467" s="294">
        <v>8</v>
      </c>
      <c r="L467" s="294">
        <v>7</v>
      </c>
      <c r="M467" s="294">
        <v>1</v>
      </c>
      <c r="N467" s="294">
        <v>0</v>
      </c>
      <c r="O467" s="294">
        <v>0</v>
      </c>
      <c r="P467" s="294">
        <v>0</v>
      </c>
    </row>
    <row r="468" spans="1:16" ht="12.75" customHeight="1">
      <c r="B468" s="290" t="s">
        <v>263</v>
      </c>
      <c r="C468" s="294">
        <v>68</v>
      </c>
      <c r="D468" s="294">
        <v>40</v>
      </c>
      <c r="E468" s="294">
        <v>28</v>
      </c>
      <c r="F468" s="294">
        <v>0</v>
      </c>
      <c r="G468" s="294">
        <v>63</v>
      </c>
      <c r="H468" s="294">
        <v>37</v>
      </c>
      <c r="I468" s="294">
        <v>26</v>
      </c>
      <c r="J468" s="294">
        <v>0</v>
      </c>
      <c r="K468" s="294">
        <v>5</v>
      </c>
      <c r="L468" s="294">
        <v>3</v>
      </c>
      <c r="M468" s="294">
        <v>2</v>
      </c>
      <c r="N468" s="294">
        <v>0</v>
      </c>
      <c r="O468" s="294">
        <v>0</v>
      </c>
      <c r="P468" s="294">
        <v>0</v>
      </c>
    </row>
    <row r="469" spans="1:16" ht="12.75" customHeight="1">
      <c r="B469" s="290" t="s">
        <v>264</v>
      </c>
      <c r="C469" s="294">
        <v>77</v>
      </c>
      <c r="D469" s="294">
        <v>54</v>
      </c>
      <c r="E469" s="294">
        <v>23</v>
      </c>
      <c r="F469" s="294">
        <v>0</v>
      </c>
      <c r="G469" s="294">
        <v>69</v>
      </c>
      <c r="H469" s="294">
        <v>49</v>
      </c>
      <c r="I469" s="294">
        <v>20</v>
      </c>
      <c r="J469" s="294">
        <v>0</v>
      </c>
      <c r="K469" s="294">
        <v>8</v>
      </c>
      <c r="L469" s="294">
        <v>5</v>
      </c>
      <c r="M469" s="294">
        <v>3</v>
      </c>
      <c r="N469" s="294">
        <v>0</v>
      </c>
      <c r="O469" s="294">
        <v>0</v>
      </c>
      <c r="P469" s="294">
        <v>0</v>
      </c>
    </row>
    <row r="470" spans="1:16" ht="12.75" customHeight="1">
      <c r="B470" s="290" t="s">
        <v>265</v>
      </c>
      <c r="C470" s="294">
        <v>82</v>
      </c>
      <c r="D470" s="294">
        <v>51</v>
      </c>
      <c r="E470" s="294">
        <v>31</v>
      </c>
      <c r="F470" s="294">
        <v>0</v>
      </c>
      <c r="G470" s="294">
        <v>74</v>
      </c>
      <c r="H470" s="294">
        <v>46</v>
      </c>
      <c r="I470" s="294">
        <v>28</v>
      </c>
      <c r="J470" s="294">
        <v>0</v>
      </c>
      <c r="K470" s="294">
        <v>8</v>
      </c>
      <c r="L470" s="294">
        <v>5</v>
      </c>
      <c r="M470" s="294">
        <v>3</v>
      </c>
      <c r="N470" s="294">
        <v>0</v>
      </c>
      <c r="O470" s="294">
        <v>0</v>
      </c>
      <c r="P470" s="294">
        <v>0</v>
      </c>
    </row>
    <row r="471" spans="1:16" ht="12.75" customHeight="1">
      <c r="B471" s="290" t="s">
        <v>266</v>
      </c>
      <c r="C471" s="294">
        <v>477</v>
      </c>
      <c r="D471" s="294">
        <v>240</v>
      </c>
      <c r="E471" s="294">
        <v>237</v>
      </c>
      <c r="F471" s="294">
        <v>0</v>
      </c>
      <c r="G471" s="294">
        <v>432</v>
      </c>
      <c r="H471" s="294">
        <v>214</v>
      </c>
      <c r="I471" s="294">
        <v>218</v>
      </c>
      <c r="J471" s="294">
        <v>0</v>
      </c>
      <c r="K471" s="294">
        <v>45</v>
      </c>
      <c r="L471" s="294">
        <v>26</v>
      </c>
      <c r="M471" s="294">
        <v>19</v>
      </c>
      <c r="N471" s="294">
        <v>0</v>
      </c>
      <c r="O471" s="294">
        <v>0</v>
      </c>
      <c r="P471" s="294">
        <v>0</v>
      </c>
    </row>
    <row r="472" spans="1:16" ht="12.75" customHeight="1">
      <c r="B472" s="290" t="s">
        <v>504</v>
      </c>
      <c r="C472" s="294">
        <v>34</v>
      </c>
      <c r="D472" s="294">
        <v>15</v>
      </c>
      <c r="E472" s="294">
        <v>19</v>
      </c>
      <c r="F472" s="294">
        <v>0</v>
      </c>
      <c r="G472" s="294">
        <v>30</v>
      </c>
      <c r="H472" s="294">
        <v>13</v>
      </c>
      <c r="I472" s="294">
        <v>17</v>
      </c>
      <c r="J472" s="294">
        <v>0</v>
      </c>
      <c r="K472" s="294">
        <v>4</v>
      </c>
      <c r="L472" s="294">
        <v>2</v>
      </c>
      <c r="M472" s="294">
        <v>2</v>
      </c>
      <c r="N472" s="294">
        <v>0</v>
      </c>
      <c r="O472" s="294">
        <v>0</v>
      </c>
      <c r="P472" s="294">
        <v>0</v>
      </c>
    </row>
    <row r="473" spans="1:16" s="292" customFormat="1" ht="5.0999999999999996" customHeight="1">
      <c r="A473" s="290"/>
      <c r="B473" s="290"/>
      <c r="C473" s="294"/>
      <c r="D473" s="294"/>
      <c r="E473" s="294"/>
      <c r="F473" s="294"/>
      <c r="G473" s="294"/>
      <c r="H473" s="294"/>
      <c r="I473" s="294"/>
      <c r="J473" s="294"/>
      <c r="K473" s="294"/>
      <c r="L473" s="294"/>
      <c r="M473" s="294"/>
      <c r="N473" s="294"/>
      <c r="O473" s="294"/>
      <c r="P473" s="294"/>
    </row>
    <row r="474" spans="1:16" s="292" customFormat="1">
      <c r="A474" s="292" t="s">
        <v>99</v>
      </c>
      <c r="C474" s="293">
        <v>705</v>
      </c>
      <c r="D474" s="293">
        <v>423</v>
      </c>
      <c r="E474" s="293">
        <v>282</v>
      </c>
      <c r="F474" s="293">
        <v>0</v>
      </c>
      <c r="G474" s="293">
        <v>448</v>
      </c>
      <c r="H474" s="293">
        <v>271</v>
      </c>
      <c r="I474" s="293">
        <v>177</v>
      </c>
      <c r="J474" s="293">
        <v>0</v>
      </c>
      <c r="K474" s="293">
        <v>253</v>
      </c>
      <c r="L474" s="293">
        <v>148</v>
      </c>
      <c r="M474" s="293">
        <v>105</v>
      </c>
      <c r="N474" s="293">
        <v>4</v>
      </c>
      <c r="O474" s="293">
        <v>4</v>
      </c>
      <c r="P474" s="293">
        <v>0</v>
      </c>
    </row>
    <row r="475" spans="1:16" s="292" customFormat="1" ht="5.0999999999999996" customHeight="1">
      <c r="A475" s="290"/>
      <c r="B475" s="290"/>
      <c r="C475" s="294"/>
      <c r="D475" s="294"/>
      <c r="E475" s="294"/>
      <c r="F475" s="294"/>
      <c r="G475" s="294"/>
      <c r="H475" s="294"/>
      <c r="I475" s="294"/>
      <c r="J475" s="294"/>
      <c r="K475" s="294"/>
      <c r="L475" s="294"/>
      <c r="M475" s="294"/>
      <c r="N475" s="294"/>
      <c r="O475" s="294"/>
      <c r="P475" s="294"/>
    </row>
    <row r="476" spans="1:16" ht="12.75" customHeight="1">
      <c r="B476" s="290" t="s">
        <v>503</v>
      </c>
      <c r="C476" s="294">
        <v>5</v>
      </c>
      <c r="D476" s="294">
        <v>5</v>
      </c>
      <c r="E476" s="294">
        <v>0</v>
      </c>
      <c r="F476" s="294">
        <v>0</v>
      </c>
      <c r="G476" s="294">
        <v>3</v>
      </c>
      <c r="H476" s="294">
        <v>3</v>
      </c>
      <c r="I476" s="294">
        <v>0</v>
      </c>
      <c r="J476" s="294">
        <v>0</v>
      </c>
      <c r="K476" s="294">
        <v>2</v>
      </c>
      <c r="L476" s="294">
        <v>2</v>
      </c>
      <c r="M476" s="294">
        <v>0</v>
      </c>
      <c r="N476" s="294">
        <v>0</v>
      </c>
      <c r="O476" s="294">
        <v>0</v>
      </c>
      <c r="P476" s="294">
        <v>0</v>
      </c>
    </row>
    <row r="477" spans="1:16" ht="12.75" customHeight="1">
      <c r="B477" s="290" t="s">
        <v>259</v>
      </c>
      <c r="C477" s="294">
        <v>3</v>
      </c>
      <c r="D477" s="294">
        <v>3</v>
      </c>
      <c r="E477" s="294">
        <v>0</v>
      </c>
      <c r="F477" s="294">
        <v>0</v>
      </c>
      <c r="G477" s="294">
        <v>3</v>
      </c>
      <c r="H477" s="294">
        <v>3</v>
      </c>
      <c r="I477" s="294">
        <v>0</v>
      </c>
      <c r="J477" s="294">
        <v>0</v>
      </c>
      <c r="K477" s="294">
        <v>0</v>
      </c>
      <c r="L477" s="294">
        <v>0</v>
      </c>
      <c r="M477" s="294">
        <v>0</v>
      </c>
      <c r="N477" s="294">
        <v>0</v>
      </c>
      <c r="O477" s="294">
        <v>0</v>
      </c>
      <c r="P477" s="294">
        <v>0</v>
      </c>
    </row>
    <row r="478" spans="1:16" ht="12.75" customHeight="1">
      <c r="B478" s="290" t="s">
        <v>260</v>
      </c>
      <c r="C478" s="294">
        <v>1</v>
      </c>
      <c r="D478" s="294">
        <v>0</v>
      </c>
      <c r="E478" s="294">
        <v>1</v>
      </c>
      <c r="F478" s="294">
        <v>0</v>
      </c>
      <c r="G478" s="294">
        <v>1</v>
      </c>
      <c r="H478" s="294">
        <v>0</v>
      </c>
      <c r="I478" s="294">
        <v>1</v>
      </c>
      <c r="J478" s="294">
        <v>0</v>
      </c>
      <c r="K478" s="294">
        <v>0</v>
      </c>
      <c r="L478" s="294">
        <v>0</v>
      </c>
      <c r="M478" s="294">
        <v>0</v>
      </c>
      <c r="N478" s="294">
        <v>0</v>
      </c>
      <c r="O478" s="294">
        <v>0</v>
      </c>
      <c r="P478" s="294">
        <v>0</v>
      </c>
    </row>
    <row r="479" spans="1:16" ht="12.75" customHeight="1">
      <c r="B479" s="290" t="s">
        <v>261</v>
      </c>
      <c r="C479" s="294">
        <v>2</v>
      </c>
      <c r="D479" s="294">
        <v>0</v>
      </c>
      <c r="E479" s="294">
        <v>2</v>
      </c>
      <c r="F479" s="294">
        <v>0</v>
      </c>
      <c r="G479" s="294">
        <v>1</v>
      </c>
      <c r="H479" s="294">
        <v>0</v>
      </c>
      <c r="I479" s="294">
        <v>1</v>
      </c>
      <c r="J479" s="294">
        <v>0</v>
      </c>
      <c r="K479" s="294">
        <v>1</v>
      </c>
      <c r="L479" s="294">
        <v>0</v>
      </c>
      <c r="M479" s="294">
        <v>1</v>
      </c>
      <c r="N479" s="294">
        <v>0</v>
      </c>
      <c r="O479" s="294">
        <v>0</v>
      </c>
      <c r="P479" s="294">
        <v>0</v>
      </c>
    </row>
    <row r="480" spans="1:16" ht="12.75" customHeight="1">
      <c r="B480" s="290" t="s">
        <v>63</v>
      </c>
      <c r="C480" s="294">
        <v>14</v>
      </c>
      <c r="D480" s="294">
        <v>10</v>
      </c>
      <c r="E480" s="294">
        <v>4</v>
      </c>
      <c r="F480" s="294">
        <v>0</v>
      </c>
      <c r="G480" s="294">
        <v>14</v>
      </c>
      <c r="H480" s="294">
        <v>10</v>
      </c>
      <c r="I480" s="294">
        <v>4</v>
      </c>
      <c r="J480" s="294">
        <v>0</v>
      </c>
      <c r="K480" s="294">
        <v>0</v>
      </c>
      <c r="L480" s="294">
        <v>0</v>
      </c>
      <c r="M480" s="294">
        <v>0</v>
      </c>
      <c r="N480" s="294">
        <v>0</v>
      </c>
      <c r="O480" s="294">
        <v>0</v>
      </c>
      <c r="P480" s="294">
        <v>0</v>
      </c>
    </row>
    <row r="481" spans="1:16" ht="12.75" customHeight="1">
      <c r="B481" s="290" t="s">
        <v>64</v>
      </c>
      <c r="C481" s="294">
        <v>16</v>
      </c>
      <c r="D481" s="294">
        <v>15</v>
      </c>
      <c r="E481" s="294">
        <v>1</v>
      </c>
      <c r="F481" s="294">
        <v>0</v>
      </c>
      <c r="G481" s="294">
        <v>15</v>
      </c>
      <c r="H481" s="294">
        <v>14</v>
      </c>
      <c r="I481" s="294">
        <v>1</v>
      </c>
      <c r="J481" s="294">
        <v>0</v>
      </c>
      <c r="K481" s="294">
        <v>1</v>
      </c>
      <c r="L481" s="294">
        <v>1</v>
      </c>
      <c r="M481" s="294">
        <v>0</v>
      </c>
      <c r="N481" s="294">
        <v>0</v>
      </c>
      <c r="O481" s="294">
        <v>0</v>
      </c>
      <c r="P481" s="294">
        <v>0</v>
      </c>
    </row>
    <row r="482" spans="1:16" ht="12.75" customHeight="1">
      <c r="B482" s="290" t="s">
        <v>65</v>
      </c>
      <c r="C482" s="294">
        <v>15</v>
      </c>
      <c r="D482" s="294">
        <v>14</v>
      </c>
      <c r="E482" s="294">
        <v>1</v>
      </c>
      <c r="F482" s="294">
        <v>0</v>
      </c>
      <c r="G482" s="294">
        <v>11</v>
      </c>
      <c r="H482" s="294">
        <v>10</v>
      </c>
      <c r="I482" s="294">
        <v>1</v>
      </c>
      <c r="J482" s="294">
        <v>0</v>
      </c>
      <c r="K482" s="294">
        <v>4</v>
      </c>
      <c r="L482" s="294">
        <v>4</v>
      </c>
      <c r="M482" s="294">
        <v>0</v>
      </c>
      <c r="N482" s="294">
        <v>0</v>
      </c>
      <c r="O482" s="294">
        <v>0</v>
      </c>
      <c r="P482" s="294">
        <v>0</v>
      </c>
    </row>
    <row r="483" spans="1:16" ht="12.75" customHeight="1">
      <c r="B483" s="290" t="s">
        <v>66</v>
      </c>
      <c r="C483" s="294">
        <v>26</v>
      </c>
      <c r="D483" s="294">
        <v>20</v>
      </c>
      <c r="E483" s="294">
        <v>6</v>
      </c>
      <c r="F483" s="294">
        <v>0</v>
      </c>
      <c r="G483" s="294">
        <v>18</v>
      </c>
      <c r="H483" s="294">
        <v>16</v>
      </c>
      <c r="I483" s="294">
        <v>2</v>
      </c>
      <c r="J483" s="294">
        <v>0</v>
      </c>
      <c r="K483" s="294">
        <v>8</v>
      </c>
      <c r="L483" s="294">
        <v>4</v>
      </c>
      <c r="M483" s="294">
        <v>4</v>
      </c>
      <c r="N483" s="294">
        <v>0</v>
      </c>
      <c r="O483" s="294">
        <v>0</v>
      </c>
      <c r="P483" s="294">
        <v>0</v>
      </c>
    </row>
    <row r="484" spans="1:16" ht="12.75" customHeight="1">
      <c r="B484" s="290" t="s">
        <v>67</v>
      </c>
      <c r="C484" s="294">
        <v>30</v>
      </c>
      <c r="D484" s="294">
        <v>28</v>
      </c>
      <c r="E484" s="294">
        <v>2</v>
      </c>
      <c r="F484" s="294">
        <v>0</v>
      </c>
      <c r="G484" s="294">
        <v>19</v>
      </c>
      <c r="H484" s="294">
        <v>17</v>
      </c>
      <c r="I484" s="294">
        <v>2</v>
      </c>
      <c r="J484" s="294">
        <v>0</v>
      </c>
      <c r="K484" s="294">
        <v>11</v>
      </c>
      <c r="L484" s="294">
        <v>11</v>
      </c>
      <c r="M484" s="294">
        <v>0</v>
      </c>
      <c r="N484" s="294">
        <v>0</v>
      </c>
      <c r="O484" s="294">
        <v>0</v>
      </c>
      <c r="P484" s="294">
        <v>0</v>
      </c>
    </row>
    <row r="485" spans="1:16" ht="12.75" customHeight="1">
      <c r="B485" s="290" t="s">
        <v>68</v>
      </c>
      <c r="C485" s="294">
        <v>18</v>
      </c>
      <c r="D485" s="294">
        <v>12</v>
      </c>
      <c r="E485" s="294">
        <v>6</v>
      </c>
      <c r="F485" s="294">
        <v>0</v>
      </c>
      <c r="G485" s="294">
        <v>9</v>
      </c>
      <c r="H485" s="294">
        <v>9</v>
      </c>
      <c r="I485" s="294">
        <v>0</v>
      </c>
      <c r="J485" s="294">
        <v>0</v>
      </c>
      <c r="K485" s="294">
        <v>9</v>
      </c>
      <c r="L485" s="294">
        <v>3</v>
      </c>
      <c r="M485" s="294">
        <v>6</v>
      </c>
      <c r="N485" s="294">
        <v>0</v>
      </c>
      <c r="O485" s="294">
        <v>0</v>
      </c>
      <c r="P485" s="294">
        <v>0</v>
      </c>
    </row>
    <row r="486" spans="1:16" ht="12.75" customHeight="1">
      <c r="B486" s="290" t="s">
        <v>69</v>
      </c>
      <c r="C486" s="294">
        <v>34</v>
      </c>
      <c r="D486" s="294">
        <v>24</v>
      </c>
      <c r="E486" s="294">
        <v>10</v>
      </c>
      <c r="F486" s="294">
        <v>0</v>
      </c>
      <c r="G486" s="294">
        <v>20</v>
      </c>
      <c r="H486" s="294">
        <v>13</v>
      </c>
      <c r="I486" s="294">
        <v>7</v>
      </c>
      <c r="J486" s="294">
        <v>0</v>
      </c>
      <c r="K486" s="294">
        <v>14</v>
      </c>
      <c r="L486" s="294">
        <v>11</v>
      </c>
      <c r="M486" s="294">
        <v>3</v>
      </c>
      <c r="N486" s="294">
        <v>0</v>
      </c>
      <c r="O486" s="294">
        <v>0</v>
      </c>
      <c r="P486" s="294">
        <v>0</v>
      </c>
    </row>
    <row r="487" spans="1:16" ht="12.75" customHeight="1">
      <c r="B487" s="290" t="s">
        <v>262</v>
      </c>
      <c r="C487" s="294">
        <v>43</v>
      </c>
      <c r="D487" s="294">
        <v>24</v>
      </c>
      <c r="E487" s="294">
        <v>19</v>
      </c>
      <c r="F487" s="294">
        <v>0</v>
      </c>
      <c r="G487" s="294">
        <v>30</v>
      </c>
      <c r="H487" s="294">
        <v>17</v>
      </c>
      <c r="I487" s="294">
        <v>13</v>
      </c>
      <c r="J487" s="294">
        <v>0</v>
      </c>
      <c r="K487" s="294">
        <v>11</v>
      </c>
      <c r="L487" s="294">
        <v>5</v>
      </c>
      <c r="M487" s="294">
        <v>6</v>
      </c>
      <c r="N487" s="294">
        <v>2</v>
      </c>
      <c r="O487" s="294">
        <v>2</v>
      </c>
      <c r="P487" s="294">
        <v>0</v>
      </c>
    </row>
    <row r="488" spans="1:16" ht="12.75" customHeight="1">
      <c r="B488" s="290" t="s">
        <v>263</v>
      </c>
      <c r="C488" s="294">
        <v>59</v>
      </c>
      <c r="D488" s="294">
        <v>29</v>
      </c>
      <c r="E488" s="294">
        <v>30</v>
      </c>
      <c r="F488" s="294">
        <v>0</v>
      </c>
      <c r="G488" s="294">
        <v>43</v>
      </c>
      <c r="H488" s="294">
        <v>26</v>
      </c>
      <c r="I488" s="294">
        <v>17</v>
      </c>
      <c r="J488" s="294">
        <v>0</v>
      </c>
      <c r="K488" s="294">
        <v>16</v>
      </c>
      <c r="L488" s="294">
        <v>3</v>
      </c>
      <c r="M488" s="294">
        <v>13</v>
      </c>
      <c r="N488" s="294">
        <v>0</v>
      </c>
      <c r="O488" s="294">
        <v>0</v>
      </c>
      <c r="P488" s="294">
        <v>0</v>
      </c>
    </row>
    <row r="489" spans="1:16" ht="12.75" customHeight="1">
      <c r="B489" s="290" t="s">
        <v>264</v>
      </c>
      <c r="C489" s="294">
        <v>46</v>
      </c>
      <c r="D489" s="294">
        <v>29</v>
      </c>
      <c r="E489" s="294">
        <v>17</v>
      </c>
      <c r="F489" s="294">
        <v>0</v>
      </c>
      <c r="G489" s="294">
        <v>32</v>
      </c>
      <c r="H489" s="294">
        <v>21</v>
      </c>
      <c r="I489" s="294">
        <v>11</v>
      </c>
      <c r="J489" s="294">
        <v>0</v>
      </c>
      <c r="K489" s="294">
        <v>14</v>
      </c>
      <c r="L489" s="294">
        <v>8</v>
      </c>
      <c r="M489" s="294">
        <v>6</v>
      </c>
      <c r="N489" s="294">
        <v>0</v>
      </c>
      <c r="O489" s="294">
        <v>0</v>
      </c>
      <c r="P489" s="294">
        <v>0</v>
      </c>
    </row>
    <row r="490" spans="1:16" ht="12.75" customHeight="1">
      <c r="B490" s="290" t="s">
        <v>265</v>
      </c>
      <c r="C490" s="294">
        <v>46</v>
      </c>
      <c r="D490" s="294">
        <v>22</v>
      </c>
      <c r="E490" s="294">
        <v>24</v>
      </c>
      <c r="F490" s="294">
        <v>0</v>
      </c>
      <c r="G490" s="294">
        <v>34</v>
      </c>
      <c r="H490" s="294">
        <v>15</v>
      </c>
      <c r="I490" s="294">
        <v>19</v>
      </c>
      <c r="J490" s="294">
        <v>0</v>
      </c>
      <c r="K490" s="294">
        <v>12</v>
      </c>
      <c r="L490" s="294">
        <v>7</v>
      </c>
      <c r="M490" s="294">
        <v>5</v>
      </c>
      <c r="N490" s="294">
        <v>0</v>
      </c>
      <c r="O490" s="294">
        <v>0</v>
      </c>
      <c r="P490" s="294">
        <v>0</v>
      </c>
    </row>
    <row r="491" spans="1:16" ht="12.75" customHeight="1">
      <c r="B491" s="290" t="s">
        <v>266</v>
      </c>
      <c r="C491" s="294">
        <v>333</v>
      </c>
      <c r="D491" s="294">
        <v>180</v>
      </c>
      <c r="E491" s="294">
        <v>153</v>
      </c>
      <c r="F491" s="294">
        <v>0</v>
      </c>
      <c r="G491" s="294">
        <v>191</v>
      </c>
      <c r="H491" s="294">
        <v>96</v>
      </c>
      <c r="I491" s="294">
        <v>95</v>
      </c>
      <c r="J491" s="294">
        <v>0</v>
      </c>
      <c r="K491" s="294">
        <v>140</v>
      </c>
      <c r="L491" s="294">
        <v>82</v>
      </c>
      <c r="M491" s="294">
        <v>58</v>
      </c>
      <c r="N491" s="294">
        <v>2</v>
      </c>
      <c r="O491" s="294">
        <v>2</v>
      </c>
      <c r="P491" s="294">
        <v>0</v>
      </c>
    </row>
    <row r="492" spans="1:16" ht="12.75" customHeight="1">
      <c r="B492" s="290" t="s">
        <v>504</v>
      </c>
      <c r="C492" s="294">
        <v>14</v>
      </c>
      <c r="D492" s="294">
        <v>8</v>
      </c>
      <c r="E492" s="294">
        <v>6</v>
      </c>
      <c r="F492" s="294">
        <v>0</v>
      </c>
      <c r="G492" s="294">
        <v>4</v>
      </c>
      <c r="H492" s="294">
        <v>1</v>
      </c>
      <c r="I492" s="294">
        <v>3</v>
      </c>
      <c r="J492" s="294">
        <v>0</v>
      </c>
      <c r="K492" s="294">
        <v>10</v>
      </c>
      <c r="L492" s="294">
        <v>7</v>
      </c>
      <c r="M492" s="294">
        <v>3</v>
      </c>
      <c r="N492" s="294">
        <v>0</v>
      </c>
      <c r="O492" s="294">
        <v>0</v>
      </c>
      <c r="P492" s="294">
        <v>0</v>
      </c>
    </row>
    <row r="493" spans="1:16" s="292" customFormat="1" ht="5.0999999999999996" customHeight="1">
      <c r="A493" s="290"/>
      <c r="B493" s="290"/>
      <c r="C493" s="294"/>
      <c r="D493" s="294"/>
      <c r="E493" s="294"/>
      <c r="F493" s="294"/>
      <c r="G493" s="294"/>
      <c r="H493" s="294"/>
      <c r="I493" s="294"/>
      <c r="J493" s="294"/>
      <c r="K493" s="294"/>
      <c r="L493" s="294"/>
      <c r="M493" s="294"/>
      <c r="N493" s="294"/>
      <c r="O493" s="294"/>
      <c r="P493" s="294"/>
    </row>
    <row r="494" spans="1:16" s="292" customFormat="1">
      <c r="A494" s="292" t="s">
        <v>100</v>
      </c>
      <c r="C494" s="293">
        <v>3687</v>
      </c>
      <c r="D494" s="293">
        <v>2202</v>
      </c>
      <c r="E494" s="293">
        <v>1483</v>
      </c>
      <c r="F494" s="293">
        <v>2</v>
      </c>
      <c r="G494" s="293">
        <v>3283</v>
      </c>
      <c r="H494" s="293">
        <v>1967</v>
      </c>
      <c r="I494" s="293">
        <v>1314</v>
      </c>
      <c r="J494" s="293">
        <v>2</v>
      </c>
      <c r="K494" s="293">
        <v>363</v>
      </c>
      <c r="L494" s="293">
        <v>211</v>
      </c>
      <c r="M494" s="293">
        <v>152</v>
      </c>
      <c r="N494" s="293">
        <v>41</v>
      </c>
      <c r="O494" s="293">
        <v>24</v>
      </c>
      <c r="P494" s="293">
        <v>17</v>
      </c>
    </row>
    <row r="495" spans="1:16" s="292" customFormat="1" ht="5.0999999999999996" customHeight="1">
      <c r="A495" s="290"/>
      <c r="B495" s="290"/>
      <c r="C495" s="294"/>
      <c r="D495" s="294"/>
      <c r="E495" s="294"/>
      <c r="F495" s="294"/>
      <c r="G495" s="294"/>
      <c r="H495" s="294"/>
      <c r="I495" s="294"/>
      <c r="J495" s="294"/>
      <c r="K495" s="294"/>
      <c r="L495" s="294"/>
      <c r="M495" s="294"/>
      <c r="N495" s="294"/>
      <c r="O495" s="294"/>
      <c r="P495" s="294"/>
    </row>
    <row r="496" spans="1:16" ht="12.75" customHeight="1">
      <c r="B496" s="290" t="s">
        <v>503</v>
      </c>
      <c r="C496" s="294">
        <v>85</v>
      </c>
      <c r="D496" s="294">
        <v>46</v>
      </c>
      <c r="E496" s="294">
        <v>38</v>
      </c>
      <c r="F496" s="294">
        <v>1</v>
      </c>
      <c r="G496" s="294">
        <v>84</v>
      </c>
      <c r="H496" s="294">
        <v>46</v>
      </c>
      <c r="I496" s="294">
        <v>37</v>
      </c>
      <c r="J496" s="294">
        <v>1</v>
      </c>
      <c r="K496" s="294">
        <v>1</v>
      </c>
      <c r="L496" s="294">
        <v>0</v>
      </c>
      <c r="M496" s="294">
        <v>1</v>
      </c>
      <c r="N496" s="294">
        <v>0</v>
      </c>
      <c r="O496" s="294">
        <v>0</v>
      </c>
      <c r="P496" s="294">
        <v>0</v>
      </c>
    </row>
    <row r="497" spans="2:16" ht="12.75" customHeight="1">
      <c r="B497" s="290" t="s">
        <v>259</v>
      </c>
      <c r="C497" s="294">
        <v>32</v>
      </c>
      <c r="D497" s="294">
        <v>15</v>
      </c>
      <c r="E497" s="294">
        <v>17</v>
      </c>
      <c r="F497" s="294">
        <v>0</v>
      </c>
      <c r="G497" s="294">
        <v>30</v>
      </c>
      <c r="H497" s="294">
        <v>13</v>
      </c>
      <c r="I497" s="294">
        <v>17</v>
      </c>
      <c r="J497" s="294">
        <v>0</v>
      </c>
      <c r="K497" s="294">
        <v>2</v>
      </c>
      <c r="L497" s="294">
        <v>2</v>
      </c>
      <c r="M497" s="294">
        <v>0</v>
      </c>
      <c r="N497" s="294">
        <v>0</v>
      </c>
      <c r="O497" s="294">
        <v>0</v>
      </c>
      <c r="P497" s="294">
        <v>0</v>
      </c>
    </row>
    <row r="498" spans="2:16" ht="12.75" customHeight="1">
      <c r="B498" s="290" t="s">
        <v>260</v>
      </c>
      <c r="C498" s="294">
        <v>35</v>
      </c>
      <c r="D498" s="294">
        <v>18</v>
      </c>
      <c r="E498" s="294">
        <v>17</v>
      </c>
      <c r="F498" s="294">
        <v>0</v>
      </c>
      <c r="G498" s="294">
        <v>35</v>
      </c>
      <c r="H498" s="294">
        <v>18</v>
      </c>
      <c r="I498" s="294">
        <v>17</v>
      </c>
      <c r="J498" s="294">
        <v>0</v>
      </c>
      <c r="K498" s="294">
        <v>0</v>
      </c>
      <c r="L498" s="294">
        <v>0</v>
      </c>
      <c r="M498" s="294">
        <v>0</v>
      </c>
      <c r="N498" s="294">
        <v>0</v>
      </c>
      <c r="O498" s="294">
        <v>0</v>
      </c>
      <c r="P498" s="294">
        <v>0</v>
      </c>
    </row>
    <row r="499" spans="2:16" ht="12.75" customHeight="1">
      <c r="B499" s="290" t="s">
        <v>261</v>
      </c>
      <c r="C499" s="294">
        <v>31</v>
      </c>
      <c r="D499" s="294">
        <v>17</v>
      </c>
      <c r="E499" s="294">
        <v>14</v>
      </c>
      <c r="F499" s="294">
        <v>0</v>
      </c>
      <c r="G499" s="294">
        <v>29</v>
      </c>
      <c r="H499" s="294">
        <v>16</v>
      </c>
      <c r="I499" s="294">
        <v>13</v>
      </c>
      <c r="J499" s="294">
        <v>0</v>
      </c>
      <c r="K499" s="294">
        <v>2</v>
      </c>
      <c r="L499" s="294">
        <v>1</v>
      </c>
      <c r="M499" s="294">
        <v>1</v>
      </c>
      <c r="N499" s="294">
        <v>0</v>
      </c>
      <c r="O499" s="294">
        <v>0</v>
      </c>
      <c r="P499" s="294">
        <v>0</v>
      </c>
    </row>
    <row r="500" spans="2:16" ht="12.75" customHeight="1">
      <c r="B500" s="290" t="s">
        <v>63</v>
      </c>
      <c r="C500" s="294">
        <v>51</v>
      </c>
      <c r="D500" s="294">
        <v>33</v>
      </c>
      <c r="E500" s="294">
        <v>18</v>
      </c>
      <c r="F500" s="294">
        <v>0</v>
      </c>
      <c r="G500" s="294">
        <v>48</v>
      </c>
      <c r="H500" s="294">
        <v>32</v>
      </c>
      <c r="I500" s="294">
        <v>16</v>
      </c>
      <c r="J500" s="294">
        <v>0</v>
      </c>
      <c r="K500" s="294">
        <v>2</v>
      </c>
      <c r="L500" s="294">
        <v>1</v>
      </c>
      <c r="M500" s="294">
        <v>1</v>
      </c>
      <c r="N500" s="294">
        <v>1</v>
      </c>
      <c r="O500" s="294">
        <v>0</v>
      </c>
      <c r="P500" s="294">
        <v>1</v>
      </c>
    </row>
    <row r="501" spans="2:16" ht="12.75" customHeight="1">
      <c r="B501" s="290" t="s">
        <v>64</v>
      </c>
      <c r="C501" s="294">
        <v>89</v>
      </c>
      <c r="D501" s="294">
        <v>73</v>
      </c>
      <c r="E501" s="294">
        <v>16</v>
      </c>
      <c r="F501" s="294">
        <v>0</v>
      </c>
      <c r="G501" s="294">
        <v>82</v>
      </c>
      <c r="H501" s="294">
        <v>66</v>
      </c>
      <c r="I501" s="294">
        <v>16</v>
      </c>
      <c r="J501" s="294">
        <v>0</v>
      </c>
      <c r="K501" s="294">
        <v>7</v>
      </c>
      <c r="L501" s="294">
        <v>7</v>
      </c>
      <c r="M501" s="294">
        <v>0</v>
      </c>
      <c r="N501" s="294">
        <v>0</v>
      </c>
      <c r="O501" s="294">
        <v>0</v>
      </c>
      <c r="P501" s="294">
        <v>0</v>
      </c>
    </row>
    <row r="502" spans="2:16" ht="12.75" customHeight="1">
      <c r="B502" s="290" t="s">
        <v>65</v>
      </c>
      <c r="C502" s="294">
        <v>78</v>
      </c>
      <c r="D502" s="294">
        <v>64</v>
      </c>
      <c r="E502" s="294">
        <v>14</v>
      </c>
      <c r="F502" s="294">
        <v>0</v>
      </c>
      <c r="G502" s="294">
        <v>71</v>
      </c>
      <c r="H502" s="294">
        <v>58</v>
      </c>
      <c r="I502" s="294">
        <v>13</v>
      </c>
      <c r="J502" s="294">
        <v>0</v>
      </c>
      <c r="K502" s="294">
        <v>7</v>
      </c>
      <c r="L502" s="294">
        <v>6</v>
      </c>
      <c r="M502" s="294">
        <v>1</v>
      </c>
      <c r="N502" s="294">
        <v>0</v>
      </c>
      <c r="O502" s="294">
        <v>0</v>
      </c>
      <c r="P502" s="294">
        <v>0</v>
      </c>
    </row>
    <row r="503" spans="2:16" ht="12.75" customHeight="1">
      <c r="B503" s="290" t="s">
        <v>66</v>
      </c>
      <c r="C503" s="294">
        <v>120</v>
      </c>
      <c r="D503" s="294">
        <v>75</v>
      </c>
      <c r="E503" s="294">
        <v>45</v>
      </c>
      <c r="F503" s="294">
        <v>0</v>
      </c>
      <c r="G503" s="294">
        <v>108</v>
      </c>
      <c r="H503" s="294">
        <v>69</v>
      </c>
      <c r="I503" s="294">
        <v>39</v>
      </c>
      <c r="J503" s="294">
        <v>0</v>
      </c>
      <c r="K503" s="294">
        <v>10</v>
      </c>
      <c r="L503" s="294">
        <v>5</v>
      </c>
      <c r="M503" s="294">
        <v>5</v>
      </c>
      <c r="N503" s="294">
        <v>2</v>
      </c>
      <c r="O503" s="294">
        <v>1</v>
      </c>
      <c r="P503" s="294">
        <v>1</v>
      </c>
    </row>
    <row r="504" spans="2:16" ht="12.75" customHeight="1">
      <c r="B504" s="290" t="s">
        <v>67</v>
      </c>
      <c r="C504" s="294">
        <v>106</v>
      </c>
      <c r="D504" s="294">
        <v>68</v>
      </c>
      <c r="E504" s="294">
        <v>38</v>
      </c>
      <c r="F504" s="294">
        <v>0</v>
      </c>
      <c r="G504" s="294">
        <v>94</v>
      </c>
      <c r="H504" s="294">
        <v>63</v>
      </c>
      <c r="I504" s="294">
        <v>31</v>
      </c>
      <c r="J504" s="294">
        <v>0</v>
      </c>
      <c r="K504" s="294">
        <v>11</v>
      </c>
      <c r="L504" s="294">
        <v>5</v>
      </c>
      <c r="M504" s="294">
        <v>6</v>
      </c>
      <c r="N504" s="294">
        <v>1</v>
      </c>
      <c r="O504" s="294">
        <v>0</v>
      </c>
      <c r="P504" s="294">
        <v>1</v>
      </c>
    </row>
    <row r="505" spans="2:16" ht="12.75" customHeight="1">
      <c r="B505" s="290" t="s">
        <v>68</v>
      </c>
      <c r="C505" s="294">
        <v>147</v>
      </c>
      <c r="D505" s="294">
        <v>93</v>
      </c>
      <c r="E505" s="294">
        <v>54</v>
      </c>
      <c r="F505" s="294">
        <v>0</v>
      </c>
      <c r="G505" s="294">
        <v>132</v>
      </c>
      <c r="H505" s="294">
        <v>84</v>
      </c>
      <c r="I505" s="294">
        <v>48</v>
      </c>
      <c r="J505" s="294">
        <v>0</v>
      </c>
      <c r="K505" s="294">
        <v>15</v>
      </c>
      <c r="L505" s="294">
        <v>9</v>
      </c>
      <c r="M505" s="294">
        <v>6</v>
      </c>
      <c r="N505" s="294">
        <v>0</v>
      </c>
      <c r="O505" s="294">
        <v>0</v>
      </c>
      <c r="P505" s="294">
        <v>0</v>
      </c>
    </row>
    <row r="506" spans="2:16" ht="12.75" customHeight="1">
      <c r="B506" s="290" t="s">
        <v>69</v>
      </c>
      <c r="C506" s="294">
        <v>146</v>
      </c>
      <c r="D506" s="294">
        <v>97</v>
      </c>
      <c r="E506" s="294">
        <v>49</v>
      </c>
      <c r="F506" s="294">
        <v>0</v>
      </c>
      <c r="G506" s="294">
        <v>135</v>
      </c>
      <c r="H506" s="294">
        <v>89</v>
      </c>
      <c r="I506" s="294">
        <v>46</v>
      </c>
      <c r="J506" s="294">
        <v>0</v>
      </c>
      <c r="K506" s="294">
        <v>10</v>
      </c>
      <c r="L506" s="294">
        <v>7</v>
      </c>
      <c r="M506" s="294">
        <v>3</v>
      </c>
      <c r="N506" s="294">
        <v>1</v>
      </c>
      <c r="O506" s="294">
        <v>1</v>
      </c>
      <c r="P506" s="294">
        <v>0</v>
      </c>
    </row>
    <row r="507" spans="2:16" ht="12.75" customHeight="1">
      <c r="B507" s="290" t="s">
        <v>262</v>
      </c>
      <c r="C507" s="294">
        <v>223</v>
      </c>
      <c r="D507" s="294">
        <v>145</v>
      </c>
      <c r="E507" s="294">
        <v>78</v>
      </c>
      <c r="F507" s="294">
        <v>0</v>
      </c>
      <c r="G507" s="294">
        <v>211</v>
      </c>
      <c r="H507" s="294">
        <v>140</v>
      </c>
      <c r="I507" s="294">
        <v>71</v>
      </c>
      <c r="J507" s="294">
        <v>0</v>
      </c>
      <c r="K507" s="294">
        <v>9</v>
      </c>
      <c r="L507" s="294">
        <v>3</v>
      </c>
      <c r="M507" s="294">
        <v>6</v>
      </c>
      <c r="N507" s="294">
        <v>3</v>
      </c>
      <c r="O507" s="294">
        <v>2</v>
      </c>
      <c r="P507" s="294">
        <v>1</v>
      </c>
    </row>
    <row r="508" spans="2:16" ht="12.75" customHeight="1">
      <c r="B508" s="290" t="s">
        <v>263</v>
      </c>
      <c r="C508" s="294">
        <v>246</v>
      </c>
      <c r="D508" s="294">
        <v>159</v>
      </c>
      <c r="E508" s="294">
        <v>87</v>
      </c>
      <c r="F508" s="294">
        <v>0</v>
      </c>
      <c r="G508" s="294">
        <v>228</v>
      </c>
      <c r="H508" s="294">
        <v>144</v>
      </c>
      <c r="I508" s="294">
        <v>84</v>
      </c>
      <c r="J508" s="294">
        <v>0</v>
      </c>
      <c r="K508" s="294">
        <v>13</v>
      </c>
      <c r="L508" s="294">
        <v>11</v>
      </c>
      <c r="M508" s="294">
        <v>2</v>
      </c>
      <c r="N508" s="294">
        <v>5</v>
      </c>
      <c r="O508" s="294">
        <v>4</v>
      </c>
      <c r="P508" s="294">
        <v>1</v>
      </c>
    </row>
    <row r="509" spans="2:16" ht="12.75" customHeight="1">
      <c r="B509" s="290" t="s">
        <v>264</v>
      </c>
      <c r="C509" s="294">
        <v>313</v>
      </c>
      <c r="D509" s="294">
        <v>215</v>
      </c>
      <c r="E509" s="294">
        <v>98</v>
      </c>
      <c r="F509" s="294">
        <v>0</v>
      </c>
      <c r="G509" s="294">
        <v>285</v>
      </c>
      <c r="H509" s="294">
        <v>197</v>
      </c>
      <c r="I509" s="294">
        <v>88</v>
      </c>
      <c r="J509" s="294">
        <v>0</v>
      </c>
      <c r="K509" s="294">
        <v>26</v>
      </c>
      <c r="L509" s="294">
        <v>17</v>
      </c>
      <c r="M509" s="294">
        <v>9</v>
      </c>
      <c r="N509" s="294">
        <v>2</v>
      </c>
      <c r="O509" s="294">
        <v>1</v>
      </c>
      <c r="P509" s="294">
        <v>1</v>
      </c>
    </row>
    <row r="510" spans="2:16" ht="12.75" customHeight="1">
      <c r="B510" s="290" t="s">
        <v>265</v>
      </c>
      <c r="C510" s="294">
        <v>278</v>
      </c>
      <c r="D510" s="294">
        <v>181</v>
      </c>
      <c r="E510" s="294">
        <v>97</v>
      </c>
      <c r="F510" s="294">
        <v>0</v>
      </c>
      <c r="G510" s="294">
        <v>245</v>
      </c>
      <c r="H510" s="294">
        <v>162</v>
      </c>
      <c r="I510" s="294">
        <v>83</v>
      </c>
      <c r="J510" s="294">
        <v>0</v>
      </c>
      <c r="K510" s="294">
        <v>32</v>
      </c>
      <c r="L510" s="294">
        <v>19</v>
      </c>
      <c r="M510" s="294">
        <v>13</v>
      </c>
      <c r="N510" s="294">
        <v>1</v>
      </c>
      <c r="O510" s="294">
        <v>0</v>
      </c>
      <c r="P510" s="294">
        <v>1</v>
      </c>
    </row>
    <row r="511" spans="2:16" ht="12.75" customHeight="1">
      <c r="B511" s="290" t="s">
        <v>266</v>
      </c>
      <c r="C511" s="294">
        <v>1673</v>
      </c>
      <c r="D511" s="294">
        <v>892</v>
      </c>
      <c r="E511" s="294">
        <v>781</v>
      </c>
      <c r="F511" s="294">
        <v>0</v>
      </c>
      <c r="G511" s="294">
        <v>1442</v>
      </c>
      <c r="H511" s="294">
        <v>762</v>
      </c>
      <c r="I511" s="294">
        <v>680</v>
      </c>
      <c r="J511" s="294">
        <v>0</v>
      </c>
      <c r="K511" s="294">
        <v>206</v>
      </c>
      <c r="L511" s="294">
        <v>115</v>
      </c>
      <c r="M511" s="294">
        <v>91</v>
      </c>
      <c r="N511" s="294">
        <v>25</v>
      </c>
      <c r="O511" s="294">
        <v>15</v>
      </c>
      <c r="P511" s="294">
        <v>10</v>
      </c>
    </row>
    <row r="512" spans="2:16" ht="12.75" customHeight="1">
      <c r="B512" s="290" t="s">
        <v>504</v>
      </c>
      <c r="C512" s="294">
        <v>34</v>
      </c>
      <c r="D512" s="294">
        <v>11</v>
      </c>
      <c r="E512" s="294">
        <v>22</v>
      </c>
      <c r="F512" s="294">
        <v>1</v>
      </c>
      <c r="G512" s="294">
        <v>24</v>
      </c>
      <c r="H512" s="294">
        <v>8</v>
      </c>
      <c r="I512" s="294">
        <v>15</v>
      </c>
      <c r="J512" s="294">
        <v>1</v>
      </c>
      <c r="K512" s="294">
        <v>10</v>
      </c>
      <c r="L512" s="294">
        <v>3</v>
      </c>
      <c r="M512" s="294">
        <v>7</v>
      </c>
      <c r="N512" s="294">
        <v>0</v>
      </c>
      <c r="O512" s="294">
        <v>0</v>
      </c>
      <c r="P512" s="294">
        <v>0</v>
      </c>
    </row>
    <row r="513" spans="1:16" s="292" customFormat="1" ht="5.0999999999999996" customHeight="1">
      <c r="A513" s="290"/>
      <c r="B513" s="290"/>
      <c r="C513" s="294"/>
      <c r="D513" s="294"/>
      <c r="E513" s="294"/>
      <c r="F513" s="294"/>
      <c r="G513" s="294"/>
      <c r="H513" s="294"/>
      <c r="I513" s="294"/>
      <c r="J513" s="294"/>
      <c r="K513" s="294"/>
      <c r="L513" s="294"/>
      <c r="M513" s="294"/>
      <c r="N513" s="294"/>
      <c r="O513" s="294"/>
      <c r="P513" s="294"/>
    </row>
    <row r="514" spans="1:16" s="292" customFormat="1">
      <c r="A514" s="292" t="s">
        <v>101</v>
      </c>
      <c r="C514" s="293">
        <v>251</v>
      </c>
      <c r="D514" s="293">
        <v>152</v>
      </c>
      <c r="E514" s="293">
        <v>96</v>
      </c>
      <c r="F514" s="293">
        <v>3</v>
      </c>
      <c r="G514" s="293">
        <v>163</v>
      </c>
      <c r="H514" s="293">
        <v>102</v>
      </c>
      <c r="I514" s="293">
        <v>58</v>
      </c>
      <c r="J514" s="293">
        <v>3</v>
      </c>
      <c r="K514" s="293">
        <v>82</v>
      </c>
      <c r="L514" s="293">
        <v>46</v>
      </c>
      <c r="M514" s="293">
        <v>36</v>
      </c>
      <c r="N514" s="293">
        <v>6</v>
      </c>
      <c r="O514" s="293">
        <v>4</v>
      </c>
      <c r="P514" s="293">
        <v>2</v>
      </c>
    </row>
    <row r="515" spans="1:16" s="292" customFormat="1" ht="5.0999999999999996" customHeight="1">
      <c r="A515" s="290"/>
      <c r="B515" s="290"/>
      <c r="C515" s="294"/>
      <c r="D515" s="294"/>
      <c r="E515" s="294"/>
      <c r="F515" s="294"/>
      <c r="G515" s="294"/>
      <c r="H515" s="294"/>
      <c r="I515" s="294"/>
      <c r="J515" s="294"/>
      <c r="K515" s="294"/>
      <c r="L515" s="294"/>
      <c r="M515" s="294"/>
      <c r="N515" s="294"/>
      <c r="O515" s="294"/>
      <c r="P515" s="294"/>
    </row>
    <row r="516" spans="1:16" ht="12.75" customHeight="1">
      <c r="B516" s="290" t="s">
        <v>503</v>
      </c>
      <c r="C516" s="294">
        <v>3</v>
      </c>
      <c r="D516" s="294">
        <v>3</v>
      </c>
      <c r="E516" s="294">
        <v>0</v>
      </c>
      <c r="F516" s="294">
        <v>0</v>
      </c>
      <c r="G516" s="294">
        <v>2</v>
      </c>
      <c r="H516" s="294">
        <v>2</v>
      </c>
      <c r="I516" s="294">
        <v>0</v>
      </c>
      <c r="J516" s="294">
        <v>0</v>
      </c>
      <c r="K516" s="294">
        <v>1</v>
      </c>
      <c r="L516" s="294">
        <v>1</v>
      </c>
      <c r="M516" s="294">
        <v>0</v>
      </c>
      <c r="N516" s="294">
        <v>0</v>
      </c>
      <c r="O516" s="294">
        <v>0</v>
      </c>
      <c r="P516" s="294">
        <v>0</v>
      </c>
    </row>
    <row r="517" spans="1:16" ht="12.75" customHeight="1">
      <c r="B517" s="290" t="s">
        <v>261</v>
      </c>
      <c r="C517" s="294">
        <v>2</v>
      </c>
      <c r="D517" s="294">
        <v>2</v>
      </c>
      <c r="E517" s="294">
        <v>0</v>
      </c>
      <c r="F517" s="294">
        <v>0</v>
      </c>
      <c r="G517" s="294">
        <v>0</v>
      </c>
      <c r="H517" s="294">
        <v>0</v>
      </c>
      <c r="I517" s="294">
        <v>0</v>
      </c>
      <c r="J517" s="294">
        <v>0</v>
      </c>
      <c r="K517" s="294">
        <v>2</v>
      </c>
      <c r="L517" s="294">
        <v>2</v>
      </c>
      <c r="M517" s="294">
        <v>0</v>
      </c>
      <c r="N517" s="294">
        <v>0</v>
      </c>
      <c r="O517" s="294">
        <v>0</v>
      </c>
      <c r="P517" s="294">
        <v>0</v>
      </c>
    </row>
    <row r="518" spans="1:16" ht="12.75" customHeight="1">
      <c r="B518" s="290" t="s">
        <v>64</v>
      </c>
      <c r="C518" s="294">
        <v>5</v>
      </c>
      <c r="D518" s="294">
        <v>4</v>
      </c>
      <c r="E518" s="294">
        <v>1</v>
      </c>
      <c r="F518" s="294">
        <v>0</v>
      </c>
      <c r="G518" s="294">
        <v>2</v>
      </c>
      <c r="H518" s="294">
        <v>2</v>
      </c>
      <c r="I518" s="294">
        <v>0</v>
      </c>
      <c r="J518" s="294">
        <v>0</v>
      </c>
      <c r="K518" s="294">
        <v>3</v>
      </c>
      <c r="L518" s="294">
        <v>2</v>
      </c>
      <c r="M518" s="294">
        <v>1</v>
      </c>
      <c r="N518" s="294">
        <v>0</v>
      </c>
      <c r="O518" s="294">
        <v>0</v>
      </c>
      <c r="P518" s="294">
        <v>0</v>
      </c>
    </row>
    <row r="519" spans="1:16" ht="12.75" customHeight="1">
      <c r="B519" s="290" t="s">
        <v>65</v>
      </c>
      <c r="C519" s="294">
        <v>8</v>
      </c>
      <c r="D519" s="294">
        <v>7</v>
      </c>
      <c r="E519" s="294">
        <v>1</v>
      </c>
      <c r="F519" s="294">
        <v>0</v>
      </c>
      <c r="G519" s="294">
        <v>4</v>
      </c>
      <c r="H519" s="294">
        <v>3</v>
      </c>
      <c r="I519" s="294">
        <v>1</v>
      </c>
      <c r="J519" s="294">
        <v>0</v>
      </c>
      <c r="K519" s="294">
        <v>3</v>
      </c>
      <c r="L519" s="294">
        <v>3</v>
      </c>
      <c r="M519" s="294">
        <v>0</v>
      </c>
      <c r="N519" s="294">
        <v>1</v>
      </c>
      <c r="O519" s="294">
        <v>1</v>
      </c>
      <c r="P519" s="294">
        <v>0</v>
      </c>
    </row>
    <row r="520" spans="1:16" ht="12.75" customHeight="1">
      <c r="B520" s="290" t="s">
        <v>66</v>
      </c>
      <c r="C520" s="294">
        <v>10</v>
      </c>
      <c r="D520" s="294">
        <v>8</v>
      </c>
      <c r="E520" s="294">
        <v>2</v>
      </c>
      <c r="F520" s="294">
        <v>0</v>
      </c>
      <c r="G520" s="294">
        <v>5</v>
      </c>
      <c r="H520" s="294">
        <v>4</v>
      </c>
      <c r="I520" s="294">
        <v>1</v>
      </c>
      <c r="J520" s="294">
        <v>0</v>
      </c>
      <c r="K520" s="294">
        <v>4</v>
      </c>
      <c r="L520" s="294">
        <v>3</v>
      </c>
      <c r="M520" s="294">
        <v>1</v>
      </c>
      <c r="N520" s="294">
        <v>1</v>
      </c>
      <c r="O520" s="294">
        <v>1</v>
      </c>
      <c r="P520" s="294">
        <v>0</v>
      </c>
    </row>
    <row r="521" spans="1:16" ht="12.75" customHeight="1">
      <c r="B521" s="290" t="s">
        <v>67</v>
      </c>
      <c r="C521" s="294">
        <v>7</v>
      </c>
      <c r="D521" s="294">
        <v>6</v>
      </c>
      <c r="E521" s="294">
        <v>1</v>
      </c>
      <c r="F521" s="294">
        <v>0</v>
      </c>
      <c r="G521" s="294">
        <v>4</v>
      </c>
      <c r="H521" s="294">
        <v>3</v>
      </c>
      <c r="I521" s="294">
        <v>1</v>
      </c>
      <c r="J521" s="294">
        <v>0</v>
      </c>
      <c r="K521" s="294">
        <v>3</v>
      </c>
      <c r="L521" s="294">
        <v>3</v>
      </c>
      <c r="M521" s="294">
        <v>0</v>
      </c>
      <c r="N521" s="294">
        <v>0</v>
      </c>
      <c r="O521" s="294">
        <v>0</v>
      </c>
      <c r="P521" s="294">
        <v>0</v>
      </c>
    </row>
    <row r="522" spans="1:16" ht="12.75" customHeight="1">
      <c r="B522" s="290" t="s">
        <v>68</v>
      </c>
      <c r="C522" s="294">
        <v>3</v>
      </c>
      <c r="D522" s="294">
        <v>3</v>
      </c>
      <c r="E522" s="294">
        <v>0</v>
      </c>
      <c r="F522" s="294">
        <v>0</v>
      </c>
      <c r="G522" s="294">
        <v>3</v>
      </c>
      <c r="H522" s="294">
        <v>3</v>
      </c>
      <c r="I522" s="294">
        <v>0</v>
      </c>
      <c r="J522" s="294">
        <v>0</v>
      </c>
      <c r="K522" s="294">
        <v>0</v>
      </c>
      <c r="L522" s="294">
        <v>0</v>
      </c>
      <c r="M522" s="294">
        <v>0</v>
      </c>
      <c r="N522" s="294">
        <v>0</v>
      </c>
      <c r="O522" s="294">
        <v>0</v>
      </c>
      <c r="P522" s="294">
        <v>0</v>
      </c>
    </row>
    <row r="523" spans="1:16" ht="12.75" customHeight="1">
      <c r="B523" s="290" t="s">
        <v>69</v>
      </c>
      <c r="C523" s="294">
        <v>7</v>
      </c>
      <c r="D523" s="294">
        <v>2</v>
      </c>
      <c r="E523" s="294">
        <v>5</v>
      </c>
      <c r="F523" s="294">
        <v>0</v>
      </c>
      <c r="G523" s="294">
        <v>3</v>
      </c>
      <c r="H523" s="294">
        <v>0</v>
      </c>
      <c r="I523" s="294">
        <v>3</v>
      </c>
      <c r="J523" s="294">
        <v>0</v>
      </c>
      <c r="K523" s="294">
        <v>4</v>
      </c>
      <c r="L523" s="294">
        <v>2</v>
      </c>
      <c r="M523" s="294">
        <v>2</v>
      </c>
      <c r="N523" s="294">
        <v>0</v>
      </c>
      <c r="O523" s="294">
        <v>0</v>
      </c>
      <c r="P523" s="294">
        <v>0</v>
      </c>
    </row>
    <row r="524" spans="1:16" ht="12.75" customHeight="1">
      <c r="B524" s="290" t="s">
        <v>262</v>
      </c>
      <c r="C524" s="294">
        <v>4</v>
      </c>
      <c r="D524" s="294">
        <v>3</v>
      </c>
      <c r="E524" s="294">
        <v>1</v>
      </c>
      <c r="F524" s="294">
        <v>0</v>
      </c>
      <c r="G524" s="294">
        <v>4</v>
      </c>
      <c r="H524" s="294">
        <v>3</v>
      </c>
      <c r="I524" s="294">
        <v>1</v>
      </c>
      <c r="J524" s="294">
        <v>0</v>
      </c>
      <c r="K524" s="294">
        <v>0</v>
      </c>
      <c r="L524" s="294">
        <v>0</v>
      </c>
      <c r="M524" s="294">
        <v>0</v>
      </c>
      <c r="N524" s="294">
        <v>0</v>
      </c>
      <c r="O524" s="294">
        <v>0</v>
      </c>
      <c r="P524" s="294">
        <v>0</v>
      </c>
    </row>
    <row r="525" spans="1:16" ht="12.75" customHeight="1">
      <c r="B525" s="290" t="s">
        <v>263</v>
      </c>
      <c r="C525" s="294">
        <v>15</v>
      </c>
      <c r="D525" s="294">
        <v>9</v>
      </c>
      <c r="E525" s="294">
        <v>6</v>
      </c>
      <c r="F525" s="294">
        <v>0</v>
      </c>
      <c r="G525" s="294">
        <v>10</v>
      </c>
      <c r="H525" s="294">
        <v>7</v>
      </c>
      <c r="I525" s="294">
        <v>3</v>
      </c>
      <c r="J525" s="294">
        <v>0</v>
      </c>
      <c r="K525" s="294">
        <v>5</v>
      </c>
      <c r="L525" s="294">
        <v>2</v>
      </c>
      <c r="M525" s="294">
        <v>3</v>
      </c>
      <c r="N525" s="294">
        <v>0</v>
      </c>
      <c r="O525" s="294">
        <v>0</v>
      </c>
      <c r="P525" s="294">
        <v>0</v>
      </c>
    </row>
    <row r="526" spans="1:16" ht="12.75" customHeight="1">
      <c r="B526" s="290" t="s">
        <v>264</v>
      </c>
      <c r="C526" s="294">
        <v>16</v>
      </c>
      <c r="D526" s="294">
        <v>12</v>
      </c>
      <c r="E526" s="294">
        <v>4</v>
      </c>
      <c r="F526" s="294">
        <v>0</v>
      </c>
      <c r="G526" s="294">
        <v>10</v>
      </c>
      <c r="H526" s="294">
        <v>6</v>
      </c>
      <c r="I526" s="294">
        <v>4</v>
      </c>
      <c r="J526" s="294">
        <v>0</v>
      </c>
      <c r="K526" s="294">
        <v>5</v>
      </c>
      <c r="L526" s="294">
        <v>5</v>
      </c>
      <c r="M526" s="294">
        <v>0</v>
      </c>
      <c r="N526" s="294">
        <v>1</v>
      </c>
      <c r="O526" s="294">
        <v>1</v>
      </c>
      <c r="P526" s="294">
        <v>0</v>
      </c>
    </row>
    <row r="527" spans="1:16" ht="12.75" customHeight="1">
      <c r="B527" s="290" t="s">
        <v>265</v>
      </c>
      <c r="C527" s="294">
        <v>14</v>
      </c>
      <c r="D527" s="294">
        <v>10</v>
      </c>
      <c r="E527" s="294">
        <v>4</v>
      </c>
      <c r="F527" s="294">
        <v>0</v>
      </c>
      <c r="G527" s="294">
        <v>10</v>
      </c>
      <c r="H527" s="294">
        <v>7</v>
      </c>
      <c r="I527" s="294">
        <v>3</v>
      </c>
      <c r="J527" s="294">
        <v>0</v>
      </c>
      <c r="K527" s="294">
        <v>3</v>
      </c>
      <c r="L527" s="294">
        <v>3</v>
      </c>
      <c r="M527" s="294">
        <v>0</v>
      </c>
      <c r="N527" s="294">
        <v>1</v>
      </c>
      <c r="O527" s="294">
        <v>0</v>
      </c>
      <c r="P527" s="294">
        <v>1</v>
      </c>
    </row>
    <row r="528" spans="1:16" ht="12.75" customHeight="1">
      <c r="B528" s="290" t="s">
        <v>266</v>
      </c>
      <c r="C528" s="294">
        <v>149</v>
      </c>
      <c r="D528" s="294">
        <v>82</v>
      </c>
      <c r="E528" s="294">
        <v>67</v>
      </c>
      <c r="F528" s="294">
        <v>0</v>
      </c>
      <c r="G528" s="294">
        <v>102</v>
      </c>
      <c r="H528" s="294">
        <v>62</v>
      </c>
      <c r="I528" s="294">
        <v>40</v>
      </c>
      <c r="J528" s="294">
        <v>0</v>
      </c>
      <c r="K528" s="294">
        <v>45</v>
      </c>
      <c r="L528" s="294">
        <v>19</v>
      </c>
      <c r="M528" s="294">
        <v>26</v>
      </c>
      <c r="N528" s="294">
        <v>2</v>
      </c>
      <c r="O528" s="294">
        <v>1</v>
      </c>
      <c r="P528" s="294">
        <v>1</v>
      </c>
    </row>
    <row r="529" spans="1:16" ht="12.75" customHeight="1">
      <c r="B529" s="290" t="s">
        <v>504</v>
      </c>
      <c r="C529" s="294">
        <v>8</v>
      </c>
      <c r="D529" s="294">
        <v>1</v>
      </c>
      <c r="E529" s="294">
        <v>4</v>
      </c>
      <c r="F529" s="294">
        <v>3</v>
      </c>
      <c r="G529" s="294">
        <v>4</v>
      </c>
      <c r="H529" s="294">
        <v>0</v>
      </c>
      <c r="I529" s="294">
        <v>1</v>
      </c>
      <c r="J529" s="294">
        <v>3</v>
      </c>
      <c r="K529" s="294">
        <v>4</v>
      </c>
      <c r="L529" s="294">
        <v>1</v>
      </c>
      <c r="M529" s="294">
        <v>3</v>
      </c>
      <c r="N529" s="294">
        <v>0</v>
      </c>
      <c r="O529" s="294">
        <v>0</v>
      </c>
      <c r="P529" s="294">
        <v>0</v>
      </c>
    </row>
    <row r="530" spans="1:16" s="292" customFormat="1" ht="5.0999999999999996" customHeight="1">
      <c r="A530" s="290"/>
      <c r="B530" s="290"/>
      <c r="C530" s="294"/>
      <c r="D530" s="294"/>
      <c r="E530" s="294"/>
      <c r="F530" s="294"/>
      <c r="G530" s="294"/>
      <c r="H530" s="294"/>
      <c r="I530" s="294"/>
      <c r="J530" s="294"/>
      <c r="K530" s="294"/>
      <c r="L530" s="294"/>
      <c r="M530" s="294"/>
      <c r="N530" s="294"/>
      <c r="O530" s="294"/>
      <c r="P530" s="294"/>
    </row>
    <row r="531" spans="1:16" ht="12.75" customHeight="1">
      <c r="A531" s="292" t="s">
        <v>102</v>
      </c>
      <c r="B531" s="292"/>
      <c r="C531" s="294">
        <v>512</v>
      </c>
      <c r="D531" s="294">
        <v>300</v>
      </c>
      <c r="E531" s="294">
        <v>212</v>
      </c>
      <c r="F531" s="294">
        <v>0</v>
      </c>
      <c r="G531" s="294">
        <v>361</v>
      </c>
      <c r="H531" s="294">
        <v>199</v>
      </c>
      <c r="I531" s="294">
        <v>162</v>
      </c>
      <c r="J531" s="294">
        <v>0</v>
      </c>
      <c r="K531" s="294">
        <v>101</v>
      </c>
      <c r="L531" s="294">
        <v>71</v>
      </c>
      <c r="M531" s="294">
        <v>30</v>
      </c>
      <c r="N531" s="294">
        <v>50</v>
      </c>
      <c r="O531" s="294">
        <v>30</v>
      </c>
      <c r="P531" s="294">
        <v>20</v>
      </c>
    </row>
    <row r="532" spans="1:16" s="292" customFormat="1" ht="5.0999999999999996" customHeight="1">
      <c r="A532" s="290"/>
      <c r="B532" s="290"/>
      <c r="C532" s="294"/>
      <c r="D532" s="294"/>
      <c r="E532" s="294"/>
      <c r="F532" s="294"/>
      <c r="G532" s="294"/>
      <c r="H532" s="294"/>
      <c r="I532" s="294"/>
      <c r="J532" s="294"/>
      <c r="K532" s="294"/>
      <c r="L532" s="294"/>
      <c r="M532" s="294"/>
      <c r="N532" s="294"/>
      <c r="O532" s="294"/>
      <c r="P532" s="294"/>
    </row>
    <row r="533" spans="1:16" ht="12.75" customHeight="1">
      <c r="B533" s="290" t="s">
        <v>503</v>
      </c>
      <c r="C533" s="294">
        <v>2</v>
      </c>
      <c r="D533" s="294">
        <v>1</v>
      </c>
      <c r="E533" s="294">
        <v>1</v>
      </c>
      <c r="F533" s="294">
        <v>0</v>
      </c>
      <c r="G533" s="294">
        <v>1</v>
      </c>
      <c r="H533" s="294">
        <v>0</v>
      </c>
      <c r="I533" s="294">
        <v>1</v>
      </c>
      <c r="J533" s="294">
        <v>0</v>
      </c>
      <c r="K533" s="294">
        <v>0</v>
      </c>
      <c r="L533" s="294">
        <v>0</v>
      </c>
      <c r="M533" s="294">
        <v>0</v>
      </c>
      <c r="N533" s="294">
        <v>1</v>
      </c>
      <c r="O533" s="294">
        <v>1</v>
      </c>
      <c r="P533" s="294">
        <v>0</v>
      </c>
    </row>
    <row r="534" spans="1:16" ht="12.75" customHeight="1">
      <c r="B534" s="290" t="s">
        <v>259</v>
      </c>
      <c r="C534" s="294">
        <v>3</v>
      </c>
      <c r="D534" s="294">
        <v>2</v>
      </c>
      <c r="E534" s="294">
        <v>1</v>
      </c>
      <c r="F534" s="294">
        <v>0</v>
      </c>
      <c r="G534" s="294">
        <v>1</v>
      </c>
      <c r="H534" s="294">
        <v>1</v>
      </c>
      <c r="I534" s="294">
        <v>0</v>
      </c>
      <c r="J534" s="294">
        <v>0</v>
      </c>
      <c r="K534" s="294">
        <v>1</v>
      </c>
      <c r="L534" s="294">
        <v>0</v>
      </c>
      <c r="M534" s="294">
        <v>1</v>
      </c>
      <c r="N534" s="294">
        <v>1</v>
      </c>
      <c r="O534" s="294">
        <v>1</v>
      </c>
      <c r="P534" s="294">
        <v>0</v>
      </c>
    </row>
    <row r="535" spans="1:16" ht="12.75" customHeight="1">
      <c r="B535" s="290" t="s">
        <v>260</v>
      </c>
      <c r="C535" s="294">
        <v>2</v>
      </c>
      <c r="D535" s="294">
        <v>2</v>
      </c>
      <c r="E535" s="294">
        <v>0</v>
      </c>
      <c r="F535" s="294">
        <v>0</v>
      </c>
      <c r="G535" s="294">
        <v>1</v>
      </c>
      <c r="H535" s="294">
        <v>1</v>
      </c>
      <c r="I535" s="294">
        <v>0</v>
      </c>
      <c r="J535" s="294">
        <v>0</v>
      </c>
      <c r="K535" s="294">
        <v>1</v>
      </c>
      <c r="L535" s="294">
        <v>1</v>
      </c>
      <c r="M535" s="294">
        <v>0</v>
      </c>
      <c r="N535" s="294">
        <v>0</v>
      </c>
      <c r="O535" s="294">
        <v>0</v>
      </c>
      <c r="P535" s="294">
        <v>0</v>
      </c>
    </row>
    <row r="536" spans="1:16" ht="12.75" customHeight="1">
      <c r="B536" s="290" t="s">
        <v>261</v>
      </c>
      <c r="C536" s="294">
        <v>3</v>
      </c>
      <c r="D536" s="294">
        <v>3</v>
      </c>
      <c r="E536" s="294">
        <v>0</v>
      </c>
      <c r="F536" s="294">
        <v>0</v>
      </c>
      <c r="G536" s="294">
        <v>2</v>
      </c>
      <c r="H536" s="294">
        <v>2</v>
      </c>
      <c r="I536" s="294">
        <v>0</v>
      </c>
      <c r="J536" s="294">
        <v>0</v>
      </c>
      <c r="K536" s="294">
        <v>1</v>
      </c>
      <c r="L536" s="294">
        <v>1</v>
      </c>
      <c r="M536" s="294">
        <v>0</v>
      </c>
      <c r="N536" s="294">
        <v>0</v>
      </c>
      <c r="O536" s="294">
        <v>0</v>
      </c>
      <c r="P536" s="294">
        <v>0</v>
      </c>
    </row>
    <row r="537" spans="1:16" ht="12.75" customHeight="1">
      <c r="B537" s="290" t="s">
        <v>63</v>
      </c>
      <c r="C537" s="294">
        <v>9</v>
      </c>
      <c r="D537" s="294">
        <v>4</v>
      </c>
      <c r="E537" s="294">
        <v>5</v>
      </c>
      <c r="F537" s="294">
        <v>0</v>
      </c>
      <c r="G537" s="294">
        <v>6</v>
      </c>
      <c r="H537" s="294">
        <v>3</v>
      </c>
      <c r="I537" s="294">
        <v>3</v>
      </c>
      <c r="J537" s="294">
        <v>0</v>
      </c>
      <c r="K537" s="294">
        <v>3</v>
      </c>
      <c r="L537" s="294">
        <v>1</v>
      </c>
      <c r="M537" s="294">
        <v>2</v>
      </c>
      <c r="N537" s="294">
        <v>0</v>
      </c>
      <c r="O537" s="294">
        <v>0</v>
      </c>
      <c r="P537" s="294">
        <v>0</v>
      </c>
    </row>
    <row r="538" spans="1:16" ht="12.75" customHeight="1">
      <c r="B538" s="290" t="s">
        <v>64</v>
      </c>
      <c r="C538" s="294">
        <v>6</v>
      </c>
      <c r="D538" s="294">
        <v>4</v>
      </c>
      <c r="E538" s="294">
        <v>2</v>
      </c>
      <c r="F538" s="294">
        <v>0</v>
      </c>
      <c r="G538" s="294">
        <v>3</v>
      </c>
      <c r="H538" s="294">
        <v>2</v>
      </c>
      <c r="I538" s="294">
        <v>1</v>
      </c>
      <c r="J538" s="294">
        <v>0</v>
      </c>
      <c r="K538" s="294">
        <v>2</v>
      </c>
      <c r="L538" s="294">
        <v>2</v>
      </c>
      <c r="M538" s="294">
        <v>0</v>
      </c>
      <c r="N538" s="294">
        <v>1</v>
      </c>
      <c r="O538" s="294">
        <v>0</v>
      </c>
      <c r="P538" s="294">
        <v>1</v>
      </c>
    </row>
    <row r="539" spans="1:16" ht="12.75" customHeight="1">
      <c r="B539" s="290" t="s">
        <v>65</v>
      </c>
      <c r="C539" s="294">
        <v>13</v>
      </c>
      <c r="D539" s="294">
        <v>8</v>
      </c>
      <c r="E539" s="294">
        <v>5</v>
      </c>
      <c r="F539" s="294">
        <v>0</v>
      </c>
      <c r="G539" s="294">
        <v>12</v>
      </c>
      <c r="H539" s="294">
        <v>7</v>
      </c>
      <c r="I539" s="294">
        <v>5</v>
      </c>
      <c r="J539" s="294">
        <v>0</v>
      </c>
      <c r="K539" s="294">
        <v>1</v>
      </c>
      <c r="L539" s="294">
        <v>1</v>
      </c>
      <c r="M539" s="294">
        <v>0</v>
      </c>
      <c r="N539" s="294">
        <v>0</v>
      </c>
      <c r="O539" s="294">
        <v>0</v>
      </c>
      <c r="P539" s="294">
        <v>0</v>
      </c>
    </row>
    <row r="540" spans="1:16" ht="12.75" customHeight="1">
      <c r="B540" s="290" t="s">
        <v>66</v>
      </c>
      <c r="C540" s="294">
        <v>9</v>
      </c>
      <c r="D540" s="294">
        <v>7</v>
      </c>
      <c r="E540" s="294">
        <v>2</v>
      </c>
      <c r="F540" s="294">
        <v>0</v>
      </c>
      <c r="G540" s="294">
        <v>6</v>
      </c>
      <c r="H540" s="294">
        <v>5</v>
      </c>
      <c r="I540" s="294">
        <v>1</v>
      </c>
      <c r="J540" s="294">
        <v>0</v>
      </c>
      <c r="K540" s="294">
        <v>2</v>
      </c>
      <c r="L540" s="294">
        <v>2</v>
      </c>
      <c r="M540" s="294">
        <v>0</v>
      </c>
      <c r="N540" s="294">
        <v>1</v>
      </c>
      <c r="O540" s="294">
        <v>0</v>
      </c>
      <c r="P540" s="294">
        <v>1</v>
      </c>
    </row>
    <row r="541" spans="1:16" ht="12.75" customHeight="1">
      <c r="B541" s="290" t="s">
        <v>67</v>
      </c>
      <c r="C541" s="294">
        <v>15</v>
      </c>
      <c r="D541" s="294">
        <v>9</v>
      </c>
      <c r="E541" s="294">
        <v>6</v>
      </c>
      <c r="F541" s="294">
        <v>0</v>
      </c>
      <c r="G541" s="294">
        <v>8</v>
      </c>
      <c r="H541" s="294">
        <v>5</v>
      </c>
      <c r="I541" s="294">
        <v>3</v>
      </c>
      <c r="J541" s="294">
        <v>0</v>
      </c>
      <c r="K541" s="294">
        <v>3</v>
      </c>
      <c r="L541" s="294">
        <v>2</v>
      </c>
      <c r="M541" s="294">
        <v>1</v>
      </c>
      <c r="N541" s="294">
        <v>4</v>
      </c>
      <c r="O541" s="294">
        <v>2</v>
      </c>
      <c r="P541" s="294">
        <v>2</v>
      </c>
    </row>
    <row r="542" spans="1:16" ht="12.75" customHeight="1">
      <c r="B542" s="290" t="s">
        <v>68</v>
      </c>
      <c r="C542" s="294">
        <v>12</v>
      </c>
      <c r="D542" s="294">
        <v>7</v>
      </c>
      <c r="E542" s="294">
        <v>5</v>
      </c>
      <c r="F542" s="294">
        <v>0</v>
      </c>
      <c r="G542" s="294">
        <v>9</v>
      </c>
      <c r="H542" s="294">
        <v>4</v>
      </c>
      <c r="I542" s="294">
        <v>5</v>
      </c>
      <c r="J542" s="294">
        <v>0</v>
      </c>
      <c r="K542" s="294">
        <v>2</v>
      </c>
      <c r="L542" s="294">
        <v>2</v>
      </c>
      <c r="M542" s="294">
        <v>0</v>
      </c>
      <c r="N542" s="294">
        <v>1</v>
      </c>
      <c r="O542" s="294">
        <v>1</v>
      </c>
      <c r="P542" s="294">
        <v>0</v>
      </c>
    </row>
    <row r="543" spans="1:16" ht="12.75" customHeight="1">
      <c r="B543" s="290" t="s">
        <v>69</v>
      </c>
      <c r="C543" s="294">
        <v>26</v>
      </c>
      <c r="D543" s="294">
        <v>14</v>
      </c>
      <c r="E543" s="294">
        <v>12</v>
      </c>
      <c r="F543" s="294">
        <v>0</v>
      </c>
      <c r="G543" s="294">
        <v>20</v>
      </c>
      <c r="H543" s="294">
        <v>10</v>
      </c>
      <c r="I543" s="294">
        <v>10</v>
      </c>
      <c r="J543" s="294">
        <v>0</v>
      </c>
      <c r="K543" s="294">
        <v>5</v>
      </c>
      <c r="L543" s="294">
        <v>3</v>
      </c>
      <c r="M543" s="294">
        <v>2</v>
      </c>
      <c r="N543" s="294">
        <v>1</v>
      </c>
      <c r="O543" s="294">
        <v>1</v>
      </c>
      <c r="P543" s="294">
        <v>0</v>
      </c>
    </row>
    <row r="544" spans="1:16" ht="12.75" customHeight="1">
      <c r="B544" s="290" t="s">
        <v>262</v>
      </c>
      <c r="C544" s="294">
        <v>29</v>
      </c>
      <c r="D544" s="294">
        <v>19</v>
      </c>
      <c r="E544" s="294">
        <v>10</v>
      </c>
      <c r="F544" s="294">
        <v>0</v>
      </c>
      <c r="G544" s="294">
        <v>16</v>
      </c>
      <c r="H544" s="294">
        <v>8</v>
      </c>
      <c r="I544" s="294">
        <v>8</v>
      </c>
      <c r="J544" s="294">
        <v>0</v>
      </c>
      <c r="K544" s="294">
        <v>9</v>
      </c>
      <c r="L544" s="294">
        <v>8</v>
      </c>
      <c r="M544" s="294">
        <v>1</v>
      </c>
      <c r="N544" s="294">
        <v>4</v>
      </c>
      <c r="O544" s="294">
        <v>3</v>
      </c>
      <c r="P544" s="294">
        <v>1</v>
      </c>
    </row>
    <row r="545" spans="1:16" ht="12.75" customHeight="1">
      <c r="B545" s="290" t="s">
        <v>263</v>
      </c>
      <c r="C545" s="294">
        <v>28</v>
      </c>
      <c r="D545" s="294">
        <v>17</v>
      </c>
      <c r="E545" s="294">
        <v>11</v>
      </c>
      <c r="F545" s="294">
        <v>0</v>
      </c>
      <c r="G545" s="294">
        <v>22</v>
      </c>
      <c r="H545" s="294">
        <v>15</v>
      </c>
      <c r="I545" s="294">
        <v>7</v>
      </c>
      <c r="J545" s="294">
        <v>0</v>
      </c>
      <c r="K545" s="294">
        <v>4</v>
      </c>
      <c r="L545" s="294">
        <v>2</v>
      </c>
      <c r="M545" s="294">
        <v>2</v>
      </c>
      <c r="N545" s="294">
        <v>2</v>
      </c>
      <c r="O545" s="294">
        <v>0</v>
      </c>
      <c r="P545" s="294">
        <v>2</v>
      </c>
    </row>
    <row r="546" spans="1:16" ht="12.75" customHeight="1">
      <c r="B546" s="290" t="s">
        <v>264</v>
      </c>
      <c r="C546" s="294">
        <v>40</v>
      </c>
      <c r="D546" s="294">
        <v>21</v>
      </c>
      <c r="E546" s="294">
        <v>19</v>
      </c>
      <c r="F546" s="294">
        <v>0</v>
      </c>
      <c r="G546" s="294">
        <v>27</v>
      </c>
      <c r="H546" s="294">
        <v>14</v>
      </c>
      <c r="I546" s="294">
        <v>13</v>
      </c>
      <c r="J546" s="294">
        <v>0</v>
      </c>
      <c r="K546" s="294">
        <v>9</v>
      </c>
      <c r="L546" s="294">
        <v>4</v>
      </c>
      <c r="M546" s="294">
        <v>5</v>
      </c>
      <c r="N546" s="294">
        <v>4</v>
      </c>
      <c r="O546" s="294">
        <v>3</v>
      </c>
      <c r="P546" s="294">
        <v>1</v>
      </c>
    </row>
    <row r="547" spans="1:16" ht="12.75" customHeight="1">
      <c r="B547" s="290" t="s">
        <v>265</v>
      </c>
      <c r="C547" s="294">
        <v>40</v>
      </c>
      <c r="D547" s="294">
        <v>23</v>
      </c>
      <c r="E547" s="294">
        <v>17</v>
      </c>
      <c r="F547" s="294">
        <v>0</v>
      </c>
      <c r="G547" s="294">
        <v>24</v>
      </c>
      <c r="H547" s="294">
        <v>15</v>
      </c>
      <c r="I547" s="294">
        <v>9</v>
      </c>
      <c r="J547" s="294">
        <v>0</v>
      </c>
      <c r="K547" s="294">
        <v>10</v>
      </c>
      <c r="L547" s="294">
        <v>6</v>
      </c>
      <c r="M547" s="294">
        <v>4</v>
      </c>
      <c r="N547" s="294">
        <v>6</v>
      </c>
      <c r="O547" s="294">
        <v>2</v>
      </c>
      <c r="P547" s="294">
        <v>4</v>
      </c>
    </row>
    <row r="548" spans="1:16" ht="12.75" customHeight="1">
      <c r="B548" s="290" t="s">
        <v>266</v>
      </c>
      <c r="C548" s="294">
        <v>271</v>
      </c>
      <c r="D548" s="294">
        <v>155</v>
      </c>
      <c r="E548" s="294">
        <v>116</v>
      </c>
      <c r="F548" s="294">
        <v>0</v>
      </c>
      <c r="G548" s="294">
        <v>202</v>
      </c>
      <c r="H548" s="294">
        <v>106</v>
      </c>
      <c r="I548" s="294">
        <v>96</v>
      </c>
      <c r="J548" s="294">
        <v>0</v>
      </c>
      <c r="K548" s="294">
        <v>46</v>
      </c>
      <c r="L548" s="294">
        <v>34</v>
      </c>
      <c r="M548" s="294">
        <v>12</v>
      </c>
      <c r="N548" s="294">
        <v>23</v>
      </c>
      <c r="O548" s="294">
        <v>15</v>
      </c>
      <c r="P548" s="294">
        <v>8</v>
      </c>
    </row>
    <row r="549" spans="1:16" ht="12.75" customHeight="1">
      <c r="B549" s="290" t="s">
        <v>504</v>
      </c>
      <c r="C549" s="294">
        <v>4</v>
      </c>
      <c r="D549" s="294">
        <v>4</v>
      </c>
      <c r="E549" s="294">
        <v>0</v>
      </c>
      <c r="F549" s="294">
        <v>0</v>
      </c>
      <c r="G549" s="294">
        <v>1</v>
      </c>
      <c r="H549" s="294">
        <v>1</v>
      </c>
      <c r="I549" s="294">
        <v>0</v>
      </c>
      <c r="J549" s="294">
        <v>0</v>
      </c>
      <c r="K549" s="294">
        <v>2</v>
      </c>
      <c r="L549" s="294">
        <v>2</v>
      </c>
      <c r="M549" s="294">
        <v>0</v>
      </c>
      <c r="N549" s="294">
        <v>1</v>
      </c>
      <c r="O549" s="294">
        <v>1</v>
      </c>
      <c r="P549" s="294">
        <v>0</v>
      </c>
    </row>
    <row r="550" spans="1:16" s="292" customFormat="1" ht="5.0999999999999996" customHeight="1">
      <c r="A550" s="290"/>
      <c r="B550" s="290"/>
      <c r="C550" s="294"/>
      <c r="D550" s="294"/>
      <c r="E550" s="294"/>
      <c r="F550" s="294"/>
      <c r="G550" s="294"/>
      <c r="H550" s="294"/>
      <c r="I550" s="294"/>
      <c r="J550" s="294"/>
      <c r="K550" s="294"/>
      <c r="L550" s="294"/>
      <c r="M550" s="294"/>
      <c r="N550" s="294"/>
      <c r="O550" s="294"/>
      <c r="P550" s="294"/>
    </row>
    <row r="551" spans="1:16" s="292" customFormat="1">
      <c r="A551" s="292" t="s">
        <v>103</v>
      </c>
      <c r="C551" s="293">
        <v>729</v>
      </c>
      <c r="D551" s="293">
        <v>448</v>
      </c>
      <c r="E551" s="293">
        <v>281</v>
      </c>
      <c r="F551" s="293">
        <v>0</v>
      </c>
      <c r="G551" s="293">
        <v>455</v>
      </c>
      <c r="H551" s="293">
        <v>285</v>
      </c>
      <c r="I551" s="293">
        <v>170</v>
      </c>
      <c r="J551" s="293">
        <v>0</v>
      </c>
      <c r="K551" s="293">
        <v>274</v>
      </c>
      <c r="L551" s="293">
        <v>163</v>
      </c>
      <c r="M551" s="293">
        <v>111</v>
      </c>
      <c r="N551" s="293">
        <v>0</v>
      </c>
      <c r="O551" s="293">
        <v>0</v>
      </c>
      <c r="P551" s="293">
        <v>0</v>
      </c>
    </row>
    <row r="552" spans="1:16" s="292" customFormat="1" ht="5.0999999999999996" customHeight="1">
      <c r="A552" s="290"/>
      <c r="B552" s="290"/>
      <c r="C552" s="294"/>
      <c r="D552" s="294"/>
      <c r="E552" s="294"/>
      <c r="F552" s="294"/>
      <c r="G552" s="294"/>
      <c r="H552" s="294"/>
      <c r="I552" s="294"/>
      <c r="J552" s="294"/>
      <c r="K552" s="294"/>
      <c r="L552" s="294"/>
      <c r="M552" s="294"/>
      <c r="N552" s="294"/>
      <c r="O552" s="294"/>
      <c r="P552" s="294"/>
    </row>
    <row r="553" spans="1:16" ht="12.75" customHeight="1">
      <c r="B553" s="290" t="s">
        <v>503</v>
      </c>
      <c r="C553" s="294">
        <v>9</v>
      </c>
      <c r="D553" s="294">
        <v>6</v>
      </c>
      <c r="E553" s="294">
        <v>3</v>
      </c>
      <c r="F553" s="294">
        <v>0</v>
      </c>
      <c r="G553" s="294">
        <v>7</v>
      </c>
      <c r="H553" s="294">
        <v>4</v>
      </c>
      <c r="I553" s="294">
        <v>3</v>
      </c>
      <c r="J553" s="294">
        <v>0</v>
      </c>
      <c r="K553" s="294">
        <v>2</v>
      </c>
      <c r="L553" s="294">
        <v>2</v>
      </c>
      <c r="M553" s="294">
        <v>0</v>
      </c>
      <c r="N553" s="294">
        <v>0</v>
      </c>
      <c r="O553" s="294">
        <v>0</v>
      </c>
      <c r="P553" s="294">
        <v>0</v>
      </c>
    </row>
    <row r="554" spans="1:16" ht="12.75" customHeight="1">
      <c r="B554" s="290" t="s">
        <v>259</v>
      </c>
      <c r="C554" s="294">
        <v>2</v>
      </c>
      <c r="D554" s="294">
        <v>1</v>
      </c>
      <c r="E554" s="294">
        <v>1</v>
      </c>
      <c r="F554" s="294">
        <v>0</v>
      </c>
      <c r="G554" s="294">
        <v>1</v>
      </c>
      <c r="H554" s="294">
        <v>0</v>
      </c>
      <c r="I554" s="294">
        <v>1</v>
      </c>
      <c r="J554" s="294">
        <v>0</v>
      </c>
      <c r="K554" s="294">
        <v>1</v>
      </c>
      <c r="L554" s="294">
        <v>1</v>
      </c>
      <c r="M554" s="294">
        <v>0</v>
      </c>
      <c r="N554" s="294">
        <v>0</v>
      </c>
      <c r="O554" s="294">
        <v>0</v>
      </c>
      <c r="P554" s="294">
        <v>0</v>
      </c>
    </row>
    <row r="555" spans="1:16" ht="12.75" customHeight="1">
      <c r="B555" s="290" t="s">
        <v>260</v>
      </c>
      <c r="C555" s="294">
        <v>7</v>
      </c>
      <c r="D555" s="294">
        <v>4</v>
      </c>
      <c r="E555" s="294">
        <v>3</v>
      </c>
      <c r="F555" s="294">
        <v>0</v>
      </c>
      <c r="G555" s="294">
        <v>6</v>
      </c>
      <c r="H555" s="294">
        <v>3</v>
      </c>
      <c r="I555" s="294">
        <v>3</v>
      </c>
      <c r="J555" s="294">
        <v>0</v>
      </c>
      <c r="K555" s="294">
        <v>1</v>
      </c>
      <c r="L555" s="294">
        <v>1</v>
      </c>
      <c r="M555" s="294">
        <v>0</v>
      </c>
      <c r="N555" s="294">
        <v>0</v>
      </c>
      <c r="O555" s="294">
        <v>0</v>
      </c>
      <c r="P555" s="294">
        <v>0</v>
      </c>
    </row>
    <row r="556" spans="1:16" ht="12.75" customHeight="1">
      <c r="B556" s="290" t="s">
        <v>261</v>
      </c>
      <c r="C556" s="294">
        <v>6</v>
      </c>
      <c r="D556" s="294">
        <v>3</v>
      </c>
      <c r="E556" s="294">
        <v>3</v>
      </c>
      <c r="F556" s="294">
        <v>0</v>
      </c>
      <c r="G556" s="294">
        <v>4</v>
      </c>
      <c r="H556" s="294">
        <v>2</v>
      </c>
      <c r="I556" s="294">
        <v>2</v>
      </c>
      <c r="J556" s="294">
        <v>0</v>
      </c>
      <c r="K556" s="294">
        <v>2</v>
      </c>
      <c r="L556" s="294">
        <v>1</v>
      </c>
      <c r="M556" s="294">
        <v>1</v>
      </c>
      <c r="N556" s="294">
        <v>0</v>
      </c>
      <c r="O556" s="294">
        <v>0</v>
      </c>
      <c r="P556" s="294">
        <v>0</v>
      </c>
    </row>
    <row r="557" spans="1:16" ht="12.75" customHeight="1">
      <c r="B557" s="290" t="s">
        <v>63</v>
      </c>
      <c r="C557" s="294">
        <v>12</v>
      </c>
      <c r="D557" s="294">
        <v>10</v>
      </c>
      <c r="E557" s="294">
        <v>2</v>
      </c>
      <c r="F557" s="294">
        <v>0</v>
      </c>
      <c r="G557" s="294">
        <v>5</v>
      </c>
      <c r="H557" s="294">
        <v>4</v>
      </c>
      <c r="I557" s="294">
        <v>1</v>
      </c>
      <c r="J557" s="294">
        <v>0</v>
      </c>
      <c r="K557" s="294">
        <v>7</v>
      </c>
      <c r="L557" s="294">
        <v>6</v>
      </c>
      <c r="M557" s="294">
        <v>1</v>
      </c>
      <c r="N557" s="294">
        <v>0</v>
      </c>
      <c r="O557" s="294">
        <v>0</v>
      </c>
      <c r="P557" s="294">
        <v>0</v>
      </c>
    </row>
    <row r="558" spans="1:16" ht="12.75" customHeight="1">
      <c r="B558" s="290" t="s">
        <v>64</v>
      </c>
      <c r="C558" s="294">
        <v>17</v>
      </c>
      <c r="D558" s="294">
        <v>14</v>
      </c>
      <c r="E558" s="294">
        <v>3</v>
      </c>
      <c r="F558" s="294">
        <v>0</v>
      </c>
      <c r="G558" s="294">
        <v>10</v>
      </c>
      <c r="H558" s="294">
        <v>7</v>
      </c>
      <c r="I558" s="294">
        <v>3</v>
      </c>
      <c r="J558" s="294">
        <v>0</v>
      </c>
      <c r="K558" s="294">
        <v>7</v>
      </c>
      <c r="L558" s="294">
        <v>7</v>
      </c>
      <c r="M558" s="294">
        <v>0</v>
      </c>
      <c r="N558" s="294">
        <v>0</v>
      </c>
      <c r="O558" s="294">
        <v>0</v>
      </c>
      <c r="P558" s="294">
        <v>0</v>
      </c>
    </row>
    <row r="559" spans="1:16" ht="12.75" customHeight="1">
      <c r="B559" s="290" t="s">
        <v>65</v>
      </c>
      <c r="C559" s="294">
        <v>21</v>
      </c>
      <c r="D559" s="294">
        <v>19</v>
      </c>
      <c r="E559" s="294">
        <v>2</v>
      </c>
      <c r="F559" s="294">
        <v>0</v>
      </c>
      <c r="G559" s="294">
        <v>12</v>
      </c>
      <c r="H559" s="294">
        <v>10</v>
      </c>
      <c r="I559" s="294">
        <v>2</v>
      </c>
      <c r="J559" s="294">
        <v>0</v>
      </c>
      <c r="K559" s="294">
        <v>9</v>
      </c>
      <c r="L559" s="294">
        <v>9</v>
      </c>
      <c r="M559" s="294">
        <v>0</v>
      </c>
      <c r="N559" s="294">
        <v>0</v>
      </c>
      <c r="O559" s="294">
        <v>0</v>
      </c>
      <c r="P559" s="294">
        <v>0</v>
      </c>
    </row>
    <row r="560" spans="1:16" ht="12.75" customHeight="1">
      <c r="B560" s="290" t="s">
        <v>66</v>
      </c>
      <c r="C560" s="294">
        <v>27</v>
      </c>
      <c r="D560" s="294">
        <v>21</v>
      </c>
      <c r="E560" s="294">
        <v>6</v>
      </c>
      <c r="F560" s="294">
        <v>0</v>
      </c>
      <c r="G560" s="294">
        <v>17</v>
      </c>
      <c r="H560" s="294">
        <v>14</v>
      </c>
      <c r="I560" s="294">
        <v>3</v>
      </c>
      <c r="J560" s="294">
        <v>0</v>
      </c>
      <c r="K560" s="294">
        <v>10</v>
      </c>
      <c r="L560" s="294">
        <v>7</v>
      </c>
      <c r="M560" s="294">
        <v>3</v>
      </c>
      <c r="N560" s="294">
        <v>0</v>
      </c>
      <c r="O560" s="294">
        <v>0</v>
      </c>
      <c r="P560" s="294">
        <v>0</v>
      </c>
    </row>
    <row r="561" spans="1:16" ht="12.75" customHeight="1">
      <c r="B561" s="290" t="s">
        <v>67</v>
      </c>
      <c r="C561" s="294">
        <v>22</v>
      </c>
      <c r="D561" s="294">
        <v>18</v>
      </c>
      <c r="E561" s="294">
        <v>4</v>
      </c>
      <c r="F561" s="294">
        <v>0</v>
      </c>
      <c r="G561" s="294">
        <v>16</v>
      </c>
      <c r="H561" s="294">
        <v>14</v>
      </c>
      <c r="I561" s="294">
        <v>2</v>
      </c>
      <c r="J561" s="294">
        <v>0</v>
      </c>
      <c r="K561" s="294">
        <v>6</v>
      </c>
      <c r="L561" s="294">
        <v>4</v>
      </c>
      <c r="M561" s="294">
        <v>2</v>
      </c>
      <c r="N561" s="294">
        <v>0</v>
      </c>
      <c r="O561" s="294">
        <v>0</v>
      </c>
      <c r="P561" s="294">
        <v>0</v>
      </c>
    </row>
    <row r="562" spans="1:16" ht="12.75" customHeight="1">
      <c r="B562" s="290" t="s">
        <v>68</v>
      </c>
      <c r="C562" s="294">
        <v>29</v>
      </c>
      <c r="D562" s="294">
        <v>19</v>
      </c>
      <c r="E562" s="294">
        <v>10</v>
      </c>
      <c r="F562" s="294">
        <v>0</v>
      </c>
      <c r="G562" s="294">
        <v>16</v>
      </c>
      <c r="H562" s="294">
        <v>11</v>
      </c>
      <c r="I562" s="294">
        <v>5</v>
      </c>
      <c r="J562" s="294">
        <v>0</v>
      </c>
      <c r="K562" s="294">
        <v>13</v>
      </c>
      <c r="L562" s="294">
        <v>8</v>
      </c>
      <c r="M562" s="294">
        <v>5</v>
      </c>
      <c r="N562" s="294">
        <v>0</v>
      </c>
      <c r="O562" s="294">
        <v>0</v>
      </c>
      <c r="P562" s="294">
        <v>0</v>
      </c>
    </row>
    <row r="563" spans="1:16" ht="12.75" customHeight="1">
      <c r="B563" s="290" t="s">
        <v>69</v>
      </c>
      <c r="C563" s="294">
        <v>36</v>
      </c>
      <c r="D563" s="294">
        <v>23</v>
      </c>
      <c r="E563" s="294">
        <v>13</v>
      </c>
      <c r="F563" s="294">
        <v>0</v>
      </c>
      <c r="G563" s="294">
        <v>25</v>
      </c>
      <c r="H563" s="294">
        <v>18</v>
      </c>
      <c r="I563" s="294">
        <v>7</v>
      </c>
      <c r="J563" s="294">
        <v>0</v>
      </c>
      <c r="K563" s="294">
        <v>11</v>
      </c>
      <c r="L563" s="294">
        <v>5</v>
      </c>
      <c r="M563" s="294">
        <v>6</v>
      </c>
      <c r="N563" s="294">
        <v>0</v>
      </c>
      <c r="O563" s="294">
        <v>0</v>
      </c>
      <c r="P563" s="294">
        <v>0</v>
      </c>
    </row>
    <row r="564" spans="1:16" ht="12.75" customHeight="1">
      <c r="B564" s="290" t="s">
        <v>262</v>
      </c>
      <c r="C564" s="294">
        <v>43</v>
      </c>
      <c r="D564" s="294">
        <v>26</v>
      </c>
      <c r="E564" s="294">
        <v>17</v>
      </c>
      <c r="F564" s="294">
        <v>0</v>
      </c>
      <c r="G564" s="294">
        <v>31</v>
      </c>
      <c r="H564" s="294">
        <v>19</v>
      </c>
      <c r="I564" s="294">
        <v>12</v>
      </c>
      <c r="J564" s="294">
        <v>0</v>
      </c>
      <c r="K564" s="294">
        <v>12</v>
      </c>
      <c r="L564" s="294">
        <v>7</v>
      </c>
      <c r="M564" s="294">
        <v>5</v>
      </c>
      <c r="N564" s="294">
        <v>0</v>
      </c>
      <c r="O564" s="294">
        <v>0</v>
      </c>
      <c r="P564" s="294">
        <v>0</v>
      </c>
    </row>
    <row r="565" spans="1:16" ht="12.75" customHeight="1">
      <c r="B565" s="290" t="s">
        <v>263</v>
      </c>
      <c r="C565" s="294">
        <v>42</v>
      </c>
      <c r="D565" s="294">
        <v>22</v>
      </c>
      <c r="E565" s="294">
        <v>20</v>
      </c>
      <c r="F565" s="294">
        <v>0</v>
      </c>
      <c r="G565" s="294">
        <v>29</v>
      </c>
      <c r="H565" s="294">
        <v>16</v>
      </c>
      <c r="I565" s="294">
        <v>13</v>
      </c>
      <c r="J565" s="294">
        <v>0</v>
      </c>
      <c r="K565" s="294">
        <v>13</v>
      </c>
      <c r="L565" s="294">
        <v>6</v>
      </c>
      <c r="M565" s="294">
        <v>7</v>
      </c>
      <c r="N565" s="294">
        <v>0</v>
      </c>
      <c r="O565" s="294">
        <v>0</v>
      </c>
      <c r="P565" s="294">
        <v>0</v>
      </c>
    </row>
    <row r="566" spans="1:16" ht="12.75" customHeight="1">
      <c r="B566" s="290" t="s">
        <v>264</v>
      </c>
      <c r="C566" s="294">
        <v>54</v>
      </c>
      <c r="D566" s="294">
        <v>35</v>
      </c>
      <c r="E566" s="294">
        <v>19</v>
      </c>
      <c r="F566" s="294">
        <v>0</v>
      </c>
      <c r="G566" s="294">
        <v>31</v>
      </c>
      <c r="H566" s="294">
        <v>18</v>
      </c>
      <c r="I566" s="294">
        <v>13</v>
      </c>
      <c r="J566" s="294">
        <v>0</v>
      </c>
      <c r="K566" s="294">
        <v>23</v>
      </c>
      <c r="L566" s="294">
        <v>17</v>
      </c>
      <c r="M566" s="294">
        <v>6</v>
      </c>
      <c r="N566" s="294">
        <v>0</v>
      </c>
      <c r="O566" s="294">
        <v>0</v>
      </c>
      <c r="P566" s="294">
        <v>0</v>
      </c>
    </row>
    <row r="567" spans="1:16" ht="12.75" customHeight="1">
      <c r="B567" s="290" t="s">
        <v>265</v>
      </c>
      <c r="C567" s="294">
        <v>53</v>
      </c>
      <c r="D567" s="294">
        <v>28</v>
      </c>
      <c r="E567" s="294">
        <v>25</v>
      </c>
      <c r="F567" s="294">
        <v>0</v>
      </c>
      <c r="G567" s="294">
        <v>26</v>
      </c>
      <c r="H567" s="294">
        <v>14</v>
      </c>
      <c r="I567" s="294">
        <v>12</v>
      </c>
      <c r="J567" s="294">
        <v>0</v>
      </c>
      <c r="K567" s="294">
        <v>27</v>
      </c>
      <c r="L567" s="294">
        <v>14</v>
      </c>
      <c r="M567" s="294">
        <v>13</v>
      </c>
      <c r="N567" s="294">
        <v>0</v>
      </c>
      <c r="O567" s="294">
        <v>0</v>
      </c>
      <c r="P567" s="294">
        <v>0</v>
      </c>
    </row>
    <row r="568" spans="1:16" ht="12.75" customHeight="1">
      <c r="B568" s="290" t="s">
        <v>266</v>
      </c>
      <c r="C568" s="294">
        <v>331</v>
      </c>
      <c r="D568" s="294">
        <v>190</v>
      </c>
      <c r="E568" s="294">
        <v>141</v>
      </c>
      <c r="F568" s="294">
        <v>0</v>
      </c>
      <c r="G568" s="294">
        <v>206</v>
      </c>
      <c r="H568" s="294">
        <v>125</v>
      </c>
      <c r="I568" s="294">
        <v>81</v>
      </c>
      <c r="J568" s="294">
        <v>0</v>
      </c>
      <c r="K568" s="294">
        <v>125</v>
      </c>
      <c r="L568" s="294">
        <v>65</v>
      </c>
      <c r="M568" s="294">
        <v>60</v>
      </c>
      <c r="N568" s="294">
        <v>0</v>
      </c>
      <c r="O568" s="294">
        <v>0</v>
      </c>
      <c r="P568" s="294">
        <v>0</v>
      </c>
    </row>
    <row r="569" spans="1:16" ht="12.75" customHeight="1">
      <c r="B569" s="290" t="s">
        <v>504</v>
      </c>
      <c r="C569" s="294">
        <v>18</v>
      </c>
      <c r="D569" s="294">
        <v>9</v>
      </c>
      <c r="E569" s="294">
        <v>9</v>
      </c>
      <c r="F569" s="294">
        <v>0</v>
      </c>
      <c r="G569" s="294">
        <v>13</v>
      </c>
      <c r="H569" s="294">
        <v>6</v>
      </c>
      <c r="I569" s="294">
        <v>7</v>
      </c>
      <c r="J569" s="294">
        <v>0</v>
      </c>
      <c r="K569" s="294">
        <v>5</v>
      </c>
      <c r="L569" s="294">
        <v>3</v>
      </c>
      <c r="M569" s="294">
        <v>2</v>
      </c>
      <c r="N569" s="294">
        <v>0</v>
      </c>
      <c r="O569" s="294">
        <v>0</v>
      </c>
      <c r="P569" s="294">
        <v>0</v>
      </c>
    </row>
    <row r="570" spans="1:16" s="292" customFormat="1" ht="5.0999999999999996" customHeight="1">
      <c r="A570" s="290"/>
      <c r="B570" s="290"/>
      <c r="C570" s="294"/>
      <c r="D570" s="294"/>
      <c r="E570" s="294"/>
      <c r="F570" s="294"/>
      <c r="G570" s="294"/>
      <c r="H570" s="294"/>
      <c r="I570" s="294"/>
      <c r="J570" s="294"/>
      <c r="K570" s="294"/>
      <c r="L570" s="294"/>
      <c r="M570" s="294"/>
      <c r="N570" s="294"/>
      <c r="O570" s="294"/>
      <c r="P570" s="294"/>
    </row>
    <row r="571" spans="1:16" s="292" customFormat="1">
      <c r="A571" s="292" t="s">
        <v>104</v>
      </c>
      <c r="C571" s="293">
        <v>514</v>
      </c>
      <c r="D571" s="293">
        <v>314</v>
      </c>
      <c r="E571" s="293">
        <v>200</v>
      </c>
      <c r="F571" s="293">
        <v>0</v>
      </c>
      <c r="G571" s="293">
        <v>414</v>
      </c>
      <c r="H571" s="293">
        <v>255</v>
      </c>
      <c r="I571" s="293">
        <v>159</v>
      </c>
      <c r="J571" s="293">
        <v>0</v>
      </c>
      <c r="K571" s="293">
        <v>91</v>
      </c>
      <c r="L571" s="293">
        <v>57</v>
      </c>
      <c r="M571" s="293">
        <v>34</v>
      </c>
      <c r="N571" s="293">
        <v>9</v>
      </c>
      <c r="O571" s="293">
        <v>2</v>
      </c>
      <c r="P571" s="293">
        <v>7</v>
      </c>
    </row>
    <row r="572" spans="1:16" s="292" customFormat="1" ht="5.0999999999999996" customHeight="1">
      <c r="A572" s="290"/>
      <c r="B572" s="290"/>
      <c r="C572" s="294"/>
      <c r="D572" s="294"/>
      <c r="E572" s="294"/>
      <c r="F572" s="294"/>
      <c r="G572" s="294"/>
      <c r="H572" s="294"/>
      <c r="I572" s="294"/>
      <c r="J572" s="294"/>
      <c r="K572" s="294"/>
      <c r="L572" s="294"/>
      <c r="M572" s="294"/>
      <c r="N572" s="294"/>
      <c r="O572" s="294"/>
      <c r="P572" s="294"/>
    </row>
    <row r="573" spans="1:16" ht="12.75" customHeight="1">
      <c r="B573" s="290" t="s">
        <v>503</v>
      </c>
      <c r="C573" s="294">
        <v>6</v>
      </c>
      <c r="D573" s="294">
        <v>5</v>
      </c>
      <c r="E573" s="294">
        <v>1</v>
      </c>
      <c r="F573" s="294">
        <v>0</v>
      </c>
      <c r="G573" s="294">
        <v>6</v>
      </c>
      <c r="H573" s="294">
        <v>5</v>
      </c>
      <c r="I573" s="294">
        <v>1</v>
      </c>
      <c r="J573" s="294">
        <v>0</v>
      </c>
      <c r="K573" s="294">
        <v>0</v>
      </c>
      <c r="L573" s="294">
        <v>0</v>
      </c>
      <c r="M573" s="294">
        <v>0</v>
      </c>
      <c r="N573" s="294">
        <v>0</v>
      </c>
      <c r="O573" s="294">
        <v>0</v>
      </c>
      <c r="P573" s="294">
        <v>0</v>
      </c>
    </row>
    <row r="574" spans="1:16" ht="12.75" customHeight="1">
      <c r="B574" s="290" t="s">
        <v>259</v>
      </c>
      <c r="C574" s="294">
        <v>4</v>
      </c>
      <c r="D574" s="294">
        <v>2</v>
      </c>
      <c r="E574" s="294">
        <v>2</v>
      </c>
      <c r="F574" s="294">
        <v>0</v>
      </c>
      <c r="G574" s="294">
        <v>3</v>
      </c>
      <c r="H574" s="294">
        <v>1</v>
      </c>
      <c r="I574" s="294">
        <v>2</v>
      </c>
      <c r="J574" s="294">
        <v>0</v>
      </c>
      <c r="K574" s="294">
        <v>1</v>
      </c>
      <c r="L574" s="294">
        <v>1</v>
      </c>
      <c r="M574" s="294">
        <v>0</v>
      </c>
      <c r="N574" s="294">
        <v>0</v>
      </c>
      <c r="O574" s="294">
        <v>0</v>
      </c>
      <c r="P574" s="294">
        <v>0</v>
      </c>
    </row>
    <row r="575" spans="1:16" ht="12.75" customHeight="1">
      <c r="B575" s="290" t="s">
        <v>261</v>
      </c>
      <c r="C575" s="294">
        <v>7</v>
      </c>
      <c r="D575" s="294">
        <v>4</v>
      </c>
      <c r="E575" s="294">
        <v>3</v>
      </c>
      <c r="F575" s="294">
        <v>0</v>
      </c>
      <c r="G575" s="294">
        <v>7</v>
      </c>
      <c r="H575" s="294">
        <v>4</v>
      </c>
      <c r="I575" s="294">
        <v>3</v>
      </c>
      <c r="J575" s="294">
        <v>0</v>
      </c>
      <c r="K575" s="294">
        <v>0</v>
      </c>
      <c r="L575" s="294">
        <v>0</v>
      </c>
      <c r="M575" s="294">
        <v>0</v>
      </c>
      <c r="N575" s="294">
        <v>0</v>
      </c>
      <c r="O575" s="294">
        <v>0</v>
      </c>
      <c r="P575" s="294">
        <v>0</v>
      </c>
    </row>
    <row r="576" spans="1:16" ht="12.75" customHeight="1">
      <c r="B576" s="290" t="s">
        <v>63</v>
      </c>
      <c r="C576" s="294">
        <v>9</v>
      </c>
      <c r="D576" s="294">
        <v>6</v>
      </c>
      <c r="E576" s="294">
        <v>3</v>
      </c>
      <c r="F576" s="294">
        <v>0</v>
      </c>
      <c r="G576" s="294">
        <v>9</v>
      </c>
      <c r="H576" s="294">
        <v>6</v>
      </c>
      <c r="I576" s="294">
        <v>3</v>
      </c>
      <c r="J576" s="294">
        <v>0</v>
      </c>
      <c r="K576" s="294">
        <v>0</v>
      </c>
      <c r="L576" s="294">
        <v>0</v>
      </c>
      <c r="M576" s="294">
        <v>0</v>
      </c>
      <c r="N576" s="294">
        <v>0</v>
      </c>
      <c r="O576" s="294">
        <v>0</v>
      </c>
      <c r="P576" s="294">
        <v>0</v>
      </c>
    </row>
    <row r="577" spans="1:16" ht="12.75" customHeight="1">
      <c r="B577" s="290" t="s">
        <v>64</v>
      </c>
      <c r="C577" s="294">
        <v>14</v>
      </c>
      <c r="D577" s="294">
        <v>13</v>
      </c>
      <c r="E577" s="294">
        <v>1</v>
      </c>
      <c r="F577" s="294">
        <v>0</v>
      </c>
      <c r="G577" s="294">
        <v>12</v>
      </c>
      <c r="H577" s="294">
        <v>11</v>
      </c>
      <c r="I577" s="294">
        <v>1</v>
      </c>
      <c r="J577" s="294">
        <v>0</v>
      </c>
      <c r="K577" s="294">
        <v>2</v>
      </c>
      <c r="L577" s="294">
        <v>2</v>
      </c>
      <c r="M577" s="294">
        <v>0</v>
      </c>
      <c r="N577" s="294">
        <v>0</v>
      </c>
      <c r="O577" s="294">
        <v>0</v>
      </c>
      <c r="P577" s="294">
        <v>0</v>
      </c>
    </row>
    <row r="578" spans="1:16" ht="12.75" customHeight="1">
      <c r="B578" s="290" t="s">
        <v>65</v>
      </c>
      <c r="C578" s="294">
        <v>8</v>
      </c>
      <c r="D578" s="294">
        <v>5</v>
      </c>
      <c r="E578" s="294">
        <v>3</v>
      </c>
      <c r="F578" s="294">
        <v>0</v>
      </c>
      <c r="G578" s="294">
        <v>8</v>
      </c>
      <c r="H578" s="294">
        <v>5</v>
      </c>
      <c r="I578" s="294">
        <v>3</v>
      </c>
      <c r="J578" s="294">
        <v>0</v>
      </c>
      <c r="K578" s="294">
        <v>0</v>
      </c>
      <c r="L578" s="294">
        <v>0</v>
      </c>
      <c r="M578" s="294">
        <v>0</v>
      </c>
      <c r="N578" s="294">
        <v>0</v>
      </c>
      <c r="O578" s="294">
        <v>0</v>
      </c>
      <c r="P578" s="294">
        <v>0</v>
      </c>
    </row>
    <row r="579" spans="1:16" ht="12.75" customHeight="1">
      <c r="B579" s="290" t="s">
        <v>66</v>
      </c>
      <c r="C579" s="294">
        <v>11</v>
      </c>
      <c r="D579" s="294">
        <v>9</v>
      </c>
      <c r="E579" s="294">
        <v>2</v>
      </c>
      <c r="F579" s="294">
        <v>0</v>
      </c>
      <c r="G579" s="294">
        <v>9</v>
      </c>
      <c r="H579" s="294">
        <v>7</v>
      </c>
      <c r="I579" s="294">
        <v>2</v>
      </c>
      <c r="J579" s="294">
        <v>0</v>
      </c>
      <c r="K579" s="294">
        <v>2</v>
      </c>
      <c r="L579" s="294">
        <v>2</v>
      </c>
      <c r="M579" s="294">
        <v>0</v>
      </c>
      <c r="N579" s="294">
        <v>0</v>
      </c>
      <c r="O579" s="294">
        <v>0</v>
      </c>
      <c r="P579" s="294">
        <v>0</v>
      </c>
    </row>
    <row r="580" spans="1:16" ht="12.75" customHeight="1">
      <c r="B580" s="290" t="s">
        <v>67</v>
      </c>
      <c r="C580" s="294">
        <v>6</v>
      </c>
      <c r="D580" s="294">
        <v>3</v>
      </c>
      <c r="E580" s="294">
        <v>3</v>
      </c>
      <c r="F580" s="294">
        <v>0</v>
      </c>
      <c r="G580" s="294">
        <v>6</v>
      </c>
      <c r="H580" s="294">
        <v>3</v>
      </c>
      <c r="I580" s="294">
        <v>3</v>
      </c>
      <c r="J580" s="294">
        <v>0</v>
      </c>
      <c r="K580" s="294">
        <v>0</v>
      </c>
      <c r="L580" s="294">
        <v>0</v>
      </c>
      <c r="M580" s="294">
        <v>0</v>
      </c>
      <c r="N580" s="294">
        <v>0</v>
      </c>
      <c r="O580" s="294">
        <v>0</v>
      </c>
      <c r="P580" s="294">
        <v>0</v>
      </c>
    </row>
    <row r="581" spans="1:16" ht="12.75" customHeight="1">
      <c r="B581" s="290" t="s">
        <v>68</v>
      </c>
      <c r="C581" s="294">
        <v>20</v>
      </c>
      <c r="D581" s="294">
        <v>13</v>
      </c>
      <c r="E581" s="294">
        <v>7</v>
      </c>
      <c r="F581" s="294">
        <v>0</v>
      </c>
      <c r="G581" s="294">
        <v>15</v>
      </c>
      <c r="H581" s="294">
        <v>10</v>
      </c>
      <c r="I581" s="294">
        <v>5</v>
      </c>
      <c r="J581" s="294">
        <v>0</v>
      </c>
      <c r="K581" s="294">
        <v>4</v>
      </c>
      <c r="L581" s="294">
        <v>3</v>
      </c>
      <c r="M581" s="294">
        <v>1</v>
      </c>
      <c r="N581" s="294">
        <v>1</v>
      </c>
      <c r="O581" s="294">
        <v>0</v>
      </c>
      <c r="P581" s="294">
        <v>1</v>
      </c>
    </row>
    <row r="582" spans="1:16" ht="12.75" customHeight="1">
      <c r="B582" s="290" t="s">
        <v>69</v>
      </c>
      <c r="C582" s="294">
        <v>20</v>
      </c>
      <c r="D582" s="294">
        <v>12</v>
      </c>
      <c r="E582" s="294">
        <v>8</v>
      </c>
      <c r="F582" s="294">
        <v>0</v>
      </c>
      <c r="G582" s="294">
        <v>18</v>
      </c>
      <c r="H582" s="294">
        <v>11</v>
      </c>
      <c r="I582" s="294">
        <v>7</v>
      </c>
      <c r="J582" s="294">
        <v>0</v>
      </c>
      <c r="K582" s="294">
        <v>2</v>
      </c>
      <c r="L582" s="294">
        <v>1</v>
      </c>
      <c r="M582" s="294">
        <v>1</v>
      </c>
      <c r="N582" s="294">
        <v>0</v>
      </c>
      <c r="O582" s="294">
        <v>0</v>
      </c>
      <c r="P582" s="294">
        <v>0</v>
      </c>
    </row>
    <row r="583" spans="1:16" ht="12.75" customHeight="1">
      <c r="B583" s="290" t="s">
        <v>262</v>
      </c>
      <c r="C583" s="294">
        <v>25</v>
      </c>
      <c r="D583" s="294">
        <v>16</v>
      </c>
      <c r="E583" s="294">
        <v>9</v>
      </c>
      <c r="F583" s="294">
        <v>0</v>
      </c>
      <c r="G583" s="294">
        <v>24</v>
      </c>
      <c r="H583" s="294">
        <v>15</v>
      </c>
      <c r="I583" s="294">
        <v>9</v>
      </c>
      <c r="J583" s="294">
        <v>0</v>
      </c>
      <c r="K583" s="294">
        <v>1</v>
      </c>
      <c r="L583" s="294">
        <v>1</v>
      </c>
      <c r="M583" s="294">
        <v>0</v>
      </c>
      <c r="N583" s="294">
        <v>0</v>
      </c>
      <c r="O583" s="294">
        <v>0</v>
      </c>
      <c r="P583" s="294">
        <v>0</v>
      </c>
    </row>
    <row r="584" spans="1:16" ht="12.75" customHeight="1">
      <c r="B584" s="290" t="s">
        <v>263</v>
      </c>
      <c r="C584" s="294">
        <v>35</v>
      </c>
      <c r="D584" s="294">
        <v>18</v>
      </c>
      <c r="E584" s="294">
        <v>17</v>
      </c>
      <c r="F584" s="294">
        <v>0</v>
      </c>
      <c r="G584" s="294">
        <v>25</v>
      </c>
      <c r="H584" s="294">
        <v>13</v>
      </c>
      <c r="I584" s="294">
        <v>12</v>
      </c>
      <c r="J584" s="294">
        <v>0</v>
      </c>
      <c r="K584" s="294">
        <v>10</v>
      </c>
      <c r="L584" s="294">
        <v>5</v>
      </c>
      <c r="M584" s="294">
        <v>5</v>
      </c>
      <c r="N584" s="294">
        <v>0</v>
      </c>
      <c r="O584" s="294">
        <v>0</v>
      </c>
      <c r="P584" s="294">
        <v>0</v>
      </c>
    </row>
    <row r="585" spans="1:16" ht="12.75" customHeight="1">
      <c r="B585" s="290" t="s">
        <v>264</v>
      </c>
      <c r="C585" s="294">
        <v>31</v>
      </c>
      <c r="D585" s="294">
        <v>17</v>
      </c>
      <c r="E585" s="294">
        <v>14</v>
      </c>
      <c r="F585" s="294">
        <v>0</v>
      </c>
      <c r="G585" s="294">
        <v>26</v>
      </c>
      <c r="H585" s="294">
        <v>14</v>
      </c>
      <c r="I585" s="294">
        <v>12</v>
      </c>
      <c r="J585" s="294">
        <v>0</v>
      </c>
      <c r="K585" s="294">
        <v>4</v>
      </c>
      <c r="L585" s="294">
        <v>3</v>
      </c>
      <c r="M585" s="294">
        <v>1</v>
      </c>
      <c r="N585" s="294">
        <v>1</v>
      </c>
      <c r="O585" s="294">
        <v>0</v>
      </c>
      <c r="P585" s="294">
        <v>1</v>
      </c>
    </row>
    <row r="586" spans="1:16" ht="12.75" customHeight="1">
      <c r="B586" s="290" t="s">
        <v>265</v>
      </c>
      <c r="C586" s="294">
        <v>29</v>
      </c>
      <c r="D586" s="294">
        <v>16</v>
      </c>
      <c r="E586" s="294">
        <v>13</v>
      </c>
      <c r="F586" s="294">
        <v>0</v>
      </c>
      <c r="G586" s="294">
        <v>23</v>
      </c>
      <c r="H586" s="294">
        <v>14</v>
      </c>
      <c r="I586" s="294">
        <v>9</v>
      </c>
      <c r="J586" s="294">
        <v>0</v>
      </c>
      <c r="K586" s="294">
        <v>6</v>
      </c>
      <c r="L586" s="294">
        <v>2</v>
      </c>
      <c r="M586" s="294">
        <v>4</v>
      </c>
      <c r="N586" s="294">
        <v>0</v>
      </c>
      <c r="O586" s="294">
        <v>0</v>
      </c>
      <c r="P586" s="294">
        <v>0</v>
      </c>
    </row>
    <row r="587" spans="1:16" ht="12.75" customHeight="1">
      <c r="B587" s="290" t="s">
        <v>266</v>
      </c>
      <c r="C587" s="294">
        <v>264</v>
      </c>
      <c r="D587" s="294">
        <v>165</v>
      </c>
      <c r="E587" s="294">
        <v>99</v>
      </c>
      <c r="F587" s="294">
        <v>0</v>
      </c>
      <c r="G587" s="294">
        <v>204</v>
      </c>
      <c r="H587" s="294">
        <v>129</v>
      </c>
      <c r="I587" s="294">
        <v>75</v>
      </c>
      <c r="J587" s="294">
        <v>0</v>
      </c>
      <c r="K587" s="294">
        <v>55</v>
      </c>
      <c r="L587" s="294">
        <v>34</v>
      </c>
      <c r="M587" s="294">
        <v>21</v>
      </c>
      <c r="N587" s="294">
        <v>5</v>
      </c>
      <c r="O587" s="294">
        <v>2</v>
      </c>
      <c r="P587" s="294">
        <v>3</v>
      </c>
    </row>
    <row r="588" spans="1:16" ht="12.75" customHeight="1">
      <c r="B588" s="290" t="s">
        <v>504</v>
      </c>
      <c r="C588" s="294">
        <v>25</v>
      </c>
      <c r="D588" s="294">
        <v>10</v>
      </c>
      <c r="E588" s="294">
        <v>15</v>
      </c>
      <c r="F588" s="294">
        <v>0</v>
      </c>
      <c r="G588" s="294">
        <v>19</v>
      </c>
      <c r="H588" s="294">
        <v>7</v>
      </c>
      <c r="I588" s="294">
        <v>12</v>
      </c>
      <c r="J588" s="294">
        <v>0</v>
      </c>
      <c r="K588" s="294">
        <v>4</v>
      </c>
      <c r="L588" s="294">
        <v>3</v>
      </c>
      <c r="M588" s="294">
        <v>1</v>
      </c>
      <c r="N588" s="294">
        <v>2</v>
      </c>
      <c r="O588" s="294">
        <v>0</v>
      </c>
      <c r="P588" s="294">
        <v>2</v>
      </c>
    </row>
    <row r="589" spans="1:16" s="292" customFormat="1" ht="5.0999999999999996" customHeight="1">
      <c r="A589" s="290"/>
      <c r="B589" s="290"/>
      <c r="C589" s="294"/>
      <c r="D589" s="294"/>
      <c r="E589" s="294"/>
      <c r="F589" s="294"/>
      <c r="G589" s="294"/>
      <c r="H589" s="294"/>
      <c r="I589" s="294"/>
      <c r="J589" s="294"/>
      <c r="K589" s="294"/>
      <c r="L589" s="294"/>
      <c r="M589" s="294"/>
      <c r="N589" s="294"/>
      <c r="O589" s="294"/>
      <c r="P589" s="294"/>
    </row>
    <row r="590" spans="1:16" s="292" customFormat="1">
      <c r="A590" s="292" t="s">
        <v>105</v>
      </c>
      <c r="C590" s="293">
        <v>238</v>
      </c>
      <c r="D590" s="293">
        <v>142</v>
      </c>
      <c r="E590" s="293">
        <v>96</v>
      </c>
      <c r="F590" s="293">
        <v>0</v>
      </c>
      <c r="G590" s="293">
        <v>184</v>
      </c>
      <c r="H590" s="293">
        <v>111</v>
      </c>
      <c r="I590" s="293">
        <v>73</v>
      </c>
      <c r="J590" s="293">
        <v>0</v>
      </c>
      <c r="K590" s="293">
        <v>23</v>
      </c>
      <c r="L590" s="293">
        <v>15</v>
      </c>
      <c r="M590" s="293">
        <v>8</v>
      </c>
      <c r="N590" s="293">
        <v>31</v>
      </c>
      <c r="O590" s="293">
        <v>16</v>
      </c>
      <c r="P590" s="293">
        <v>15</v>
      </c>
    </row>
    <row r="591" spans="1:16" s="292" customFormat="1" ht="5.0999999999999996" customHeight="1">
      <c r="A591" s="290"/>
      <c r="B591" s="290"/>
      <c r="C591" s="294"/>
      <c r="D591" s="294"/>
      <c r="E591" s="294"/>
      <c r="F591" s="294"/>
      <c r="G591" s="294"/>
      <c r="H591" s="294"/>
      <c r="I591" s="294"/>
      <c r="J591" s="294"/>
      <c r="K591" s="294"/>
      <c r="L591" s="294"/>
      <c r="M591" s="294"/>
      <c r="N591" s="294"/>
      <c r="O591" s="294"/>
      <c r="P591" s="294"/>
    </row>
    <row r="592" spans="1:16" ht="12.75" customHeight="1">
      <c r="B592" s="290" t="s">
        <v>503</v>
      </c>
      <c r="C592" s="294">
        <v>2</v>
      </c>
      <c r="D592" s="294">
        <v>1</v>
      </c>
      <c r="E592" s="294">
        <v>1</v>
      </c>
      <c r="F592" s="294">
        <v>0</v>
      </c>
      <c r="G592" s="294">
        <v>1</v>
      </c>
      <c r="H592" s="294">
        <v>0</v>
      </c>
      <c r="I592" s="294">
        <v>1</v>
      </c>
      <c r="J592" s="294">
        <v>0</v>
      </c>
      <c r="K592" s="294">
        <v>0</v>
      </c>
      <c r="L592" s="294">
        <v>0</v>
      </c>
      <c r="M592" s="294">
        <v>0</v>
      </c>
      <c r="N592" s="294">
        <v>1</v>
      </c>
      <c r="O592" s="294">
        <v>1</v>
      </c>
      <c r="P592" s="294">
        <v>0</v>
      </c>
    </row>
    <row r="593" spans="1:16" ht="12.75" customHeight="1">
      <c r="B593" s="290" t="s">
        <v>259</v>
      </c>
      <c r="C593" s="294">
        <v>2</v>
      </c>
      <c r="D593" s="294">
        <v>2</v>
      </c>
      <c r="E593" s="294">
        <v>0</v>
      </c>
      <c r="F593" s="294">
        <v>0</v>
      </c>
      <c r="G593" s="294">
        <v>2</v>
      </c>
      <c r="H593" s="294">
        <v>2</v>
      </c>
      <c r="I593" s="294">
        <v>0</v>
      </c>
      <c r="J593" s="294">
        <v>0</v>
      </c>
      <c r="K593" s="294">
        <v>0</v>
      </c>
      <c r="L593" s="294">
        <v>0</v>
      </c>
      <c r="M593" s="294">
        <v>0</v>
      </c>
      <c r="N593" s="294">
        <v>0</v>
      </c>
      <c r="O593" s="294">
        <v>0</v>
      </c>
      <c r="P593" s="294">
        <v>0</v>
      </c>
    </row>
    <row r="594" spans="1:16" ht="12.75" customHeight="1">
      <c r="B594" s="290" t="s">
        <v>260</v>
      </c>
      <c r="C594" s="294">
        <v>1</v>
      </c>
      <c r="D594" s="294">
        <v>1</v>
      </c>
      <c r="E594" s="294">
        <v>0</v>
      </c>
      <c r="F594" s="294">
        <v>0</v>
      </c>
      <c r="G594" s="294">
        <v>1</v>
      </c>
      <c r="H594" s="294">
        <v>1</v>
      </c>
      <c r="I594" s="294">
        <v>0</v>
      </c>
      <c r="J594" s="294">
        <v>0</v>
      </c>
      <c r="K594" s="294">
        <v>0</v>
      </c>
      <c r="L594" s="294">
        <v>0</v>
      </c>
      <c r="M594" s="294">
        <v>0</v>
      </c>
      <c r="N594" s="294">
        <v>0</v>
      </c>
      <c r="O594" s="294">
        <v>0</v>
      </c>
      <c r="P594" s="294">
        <v>0</v>
      </c>
    </row>
    <row r="595" spans="1:16" ht="12.75" customHeight="1">
      <c r="B595" s="290" t="s">
        <v>63</v>
      </c>
      <c r="C595" s="294">
        <v>3</v>
      </c>
      <c r="D595" s="294">
        <v>2</v>
      </c>
      <c r="E595" s="294">
        <v>1</v>
      </c>
      <c r="F595" s="294">
        <v>0</v>
      </c>
      <c r="G595" s="294">
        <v>3</v>
      </c>
      <c r="H595" s="294">
        <v>2</v>
      </c>
      <c r="I595" s="294">
        <v>1</v>
      </c>
      <c r="J595" s="294">
        <v>0</v>
      </c>
      <c r="K595" s="294">
        <v>0</v>
      </c>
      <c r="L595" s="294">
        <v>0</v>
      </c>
      <c r="M595" s="294">
        <v>0</v>
      </c>
      <c r="N595" s="294">
        <v>0</v>
      </c>
      <c r="O595" s="294">
        <v>0</v>
      </c>
      <c r="P595" s="294">
        <v>0</v>
      </c>
    </row>
    <row r="596" spans="1:16" ht="12.75" customHeight="1">
      <c r="B596" s="290" t="s">
        <v>64</v>
      </c>
      <c r="C596" s="294">
        <v>5</v>
      </c>
      <c r="D596" s="294">
        <v>5</v>
      </c>
      <c r="E596" s="294">
        <v>0</v>
      </c>
      <c r="F596" s="294">
        <v>0</v>
      </c>
      <c r="G596" s="294">
        <v>3</v>
      </c>
      <c r="H596" s="294">
        <v>3</v>
      </c>
      <c r="I596" s="294">
        <v>0</v>
      </c>
      <c r="J596" s="294">
        <v>0</v>
      </c>
      <c r="K596" s="294">
        <v>0</v>
      </c>
      <c r="L596" s="294">
        <v>0</v>
      </c>
      <c r="M596" s="294">
        <v>0</v>
      </c>
      <c r="N596" s="294">
        <v>2</v>
      </c>
      <c r="O596" s="294">
        <v>2</v>
      </c>
      <c r="P596" s="294">
        <v>0</v>
      </c>
    </row>
    <row r="597" spans="1:16" ht="12.75" customHeight="1">
      <c r="B597" s="290" t="s">
        <v>65</v>
      </c>
      <c r="C597" s="294">
        <v>6</v>
      </c>
      <c r="D597" s="294">
        <v>4</v>
      </c>
      <c r="E597" s="294">
        <v>2</v>
      </c>
      <c r="F597" s="294">
        <v>0</v>
      </c>
      <c r="G597" s="294">
        <v>5</v>
      </c>
      <c r="H597" s="294">
        <v>4</v>
      </c>
      <c r="I597" s="294">
        <v>1</v>
      </c>
      <c r="J597" s="294">
        <v>0</v>
      </c>
      <c r="K597" s="294">
        <v>1</v>
      </c>
      <c r="L597" s="294">
        <v>0</v>
      </c>
      <c r="M597" s="294">
        <v>1</v>
      </c>
      <c r="N597" s="294">
        <v>0</v>
      </c>
      <c r="O597" s="294">
        <v>0</v>
      </c>
      <c r="P597" s="294">
        <v>0</v>
      </c>
    </row>
    <row r="598" spans="1:16" ht="12.75" customHeight="1">
      <c r="B598" s="290" t="s">
        <v>66</v>
      </c>
      <c r="C598" s="294">
        <v>9</v>
      </c>
      <c r="D598" s="294">
        <v>6</v>
      </c>
      <c r="E598" s="294">
        <v>3</v>
      </c>
      <c r="F598" s="294">
        <v>0</v>
      </c>
      <c r="G598" s="294">
        <v>6</v>
      </c>
      <c r="H598" s="294">
        <v>5</v>
      </c>
      <c r="I598" s="294">
        <v>1</v>
      </c>
      <c r="J598" s="294">
        <v>0</v>
      </c>
      <c r="K598" s="294">
        <v>2</v>
      </c>
      <c r="L598" s="294">
        <v>0</v>
      </c>
      <c r="M598" s="294">
        <v>2</v>
      </c>
      <c r="N598" s="294">
        <v>1</v>
      </c>
      <c r="O598" s="294">
        <v>1</v>
      </c>
      <c r="P598" s="294">
        <v>0</v>
      </c>
    </row>
    <row r="599" spans="1:16" ht="12.75" customHeight="1">
      <c r="B599" s="290" t="s">
        <v>67</v>
      </c>
      <c r="C599" s="294">
        <v>5</v>
      </c>
      <c r="D599" s="294">
        <v>5</v>
      </c>
      <c r="E599" s="294">
        <v>0</v>
      </c>
      <c r="F599" s="294">
        <v>0</v>
      </c>
      <c r="G599" s="294">
        <v>3</v>
      </c>
      <c r="H599" s="294">
        <v>3</v>
      </c>
      <c r="I599" s="294">
        <v>0</v>
      </c>
      <c r="J599" s="294">
        <v>0</v>
      </c>
      <c r="K599" s="294">
        <v>2</v>
      </c>
      <c r="L599" s="294">
        <v>2</v>
      </c>
      <c r="M599" s="294">
        <v>0</v>
      </c>
      <c r="N599" s="294">
        <v>0</v>
      </c>
      <c r="O599" s="294">
        <v>0</v>
      </c>
      <c r="P599" s="294">
        <v>0</v>
      </c>
    </row>
    <row r="600" spans="1:16" ht="12.75" customHeight="1">
      <c r="B600" s="290" t="s">
        <v>68</v>
      </c>
      <c r="C600" s="294">
        <v>7</v>
      </c>
      <c r="D600" s="294">
        <v>7</v>
      </c>
      <c r="E600" s="294">
        <v>0</v>
      </c>
      <c r="F600" s="294">
        <v>0</v>
      </c>
      <c r="G600" s="294">
        <v>6</v>
      </c>
      <c r="H600" s="294">
        <v>6</v>
      </c>
      <c r="I600" s="294">
        <v>0</v>
      </c>
      <c r="J600" s="294">
        <v>0</v>
      </c>
      <c r="K600" s="294">
        <v>1</v>
      </c>
      <c r="L600" s="294">
        <v>1</v>
      </c>
      <c r="M600" s="294">
        <v>0</v>
      </c>
      <c r="N600" s="294">
        <v>0</v>
      </c>
      <c r="O600" s="294">
        <v>0</v>
      </c>
      <c r="P600" s="294">
        <v>0</v>
      </c>
    </row>
    <row r="601" spans="1:16" ht="12.75" customHeight="1">
      <c r="B601" s="290" t="s">
        <v>69</v>
      </c>
      <c r="C601" s="294">
        <v>6</v>
      </c>
      <c r="D601" s="294">
        <v>4</v>
      </c>
      <c r="E601" s="294">
        <v>2</v>
      </c>
      <c r="F601" s="294">
        <v>0</v>
      </c>
      <c r="G601" s="294">
        <v>4</v>
      </c>
      <c r="H601" s="294">
        <v>2</v>
      </c>
      <c r="I601" s="294">
        <v>2</v>
      </c>
      <c r="J601" s="294">
        <v>0</v>
      </c>
      <c r="K601" s="294">
        <v>0</v>
      </c>
      <c r="L601" s="294">
        <v>0</v>
      </c>
      <c r="M601" s="294">
        <v>0</v>
      </c>
      <c r="N601" s="294">
        <v>2</v>
      </c>
      <c r="O601" s="294">
        <v>2</v>
      </c>
      <c r="P601" s="294">
        <v>0</v>
      </c>
    </row>
    <row r="602" spans="1:16" ht="12.75" customHeight="1">
      <c r="B602" s="290" t="s">
        <v>262</v>
      </c>
      <c r="C602" s="294">
        <v>10</v>
      </c>
      <c r="D602" s="294">
        <v>4</v>
      </c>
      <c r="E602" s="294">
        <v>6</v>
      </c>
      <c r="F602" s="294">
        <v>0</v>
      </c>
      <c r="G602" s="294">
        <v>6</v>
      </c>
      <c r="H602" s="294">
        <v>2</v>
      </c>
      <c r="I602" s="294">
        <v>4</v>
      </c>
      <c r="J602" s="294">
        <v>0</v>
      </c>
      <c r="K602" s="294">
        <v>1</v>
      </c>
      <c r="L602" s="294">
        <v>1</v>
      </c>
      <c r="M602" s="294">
        <v>0</v>
      </c>
      <c r="N602" s="294">
        <v>3</v>
      </c>
      <c r="O602" s="294">
        <v>1</v>
      </c>
      <c r="P602" s="294">
        <v>2</v>
      </c>
    </row>
    <row r="603" spans="1:16" ht="12.75" customHeight="1">
      <c r="B603" s="290" t="s">
        <v>263</v>
      </c>
      <c r="C603" s="294">
        <v>9</v>
      </c>
      <c r="D603" s="294">
        <v>4</v>
      </c>
      <c r="E603" s="294">
        <v>5</v>
      </c>
      <c r="F603" s="294">
        <v>0</v>
      </c>
      <c r="G603" s="294">
        <v>8</v>
      </c>
      <c r="H603" s="294">
        <v>3</v>
      </c>
      <c r="I603" s="294">
        <v>5</v>
      </c>
      <c r="J603" s="294">
        <v>0</v>
      </c>
      <c r="K603" s="294">
        <v>1</v>
      </c>
      <c r="L603" s="294">
        <v>1</v>
      </c>
      <c r="M603" s="294">
        <v>0</v>
      </c>
      <c r="N603" s="294">
        <v>0</v>
      </c>
      <c r="O603" s="294">
        <v>0</v>
      </c>
      <c r="P603" s="294">
        <v>0</v>
      </c>
    </row>
    <row r="604" spans="1:16" ht="12.75" customHeight="1">
      <c r="B604" s="290" t="s">
        <v>264</v>
      </c>
      <c r="C604" s="294">
        <v>13</v>
      </c>
      <c r="D604" s="294">
        <v>9</v>
      </c>
      <c r="E604" s="294">
        <v>4</v>
      </c>
      <c r="F604" s="294">
        <v>0</v>
      </c>
      <c r="G604" s="294">
        <v>9</v>
      </c>
      <c r="H604" s="294">
        <v>6</v>
      </c>
      <c r="I604" s="294">
        <v>3</v>
      </c>
      <c r="J604" s="294">
        <v>0</v>
      </c>
      <c r="K604" s="294">
        <v>3</v>
      </c>
      <c r="L604" s="294">
        <v>3</v>
      </c>
      <c r="M604" s="294">
        <v>0</v>
      </c>
      <c r="N604" s="294">
        <v>1</v>
      </c>
      <c r="O604" s="294">
        <v>0</v>
      </c>
      <c r="P604" s="294">
        <v>1</v>
      </c>
    </row>
    <row r="605" spans="1:16" ht="12.75" customHeight="1">
      <c r="B605" s="290" t="s">
        <v>265</v>
      </c>
      <c r="C605" s="294">
        <v>25</v>
      </c>
      <c r="D605" s="294">
        <v>13</v>
      </c>
      <c r="E605" s="294">
        <v>12</v>
      </c>
      <c r="F605" s="294">
        <v>0</v>
      </c>
      <c r="G605" s="294">
        <v>19</v>
      </c>
      <c r="H605" s="294">
        <v>8</v>
      </c>
      <c r="I605" s="294">
        <v>11</v>
      </c>
      <c r="J605" s="294">
        <v>0</v>
      </c>
      <c r="K605" s="294">
        <v>3</v>
      </c>
      <c r="L605" s="294">
        <v>2</v>
      </c>
      <c r="M605" s="294">
        <v>1</v>
      </c>
      <c r="N605" s="294">
        <v>3</v>
      </c>
      <c r="O605" s="294">
        <v>3</v>
      </c>
      <c r="P605" s="294">
        <v>0</v>
      </c>
    </row>
    <row r="606" spans="1:16" ht="12.75" customHeight="1">
      <c r="B606" s="290" t="s">
        <v>266</v>
      </c>
      <c r="C606" s="294">
        <v>126</v>
      </c>
      <c r="D606" s="294">
        <v>72</v>
      </c>
      <c r="E606" s="294">
        <v>54</v>
      </c>
      <c r="F606" s="294">
        <v>0</v>
      </c>
      <c r="G606" s="294">
        <v>106</v>
      </c>
      <c r="H606" s="294">
        <v>63</v>
      </c>
      <c r="I606" s="294">
        <v>43</v>
      </c>
      <c r="J606" s="294">
        <v>0</v>
      </c>
      <c r="K606" s="294">
        <v>8</v>
      </c>
      <c r="L606" s="294">
        <v>4</v>
      </c>
      <c r="M606" s="294">
        <v>4</v>
      </c>
      <c r="N606" s="294">
        <v>12</v>
      </c>
      <c r="O606" s="294">
        <v>5</v>
      </c>
      <c r="P606" s="294">
        <v>7</v>
      </c>
    </row>
    <row r="607" spans="1:16" ht="12.75" customHeight="1">
      <c r="B607" s="290" t="s">
        <v>504</v>
      </c>
      <c r="C607" s="294">
        <v>9</v>
      </c>
      <c r="D607" s="294">
        <v>3</v>
      </c>
      <c r="E607" s="294">
        <v>6</v>
      </c>
      <c r="F607" s="294">
        <v>0</v>
      </c>
      <c r="G607" s="294">
        <v>2</v>
      </c>
      <c r="H607" s="294">
        <v>1</v>
      </c>
      <c r="I607" s="294">
        <v>1</v>
      </c>
      <c r="J607" s="294">
        <v>0</v>
      </c>
      <c r="K607" s="294">
        <v>1</v>
      </c>
      <c r="L607" s="294">
        <v>1</v>
      </c>
      <c r="M607" s="294">
        <v>0</v>
      </c>
      <c r="N607" s="294">
        <v>6</v>
      </c>
      <c r="O607" s="294">
        <v>1</v>
      </c>
      <c r="P607" s="294">
        <v>5</v>
      </c>
    </row>
    <row r="608" spans="1:16" s="292" customFormat="1" ht="5.0999999999999996" customHeight="1">
      <c r="A608" s="290"/>
      <c r="B608" s="290"/>
      <c r="C608" s="294"/>
      <c r="D608" s="294"/>
      <c r="E608" s="294"/>
      <c r="F608" s="294"/>
      <c r="G608" s="294"/>
      <c r="H608" s="294"/>
      <c r="I608" s="294"/>
      <c r="J608" s="294"/>
      <c r="K608" s="294"/>
      <c r="L608" s="294"/>
      <c r="M608" s="294"/>
      <c r="N608" s="294"/>
      <c r="O608" s="294"/>
      <c r="P608" s="294"/>
    </row>
    <row r="609" spans="1:16" s="292" customFormat="1">
      <c r="A609" s="292" t="s">
        <v>106</v>
      </c>
      <c r="C609" s="293">
        <v>197</v>
      </c>
      <c r="D609" s="293">
        <v>131</v>
      </c>
      <c r="E609" s="293">
        <v>66</v>
      </c>
      <c r="F609" s="293">
        <v>0</v>
      </c>
      <c r="G609" s="293">
        <v>168</v>
      </c>
      <c r="H609" s="293">
        <v>108</v>
      </c>
      <c r="I609" s="293">
        <v>60</v>
      </c>
      <c r="J609" s="293">
        <v>0</v>
      </c>
      <c r="K609" s="293">
        <v>29</v>
      </c>
      <c r="L609" s="293">
        <v>23</v>
      </c>
      <c r="M609" s="293">
        <v>6</v>
      </c>
      <c r="N609" s="293">
        <v>0</v>
      </c>
      <c r="O609" s="293">
        <v>0</v>
      </c>
      <c r="P609" s="293">
        <v>0</v>
      </c>
    </row>
    <row r="610" spans="1:16" s="292" customFormat="1" ht="5.0999999999999996" customHeight="1">
      <c r="A610" s="290"/>
      <c r="B610" s="290"/>
      <c r="C610" s="294"/>
      <c r="D610" s="294"/>
      <c r="E610" s="294"/>
      <c r="F610" s="294"/>
      <c r="G610" s="294"/>
      <c r="H610" s="294"/>
      <c r="I610" s="294"/>
      <c r="J610" s="294"/>
      <c r="K610" s="294"/>
      <c r="L610" s="294"/>
      <c r="M610" s="294"/>
      <c r="N610" s="294"/>
      <c r="O610" s="294"/>
      <c r="P610" s="294"/>
    </row>
    <row r="611" spans="1:16" ht="12.75" customHeight="1">
      <c r="B611" s="290" t="s">
        <v>503</v>
      </c>
      <c r="C611" s="294">
        <v>2</v>
      </c>
      <c r="D611" s="294">
        <v>2</v>
      </c>
      <c r="E611" s="294">
        <v>0</v>
      </c>
      <c r="F611" s="294">
        <v>0</v>
      </c>
      <c r="G611" s="294">
        <v>2</v>
      </c>
      <c r="H611" s="294">
        <v>2</v>
      </c>
      <c r="I611" s="294">
        <v>0</v>
      </c>
      <c r="J611" s="294">
        <v>0</v>
      </c>
      <c r="K611" s="294">
        <v>0</v>
      </c>
      <c r="L611" s="294">
        <v>0</v>
      </c>
      <c r="M611" s="294">
        <v>0</v>
      </c>
      <c r="N611" s="294">
        <v>0</v>
      </c>
      <c r="O611" s="294">
        <v>0</v>
      </c>
      <c r="P611" s="294">
        <v>0</v>
      </c>
    </row>
    <row r="612" spans="1:16" ht="12.75" customHeight="1">
      <c r="B612" s="290" t="s">
        <v>261</v>
      </c>
      <c r="C612" s="294">
        <v>2</v>
      </c>
      <c r="D612" s="294">
        <v>2</v>
      </c>
      <c r="E612" s="294">
        <v>0</v>
      </c>
      <c r="F612" s="294">
        <v>0</v>
      </c>
      <c r="G612" s="294">
        <v>2</v>
      </c>
      <c r="H612" s="294">
        <v>2</v>
      </c>
      <c r="I612" s="294">
        <v>0</v>
      </c>
      <c r="J612" s="294">
        <v>0</v>
      </c>
      <c r="K612" s="294">
        <v>0</v>
      </c>
      <c r="L612" s="294">
        <v>0</v>
      </c>
      <c r="M612" s="294">
        <v>0</v>
      </c>
      <c r="N612" s="294">
        <v>0</v>
      </c>
      <c r="O612" s="294">
        <v>0</v>
      </c>
      <c r="P612" s="294">
        <v>0</v>
      </c>
    </row>
    <row r="613" spans="1:16" ht="12.75" customHeight="1">
      <c r="B613" s="290" t="s">
        <v>63</v>
      </c>
      <c r="C613" s="294">
        <v>2</v>
      </c>
      <c r="D613" s="294">
        <v>1</v>
      </c>
      <c r="E613" s="294">
        <v>1</v>
      </c>
      <c r="F613" s="294">
        <v>0</v>
      </c>
      <c r="G613" s="294">
        <v>1</v>
      </c>
      <c r="H613" s="294">
        <v>1</v>
      </c>
      <c r="I613" s="294">
        <v>0</v>
      </c>
      <c r="J613" s="294">
        <v>0</v>
      </c>
      <c r="K613" s="294">
        <v>1</v>
      </c>
      <c r="L613" s="294">
        <v>0</v>
      </c>
      <c r="M613" s="294">
        <v>1</v>
      </c>
      <c r="N613" s="294">
        <v>0</v>
      </c>
      <c r="O613" s="294">
        <v>0</v>
      </c>
      <c r="P613" s="294">
        <v>0</v>
      </c>
    </row>
    <row r="614" spans="1:16" ht="12.75" customHeight="1">
      <c r="B614" s="290" t="s">
        <v>64</v>
      </c>
      <c r="C614" s="294">
        <v>3</v>
      </c>
      <c r="D614" s="294">
        <v>2</v>
      </c>
      <c r="E614" s="294">
        <v>1</v>
      </c>
      <c r="F614" s="294">
        <v>0</v>
      </c>
      <c r="G614" s="294">
        <v>3</v>
      </c>
      <c r="H614" s="294">
        <v>2</v>
      </c>
      <c r="I614" s="294">
        <v>1</v>
      </c>
      <c r="J614" s="294">
        <v>0</v>
      </c>
      <c r="K614" s="294">
        <v>0</v>
      </c>
      <c r="L614" s="294">
        <v>0</v>
      </c>
      <c r="M614" s="294">
        <v>0</v>
      </c>
      <c r="N614" s="294">
        <v>0</v>
      </c>
      <c r="O614" s="294">
        <v>0</v>
      </c>
      <c r="P614" s="294">
        <v>0</v>
      </c>
    </row>
    <row r="615" spans="1:16" ht="12.75" customHeight="1">
      <c r="B615" s="290" t="s">
        <v>65</v>
      </c>
      <c r="C615" s="294">
        <v>4</v>
      </c>
      <c r="D615" s="294">
        <v>2</v>
      </c>
      <c r="E615" s="294">
        <v>2</v>
      </c>
      <c r="F615" s="294">
        <v>0</v>
      </c>
      <c r="G615" s="294">
        <v>2</v>
      </c>
      <c r="H615" s="294">
        <v>1</v>
      </c>
      <c r="I615" s="294">
        <v>1</v>
      </c>
      <c r="J615" s="294">
        <v>0</v>
      </c>
      <c r="K615" s="294">
        <v>2</v>
      </c>
      <c r="L615" s="294">
        <v>1</v>
      </c>
      <c r="M615" s="294">
        <v>1</v>
      </c>
      <c r="N615" s="294">
        <v>0</v>
      </c>
      <c r="O615" s="294">
        <v>0</v>
      </c>
      <c r="P615" s="294">
        <v>0</v>
      </c>
    </row>
    <row r="616" spans="1:16" ht="12.75" customHeight="1">
      <c r="B616" s="290" t="s">
        <v>66</v>
      </c>
      <c r="C616" s="294">
        <v>6</v>
      </c>
      <c r="D616" s="294">
        <v>4</v>
      </c>
      <c r="E616" s="294">
        <v>2</v>
      </c>
      <c r="F616" s="294">
        <v>0</v>
      </c>
      <c r="G616" s="294">
        <v>6</v>
      </c>
      <c r="H616" s="294">
        <v>4</v>
      </c>
      <c r="I616" s="294">
        <v>2</v>
      </c>
      <c r="J616" s="294">
        <v>0</v>
      </c>
      <c r="K616" s="294">
        <v>0</v>
      </c>
      <c r="L616" s="294">
        <v>0</v>
      </c>
      <c r="M616" s="294">
        <v>0</v>
      </c>
      <c r="N616" s="294">
        <v>0</v>
      </c>
      <c r="O616" s="294">
        <v>0</v>
      </c>
      <c r="P616" s="294">
        <v>0</v>
      </c>
    </row>
    <row r="617" spans="1:16" ht="12.75" customHeight="1">
      <c r="B617" s="290" t="s">
        <v>67</v>
      </c>
      <c r="C617" s="294">
        <v>6</v>
      </c>
      <c r="D617" s="294">
        <v>2</v>
      </c>
      <c r="E617" s="294">
        <v>4</v>
      </c>
      <c r="F617" s="294">
        <v>0</v>
      </c>
      <c r="G617" s="294">
        <v>6</v>
      </c>
      <c r="H617" s="294">
        <v>2</v>
      </c>
      <c r="I617" s="294">
        <v>4</v>
      </c>
      <c r="J617" s="294">
        <v>0</v>
      </c>
      <c r="K617" s="294">
        <v>0</v>
      </c>
      <c r="L617" s="294">
        <v>0</v>
      </c>
      <c r="M617" s="294">
        <v>0</v>
      </c>
      <c r="N617" s="294">
        <v>0</v>
      </c>
      <c r="O617" s="294">
        <v>0</v>
      </c>
      <c r="P617" s="294">
        <v>0</v>
      </c>
    </row>
    <row r="618" spans="1:16" ht="12.75" customHeight="1">
      <c r="B618" s="290" t="s">
        <v>68</v>
      </c>
      <c r="C618" s="294">
        <v>11</v>
      </c>
      <c r="D618" s="294">
        <v>7</v>
      </c>
      <c r="E618" s="294">
        <v>4</v>
      </c>
      <c r="F618" s="294">
        <v>0</v>
      </c>
      <c r="G618" s="294">
        <v>9</v>
      </c>
      <c r="H618" s="294">
        <v>5</v>
      </c>
      <c r="I618" s="294">
        <v>4</v>
      </c>
      <c r="J618" s="294">
        <v>0</v>
      </c>
      <c r="K618" s="294">
        <v>2</v>
      </c>
      <c r="L618" s="294">
        <v>2</v>
      </c>
      <c r="M618" s="294">
        <v>0</v>
      </c>
      <c r="N618" s="294">
        <v>0</v>
      </c>
      <c r="O618" s="294">
        <v>0</v>
      </c>
      <c r="P618" s="294">
        <v>0</v>
      </c>
    </row>
    <row r="619" spans="1:16" ht="12.75" customHeight="1">
      <c r="B619" s="290" t="s">
        <v>69</v>
      </c>
      <c r="C619" s="294">
        <v>2</v>
      </c>
      <c r="D619" s="294">
        <v>2</v>
      </c>
      <c r="E619" s="294">
        <v>0</v>
      </c>
      <c r="F619" s="294">
        <v>0</v>
      </c>
      <c r="G619" s="294">
        <v>1</v>
      </c>
      <c r="H619" s="294">
        <v>1</v>
      </c>
      <c r="I619" s="294">
        <v>0</v>
      </c>
      <c r="J619" s="294">
        <v>0</v>
      </c>
      <c r="K619" s="294">
        <v>1</v>
      </c>
      <c r="L619" s="294">
        <v>1</v>
      </c>
      <c r="M619" s="294">
        <v>0</v>
      </c>
      <c r="N619" s="294">
        <v>0</v>
      </c>
      <c r="O619" s="294">
        <v>0</v>
      </c>
      <c r="P619" s="294">
        <v>0</v>
      </c>
    </row>
    <row r="620" spans="1:16" ht="12.75" customHeight="1">
      <c r="B620" s="290" t="s">
        <v>262</v>
      </c>
      <c r="C620" s="294">
        <v>10</v>
      </c>
      <c r="D620" s="294">
        <v>7</v>
      </c>
      <c r="E620" s="294">
        <v>3</v>
      </c>
      <c r="F620" s="294">
        <v>0</v>
      </c>
      <c r="G620" s="294">
        <v>9</v>
      </c>
      <c r="H620" s="294">
        <v>6</v>
      </c>
      <c r="I620" s="294">
        <v>3</v>
      </c>
      <c r="J620" s="294">
        <v>0</v>
      </c>
      <c r="K620" s="294">
        <v>1</v>
      </c>
      <c r="L620" s="294">
        <v>1</v>
      </c>
      <c r="M620" s="294">
        <v>0</v>
      </c>
      <c r="N620" s="294">
        <v>0</v>
      </c>
      <c r="O620" s="294">
        <v>0</v>
      </c>
      <c r="P620" s="294">
        <v>0</v>
      </c>
    </row>
    <row r="621" spans="1:16" ht="12.75" customHeight="1">
      <c r="B621" s="290" t="s">
        <v>263</v>
      </c>
      <c r="C621" s="294">
        <v>13</v>
      </c>
      <c r="D621" s="294">
        <v>9</v>
      </c>
      <c r="E621" s="294">
        <v>4</v>
      </c>
      <c r="F621" s="294">
        <v>0</v>
      </c>
      <c r="G621" s="294">
        <v>12</v>
      </c>
      <c r="H621" s="294">
        <v>8</v>
      </c>
      <c r="I621" s="294">
        <v>4</v>
      </c>
      <c r="J621" s="294">
        <v>0</v>
      </c>
      <c r="K621" s="294">
        <v>1</v>
      </c>
      <c r="L621" s="294">
        <v>1</v>
      </c>
      <c r="M621" s="294">
        <v>0</v>
      </c>
      <c r="N621" s="294">
        <v>0</v>
      </c>
      <c r="O621" s="294">
        <v>0</v>
      </c>
      <c r="P621" s="294">
        <v>0</v>
      </c>
    </row>
    <row r="622" spans="1:16" ht="12.75" customHeight="1">
      <c r="B622" s="290" t="s">
        <v>264</v>
      </c>
      <c r="C622" s="294">
        <v>14</v>
      </c>
      <c r="D622" s="294">
        <v>12</v>
      </c>
      <c r="E622" s="294">
        <v>2</v>
      </c>
      <c r="F622" s="294">
        <v>0</v>
      </c>
      <c r="G622" s="294">
        <v>11</v>
      </c>
      <c r="H622" s="294">
        <v>10</v>
      </c>
      <c r="I622" s="294">
        <v>1</v>
      </c>
      <c r="J622" s="294">
        <v>0</v>
      </c>
      <c r="K622" s="294">
        <v>3</v>
      </c>
      <c r="L622" s="294">
        <v>2</v>
      </c>
      <c r="M622" s="294">
        <v>1</v>
      </c>
      <c r="N622" s="294">
        <v>0</v>
      </c>
      <c r="O622" s="294">
        <v>0</v>
      </c>
      <c r="P622" s="294">
        <v>0</v>
      </c>
    </row>
    <row r="623" spans="1:16" ht="12.75" customHeight="1">
      <c r="B623" s="290" t="s">
        <v>265</v>
      </c>
      <c r="C623" s="294">
        <v>13</v>
      </c>
      <c r="D623" s="294">
        <v>10</v>
      </c>
      <c r="E623" s="294">
        <v>3</v>
      </c>
      <c r="F623" s="294">
        <v>0</v>
      </c>
      <c r="G623" s="294">
        <v>13</v>
      </c>
      <c r="H623" s="294">
        <v>10</v>
      </c>
      <c r="I623" s="294">
        <v>3</v>
      </c>
      <c r="J623" s="294">
        <v>0</v>
      </c>
      <c r="K623" s="294">
        <v>0</v>
      </c>
      <c r="L623" s="294">
        <v>0</v>
      </c>
      <c r="M623" s="294">
        <v>0</v>
      </c>
      <c r="N623" s="294">
        <v>0</v>
      </c>
      <c r="O623" s="294">
        <v>0</v>
      </c>
      <c r="P623" s="294">
        <v>0</v>
      </c>
    </row>
    <row r="624" spans="1:16" ht="12.75" customHeight="1">
      <c r="B624" s="290" t="s">
        <v>266</v>
      </c>
      <c r="C624" s="294">
        <v>100</v>
      </c>
      <c r="D624" s="294">
        <v>63</v>
      </c>
      <c r="E624" s="294">
        <v>37</v>
      </c>
      <c r="F624" s="294">
        <v>0</v>
      </c>
      <c r="G624" s="294">
        <v>83</v>
      </c>
      <c r="H624" s="294">
        <v>49</v>
      </c>
      <c r="I624" s="294">
        <v>34</v>
      </c>
      <c r="J624" s="294">
        <v>0</v>
      </c>
      <c r="K624" s="294">
        <v>17</v>
      </c>
      <c r="L624" s="294">
        <v>14</v>
      </c>
      <c r="M624" s="294">
        <v>3</v>
      </c>
      <c r="N624" s="294">
        <v>0</v>
      </c>
      <c r="O624" s="294">
        <v>0</v>
      </c>
      <c r="P624" s="294">
        <v>0</v>
      </c>
    </row>
    <row r="625" spans="1:16" ht="12.75" customHeight="1">
      <c r="B625" s="290" t="s">
        <v>504</v>
      </c>
      <c r="C625" s="294">
        <v>9</v>
      </c>
      <c r="D625" s="294">
        <v>6</v>
      </c>
      <c r="E625" s="294">
        <v>3</v>
      </c>
      <c r="F625" s="294">
        <v>0</v>
      </c>
      <c r="G625" s="294">
        <v>8</v>
      </c>
      <c r="H625" s="294">
        <v>5</v>
      </c>
      <c r="I625" s="294">
        <v>3</v>
      </c>
      <c r="J625" s="294">
        <v>0</v>
      </c>
      <c r="K625" s="294">
        <v>1</v>
      </c>
      <c r="L625" s="294">
        <v>1</v>
      </c>
      <c r="M625" s="294">
        <v>0</v>
      </c>
      <c r="N625" s="294">
        <v>0</v>
      </c>
      <c r="O625" s="294">
        <v>0</v>
      </c>
      <c r="P625" s="294">
        <v>0</v>
      </c>
    </row>
    <row r="626" spans="1:16" s="292" customFormat="1" ht="5.0999999999999996" customHeight="1">
      <c r="A626" s="290"/>
      <c r="B626" s="290"/>
      <c r="C626" s="294"/>
      <c r="D626" s="294"/>
      <c r="E626" s="294"/>
      <c r="F626" s="294"/>
      <c r="G626" s="294"/>
      <c r="H626" s="294"/>
      <c r="I626" s="294"/>
      <c r="J626" s="294"/>
      <c r="K626" s="294"/>
      <c r="L626" s="294"/>
      <c r="M626" s="294"/>
      <c r="N626" s="294"/>
      <c r="O626" s="294"/>
      <c r="P626" s="294"/>
    </row>
    <row r="627" spans="1:16" s="292" customFormat="1">
      <c r="A627" s="292" t="s">
        <v>107</v>
      </c>
      <c r="C627" s="293">
        <v>2047</v>
      </c>
      <c r="D627" s="293">
        <v>1171</v>
      </c>
      <c r="E627" s="293">
        <v>876</v>
      </c>
      <c r="F627" s="293">
        <v>0</v>
      </c>
      <c r="G627" s="293">
        <v>1804</v>
      </c>
      <c r="H627" s="293">
        <v>1035</v>
      </c>
      <c r="I627" s="293">
        <v>769</v>
      </c>
      <c r="J627" s="293">
        <v>0</v>
      </c>
      <c r="K627" s="293">
        <v>124</v>
      </c>
      <c r="L627" s="293">
        <v>79</v>
      </c>
      <c r="M627" s="293">
        <v>45</v>
      </c>
      <c r="N627" s="293">
        <v>119</v>
      </c>
      <c r="O627" s="293">
        <v>57</v>
      </c>
      <c r="P627" s="293">
        <v>62</v>
      </c>
    </row>
    <row r="628" spans="1:16" s="292" customFormat="1" ht="5.0999999999999996" customHeight="1">
      <c r="A628" s="290"/>
      <c r="B628" s="290"/>
      <c r="C628" s="294"/>
      <c r="D628" s="294"/>
      <c r="E628" s="294"/>
      <c r="F628" s="294"/>
      <c r="G628" s="294"/>
      <c r="H628" s="294"/>
      <c r="I628" s="294"/>
      <c r="J628" s="294"/>
      <c r="K628" s="294"/>
      <c r="L628" s="294"/>
      <c r="M628" s="294"/>
      <c r="N628" s="294"/>
      <c r="O628" s="294"/>
      <c r="P628" s="294"/>
    </row>
    <row r="629" spans="1:16" ht="12.75" customHeight="1">
      <c r="B629" s="290" t="s">
        <v>503</v>
      </c>
      <c r="C629" s="294">
        <v>74</v>
      </c>
      <c r="D629" s="294">
        <v>38</v>
      </c>
      <c r="E629" s="294">
        <v>36</v>
      </c>
      <c r="F629" s="294">
        <v>0</v>
      </c>
      <c r="G629" s="294">
        <v>12</v>
      </c>
      <c r="H629" s="294">
        <v>7</v>
      </c>
      <c r="I629" s="294">
        <v>5</v>
      </c>
      <c r="J629" s="294">
        <v>0</v>
      </c>
      <c r="K629" s="294">
        <v>1</v>
      </c>
      <c r="L629" s="294">
        <v>0</v>
      </c>
      <c r="M629" s="294">
        <v>1</v>
      </c>
      <c r="N629" s="294">
        <v>61</v>
      </c>
      <c r="O629" s="294">
        <v>31</v>
      </c>
      <c r="P629" s="294">
        <v>30</v>
      </c>
    </row>
    <row r="630" spans="1:16" ht="12.75" customHeight="1">
      <c r="B630" s="290" t="s">
        <v>259</v>
      </c>
      <c r="C630" s="294">
        <v>14</v>
      </c>
      <c r="D630" s="294">
        <v>6</v>
      </c>
      <c r="E630" s="294">
        <v>8</v>
      </c>
      <c r="F630" s="294">
        <v>0</v>
      </c>
      <c r="G630" s="294">
        <v>8</v>
      </c>
      <c r="H630" s="294">
        <v>2</v>
      </c>
      <c r="I630" s="294">
        <v>6</v>
      </c>
      <c r="J630" s="294">
        <v>0</v>
      </c>
      <c r="K630" s="294">
        <v>2</v>
      </c>
      <c r="L630" s="294">
        <v>2</v>
      </c>
      <c r="M630" s="294">
        <v>0</v>
      </c>
      <c r="N630" s="294">
        <v>4</v>
      </c>
      <c r="O630" s="294">
        <v>2</v>
      </c>
      <c r="P630" s="294">
        <v>2</v>
      </c>
    </row>
    <row r="631" spans="1:16" ht="12.75" customHeight="1">
      <c r="B631" s="290" t="s">
        <v>260</v>
      </c>
      <c r="C631" s="294">
        <v>12</v>
      </c>
      <c r="D631" s="294">
        <v>8</v>
      </c>
      <c r="E631" s="294">
        <v>4</v>
      </c>
      <c r="F631" s="294">
        <v>0</v>
      </c>
      <c r="G631" s="294">
        <v>7</v>
      </c>
      <c r="H631" s="294">
        <v>6</v>
      </c>
      <c r="I631" s="294">
        <v>1</v>
      </c>
      <c r="J631" s="294">
        <v>0</v>
      </c>
      <c r="K631" s="294">
        <v>1</v>
      </c>
      <c r="L631" s="294">
        <v>1</v>
      </c>
      <c r="M631" s="294">
        <v>0</v>
      </c>
      <c r="N631" s="294">
        <v>4</v>
      </c>
      <c r="O631" s="294">
        <v>1</v>
      </c>
      <c r="P631" s="294">
        <v>3</v>
      </c>
    </row>
    <row r="632" spans="1:16" ht="12.75" customHeight="1">
      <c r="B632" s="290" t="s">
        <v>261</v>
      </c>
      <c r="C632" s="294">
        <v>15</v>
      </c>
      <c r="D632" s="294">
        <v>8</v>
      </c>
      <c r="E632" s="294">
        <v>7</v>
      </c>
      <c r="F632" s="294">
        <v>0</v>
      </c>
      <c r="G632" s="294">
        <v>13</v>
      </c>
      <c r="H632" s="294">
        <v>7</v>
      </c>
      <c r="I632" s="294">
        <v>6</v>
      </c>
      <c r="J632" s="294">
        <v>0</v>
      </c>
      <c r="K632" s="294">
        <v>0</v>
      </c>
      <c r="L632" s="294">
        <v>0</v>
      </c>
      <c r="M632" s="294">
        <v>0</v>
      </c>
      <c r="N632" s="294">
        <v>2</v>
      </c>
      <c r="O632" s="294">
        <v>1</v>
      </c>
      <c r="P632" s="294">
        <v>1</v>
      </c>
    </row>
    <row r="633" spans="1:16" ht="12.75" customHeight="1">
      <c r="B633" s="290" t="s">
        <v>63</v>
      </c>
      <c r="C633" s="294">
        <v>39</v>
      </c>
      <c r="D633" s="294">
        <v>26</v>
      </c>
      <c r="E633" s="294">
        <v>13</v>
      </c>
      <c r="F633" s="294">
        <v>0</v>
      </c>
      <c r="G633" s="294">
        <v>31</v>
      </c>
      <c r="H633" s="294">
        <v>20</v>
      </c>
      <c r="I633" s="294">
        <v>11</v>
      </c>
      <c r="J633" s="294">
        <v>0</v>
      </c>
      <c r="K633" s="294">
        <v>6</v>
      </c>
      <c r="L633" s="294">
        <v>5</v>
      </c>
      <c r="M633" s="294">
        <v>1</v>
      </c>
      <c r="N633" s="294">
        <v>2</v>
      </c>
      <c r="O633" s="294">
        <v>1</v>
      </c>
      <c r="P633" s="294">
        <v>1</v>
      </c>
    </row>
    <row r="634" spans="1:16" ht="12.75" customHeight="1">
      <c r="B634" s="290" t="s">
        <v>64</v>
      </c>
      <c r="C634" s="294">
        <v>69</v>
      </c>
      <c r="D634" s="294">
        <v>44</v>
      </c>
      <c r="E634" s="294">
        <v>25</v>
      </c>
      <c r="F634" s="294">
        <v>0</v>
      </c>
      <c r="G634" s="294">
        <v>63</v>
      </c>
      <c r="H634" s="294">
        <v>43</v>
      </c>
      <c r="I634" s="294">
        <v>20</v>
      </c>
      <c r="J634" s="294">
        <v>0</v>
      </c>
      <c r="K634" s="294">
        <v>4</v>
      </c>
      <c r="L634" s="294">
        <v>1</v>
      </c>
      <c r="M634" s="294">
        <v>3</v>
      </c>
      <c r="N634" s="294">
        <v>2</v>
      </c>
      <c r="O634" s="294">
        <v>0</v>
      </c>
      <c r="P634" s="294">
        <v>2</v>
      </c>
    </row>
    <row r="635" spans="1:16" ht="12.75" customHeight="1">
      <c r="B635" s="290" t="s">
        <v>65</v>
      </c>
      <c r="C635" s="294">
        <v>69</v>
      </c>
      <c r="D635" s="294">
        <v>47</v>
      </c>
      <c r="E635" s="294">
        <v>22</v>
      </c>
      <c r="F635" s="294">
        <v>0</v>
      </c>
      <c r="G635" s="294">
        <v>64</v>
      </c>
      <c r="H635" s="294">
        <v>45</v>
      </c>
      <c r="I635" s="294">
        <v>19</v>
      </c>
      <c r="J635" s="294">
        <v>0</v>
      </c>
      <c r="K635" s="294">
        <v>3</v>
      </c>
      <c r="L635" s="294">
        <v>1</v>
      </c>
      <c r="M635" s="294">
        <v>2</v>
      </c>
      <c r="N635" s="294">
        <v>2</v>
      </c>
      <c r="O635" s="294">
        <v>1</v>
      </c>
      <c r="P635" s="294">
        <v>1</v>
      </c>
    </row>
    <row r="636" spans="1:16" ht="12.75" customHeight="1">
      <c r="B636" s="290" t="s">
        <v>66</v>
      </c>
      <c r="C636" s="294">
        <v>74</v>
      </c>
      <c r="D636" s="294">
        <v>49</v>
      </c>
      <c r="E636" s="294">
        <v>25</v>
      </c>
      <c r="F636" s="294">
        <v>0</v>
      </c>
      <c r="G636" s="294">
        <v>64</v>
      </c>
      <c r="H636" s="294">
        <v>42</v>
      </c>
      <c r="I636" s="294">
        <v>22</v>
      </c>
      <c r="J636" s="294">
        <v>0</v>
      </c>
      <c r="K636" s="294">
        <v>6</v>
      </c>
      <c r="L636" s="294">
        <v>5</v>
      </c>
      <c r="M636" s="294">
        <v>1</v>
      </c>
      <c r="N636" s="294">
        <v>4</v>
      </c>
      <c r="O636" s="294">
        <v>2</v>
      </c>
      <c r="P636" s="294">
        <v>2</v>
      </c>
    </row>
    <row r="637" spans="1:16" ht="12.75" customHeight="1">
      <c r="B637" s="290" t="s">
        <v>67</v>
      </c>
      <c r="C637" s="294">
        <v>76</v>
      </c>
      <c r="D637" s="294">
        <v>44</v>
      </c>
      <c r="E637" s="294">
        <v>32</v>
      </c>
      <c r="F637" s="294">
        <v>0</v>
      </c>
      <c r="G637" s="294">
        <v>66</v>
      </c>
      <c r="H637" s="294">
        <v>37</v>
      </c>
      <c r="I637" s="294">
        <v>29</v>
      </c>
      <c r="J637" s="294">
        <v>0</v>
      </c>
      <c r="K637" s="294">
        <v>6</v>
      </c>
      <c r="L637" s="294">
        <v>5</v>
      </c>
      <c r="M637" s="294">
        <v>1</v>
      </c>
      <c r="N637" s="294">
        <v>4</v>
      </c>
      <c r="O637" s="294">
        <v>2</v>
      </c>
      <c r="P637" s="294">
        <v>2</v>
      </c>
    </row>
    <row r="638" spans="1:16" ht="12.75" customHeight="1">
      <c r="B638" s="290" t="s">
        <v>68</v>
      </c>
      <c r="C638" s="294">
        <v>84</v>
      </c>
      <c r="D638" s="294">
        <v>52</v>
      </c>
      <c r="E638" s="294">
        <v>32</v>
      </c>
      <c r="F638" s="294">
        <v>0</v>
      </c>
      <c r="G638" s="294">
        <v>77</v>
      </c>
      <c r="H638" s="294">
        <v>48</v>
      </c>
      <c r="I638" s="294">
        <v>29</v>
      </c>
      <c r="J638" s="294">
        <v>0</v>
      </c>
      <c r="K638" s="294">
        <v>3</v>
      </c>
      <c r="L638" s="294">
        <v>3</v>
      </c>
      <c r="M638" s="294">
        <v>0</v>
      </c>
      <c r="N638" s="294">
        <v>4</v>
      </c>
      <c r="O638" s="294">
        <v>1</v>
      </c>
      <c r="P638" s="294">
        <v>3</v>
      </c>
    </row>
    <row r="639" spans="1:16" ht="12.75" customHeight="1">
      <c r="B639" s="290" t="s">
        <v>69</v>
      </c>
      <c r="C639" s="294">
        <v>97</v>
      </c>
      <c r="D639" s="294">
        <v>61</v>
      </c>
      <c r="E639" s="294">
        <v>36</v>
      </c>
      <c r="F639" s="294">
        <v>0</v>
      </c>
      <c r="G639" s="294">
        <v>92</v>
      </c>
      <c r="H639" s="294">
        <v>58</v>
      </c>
      <c r="I639" s="294">
        <v>34</v>
      </c>
      <c r="J639" s="294">
        <v>0</v>
      </c>
      <c r="K639" s="294">
        <v>4</v>
      </c>
      <c r="L639" s="294">
        <v>3</v>
      </c>
      <c r="M639" s="294">
        <v>1</v>
      </c>
      <c r="N639" s="294">
        <v>1</v>
      </c>
      <c r="O639" s="294">
        <v>0</v>
      </c>
      <c r="P639" s="294">
        <v>1</v>
      </c>
    </row>
    <row r="640" spans="1:16" ht="12.75" customHeight="1">
      <c r="B640" s="290" t="s">
        <v>262</v>
      </c>
      <c r="C640" s="294">
        <v>113</v>
      </c>
      <c r="D640" s="294">
        <v>67</v>
      </c>
      <c r="E640" s="294">
        <v>46</v>
      </c>
      <c r="F640" s="294">
        <v>0</v>
      </c>
      <c r="G640" s="294">
        <v>106</v>
      </c>
      <c r="H640" s="294">
        <v>62</v>
      </c>
      <c r="I640" s="294">
        <v>44</v>
      </c>
      <c r="J640" s="294">
        <v>0</v>
      </c>
      <c r="K640" s="294">
        <v>6</v>
      </c>
      <c r="L640" s="294">
        <v>4</v>
      </c>
      <c r="M640" s="294">
        <v>2</v>
      </c>
      <c r="N640" s="294">
        <v>1</v>
      </c>
      <c r="O640" s="294">
        <v>1</v>
      </c>
      <c r="P640" s="294">
        <v>0</v>
      </c>
    </row>
    <row r="641" spans="1:16" ht="12.75" customHeight="1">
      <c r="B641" s="290" t="s">
        <v>263</v>
      </c>
      <c r="C641" s="294">
        <v>118</v>
      </c>
      <c r="D641" s="294">
        <v>71</v>
      </c>
      <c r="E641" s="294">
        <v>47</v>
      </c>
      <c r="F641" s="294">
        <v>0</v>
      </c>
      <c r="G641" s="294">
        <v>111</v>
      </c>
      <c r="H641" s="294">
        <v>68</v>
      </c>
      <c r="I641" s="294">
        <v>43</v>
      </c>
      <c r="J641" s="294">
        <v>0</v>
      </c>
      <c r="K641" s="294">
        <v>6</v>
      </c>
      <c r="L641" s="294">
        <v>2</v>
      </c>
      <c r="M641" s="294">
        <v>4</v>
      </c>
      <c r="N641" s="294">
        <v>1</v>
      </c>
      <c r="O641" s="294">
        <v>1</v>
      </c>
      <c r="P641" s="294">
        <v>0</v>
      </c>
    </row>
    <row r="642" spans="1:16" ht="12.75" customHeight="1">
      <c r="B642" s="290" t="s">
        <v>264</v>
      </c>
      <c r="C642" s="294">
        <v>163</v>
      </c>
      <c r="D642" s="294">
        <v>105</v>
      </c>
      <c r="E642" s="294">
        <v>58</v>
      </c>
      <c r="F642" s="294">
        <v>0</v>
      </c>
      <c r="G642" s="294">
        <v>152</v>
      </c>
      <c r="H642" s="294">
        <v>99</v>
      </c>
      <c r="I642" s="294">
        <v>53</v>
      </c>
      <c r="J642" s="294">
        <v>0</v>
      </c>
      <c r="K642" s="294">
        <v>9</v>
      </c>
      <c r="L642" s="294">
        <v>6</v>
      </c>
      <c r="M642" s="294">
        <v>3</v>
      </c>
      <c r="N642" s="294">
        <v>2</v>
      </c>
      <c r="O642" s="294">
        <v>0</v>
      </c>
      <c r="P642" s="294">
        <v>2</v>
      </c>
    </row>
    <row r="643" spans="1:16" ht="12.75" customHeight="1">
      <c r="B643" s="290" t="s">
        <v>265</v>
      </c>
      <c r="C643" s="294">
        <v>177</v>
      </c>
      <c r="D643" s="294">
        <v>102</v>
      </c>
      <c r="E643" s="294">
        <v>75</v>
      </c>
      <c r="F643" s="294">
        <v>0</v>
      </c>
      <c r="G643" s="294">
        <v>167</v>
      </c>
      <c r="H643" s="294">
        <v>98</v>
      </c>
      <c r="I643" s="294">
        <v>69</v>
      </c>
      <c r="J643" s="294">
        <v>0</v>
      </c>
      <c r="K643" s="294">
        <v>7</v>
      </c>
      <c r="L643" s="294">
        <v>3</v>
      </c>
      <c r="M643" s="294">
        <v>4</v>
      </c>
      <c r="N643" s="294">
        <v>3</v>
      </c>
      <c r="O643" s="294">
        <v>1</v>
      </c>
      <c r="P643" s="294">
        <v>2</v>
      </c>
    </row>
    <row r="644" spans="1:16" ht="12.75" customHeight="1">
      <c r="B644" s="290" t="s">
        <v>266</v>
      </c>
      <c r="C644" s="294">
        <v>837</v>
      </c>
      <c r="D644" s="294">
        <v>437</v>
      </c>
      <c r="E644" s="294">
        <v>400</v>
      </c>
      <c r="F644" s="294">
        <v>0</v>
      </c>
      <c r="G644" s="294">
        <v>756</v>
      </c>
      <c r="H644" s="294">
        <v>387</v>
      </c>
      <c r="I644" s="294">
        <v>369</v>
      </c>
      <c r="J644" s="294">
        <v>0</v>
      </c>
      <c r="K644" s="294">
        <v>59</v>
      </c>
      <c r="L644" s="294">
        <v>38</v>
      </c>
      <c r="M644" s="294">
        <v>21</v>
      </c>
      <c r="N644" s="294">
        <v>22</v>
      </c>
      <c r="O644" s="294">
        <v>12</v>
      </c>
      <c r="P644" s="294">
        <v>10</v>
      </c>
    </row>
    <row r="645" spans="1:16" ht="12.75" customHeight="1">
      <c r="B645" s="290" t="s">
        <v>504</v>
      </c>
      <c r="C645" s="294">
        <v>16</v>
      </c>
      <c r="D645" s="294">
        <v>6</v>
      </c>
      <c r="E645" s="294">
        <v>10</v>
      </c>
      <c r="F645" s="294">
        <v>0</v>
      </c>
      <c r="G645" s="294">
        <v>15</v>
      </c>
      <c r="H645" s="294">
        <v>6</v>
      </c>
      <c r="I645" s="294">
        <v>9</v>
      </c>
      <c r="J645" s="294">
        <v>0</v>
      </c>
      <c r="K645" s="294">
        <v>1</v>
      </c>
      <c r="L645" s="294">
        <v>0</v>
      </c>
      <c r="M645" s="294">
        <v>1</v>
      </c>
      <c r="N645" s="294">
        <v>0</v>
      </c>
      <c r="O645" s="294">
        <v>0</v>
      </c>
      <c r="P645" s="294">
        <v>0</v>
      </c>
    </row>
    <row r="646" spans="1:16" ht="5.0999999999999996" customHeight="1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</row>
    <row r="647" spans="1:16" ht="5.0999999999999996" customHeight="1"/>
    <row r="648" spans="1:16">
      <c r="A648" s="301" t="s">
        <v>71</v>
      </c>
    </row>
    <row r="649" spans="1:16">
      <c r="A649" s="301" t="s">
        <v>231</v>
      </c>
    </row>
  </sheetData>
  <mergeCells count="13">
    <mergeCell ref="C6:P6"/>
    <mergeCell ref="A6:B8"/>
    <mergeCell ref="A2:P2"/>
    <mergeCell ref="A3:P3"/>
    <mergeCell ref="A4:P4"/>
    <mergeCell ref="D7:F7"/>
    <mergeCell ref="C7:C8"/>
    <mergeCell ref="H7:J7"/>
    <mergeCell ref="G7:G8"/>
    <mergeCell ref="L7:M7"/>
    <mergeCell ref="O7:P7"/>
    <mergeCell ref="K7:K8"/>
    <mergeCell ref="N7:N8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2:F700"/>
  <sheetViews>
    <sheetView workbookViewId="0">
      <selection activeCell="I18" sqref="I18"/>
    </sheetView>
  </sheetViews>
  <sheetFormatPr baseColWidth="10" defaultColWidth="11.42578125" defaultRowHeight="12.75"/>
  <cols>
    <col min="1" max="1" width="1.7109375" style="308" customWidth="1"/>
    <col min="2" max="2" width="16.140625" style="308" customWidth="1"/>
    <col min="3" max="3" width="11.85546875" style="308" customWidth="1"/>
    <col min="4" max="5" width="11.42578125" style="308"/>
    <col min="6" max="6" width="12.42578125" style="308" customWidth="1"/>
    <col min="7" max="16384" width="11.42578125" style="308"/>
  </cols>
  <sheetData>
    <row r="2" spans="1:6" ht="13.5">
      <c r="A2" s="434" t="s">
        <v>282</v>
      </c>
      <c r="B2" s="434"/>
      <c r="C2" s="434"/>
      <c r="D2" s="434"/>
      <c r="E2" s="434"/>
      <c r="F2" s="434"/>
    </row>
    <row r="3" spans="1:6" ht="13.5">
      <c r="A3" s="428" t="s">
        <v>17</v>
      </c>
      <c r="B3" s="428"/>
      <c r="C3" s="428"/>
      <c r="D3" s="428"/>
      <c r="E3" s="428"/>
      <c r="F3" s="428"/>
    </row>
    <row r="4" spans="1:6" ht="13.5">
      <c r="A4" s="428" t="s">
        <v>509</v>
      </c>
      <c r="B4" s="428"/>
      <c r="C4" s="428"/>
      <c r="D4" s="428"/>
      <c r="E4" s="428"/>
      <c r="F4" s="428"/>
    </row>
    <row r="6" spans="1:6" ht="12.75" customHeight="1">
      <c r="A6" s="436" t="s">
        <v>283</v>
      </c>
      <c r="B6" s="436"/>
      <c r="C6" s="432" t="s">
        <v>61</v>
      </c>
      <c r="D6" s="429" t="s">
        <v>281</v>
      </c>
      <c r="E6" s="429"/>
      <c r="F6" s="429"/>
    </row>
    <row r="7" spans="1:6" ht="13.5">
      <c r="A7" s="438"/>
      <c r="B7" s="438"/>
      <c r="C7" s="433"/>
      <c r="D7" s="321" t="s">
        <v>41</v>
      </c>
      <c r="E7" s="321" t="s">
        <v>42</v>
      </c>
      <c r="F7" s="321" t="s">
        <v>504</v>
      </c>
    </row>
    <row r="8" spans="1:6" ht="5.0999999999999996" customHeight="1">
      <c r="A8" s="290"/>
      <c r="B8" s="290"/>
      <c r="C8" s="297"/>
      <c r="D8" s="297"/>
      <c r="E8" s="297"/>
      <c r="F8" s="297"/>
    </row>
    <row r="9" spans="1:6" s="322" customFormat="1" ht="13.5">
      <c r="A9" s="292" t="s">
        <v>585</v>
      </c>
      <c r="B9" s="292"/>
      <c r="C9" s="295">
        <v>34157</v>
      </c>
      <c r="D9" s="295">
        <v>28101</v>
      </c>
      <c r="E9" s="295">
        <v>5592</v>
      </c>
      <c r="F9" s="295">
        <v>464</v>
      </c>
    </row>
    <row r="10" spans="1:6" ht="5.0999999999999996" customHeight="1">
      <c r="A10" s="290"/>
      <c r="B10" s="290"/>
      <c r="C10" s="297"/>
      <c r="D10" s="297"/>
      <c r="E10" s="297"/>
      <c r="F10" s="297"/>
    </row>
    <row r="11" spans="1:6" ht="13.5">
      <c r="A11" s="290"/>
      <c r="B11" s="290" t="s">
        <v>503</v>
      </c>
      <c r="C11" s="297">
        <v>480</v>
      </c>
      <c r="D11" s="297">
        <v>387</v>
      </c>
      <c r="E11" s="297">
        <v>29</v>
      </c>
      <c r="F11" s="297">
        <v>64</v>
      </c>
    </row>
    <row r="12" spans="1:6" ht="13.5">
      <c r="A12" s="290"/>
      <c r="B12" s="290" t="s">
        <v>259</v>
      </c>
      <c r="C12" s="297">
        <v>212</v>
      </c>
      <c r="D12" s="297">
        <v>190</v>
      </c>
      <c r="E12" s="297">
        <v>17</v>
      </c>
      <c r="F12" s="297">
        <v>5</v>
      </c>
    </row>
    <row r="13" spans="1:6" ht="13.5">
      <c r="A13" s="290"/>
      <c r="B13" s="290" t="s">
        <v>260</v>
      </c>
      <c r="C13" s="297">
        <v>193</v>
      </c>
      <c r="D13" s="297">
        <v>165</v>
      </c>
      <c r="E13" s="297">
        <v>22</v>
      </c>
      <c r="F13" s="297">
        <v>6</v>
      </c>
    </row>
    <row r="14" spans="1:6" ht="13.5">
      <c r="A14" s="290"/>
      <c r="B14" s="290" t="s">
        <v>261</v>
      </c>
      <c r="C14" s="297">
        <v>233</v>
      </c>
      <c r="D14" s="297">
        <v>196</v>
      </c>
      <c r="E14" s="297">
        <v>34</v>
      </c>
      <c r="F14" s="297">
        <v>3</v>
      </c>
    </row>
    <row r="15" spans="1:6" ht="13.5">
      <c r="A15" s="290"/>
      <c r="B15" s="290" t="s">
        <v>63</v>
      </c>
      <c r="C15" s="297">
        <v>594</v>
      </c>
      <c r="D15" s="297">
        <v>478</v>
      </c>
      <c r="E15" s="297">
        <v>105</v>
      </c>
      <c r="F15" s="297">
        <v>11</v>
      </c>
    </row>
    <row r="16" spans="1:6" ht="13.5">
      <c r="A16" s="290"/>
      <c r="B16" s="290" t="s">
        <v>64</v>
      </c>
      <c r="C16" s="297">
        <v>900</v>
      </c>
      <c r="D16" s="297">
        <v>750</v>
      </c>
      <c r="E16" s="297">
        <v>139</v>
      </c>
      <c r="F16" s="297">
        <v>11</v>
      </c>
    </row>
    <row r="17" spans="1:6" ht="13.5">
      <c r="A17" s="290"/>
      <c r="B17" s="290" t="s">
        <v>65</v>
      </c>
      <c r="C17" s="297">
        <v>1004</v>
      </c>
      <c r="D17" s="297">
        <v>849</v>
      </c>
      <c r="E17" s="297">
        <v>148</v>
      </c>
      <c r="F17" s="297">
        <v>7</v>
      </c>
    </row>
    <row r="18" spans="1:6" ht="13.5">
      <c r="A18" s="290"/>
      <c r="B18" s="290" t="s">
        <v>66</v>
      </c>
      <c r="C18" s="297">
        <v>1065</v>
      </c>
      <c r="D18" s="297">
        <v>864</v>
      </c>
      <c r="E18" s="297">
        <v>177</v>
      </c>
      <c r="F18" s="297">
        <v>24</v>
      </c>
    </row>
    <row r="19" spans="1:6" ht="13.5">
      <c r="A19" s="290"/>
      <c r="B19" s="290" t="s">
        <v>67</v>
      </c>
      <c r="C19" s="297">
        <v>1140</v>
      </c>
      <c r="D19" s="297">
        <v>956</v>
      </c>
      <c r="E19" s="297">
        <v>157</v>
      </c>
      <c r="F19" s="297">
        <v>27</v>
      </c>
    </row>
    <row r="20" spans="1:6" ht="13.5">
      <c r="A20" s="290"/>
      <c r="B20" s="290" t="s">
        <v>68</v>
      </c>
      <c r="C20" s="297">
        <v>1261</v>
      </c>
      <c r="D20" s="297">
        <v>1053</v>
      </c>
      <c r="E20" s="297">
        <v>180</v>
      </c>
      <c r="F20" s="297">
        <v>28</v>
      </c>
    </row>
    <row r="21" spans="1:6" ht="13.5">
      <c r="A21" s="290"/>
      <c r="B21" s="290" t="s">
        <v>69</v>
      </c>
      <c r="C21" s="297">
        <v>1403</v>
      </c>
      <c r="D21" s="297">
        <v>1180</v>
      </c>
      <c r="E21" s="297">
        <v>208</v>
      </c>
      <c r="F21" s="297">
        <v>15</v>
      </c>
    </row>
    <row r="22" spans="1:6" ht="13.5">
      <c r="A22" s="290"/>
      <c r="B22" s="290" t="s">
        <v>262</v>
      </c>
      <c r="C22" s="297">
        <v>1754</v>
      </c>
      <c r="D22" s="297">
        <v>1478</v>
      </c>
      <c r="E22" s="297">
        <v>253</v>
      </c>
      <c r="F22" s="297">
        <v>23</v>
      </c>
    </row>
    <row r="23" spans="1:6" ht="13.5">
      <c r="A23" s="290"/>
      <c r="B23" s="290" t="s">
        <v>263</v>
      </c>
      <c r="C23" s="297">
        <v>2061</v>
      </c>
      <c r="D23" s="297">
        <v>1739</v>
      </c>
      <c r="E23" s="297">
        <v>302</v>
      </c>
      <c r="F23" s="297">
        <v>20</v>
      </c>
    </row>
    <row r="24" spans="1:6" ht="13.5">
      <c r="A24" s="290"/>
      <c r="B24" s="290" t="s">
        <v>264</v>
      </c>
      <c r="C24" s="297">
        <v>2459</v>
      </c>
      <c r="D24" s="297">
        <v>2047</v>
      </c>
      <c r="E24" s="297">
        <v>394</v>
      </c>
      <c r="F24" s="297">
        <v>18</v>
      </c>
    </row>
    <row r="25" spans="1:6" ht="13.5">
      <c r="A25" s="290"/>
      <c r="B25" s="290" t="s">
        <v>265</v>
      </c>
      <c r="C25" s="297">
        <v>2524</v>
      </c>
      <c r="D25" s="297">
        <v>2093</v>
      </c>
      <c r="E25" s="297">
        <v>406</v>
      </c>
      <c r="F25" s="297">
        <v>25</v>
      </c>
    </row>
    <row r="26" spans="1:6" ht="13.5">
      <c r="A26" s="290"/>
      <c r="B26" s="290" t="s">
        <v>266</v>
      </c>
      <c r="C26" s="297">
        <v>14934</v>
      </c>
      <c r="D26" s="297">
        <v>11943</v>
      </c>
      <c r="E26" s="297">
        <v>2843</v>
      </c>
      <c r="F26" s="297">
        <v>148</v>
      </c>
    </row>
    <row r="27" spans="1:6" ht="13.5">
      <c r="A27" s="290"/>
      <c r="B27" s="290" t="s">
        <v>504</v>
      </c>
      <c r="C27" s="297">
        <v>1940</v>
      </c>
      <c r="D27" s="297">
        <v>1733</v>
      </c>
      <c r="E27" s="297">
        <v>178</v>
      </c>
      <c r="F27" s="297">
        <v>29</v>
      </c>
    </row>
    <row r="28" spans="1:6" ht="5.0999999999999996" customHeight="1">
      <c r="A28" s="290"/>
      <c r="B28" s="290"/>
      <c r="C28" s="297"/>
      <c r="D28" s="297"/>
      <c r="E28" s="297"/>
      <c r="F28" s="297"/>
    </row>
    <row r="29" spans="1:6" s="322" customFormat="1" ht="13.5">
      <c r="A29" s="292" t="s">
        <v>76</v>
      </c>
      <c r="B29" s="292"/>
      <c r="C29" s="295">
        <v>8927</v>
      </c>
      <c r="D29" s="295">
        <v>8892</v>
      </c>
      <c r="E29" s="295">
        <v>31</v>
      </c>
      <c r="F29" s="295">
        <v>4</v>
      </c>
    </row>
    <row r="30" spans="1:6" ht="5.0999999999999996" customHeight="1">
      <c r="A30" s="290"/>
      <c r="B30" s="290"/>
      <c r="C30" s="297"/>
      <c r="D30" s="297"/>
      <c r="E30" s="297"/>
      <c r="F30" s="297"/>
    </row>
    <row r="31" spans="1:6" ht="13.5">
      <c r="A31" s="290"/>
      <c r="B31" s="290" t="s">
        <v>503</v>
      </c>
      <c r="C31" s="297">
        <v>5</v>
      </c>
      <c r="D31" s="297">
        <v>5</v>
      </c>
      <c r="E31" s="297">
        <v>0</v>
      </c>
      <c r="F31" s="297">
        <v>0</v>
      </c>
    </row>
    <row r="32" spans="1:6" ht="13.5">
      <c r="A32" s="290"/>
      <c r="B32" s="290" t="s">
        <v>259</v>
      </c>
      <c r="C32" s="297">
        <v>75</v>
      </c>
      <c r="D32" s="297">
        <v>74</v>
      </c>
      <c r="E32" s="297">
        <v>1</v>
      </c>
      <c r="F32" s="297">
        <v>0</v>
      </c>
    </row>
    <row r="33" spans="1:6" ht="13.5">
      <c r="A33" s="290"/>
      <c r="B33" s="290" t="s">
        <v>260</v>
      </c>
      <c r="C33" s="297">
        <v>59</v>
      </c>
      <c r="D33" s="297">
        <v>59</v>
      </c>
      <c r="E33" s="297">
        <v>0</v>
      </c>
      <c r="F33" s="297">
        <v>0</v>
      </c>
    </row>
    <row r="34" spans="1:6" ht="13.5">
      <c r="A34" s="290"/>
      <c r="B34" s="290" t="s">
        <v>261</v>
      </c>
      <c r="C34" s="297">
        <v>55</v>
      </c>
      <c r="D34" s="297">
        <v>55</v>
      </c>
      <c r="E34" s="297">
        <v>0</v>
      </c>
      <c r="F34" s="297">
        <v>0</v>
      </c>
    </row>
    <row r="35" spans="1:6" ht="13.5">
      <c r="A35" s="290"/>
      <c r="B35" s="290" t="s">
        <v>63</v>
      </c>
      <c r="C35" s="297">
        <v>154</v>
      </c>
      <c r="D35" s="297">
        <v>154</v>
      </c>
      <c r="E35" s="297">
        <v>0</v>
      </c>
      <c r="F35" s="297">
        <v>0</v>
      </c>
    </row>
    <row r="36" spans="1:6" ht="13.5">
      <c r="A36" s="290"/>
      <c r="B36" s="290" t="s">
        <v>64</v>
      </c>
      <c r="C36" s="297">
        <v>273</v>
      </c>
      <c r="D36" s="297">
        <v>269</v>
      </c>
      <c r="E36" s="297">
        <v>4</v>
      </c>
      <c r="F36" s="297">
        <v>0</v>
      </c>
    </row>
    <row r="37" spans="1:6" ht="13.5">
      <c r="A37" s="290"/>
      <c r="B37" s="290" t="s">
        <v>65</v>
      </c>
      <c r="C37" s="297">
        <v>285</v>
      </c>
      <c r="D37" s="297">
        <v>285</v>
      </c>
      <c r="E37" s="297">
        <v>0</v>
      </c>
      <c r="F37" s="297">
        <v>0</v>
      </c>
    </row>
    <row r="38" spans="1:6" ht="13.5">
      <c r="A38" s="290"/>
      <c r="B38" s="290" t="s">
        <v>66</v>
      </c>
      <c r="C38" s="297">
        <v>291</v>
      </c>
      <c r="D38" s="297">
        <v>289</v>
      </c>
      <c r="E38" s="297">
        <v>2</v>
      </c>
      <c r="F38" s="297">
        <v>0</v>
      </c>
    </row>
    <row r="39" spans="1:6" ht="13.5">
      <c r="A39" s="290"/>
      <c r="B39" s="290" t="s">
        <v>67</v>
      </c>
      <c r="C39" s="297">
        <v>310</v>
      </c>
      <c r="D39" s="297">
        <v>309</v>
      </c>
      <c r="E39" s="297">
        <v>0</v>
      </c>
      <c r="F39" s="297">
        <v>1</v>
      </c>
    </row>
    <row r="40" spans="1:6" ht="13.5">
      <c r="A40" s="290"/>
      <c r="B40" s="290" t="s">
        <v>68</v>
      </c>
      <c r="C40" s="297">
        <v>332</v>
      </c>
      <c r="D40" s="297">
        <v>332</v>
      </c>
      <c r="E40" s="297">
        <v>0</v>
      </c>
      <c r="F40" s="297">
        <v>0</v>
      </c>
    </row>
    <row r="41" spans="1:6" ht="13.5">
      <c r="A41" s="290"/>
      <c r="B41" s="290" t="s">
        <v>69</v>
      </c>
      <c r="C41" s="297">
        <v>400</v>
      </c>
      <c r="D41" s="297">
        <v>397</v>
      </c>
      <c r="E41" s="297">
        <v>3</v>
      </c>
      <c r="F41" s="297">
        <v>0</v>
      </c>
    </row>
    <row r="42" spans="1:6" ht="13.5">
      <c r="A42" s="290"/>
      <c r="B42" s="290" t="s">
        <v>262</v>
      </c>
      <c r="C42" s="297">
        <v>454</v>
      </c>
      <c r="D42" s="297">
        <v>453</v>
      </c>
      <c r="E42" s="297">
        <v>1</v>
      </c>
      <c r="F42" s="297">
        <v>0</v>
      </c>
    </row>
    <row r="43" spans="1:6" ht="13.5">
      <c r="A43" s="290"/>
      <c r="B43" s="290" t="s">
        <v>263</v>
      </c>
      <c r="C43" s="297">
        <v>567</v>
      </c>
      <c r="D43" s="297">
        <v>565</v>
      </c>
      <c r="E43" s="297">
        <v>2</v>
      </c>
      <c r="F43" s="297">
        <v>0</v>
      </c>
    </row>
    <row r="44" spans="1:6" ht="13.5">
      <c r="A44" s="290"/>
      <c r="B44" s="290" t="s">
        <v>264</v>
      </c>
      <c r="C44" s="297">
        <v>637</v>
      </c>
      <c r="D44" s="297">
        <v>635</v>
      </c>
      <c r="E44" s="297">
        <v>2</v>
      </c>
      <c r="F44" s="297">
        <v>0</v>
      </c>
    </row>
    <row r="45" spans="1:6" ht="13.5">
      <c r="A45" s="290"/>
      <c r="B45" s="290" t="s">
        <v>265</v>
      </c>
      <c r="C45" s="297">
        <v>636</v>
      </c>
      <c r="D45" s="297">
        <v>633</v>
      </c>
      <c r="E45" s="297">
        <v>3</v>
      </c>
      <c r="F45" s="297">
        <v>0</v>
      </c>
    </row>
    <row r="46" spans="1:6" ht="13.5">
      <c r="A46" s="290"/>
      <c r="B46" s="290" t="s">
        <v>266</v>
      </c>
      <c r="C46" s="297">
        <v>3502</v>
      </c>
      <c r="D46" s="297">
        <v>3493</v>
      </c>
      <c r="E46" s="297">
        <v>8</v>
      </c>
      <c r="F46" s="297">
        <v>1</v>
      </c>
    </row>
    <row r="47" spans="1:6" ht="13.5">
      <c r="A47" s="290"/>
      <c r="B47" s="290" t="s">
        <v>504</v>
      </c>
      <c r="C47" s="297">
        <v>892</v>
      </c>
      <c r="D47" s="297">
        <v>885</v>
      </c>
      <c r="E47" s="297">
        <v>5</v>
      </c>
      <c r="F47" s="297">
        <v>2</v>
      </c>
    </row>
    <row r="48" spans="1:6" ht="5.0999999999999996" customHeight="1">
      <c r="A48" s="290"/>
      <c r="B48" s="290"/>
      <c r="C48" s="297"/>
      <c r="D48" s="297"/>
      <c r="E48" s="297"/>
      <c r="F48" s="297"/>
    </row>
    <row r="49" spans="1:6" s="322" customFormat="1" ht="13.5">
      <c r="A49" s="292" t="s">
        <v>77</v>
      </c>
      <c r="B49" s="292"/>
      <c r="C49" s="295">
        <v>461</v>
      </c>
      <c r="D49" s="295">
        <v>433</v>
      </c>
      <c r="E49" s="295">
        <v>26</v>
      </c>
      <c r="F49" s="295">
        <v>2</v>
      </c>
    </row>
    <row r="50" spans="1:6" ht="5.0999999999999996" customHeight="1">
      <c r="A50" s="290"/>
      <c r="B50" s="290"/>
      <c r="C50" s="297"/>
      <c r="D50" s="297"/>
      <c r="E50" s="297"/>
      <c r="F50" s="297"/>
    </row>
    <row r="51" spans="1:6" ht="13.5">
      <c r="A51" s="290"/>
      <c r="B51" s="290" t="s">
        <v>503</v>
      </c>
      <c r="C51" s="297">
        <v>19</v>
      </c>
      <c r="D51" s="297">
        <v>19</v>
      </c>
      <c r="E51" s="297">
        <v>0</v>
      </c>
      <c r="F51" s="297">
        <v>0</v>
      </c>
    </row>
    <row r="52" spans="1:6" ht="13.5">
      <c r="A52" s="290"/>
      <c r="B52" s="290" t="s">
        <v>259</v>
      </c>
      <c r="C52" s="297">
        <v>3</v>
      </c>
      <c r="D52" s="297">
        <v>3</v>
      </c>
      <c r="E52" s="297">
        <v>0</v>
      </c>
      <c r="F52" s="297">
        <v>0</v>
      </c>
    </row>
    <row r="53" spans="1:6" ht="13.5">
      <c r="A53" s="290"/>
      <c r="B53" s="290" t="s">
        <v>260</v>
      </c>
      <c r="C53" s="297">
        <v>1</v>
      </c>
      <c r="D53" s="297">
        <v>1</v>
      </c>
      <c r="E53" s="297">
        <v>0</v>
      </c>
      <c r="F53" s="297">
        <v>0</v>
      </c>
    </row>
    <row r="54" spans="1:6" ht="13.5">
      <c r="A54" s="290"/>
      <c r="B54" s="290" t="s">
        <v>261</v>
      </c>
      <c r="C54" s="297">
        <v>2</v>
      </c>
      <c r="D54" s="297">
        <v>2</v>
      </c>
      <c r="E54" s="297">
        <v>0</v>
      </c>
      <c r="F54" s="297">
        <v>0</v>
      </c>
    </row>
    <row r="55" spans="1:6" ht="13.5">
      <c r="A55" s="290"/>
      <c r="B55" s="290" t="s">
        <v>63</v>
      </c>
      <c r="C55" s="297">
        <v>6</v>
      </c>
      <c r="D55" s="297">
        <v>6</v>
      </c>
      <c r="E55" s="297">
        <v>0</v>
      </c>
      <c r="F55" s="297">
        <v>0</v>
      </c>
    </row>
    <row r="56" spans="1:6" ht="13.5">
      <c r="A56" s="290"/>
      <c r="B56" s="290" t="s">
        <v>64</v>
      </c>
      <c r="C56" s="297">
        <v>7</v>
      </c>
      <c r="D56" s="297">
        <v>6</v>
      </c>
      <c r="E56" s="297">
        <v>1</v>
      </c>
      <c r="F56" s="297">
        <v>0</v>
      </c>
    </row>
    <row r="57" spans="1:6" ht="13.5">
      <c r="A57" s="290"/>
      <c r="B57" s="290" t="s">
        <v>65</v>
      </c>
      <c r="C57" s="297">
        <v>10</v>
      </c>
      <c r="D57" s="297">
        <v>8</v>
      </c>
      <c r="E57" s="297">
        <v>2</v>
      </c>
      <c r="F57" s="297">
        <v>0</v>
      </c>
    </row>
    <row r="58" spans="1:6" ht="13.5">
      <c r="A58" s="290"/>
      <c r="B58" s="290" t="s">
        <v>66</v>
      </c>
      <c r="C58" s="297">
        <v>21</v>
      </c>
      <c r="D58" s="297">
        <v>20</v>
      </c>
      <c r="E58" s="297">
        <v>1</v>
      </c>
      <c r="F58" s="297">
        <v>0</v>
      </c>
    </row>
    <row r="59" spans="1:6" ht="13.5">
      <c r="A59" s="290"/>
      <c r="B59" s="290" t="s">
        <v>67</v>
      </c>
      <c r="C59" s="297">
        <v>19</v>
      </c>
      <c r="D59" s="297">
        <v>18</v>
      </c>
      <c r="E59" s="297">
        <v>1</v>
      </c>
      <c r="F59" s="297">
        <v>0</v>
      </c>
    </row>
    <row r="60" spans="1:6" ht="13.5">
      <c r="A60" s="290"/>
      <c r="B60" s="290" t="s">
        <v>68</v>
      </c>
      <c r="C60" s="297">
        <v>21</v>
      </c>
      <c r="D60" s="297">
        <v>21</v>
      </c>
      <c r="E60" s="297">
        <v>0</v>
      </c>
      <c r="F60" s="297">
        <v>0</v>
      </c>
    </row>
    <row r="61" spans="1:6" ht="13.5">
      <c r="A61" s="290"/>
      <c r="B61" s="290" t="s">
        <v>69</v>
      </c>
      <c r="C61" s="297">
        <v>20</v>
      </c>
      <c r="D61" s="297">
        <v>20</v>
      </c>
      <c r="E61" s="297">
        <v>0</v>
      </c>
      <c r="F61" s="297">
        <v>0</v>
      </c>
    </row>
    <row r="62" spans="1:6" ht="13.5">
      <c r="A62" s="290"/>
      <c r="B62" s="290" t="s">
        <v>262</v>
      </c>
      <c r="C62" s="297">
        <v>27</v>
      </c>
      <c r="D62" s="297">
        <v>27</v>
      </c>
      <c r="E62" s="297">
        <v>0</v>
      </c>
      <c r="F62" s="297">
        <v>0</v>
      </c>
    </row>
    <row r="63" spans="1:6" ht="13.5">
      <c r="A63" s="290"/>
      <c r="B63" s="290" t="s">
        <v>263</v>
      </c>
      <c r="C63" s="297">
        <v>24</v>
      </c>
      <c r="D63" s="297">
        <v>23</v>
      </c>
      <c r="E63" s="297">
        <v>1</v>
      </c>
      <c r="F63" s="297">
        <v>0</v>
      </c>
    </row>
    <row r="64" spans="1:6" ht="13.5">
      <c r="A64" s="290"/>
      <c r="B64" s="290" t="s">
        <v>264</v>
      </c>
      <c r="C64" s="297">
        <v>25</v>
      </c>
      <c r="D64" s="297">
        <v>25</v>
      </c>
      <c r="E64" s="297">
        <v>0</v>
      </c>
      <c r="F64" s="297">
        <v>0</v>
      </c>
    </row>
    <row r="65" spans="1:6" ht="13.5">
      <c r="A65" s="290"/>
      <c r="B65" s="290" t="s">
        <v>265</v>
      </c>
      <c r="C65" s="297">
        <v>39</v>
      </c>
      <c r="D65" s="297">
        <v>36</v>
      </c>
      <c r="E65" s="297">
        <v>3</v>
      </c>
      <c r="F65" s="297">
        <v>0</v>
      </c>
    </row>
    <row r="66" spans="1:6" ht="13.5">
      <c r="A66" s="290"/>
      <c r="B66" s="290" t="s">
        <v>266</v>
      </c>
      <c r="C66" s="297">
        <v>206</v>
      </c>
      <c r="D66" s="297">
        <v>188</v>
      </c>
      <c r="E66" s="297">
        <v>17</v>
      </c>
      <c r="F66" s="297">
        <v>1</v>
      </c>
    </row>
    <row r="67" spans="1:6" ht="13.5">
      <c r="A67" s="290"/>
      <c r="B67" s="290" t="s">
        <v>504</v>
      </c>
      <c r="C67" s="297">
        <v>11</v>
      </c>
      <c r="D67" s="297">
        <v>10</v>
      </c>
      <c r="E67" s="297">
        <v>0</v>
      </c>
      <c r="F67" s="297">
        <v>1</v>
      </c>
    </row>
    <row r="68" spans="1:6" ht="5.0999999999999996" customHeight="1">
      <c r="A68" s="290"/>
      <c r="B68" s="290"/>
      <c r="C68" s="297"/>
      <c r="D68" s="297"/>
      <c r="E68" s="297"/>
      <c r="F68" s="297"/>
    </row>
    <row r="69" spans="1:6" s="322" customFormat="1" ht="13.5">
      <c r="A69" s="292" t="s">
        <v>78</v>
      </c>
      <c r="B69" s="292"/>
      <c r="C69" s="295">
        <v>245</v>
      </c>
      <c r="D69" s="295">
        <v>182</v>
      </c>
      <c r="E69" s="295">
        <v>63</v>
      </c>
      <c r="F69" s="295">
        <v>0</v>
      </c>
    </row>
    <row r="70" spans="1:6" ht="5.0999999999999996" customHeight="1">
      <c r="A70" s="290"/>
      <c r="B70" s="290"/>
      <c r="C70" s="297"/>
      <c r="D70" s="297"/>
      <c r="E70" s="297"/>
      <c r="F70" s="297"/>
    </row>
    <row r="71" spans="1:6" ht="13.5">
      <c r="A71" s="290"/>
      <c r="B71" s="290" t="s">
        <v>503</v>
      </c>
      <c r="C71" s="297">
        <v>5</v>
      </c>
      <c r="D71" s="297">
        <v>5</v>
      </c>
      <c r="E71" s="297">
        <v>0</v>
      </c>
      <c r="F71" s="297">
        <v>0</v>
      </c>
    </row>
    <row r="72" spans="1:6" ht="13.5">
      <c r="A72" s="290"/>
      <c r="B72" s="290" t="s">
        <v>259</v>
      </c>
      <c r="C72" s="297">
        <v>1</v>
      </c>
      <c r="D72" s="297">
        <v>1</v>
      </c>
      <c r="E72" s="297">
        <v>0</v>
      </c>
      <c r="F72" s="297">
        <v>0</v>
      </c>
    </row>
    <row r="73" spans="1:6" ht="13.5">
      <c r="A73" s="290"/>
      <c r="B73" s="290" t="s">
        <v>260</v>
      </c>
      <c r="C73" s="297">
        <v>1</v>
      </c>
      <c r="D73" s="297">
        <v>1</v>
      </c>
      <c r="E73" s="297">
        <v>0</v>
      </c>
      <c r="F73" s="297">
        <v>0</v>
      </c>
    </row>
    <row r="74" spans="1:6" ht="13.5">
      <c r="A74" s="290"/>
      <c r="B74" s="290" t="s">
        <v>63</v>
      </c>
      <c r="C74" s="297">
        <v>6</v>
      </c>
      <c r="D74" s="297">
        <v>5</v>
      </c>
      <c r="E74" s="297">
        <v>1</v>
      </c>
      <c r="F74" s="297">
        <v>0</v>
      </c>
    </row>
    <row r="75" spans="1:6" ht="13.5">
      <c r="A75" s="290"/>
      <c r="B75" s="290" t="s">
        <v>64</v>
      </c>
      <c r="C75" s="297">
        <v>5</v>
      </c>
      <c r="D75" s="297">
        <v>3</v>
      </c>
      <c r="E75" s="297">
        <v>2</v>
      </c>
      <c r="F75" s="297">
        <v>0</v>
      </c>
    </row>
    <row r="76" spans="1:6" ht="13.5">
      <c r="A76" s="290"/>
      <c r="B76" s="290" t="s">
        <v>65</v>
      </c>
      <c r="C76" s="297">
        <v>5</v>
      </c>
      <c r="D76" s="297">
        <v>4</v>
      </c>
      <c r="E76" s="297">
        <v>1</v>
      </c>
      <c r="F76" s="297">
        <v>0</v>
      </c>
    </row>
    <row r="77" spans="1:6" ht="13.5">
      <c r="A77" s="290"/>
      <c r="B77" s="290" t="s">
        <v>66</v>
      </c>
      <c r="C77" s="297">
        <v>7</v>
      </c>
      <c r="D77" s="297">
        <v>5</v>
      </c>
      <c r="E77" s="297">
        <v>2</v>
      </c>
      <c r="F77" s="297">
        <v>0</v>
      </c>
    </row>
    <row r="78" spans="1:6" ht="13.5">
      <c r="A78" s="290"/>
      <c r="B78" s="290" t="s">
        <v>67</v>
      </c>
      <c r="C78" s="297">
        <v>5</v>
      </c>
      <c r="D78" s="297">
        <v>4</v>
      </c>
      <c r="E78" s="297">
        <v>1</v>
      </c>
      <c r="F78" s="297">
        <v>0</v>
      </c>
    </row>
    <row r="79" spans="1:6" ht="13.5">
      <c r="A79" s="290"/>
      <c r="B79" s="290" t="s">
        <v>68</v>
      </c>
      <c r="C79" s="297">
        <v>8</v>
      </c>
      <c r="D79" s="297">
        <v>5</v>
      </c>
      <c r="E79" s="297">
        <v>3</v>
      </c>
      <c r="F79" s="297">
        <v>0</v>
      </c>
    </row>
    <row r="80" spans="1:6" ht="13.5">
      <c r="A80" s="290"/>
      <c r="B80" s="290" t="s">
        <v>69</v>
      </c>
      <c r="C80" s="297">
        <v>6</v>
      </c>
      <c r="D80" s="297">
        <v>5</v>
      </c>
      <c r="E80" s="297">
        <v>1</v>
      </c>
      <c r="F80" s="297">
        <v>0</v>
      </c>
    </row>
    <row r="81" spans="1:6" ht="13.5">
      <c r="A81" s="290"/>
      <c r="B81" s="290" t="s">
        <v>262</v>
      </c>
      <c r="C81" s="297">
        <v>13</v>
      </c>
      <c r="D81" s="297">
        <v>8</v>
      </c>
      <c r="E81" s="297">
        <v>5</v>
      </c>
      <c r="F81" s="297">
        <v>0</v>
      </c>
    </row>
    <row r="82" spans="1:6" ht="13.5">
      <c r="A82" s="290"/>
      <c r="B82" s="290" t="s">
        <v>263</v>
      </c>
      <c r="C82" s="297">
        <v>15</v>
      </c>
      <c r="D82" s="297">
        <v>11</v>
      </c>
      <c r="E82" s="297">
        <v>4</v>
      </c>
      <c r="F82" s="297">
        <v>0</v>
      </c>
    </row>
    <row r="83" spans="1:6" ht="13.5">
      <c r="A83" s="290"/>
      <c r="B83" s="290" t="s">
        <v>264</v>
      </c>
      <c r="C83" s="297">
        <v>15</v>
      </c>
      <c r="D83" s="297">
        <v>11</v>
      </c>
      <c r="E83" s="297">
        <v>4</v>
      </c>
      <c r="F83" s="297">
        <v>0</v>
      </c>
    </row>
    <row r="84" spans="1:6" ht="13.5">
      <c r="A84" s="290"/>
      <c r="B84" s="290" t="s">
        <v>265</v>
      </c>
      <c r="C84" s="297">
        <v>14</v>
      </c>
      <c r="D84" s="297">
        <v>7</v>
      </c>
      <c r="E84" s="297">
        <v>7</v>
      </c>
      <c r="F84" s="297">
        <v>0</v>
      </c>
    </row>
    <row r="85" spans="1:6" ht="13.5">
      <c r="A85" s="290"/>
      <c r="B85" s="290" t="s">
        <v>266</v>
      </c>
      <c r="C85" s="297">
        <v>130</v>
      </c>
      <c r="D85" s="297">
        <v>104</v>
      </c>
      <c r="E85" s="297">
        <v>26</v>
      </c>
      <c r="F85" s="297">
        <v>0</v>
      </c>
    </row>
    <row r="86" spans="1:6" ht="13.5">
      <c r="A86" s="290"/>
      <c r="B86" s="290" t="s">
        <v>504</v>
      </c>
      <c r="C86" s="297">
        <v>9</v>
      </c>
      <c r="D86" s="297">
        <v>3</v>
      </c>
      <c r="E86" s="297">
        <v>6</v>
      </c>
      <c r="F86" s="297">
        <v>0</v>
      </c>
    </row>
    <row r="87" spans="1:6" ht="5.0999999999999996" customHeight="1">
      <c r="A87" s="290"/>
      <c r="B87" s="290"/>
      <c r="C87" s="297"/>
      <c r="D87" s="297"/>
      <c r="E87" s="297"/>
      <c r="F87" s="297"/>
    </row>
    <row r="88" spans="1:6" s="322" customFormat="1" ht="13.5">
      <c r="A88" s="292" t="s">
        <v>79</v>
      </c>
      <c r="B88" s="292"/>
      <c r="C88" s="295">
        <v>521</v>
      </c>
      <c r="D88" s="295">
        <v>346</v>
      </c>
      <c r="E88" s="295">
        <v>175</v>
      </c>
      <c r="F88" s="295">
        <v>0</v>
      </c>
    </row>
    <row r="89" spans="1:6" ht="5.0999999999999996" customHeight="1">
      <c r="A89" s="290"/>
      <c r="B89" s="290"/>
      <c r="C89" s="297"/>
      <c r="D89" s="297"/>
      <c r="E89" s="297"/>
      <c r="F89" s="297"/>
    </row>
    <row r="90" spans="1:6" ht="13.5">
      <c r="A90" s="290"/>
      <c r="B90" s="290" t="s">
        <v>503</v>
      </c>
      <c r="C90" s="297">
        <v>10</v>
      </c>
      <c r="D90" s="297">
        <v>10</v>
      </c>
      <c r="E90" s="297">
        <v>0</v>
      </c>
      <c r="F90" s="297">
        <v>0</v>
      </c>
    </row>
    <row r="91" spans="1:6" ht="13.5">
      <c r="A91" s="290"/>
      <c r="B91" s="290" t="s">
        <v>259</v>
      </c>
      <c r="C91" s="297">
        <v>1</v>
      </c>
      <c r="D91" s="297">
        <v>1</v>
      </c>
      <c r="E91" s="297">
        <v>0</v>
      </c>
      <c r="F91" s="297">
        <v>0</v>
      </c>
    </row>
    <row r="92" spans="1:6" ht="13.5">
      <c r="A92" s="290"/>
      <c r="B92" s="290" t="s">
        <v>260</v>
      </c>
      <c r="C92" s="297">
        <v>2</v>
      </c>
      <c r="D92" s="297">
        <v>2</v>
      </c>
      <c r="E92" s="297">
        <v>0</v>
      </c>
      <c r="F92" s="297">
        <v>0</v>
      </c>
    </row>
    <row r="93" spans="1:6" ht="13.5">
      <c r="A93" s="290"/>
      <c r="B93" s="290" t="s">
        <v>261</v>
      </c>
      <c r="C93" s="297">
        <v>2</v>
      </c>
      <c r="D93" s="297">
        <v>1</v>
      </c>
      <c r="E93" s="297">
        <v>1</v>
      </c>
      <c r="F93" s="297">
        <v>0</v>
      </c>
    </row>
    <row r="94" spans="1:6" ht="13.5">
      <c r="A94" s="290"/>
      <c r="B94" s="290" t="s">
        <v>63</v>
      </c>
      <c r="C94" s="297">
        <v>9</v>
      </c>
      <c r="D94" s="297">
        <v>3</v>
      </c>
      <c r="E94" s="297">
        <v>6</v>
      </c>
      <c r="F94" s="297">
        <v>0</v>
      </c>
    </row>
    <row r="95" spans="1:6" ht="13.5">
      <c r="A95" s="290"/>
      <c r="B95" s="290" t="s">
        <v>64</v>
      </c>
      <c r="C95" s="297">
        <v>18</v>
      </c>
      <c r="D95" s="297">
        <v>14</v>
      </c>
      <c r="E95" s="297">
        <v>4</v>
      </c>
      <c r="F95" s="297">
        <v>0</v>
      </c>
    </row>
    <row r="96" spans="1:6" ht="13.5">
      <c r="A96" s="290"/>
      <c r="B96" s="290" t="s">
        <v>65</v>
      </c>
      <c r="C96" s="297">
        <v>15</v>
      </c>
      <c r="D96" s="297">
        <v>12</v>
      </c>
      <c r="E96" s="297">
        <v>3</v>
      </c>
      <c r="F96" s="297">
        <v>0</v>
      </c>
    </row>
    <row r="97" spans="1:6" ht="13.5">
      <c r="A97" s="290"/>
      <c r="B97" s="290" t="s">
        <v>66</v>
      </c>
      <c r="C97" s="297">
        <v>15</v>
      </c>
      <c r="D97" s="297">
        <v>7</v>
      </c>
      <c r="E97" s="297">
        <v>8</v>
      </c>
      <c r="F97" s="297">
        <v>0</v>
      </c>
    </row>
    <row r="98" spans="1:6" ht="13.5">
      <c r="A98" s="290"/>
      <c r="B98" s="290" t="s">
        <v>67</v>
      </c>
      <c r="C98" s="297">
        <v>18</v>
      </c>
      <c r="D98" s="297">
        <v>15</v>
      </c>
      <c r="E98" s="297">
        <v>3</v>
      </c>
      <c r="F98" s="297">
        <v>0</v>
      </c>
    </row>
    <row r="99" spans="1:6" ht="13.5">
      <c r="A99" s="290"/>
      <c r="B99" s="290" t="s">
        <v>68</v>
      </c>
      <c r="C99" s="297">
        <v>18</v>
      </c>
      <c r="D99" s="297">
        <v>12</v>
      </c>
      <c r="E99" s="297">
        <v>6</v>
      </c>
      <c r="F99" s="297">
        <v>0</v>
      </c>
    </row>
    <row r="100" spans="1:6" ht="13.5">
      <c r="A100" s="290"/>
      <c r="B100" s="290" t="s">
        <v>69</v>
      </c>
      <c r="C100" s="297">
        <v>8</v>
      </c>
      <c r="D100" s="297">
        <v>6</v>
      </c>
      <c r="E100" s="297">
        <v>2</v>
      </c>
      <c r="F100" s="297">
        <v>0</v>
      </c>
    </row>
    <row r="101" spans="1:6" ht="13.5">
      <c r="A101" s="290"/>
      <c r="B101" s="290" t="s">
        <v>262</v>
      </c>
      <c r="C101" s="297">
        <v>21</v>
      </c>
      <c r="D101" s="297">
        <v>14</v>
      </c>
      <c r="E101" s="297">
        <v>7</v>
      </c>
      <c r="F101" s="297">
        <v>0</v>
      </c>
    </row>
    <row r="102" spans="1:6" ht="13.5">
      <c r="A102" s="290"/>
      <c r="B102" s="290" t="s">
        <v>263</v>
      </c>
      <c r="C102" s="297">
        <v>28</v>
      </c>
      <c r="D102" s="297">
        <v>19</v>
      </c>
      <c r="E102" s="297">
        <v>9</v>
      </c>
      <c r="F102" s="297">
        <v>0</v>
      </c>
    </row>
    <row r="103" spans="1:6" ht="13.5">
      <c r="A103" s="290"/>
      <c r="B103" s="290" t="s">
        <v>264</v>
      </c>
      <c r="C103" s="297">
        <v>34</v>
      </c>
      <c r="D103" s="297">
        <v>23</v>
      </c>
      <c r="E103" s="297">
        <v>11</v>
      </c>
      <c r="F103" s="297">
        <v>0</v>
      </c>
    </row>
    <row r="104" spans="1:6" ht="13.5">
      <c r="A104" s="290"/>
      <c r="B104" s="290" t="s">
        <v>265</v>
      </c>
      <c r="C104" s="297">
        <v>48</v>
      </c>
      <c r="D104" s="297">
        <v>34</v>
      </c>
      <c r="E104" s="297">
        <v>14</v>
      </c>
      <c r="F104" s="297">
        <v>0</v>
      </c>
    </row>
    <row r="105" spans="1:6" ht="13.5">
      <c r="A105" s="290"/>
      <c r="B105" s="290" t="s">
        <v>266</v>
      </c>
      <c r="C105" s="297">
        <v>271</v>
      </c>
      <c r="D105" s="297">
        <v>170</v>
      </c>
      <c r="E105" s="297">
        <v>101</v>
      </c>
      <c r="F105" s="297">
        <v>0</v>
      </c>
    </row>
    <row r="106" spans="1:6" ht="13.5">
      <c r="A106" s="290"/>
      <c r="B106" s="290" t="s">
        <v>504</v>
      </c>
      <c r="C106" s="297">
        <v>3</v>
      </c>
      <c r="D106" s="297">
        <v>3</v>
      </c>
      <c r="E106" s="297">
        <v>0</v>
      </c>
      <c r="F106" s="297">
        <v>0</v>
      </c>
    </row>
    <row r="107" spans="1:6" ht="5.0999999999999996" customHeight="1">
      <c r="A107" s="290"/>
      <c r="B107" s="290"/>
      <c r="C107" s="297"/>
      <c r="D107" s="297"/>
      <c r="E107" s="297"/>
      <c r="F107" s="297"/>
    </row>
    <row r="108" spans="1:6" s="322" customFormat="1" ht="13.5">
      <c r="A108" s="292" t="s">
        <v>80</v>
      </c>
      <c r="B108" s="292"/>
      <c r="C108" s="295">
        <v>194</v>
      </c>
      <c r="D108" s="295">
        <v>137</v>
      </c>
      <c r="E108" s="295">
        <v>57</v>
      </c>
      <c r="F108" s="295">
        <v>0</v>
      </c>
    </row>
    <row r="109" spans="1:6" ht="5.0999999999999996" customHeight="1">
      <c r="A109" s="290"/>
      <c r="B109" s="290"/>
      <c r="C109" s="297"/>
      <c r="D109" s="297"/>
      <c r="E109" s="297"/>
      <c r="F109" s="297"/>
    </row>
    <row r="110" spans="1:6" ht="13.5">
      <c r="A110" s="290"/>
      <c r="B110" s="290" t="s">
        <v>503</v>
      </c>
      <c r="C110" s="297">
        <v>1</v>
      </c>
      <c r="D110" s="297">
        <v>0</v>
      </c>
      <c r="E110" s="297">
        <v>1</v>
      </c>
      <c r="F110" s="297">
        <v>0</v>
      </c>
    </row>
    <row r="111" spans="1:6" ht="13.5">
      <c r="A111" s="290"/>
      <c r="B111" s="290" t="s">
        <v>261</v>
      </c>
      <c r="C111" s="297">
        <v>1</v>
      </c>
      <c r="D111" s="297">
        <v>0</v>
      </c>
      <c r="E111" s="297">
        <v>1</v>
      </c>
      <c r="F111" s="297">
        <v>0</v>
      </c>
    </row>
    <row r="112" spans="1:6" ht="13.5">
      <c r="A112" s="290"/>
      <c r="B112" s="290" t="s">
        <v>63</v>
      </c>
      <c r="C112" s="297">
        <v>3</v>
      </c>
      <c r="D112" s="297">
        <v>2</v>
      </c>
      <c r="E112" s="297">
        <v>1</v>
      </c>
      <c r="F112" s="297">
        <v>0</v>
      </c>
    </row>
    <row r="113" spans="1:6" ht="13.5">
      <c r="A113" s="290"/>
      <c r="B113" s="290" t="s">
        <v>64</v>
      </c>
      <c r="C113" s="297">
        <v>4</v>
      </c>
      <c r="D113" s="297">
        <v>4</v>
      </c>
      <c r="E113" s="297">
        <v>0</v>
      </c>
      <c r="F113" s="297">
        <v>0</v>
      </c>
    </row>
    <row r="114" spans="1:6" ht="13.5">
      <c r="A114" s="290"/>
      <c r="B114" s="290" t="s">
        <v>65</v>
      </c>
      <c r="C114" s="297">
        <v>1</v>
      </c>
      <c r="D114" s="297">
        <v>1</v>
      </c>
      <c r="E114" s="297">
        <v>0</v>
      </c>
      <c r="F114" s="297">
        <v>0</v>
      </c>
    </row>
    <row r="115" spans="1:6" ht="13.5">
      <c r="A115" s="290"/>
      <c r="B115" s="290" t="s">
        <v>66</v>
      </c>
      <c r="C115" s="297">
        <v>2</v>
      </c>
      <c r="D115" s="297">
        <v>2</v>
      </c>
      <c r="E115" s="297">
        <v>0</v>
      </c>
      <c r="F115" s="297">
        <v>0</v>
      </c>
    </row>
    <row r="116" spans="1:6" ht="13.5">
      <c r="A116" s="290"/>
      <c r="B116" s="290" t="s">
        <v>67</v>
      </c>
      <c r="C116" s="297">
        <v>5</v>
      </c>
      <c r="D116" s="297">
        <v>3</v>
      </c>
      <c r="E116" s="297">
        <v>2</v>
      </c>
      <c r="F116" s="297">
        <v>0</v>
      </c>
    </row>
    <row r="117" spans="1:6" ht="13.5">
      <c r="A117" s="290"/>
      <c r="B117" s="290" t="s">
        <v>68</v>
      </c>
      <c r="C117" s="297">
        <v>6</v>
      </c>
      <c r="D117" s="297">
        <v>6</v>
      </c>
      <c r="E117" s="297">
        <v>0</v>
      </c>
      <c r="F117" s="297">
        <v>0</v>
      </c>
    </row>
    <row r="118" spans="1:6" ht="13.5">
      <c r="A118" s="290"/>
      <c r="B118" s="290" t="s">
        <v>69</v>
      </c>
      <c r="C118" s="297">
        <v>10</v>
      </c>
      <c r="D118" s="297">
        <v>9</v>
      </c>
      <c r="E118" s="297">
        <v>1</v>
      </c>
      <c r="F118" s="297">
        <v>0</v>
      </c>
    </row>
    <row r="119" spans="1:6" ht="13.5">
      <c r="A119" s="290"/>
      <c r="B119" s="290" t="s">
        <v>262</v>
      </c>
      <c r="C119" s="297">
        <v>7</v>
      </c>
      <c r="D119" s="297">
        <v>6</v>
      </c>
      <c r="E119" s="297">
        <v>1</v>
      </c>
      <c r="F119" s="297">
        <v>0</v>
      </c>
    </row>
    <row r="120" spans="1:6" ht="13.5">
      <c r="A120" s="290"/>
      <c r="B120" s="290" t="s">
        <v>263</v>
      </c>
      <c r="C120" s="297">
        <v>9</v>
      </c>
      <c r="D120" s="297">
        <v>6</v>
      </c>
      <c r="E120" s="297">
        <v>3</v>
      </c>
      <c r="F120" s="297">
        <v>0</v>
      </c>
    </row>
    <row r="121" spans="1:6" ht="13.5">
      <c r="A121" s="290"/>
      <c r="B121" s="290" t="s">
        <v>264</v>
      </c>
      <c r="C121" s="297">
        <v>14</v>
      </c>
      <c r="D121" s="297">
        <v>11</v>
      </c>
      <c r="E121" s="297">
        <v>3</v>
      </c>
      <c r="F121" s="297">
        <v>0</v>
      </c>
    </row>
    <row r="122" spans="1:6" ht="13.5">
      <c r="A122" s="290"/>
      <c r="B122" s="290" t="s">
        <v>265</v>
      </c>
      <c r="C122" s="297">
        <v>11</v>
      </c>
      <c r="D122" s="297">
        <v>8</v>
      </c>
      <c r="E122" s="297">
        <v>3</v>
      </c>
      <c r="F122" s="297">
        <v>0</v>
      </c>
    </row>
    <row r="123" spans="1:6" ht="13.5">
      <c r="A123" s="290"/>
      <c r="B123" s="290" t="s">
        <v>266</v>
      </c>
      <c r="C123" s="297">
        <v>109</v>
      </c>
      <c r="D123" s="297">
        <v>72</v>
      </c>
      <c r="E123" s="297">
        <v>37</v>
      </c>
      <c r="F123" s="297">
        <v>0</v>
      </c>
    </row>
    <row r="124" spans="1:6" ht="13.5">
      <c r="A124" s="290"/>
      <c r="B124" s="290" t="s">
        <v>504</v>
      </c>
      <c r="C124" s="297">
        <v>11</v>
      </c>
      <c r="D124" s="297">
        <v>7</v>
      </c>
      <c r="E124" s="297">
        <v>4</v>
      </c>
      <c r="F124" s="297">
        <v>0</v>
      </c>
    </row>
    <row r="125" spans="1:6" ht="5.0999999999999996" customHeight="1">
      <c r="A125" s="290"/>
      <c r="B125" s="290"/>
      <c r="C125" s="297"/>
      <c r="D125" s="297"/>
      <c r="E125" s="297"/>
      <c r="F125" s="297"/>
    </row>
    <row r="126" spans="1:6" s="322" customFormat="1" ht="13.5">
      <c r="A126" s="292" t="s">
        <v>81</v>
      </c>
      <c r="B126" s="292"/>
      <c r="C126" s="295">
        <v>1642</v>
      </c>
      <c r="D126" s="295">
        <v>1202</v>
      </c>
      <c r="E126" s="295">
        <v>440</v>
      </c>
      <c r="F126" s="295">
        <v>0</v>
      </c>
    </row>
    <row r="127" spans="1:6" ht="5.0999999999999996" customHeight="1">
      <c r="A127" s="290"/>
      <c r="B127" s="290"/>
      <c r="C127" s="297"/>
      <c r="D127" s="297"/>
      <c r="E127" s="297"/>
      <c r="F127" s="297"/>
    </row>
    <row r="128" spans="1:6" ht="13.5">
      <c r="A128" s="290"/>
      <c r="B128" s="290" t="s">
        <v>503</v>
      </c>
      <c r="C128" s="297">
        <v>92</v>
      </c>
      <c r="D128" s="297">
        <v>89</v>
      </c>
      <c r="E128" s="297">
        <v>3</v>
      </c>
      <c r="F128" s="297">
        <v>0</v>
      </c>
    </row>
    <row r="129" spans="1:6" ht="13.5">
      <c r="A129" s="290"/>
      <c r="B129" s="290" t="s">
        <v>259</v>
      </c>
      <c r="C129" s="297">
        <v>9</v>
      </c>
      <c r="D129" s="297">
        <v>8</v>
      </c>
      <c r="E129" s="297">
        <v>1</v>
      </c>
      <c r="F129" s="297">
        <v>0</v>
      </c>
    </row>
    <row r="130" spans="1:6" ht="13.5">
      <c r="A130" s="290"/>
      <c r="B130" s="290" t="s">
        <v>260</v>
      </c>
      <c r="C130" s="297">
        <v>6</v>
      </c>
      <c r="D130" s="297">
        <v>4</v>
      </c>
      <c r="E130" s="297">
        <v>2</v>
      </c>
      <c r="F130" s="297">
        <v>0</v>
      </c>
    </row>
    <row r="131" spans="1:6" ht="13.5">
      <c r="A131" s="290"/>
      <c r="B131" s="290" t="s">
        <v>261</v>
      </c>
      <c r="C131" s="297">
        <v>8</v>
      </c>
      <c r="D131" s="297">
        <v>6</v>
      </c>
      <c r="E131" s="297">
        <v>2</v>
      </c>
      <c r="F131" s="297">
        <v>0</v>
      </c>
    </row>
    <row r="132" spans="1:6" ht="13.5">
      <c r="A132" s="290"/>
      <c r="B132" s="290" t="s">
        <v>63</v>
      </c>
      <c r="C132" s="297">
        <v>30</v>
      </c>
      <c r="D132" s="297">
        <v>21</v>
      </c>
      <c r="E132" s="297">
        <v>9</v>
      </c>
      <c r="F132" s="297">
        <v>0</v>
      </c>
    </row>
    <row r="133" spans="1:6" ht="13.5">
      <c r="A133" s="290"/>
      <c r="B133" s="290" t="s">
        <v>64</v>
      </c>
      <c r="C133" s="297">
        <v>43</v>
      </c>
      <c r="D133" s="297">
        <v>33</v>
      </c>
      <c r="E133" s="297">
        <v>10</v>
      </c>
      <c r="F133" s="297">
        <v>0</v>
      </c>
    </row>
    <row r="134" spans="1:6" ht="13.5">
      <c r="A134" s="290"/>
      <c r="B134" s="290" t="s">
        <v>65</v>
      </c>
      <c r="C134" s="297">
        <v>56</v>
      </c>
      <c r="D134" s="297">
        <v>43</v>
      </c>
      <c r="E134" s="297">
        <v>13</v>
      </c>
      <c r="F134" s="297">
        <v>0</v>
      </c>
    </row>
    <row r="135" spans="1:6" ht="13.5">
      <c r="A135" s="290"/>
      <c r="B135" s="290" t="s">
        <v>66</v>
      </c>
      <c r="C135" s="297">
        <v>43</v>
      </c>
      <c r="D135" s="297">
        <v>28</v>
      </c>
      <c r="E135" s="297">
        <v>15</v>
      </c>
      <c r="F135" s="297">
        <v>0</v>
      </c>
    </row>
    <row r="136" spans="1:6" ht="13.5">
      <c r="A136" s="290"/>
      <c r="B136" s="290" t="s">
        <v>67</v>
      </c>
      <c r="C136" s="297">
        <v>51</v>
      </c>
      <c r="D136" s="297">
        <v>36</v>
      </c>
      <c r="E136" s="297">
        <v>15</v>
      </c>
      <c r="F136" s="297">
        <v>0</v>
      </c>
    </row>
    <row r="137" spans="1:6" ht="13.5">
      <c r="A137" s="290"/>
      <c r="B137" s="290" t="s">
        <v>68</v>
      </c>
      <c r="C137" s="297">
        <v>51</v>
      </c>
      <c r="D137" s="297">
        <v>41</v>
      </c>
      <c r="E137" s="297">
        <v>10</v>
      </c>
      <c r="F137" s="297">
        <v>0</v>
      </c>
    </row>
    <row r="138" spans="1:6" ht="13.5">
      <c r="A138" s="290"/>
      <c r="B138" s="290" t="s">
        <v>69</v>
      </c>
      <c r="C138" s="297">
        <v>55</v>
      </c>
      <c r="D138" s="297">
        <v>43</v>
      </c>
      <c r="E138" s="297">
        <v>12</v>
      </c>
      <c r="F138" s="297">
        <v>0</v>
      </c>
    </row>
    <row r="139" spans="1:6" ht="13.5">
      <c r="A139" s="290"/>
      <c r="B139" s="290" t="s">
        <v>262</v>
      </c>
      <c r="C139" s="297">
        <v>84</v>
      </c>
      <c r="D139" s="297">
        <v>56</v>
      </c>
      <c r="E139" s="297">
        <v>28</v>
      </c>
      <c r="F139" s="297">
        <v>0</v>
      </c>
    </row>
    <row r="140" spans="1:6" ht="13.5">
      <c r="A140" s="290"/>
      <c r="B140" s="290" t="s">
        <v>263</v>
      </c>
      <c r="C140" s="297">
        <v>93</v>
      </c>
      <c r="D140" s="297">
        <v>69</v>
      </c>
      <c r="E140" s="297">
        <v>24</v>
      </c>
      <c r="F140" s="297">
        <v>0</v>
      </c>
    </row>
    <row r="141" spans="1:6" ht="13.5">
      <c r="A141" s="290"/>
      <c r="B141" s="290" t="s">
        <v>264</v>
      </c>
      <c r="C141" s="297">
        <v>118</v>
      </c>
      <c r="D141" s="297">
        <v>82</v>
      </c>
      <c r="E141" s="297">
        <v>36</v>
      </c>
      <c r="F141" s="297">
        <v>0</v>
      </c>
    </row>
    <row r="142" spans="1:6" ht="13.5">
      <c r="A142" s="290"/>
      <c r="B142" s="290" t="s">
        <v>265</v>
      </c>
      <c r="C142" s="297">
        <v>130</v>
      </c>
      <c r="D142" s="297">
        <v>104</v>
      </c>
      <c r="E142" s="297">
        <v>26</v>
      </c>
      <c r="F142" s="297">
        <v>0</v>
      </c>
    </row>
    <row r="143" spans="1:6" ht="13.5">
      <c r="A143" s="290"/>
      <c r="B143" s="290" t="s">
        <v>266</v>
      </c>
      <c r="C143" s="297">
        <v>743</v>
      </c>
      <c r="D143" s="297">
        <v>518</v>
      </c>
      <c r="E143" s="297">
        <v>225</v>
      </c>
      <c r="F143" s="297">
        <v>0</v>
      </c>
    </row>
    <row r="144" spans="1:6" ht="13.5">
      <c r="A144" s="290"/>
      <c r="B144" s="290" t="s">
        <v>504</v>
      </c>
      <c r="C144" s="297">
        <v>30</v>
      </c>
      <c r="D144" s="297">
        <v>21</v>
      </c>
      <c r="E144" s="297">
        <v>9</v>
      </c>
      <c r="F144" s="297">
        <v>0</v>
      </c>
    </row>
    <row r="145" spans="1:6" ht="5.0999999999999996" customHeight="1">
      <c r="A145" s="290"/>
      <c r="B145" s="290"/>
      <c r="C145" s="297"/>
      <c r="D145" s="297"/>
      <c r="E145" s="297"/>
      <c r="F145" s="297"/>
    </row>
    <row r="146" spans="1:6" s="322" customFormat="1" ht="13.5">
      <c r="A146" s="292" t="s">
        <v>82</v>
      </c>
      <c r="B146" s="292"/>
      <c r="C146" s="295">
        <v>138</v>
      </c>
      <c r="D146" s="295">
        <v>80</v>
      </c>
      <c r="E146" s="295">
        <v>58</v>
      </c>
      <c r="F146" s="295">
        <v>0</v>
      </c>
    </row>
    <row r="147" spans="1:6" ht="5.0999999999999996" customHeight="1">
      <c r="A147" s="290"/>
      <c r="B147" s="290"/>
      <c r="C147" s="297"/>
      <c r="D147" s="297"/>
      <c r="E147" s="297"/>
      <c r="F147" s="297"/>
    </row>
    <row r="148" spans="1:6" ht="13.5">
      <c r="A148" s="290"/>
      <c r="B148" s="290" t="s">
        <v>503</v>
      </c>
      <c r="C148" s="297">
        <v>1</v>
      </c>
      <c r="D148" s="297">
        <v>1</v>
      </c>
      <c r="E148" s="297">
        <v>0</v>
      </c>
      <c r="F148" s="297">
        <v>0</v>
      </c>
    </row>
    <row r="149" spans="1:6" ht="13.5">
      <c r="A149" s="290"/>
      <c r="B149" s="290" t="s">
        <v>259</v>
      </c>
      <c r="C149" s="297">
        <v>2</v>
      </c>
      <c r="D149" s="297">
        <v>2</v>
      </c>
      <c r="E149" s="297">
        <v>0</v>
      </c>
      <c r="F149" s="297">
        <v>0</v>
      </c>
    </row>
    <row r="150" spans="1:6" ht="13.5">
      <c r="A150" s="290"/>
      <c r="B150" s="290" t="s">
        <v>261</v>
      </c>
      <c r="C150" s="297">
        <v>1</v>
      </c>
      <c r="D150" s="297">
        <v>1</v>
      </c>
      <c r="E150" s="297">
        <v>0</v>
      </c>
      <c r="F150" s="297">
        <v>0</v>
      </c>
    </row>
    <row r="151" spans="1:6" ht="13.5">
      <c r="A151" s="290"/>
      <c r="B151" s="290" t="s">
        <v>63</v>
      </c>
      <c r="C151" s="297">
        <v>2</v>
      </c>
      <c r="D151" s="297">
        <v>0</v>
      </c>
      <c r="E151" s="297">
        <v>2</v>
      </c>
      <c r="F151" s="297">
        <v>0</v>
      </c>
    </row>
    <row r="152" spans="1:6" ht="13.5">
      <c r="A152" s="290"/>
      <c r="B152" s="290" t="s">
        <v>64</v>
      </c>
      <c r="C152" s="297">
        <v>5</v>
      </c>
      <c r="D152" s="297">
        <v>4</v>
      </c>
      <c r="E152" s="297">
        <v>1</v>
      </c>
      <c r="F152" s="297">
        <v>0</v>
      </c>
    </row>
    <row r="153" spans="1:6" ht="13.5">
      <c r="A153" s="290"/>
      <c r="B153" s="290" t="s">
        <v>65</v>
      </c>
      <c r="C153" s="297">
        <v>4</v>
      </c>
      <c r="D153" s="297">
        <v>3</v>
      </c>
      <c r="E153" s="297">
        <v>1</v>
      </c>
      <c r="F153" s="297">
        <v>0</v>
      </c>
    </row>
    <row r="154" spans="1:6" ht="13.5">
      <c r="A154" s="290"/>
      <c r="B154" s="290" t="s">
        <v>67</v>
      </c>
      <c r="C154" s="297">
        <v>7</v>
      </c>
      <c r="D154" s="297">
        <v>5</v>
      </c>
      <c r="E154" s="297">
        <v>2</v>
      </c>
      <c r="F154" s="297">
        <v>0</v>
      </c>
    </row>
    <row r="155" spans="1:6" ht="13.5">
      <c r="A155" s="290"/>
      <c r="B155" s="290" t="s">
        <v>68</v>
      </c>
      <c r="C155" s="297">
        <v>4</v>
      </c>
      <c r="D155" s="297">
        <v>2</v>
      </c>
      <c r="E155" s="297">
        <v>2</v>
      </c>
      <c r="F155" s="297">
        <v>0</v>
      </c>
    </row>
    <row r="156" spans="1:6" ht="13.5">
      <c r="A156" s="290"/>
      <c r="B156" s="290" t="s">
        <v>69</v>
      </c>
      <c r="C156" s="297">
        <v>4</v>
      </c>
      <c r="D156" s="297">
        <v>3</v>
      </c>
      <c r="E156" s="297">
        <v>1</v>
      </c>
      <c r="F156" s="297">
        <v>0</v>
      </c>
    </row>
    <row r="157" spans="1:6" ht="13.5">
      <c r="A157" s="290"/>
      <c r="B157" s="290" t="s">
        <v>262</v>
      </c>
      <c r="C157" s="297">
        <v>3</v>
      </c>
      <c r="D157" s="297">
        <v>2</v>
      </c>
      <c r="E157" s="297">
        <v>1</v>
      </c>
      <c r="F157" s="297">
        <v>0</v>
      </c>
    </row>
    <row r="158" spans="1:6" ht="13.5">
      <c r="A158" s="290"/>
      <c r="B158" s="290" t="s">
        <v>263</v>
      </c>
      <c r="C158" s="297">
        <v>8</v>
      </c>
      <c r="D158" s="297">
        <v>5</v>
      </c>
      <c r="E158" s="297">
        <v>3</v>
      </c>
      <c r="F158" s="297">
        <v>0</v>
      </c>
    </row>
    <row r="159" spans="1:6" ht="13.5">
      <c r="A159" s="290"/>
      <c r="B159" s="290" t="s">
        <v>264</v>
      </c>
      <c r="C159" s="297">
        <v>6</v>
      </c>
      <c r="D159" s="297">
        <v>3</v>
      </c>
      <c r="E159" s="297">
        <v>3</v>
      </c>
      <c r="F159" s="297">
        <v>0</v>
      </c>
    </row>
    <row r="160" spans="1:6" ht="13.5">
      <c r="A160" s="290"/>
      <c r="B160" s="290" t="s">
        <v>265</v>
      </c>
      <c r="C160" s="297">
        <v>16</v>
      </c>
      <c r="D160" s="297">
        <v>10</v>
      </c>
      <c r="E160" s="297">
        <v>6</v>
      </c>
      <c r="F160" s="297">
        <v>0</v>
      </c>
    </row>
    <row r="161" spans="1:6" ht="13.5">
      <c r="A161" s="290"/>
      <c r="B161" s="290" t="s">
        <v>266</v>
      </c>
      <c r="C161" s="297">
        <v>74</v>
      </c>
      <c r="D161" s="297">
        <v>38</v>
      </c>
      <c r="E161" s="297">
        <v>36</v>
      </c>
      <c r="F161" s="297">
        <v>0</v>
      </c>
    </row>
    <row r="162" spans="1:6" ht="13.5">
      <c r="A162" s="290"/>
      <c r="B162" s="290" t="s">
        <v>504</v>
      </c>
      <c r="C162" s="297">
        <v>1</v>
      </c>
      <c r="D162" s="297">
        <v>1</v>
      </c>
      <c r="E162" s="297">
        <v>0</v>
      </c>
      <c r="F162" s="297">
        <v>0</v>
      </c>
    </row>
    <row r="163" spans="1:6" ht="5.0999999999999996" customHeight="1">
      <c r="A163" s="290"/>
      <c r="B163" s="290"/>
      <c r="C163" s="297"/>
      <c r="D163" s="297"/>
      <c r="E163" s="297"/>
      <c r="F163" s="297"/>
    </row>
    <row r="164" spans="1:6" s="322" customFormat="1" ht="13.5">
      <c r="A164" s="292" t="s">
        <v>83</v>
      </c>
      <c r="B164" s="292"/>
      <c r="C164" s="295">
        <v>180</v>
      </c>
      <c r="D164" s="295">
        <v>109</v>
      </c>
      <c r="E164" s="295">
        <v>70</v>
      </c>
      <c r="F164" s="295">
        <v>1</v>
      </c>
    </row>
    <row r="165" spans="1:6" ht="5.0999999999999996" customHeight="1">
      <c r="A165" s="290"/>
      <c r="B165" s="290"/>
      <c r="C165" s="297"/>
      <c r="D165" s="297"/>
      <c r="E165" s="297"/>
      <c r="F165" s="297"/>
    </row>
    <row r="166" spans="1:6" ht="13.5">
      <c r="A166" s="290"/>
      <c r="B166" s="290" t="s">
        <v>260</v>
      </c>
      <c r="C166" s="297">
        <v>2</v>
      </c>
      <c r="D166" s="297">
        <v>0</v>
      </c>
      <c r="E166" s="297">
        <v>2</v>
      </c>
      <c r="F166" s="297">
        <v>0</v>
      </c>
    </row>
    <row r="167" spans="1:6" ht="13.5">
      <c r="A167" s="290"/>
      <c r="B167" s="290" t="s">
        <v>261</v>
      </c>
      <c r="C167" s="297">
        <v>1</v>
      </c>
      <c r="D167" s="297">
        <v>1</v>
      </c>
      <c r="E167" s="297">
        <v>0</v>
      </c>
      <c r="F167" s="297">
        <v>0</v>
      </c>
    </row>
    <row r="168" spans="1:6" ht="13.5">
      <c r="A168" s="290"/>
      <c r="B168" s="290" t="s">
        <v>63</v>
      </c>
      <c r="C168" s="297">
        <v>6</v>
      </c>
      <c r="D168" s="297">
        <v>2</v>
      </c>
      <c r="E168" s="297">
        <v>4</v>
      </c>
      <c r="F168" s="297">
        <v>0</v>
      </c>
    </row>
    <row r="169" spans="1:6" ht="13.5">
      <c r="A169" s="290"/>
      <c r="B169" s="290" t="s">
        <v>64</v>
      </c>
      <c r="C169" s="297">
        <v>1</v>
      </c>
      <c r="D169" s="297">
        <v>0</v>
      </c>
      <c r="E169" s="297">
        <v>1</v>
      </c>
      <c r="F169" s="297">
        <v>0</v>
      </c>
    </row>
    <row r="170" spans="1:6" ht="13.5">
      <c r="A170" s="290"/>
      <c r="B170" s="290" t="s">
        <v>65</v>
      </c>
      <c r="C170" s="297">
        <v>6</v>
      </c>
      <c r="D170" s="297">
        <v>4</v>
      </c>
      <c r="E170" s="297">
        <v>2</v>
      </c>
      <c r="F170" s="297">
        <v>0</v>
      </c>
    </row>
    <row r="171" spans="1:6" ht="13.5">
      <c r="A171" s="290"/>
      <c r="B171" s="290" t="s">
        <v>66</v>
      </c>
      <c r="C171" s="297">
        <v>3</v>
      </c>
      <c r="D171" s="297">
        <v>1</v>
      </c>
      <c r="E171" s="297">
        <v>2</v>
      </c>
      <c r="F171" s="297">
        <v>0</v>
      </c>
    </row>
    <row r="172" spans="1:6" ht="13.5">
      <c r="A172" s="290"/>
      <c r="B172" s="290" t="s">
        <v>67</v>
      </c>
      <c r="C172" s="297">
        <v>3</v>
      </c>
      <c r="D172" s="297">
        <v>1</v>
      </c>
      <c r="E172" s="297">
        <v>2</v>
      </c>
      <c r="F172" s="297">
        <v>0</v>
      </c>
    </row>
    <row r="173" spans="1:6" ht="13.5">
      <c r="A173" s="290"/>
      <c r="B173" s="290" t="s">
        <v>68</v>
      </c>
      <c r="C173" s="297">
        <v>6</v>
      </c>
      <c r="D173" s="297">
        <v>3</v>
      </c>
      <c r="E173" s="297">
        <v>3</v>
      </c>
      <c r="F173" s="297">
        <v>0</v>
      </c>
    </row>
    <row r="174" spans="1:6" ht="13.5">
      <c r="A174" s="290"/>
      <c r="B174" s="290" t="s">
        <v>69</v>
      </c>
      <c r="C174" s="297">
        <v>8</v>
      </c>
      <c r="D174" s="297">
        <v>6</v>
      </c>
      <c r="E174" s="297">
        <v>2</v>
      </c>
      <c r="F174" s="297">
        <v>0</v>
      </c>
    </row>
    <row r="175" spans="1:6" ht="13.5">
      <c r="A175" s="290"/>
      <c r="B175" s="290" t="s">
        <v>262</v>
      </c>
      <c r="C175" s="297">
        <v>6</v>
      </c>
      <c r="D175" s="297">
        <v>3</v>
      </c>
      <c r="E175" s="297">
        <v>2</v>
      </c>
      <c r="F175" s="297">
        <v>1</v>
      </c>
    </row>
    <row r="176" spans="1:6" ht="13.5">
      <c r="A176" s="290"/>
      <c r="B176" s="290" t="s">
        <v>263</v>
      </c>
      <c r="C176" s="297">
        <v>11</v>
      </c>
      <c r="D176" s="297">
        <v>7</v>
      </c>
      <c r="E176" s="297">
        <v>4</v>
      </c>
      <c r="F176" s="297">
        <v>0</v>
      </c>
    </row>
    <row r="177" spans="1:6" ht="13.5">
      <c r="A177" s="290"/>
      <c r="B177" s="290" t="s">
        <v>264</v>
      </c>
      <c r="C177" s="297">
        <v>6</v>
      </c>
      <c r="D177" s="297">
        <v>3</v>
      </c>
      <c r="E177" s="297">
        <v>3</v>
      </c>
      <c r="F177" s="297">
        <v>0</v>
      </c>
    </row>
    <row r="178" spans="1:6" ht="13.5">
      <c r="A178" s="290"/>
      <c r="B178" s="290" t="s">
        <v>265</v>
      </c>
      <c r="C178" s="297">
        <v>11</v>
      </c>
      <c r="D178" s="297">
        <v>8</v>
      </c>
      <c r="E178" s="297">
        <v>3</v>
      </c>
      <c r="F178" s="297">
        <v>0</v>
      </c>
    </row>
    <row r="179" spans="1:6" ht="13.5">
      <c r="A179" s="290"/>
      <c r="B179" s="290" t="s">
        <v>266</v>
      </c>
      <c r="C179" s="297">
        <v>105</v>
      </c>
      <c r="D179" s="297">
        <v>69</v>
      </c>
      <c r="E179" s="297">
        <v>36</v>
      </c>
      <c r="F179" s="297">
        <v>0</v>
      </c>
    </row>
    <row r="180" spans="1:6" ht="13.5">
      <c r="A180" s="290"/>
      <c r="B180" s="290" t="s">
        <v>504</v>
      </c>
      <c r="C180" s="297">
        <v>5</v>
      </c>
      <c r="D180" s="297">
        <v>1</v>
      </c>
      <c r="E180" s="297">
        <v>4</v>
      </c>
      <c r="F180" s="297">
        <v>0</v>
      </c>
    </row>
    <row r="181" spans="1:6" ht="5.0999999999999996" customHeight="1">
      <c r="A181" s="290"/>
      <c r="B181" s="290"/>
      <c r="C181" s="297"/>
      <c r="D181" s="297"/>
      <c r="E181" s="297"/>
      <c r="F181" s="297"/>
    </row>
    <row r="182" spans="1:6" s="322" customFormat="1" ht="13.5">
      <c r="A182" s="292" t="s">
        <v>84</v>
      </c>
      <c r="B182" s="292"/>
      <c r="C182" s="295">
        <v>791</v>
      </c>
      <c r="D182" s="295">
        <v>314</v>
      </c>
      <c r="E182" s="295">
        <v>477</v>
      </c>
      <c r="F182" s="295">
        <v>0</v>
      </c>
    </row>
    <row r="183" spans="1:6" ht="5.0999999999999996" customHeight="1">
      <c r="A183" s="290"/>
      <c r="B183" s="290"/>
      <c r="C183" s="297"/>
      <c r="D183" s="297"/>
      <c r="E183" s="297"/>
      <c r="F183" s="297"/>
    </row>
    <row r="184" spans="1:6" ht="13.5">
      <c r="A184" s="290"/>
      <c r="B184" s="290" t="s">
        <v>259</v>
      </c>
      <c r="C184" s="297">
        <v>4</v>
      </c>
      <c r="D184" s="297">
        <v>2</v>
      </c>
      <c r="E184" s="297">
        <v>2</v>
      </c>
      <c r="F184" s="297">
        <v>0</v>
      </c>
    </row>
    <row r="185" spans="1:6" ht="13.5">
      <c r="A185" s="290"/>
      <c r="B185" s="290" t="s">
        <v>260</v>
      </c>
      <c r="C185" s="297">
        <v>3</v>
      </c>
      <c r="D185" s="297">
        <v>3</v>
      </c>
      <c r="E185" s="297">
        <v>0</v>
      </c>
      <c r="F185" s="297">
        <v>0</v>
      </c>
    </row>
    <row r="186" spans="1:6" ht="13.5">
      <c r="A186" s="290"/>
      <c r="B186" s="290" t="s">
        <v>261</v>
      </c>
      <c r="C186" s="297">
        <v>1</v>
      </c>
      <c r="D186" s="297">
        <v>1</v>
      </c>
      <c r="E186" s="297">
        <v>0</v>
      </c>
      <c r="F186" s="297">
        <v>0</v>
      </c>
    </row>
    <row r="187" spans="1:6" ht="13.5">
      <c r="A187" s="290"/>
      <c r="B187" s="290" t="s">
        <v>63</v>
      </c>
      <c r="C187" s="297">
        <v>16</v>
      </c>
      <c r="D187" s="297">
        <v>9</v>
      </c>
      <c r="E187" s="297">
        <v>7</v>
      </c>
      <c r="F187" s="297">
        <v>0</v>
      </c>
    </row>
    <row r="188" spans="1:6" ht="13.5">
      <c r="A188" s="290"/>
      <c r="B188" s="290" t="s">
        <v>64</v>
      </c>
      <c r="C188" s="297">
        <v>13</v>
      </c>
      <c r="D188" s="297">
        <v>4</v>
      </c>
      <c r="E188" s="297">
        <v>9</v>
      </c>
      <c r="F188" s="297">
        <v>0</v>
      </c>
    </row>
    <row r="189" spans="1:6" ht="13.5">
      <c r="A189" s="290"/>
      <c r="B189" s="290" t="s">
        <v>65</v>
      </c>
      <c r="C189" s="297">
        <v>18</v>
      </c>
      <c r="D189" s="297">
        <v>4</v>
      </c>
      <c r="E189" s="297">
        <v>14</v>
      </c>
      <c r="F189" s="297">
        <v>0</v>
      </c>
    </row>
    <row r="190" spans="1:6" ht="13.5">
      <c r="A190" s="290"/>
      <c r="B190" s="290" t="s">
        <v>66</v>
      </c>
      <c r="C190" s="297">
        <v>19</v>
      </c>
      <c r="D190" s="297">
        <v>7</v>
      </c>
      <c r="E190" s="297">
        <v>12</v>
      </c>
      <c r="F190" s="297">
        <v>0</v>
      </c>
    </row>
    <row r="191" spans="1:6" ht="13.5">
      <c r="A191" s="290"/>
      <c r="B191" s="290" t="s">
        <v>67</v>
      </c>
      <c r="C191" s="297">
        <v>17</v>
      </c>
      <c r="D191" s="297">
        <v>8</v>
      </c>
      <c r="E191" s="297">
        <v>9</v>
      </c>
      <c r="F191" s="297">
        <v>0</v>
      </c>
    </row>
    <row r="192" spans="1:6" ht="13.5">
      <c r="A192" s="290"/>
      <c r="B192" s="290" t="s">
        <v>68</v>
      </c>
      <c r="C192" s="297">
        <v>25</v>
      </c>
      <c r="D192" s="297">
        <v>11</v>
      </c>
      <c r="E192" s="297">
        <v>14</v>
      </c>
      <c r="F192" s="297">
        <v>0</v>
      </c>
    </row>
    <row r="193" spans="1:6" ht="13.5">
      <c r="A193" s="290"/>
      <c r="B193" s="290" t="s">
        <v>69</v>
      </c>
      <c r="C193" s="297">
        <v>40</v>
      </c>
      <c r="D193" s="297">
        <v>20</v>
      </c>
      <c r="E193" s="297">
        <v>20</v>
      </c>
      <c r="F193" s="297">
        <v>0</v>
      </c>
    </row>
    <row r="194" spans="1:6" ht="13.5">
      <c r="A194" s="290"/>
      <c r="B194" s="290" t="s">
        <v>262</v>
      </c>
      <c r="C194" s="297">
        <v>31</v>
      </c>
      <c r="D194" s="297">
        <v>14</v>
      </c>
      <c r="E194" s="297">
        <v>17</v>
      </c>
      <c r="F194" s="297">
        <v>0</v>
      </c>
    </row>
    <row r="195" spans="1:6" ht="13.5">
      <c r="A195" s="290"/>
      <c r="B195" s="290" t="s">
        <v>263</v>
      </c>
      <c r="C195" s="297">
        <v>46</v>
      </c>
      <c r="D195" s="297">
        <v>23</v>
      </c>
      <c r="E195" s="297">
        <v>23</v>
      </c>
      <c r="F195" s="297">
        <v>0</v>
      </c>
    </row>
    <row r="196" spans="1:6" ht="13.5">
      <c r="A196" s="290"/>
      <c r="B196" s="290" t="s">
        <v>264</v>
      </c>
      <c r="C196" s="297">
        <v>61</v>
      </c>
      <c r="D196" s="297">
        <v>27</v>
      </c>
      <c r="E196" s="297">
        <v>34</v>
      </c>
      <c r="F196" s="297">
        <v>0</v>
      </c>
    </row>
    <row r="197" spans="1:6" ht="13.5">
      <c r="A197" s="290"/>
      <c r="B197" s="290" t="s">
        <v>265</v>
      </c>
      <c r="C197" s="297">
        <v>49</v>
      </c>
      <c r="D197" s="297">
        <v>15</v>
      </c>
      <c r="E197" s="297">
        <v>34</v>
      </c>
      <c r="F197" s="297">
        <v>0</v>
      </c>
    </row>
    <row r="198" spans="1:6" ht="13.5">
      <c r="A198" s="290"/>
      <c r="B198" s="290" t="s">
        <v>266</v>
      </c>
      <c r="C198" s="297">
        <v>436</v>
      </c>
      <c r="D198" s="297">
        <v>164</v>
      </c>
      <c r="E198" s="297">
        <v>272</v>
      </c>
      <c r="F198" s="297">
        <v>0</v>
      </c>
    </row>
    <row r="199" spans="1:6" ht="13.5">
      <c r="A199" s="290"/>
      <c r="B199" s="290" t="s">
        <v>504</v>
      </c>
      <c r="C199" s="297">
        <v>12</v>
      </c>
      <c r="D199" s="297">
        <v>2</v>
      </c>
      <c r="E199" s="297">
        <v>10</v>
      </c>
      <c r="F199" s="297">
        <v>0</v>
      </c>
    </row>
    <row r="200" spans="1:6" ht="5.0999999999999996" customHeight="1">
      <c r="A200" s="290"/>
      <c r="B200" s="290"/>
      <c r="C200" s="297"/>
      <c r="D200" s="297"/>
      <c r="E200" s="297"/>
      <c r="F200" s="297"/>
    </row>
    <row r="201" spans="1:6" s="322" customFormat="1" ht="13.5">
      <c r="A201" s="292" t="s">
        <v>85</v>
      </c>
      <c r="B201" s="292"/>
      <c r="C201" s="295">
        <v>177</v>
      </c>
      <c r="D201" s="295">
        <v>159</v>
      </c>
      <c r="E201" s="295">
        <v>18</v>
      </c>
      <c r="F201" s="295">
        <v>0</v>
      </c>
    </row>
    <row r="202" spans="1:6" ht="5.0999999999999996" customHeight="1">
      <c r="A202" s="290"/>
      <c r="B202" s="290"/>
      <c r="C202" s="297"/>
      <c r="D202" s="297"/>
      <c r="E202" s="297"/>
      <c r="F202" s="297"/>
    </row>
    <row r="203" spans="1:6" ht="13.5">
      <c r="A203" s="290"/>
      <c r="B203" s="290" t="s">
        <v>503</v>
      </c>
      <c r="C203" s="297">
        <v>2</v>
      </c>
      <c r="D203" s="297">
        <v>2</v>
      </c>
      <c r="E203" s="297">
        <v>0</v>
      </c>
      <c r="F203" s="297">
        <v>0</v>
      </c>
    </row>
    <row r="204" spans="1:6" ht="13.5">
      <c r="A204" s="290"/>
      <c r="B204" s="290" t="s">
        <v>261</v>
      </c>
      <c r="C204" s="297">
        <v>1</v>
      </c>
      <c r="D204" s="297">
        <v>0</v>
      </c>
      <c r="E204" s="297">
        <v>1</v>
      </c>
      <c r="F204" s="297">
        <v>0</v>
      </c>
    </row>
    <row r="205" spans="1:6" ht="13.5">
      <c r="A205" s="290"/>
      <c r="B205" s="290" t="s">
        <v>63</v>
      </c>
      <c r="C205" s="297">
        <v>4</v>
      </c>
      <c r="D205" s="297">
        <v>2</v>
      </c>
      <c r="E205" s="297">
        <v>2</v>
      </c>
      <c r="F205" s="297">
        <v>0</v>
      </c>
    </row>
    <row r="206" spans="1:6" ht="13.5">
      <c r="A206" s="290"/>
      <c r="B206" s="290" t="s">
        <v>64</v>
      </c>
      <c r="C206" s="297">
        <v>1</v>
      </c>
      <c r="D206" s="297">
        <v>1</v>
      </c>
      <c r="E206" s="297">
        <v>0</v>
      </c>
      <c r="F206" s="297">
        <v>0</v>
      </c>
    </row>
    <row r="207" spans="1:6" ht="13.5">
      <c r="A207" s="290"/>
      <c r="B207" s="290" t="s">
        <v>65</v>
      </c>
      <c r="C207" s="297">
        <v>4</v>
      </c>
      <c r="D207" s="297">
        <v>4</v>
      </c>
      <c r="E207" s="297">
        <v>0</v>
      </c>
      <c r="F207" s="297">
        <v>0</v>
      </c>
    </row>
    <row r="208" spans="1:6" ht="13.5">
      <c r="A208" s="290"/>
      <c r="B208" s="290" t="s">
        <v>66</v>
      </c>
      <c r="C208" s="297">
        <v>4</v>
      </c>
      <c r="D208" s="297">
        <v>4</v>
      </c>
      <c r="E208" s="297">
        <v>0</v>
      </c>
      <c r="F208" s="297">
        <v>0</v>
      </c>
    </row>
    <row r="209" spans="1:6" ht="13.5">
      <c r="A209" s="290"/>
      <c r="B209" s="290" t="s">
        <v>67</v>
      </c>
      <c r="C209" s="297">
        <v>8</v>
      </c>
      <c r="D209" s="297">
        <v>8</v>
      </c>
      <c r="E209" s="297">
        <v>0</v>
      </c>
      <c r="F209" s="297">
        <v>0</v>
      </c>
    </row>
    <row r="210" spans="1:6" ht="13.5">
      <c r="A210" s="290"/>
      <c r="B210" s="290" t="s">
        <v>68</v>
      </c>
      <c r="C210" s="297">
        <v>8</v>
      </c>
      <c r="D210" s="297">
        <v>7</v>
      </c>
      <c r="E210" s="297">
        <v>1</v>
      </c>
      <c r="F210" s="297">
        <v>0</v>
      </c>
    </row>
    <row r="211" spans="1:6" ht="13.5">
      <c r="A211" s="290"/>
      <c r="B211" s="290" t="s">
        <v>69</v>
      </c>
      <c r="C211" s="297">
        <v>4</v>
      </c>
      <c r="D211" s="297">
        <v>4</v>
      </c>
      <c r="E211" s="297">
        <v>0</v>
      </c>
      <c r="F211" s="297">
        <v>0</v>
      </c>
    </row>
    <row r="212" spans="1:6" ht="13.5">
      <c r="A212" s="290"/>
      <c r="B212" s="290" t="s">
        <v>262</v>
      </c>
      <c r="C212" s="297">
        <v>12</v>
      </c>
      <c r="D212" s="297">
        <v>12</v>
      </c>
      <c r="E212" s="297">
        <v>0</v>
      </c>
      <c r="F212" s="297">
        <v>0</v>
      </c>
    </row>
    <row r="213" spans="1:6" ht="13.5">
      <c r="A213" s="290"/>
      <c r="B213" s="290" t="s">
        <v>263</v>
      </c>
      <c r="C213" s="297">
        <v>7</v>
      </c>
      <c r="D213" s="297">
        <v>6</v>
      </c>
      <c r="E213" s="297">
        <v>1</v>
      </c>
      <c r="F213" s="297">
        <v>0</v>
      </c>
    </row>
    <row r="214" spans="1:6" ht="13.5">
      <c r="A214" s="290"/>
      <c r="B214" s="290" t="s">
        <v>264</v>
      </c>
      <c r="C214" s="297">
        <v>12</v>
      </c>
      <c r="D214" s="297">
        <v>11</v>
      </c>
      <c r="E214" s="297">
        <v>1</v>
      </c>
      <c r="F214" s="297">
        <v>0</v>
      </c>
    </row>
    <row r="215" spans="1:6" ht="13.5">
      <c r="A215" s="290"/>
      <c r="B215" s="290" t="s">
        <v>265</v>
      </c>
      <c r="C215" s="297">
        <v>19</v>
      </c>
      <c r="D215" s="297">
        <v>17</v>
      </c>
      <c r="E215" s="297">
        <v>2</v>
      </c>
      <c r="F215" s="297">
        <v>0</v>
      </c>
    </row>
    <row r="216" spans="1:6" ht="13.5">
      <c r="A216" s="290"/>
      <c r="B216" s="290" t="s">
        <v>266</v>
      </c>
      <c r="C216" s="297">
        <v>89</v>
      </c>
      <c r="D216" s="297">
        <v>80</v>
      </c>
      <c r="E216" s="297">
        <v>9</v>
      </c>
      <c r="F216" s="297">
        <v>0</v>
      </c>
    </row>
    <row r="217" spans="1:6" ht="13.5">
      <c r="A217" s="290"/>
      <c r="B217" s="290" t="s">
        <v>504</v>
      </c>
      <c r="C217" s="297">
        <v>2</v>
      </c>
      <c r="D217" s="297">
        <v>1</v>
      </c>
      <c r="E217" s="297">
        <v>1</v>
      </c>
      <c r="F217" s="297">
        <v>0</v>
      </c>
    </row>
    <row r="218" spans="1:6" ht="5.0999999999999996" customHeight="1">
      <c r="A218" s="290"/>
      <c r="B218" s="290"/>
      <c r="C218" s="297"/>
      <c r="D218" s="297"/>
      <c r="E218" s="297"/>
      <c r="F218" s="297"/>
    </row>
    <row r="219" spans="1:6" s="322" customFormat="1" ht="13.5">
      <c r="A219" s="292" t="s">
        <v>86</v>
      </c>
      <c r="B219" s="292"/>
      <c r="C219" s="295">
        <v>662</v>
      </c>
      <c r="D219" s="295">
        <v>616</v>
      </c>
      <c r="E219" s="295">
        <v>12</v>
      </c>
      <c r="F219" s="295">
        <v>34</v>
      </c>
    </row>
    <row r="220" spans="1:6" ht="5.0999999999999996" customHeight="1">
      <c r="A220" s="290"/>
      <c r="B220" s="290"/>
      <c r="C220" s="297"/>
      <c r="D220" s="297"/>
      <c r="E220" s="297"/>
      <c r="F220" s="297"/>
    </row>
    <row r="221" spans="1:6" ht="13.5">
      <c r="A221" s="290"/>
      <c r="B221" s="290" t="s">
        <v>503</v>
      </c>
      <c r="C221" s="297">
        <v>10</v>
      </c>
      <c r="D221" s="297">
        <v>10</v>
      </c>
      <c r="E221" s="297">
        <v>0</v>
      </c>
      <c r="F221" s="297">
        <v>0</v>
      </c>
    </row>
    <row r="222" spans="1:6" ht="13.5">
      <c r="A222" s="290"/>
      <c r="B222" s="290" t="s">
        <v>259</v>
      </c>
      <c r="C222" s="297">
        <v>4</v>
      </c>
      <c r="D222" s="297">
        <v>4</v>
      </c>
      <c r="E222" s="297">
        <v>0</v>
      </c>
      <c r="F222" s="297">
        <v>0</v>
      </c>
    </row>
    <row r="223" spans="1:6" ht="13.5">
      <c r="A223" s="290"/>
      <c r="B223" s="290" t="s">
        <v>260</v>
      </c>
      <c r="C223" s="297">
        <v>3</v>
      </c>
      <c r="D223" s="297">
        <v>3</v>
      </c>
      <c r="E223" s="297">
        <v>0</v>
      </c>
      <c r="F223" s="297">
        <v>0</v>
      </c>
    </row>
    <row r="224" spans="1:6" ht="13.5">
      <c r="A224" s="290"/>
      <c r="B224" s="290" t="s">
        <v>261</v>
      </c>
      <c r="C224" s="297">
        <v>5</v>
      </c>
      <c r="D224" s="297">
        <v>5</v>
      </c>
      <c r="E224" s="297">
        <v>0</v>
      </c>
      <c r="F224" s="297">
        <v>0</v>
      </c>
    </row>
    <row r="225" spans="1:6" ht="13.5">
      <c r="A225" s="290"/>
      <c r="B225" s="290" t="s">
        <v>63</v>
      </c>
      <c r="C225" s="297">
        <v>16</v>
      </c>
      <c r="D225" s="297">
        <v>14</v>
      </c>
      <c r="E225" s="297">
        <v>0</v>
      </c>
      <c r="F225" s="297">
        <v>2</v>
      </c>
    </row>
    <row r="226" spans="1:6" ht="13.5">
      <c r="A226" s="290"/>
      <c r="B226" s="290" t="s">
        <v>64</v>
      </c>
      <c r="C226" s="297">
        <v>17</v>
      </c>
      <c r="D226" s="297">
        <v>16</v>
      </c>
      <c r="E226" s="297">
        <v>0</v>
      </c>
      <c r="F226" s="297">
        <v>1</v>
      </c>
    </row>
    <row r="227" spans="1:6" ht="13.5">
      <c r="A227" s="290"/>
      <c r="B227" s="290" t="s">
        <v>65</v>
      </c>
      <c r="C227" s="297">
        <v>28</v>
      </c>
      <c r="D227" s="297">
        <v>27</v>
      </c>
      <c r="E227" s="297">
        <v>0</v>
      </c>
      <c r="F227" s="297">
        <v>1</v>
      </c>
    </row>
    <row r="228" spans="1:6" ht="13.5">
      <c r="A228" s="290"/>
      <c r="B228" s="290" t="s">
        <v>66</v>
      </c>
      <c r="C228" s="297">
        <v>18</v>
      </c>
      <c r="D228" s="297">
        <v>17</v>
      </c>
      <c r="E228" s="297">
        <v>0</v>
      </c>
      <c r="F228" s="297">
        <v>1</v>
      </c>
    </row>
    <row r="229" spans="1:6" ht="13.5">
      <c r="A229" s="290"/>
      <c r="B229" s="290" t="s">
        <v>67</v>
      </c>
      <c r="C229" s="297">
        <v>30</v>
      </c>
      <c r="D229" s="297">
        <v>26</v>
      </c>
      <c r="E229" s="297">
        <v>1</v>
      </c>
      <c r="F229" s="297">
        <v>3</v>
      </c>
    </row>
    <row r="230" spans="1:6" ht="13.5">
      <c r="A230" s="290"/>
      <c r="B230" s="290" t="s">
        <v>68</v>
      </c>
      <c r="C230" s="297">
        <v>29</v>
      </c>
      <c r="D230" s="297">
        <v>27</v>
      </c>
      <c r="E230" s="297">
        <v>0</v>
      </c>
      <c r="F230" s="297">
        <v>2</v>
      </c>
    </row>
    <row r="231" spans="1:6" ht="13.5">
      <c r="A231" s="290"/>
      <c r="B231" s="290" t="s">
        <v>69</v>
      </c>
      <c r="C231" s="297">
        <v>36</v>
      </c>
      <c r="D231" s="297">
        <v>33</v>
      </c>
      <c r="E231" s="297">
        <v>0</v>
      </c>
      <c r="F231" s="297">
        <v>3</v>
      </c>
    </row>
    <row r="232" spans="1:6" ht="13.5">
      <c r="A232" s="290"/>
      <c r="B232" s="290" t="s">
        <v>262</v>
      </c>
      <c r="C232" s="297">
        <v>41</v>
      </c>
      <c r="D232" s="297">
        <v>37</v>
      </c>
      <c r="E232" s="297">
        <v>1</v>
      </c>
      <c r="F232" s="297">
        <v>3</v>
      </c>
    </row>
    <row r="233" spans="1:6" ht="13.5">
      <c r="A233" s="290"/>
      <c r="B233" s="290" t="s">
        <v>263</v>
      </c>
      <c r="C233" s="297">
        <v>42</v>
      </c>
      <c r="D233" s="297">
        <v>37</v>
      </c>
      <c r="E233" s="297">
        <v>3</v>
      </c>
      <c r="F233" s="297">
        <v>2</v>
      </c>
    </row>
    <row r="234" spans="1:6" ht="13.5">
      <c r="A234" s="290"/>
      <c r="B234" s="290" t="s">
        <v>264</v>
      </c>
      <c r="C234" s="297">
        <v>36</v>
      </c>
      <c r="D234" s="297">
        <v>33</v>
      </c>
      <c r="E234" s="297">
        <v>1</v>
      </c>
      <c r="F234" s="297">
        <v>2</v>
      </c>
    </row>
    <row r="235" spans="1:6" ht="13.5">
      <c r="A235" s="290"/>
      <c r="B235" s="290" t="s">
        <v>265</v>
      </c>
      <c r="C235" s="297">
        <v>47</v>
      </c>
      <c r="D235" s="297">
        <v>46</v>
      </c>
      <c r="E235" s="297">
        <v>1</v>
      </c>
      <c r="F235" s="297">
        <v>0</v>
      </c>
    </row>
    <row r="236" spans="1:6" ht="13.5">
      <c r="A236" s="290"/>
      <c r="B236" s="290" t="s">
        <v>266</v>
      </c>
      <c r="C236" s="297">
        <v>279</v>
      </c>
      <c r="D236" s="297">
        <v>264</v>
      </c>
      <c r="E236" s="297">
        <v>3</v>
      </c>
      <c r="F236" s="297">
        <v>12</v>
      </c>
    </row>
    <row r="237" spans="1:6" ht="13.5">
      <c r="A237" s="290"/>
      <c r="B237" s="290" t="s">
        <v>504</v>
      </c>
      <c r="C237" s="297">
        <v>21</v>
      </c>
      <c r="D237" s="297">
        <v>17</v>
      </c>
      <c r="E237" s="297">
        <v>2</v>
      </c>
      <c r="F237" s="297">
        <v>2</v>
      </c>
    </row>
    <row r="238" spans="1:6" ht="5.0999999999999996" customHeight="1">
      <c r="A238" s="290"/>
      <c r="B238" s="290"/>
      <c r="C238" s="297"/>
      <c r="D238" s="297"/>
      <c r="E238" s="297"/>
      <c r="F238" s="297"/>
    </row>
    <row r="239" spans="1:6" s="322" customFormat="1" ht="13.5">
      <c r="A239" s="292" t="s">
        <v>87</v>
      </c>
      <c r="B239" s="292"/>
      <c r="C239" s="295">
        <v>607</v>
      </c>
      <c r="D239" s="295">
        <v>474</v>
      </c>
      <c r="E239" s="295">
        <v>132</v>
      </c>
      <c r="F239" s="295">
        <v>1</v>
      </c>
    </row>
    <row r="240" spans="1:6" ht="5.0999999999999996" customHeight="1">
      <c r="A240" s="290"/>
      <c r="B240" s="290"/>
      <c r="C240" s="297"/>
      <c r="D240" s="297"/>
      <c r="E240" s="297"/>
      <c r="F240" s="297"/>
    </row>
    <row r="241" spans="1:6" ht="13.5">
      <c r="A241" s="290"/>
      <c r="B241" s="290" t="s">
        <v>503</v>
      </c>
      <c r="C241" s="297">
        <v>7</v>
      </c>
      <c r="D241" s="297">
        <v>6</v>
      </c>
      <c r="E241" s="297">
        <v>1</v>
      </c>
      <c r="F241" s="297">
        <v>0</v>
      </c>
    </row>
    <row r="242" spans="1:6" ht="13.5">
      <c r="A242" s="290"/>
      <c r="B242" s="290" t="s">
        <v>260</v>
      </c>
      <c r="C242" s="297">
        <v>2</v>
      </c>
      <c r="D242" s="297">
        <v>1</v>
      </c>
      <c r="E242" s="297">
        <v>1</v>
      </c>
      <c r="F242" s="297">
        <v>0</v>
      </c>
    </row>
    <row r="243" spans="1:6" ht="13.5">
      <c r="A243" s="290"/>
      <c r="B243" s="290" t="s">
        <v>261</v>
      </c>
      <c r="C243" s="297">
        <v>1</v>
      </c>
      <c r="D243" s="297">
        <v>1</v>
      </c>
      <c r="E243" s="297">
        <v>0</v>
      </c>
      <c r="F243" s="297">
        <v>0</v>
      </c>
    </row>
    <row r="244" spans="1:6" ht="13.5">
      <c r="A244" s="290"/>
      <c r="B244" s="290" t="s">
        <v>63</v>
      </c>
      <c r="C244" s="297">
        <v>4</v>
      </c>
      <c r="D244" s="297">
        <v>3</v>
      </c>
      <c r="E244" s="297">
        <v>0</v>
      </c>
      <c r="F244" s="297">
        <v>1</v>
      </c>
    </row>
    <row r="245" spans="1:6" ht="13.5">
      <c r="A245" s="290"/>
      <c r="B245" s="290" t="s">
        <v>64</v>
      </c>
      <c r="C245" s="297">
        <v>13</v>
      </c>
      <c r="D245" s="297">
        <v>11</v>
      </c>
      <c r="E245" s="297">
        <v>2</v>
      </c>
      <c r="F245" s="297">
        <v>0</v>
      </c>
    </row>
    <row r="246" spans="1:6" ht="13.5">
      <c r="A246" s="290"/>
      <c r="B246" s="290" t="s">
        <v>65</v>
      </c>
      <c r="C246" s="297">
        <v>18</v>
      </c>
      <c r="D246" s="297">
        <v>14</v>
      </c>
      <c r="E246" s="297">
        <v>4</v>
      </c>
      <c r="F246" s="297">
        <v>0</v>
      </c>
    </row>
    <row r="247" spans="1:6" ht="13.5">
      <c r="A247" s="290"/>
      <c r="B247" s="290" t="s">
        <v>66</v>
      </c>
      <c r="C247" s="297">
        <v>20</v>
      </c>
      <c r="D247" s="297">
        <v>17</v>
      </c>
      <c r="E247" s="297">
        <v>3</v>
      </c>
      <c r="F247" s="297">
        <v>0</v>
      </c>
    </row>
    <row r="248" spans="1:6" ht="13.5">
      <c r="A248" s="290"/>
      <c r="B248" s="290" t="s">
        <v>67</v>
      </c>
      <c r="C248" s="297">
        <v>20</v>
      </c>
      <c r="D248" s="297">
        <v>13</v>
      </c>
      <c r="E248" s="297">
        <v>7</v>
      </c>
      <c r="F248" s="297">
        <v>0</v>
      </c>
    </row>
    <row r="249" spans="1:6" ht="13.5">
      <c r="A249" s="290"/>
      <c r="B249" s="290" t="s">
        <v>68</v>
      </c>
      <c r="C249" s="297">
        <v>19</v>
      </c>
      <c r="D249" s="297">
        <v>14</v>
      </c>
      <c r="E249" s="297">
        <v>5</v>
      </c>
      <c r="F249" s="297">
        <v>0</v>
      </c>
    </row>
    <row r="250" spans="1:6" ht="13.5">
      <c r="A250" s="290"/>
      <c r="B250" s="290" t="s">
        <v>69</v>
      </c>
      <c r="C250" s="297">
        <v>26</v>
      </c>
      <c r="D250" s="297">
        <v>21</v>
      </c>
      <c r="E250" s="297">
        <v>5</v>
      </c>
      <c r="F250" s="297">
        <v>0</v>
      </c>
    </row>
    <row r="251" spans="1:6" ht="13.5">
      <c r="A251" s="290"/>
      <c r="B251" s="290" t="s">
        <v>262</v>
      </c>
      <c r="C251" s="297">
        <v>40</v>
      </c>
      <c r="D251" s="297">
        <v>32</v>
      </c>
      <c r="E251" s="297">
        <v>8</v>
      </c>
      <c r="F251" s="297">
        <v>0</v>
      </c>
    </row>
    <row r="252" spans="1:6" ht="13.5">
      <c r="A252" s="290"/>
      <c r="B252" s="290" t="s">
        <v>263</v>
      </c>
      <c r="C252" s="297">
        <v>45</v>
      </c>
      <c r="D252" s="297">
        <v>36</v>
      </c>
      <c r="E252" s="297">
        <v>9</v>
      </c>
      <c r="F252" s="297">
        <v>0</v>
      </c>
    </row>
    <row r="253" spans="1:6" ht="13.5">
      <c r="A253" s="290"/>
      <c r="B253" s="290" t="s">
        <v>264</v>
      </c>
      <c r="C253" s="297">
        <v>48</v>
      </c>
      <c r="D253" s="297">
        <v>36</v>
      </c>
      <c r="E253" s="297">
        <v>12</v>
      </c>
      <c r="F253" s="297">
        <v>0</v>
      </c>
    </row>
    <row r="254" spans="1:6" ht="13.5">
      <c r="A254" s="290"/>
      <c r="B254" s="290" t="s">
        <v>265</v>
      </c>
      <c r="C254" s="297">
        <v>54</v>
      </c>
      <c r="D254" s="297">
        <v>45</v>
      </c>
      <c r="E254" s="297">
        <v>9</v>
      </c>
      <c r="F254" s="297">
        <v>0</v>
      </c>
    </row>
    <row r="255" spans="1:6" ht="13.5">
      <c r="A255" s="290"/>
      <c r="B255" s="290" t="s">
        <v>266</v>
      </c>
      <c r="C255" s="297">
        <v>278</v>
      </c>
      <c r="D255" s="297">
        <v>222</v>
      </c>
      <c r="E255" s="297">
        <v>56</v>
      </c>
      <c r="F255" s="297">
        <v>0</v>
      </c>
    </row>
    <row r="256" spans="1:6" ht="13.5">
      <c r="A256" s="290"/>
      <c r="B256" s="290" t="s">
        <v>504</v>
      </c>
      <c r="C256" s="297">
        <v>12</v>
      </c>
      <c r="D256" s="297">
        <v>2</v>
      </c>
      <c r="E256" s="297">
        <v>10</v>
      </c>
      <c r="F256" s="297">
        <v>0</v>
      </c>
    </row>
    <row r="257" spans="1:6" ht="5.0999999999999996" customHeight="1">
      <c r="A257" s="290"/>
      <c r="B257" s="290"/>
      <c r="C257" s="297"/>
      <c r="D257" s="297"/>
      <c r="E257" s="297"/>
      <c r="F257" s="297"/>
    </row>
    <row r="258" spans="1:6" s="322" customFormat="1" ht="13.5">
      <c r="A258" s="292" t="s">
        <v>88</v>
      </c>
      <c r="B258" s="292"/>
      <c r="C258" s="295">
        <v>1765</v>
      </c>
      <c r="D258" s="295">
        <v>896</v>
      </c>
      <c r="E258" s="295">
        <v>863</v>
      </c>
      <c r="F258" s="295">
        <v>6</v>
      </c>
    </row>
    <row r="259" spans="1:6" ht="5.0999999999999996" customHeight="1">
      <c r="A259" s="290"/>
      <c r="B259" s="290"/>
      <c r="C259" s="297"/>
      <c r="D259" s="297"/>
      <c r="E259" s="297"/>
      <c r="F259" s="297"/>
    </row>
    <row r="260" spans="1:6" ht="13.5">
      <c r="A260" s="290"/>
      <c r="B260" s="290" t="s">
        <v>503</v>
      </c>
      <c r="C260" s="297">
        <v>5</v>
      </c>
      <c r="D260" s="297">
        <v>1</v>
      </c>
      <c r="E260" s="297">
        <v>4</v>
      </c>
      <c r="F260" s="297">
        <v>0</v>
      </c>
    </row>
    <row r="261" spans="1:6" ht="13.5">
      <c r="A261" s="290"/>
      <c r="B261" s="290" t="s">
        <v>259</v>
      </c>
      <c r="C261" s="297">
        <v>3</v>
      </c>
      <c r="D261" s="297">
        <v>3</v>
      </c>
      <c r="E261" s="297">
        <v>0</v>
      </c>
      <c r="F261" s="297">
        <v>0</v>
      </c>
    </row>
    <row r="262" spans="1:6" ht="13.5">
      <c r="A262" s="290"/>
      <c r="B262" s="290" t="s">
        <v>260</v>
      </c>
      <c r="C262" s="297">
        <v>5</v>
      </c>
      <c r="D262" s="297">
        <v>3</v>
      </c>
      <c r="E262" s="297">
        <v>2</v>
      </c>
      <c r="F262" s="297">
        <v>0</v>
      </c>
    </row>
    <row r="263" spans="1:6" ht="13.5">
      <c r="A263" s="290"/>
      <c r="B263" s="290" t="s">
        <v>261</v>
      </c>
      <c r="C263" s="297">
        <v>11</v>
      </c>
      <c r="D263" s="297">
        <v>6</v>
      </c>
      <c r="E263" s="297">
        <v>5</v>
      </c>
      <c r="F263" s="297">
        <v>0</v>
      </c>
    </row>
    <row r="264" spans="1:6" ht="13.5">
      <c r="A264" s="290"/>
      <c r="B264" s="290" t="s">
        <v>63</v>
      </c>
      <c r="C264" s="297">
        <v>35</v>
      </c>
      <c r="D264" s="297">
        <v>13</v>
      </c>
      <c r="E264" s="297">
        <v>22</v>
      </c>
      <c r="F264" s="297">
        <v>0</v>
      </c>
    </row>
    <row r="265" spans="1:6" ht="13.5">
      <c r="A265" s="290"/>
      <c r="B265" s="290" t="s">
        <v>64</v>
      </c>
      <c r="C265" s="297">
        <v>46</v>
      </c>
      <c r="D265" s="297">
        <v>11</v>
      </c>
      <c r="E265" s="297">
        <v>35</v>
      </c>
      <c r="F265" s="297">
        <v>0</v>
      </c>
    </row>
    <row r="266" spans="1:6" ht="13.5">
      <c r="A266" s="290"/>
      <c r="B266" s="290" t="s">
        <v>65</v>
      </c>
      <c r="C266" s="297">
        <v>40</v>
      </c>
      <c r="D266" s="297">
        <v>17</v>
      </c>
      <c r="E266" s="297">
        <v>23</v>
      </c>
      <c r="F266" s="297">
        <v>0</v>
      </c>
    </row>
    <row r="267" spans="1:6" ht="13.5">
      <c r="A267" s="290"/>
      <c r="B267" s="290" t="s">
        <v>66</v>
      </c>
      <c r="C267" s="297">
        <v>59</v>
      </c>
      <c r="D267" s="297">
        <v>24</v>
      </c>
      <c r="E267" s="297">
        <v>34</v>
      </c>
      <c r="F267" s="297">
        <v>1</v>
      </c>
    </row>
    <row r="268" spans="1:6" ht="13.5">
      <c r="A268" s="290"/>
      <c r="B268" s="290" t="s">
        <v>67</v>
      </c>
      <c r="C268" s="297">
        <v>55</v>
      </c>
      <c r="D268" s="297">
        <v>27</v>
      </c>
      <c r="E268" s="297">
        <v>27</v>
      </c>
      <c r="F268" s="297">
        <v>1</v>
      </c>
    </row>
    <row r="269" spans="1:6" ht="13.5">
      <c r="A269" s="290"/>
      <c r="B269" s="290" t="s">
        <v>68</v>
      </c>
      <c r="C269" s="297">
        <v>56</v>
      </c>
      <c r="D269" s="297">
        <v>28</v>
      </c>
      <c r="E269" s="297">
        <v>28</v>
      </c>
      <c r="F269" s="297">
        <v>0</v>
      </c>
    </row>
    <row r="270" spans="1:6" ht="13.5">
      <c r="A270" s="290"/>
      <c r="B270" s="290" t="s">
        <v>69</v>
      </c>
      <c r="C270" s="297">
        <v>72</v>
      </c>
      <c r="D270" s="297">
        <v>36</v>
      </c>
      <c r="E270" s="297">
        <v>36</v>
      </c>
      <c r="F270" s="297">
        <v>0</v>
      </c>
    </row>
    <row r="271" spans="1:6" ht="13.5">
      <c r="A271" s="290"/>
      <c r="B271" s="290" t="s">
        <v>262</v>
      </c>
      <c r="C271" s="297">
        <v>77</v>
      </c>
      <c r="D271" s="297">
        <v>41</v>
      </c>
      <c r="E271" s="297">
        <v>36</v>
      </c>
      <c r="F271" s="297">
        <v>0</v>
      </c>
    </row>
    <row r="272" spans="1:6" ht="13.5">
      <c r="A272" s="290"/>
      <c r="B272" s="290" t="s">
        <v>263</v>
      </c>
      <c r="C272" s="297">
        <v>108</v>
      </c>
      <c r="D272" s="297">
        <v>56</v>
      </c>
      <c r="E272" s="297">
        <v>51</v>
      </c>
      <c r="F272" s="297">
        <v>1</v>
      </c>
    </row>
    <row r="273" spans="1:6" ht="13.5">
      <c r="A273" s="290"/>
      <c r="B273" s="290" t="s">
        <v>264</v>
      </c>
      <c r="C273" s="297">
        <v>129</v>
      </c>
      <c r="D273" s="297">
        <v>84</v>
      </c>
      <c r="E273" s="297">
        <v>45</v>
      </c>
      <c r="F273" s="297">
        <v>0</v>
      </c>
    </row>
    <row r="274" spans="1:6" ht="13.5">
      <c r="A274" s="290"/>
      <c r="B274" s="290" t="s">
        <v>265</v>
      </c>
      <c r="C274" s="297">
        <v>140</v>
      </c>
      <c r="D274" s="297">
        <v>87</v>
      </c>
      <c r="E274" s="297">
        <v>53</v>
      </c>
      <c r="F274" s="297">
        <v>0</v>
      </c>
    </row>
    <row r="275" spans="1:6" ht="13.5">
      <c r="A275" s="290"/>
      <c r="B275" s="290" t="s">
        <v>266</v>
      </c>
      <c r="C275" s="297">
        <v>838</v>
      </c>
      <c r="D275" s="297">
        <v>411</v>
      </c>
      <c r="E275" s="297">
        <v>424</v>
      </c>
      <c r="F275" s="297">
        <v>3</v>
      </c>
    </row>
    <row r="276" spans="1:6" ht="13.5">
      <c r="A276" s="290"/>
      <c r="B276" s="290" t="s">
        <v>504</v>
      </c>
      <c r="C276" s="297">
        <v>86</v>
      </c>
      <c r="D276" s="297">
        <v>48</v>
      </c>
      <c r="E276" s="297">
        <v>38</v>
      </c>
      <c r="F276" s="297">
        <v>0</v>
      </c>
    </row>
    <row r="277" spans="1:6" ht="5.0999999999999996" customHeight="1">
      <c r="A277" s="290"/>
      <c r="B277" s="290"/>
      <c r="C277" s="297"/>
      <c r="D277" s="297"/>
      <c r="E277" s="297"/>
      <c r="F277" s="297"/>
    </row>
    <row r="278" spans="1:6" s="322" customFormat="1" ht="13.5">
      <c r="A278" s="292" t="s">
        <v>89</v>
      </c>
      <c r="B278" s="292"/>
      <c r="C278" s="295">
        <v>596</v>
      </c>
      <c r="D278" s="295">
        <v>392</v>
      </c>
      <c r="E278" s="295">
        <v>204</v>
      </c>
      <c r="F278" s="295">
        <v>0</v>
      </c>
    </row>
    <row r="279" spans="1:6" ht="5.0999999999999996" customHeight="1">
      <c r="A279" s="290"/>
      <c r="B279" s="290"/>
      <c r="C279" s="297"/>
      <c r="D279" s="297"/>
      <c r="E279" s="297"/>
      <c r="F279" s="297"/>
    </row>
    <row r="280" spans="1:6" ht="13.5">
      <c r="A280" s="290"/>
      <c r="B280" s="290" t="s">
        <v>503</v>
      </c>
      <c r="C280" s="297">
        <v>54</v>
      </c>
      <c r="D280" s="297">
        <v>52</v>
      </c>
      <c r="E280" s="297">
        <v>2</v>
      </c>
      <c r="F280" s="297">
        <v>0</v>
      </c>
    </row>
    <row r="281" spans="1:6" ht="13.5">
      <c r="A281" s="290"/>
      <c r="B281" s="290" t="s">
        <v>259</v>
      </c>
      <c r="C281" s="297">
        <v>3</v>
      </c>
      <c r="D281" s="297">
        <v>2</v>
      </c>
      <c r="E281" s="297">
        <v>1</v>
      </c>
      <c r="F281" s="297">
        <v>0</v>
      </c>
    </row>
    <row r="282" spans="1:6" ht="13.5">
      <c r="A282" s="290"/>
      <c r="B282" s="290" t="s">
        <v>260</v>
      </c>
      <c r="C282" s="297">
        <v>4</v>
      </c>
      <c r="D282" s="297">
        <v>4</v>
      </c>
      <c r="E282" s="297">
        <v>0</v>
      </c>
      <c r="F282" s="297">
        <v>0</v>
      </c>
    </row>
    <row r="283" spans="1:6" ht="13.5">
      <c r="A283" s="290"/>
      <c r="B283" s="290" t="s">
        <v>261</v>
      </c>
      <c r="C283" s="297">
        <v>6</v>
      </c>
      <c r="D283" s="297">
        <v>5</v>
      </c>
      <c r="E283" s="297">
        <v>1</v>
      </c>
      <c r="F283" s="297">
        <v>0</v>
      </c>
    </row>
    <row r="284" spans="1:6" ht="13.5">
      <c r="A284" s="290"/>
      <c r="B284" s="290" t="s">
        <v>63</v>
      </c>
      <c r="C284" s="297">
        <v>9</v>
      </c>
      <c r="D284" s="297">
        <v>6</v>
      </c>
      <c r="E284" s="297">
        <v>3</v>
      </c>
      <c r="F284" s="297">
        <v>0</v>
      </c>
    </row>
    <row r="285" spans="1:6" ht="13.5">
      <c r="A285" s="290"/>
      <c r="B285" s="290" t="s">
        <v>64</v>
      </c>
      <c r="C285" s="297">
        <v>6</v>
      </c>
      <c r="D285" s="297">
        <v>6</v>
      </c>
      <c r="E285" s="297">
        <v>0</v>
      </c>
      <c r="F285" s="297">
        <v>0</v>
      </c>
    </row>
    <row r="286" spans="1:6" ht="13.5">
      <c r="A286" s="290"/>
      <c r="B286" s="290" t="s">
        <v>65</v>
      </c>
      <c r="C286" s="297">
        <v>10</v>
      </c>
      <c r="D286" s="297">
        <v>7</v>
      </c>
      <c r="E286" s="297">
        <v>3</v>
      </c>
      <c r="F286" s="297">
        <v>0</v>
      </c>
    </row>
    <row r="287" spans="1:6" ht="13.5">
      <c r="A287" s="290"/>
      <c r="B287" s="290" t="s">
        <v>66</v>
      </c>
      <c r="C287" s="297">
        <v>17</v>
      </c>
      <c r="D287" s="297">
        <v>11</v>
      </c>
      <c r="E287" s="297">
        <v>6</v>
      </c>
      <c r="F287" s="297">
        <v>0</v>
      </c>
    </row>
    <row r="288" spans="1:6" ht="13.5">
      <c r="A288" s="290"/>
      <c r="B288" s="290" t="s">
        <v>67</v>
      </c>
      <c r="C288" s="297">
        <v>23</v>
      </c>
      <c r="D288" s="297">
        <v>15</v>
      </c>
      <c r="E288" s="297">
        <v>8</v>
      </c>
      <c r="F288" s="297">
        <v>0</v>
      </c>
    </row>
    <row r="289" spans="1:6" ht="13.5">
      <c r="A289" s="290"/>
      <c r="B289" s="290" t="s">
        <v>68</v>
      </c>
      <c r="C289" s="297">
        <v>15</v>
      </c>
      <c r="D289" s="297">
        <v>9</v>
      </c>
      <c r="E289" s="297">
        <v>6</v>
      </c>
      <c r="F289" s="297">
        <v>0</v>
      </c>
    </row>
    <row r="290" spans="1:6" ht="13.5">
      <c r="A290" s="290"/>
      <c r="B290" s="290" t="s">
        <v>69</v>
      </c>
      <c r="C290" s="297">
        <v>26</v>
      </c>
      <c r="D290" s="297">
        <v>21</v>
      </c>
      <c r="E290" s="297">
        <v>5</v>
      </c>
      <c r="F290" s="297">
        <v>0</v>
      </c>
    </row>
    <row r="291" spans="1:6" ht="13.5">
      <c r="A291" s="290"/>
      <c r="B291" s="290" t="s">
        <v>262</v>
      </c>
      <c r="C291" s="297">
        <v>24</v>
      </c>
      <c r="D291" s="297">
        <v>11</v>
      </c>
      <c r="E291" s="297">
        <v>13</v>
      </c>
      <c r="F291" s="297">
        <v>0</v>
      </c>
    </row>
    <row r="292" spans="1:6" ht="13.5">
      <c r="A292" s="290"/>
      <c r="B292" s="290" t="s">
        <v>263</v>
      </c>
      <c r="C292" s="297">
        <v>26</v>
      </c>
      <c r="D292" s="297">
        <v>19</v>
      </c>
      <c r="E292" s="297">
        <v>7</v>
      </c>
      <c r="F292" s="297">
        <v>0</v>
      </c>
    </row>
    <row r="293" spans="1:6" ht="13.5">
      <c r="A293" s="290"/>
      <c r="B293" s="290" t="s">
        <v>264</v>
      </c>
      <c r="C293" s="297">
        <v>48</v>
      </c>
      <c r="D293" s="297">
        <v>25</v>
      </c>
      <c r="E293" s="297">
        <v>23</v>
      </c>
      <c r="F293" s="297">
        <v>0</v>
      </c>
    </row>
    <row r="294" spans="1:6" ht="13.5">
      <c r="A294" s="290"/>
      <c r="B294" s="290" t="s">
        <v>265</v>
      </c>
      <c r="C294" s="297">
        <v>42</v>
      </c>
      <c r="D294" s="297">
        <v>28</v>
      </c>
      <c r="E294" s="297">
        <v>14</v>
      </c>
      <c r="F294" s="297">
        <v>0</v>
      </c>
    </row>
    <row r="295" spans="1:6" ht="13.5">
      <c r="A295" s="290"/>
      <c r="B295" s="290" t="s">
        <v>266</v>
      </c>
      <c r="C295" s="297">
        <v>272</v>
      </c>
      <c r="D295" s="297">
        <v>164</v>
      </c>
      <c r="E295" s="297">
        <v>108</v>
      </c>
      <c r="F295" s="297">
        <v>0</v>
      </c>
    </row>
    <row r="296" spans="1:6" ht="13.5">
      <c r="A296" s="290"/>
      <c r="B296" s="290" t="s">
        <v>504</v>
      </c>
      <c r="C296" s="297">
        <v>11</v>
      </c>
      <c r="D296" s="297">
        <v>7</v>
      </c>
      <c r="E296" s="297">
        <v>4</v>
      </c>
      <c r="F296" s="297">
        <v>0</v>
      </c>
    </row>
    <row r="297" spans="1:6" ht="5.0999999999999996" customHeight="1">
      <c r="A297" s="290"/>
      <c r="B297" s="290"/>
      <c r="C297" s="297"/>
      <c r="D297" s="297"/>
      <c r="E297" s="297"/>
      <c r="F297" s="297"/>
    </row>
    <row r="298" spans="1:6" s="322" customFormat="1" ht="13.5">
      <c r="A298" s="292" t="s">
        <v>90</v>
      </c>
      <c r="B298" s="292"/>
      <c r="C298" s="295">
        <v>412</v>
      </c>
      <c r="D298" s="295">
        <v>293</v>
      </c>
      <c r="E298" s="295">
        <v>118</v>
      </c>
      <c r="F298" s="295">
        <v>1</v>
      </c>
    </row>
    <row r="299" spans="1:6" ht="5.0999999999999996" customHeight="1">
      <c r="A299" s="290"/>
      <c r="B299" s="290"/>
      <c r="C299" s="297"/>
      <c r="D299" s="297"/>
      <c r="E299" s="297"/>
      <c r="F299" s="297"/>
    </row>
    <row r="300" spans="1:6" ht="13.5">
      <c r="A300" s="290"/>
      <c r="B300" s="290" t="s">
        <v>503</v>
      </c>
      <c r="C300" s="297">
        <v>3</v>
      </c>
      <c r="D300" s="297">
        <v>3</v>
      </c>
      <c r="E300" s="297">
        <v>0</v>
      </c>
      <c r="F300" s="297">
        <v>0</v>
      </c>
    </row>
    <row r="301" spans="1:6" ht="13.5">
      <c r="A301" s="290"/>
      <c r="B301" s="290" t="s">
        <v>259</v>
      </c>
      <c r="C301" s="297">
        <v>2</v>
      </c>
      <c r="D301" s="297">
        <v>2</v>
      </c>
      <c r="E301" s="297">
        <v>0</v>
      </c>
      <c r="F301" s="297">
        <v>0</v>
      </c>
    </row>
    <row r="302" spans="1:6" ht="13.5">
      <c r="A302" s="290"/>
      <c r="B302" s="290" t="s">
        <v>260</v>
      </c>
      <c r="C302" s="297">
        <v>2</v>
      </c>
      <c r="D302" s="297">
        <v>2</v>
      </c>
      <c r="E302" s="297">
        <v>0</v>
      </c>
      <c r="F302" s="297">
        <v>0</v>
      </c>
    </row>
    <row r="303" spans="1:6" ht="13.5">
      <c r="A303" s="290"/>
      <c r="B303" s="290" t="s">
        <v>261</v>
      </c>
      <c r="C303" s="297">
        <v>2</v>
      </c>
      <c r="D303" s="297">
        <v>1</v>
      </c>
      <c r="E303" s="297">
        <v>1</v>
      </c>
      <c r="F303" s="297">
        <v>0</v>
      </c>
    </row>
    <row r="304" spans="1:6" ht="13.5">
      <c r="A304" s="290"/>
      <c r="B304" s="290" t="s">
        <v>63</v>
      </c>
      <c r="C304" s="297">
        <v>3</v>
      </c>
      <c r="D304" s="297">
        <v>3</v>
      </c>
      <c r="E304" s="297">
        <v>0</v>
      </c>
      <c r="F304" s="297">
        <v>0</v>
      </c>
    </row>
    <row r="305" spans="1:6" ht="13.5">
      <c r="A305" s="290"/>
      <c r="B305" s="290" t="s">
        <v>64</v>
      </c>
      <c r="C305" s="297">
        <v>6</v>
      </c>
      <c r="D305" s="297">
        <v>3</v>
      </c>
      <c r="E305" s="297">
        <v>3</v>
      </c>
      <c r="F305" s="297">
        <v>0</v>
      </c>
    </row>
    <row r="306" spans="1:6" ht="13.5">
      <c r="A306" s="290"/>
      <c r="B306" s="290" t="s">
        <v>65</v>
      </c>
      <c r="C306" s="297">
        <v>7</v>
      </c>
      <c r="D306" s="297">
        <v>6</v>
      </c>
      <c r="E306" s="297">
        <v>1</v>
      </c>
      <c r="F306" s="297">
        <v>0</v>
      </c>
    </row>
    <row r="307" spans="1:6" ht="13.5">
      <c r="A307" s="290"/>
      <c r="B307" s="290" t="s">
        <v>66</v>
      </c>
      <c r="C307" s="297">
        <v>15</v>
      </c>
      <c r="D307" s="297">
        <v>11</v>
      </c>
      <c r="E307" s="297">
        <v>4</v>
      </c>
      <c r="F307" s="297">
        <v>0</v>
      </c>
    </row>
    <row r="308" spans="1:6" ht="13.5">
      <c r="A308" s="290"/>
      <c r="B308" s="290" t="s">
        <v>67</v>
      </c>
      <c r="C308" s="297">
        <v>5</v>
      </c>
      <c r="D308" s="297">
        <v>4</v>
      </c>
      <c r="E308" s="297">
        <v>1</v>
      </c>
      <c r="F308" s="297">
        <v>0</v>
      </c>
    </row>
    <row r="309" spans="1:6" ht="13.5">
      <c r="A309" s="290"/>
      <c r="B309" s="290" t="s">
        <v>68</v>
      </c>
      <c r="C309" s="297">
        <v>14</v>
      </c>
      <c r="D309" s="297">
        <v>11</v>
      </c>
      <c r="E309" s="297">
        <v>3</v>
      </c>
      <c r="F309" s="297">
        <v>0</v>
      </c>
    </row>
    <row r="310" spans="1:6" ht="13.5">
      <c r="A310" s="290"/>
      <c r="B310" s="290" t="s">
        <v>69</v>
      </c>
      <c r="C310" s="297">
        <v>21</v>
      </c>
      <c r="D310" s="297">
        <v>14</v>
      </c>
      <c r="E310" s="297">
        <v>7</v>
      </c>
      <c r="F310" s="297">
        <v>0</v>
      </c>
    </row>
    <row r="311" spans="1:6" ht="13.5">
      <c r="A311" s="290"/>
      <c r="B311" s="290" t="s">
        <v>262</v>
      </c>
      <c r="C311" s="297">
        <v>19</v>
      </c>
      <c r="D311" s="297">
        <v>15</v>
      </c>
      <c r="E311" s="297">
        <v>4</v>
      </c>
      <c r="F311" s="297">
        <v>0</v>
      </c>
    </row>
    <row r="312" spans="1:6" ht="13.5">
      <c r="A312" s="290"/>
      <c r="B312" s="290" t="s">
        <v>263</v>
      </c>
      <c r="C312" s="297">
        <v>26</v>
      </c>
      <c r="D312" s="297">
        <v>18</v>
      </c>
      <c r="E312" s="297">
        <v>8</v>
      </c>
      <c r="F312" s="297">
        <v>0</v>
      </c>
    </row>
    <row r="313" spans="1:6" ht="13.5">
      <c r="A313" s="290"/>
      <c r="B313" s="290" t="s">
        <v>264</v>
      </c>
      <c r="C313" s="297">
        <v>30</v>
      </c>
      <c r="D313" s="297">
        <v>21</v>
      </c>
      <c r="E313" s="297">
        <v>9</v>
      </c>
      <c r="F313" s="297">
        <v>0</v>
      </c>
    </row>
    <row r="314" spans="1:6" ht="13.5">
      <c r="A314" s="290"/>
      <c r="B314" s="290" t="s">
        <v>265</v>
      </c>
      <c r="C314" s="297">
        <v>27</v>
      </c>
      <c r="D314" s="297">
        <v>20</v>
      </c>
      <c r="E314" s="297">
        <v>7</v>
      </c>
      <c r="F314" s="297">
        <v>0</v>
      </c>
    </row>
    <row r="315" spans="1:6" ht="13.5">
      <c r="A315" s="290"/>
      <c r="B315" s="290" t="s">
        <v>266</v>
      </c>
      <c r="C315" s="297">
        <v>219</v>
      </c>
      <c r="D315" s="297">
        <v>153</v>
      </c>
      <c r="E315" s="297">
        <v>65</v>
      </c>
      <c r="F315" s="297">
        <v>1</v>
      </c>
    </row>
    <row r="316" spans="1:6" ht="13.5">
      <c r="A316" s="290"/>
      <c r="B316" s="290" t="s">
        <v>504</v>
      </c>
      <c r="C316" s="297">
        <v>11</v>
      </c>
      <c r="D316" s="297">
        <v>6</v>
      </c>
      <c r="E316" s="297">
        <v>5</v>
      </c>
      <c r="F316" s="297">
        <v>0</v>
      </c>
    </row>
    <row r="317" spans="1:6" ht="5.0999999999999996" customHeight="1">
      <c r="A317" s="290"/>
      <c r="B317" s="290"/>
      <c r="C317" s="297"/>
      <c r="D317" s="297"/>
      <c r="E317" s="297"/>
      <c r="F317" s="297"/>
    </row>
    <row r="318" spans="1:6" s="322" customFormat="1" ht="13.5">
      <c r="A318" s="292" t="s">
        <v>91</v>
      </c>
      <c r="B318" s="292"/>
      <c r="C318" s="295">
        <v>51</v>
      </c>
      <c r="D318" s="295">
        <v>51</v>
      </c>
      <c r="E318" s="295">
        <v>0</v>
      </c>
      <c r="F318" s="295">
        <v>0</v>
      </c>
    </row>
    <row r="319" spans="1:6" ht="5.0999999999999996" customHeight="1">
      <c r="A319" s="290"/>
      <c r="B319" s="290"/>
      <c r="C319" s="297"/>
      <c r="D319" s="297"/>
      <c r="E319" s="297"/>
      <c r="F319" s="297"/>
    </row>
    <row r="320" spans="1:6" ht="13.5">
      <c r="A320" s="290"/>
      <c r="B320" s="290" t="s">
        <v>503</v>
      </c>
      <c r="C320" s="297">
        <v>4</v>
      </c>
      <c r="D320" s="297">
        <v>4</v>
      </c>
      <c r="E320" s="297">
        <v>0</v>
      </c>
      <c r="F320" s="297">
        <v>0</v>
      </c>
    </row>
    <row r="321" spans="1:6" ht="13.5">
      <c r="A321" s="290"/>
      <c r="B321" s="290" t="s">
        <v>259</v>
      </c>
      <c r="C321" s="297">
        <v>3</v>
      </c>
      <c r="D321" s="297">
        <v>3</v>
      </c>
      <c r="E321" s="297">
        <v>0</v>
      </c>
      <c r="F321" s="297">
        <v>0</v>
      </c>
    </row>
    <row r="322" spans="1:6" ht="13.5">
      <c r="A322" s="290"/>
      <c r="B322" s="290" t="s">
        <v>63</v>
      </c>
      <c r="C322" s="297">
        <v>1</v>
      </c>
      <c r="D322" s="297">
        <v>1</v>
      </c>
      <c r="E322" s="297">
        <v>0</v>
      </c>
      <c r="F322" s="297">
        <v>0</v>
      </c>
    </row>
    <row r="323" spans="1:6" ht="13.5">
      <c r="A323" s="290"/>
      <c r="B323" s="290" t="s">
        <v>64</v>
      </c>
      <c r="C323" s="297">
        <v>2</v>
      </c>
      <c r="D323" s="297">
        <v>2</v>
      </c>
      <c r="E323" s="297">
        <v>0</v>
      </c>
      <c r="F323" s="297">
        <v>0</v>
      </c>
    </row>
    <row r="324" spans="1:6" ht="13.5">
      <c r="A324" s="290"/>
      <c r="B324" s="290" t="s">
        <v>65</v>
      </c>
      <c r="C324" s="297">
        <v>1</v>
      </c>
      <c r="D324" s="297">
        <v>1</v>
      </c>
      <c r="E324" s="297">
        <v>0</v>
      </c>
      <c r="F324" s="297">
        <v>0</v>
      </c>
    </row>
    <row r="325" spans="1:6" ht="13.5">
      <c r="A325" s="290"/>
      <c r="B325" s="290" t="s">
        <v>66</v>
      </c>
      <c r="C325" s="297">
        <v>1</v>
      </c>
      <c r="D325" s="297">
        <v>1</v>
      </c>
      <c r="E325" s="297">
        <v>0</v>
      </c>
      <c r="F325" s="297">
        <v>0</v>
      </c>
    </row>
    <row r="326" spans="1:6" ht="13.5">
      <c r="A326" s="290"/>
      <c r="B326" s="290" t="s">
        <v>67</v>
      </c>
      <c r="C326" s="297">
        <v>2</v>
      </c>
      <c r="D326" s="297">
        <v>2</v>
      </c>
      <c r="E326" s="297">
        <v>0</v>
      </c>
      <c r="F326" s="297">
        <v>0</v>
      </c>
    </row>
    <row r="327" spans="1:6" ht="13.5">
      <c r="A327" s="290"/>
      <c r="B327" s="290" t="s">
        <v>68</v>
      </c>
      <c r="C327" s="297">
        <v>3</v>
      </c>
      <c r="D327" s="297">
        <v>3</v>
      </c>
      <c r="E327" s="297">
        <v>0</v>
      </c>
      <c r="F327" s="297">
        <v>0</v>
      </c>
    </row>
    <row r="328" spans="1:6" ht="13.5">
      <c r="A328" s="290"/>
      <c r="B328" s="290" t="s">
        <v>69</v>
      </c>
      <c r="C328" s="297">
        <v>4</v>
      </c>
      <c r="D328" s="297">
        <v>4</v>
      </c>
      <c r="E328" s="297">
        <v>0</v>
      </c>
      <c r="F328" s="297">
        <v>0</v>
      </c>
    </row>
    <row r="329" spans="1:6" ht="13.5">
      <c r="A329" s="290"/>
      <c r="B329" s="290" t="s">
        <v>262</v>
      </c>
      <c r="C329" s="297">
        <v>1</v>
      </c>
      <c r="D329" s="297">
        <v>1</v>
      </c>
      <c r="E329" s="297">
        <v>0</v>
      </c>
      <c r="F329" s="297">
        <v>0</v>
      </c>
    </row>
    <row r="330" spans="1:6" ht="13.5">
      <c r="A330" s="290"/>
      <c r="B330" s="290" t="s">
        <v>263</v>
      </c>
      <c r="C330" s="297">
        <v>1</v>
      </c>
      <c r="D330" s="297">
        <v>1</v>
      </c>
      <c r="E330" s="297">
        <v>0</v>
      </c>
      <c r="F330" s="297">
        <v>0</v>
      </c>
    </row>
    <row r="331" spans="1:6" ht="13.5">
      <c r="A331" s="290"/>
      <c r="B331" s="290" t="s">
        <v>264</v>
      </c>
      <c r="C331" s="297">
        <v>2</v>
      </c>
      <c r="D331" s="297">
        <v>2</v>
      </c>
      <c r="E331" s="297">
        <v>0</v>
      </c>
      <c r="F331" s="297">
        <v>0</v>
      </c>
    </row>
    <row r="332" spans="1:6" ht="13.5">
      <c r="A332" s="290"/>
      <c r="B332" s="290" t="s">
        <v>265</v>
      </c>
      <c r="C332" s="297">
        <v>4</v>
      </c>
      <c r="D332" s="297">
        <v>4</v>
      </c>
      <c r="E332" s="297">
        <v>0</v>
      </c>
      <c r="F332" s="297">
        <v>0</v>
      </c>
    </row>
    <row r="333" spans="1:6" ht="13.5">
      <c r="A333" s="290"/>
      <c r="B333" s="290" t="s">
        <v>266</v>
      </c>
      <c r="C333" s="297">
        <v>22</v>
      </c>
      <c r="D333" s="297">
        <v>22</v>
      </c>
      <c r="E333" s="297">
        <v>0</v>
      </c>
      <c r="F333" s="297">
        <v>0</v>
      </c>
    </row>
    <row r="334" spans="1:6" ht="5.0999999999999996" customHeight="1">
      <c r="A334" s="290"/>
      <c r="B334" s="290"/>
      <c r="C334" s="297"/>
      <c r="D334" s="297"/>
      <c r="E334" s="297"/>
      <c r="F334" s="297"/>
    </row>
    <row r="335" spans="1:6" s="322" customFormat="1" ht="13.5">
      <c r="A335" s="292" t="s">
        <v>92</v>
      </c>
      <c r="B335" s="292"/>
      <c r="C335" s="295">
        <v>415</v>
      </c>
      <c r="D335" s="295">
        <v>411</v>
      </c>
      <c r="E335" s="295">
        <v>4</v>
      </c>
      <c r="F335" s="295">
        <v>0</v>
      </c>
    </row>
    <row r="336" spans="1:6" ht="5.0999999999999996" customHeight="1">
      <c r="A336" s="290"/>
      <c r="B336" s="290"/>
      <c r="C336" s="297"/>
      <c r="D336" s="297"/>
      <c r="E336" s="297"/>
      <c r="F336" s="297"/>
    </row>
    <row r="337" spans="1:6" ht="13.5">
      <c r="A337" s="290"/>
      <c r="B337" s="290" t="s">
        <v>503</v>
      </c>
      <c r="C337" s="297">
        <v>6</v>
      </c>
      <c r="D337" s="297">
        <v>6</v>
      </c>
      <c r="E337" s="297">
        <v>0</v>
      </c>
      <c r="F337" s="297">
        <v>0</v>
      </c>
    </row>
    <row r="338" spans="1:6" ht="13.5">
      <c r="A338" s="290"/>
      <c r="B338" s="290" t="s">
        <v>259</v>
      </c>
      <c r="C338" s="297">
        <v>4</v>
      </c>
      <c r="D338" s="297">
        <v>3</v>
      </c>
      <c r="E338" s="297">
        <v>1</v>
      </c>
      <c r="F338" s="297">
        <v>0</v>
      </c>
    </row>
    <row r="339" spans="1:6" ht="13.5">
      <c r="A339" s="290"/>
      <c r="B339" s="290" t="s">
        <v>261</v>
      </c>
      <c r="C339" s="297">
        <v>3</v>
      </c>
      <c r="D339" s="297">
        <v>3</v>
      </c>
      <c r="E339" s="297">
        <v>0</v>
      </c>
      <c r="F339" s="297">
        <v>0</v>
      </c>
    </row>
    <row r="340" spans="1:6" ht="13.5">
      <c r="A340" s="290"/>
      <c r="B340" s="290" t="s">
        <v>63</v>
      </c>
      <c r="C340" s="297">
        <v>5</v>
      </c>
      <c r="D340" s="297">
        <v>5</v>
      </c>
      <c r="E340" s="297">
        <v>0</v>
      </c>
      <c r="F340" s="297">
        <v>0</v>
      </c>
    </row>
    <row r="341" spans="1:6" ht="13.5">
      <c r="A341" s="290"/>
      <c r="B341" s="290" t="s">
        <v>64</v>
      </c>
      <c r="C341" s="297">
        <v>6</v>
      </c>
      <c r="D341" s="297">
        <v>6</v>
      </c>
      <c r="E341" s="297">
        <v>0</v>
      </c>
      <c r="F341" s="297">
        <v>0</v>
      </c>
    </row>
    <row r="342" spans="1:6" ht="13.5">
      <c r="A342" s="290"/>
      <c r="B342" s="290" t="s">
        <v>65</v>
      </c>
      <c r="C342" s="297">
        <v>11</v>
      </c>
      <c r="D342" s="297">
        <v>11</v>
      </c>
      <c r="E342" s="297">
        <v>0</v>
      </c>
      <c r="F342" s="297">
        <v>0</v>
      </c>
    </row>
    <row r="343" spans="1:6" ht="13.5">
      <c r="A343" s="290"/>
      <c r="B343" s="290" t="s">
        <v>66</v>
      </c>
      <c r="C343" s="297">
        <v>5</v>
      </c>
      <c r="D343" s="297">
        <v>5</v>
      </c>
      <c r="E343" s="297">
        <v>0</v>
      </c>
      <c r="F343" s="297">
        <v>0</v>
      </c>
    </row>
    <row r="344" spans="1:6" ht="13.5">
      <c r="A344" s="290"/>
      <c r="B344" s="290" t="s">
        <v>67</v>
      </c>
      <c r="C344" s="297">
        <v>17</v>
      </c>
      <c r="D344" s="297">
        <v>17</v>
      </c>
      <c r="E344" s="297">
        <v>0</v>
      </c>
      <c r="F344" s="297">
        <v>0</v>
      </c>
    </row>
    <row r="345" spans="1:6" ht="13.5">
      <c r="A345" s="290"/>
      <c r="B345" s="290" t="s">
        <v>68</v>
      </c>
      <c r="C345" s="297">
        <v>13</v>
      </c>
      <c r="D345" s="297">
        <v>13</v>
      </c>
      <c r="E345" s="297">
        <v>0</v>
      </c>
      <c r="F345" s="297">
        <v>0</v>
      </c>
    </row>
    <row r="346" spans="1:6" ht="13.5">
      <c r="A346" s="290"/>
      <c r="B346" s="290" t="s">
        <v>69</v>
      </c>
      <c r="C346" s="297">
        <v>14</v>
      </c>
      <c r="D346" s="297">
        <v>14</v>
      </c>
      <c r="E346" s="297">
        <v>0</v>
      </c>
      <c r="F346" s="297">
        <v>0</v>
      </c>
    </row>
    <row r="347" spans="1:6" ht="13.5">
      <c r="A347" s="290"/>
      <c r="B347" s="290" t="s">
        <v>262</v>
      </c>
      <c r="C347" s="297">
        <v>24</v>
      </c>
      <c r="D347" s="297">
        <v>24</v>
      </c>
      <c r="E347" s="297">
        <v>0</v>
      </c>
      <c r="F347" s="297">
        <v>0</v>
      </c>
    </row>
    <row r="348" spans="1:6" ht="13.5">
      <c r="A348" s="290"/>
      <c r="B348" s="290" t="s">
        <v>263</v>
      </c>
      <c r="C348" s="297">
        <v>31</v>
      </c>
      <c r="D348" s="297">
        <v>31</v>
      </c>
      <c r="E348" s="297">
        <v>0</v>
      </c>
      <c r="F348" s="297">
        <v>0</v>
      </c>
    </row>
    <row r="349" spans="1:6" ht="13.5">
      <c r="A349" s="290"/>
      <c r="B349" s="290" t="s">
        <v>264</v>
      </c>
      <c r="C349" s="297">
        <v>29</v>
      </c>
      <c r="D349" s="297">
        <v>28</v>
      </c>
      <c r="E349" s="297">
        <v>1</v>
      </c>
      <c r="F349" s="297">
        <v>0</v>
      </c>
    </row>
    <row r="350" spans="1:6" ht="13.5">
      <c r="A350" s="290"/>
      <c r="B350" s="290" t="s">
        <v>265</v>
      </c>
      <c r="C350" s="297">
        <v>24</v>
      </c>
      <c r="D350" s="297">
        <v>24</v>
      </c>
      <c r="E350" s="297">
        <v>0</v>
      </c>
      <c r="F350" s="297">
        <v>0</v>
      </c>
    </row>
    <row r="351" spans="1:6" ht="13.5">
      <c r="A351" s="290"/>
      <c r="B351" s="290" t="s">
        <v>266</v>
      </c>
      <c r="C351" s="297">
        <v>218</v>
      </c>
      <c r="D351" s="297">
        <v>216</v>
      </c>
      <c r="E351" s="297">
        <v>2</v>
      </c>
      <c r="F351" s="297">
        <v>0</v>
      </c>
    </row>
    <row r="352" spans="1:6" ht="13.5">
      <c r="A352" s="290"/>
      <c r="B352" s="290" t="s">
        <v>504</v>
      </c>
      <c r="C352" s="297">
        <v>5</v>
      </c>
      <c r="D352" s="297">
        <v>5</v>
      </c>
      <c r="E352" s="297">
        <v>0</v>
      </c>
      <c r="F352" s="297">
        <v>0</v>
      </c>
    </row>
    <row r="353" spans="1:6" ht="5.0999999999999996" customHeight="1">
      <c r="A353" s="290"/>
      <c r="B353" s="290"/>
      <c r="C353" s="297"/>
      <c r="D353" s="297"/>
      <c r="E353" s="297"/>
      <c r="F353" s="297"/>
    </row>
    <row r="354" spans="1:6" s="322" customFormat="1" ht="13.5">
      <c r="A354" s="292" t="s">
        <v>93</v>
      </c>
      <c r="B354" s="292"/>
      <c r="C354" s="295">
        <v>931</v>
      </c>
      <c r="D354" s="295">
        <v>627</v>
      </c>
      <c r="E354" s="295">
        <v>301</v>
      </c>
      <c r="F354" s="295">
        <v>3</v>
      </c>
    </row>
    <row r="355" spans="1:6" ht="5.0999999999999996" customHeight="1">
      <c r="A355" s="290"/>
      <c r="B355" s="290"/>
      <c r="C355" s="297"/>
      <c r="D355" s="297"/>
      <c r="E355" s="297"/>
      <c r="F355" s="297"/>
    </row>
    <row r="356" spans="1:6" ht="13.5">
      <c r="A356" s="290"/>
      <c r="B356" s="290" t="s">
        <v>503</v>
      </c>
      <c r="C356" s="297">
        <v>6</v>
      </c>
      <c r="D356" s="297">
        <v>5</v>
      </c>
      <c r="E356" s="297">
        <v>1</v>
      </c>
      <c r="F356" s="297">
        <v>0</v>
      </c>
    </row>
    <row r="357" spans="1:6" ht="13.5">
      <c r="A357" s="290"/>
      <c r="B357" s="290" t="s">
        <v>260</v>
      </c>
      <c r="C357" s="297">
        <v>3</v>
      </c>
      <c r="D357" s="297">
        <v>2</v>
      </c>
      <c r="E357" s="297">
        <v>1</v>
      </c>
      <c r="F357" s="297">
        <v>0</v>
      </c>
    </row>
    <row r="358" spans="1:6" ht="13.5">
      <c r="A358" s="290"/>
      <c r="B358" s="290" t="s">
        <v>261</v>
      </c>
      <c r="C358" s="297">
        <v>2</v>
      </c>
      <c r="D358" s="297">
        <v>2</v>
      </c>
      <c r="E358" s="297">
        <v>0</v>
      </c>
      <c r="F358" s="297">
        <v>0</v>
      </c>
    </row>
    <row r="359" spans="1:6" ht="13.5">
      <c r="A359" s="290"/>
      <c r="B359" s="290" t="s">
        <v>63</v>
      </c>
      <c r="C359" s="297">
        <v>14</v>
      </c>
      <c r="D359" s="297">
        <v>9</v>
      </c>
      <c r="E359" s="297">
        <v>5</v>
      </c>
      <c r="F359" s="297">
        <v>0</v>
      </c>
    </row>
    <row r="360" spans="1:6" ht="13.5">
      <c r="A360" s="290"/>
      <c r="B360" s="290" t="s">
        <v>64</v>
      </c>
      <c r="C360" s="297">
        <v>22</v>
      </c>
      <c r="D360" s="297">
        <v>17</v>
      </c>
      <c r="E360" s="297">
        <v>5</v>
      </c>
      <c r="F360" s="297">
        <v>0</v>
      </c>
    </row>
    <row r="361" spans="1:6" ht="13.5">
      <c r="A361" s="290"/>
      <c r="B361" s="290" t="s">
        <v>65</v>
      </c>
      <c r="C361" s="297">
        <v>20</v>
      </c>
      <c r="D361" s="297">
        <v>16</v>
      </c>
      <c r="E361" s="297">
        <v>4</v>
      </c>
      <c r="F361" s="297">
        <v>0</v>
      </c>
    </row>
    <row r="362" spans="1:6" ht="13.5">
      <c r="A362" s="290"/>
      <c r="B362" s="290" t="s">
        <v>66</v>
      </c>
      <c r="C362" s="297">
        <v>21</v>
      </c>
      <c r="D362" s="297">
        <v>17</v>
      </c>
      <c r="E362" s="297">
        <v>4</v>
      </c>
      <c r="F362" s="297">
        <v>0</v>
      </c>
    </row>
    <row r="363" spans="1:6" ht="13.5">
      <c r="A363" s="290"/>
      <c r="B363" s="290" t="s">
        <v>67</v>
      </c>
      <c r="C363" s="297">
        <v>36</v>
      </c>
      <c r="D363" s="297">
        <v>28</v>
      </c>
      <c r="E363" s="297">
        <v>8</v>
      </c>
      <c r="F363" s="297">
        <v>0</v>
      </c>
    </row>
    <row r="364" spans="1:6" ht="13.5">
      <c r="A364" s="290"/>
      <c r="B364" s="290" t="s">
        <v>68</v>
      </c>
      <c r="C364" s="297">
        <v>31</v>
      </c>
      <c r="D364" s="297">
        <v>20</v>
      </c>
      <c r="E364" s="297">
        <v>11</v>
      </c>
      <c r="F364" s="297">
        <v>0</v>
      </c>
    </row>
    <row r="365" spans="1:6" ht="13.5">
      <c r="A365" s="290"/>
      <c r="B365" s="290" t="s">
        <v>69</v>
      </c>
      <c r="C365" s="297">
        <v>34</v>
      </c>
      <c r="D365" s="297">
        <v>18</v>
      </c>
      <c r="E365" s="297">
        <v>16</v>
      </c>
      <c r="F365" s="297">
        <v>0</v>
      </c>
    </row>
    <row r="366" spans="1:6" ht="13.5">
      <c r="A366" s="290"/>
      <c r="B366" s="290" t="s">
        <v>262</v>
      </c>
      <c r="C366" s="297">
        <v>42</v>
      </c>
      <c r="D366" s="297">
        <v>30</v>
      </c>
      <c r="E366" s="297">
        <v>12</v>
      </c>
      <c r="F366" s="297">
        <v>0</v>
      </c>
    </row>
    <row r="367" spans="1:6" ht="13.5">
      <c r="A367" s="290"/>
      <c r="B367" s="290" t="s">
        <v>263</v>
      </c>
      <c r="C367" s="297">
        <v>57</v>
      </c>
      <c r="D367" s="297">
        <v>44</v>
      </c>
      <c r="E367" s="297">
        <v>13</v>
      </c>
      <c r="F367" s="297">
        <v>0</v>
      </c>
    </row>
    <row r="368" spans="1:6" ht="13.5">
      <c r="A368" s="290"/>
      <c r="B368" s="290" t="s">
        <v>264</v>
      </c>
      <c r="C368" s="297">
        <v>80</v>
      </c>
      <c r="D368" s="297">
        <v>50</v>
      </c>
      <c r="E368" s="297">
        <v>28</v>
      </c>
      <c r="F368" s="297">
        <v>2</v>
      </c>
    </row>
    <row r="369" spans="1:6" ht="13.5">
      <c r="A369" s="290"/>
      <c r="B369" s="290" t="s">
        <v>265</v>
      </c>
      <c r="C369" s="297">
        <v>86</v>
      </c>
      <c r="D369" s="297">
        <v>55</v>
      </c>
      <c r="E369" s="297">
        <v>31</v>
      </c>
      <c r="F369" s="297">
        <v>0</v>
      </c>
    </row>
    <row r="370" spans="1:6" ht="13.5">
      <c r="A370" s="290"/>
      <c r="B370" s="290" t="s">
        <v>266</v>
      </c>
      <c r="C370" s="297">
        <v>469</v>
      </c>
      <c r="D370" s="297">
        <v>311</v>
      </c>
      <c r="E370" s="297">
        <v>157</v>
      </c>
      <c r="F370" s="297">
        <v>1</v>
      </c>
    </row>
    <row r="371" spans="1:6" ht="13.5">
      <c r="A371" s="290"/>
      <c r="B371" s="290" t="s">
        <v>504</v>
      </c>
      <c r="C371" s="297">
        <v>8</v>
      </c>
      <c r="D371" s="297">
        <v>3</v>
      </c>
      <c r="E371" s="297">
        <v>5</v>
      </c>
      <c r="F371" s="297">
        <v>0</v>
      </c>
    </row>
    <row r="372" spans="1:6" ht="5.0999999999999996" customHeight="1">
      <c r="A372" s="290"/>
      <c r="B372" s="290"/>
      <c r="C372" s="297"/>
      <c r="D372" s="297"/>
      <c r="E372" s="297"/>
      <c r="F372" s="297"/>
    </row>
    <row r="373" spans="1:6" s="322" customFormat="1" ht="13.5">
      <c r="A373" s="292" t="s">
        <v>175</v>
      </c>
      <c r="B373" s="292"/>
      <c r="C373" s="295">
        <v>493</v>
      </c>
      <c r="D373" s="295">
        <v>192</v>
      </c>
      <c r="E373" s="295">
        <v>301</v>
      </c>
      <c r="F373" s="295">
        <v>0</v>
      </c>
    </row>
    <row r="374" spans="1:6" ht="5.0999999999999996" customHeight="1">
      <c r="A374" s="290"/>
      <c r="B374" s="290"/>
      <c r="C374" s="297"/>
      <c r="D374" s="297"/>
      <c r="E374" s="297"/>
      <c r="F374" s="297"/>
    </row>
    <row r="375" spans="1:6" ht="13.5">
      <c r="A375" s="290"/>
      <c r="B375" s="290" t="s">
        <v>503</v>
      </c>
      <c r="C375" s="297">
        <v>13</v>
      </c>
      <c r="D375" s="297">
        <v>10</v>
      </c>
      <c r="E375" s="297">
        <v>3</v>
      </c>
      <c r="F375" s="297">
        <v>0</v>
      </c>
    </row>
    <row r="376" spans="1:6" ht="13.5">
      <c r="A376" s="290"/>
      <c r="B376" s="290" t="s">
        <v>259</v>
      </c>
      <c r="C376" s="297">
        <v>3</v>
      </c>
      <c r="D376" s="297">
        <v>1</v>
      </c>
      <c r="E376" s="297">
        <v>2</v>
      </c>
      <c r="F376" s="297">
        <v>0</v>
      </c>
    </row>
    <row r="377" spans="1:6" ht="13.5">
      <c r="A377" s="290"/>
      <c r="B377" s="290" t="s">
        <v>260</v>
      </c>
      <c r="C377" s="297">
        <v>4</v>
      </c>
      <c r="D377" s="297">
        <v>2</v>
      </c>
      <c r="E377" s="297">
        <v>2</v>
      </c>
      <c r="F377" s="297">
        <v>0</v>
      </c>
    </row>
    <row r="378" spans="1:6" ht="13.5">
      <c r="A378" s="290"/>
      <c r="B378" s="290" t="s">
        <v>261</v>
      </c>
      <c r="C378" s="297">
        <v>9</v>
      </c>
      <c r="D378" s="297">
        <v>3</v>
      </c>
      <c r="E378" s="297">
        <v>6</v>
      </c>
      <c r="F378" s="297">
        <v>0</v>
      </c>
    </row>
    <row r="379" spans="1:6" ht="13.5">
      <c r="A379" s="290"/>
      <c r="B379" s="290" t="s">
        <v>63</v>
      </c>
      <c r="C379" s="297">
        <v>5</v>
      </c>
      <c r="D379" s="297">
        <v>2</v>
      </c>
      <c r="E379" s="297">
        <v>3</v>
      </c>
      <c r="F379" s="297">
        <v>0</v>
      </c>
    </row>
    <row r="380" spans="1:6" ht="13.5">
      <c r="A380" s="290"/>
      <c r="B380" s="290" t="s">
        <v>64</v>
      </c>
      <c r="C380" s="297">
        <v>11</v>
      </c>
      <c r="D380" s="297">
        <v>2</v>
      </c>
      <c r="E380" s="297">
        <v>9</v>
      </c>
      <c r="F380" s="297">
        <v>0</v>
      </c>
    </row>
    <row r="381" spans="1:6" ht="13.5">
      <c r="A381" s="290"/>
      <c r="B381" s="290" t="s">
        <v>65</v>
      </c>
      <c r="C381" s="297">
        <v>8</v>
      </c>
      <c r="D381" s="297">
        <v>1</v>
      </c>
      <c r="E381" s="297">
        <v>7</v>
      </c>
      <c r="F381" s="297">
        <v>0</v>
      </c>
    </row>
    <row r="382" spans="1:6" ht="13.5">
      <c r="A382" s="290"/>
      <c r="B382" s="290" t="s">
        <v>66</v>
      </c>
      <c r="C382" s="297">
        <v>11</v>
      </c>
      <c r="D382" s="297">
        <v>4</v>
      </c>
      <c r="E382" s="297">
        <v>7</v>
      </c>
      <c r="F382" s="297">
        <v>0</v>
      </c>
    </row>
    <row r="383" spans="1:6" ht="13.5">
      <c r="A383" s="290"/>
      <c r="B383" s="290" t="s">
        <v>67</v>
      </c>
      <c r="C383" s="297">
        <v>8</v>
      </c>
      <c r="D383" s="297">
        <v>5</v>
      </c>
      <c r="E383" s="297">
        <v>3</v>
      </c>
      <c r="F383" s="297">
        <v>0</v>
      </c>
    </row>
    <row r="384" spans="1:6" ht="13.5">
      <c r="A384" s="290"/>
      <c r="B384" s="290" t="s">
        <v>68</v>
      </c>
      <c r="C384" s="297">
        <v>8</v>
      </c>
      <c r="D384" s="297">
        <v>2</v>
      </c>
      <c r="E384" s="297">
        <v>6</v>
      </c>
      <c r="F384" s="297">
        <v>0</v>
      </c>
    </row>
    <row r="385" spans="1:6" ht="13.5">
      <c r="A385" s="290"/>
      <c r="B385" s="290" t="s">
        <v>69</v>
      </c>
      <c r="C385" s="297">
        <v>13</v>
      </c>
      <c r="D385" s="297">
        <v>4</v>
      </c>
      <c r="E385" s="297">
        <v>9</v>
      </c>
      <c r="F385" s="297">
        <v>0</v>
      </c>
    </row>
    <row r="386" spans="1:6" ht="13.5">
      <c r="A386" s="290"/>
      <c r="B386" s="290" t="s">
        <v>262</v>
      </c>
      <c r="C386" s="297">
        <v>19</v>
      </c>
      <c r="D386" s="297">
        <v>2</v>
      </c>
      <c r="E386" s="297">
        <v>17</v>
      </c>
      <c r="F386" s="297">
        <v>0</v>
      </c>
    </row>
    <row r="387" spans="1:6" ht="13.5">
      <c r="A387" s="290"/>
      <c r="B387" s="290" t="s">
        <v>263</v>
      </c>
      <c r="C387" s="297">
        <v>26</v>
      </c>
      <c r="D387" s="297">
        <v>11</v>
      </c>
      <c r="E387" s="297">
        <v>15</v>
      </c>
      <c r="F387" s="297">
        <v>0</v>
      </c>
    </row>
    <row r="388" spans="1:6" ht="13.5">
      <c r="A388" s="290"/>
      <c r="B388" s="290" t="s">
        <v>264</v>
      </c>
      <c r="C388" s="297">
        <v>31</v>
      </c>
      <c r="D388" s="297">
        <v>15</v>
      </c>
      <c r="E388" s="297">
        <v>16</v>
      </c>
      <c r="F388" s="297">
        <v>0</v>
      </c>
    </row>
    <row r="389" spans="1:6" ht="13.5">
      <c r="A389" s="290"/>
      <c r="B389" s="290" t="s">
        <v>265</v>
      </c>
      <c r="C389" s="297">
        <v>17</v>
      </c>
      <c r="D389" s="297">
        <v>6</v>
      </c>
      <c r="E389" s="297">
        <v>11</v>
      </c>
      <c r="F389" s="297">
        <v>0</v>
      </c>
    </row>
    <row r="390" spans="1:6" ht="13.5">
      <c r="A390" s="290"/>
      <c r="B390" s="290" t="s">
        <v>266</v>
      </c>
      <c r="C390" s="297">
        <v>296</v>
      </c>
      <c r="D390" s="297">
        <v>119</v>
      </c>
      <c r="E390" s="297">
        <v>177</v>
      </c>
      <c r="F390" s="297">
        <v>0</v>
      </c>
    </row>
    <row r="391" spans="1:6" ht="13.5">
      <c r="A391" s="290"/>
      <c r="B391" s="290" t="s">
        <v>504</v>
      </c>
      <c r="C391" s="297">
        <v>11</v>
      </c>
      <c r="D391" s="297">
        <v>3</v>
      </c>
      <c r="E391" s="297">
        <v>8</v>
      </c>
      <c r="F391" s="297">
        <v>0</v>
      </c>
    </row>
    <row r="392" spans="1:6" ht="5.0999999999999996" customHeight="1">
      <c r="A392" s="290"/>
      <c r="B392" s="290"/>
      <c r="C392" s="297"/>
      <c r="D392" s="297"/>
      <c r="E392" s="297"/>
      <c r="F392" s="297"/>
    </row>
    <row r="393" spans="1:6" s="322" customFormat="1" ht="13.5">
      <c r="A393" s="292" t="s">
        <v>95</v>
      </c>
      <c r="B393" s="292"/>
      <c r="C393" s="295">
        <v>357</v>
      </c>
      <c r="D393" s="295">
        <v>228</v>
      </c>
      <c r="E393" s="295">
        <v>129</v>
      </c>
      <c r="F393" s="295">
        <v>0</v>
      </c>
    </row>
    <row r="394" spans="1:6" ht="5.0999999999999996" customHeight="1">
      <c r="A394" s="290"/>
      <c r="B394" s="290"/>
      <c r="C394" s="297"/>
      <c r="D394" s="297"/>
      <c r="E394" s="297"/>
      <c r="F394" s="297"/>
    </row>
    <row r="395" spans="1:6" ht="13.5">
      <c r="A395" s="290"/>
      <c r="B395" s="290" t="s">
        <v>503</v>
      </c>
      <c r="C395" s="297">
        <v>6</v>
      </c>
      <c r="D395" s="297">
        <v>4</v>
      </c>
      <c r="E395" s="297">
        <v>2</v>
      </c>
      <c r="F395" s="297">
        <v>0</v>
      </c>
    </row>
    <row r="396" spans="1:6" ht="13.5">
      <c r="A396" s="290"/>
      <c r="B396" s="290" t="s">
        <v>259</v>
      </c>
      <c r="C396" s="297">
        <v>2</v>
      </c>
      <c r="D396" s="297">
        <v>2</v>
      </c>
      <c r="E396" s="297">
        <v>0</v>
      </c>
      <c r="F396" s="297">
        <v>0</v>
      </c>
    </row>
    <row r="397" spans="1:6" ht="13.5">
      <c r="A397" s="290"/>
      <c r="B397" s="290" t="s">
        <v>260</v>
      </c>
      <c r="C397" s="297">
        <v>2</v>
      </c>
      <c r="D397" s="297">
        <v>0</v>
      </c>
      <c r="E397" s="297">
        <v>2</v>
      </c>
      <c r="F397" s="297">
        <v>0</v>
      </c>
    </row>
    <row r="398" spans="1:6" ht="13.5">
      <c r="A398" s="290"/>
      <c r="B398" s="290" t="s">
        <v>261</v>
      </c>
      <c r="C398" s="297">
        <v>3</v>
      </c>
      <c r="D398" s="297">
        <v>2</v>
      </c>
      <c r="E398" s="297">
        <v>1</v>
      </c>
      <c r="F398" s="297">
        <v>0</v>
      </c>
    </row>
    <row r="399" spans="1:6" ht="13.5">
      <c r="A399" s="290"/>
      <c r="B399" s="290" t="s">
        <v>63</v>
      </c>
      <c r="C399" s="297">
        <v>4</v>
      </c>
      <c r="D399" s="297">
        <v>2</v>
      </c>
      <c r="E399" s="297">
        <v>2</v>
      </c>
      <c r="F399" s="297">
        <v>0</v>
      </c>
    </row>
    <row r="400" spans="1:6" ht="13.5">
      <c r="A400" s="290"/>
      <c r="B400" s="290" t="s">
        <v>64</v>
      </c>
      <c r="C400" s="297">
        <v>13</v>
      </c>
      <c r="D400" s="297">
        <v>6</v>
      </c>
      <c r="E400" s="297">
        <v>7</v>
      </c>
      <c r="F400" s="297">
        <v>0</v>
      </c>
    </row>
    <row r="401" spans="1:6" ht="13.5">
      <c r="A401" s="290"/>
      <c r="B401" s="290" t="s">
        <v>65</v>
      </c>
      <c r="C401" s="297">
        <v>15</v>
      </c>
      <c r="D401" s="297">
        <v>10</v>
      </c>
      <c r="E401" s="297">
        <v>5</v>
      </c>
      <c r="F401" s="297">
        <v>0</v>
      </c>
    </row>
    <row r="402" spans="1:6" ht="13.5">
      <c r="A402" s="290"/>
      <c r="B402" s="290" t="s">
        <v>66</v>
      </c>
      <c r="C402" s="297">
        <v>9</v>
      </c>
      <c r="D402" s="297">
        <v>5</v>
      </c>
      <c r="E402" s="297">
        <v>4</v>
      </c>
      <c r="F402" s="297">
        <v>0</v>
      </c>
    </row>
    <row r="403" spans="1:6" ht="13.5">
      <c r="A403" s="290"/>
      <c r="B403" s="290" t="s">
        <v>67</v>
      </c>
      <c r="C403" s="297">
        <v>17</v>
      </c>
      <c r="D403" s="297">
        <v>13</v>
      </c>
      <c r="E403" s="297">
        <v>4</v>
      </c>
      <c r="F403" s="297">
        <v>0</v>
      </c>
    </row>
    <row r="404" spans="1:6" ht="13.5">
      <c r="A404" s="290"/>
      <c r="B404" s="290" t="s">
        <v>68</v>
      </c>
      <c r="C404" s="297">
        <v>9</v>
      </c>
      <c r="D404" s="297">
        <v>5</v>
      </c>
      <c r="E404" s="297">
        <v>4</v>
      </c>
      <c r="F404" s="297">
        <v>0</v>
      </c>
    </row>
    <row r="405" spans="1:6" ht="13.5">
      <c r="A405" s="290"/>
      <c r="B405" s="290" t="s">
        <v>69</v>
      </c>
      <c r="C405" s="297">
        <v>17</v>
      </c>
      <c r="D405" s="297">
        <v>11</v>
      </c>
      <c r="E405" s="297">
        <v>6</v>
      </c>
      <c r="F405" s="297">
        <v>0</v>
      </c>
    </row>
    <row r="406" spans="1:6" ht="13.5">
      <c r="A406" s="290"/>
      <c r="B406" s="290" t="s">
        <v>262</v>
      </c>
      <c r="C406" s="297">
        <v>15</v>
      </c>
      <c r="D406" s="297">
        <v>10</v>
      </c>
      <c r="E406" s="297">
        <v>5</v>
      </c>
      <c r="F406" s="297">
        <v>0</v>
      </c>
    </row>
    <row r="407" spans="1:6" ht="13.5">
      <c r="A407" s="290"/>
      <c r="B407" s="290" t="s">
        <v>263</v>
      </c>
      <c r="C407" s="297">
        <v>23</v>
      </c>
      <c r="D407" s="297">
        <v>14</v>
      </c>
      <c r="E407" s="297">
        <v>9</v>
      </c>
      <c r="F407" s="297">
        <v>0</v>
      </c>
    </row>
    <row r="408" spans="1:6" ht="13.5">
      <c r="A408" s="290"/>
      <c r="B408" s="290" t="s">
        <v>264</v>
      </c>
      <c r="C408" s="297">
        <v>21</v>
      </c>
      <c r="D408" s="297">
        <v>12</v>
      </c>
      <c r="E408" s="297">
        <v>9</v>
      </c>
      <c r="F408" s="297">
        <v>0</v>
      </c>
    </row>
    <row r="409" spans="1:6" ht="13.5">
      <c r="A409" s="290"/>
      <c r="B409" s="290" t="s">
        <v>265</v>
      </c>
      <c r="C409" s="297">
        <v>31</v>
      </c>
      <c r="D409" s="297">
        <v>21</v>
      </c>
      <c r="E409" s="297">
        <v>10</v>
      </c>
      <c r="F409" s="297">
        <v>0</v>
      </c>
    </row>
    <row r="410" spans="1:6" ht="13.5">
      <c r="A410" s="290"/>
      <c r="B410" s="290" t="s">
        <v>266</v>
      </c>
      <c r="C410" s="297">
        <v>163</v>
      </c>
      <c r="D410" s="297">
        <v>108</v>
      </c>
      <c r="E410" s="297">
        <v>55</v>
      </c>
      <c r="F410" s="297">
        <v>0</v>
      </c>
    </row>
    <row r="411" spans="1:6" ht="13.5">
      <c r="A411" s="290"/>
      <c r="B411" s="290" t="s">
        <v>504</v>
      </c>
      <c r="C411" s="297">
        <v>7</v>
      </c>
      <c r="D411" s="297">
        <v>3</v>
      </c>
      <c r="E411" s="297">
        <v>4</v>
      </c>
      <c r="F411" s="297">
        <v>0</v>
      </c>
    </row>
    <row r="412" spans="1:6" ht="5.0999999999999996" customHeight="1">
      <c r="A412" s="290"/>
      <c r="B412" s="290"/>
      <c r="C412" s="297"/>
      <c r="D412" s="297"/>
      <c r="E412" s="297"/>
      <c r="F412" s="297"/>
    </row>
    <row r="413" spans="1:6" s="322" customFormat="1" ht="13.5">
      <c r="A413" s="292" t="s">
        <v>96</v>
      </c>
      <c r="B413" s="292"/>
      <c r="C413" s="295">
        <v>1437</v>
      </c>
      <c r="D413" s="295">
        <v>966</v>
      </c>
      <c r="E413" s="295">
        <v>465</v>
      </c>
      <c r="F413" s="295">
        <v>6</v>
      </c>
    </row>
    <row r="414" spans="1:6" ht="5.0999999999999996" customHeight="1">
      <c r="A414" s="290"/>
      <c r="B414" s="290"/>
      <c r="C414" s="297"/>
      <c r="D414" s="297"/>
      <c r="E414" s="297"/>
      <c r="F414" s="297"/>
    </row>
    <row r="415" spans="1:6" ht="13.5">
      <c r="A415" s="290"/>
      <c r="B415" s="290" t="s">
        <v>503</v>
      </c>
      <c r="C415" s="297">
        <v>14</v>
      </c>
      <c r="D415" s="297">
        <v>10</v>
      </c>
      <c r="E415" s="297">
        <v>4</v>
      </c>
      <c r="F415" s="297">
        <v>0</v>
      </c>
    </row>
    <row r="416" spans="1:6" ht="13.5">
      <c r="A416" s="290"/>
      <c r="B416" s="290" t="s">
        <v>259</v>
      </c>
      <c r="C416" s="297">
        <v>4</v>
      </c>
      <c r="D416" s="297">
        <v>3</v>
      </c>
      <c r="E416" s="297">
        <v>1</v>
      </c>
      <c r="F416" s="297">
        <v>0</v>
      </c>
    </row>
    <row r="417" spans="1:6" ht="13.5">
      <c r="A417" s="290"/>
      <c r="B417" s="290" t="s">
        <v>260</v>
      </c>
      <c r="C417" s="297">
        <v>9</v>
      </c>
      <c r="D417" s="297">
        <v>4</v>
      </c>
      <c r="E417" s="297">
        <v>5</v>
      </c>
      <c r="F417" s="297">
        <v>0</v>
      </c>
    </row>
    <row r="418" spans="1:6" ht="13.5">
      <c r="A418" s="290"/>
      <c r="B418" s="290" t="s">
        <v>261</v>
      </c>
      <c r="C418" s="297">
        <v>10</v>
      </c>
      <c r="D418" s="297">
        <v>6</v>
      </c>
      <c r="E418" s="297">
        <v>4</v>
      </c>
      <c r="F418" s="297">
        <v>0</v>
      </c>
    </row>
    <row r="419" spans="1:6" ht="13.5">
      <c r="A419" s="290"/>
      <c r="B419" s="290" t="s">
        <v>63</v>
      </c>
      <c r="C419" s="297">
        <v>30</v>
      </c>
      <c r="D419" s="297">
        <v>15</v>
      </c>
      <c r="E419" s="297">
        <v>14</v>
      </c>
      <c r="F419" s="297">
        <v>1</v>
      </c>
    </row>
    <row r="420" spans="1:6" ht="13.5">
      <c r="A420" s="290"/>
      <c r="B420" s="290" t="s">
        <v>64</v>
      </c>
      <c r="C420" s="297">
        <v>33</v>
      </c>
      <c r="D420" s="297">
        <v>20</v>
      </c>
      <c r="E420" s="297">
        <v>11</v>
      </c>
      <c r="F420" s="297">
        <v>2</v>
      </c>
    </row>
    <row r="421" spans="1:6" ht="13.5">
      <c r="A421" s="290"/>
      <c r="B421" s="290" t="s">
        <v>65</v>
      </c>
      <c r="C421" s="297">
        <v>50</v>
      </c>
      <c r="D421" s="297">
        <v>28</v>
      </c>
      <c r="E421" s="297">
        <v>21</v>
      </c>
      <c r="F421" s="297">
        <v>1</v>
      </c>
    </row>
    <row r="422" spans="1:6" ht="13.5">
      <c r="A422" s="290"/>
      <c r="B422" s="290" t="s">
        <v>66</v>
      </c>
      <c r="C422" s="297">
        <v>45</v>
      </c>
      <c r="D422" s="297">
        <v>25</v>
      </c>
      <c r="E422" s="297">
        <v>19</v>
      </c>
      <c r="F422" s="297">
        <v>1</v>
      </c>
    </row>
    <row r="423" spans="1:6" ht="13.5">
      <c r="A423" s="290"/>
      <c r="B423" s="290" t="s">
        <v>67</v>
      </c>
      <c r="C423" s="297">
        <v>56</v>
      </c>
      <c r="D423" s="297">
        <v>44</v>
      </c>
      <c r="E423" s="297">
        <v>12</v>
      </c>
      <c r="F423" s="297">
        <v>0</v>
      </c>
    </row>
    <row r="424" spans="1:6" ht="13.5">
      <c r="A424" s="290"/>
      <c r="B424" s="290" t="s">
        <v>68</v>
      </c>
      <c r="C424" s="297">
        <v>75</v>
      </c>
      <c r="D424" s="297">
        <v>54</v>
      </c>
      <c r="E424" s="297">
        <v>21</v>
      </c>
      <c r="F424" s="297">
        <v>0</v>
      </c>
    </row>
    <row r="425" spans="1:6" ht="13.5">
      <c r="A425" s="290"/>
      <c r="B425" s="290" t="s">
        <v>69</v>
      </c>
      <c r="C425" s="297">
        <v>57</v>
      </c>
      <c r="D425" s="297">
        <v>42</v>
      </c>
      <c r="E425" s="297">
        <v>15</v>
      </c>
      <c r="F425" s="297">
        <v>0</v>
      </c>
    </row>
    <row r="426" spans="1:6" ht="13.5">
      <c r="A426" s="290"/>
      <c r="B426" s="290" t="s">
        <v>262</v>
      </c>
      <c r="C426" s="297">
        <v>77</v>
      </c>
      <c r="D426" s="297">
        <v>54</v>
      </c>
      <c r="E426" s="297">
        <v>23</v>
      </c>
      <c r="F426" s="297">
        <v>0</v>
      </c>
    </row>
    <row r="427" spans="1:6" ht="13.5">
      <c r="A427" s="290"/>
      <c r="B427" s="290" t="s">
        <v>263</v>
      </c>
      <c r="C427" s="297">
        <v>82</v>
      </c>
      <c r="D427" s="297">
        <v>54</v>
      </c>
      <c r="E427" s="297">
        <v>28</v>
      </c>
      <c r="F427" s="297">
        <v>0</v>
      </c>
    </row>
    <row r="428" spans="1:6" ht="13.5">
      <c r="A428" s="290"/>
      <c r="B428" s="290" t="s">
        <v>264</v>
      </c>
      <c r="C428" s="297">
        <v>118</v>
      </c>
      <c r="D428" s="297">
        <v>83</v>
      </c>
      <c r="E428" s="297">
        <v>35</v>
      </c>
      <c r="F428" s="297">
        <v>0</v>
      </c>
    </row>
    <row r="429" spans="1:6" ht="13.5">
      <c r="A429" s="290"/>
      <c r="B429" s="290" t="s">
        <v>265</v>
      </c>
      <c r="C429" s="297">
        <v>117</v>
      </c>
      <c r="D429" s="297">
        <v>70</v>
      </c>
      <c r="E429" s="297">
        <v>47</v>
      </c>
      <c r="F429" s="297">
        <v>0</v>
      </c>
    </row>
    <row r="430" spans="1:6" ht="13.5">
      <c r="A430" s="290"/>
      <c r="B430" s="290" t="s">
        <v>266</v>
      </c>
      <c r="C430" s="297">
        <v>606</v>
      </c>
      <c r="D430" s="297">
        <v>417</v>
      </c>
      <c r="E430" s="297">
        <v>188</v>
      </c>
      <c r="F430" s="297">
        <v>1</v>
      </c>
    </row>
    <row r="431" spans="1:6" ht="13.5">
      <c r="A431" s="290"/>
      <c r="B431" s="290" t="s">
        <v>504</v>
      </c>
      <c r="C431" s="297">
        <v>54</v>
      </c>
      <c r="D431" s="297">
        <v>37</v>
      </c>
      <c r="E431" s="297">
        <v>17</v>
      </c>
      <c r="F431" s="297">
        <v>0</v>
      </c>
    </row>
    <row r="432" spans="1:6" ht="5.0999999999999996" customHeight="1">
      <c r="A432" s="290"/>
      <c r="B432" s="290"/>
      <c r="C432" s="297"/>
      <c r="D432" s="297"/>
      <c r="E432" s="297"/>
      <c r="F432" s="297"/>
    </row>
    <row r="433" spans="1:6" s="322" customFormat="1" ht="13.5">
      <c r="A433" s="292" t="s">
        <v>97</v>
      </c>
      <c r="B433" s="292"/>
      <c r="C433" s="295">
        <v>689</v>
      </c>
      <c r="D433" s="295">
        <v>495</v>
      </c>
      <c r="E433" s="295">
        <v>194</v>
      </c>
      <c r="F433" s="295">
        <v>0</v>
      </c>
    </row>
    <row r="434" spans="1:6" ht="5.0999999999999996" customHeight="1">
      <c r="A434" s="290"/>
      <c r="B434" s="290"/>
      <c r="C434" s="297"/>
      <c r="D434" s="297"/>
      <c r="E434" s="297"/>
      <c r="F434" s="297"/>
    </row>
    <row r="435" spans="1:6" ht="13.5">
      <c r="A435" s="290"/>
      <c r="B435" s="290" t="s">
        <v>503</v>
      </c>
      <c r="C435" s="297">
        <v>8</v>
      </c>
      <c r="D435" s="297">
        <v>8</v>
      </c>
      <c r="E435" s="297">
        <v>0</v>
      </c>
      <c r="F435" s="297">
        <v>0</v>
      </c>
    </row>
    <row r="436" spans="1:6" ht="13.5">
      <c r="A436" s="290"/>
      <c r="B436" s="290" t="s">
        <v>259</v>
      </c>
      <c r="C436" s="297">
        <v>1</v>
      </c>
      <c r="D436" s="297">
        <v>1</v>
      </c>
      <c r="E436" s="297">
        <v>0</v>
      </c>
      <c r="F436" s="297">
        <v>0</v>
      </c>
    </row>
    <row r="437" spans="1:6" ht="13.5">
      <c r="A437" s="290"/>
      <c r="B437" s="290" t="s">
        <v>260</v>
      </c>
      <c r="C437" s="297">
        <v>1</v>
      </c>
      <c r="D437" s="297">
        <v>0</v>
      </c>
      <c r="E437" s="297">
        <v>1</v>
      </c>
      <c r="F437" s="297">
        <v>0</v>
      </c>
    </row>
    <row r="438" spans="1:6" ht="13.5">
      <c r="A438" s="290"/>
      <c r="B438" s="290" t="s">
        <v>261</v>
      </c>
      <c r="C438" s="297">
        <v>2</v>
      </c>
      <c r="D438" s="297">
        <v>1</v>
      </c>
      <c r="E438" s="297">
        <v>1</v>
      </c>
      <c r="F438" s="297">
        <v>0</v>
      </c>
    </row>
    <row r="439" spans="1:6" ht="13.5">
      <c r="A439" s="290"/>
      <c r="B439" s="290" t="s">
        <v>63</v>
      </c>
      <c r="C439" s="297">
        <v>6</v>
      </c>
      <c r="D439" s="297">
        <v>4</v>
      </c>
      <c r="E439" s="297">
        <v>2</v>
      </c>
      <c r="F439" s="297">
        <v>0</v>
      </c>
    </row>
    <row r="440" spans="1:6" ht="13.5">
      <c r="A440" s="290"/>
      <c r="B440" s="290" t="s">
        <v>64</v>
      </c>
      <c r="C440" s="297">
        <v>18</v>
      </c>
      <c r="D440" s="297">
        <v>10</v>
      </c>
      <c r="E440" s="297">
        <v>8</v>
      </c>
      <c r="F440" s="297">
        <v>0</v>
      </c>
    </row>
    <row r="441" spans="1:6" ht="13.5">
      <c r="A441" s="290"/>
      <c r="B441" s="290" t="s">
        <v>65</v>
      </c>
      <c r="C441" s="297">
        <v>21</v>
      </c>
      <c r="D441" s="297">
        <v>12</v>
      </c>
      <c r="E441" s="297">
        <v>9</v>
      </c>
      <c r="F441" s="297">
        <v>0</v>
      </c>
    </row>
    <row r="442" spans="1:6" ht="13.5">
      <c r="A442" s="290"/>
      <c r="B442" s="290" t="s">
        <v>66</v>
      </c>
      <c r="C442" s="297">
        <v>20</v>
      </c>
      <c r="D442" s="297">
        <v>15</v>
      </c>
      <c r="E442" s="297">
        <v>5</v>
      </c>
      <c r="F442" s="297">
        <v>0</v>
      </c>
    </row>
    <row r="443" spans="1:6" ht="13.5">
      <c r="A443" s="290"/>
      <c r="B443" s="290" t="s">
        <v>67</v>
      </c>
      <c r="C443" s="297">
        <v>25</v>
      </c>
      <c r="D443" s="297">
        <v>17</v>
      </c>
      <c r="E443" s="297">
        <v>8</v>
      </c>
      <c r="F443" s="297">
        <v>0</v>
      </c>
    </row>
    <row r="444" spans="1:6" ht="13.5">
      <c r="A444" s="290"/>
      <c r="B444" s="290" t="s">
        <v>68</v>
      </c>
      <c r="C444" s="297">
        <v>22</v>
      </c>
      <c r="D444" s="297">
        <v>14</v>
      </c>
      <c r="E444" s="297">
        <v>8</v>
      </c>
      <c r="F444" s="297">
        <v>0</v>
      </c>
    </row>
    <row r="445" spans="1:6" ht="13.5">
      <c r="A445" s="290"/>
      <c r="B445" s="290" t="s">
        <v>69</v>
      </c>
      <c r="C445" s="297">
        <v>25</v>
      </c>
      <c r="D445" s="297">
        <v>13</v>
      </c>
      <c r="E445" s="297">
        <v>12</v>
      </c>
      <c r="F445" s="297">
        <v>0</v>
      </c>
    </row>
    <row r="446" spans="1:6" ht="13.5">
      <c r="A446" s="290"/>
      <c r="B446" s="290" t="s">
        <v>262</v>
      </c>
      <c r="C446" s="297">
        <v>44</v>
      </c>
      <c r="D446" s="297">
        <v>30</v>
      </c>
      <c r="E446" s="297">
        <v>14</v>
      </c>
      <c r="F446" s="297">
        <v>0</v>
      </c>
    </row>
    <row r="447" spans="1:6" ht="13.5">
      <c r="A447" s="290"/>
      <c r="B447" s="290" t="s">
        <v>263</v>
      </c>
      <c r="C447" s="297">
        <v>33</v>
      </c>
      <c r="D447" s="297">
        <v>25</v>
      </c>
      <c r="E447" s="297">
        <v>8</v>
      </c>
      <c r="F447" s="297">
        <v>0</v>
      </c>
    </row>
    <row r="448" spans="1:6" ht="13.5">
      <c r="A448" s="290"/>
      <c r="B448" s="290" t="s">
        <v>264</v>
      </c>
      <c r="C448" s="297">
        <v>45</v>
      </c>
      <c r="D448" s="297">
        <v>34</v>
      </c>
      <c r="E448" s="297">
        <v>11</v>
      </c>
      <c r="F448" s="297">
        <v>0</v>
      </c>
    </row>
    <row r="449" spans="1:6" ht="13.5">
      <c r="A449" s="290"/>
      <c r="B449" s="290" t="s">
        <v>265</v>
      </c>
      <c r="C449" s="297">
        <v>59</v>
      </c>
      <c r="D449" s="297">
        <v>48</v>
      </c>
      <c r="E449" s="297">
        <v>11</v>
      </c>
      <c r="F449" s="297">
        <v>0</v>
      </c>
    </row>
    <row r="450" spans="1:6" ht="13.5">
      <c r="A450" s="290"/>
      <c r="B450" s="290" t="s">
        <v>266</v>
      </c>
      <c r="C450" s="297">
        <v>350</v>
      </c>
      <c r="D450" s="297">
        <v>257</v>
      </c>
      <c r="E450" s="297">
        <v>93</v>
      </c>
      <c r="F450" s="297">
        <v>0</v>
      </c>
    </row>
    <row r="451" spans="1:6" ht="13.5">
      <c r="A451" s="290"/>
      <c r="B451" s="290" t="s">
        <v>504</v>
      </c>
      <c r="C451" s="297">
        <v>9</v>
      </c>
      <c r="D451" s="297">
        <v>6</v>
      </c>
      <c r="E451" s="297">
        <v>3</v>
      </c>
      <c r="F451" s="297">
        <v>0</v>
      </c>
    </row>
    <row r="452" spans="1:6" ht="5.0999999999999996" customHeight="1">
      <c r="A452" s="290"/>
      <c r="B452" s="290"/>
      <c r="C452" s="297"/>
      <c r="D452" s="297"/>
      <c r="E452" s="297"/>
      <c r="F452" s="297"/>
    </row>
    <row r="453" spans="1:6" s="322" customFormat="1" ht="13.5">
      <c r="A453" s="292" t="s">
        <v>98</v>
      </c>
      <c r="B453" s="292"/>
      <c r="C453" s="295">
        <v>1065</v>
      </c>
      <c r="D453" s="295">
        <v>960</v>
      </c>
      <c r="E453" s="295">
        <v>105</v>
      </c>
      <c r="F453" s="295">
        <v>0</v>
      </c>
    </row>
    <row r="454" spans="1:6" ht="5.0999999999999996" customHeight="1">
      <c r="A454" s="290"/>
      <c r="B454" s="290"/>
      <c r="C454" s="297"/>
      <c r="D454" s="297"/>
      <c r="E454" s="297"/>
      <c r="F454" s="297"/>
    </row>
    <row r="455" spans="1:6" ht="13.5">
      <c r="A455" s="290"/>
      <c r="B455" s="290" t="s">
        <v>503</v>
      </c>
      <c r="C455" s="297">
        <v>20</v>
      </c>
      <c r="D455" s="297">
        <v>19</v>
      </c>
      <c r="E455" s="297">
        <v>1</v>
      </c>
      <c r="F455" s="297">
        <v>0</v>
      </c>
    </row>
    <row r="456" spans="1:6" ht="13.5">
      <c r="A456" s="290"/>
      <c r="B456" s="290" t="s">
        <v>259</v>
      </c>
      <c r="C456" s="297">
        <v>6</v>
      </c>
      <c r="D456" s="297">
        <v>5</v>
      </c>
      <c r="E456" s="297">
        <v>1</v>
      </c>
      <c r="F456" s="297">
        <v>0</v>
      </c>
    </row>
    <row r="457" spans="1:6" ht="13.5">
      <c r="A457" s="290"/>
      <c r="B457" s="290" t="s">
        <v>260</v>
      </c>
      <c r="C457" s="297">
        <v>6</v>
      </c>
      <c r="D457" s="297">
        <v>5</v>
      </c>
      <c r="E457" s="297">
        <v>1</v>
      </c>
      <c r="F457" s="297">
        <v>0</v>
      </c>
    </row>
    <row r="458" spans="1:6" ht="13.5">
      <c r="A458" s="290"/>
      <c r="B458" s="290" t="s">
        <v>261</v>
      </c>
      <c r="C458" s="297">
        <v>10</v>
      </c>
      <c r="D458" s="297">
        <v>8</v>
      </c>
      <c r="E458" s="297">
        <v>2</v>
      </c>
      <c r="F458" s="297">
        <v>0</v>
      </c>
    </row>
    <row r="459" spans="1:6" ht="13.5">
      <c r="A459" s="290"/>
      <c r="B459" s="290" t="s">
        <v>63</v>
      </c>
      <c r="C459" s="297">
        <v>19</v>
      </c>
      <c r="D459" s="297">
        <v>16</v>
      </c>
      <c r="E459" s="297">
        <v>3</v>
      </c>
      <c r="F459" s="297">
        <v>0</v>
      </c>
    </row>
    <row r="460" spans="1:6" ht="13.5">
      <c r="A460" s="290"/>
      <c r="B460" s="290" t="s">
        <v>64</v>
      </c>
      <c r="C460" s="297">
        <v>16</v>
      </c>
      <c r="D460" s="297">
        <v>15</v>
      </c>
      <c r="E460" s="297">
        <v>1</v>
      </c>
      <c r="F460" s="297">
        <v>0</v>
      </c>
    </row>
    <row r="461" spans="1:6" ht="13.5">
      <c r="A461" s="290"/>
      <c r="B461" s="290" t="s">
        <v>65</v>
      </c>
      <c r="C461" s="297">
        <v>31</v>
      </c>
      <c r="D461" s="297">
        <v>26</v>
      </c>
      <c r="E461" s="297">
        <v>5</v>
      </c>
      <c r="F461" s="297">
        <v>0</v>
      </c>
    </row>
    <row r="462" spans="1:6" ht="13.5">
      <c r="A462" s="290"/>
      <c r="B462" s="290" t="s">
        <v>66</v>
      </c>
      <c r="C462" s="297">
        <v>31</v>
      </c>
      <c r="D462" s="297">
        <v>26</v>
      </c>
      <c r="E462" s="297">
        <v>5</v>
      </c>
      <c r="F462" s="297">
        <v>0</v>
      </c>
    </row>
    <row r="463" spans="1:6" ht="13.5">
      <c r="A463" s="290"/>
      <c r="B463" s="290" t="s">
        <v>67</v>
      </c>
      <c r="C463" s="297">
        <v>43</v>
      </c>
      <c r="D463" s="297">
        <v>42</v>
      </c>
      <c r="E463" s="297">
        <v>1</v>
      </c>
      <c r="F463" s="297">
        <v>0</v>
      </c>
    </row>
    <row r="464" spans="1:6" ht="13.5">
      <c r="A464" s="290"/>
      <c r="B464" s="290" t="s">
        <v>68</v>
      </c>
      <c r="C464" s="297">
        <v>46</v>
      </c>
      <c r="D464" s="297">
        <v>46</v>
      </c>
      <c r="E464" s="297">
        <v>0</v>
      </c>
      <c r="F464" s="297">
        <v>0</v>
      </c>
    </row>
    <row r="465" spans="1:6" ht="13.5">
      <c r="A465" s="290"/>
      <c r="B465" s="290" t="s">
        <v>69</v>
      </c>
      <c r="C465" s="297">
        <v>37</v>
      </c>
      <c r="D465" s="297">
        <v>33</v>
      </c>
      <c r="E465" s="297">
        <v>4</v>
      </c>
      <c r="F465" s="297">
        <v>0</v>
      </c>
    </row>
    <row r="466" spans="1:6" ht="13.5">
      <c r="A466" s="290"/>
      <c r="B466" s="290" t="s">
        <v>262</v>
      </c>
      <c r="C466" s="297">
        <v>58</v>
      </c>
      <c r="D466" s="297">
        <v>50</v>
      </c>
      <c r="E466" s="297">
        <v>8</v>
      </c>
      <c r="F466" s="297">
        <v>0</v>
      </c>
    </row>
    <row r="467" spans="1:6" ht="13.5">
      <c r="A467" s="290"/>
      <c r="B467" s="290" t="s">
        <v>263</v>
      </c>
      <c r="C467" s="297">
        <v>69</v>
      </c>
      <c r="D467" s="297">
        <v>63</v>
      </c>
      <c r="E467" s="297">
        <v>6</v>
      </c>
      <c r="F467" s="297">
        <v>0</v>
      </c>
    </row>
    <row r="468" spans="1:6" ht="13.5">
      <c r="A468" s="290"/>
      <c r="B468" s="290" t="s">
        <v>264</v>
      </c>
      <c r="C468" s="297">
        <v>78</v>
      </c>
      <c r="D468" s="297">
        <v>69</v>
      </c>
      <c r="E468" s="297">
        <v>9</v>
      </c>
      <c r="F468" s="297">
        <v>0</v>
      </c>
    </row>
    <row r="469" spans="1:6" ht="13.5">
      <c r="A469" s="290"/>
      <c r="B469" s="290" t="s">
        <v>265</v>
      </c>
      <c r="C469" s="297">
        <v>82</v>
      </c>
      <c r="D469" s="297">
        <v>74</v>
      </c>
      <c r="E469" s="297">
        <v>8</v>
      </c>
      <c r="F469" s="297">
        <v>0</v>
      </c>
    </row>
    <row r="470" spans="1:6" ht="13.5">
      <c r="A470" s="290"/>
      <c r="B470" s="290" t="s">
        <v>266</v>
      </c>
      <c r="C470" s="297">
        <v>478</v>
      </c>
      <c r="D470" s="297">
        <v>432</v>
      </c>
      <c r="E470" s="297">
        <v>46</v>
      </c>
      <c r="F470" s="297">
        <v>0</v>
      </c>
    </row>
    <row r="471" spans="1:6" ht="13.5">
      <c r="A471" s="290"/>
      <c r="B471" s="290" t="s">
        <v>504</v>
      </c>
      <c r="C471" s="297">
        <v>35</v>
      </c>
      <c r="D471" s="297">
        <v>31</v>
      </c>
      <c r="E471" s="297">
        <v>4</v>
      </c>
      <c r="F471" s="297">
        <v>0</v>
      </c>
    </row>
    <row r="472" spans="1:6" ht="5.0999999999999996" customHeight="1">
      <c r="A472" s="290"/>
      <c r="B472" s="290"/>
      <c r="C472" s="297"/>
      <c r="D472" s="297"/>
      <c r="E472" s="297"/>
      <c r="F472" s="297"/>
    </row>
    <row r="473" spans="1:6" s="322" customFormat="1" ht="13.5">
      <c r="A473" s="292" t="s">
        <v>99</v>
      </c>
      <c r="B473" s="292"/>
      <c r="C473" s="295">
        <v>705</v>
      </c>
      <c r="D473" s="295">
        <v>447</v>
      </c>
      <c r="E473" s="295">
        <v>254</v>
      </c>
      <c r="F473" s="295">
        <v>4</v>
      </c>
    </row>
    <row r="474" spans="1:6" ht="5.0999999999999996" customHeight="1">
      <c r="A474" s="290"/>
      <c r="B474" s="290"/>
      <c r="C474" s="297"/>
      <c r="D474" s="297"/>
      <c r="E474" s="297"/>
      <c r="F474" s="297"/>
    </row>
    <row r="475" spans="1:6" ht="13.5">
      <c r="A475" s="290"/>
      <c r="B475" s="290" t="s">
        <v>503</v>
      </c>
      <c r="C475" s="297">
        <v>5</v>
      </c>
      <c r="D475" s="297">
        <v>3</v>
      </c>
      <c r="E475" s="297">
        <v>2</v>
      </c>
      <c r="F475" s="297">
        <v>0</v>
      </c>
    </row>
    <row r="476" spans="1:6" ht="13.5">
      <c r="A476" s="290"/>
      <c r="B476" s="290" t="s">
        <v>259</v>
      </c>
      <c r="C476" s="297">
        <v>3</v>
      </c>
      <c r="D476" s="297">
        <v>3</v>
      </c>
      <c r="E476" s="297">
        <v>0</v>
      </c>
      <c r="F476" s="297">
        <v>0</v>
      </c>
    </row>
    <row r="477" spans="1:6" ht="13.5">
      <c r="A477" s="290"/>
      <c r="B477" s="290" t="s">
        <v>260</v>
      </c>
      <c r="C477" s="297">
        <v>1</v>
      </c>
      <c r="D477" s="297">
        <v>1</v>
      </c>
      <c r="E477" s="297">
        <v>0</v>
      </c>
      <c r="F477" s="297">
        <v>0</v>
      </c>
    </row>
    <row r="478" spans="1:6" ht="13.5">
      <c r="A478" s="290"/>
      <c r="B478" s="290" t="s">
        <v>261</v>
      </c>
      <c r="C478" s="297">
        <v>2</v>
      </c>
      <c r="D478" s="297">
        <v>1</v>
      </c>
      <c r="E478" s="297">
        <v>1</v>
      </c>
      <c r="F478" s="297">
        <v>0</v>
      </c>
    </row>
    <row r="479" spans="1:6" ht="13.5">
      <c r="A479" s="290"/>
      <c r="B479" s="290" t="s">
        <v>63</v>
      </c>
      <c r="C479" s="297">
        <v>14</v>
      </c>
      <c r="D479" s="297">
        <v>14</v>
      </c>
      <c r="E479" s="297">
        <v>0</v>
      </c>
      <c r="F479" s="297">
        <v>0</v>
      </c>
    </row>
    <row r="480" spans="1:6" ht="13.5">
      <c r="A480" s="290"/>
      <c r="B480" s="290" t="s">
        <v>64</v>
      </c>
      <c r="C480" s="297">
        <v>16</v>
      </c>
      <c r="D480" s="297">
        <v>15</v>
      </c>
      <c r="E480" s="297">
        <v>1</v>
      </c>
      <c r="F480" s="297">
        <v>0</v>
      </c>
    </row>
    <row r="481" spans="1:6" ht="13.5">
      <c r="A481" s="290"/>
      <c r="B481" s="290" t="s">
        <v>65</v>
      </c>
      <c r="C481" s="297">
        <v>15</v>
      </c>
      <c r="D481" s="297">
        <v>11</v>
      </c>
      <c r="E481" s="297">
        <v>4</v>
      </c>
      <c r="F481" s="297">
        <v>0</v>
      </c>
    </row>
    <row r="482" spans="1:6" ht="13.5">
      <c r="A482" s="290"/>
      <c r="B482" s="290" t="s">
        <v>66</v>
      </c>
      <c r="C482" s="297">
        <v>26</v>
      </c>
      <c r="D482" s="297">
        <v>18</v>
      </c>
      <c r="E482" s="297">
        <v>8</v>
      </c>
      <c r="F482" s="297">
        <v>0</v>
      </c>
    </row>
    <row r="483" spans="1:6" ht="13.5">
      <c r="A483" s="290"/>
      <c r="B483" s="290" t="s">
        <v>67</v>
      </c>
      <c r="C483" s="297">
        <v>30</v>
      </c>
      <c r="D483" s="297">
        <v>19</v>
      </c>
      <c r="E483" s="297">
        <v>11</v>
      </c>
      <c r="F483" s="297">
        <v>0</v>
      </c>
    </row>
    <row r="484" spans="1:6" ht="13.5">
      <c r="A484" s="290"/>
      <c r="B484" s="290" t="s">
        <v>68</v>
      </c>
      <c r="C484" s="297">
        <v>17</v>
      </c>
      <c r="D484" s="297">
        <v>8</v>
      </c>
      <c r="E484" s="297">
        <v>9</v>
      </c>
      <c r="F484" s="297">
        <v>0</v>
      </c>
    </row>
    <row r="485" spans="1:6" ht="13.5">
      <c r="A485" s="290"/>
      <c r="B485" s="290" t="s">
        <v>69</v>
      </c>
      <c r="C485" s="297">
        <v>34</v>
      </c>
      <c r="D485" s="297">
        <v>20</v>
      </c>
      <c r="E485" s="297">
        <v>14</v>
      </c>
      <c r="F485" s="297">
        <v>0</v>
      </c>
    </row>
    <row r="486" spans="1:6" ht="13.5">
      <c r="A486" s="290"/>
      <c r="B486" s="290" t="s">
        <v>262</v>
      </c>
      <c r="C486" s="297">
        <v>43</v>
      </c>
      <c r="D486" s="297">
        <v>30</v>
      </c>
      <c r="E486" s="297">
        <v>11</v>
      </c>
      <c r="F486" s="297">
        <v>2</v>
      </c>
    </row>
    <row r="487" spans="1:6" ht="13.5">
      <c r="A487" s="290"/>
      <c r="B487" s="290" t="s">
        <v>263</v>
      </c>
      <c r="C487" s="297">
        <v>59</v>
      </c>
      <c r="D487" s="297">
        <v>43</v>
      </c>
      <c r="E487" s="297">
        <v>16</v>
      </c>
      <c r="F487" s="297">
        <v>0</v>
      </c>
    </row>
    <row r="488" spans="1:6" ht="13.5">
      <c r="A488" s="290"/>
      <c r="B488" s="290" t="s">
        <v>264</v>
      </c>
      <c r="C488" s="297">
        <v>47</v>
      </c>
      <c r="D488" s="297">
        <v>32</v>
      </c>
      <c r="E488" s="297">
        <v>15</v>
      </c>
      <c r="F488" s="297">
        <v>0</v>
      </c>
    </row>
    <row r="489" spans="1:6" ht="13.5">
      <c r="A489" s="290"/>
      <c r="B489" s="290" t="s">
        <v>265</v>
      </c>
      <c r="C489" s="297">
        <v>46</v>
      </c>
      <c r="D489" s="297">
        <v>34</v>
      </c>
      <c r="E489" s="297">
        <v>12</v>
      </c>
      <c r="F489" s="297">
        <v>0</v>
      </c>
    </row>
    <row r="490" spans="1:6" ht="13.5">
      <c r="A490" s="290"/>
      <c r="B490" s="290" t="s">
        <v>266</v>
      </c>
      <c r="C490" s="297">
        <v>333</v>
      </c>
      <c r="D490" s="297">
        <v>191</v>
      </c>
      <c r="E490" s="297">
        <v>140</v>
      </c>
      <c r="F490" s="297">
        <v>2</v>
      </c>
    </row>
    <row r="491" spans="1:6" ht="13.5">
      <c r="A491" s="290"/>
      <c r="B491" s="290" t="s">
        <v>504</v>
      </c>
      <c r="C491" s="297">
        <v>14</v>
      </c>
      <c r="D491" s="297">
        <v>4</v>
      </c>
      <c r="E491" s="297">
        <v>10</v>
      </c>
      <c r="F491" s="297">
        <v>0</v>
      </c>
    </row>
    <row r="492" spans="1:6" ht="5.0999999999999996" customHeight="1">
      <c r="A492" s="290"/>
      <c r="B492" s="290"/>
      <c r="C492" s="297"/>
      <c r="D492" s="297"/>
      <c r="E492" s="297"/>
      <c r="F492" s="297"/>
    </row>
    <row r="493" spans="1:6" s="322" customFormat="1" ht="13.5">
      <c r="A493" s="292" t="s">
        <v>100</v>
      </c>
      <c r="B493" s="292"/>
      <c r="C493" s="295">
        <v>3695</v>
      </c>
      <c r="D493" s="295">
        <v>3284</v>
      </c>
      <c r="E493" s="295">
        <v>370</v>
      </c>
      <c r="F493" s="295">
        <v>41</v>
      </c>
    </row>
    <row r="494" spans="1:6" ht="5.0999999999999996" customHeight="1">
      <c r="A494" s="290"/>
      <c r="B494" s="290"/>
      <c r="C494" s="297"/>
      <c r="D494" s="297"/>
      <c r="E494" s="297"/>
      <c r="F494" s="297"/>
    </row>
    <row r="495" spans="1:6" ht="13.5">
      <c r="A495" s="290"/>
      <c r="B495" s="290" t="s">
        <v>503</v>
      </c>
      <c r="C495" s="297">
        <v>85</v>
      </c>
      <c r="D495" s="297">
        <v>84</v>
      </c>
      <c r="E495" s="297">
        <v>1</v>
      </c>
      <c r="F495" s="297">
        <v>0</v>
      </c>
    </row>
    <row r="496" spans="1:6" ht="13.5">
      <c r="A496" s="290"/>
      <c r="B496" s="290" t="s">
        <v>259</v>
      </c>
      <c r="C496" s="297">
        <v>32</v>
      </c>
      <c r="D496" s="297">
        <v>30</v>
      </c>
      <c r="E496" s="297">
        <v>2</v>
      </c>
      <c r="F496" s="297">
        <v>0</v>
      </c>
    </row>
    <row r="497" spans="1:6" ht="13.5">
      <c r="A497" s="290"/>
      <c r="B497" s="290" t="s">
        <v>260</v>
      </c>
      <c r="C497" s="297">
        <v>35</v>
      </c>
      <c r="D497" s="297">
        <v>35</v>
      </c>
      <c r="E497" s="297">
        <v>0</v>
      </c>
      <c r="F497" s="297">
        <v>0</v>
      </c>
    </row>
    <row r="498" spans="1:6" ht="13.5">
      <c r="A498" s="290"/>
      <c r="B498" s="290" t="s">
        <v>261</v>
      </c>
      <c r="C498" s="297">
        <v>31</v>
      </c>
      <c r="D498" s="297">
        <v>29</v>
      </c>
      <c r="E498" s="297">
        <v>2</v>
      </c>
      <c r="F498" s="297">
        <v>0</v>
      </c>
    </row>
    <row r="499" spans="1:6" ht="13.5">
      <c r="A499" s="290"/>
      <c r="B499" s="290" t="s">
        <v>63</v>
      </c>
      <c r="C499" s="297">
        <v>51</v>
      </c>
      <c r="D499" s="297">
        <v>48</v>
      </c>
      <c r="E499" s="297">
        <v>2</v>
      </c>
      <c r="F499" s="297">
        <v>1</v>
      </c>
    </row>
    <row r="500" spans="1:6" ht="13.5">
      <c r="A500" s="290"/>
      <c r="B500" s="290" t="s">
        <v>64</v>
      </c>
      <c r="C500" s="297">
        <v>90</v>
      </c>
      <c r="D500" s="297">
        <v>83</v>
      </c>
      <c r="E500" s="297">
        <v>7</v>
      </c>
      <c r="F500" s="297">
        <v>0</v>
      </c>
    </row>
    <row r="501" spans="1:6" ht="13.5">
      <c r="A501" s="290"/>
      <c r="B501" s="290" t="s">
        <v>65</v>
      </c>
      <c r="C501" s="297">
        <v>78</v>
      </c>
      <c r="D501" s="297">
        <v>71</v>
      </c>
      <c r="E501" s="297">
        <v>7</v>
      </c>
      <c r="F501" s="297">
        <v>0</v>
      </c>
    </row>
    <row r="502" spans="1:6" ht="13.5">
      <c r="A502" s="290"/>
      <c r="B502" s="290" t="s">
        <v>66</v>
      </c>
      <c r="C502" s="297">
        <v>120</v>
      </c>
      <c r="D502" s="297">
        <v>108</v>
      </c>
      <c r="E502" s="297">
        <v>10</v>
      </c>
      <c r="F502" s="297">
        <v>2</v>
      </c>
    </row>
    <row r="503" spans="1:6" ht="13.5">
      <c r="A503" s="290"/>
      <c r="B503" s="290" t="s">
        <v>67</v>
      </c>
      <c r="C503" s="297">
        <v>106</v>
      </c>
      <c r="D503" s="297">
        <v>94</v>
      </c>
      <c r="E503" s="297">
        <v>11</v>
      </c>
      <c r="F503" s="297">
        <v>1</v>
      </c>
    </row>
    <row r="504" spans="1:6" ht="13.5">
      <c r="A504" s="290"/>
      <c r="B504" s="290" t="s">
        <v>68</v>
      </c>
      <c r="C504" s="297">
        <v>146</v>
      </c>
      <c r="D504" s="297">
        <v>131</v>
      </c>
      <c r="E504" s="297">
        <v>15</v>
      </c>
      <c r="F504" s="297">
        <v>0</v>
      </c>
    </row>
    <row r="505" spans="1:6" ht="13.5">
      <c r="A505" s="290"/>
      <c r="B505" s="290" t="s">
        <v>69</v>
      </c>
      <c r="C505" s="297">
        <v>146</v>
      </c>
      <c r="D505" s="297">
        <v>135</v>
      </c>
      <c r="E505" s="297">
        <v>10</v>
      </c>
      <c r="F505" s="297">
        <v>1</v>
      </c>
    </row>
    <row r="506" spans="1:6" ht="13.5">
      <c r="A506" s="290"/>
      <c r="B506" s="290" t="s">
        <v>262</v>
      </c>
      <c r="C506" s="297">
        <v>223</v>
      </c>
      <c r="D506" s="297">
        <v>211</v>
      </c>
      <c r="E506" s="297">
        <v>9</v>
      </c>
      <c r="F506" s="297">
        <v>3</v>
      </c>
    </row>
    <row r="507" spans="1:6" ht="13.5">
      <c r="A507" s="290"/>
      <c r="B507" s="290" t="s">
        <v>263</v>
      </c>
      <c r="C507" s="297">
        <v>247</v>
      </c>
      <c r="D507" s="297">
        <v>228</v>
      </c>
      <c r="E507" s="297">
        <v>14</v>
      </c>
      <c r="F507" s="297">
        <v>5</v>
      </c>
    </row>
    <row r="508" spans="1:6" ht="13.5">
      <c r="A508" s="290"/>
      <c r="B508" s="290" t="s">
        <v>264</v>
      </c>
      <c r="C508" s="297">
        <v>312</v>
      </c>
      <c r="D508" s="297">
        <v>284</v>
      </c>
      <c r="E508" s="297">
        <v>26</v>
      </c>
      <c r="F508" s="297">
        <v>2</v>
      </c>
    </row>
    <row r="509" spans="1:6" ht="13.5">
      <c r="A509" s="290"/>
      <c r="B509" s="290" t="s">
        <v>265</v>
      </c>
      <c r="C509" s="297">
        <v>281</v>
      </c>
      <c r="D509" s="297">
        <v>246</v>
      </c>
      <c r="E509" s="297">
        <v>34</v>
      </c>
      <c r="F509" s="297">
        <v>1</v>
      </c>
    </row>
    <row r="510" spans="1:6" ht="13.5">
      <c r="A510" s="290"/>
      <c r="B510" s="290" t="s">
        <v>266</v>
      </c>
      <c r="C510" s="297">
        <v>1677</v>
      </c>
      <c r="D510" s="297">
        <v>1443</v>
      </c>
      <c r="E510" s="297">
        <v>209</v>
      </c>
      <c r="F510" s="297">
        <v>25</v>
      </c>
    </row>
    <row r="511" spans="1:6" ht="13.5">
      <c r="A511" s="290"/>
      <c r="B511" s="290" t="s">
        <v>504</v>
      </c>
      <c r="C511" s="297">
        <v>35</v>
      </c>
      <c r="D511" s="297">
        <v>24</v>
      </c>
      <c r="E511" s="297">
        <v>11</v>
      </c>
      <c r="F511" s="297">
        <v>0</v>
      </c>
    </row>
    <row r="512" spans="1:6" ht="5.0999999999999996" customHeight="1">
      <c r="A512" s="290"/>
      <c r="B512" s="290"/>
      <c r="C512" s="297"/>
      <c r="D512" s="297"/>
      <c r="E512" s="297"/>
      <c r="F512" s="297"/>
    </row>
    <row r="513" spans="1:6" s="322" customFormat="1" ht="13.5">
      <c r="A513" s="292" t="s">
        <v>101</v>
      </c>
      <c r="B513" s="292"/>
      <c r="C513" s="295">
        <v>252</v>
      </c>
      <c r="D513" s="295">
        <v>164</v>
      </c>
      <c r="E513" s="295">
        <v>82</v>
      </c>
      <c r="F513" s="295">
        <v>6</v>
      </c>
    </row>
    <row r="514" spans="1:6" ht="5.0999999999999996" customHeight="1">
      <c r="A514" s="290"/>
      <c r="B514" s="290"/>
      <c r="C514" s="297"/>
      <c r="D514" s="297"/>
      <c r="E514" s="297"/>
      <c r="F514" s="297"/>
    </row>
    <row r="515" spans="1:6" ht="13.5">
      <c r="A515" s="290"/>
      <c r="B515" s="290" t="s">
        <v>503</v>
      </c>
      <c r="C515" s="297">
        <v>3</v>
      </c>
      <c r="D515" s="297">
        <v>2</v>
      </c>
      <c r="E515" s="297">
        <v>1</v>
      </c>
      <c r="F515" s="297">
        <v>0</v>
      </c>
    </row>
    <row r="516" spans="1:6" ht="13.5">
      <c r="A516" s="290"/>
      <c r="B516" s="290" t="s">
        <v>261</v>
      </c>
      <c r="C516" s="297">
        <v>2</v>
      </c>
      <c r="D516" s="297">
        <v>0</v>
      </c>
      <c r="E516" s="297">
        <v>2</v>
      </c>
      <c r="F516" s="297">
        <v>0</v>
      </c>
    </row>
    <row r="517" spans="1:6" ht="13.5">
      <c r="A517" s="290"/>
      <c r="B517" s="290" t="s">
        <v>64</v>
      </c>
      <c r="C517" s="297">
        <v>5</v>
      </c>
      <c r="D517" s="297">
        <v>2</v>
      </c>
      <c r="E517" s="297">
        <v>3</v>
      </c>
      <c r="F517" s="297">
        <v>0</v>
      </c>
    </row>
    <row r="518" spans="1:6" ht="13.5">
      <c r="A518" s="290"/>
      <c r="B518" s="290" t="s">
        <v>65</v>
      </c>
      <c r="C518" s="297">
        <v>8</v>
      </c>
      <c r="D518" s="297">
        <v>4</v>
      </c>
      <c r="E518" s="297">
        <v>3</v>
      </c>
      <c r="F518" s="297">
        <v>1</v>
      </c>
    </row>
    <row r="519" spans="1:6" ht="13.5">
      <c r="A519" s="290"/>
      <c r="B519" s="290" t="s">
        <v>66</v>
      </c>
      <c r="C519" s="297">
        <v>10</v>
      </c>
      <c r="D519" s="297">
        <v>5</v>
      </c>
      <c r="E519" s="297">
        <v>4</v>
      </c>
      <c r="F519" s="297">
        <v>1</v>
      </c>
    </row>
    <row r="520" spans="1:6" ht="13.5">
      <c r="A520" s="290"/>
      <c r="B520" s="290" t="s">
        <v>67</v>
      </c>
      <c r="C520" s="297">
        <v>7</v>
      </c>
      <c r="D520" s="297">
        <v>4</v>
      </c>
      <c r="E520" s="297">
        <v>3</v>
      </c>
      <c r="F520" s="297">
        <v>0</v>
      </c>
    </row>
    <row r="521" spans="1:6" ht="13.5">
      <c r="A521" s="290"/>
      <c r="B521" s="290" t="s">
        <v>68</v>
      </c>
      <c r="C521" s="297">
        <v>3</v>
      </c>
      <c r="D521" s="297">
        <v>3</v>
      </c>
      <c r="E521" s="297">
        <v>0</v>
      </c>
      <c r="F521" s="297">
        <v>0</v>
      </c>
    </row>
    <row r="522" spans="1:6" ht="13.5">
      <c r="A522" s="290"/>
      <c r="B522" s="290" t="s">
        <v>69</v>
      </c>
      <c r="C522" s="297">
        <v>7</v>
      </c>
      <c r="D522" s="297">
        <v>3</v>
      </c>
      <c r="E522" s="297">
        <v>4</v>
      </c>
      <c r="F522" s="297">
        <v>0</v>
      </c>
    </row>
    <row r="523" spans="1:6" ht="13.5">
      <c r="A523" s="290"/>
      <c r="B523" s="290" t="s">
        <v>262</v>
      </c>
      <c r="C523" s="297">
        <v>4</v>
      </c>
      <c r="D523" s="297">
        <v>4</v>
      </c>
      <c r="E523" s="297">
        <v>0</v>
      </c>
      <c r="F523" s="297">
        <v>0</v>
      </c>
    </row>
    <row r="524" spans="1:6" ht="13.5">
      <c r="A524" s="290"/>
      <c r="B524" s="290" t="s">
        <v>263</v>
      </c>
      <c r="C524" s="297">
        <v>15</v>
      </c>
      <c r="D524" s="297">
        <v>10</v>
      </c>
      <c r="E524" s="297">
        <v>5</v>
      </c>
      <c r="F524" s="297">
        <v>0</v>
      </c>
    </row>
    <row r="525" spans="1:6" ht="13.5">
      <c r="A525" s="290"/>
      <c r="B525" s="290" t="s">
        <v>264</v>
      </c>
      <c r="C525" s="297">
        <v>16</v>
      </c>
      <c r="D525" s="297">
        <v>10</v>
      </c>
      <c r="E525" s="297">
        <v>5</v>
      </c>
      <c r="F525" s="297">
        <v>1</v>
      </c>
    </row>
    <row r="526" spans="1:6" ht="13.5">
      <c r="A526" s="290"/>
      <c r="B526" s="290" t="s">
        <v>265</v>
      </c>
      <c r="C526" s="297">
        <v>14</v>
      </c>
      <c r="D526" s="297">
        <v>10</v>
      </c>
      <c r="E526" s="297">
        <v>3</v>
      </c>
      <c r="F526" s="297">
        <v>1</v>
      </c>
    </row>
    <row r="527" spans="1:6" ht="13.5">
      <c r="A527" s="290"/>
      <c r="B527" s="290" t="s">
        <v>266</v>
      </c>
      <c r="C527" s="297">
        <v>150</v>
      </c>
      <c r="D527" s="297">
        <v>103</v>
      </c>
      <c r="E527" s="297">
        <v>45</v>
      </c>
      <c r="F527" s="297">
        <v>2</v>
      </c>
    </row>
    <row r="528" spans="1:6" ht="13.5">
      <c r="A528" s="290"/>
      <c r="B528" s="290" t="s">
        <v>504</v>
      </c>
      <c r="C528" s="297">
        <v>8</v>
      </c>
      <c r="D528" s="297">
        <v>4</v>
      </c>
      <c r="E528" s="297">
        <v>4</v>
      </c>
      <c r="F528" s="297">
        <v>0</v>
      </c>
    </row>
    <row r="529" spans="1:6" ht="5.0999999999999996" customHeight="1">
      <c r="A529" s="290"/>
      <c r="B529" s="290"/>
      <c r="C529" s="297"/>
      <c r="D529" s="297"/>
      <c r="E529" s="297"/>
      <c r="F529" s="297"/>
    </row>
    <row r="530" spans="1:6" s="322" customFormat="1" ht="13.5">
      <c r="A530" s="292" t="s">
        <v>102</v>
      </c>
      <c r="B530" s="292"/>
      <c r="C530" s="295">
        <v>511</v>
      </c>
      <c r="D530" s="295">
        <v>362</v>
      </c>
      <c r="E530" s="295">
        <v>100</v>
      </c>
      <c r="F530" s="295">
        <v>49</v>
      </c>
    </row>
    <row r="531" spans="1:6" ht="5.0999999999999996" customHeight="1">
      <c r="A531" s="290"/>
      <c r="B531" s="290"/>
      <c r="C531" s="297"/>
      <c r="D531" s="297"/>
      <c r="E531" s="297"/>
      <c r="F531" s="297"/>
    </row>
    <row r="532" spans="1:6" ht="13.5">
      <c r="A532" s="290"/>
      <c r="B532" s="290" t="s">
        <v>503</v>
      </c>
      <c r="C532" s="297">
        <v>2</v>
      </c>
      <c r="D532" s="297">
        <v>1</v>
      </c>
      <c r="E532" s="297">
        <v>0</v>
      </c>
      <c r="F532" s="297">
        <v>1</v>
      </c>
    </row>
    <row r="533" spans="1:6" ht="13.5">
      <c r="A533" s="290"/>
      <c r="B533" s="290" t="s">
        <v>259</v>
      </c>
      <c r="C533" s="297">
        <v>3</v>
      </c>
      <c r="D533" s="297">
        <v>1</v>
      </c>
      <c r="E533" s="297">
        <v>1</v>
      </c>
      <c r="F533" s="297">
        <v>1</v>
      </c>
    </row>
    <row r="534" spans="1:6" ht="13.5">
      <c r="A534" s="290"/>
      <c r="B534" s="290" t="s">
        <v>260</v>
      </c>
      <c r="C534" s="297">
        <v>2</v>
      </c>
      <c r="D534" s="297">
        <v>1</v>
      </c>
      <c r="E534" s="297">
        <v>1</v>
      </c>
      <c r="F534" s="297">
        <v>0</v>
      </c>
    </row>
    <row r="535" spans="1:6" ht="13.5">
      <c r="A535" s="290"/>
      <c r="B535" s="290" t="s">
        <v>261</v>
      </c>
      <c r="C535" s="297">
        <v>3</v>
      </c>
      <c r="D535" s="297">
        <v>2</v>
      </c>
      <c r="E535" s="297">
        <v>1</v>
      </c>
      <c r="F535" s="297">
        <v>0</v>
      </c>
    </row>
    <row r="536" spans="1:6" ht="13.5">
      <c r="A536" s="290"/>
      <c r="B536" s="290" t="s">
        <v>63</v>
      </c>
      <c r="C536" s="297">
        <v>9</v>
      </c>
      <c r="D536" s="297">
        <v>6</v>
      </c>
      <c r="E536" s="297">
        <v>3</v>
      </c>
      <c r="F536" s="297">
        <v>0</v>
      </c>
    </row>
    <row r="537" spans="1:6" ht="13.5">
      <c r="A537" s="290"/>
      <c r="B537" s="290" t="s">
        <v>64</v>
      </c>
      <c r="C537" s="297">
        <v>6</v>
      </c>
      <c r="D537" s="297">
        <v>3</v>
      </c>
      <c r="E537" s="297">
        <v>2</v>
      </c>
      <c r="F537" s="297">
        <v>1</v>
      </c>
    </row>
    <row r="538" spans="1:6" ht="13.5">
      <c r="A538" s="290"/>
      <c r="B538" s="290" t="s">
        <v>65</v>
      </c>
      <c r="C538" s="297">
        <v>13</v>
      </c>
      <c r="D538" s="297">
        <v>12</v>
      </c>
      <c r="E538" s="297">
        <v>1</v>
      </c>
      <c r="F538" s="297">
        <v>0</v>
      </c>
    </row>
    <row r="539" spans="1:6" ht="13.5">
      <c r="A539" s="290"/>
      <c r="B539" s="290" t="s">
        <v>66</v>
      </c>
      <c r="C539" s="297">
        <v>9</v>
      </c>
      <c r="D539" s="297">
        <v>6</v>
      </c>
      <c r="E539" s="297">
        <v>2</v>
      </c>
      <c r="F539" s="297">
        <v>1</v>
      </c>
    </row>
    <row r="540" spans="1:6" ht="13.5">
      <c r="A540" s="290"/>
      <c r="B540" s="290" t="s">
        <v>67</v>
      </c>
      <c r="C540" s="297">
        <v>15</v>
      </c>
      <c r="D540" s="297">
        <v>8</v>
      </c>
      <c r="E540" s="297">
        <v>3</v>
      </c>
      <c r="F540" s="297">
        <v>4</v>
      </c>
    </row>
    <row r="541" spans="1:6" ht="13.5">
      <c r="A541" s="290"/>
      <c r="B541" s="290" t="s">
        <v>68</v>
      </c>
      <c r="C541" s="297">
        <v>12</v>
      </c>
      <c r="D541" s="297">
        <v>10</v>
      </c>
      <c r="E541" s="297">
        <v>2</v>
      </c>
      <c r="F541" s="297">
        <v>0</v>
      </c>
    </row>
    <row r="542" spans="1:6" ht="13.5">
      <c r="A542" s="290"/>
      <c r="B542" s="290" t="s">
        <v>69</v>
      </c>
      <c r="C542" s="297">
        <v>26</v>
      </c>
      <c r="D542" s="297">
        <v>20</v>
      </c>
      <c r="E542" s="297">
        <v>5</v>
      </c>
      <c r="F542" s="297">
        <v>1</v>
      </c>
    </row>
    <row r="543" spans="1:6" ht="13.5">
      <c r="A543" s="290"/>
      <c r="B543" s="290" t="s">
        <v>262</v>
      </c>
      <c r="C543" s="297">
        <v>29</v>
      </c>
      <c r="D543" s="297">
        <v>16</v>
      </c>
      <c r="E543" s="297">
        <v>9</v>
      </c>
      <c r="F543" s="297">
        <v>4</v>
      </c>
    </row>
    <row r="544" spans="1:6" ht="13.5">
      <c r="A544" s="290"/>
      <c r="B544" s="290" t="s">
        <v>263</v>
      </c>
      <c r="C544" s="297">
        <v>29</v>
      </c>
      <c r="D544" s="297">
        <v>23</v>
      </c>
      <c r="E544" s="297">
        <v>4</v>
      </c>
      <c r="F544" s="297">
        <v>2</v>
      </c>
    </row>
    <row r="545" spans="1:6" ht="13.5">
      <c r="A545" s="290"/>
      <c r="B545" s="290" t="s">
        <v>264</v>
      </c>
      <c r="C545" s="297">
        <v>39</v>
      </c>
      <c r="D545" s="297">
        <v>27</v>
      </c>
      <c r="E545" s="297">
        <v>8</v>
      </c>
      <c r="F545" s="297">
        <v>4</v>
      </c>
    </row>
    <row r="546" spans="1:6" ht="13.5">
      <c r="A546" s="290"/>
      <c r="B546" s="290" t="s">
        <v>265</v>
      </c>
      <c r="C546" s="297">
        <v>40</v>
      </c>
      <c r="D546" s="297">
        <v>24</v>
      </c>
      <c r="E546" s="297">
        <v>10</v>
      </c>
      <c r="F546" s="297">
        <v>6</v>
      </c>
    </row>
    <row r="547" spans="1:6" ht="13.5">
      <c r="A547" s="290"/>
      <c r="B547" s="290" t="s">
        <v>266</v>
      </c>
      <c r="C547" s="297">
        <v>270</v>
      </c>
      <c r="D547" s="297">
        <v>201</v>
      </c>
      <c r="E547" s="297">
        <v>46</v>
      </c>
      <c r="F547" s="297">
        <v>23</v>
      </c>
    </row>
    <row r="548" spans="1:6" ht="13.5">
      <c r="A548" s="290"/>
      <c r="B548" s="290" t="s">
        <v>504</v>
      </c>
      <c r="C548" s="297">
        <v>4</v>
      </c>
      <c r="D548" s="297">
        <v>1</v>
      </c>
      <c r="E548" s="297">
        <v>2</v>
      </c>
      <c r="F548" s="297">
        <v>1</v>
      </c>
    </row>
    <row r="549" spans="1:6" ht="5.0999999999999996" customHeight="1">
      <c r="A549" s="290"/>
      <c r="B549" s="290"/>
      <c r="C549" s="297"/>
      <c r="D549" s="297"/>
      <c r="E549" s="297"/>
      <c r="F549" s="297"/>
    </row>
    <row r="550" spans="1:6" s="322" customFormat="1" ht="13.5">
      <c r="A550" s="292" t="s">
        <v>103</v>
      </c>
      <c r="B550" s="292"/>
      <c r="C550" s="295">
        <v>730</v>
      </c>
      <c r="D550" s="295">
        <v>455</v>
      </c>
      <c r="E550" s="295">
        <v>275</v>
      </c>
      <c r="F550" s="295">
        <v>0</v>
      </c>
    </row>
    <row r="551" spans="1:6" ht="5.0999999999999996" customHeight="1">
      <c r="A551" s="290"/>
      <c r="B551" s="290"/>
      <c r="C551" s="297"/>
      <c r="D551" s="297"/>
      <c r="E551" s="297"/>
      <c r="F551" s="297"/>
    </row>
    <row r="552" spans="1:6" ht="13.5">
      <c r="A552" s="290"/>
      <c r="B552" s="290" t="s">
        <v>503</v>
      </c>
      <c r="C552" s="297">
        <v>9</v>
      </c>
      <c r="D552" s="297">
        <v>7</v>
      </c>
      <c r="E552" s="297">
        <v>2</v>
      </c>
      <c r="F552" s="297">
        <v>0</v>
      </c>
    </row>
    <row r="553" spans="1:6" ht="13.5">
      <c r="A553" s="290"/>
      <c r="B553" s="290" t="s">
        <v>259</v>
      </c>
      <c r="C553" s="297">
        <v>2</v>
      </c>
      <c r="D553" s="297">
        <v>1</v>
      </c>
      <c r="E553" s="297">
        <v>1</v>
      </c>
      <c r="F553" s="297">
        <v>0</v>
      </c>
    </row>
    <row r="554" spans="1:6" ht="13.5">
      <c r="A554" s="290"/>
      <c r="B554" s="290" t="s">
        <v>260</v>
      </c>
      <c r="C554" s="297">
        <v>7</v>
      </c>
      <c r="D554" s="297">
        <v>6</v>
      </c>
      <c r="E554" s="297">
        <v>1</v>
      </c>
      <c r="F554" s="297">
        <v>0</v>
      </c>
    </row>
    <row r="555" spans="1:6" ht="13.5">
      <c r="A555" s="290"/>
      <c r="B555" s="290" t="s">
        <v>261</v>
      </c>
      <c r="C555" s="297">
        <v>6</v>
      </c>
      <c r="D555" s="297">
        <v>4</v>
      </c>
      <c r="E555" s="297">
        <v>2</v>
      </c>
      <c r="F555" s="297">
        <v>0</v>
      </c>
    </row>
    <row r="556" spans="1:6" ht="13.5">
      <c r="A556" s="290"/>
      <c r="B556" s="290" t="s">
        <v>63</v>
      </c>
      <c r="C556" s="297">
        <v>11</v>
      </c>
      <c r="D556" s="297">
        <v>4</v>
      </c>
      <c r="E556" s="297">
        <v>7</v>
      </c>
      <c r="F556" s="297">
        <v>0</v>
      </c>
    </row>
    <row r="557" spans="1:6" ht="13.5">
      <c r="A557" s="290"/>
      <c r="B557" s="290" t="s">
        <v>64</v>
      </c>
      <c r="C557" s="297">
        <v>17</v>
      </c>
      <c r="D557" s="297">
        <v>10</v>
      </c>
      <c r="E557" s="297">
        <v>7</v>
      </c>
      <c r="F557" s="297">
        <v>0</v>
      </c>
    </row>
    <row r="558" spans="1:6" ht="13.5">
      <c r="A558" s="290"/>
      <c r="B558" s="290" t="s">
        <v>65</v>
      </c>
      <c r="C558" s="297">
        <v>21</v>
      </c>
      <c r="D558" s="297">
        <v>12</v>
      </c>
      <c r="E558" s="297">
        <v>9</v>
      </c>
      <c r="F558" s="297">
        <v>0</v>
      </c>
    </row>
    <row r="559" spans="1:6" ht="13.5">
      <c r="A559" s="290"/>
      <c r="B559" s="290" t="s">
        <v>66</v>
      </c>
      <c r="C559" s="297">
        <v>27</v>
      </c>
      <c r="D559" s="297">
        <v>17</v>
      </c>
      <c r="E559" s="297">
        <v>10</v>
      </c>
      <c r="F559" s="297">
        <v>0</v>
      </c>
    </row>
    <row r="560" spans="1:6" ht="13.5">
      <c r="A560" s="290"/>
      <c r="B560" s="290" t="s">
        <v>67</v>
      </c>
      <c r="C560" s="297">
        <v>22</v>
      </c>
      <c r="D560" s="297">
        <v>16</v>
      </c>
      <c r="E560" s="297">
        <v>6</v>
      </c>
      <c r="F560" s="297">
        <v>0</v>
      </c>
    </row>
    <row r="561" spans="1:6" ht="13.5">
      <c r="A561" s="290"/>
      <c r="B561" s="290" t="s">
        <v>68</v>
      </c>
      <c r="C561" s="297">
        <v>29</v>
      </c>
      <c r="D561" s="297">
        <v>16</v>
      </c>
      <c r="E561" s="297">
        <v>13</v>
      </c>
      <c r="F561" s="297">
        <v>0</v>
      </c>
    </row>
    <row r="562" spans="1:6" ht="13.5">
      <c r="A562" s="290"/>
      <c r="B562" s="290" t="s">
        <v>69</v>
      </c>
      <c r="C562" s="297">
        <v>36</v>
      </c>
      <c r="D562" s="297">
        <v>25</v>
      </c>
      <c r="E562" s="297">
        <v>11</v>
      </c>
      <c r="F562" s="297">
        <v>0</v>
      </c>
    </row>
    <row r="563" spans="1:6" ht="13.5">
      <c r="A563" s="290"/>
      <c r="B563" s="290" t="s">
        <v>262</v>
      </c>
      <c r="C563" s="297">
        <v>43</v>
      </c>
      <c r="D563" s="297">
        <v>31</v>
      </c>
      <c r="E563" s="297">
        <v>12</v>
      </c>
      <c r="F563" s="297">
        <v>0</v>
      </c>
    </row>
    <row r="564" spans="1:6" ht="13.5">
      <c r="A564" s="290"/>
      <c r="B564" s="290" t="s">
        <v>263</v>
      </c>
      <c r="C564" s="297">
        <v>42</v>
      </c>
      <c r="D564" s="297">
        <v>29</v>
      </c>
      <c r="E564" s="297">
        <v>13</v>
      </c>
      <c r="F564" s="297">
        <v>0</v>
      </c>
    </row>
    <row r="565" spans="1:6" ht="13.5">
      <c r="A565" s="290"/>
      <c r="B565" s="290" t="s">
        <v>264</v>
      </c>
      <c r="C565" s="297">
        <v>54</v>
      </c>
      <c r="D565" s="297">
        <v>31</v>
      </c>
      <c r="E565" s="297">
        <v>23</v>
      </c>
      <c r="F565" s="297">
        <v>0</v>
      </c>
    </row>
    <row r="566" spans="1:6" ht="13.5">
      <c r="A566" s="290"/>
      <c r="B566" s="290" t="s">
        <v>265</v>
      </c>
      <c r="C566" s="297">
        <v>54</v>
      </c>
      <c r="D566" s="297">
        <v>26</v>
      </c>
      <c r="E566" s="297">
        <v>28</v>
      </c>
      <c r="F566" s="297">
        <v>0</v>
      </c>
    </row>
    <row r="567" spans="1:6" ht="13.5">
      <c r="A567" s="290"/>
      <c r="B567" s="290" t="s">
        <v>266</v>
      </c>
      <c r="C567" s="297">
        <v>332</v>
      </c>
      <c r="D567" s="297">
        <v>207</v>
      </c>
      <c r="E567" s="297">
        <v>125</v>
      </c>
      <c r="F567" s="297">
        <v>0</v>
      </c>
    </row>
    <row r="568" spans="1:6" ht="13.5">
      <c r="A568" s="290"/>
      <c r="B568" s="290" t="s">
        <v>504</v>
      </c>
      <c r="C568" s="297">
        <v>18</v>
      </c>
      <c r="D568" s="297">
        <v>13</v>
      </c>
      <c r="E568" s="297">
        <v>5</v>
      </c>
      <c r="F568" s="297">
        <v>0</v>
      </c>
    </row>
    <row r="569" spans="1:6" ht="5.0999999999999996" customHeight="1">
      <c r="A569" s="290"/>
      <c r="B569" s="290"/>
      <c r="C569" s="297"/>
      <c r="D569" s="297"/>
      <c r="E569" s="297"/>
      <c r="F569" s="297"/>
    </row>
    <row r="570" spans="1:6" s="322" customFormat="1" ht="13.5">
      <c r="A570" s="292" t="s">
        <v>104</v>
      </c>
      <c r="B570" s="292"/>
      <c r="C570" s="295">
        <v>513</v>
      </c>
      <c r="D570" s="295">
        <v>415</v>
      </c>
      <c r="E570" s="295">
        <v>89</v>
      </c>
      <c r="F570" s="295">
        <v>9</v>
      </c>
    </row>
    <row r="571" spans="1:6" ht="5.0999999999999996" customHeight="1">
      <c r="A571" s="290"/>
      <c r="B571" s="290"/>
      <c r="C571" s="297"/>
      <c r="D571" s="297"/>
      <c r="E571" s="297"/>
      <c r="F571" s="297"/>
    </row>
    <row r="572" spans="1:6" ht="13.5">
      <c r="A572" s="290"/>
      <c r="B572" s="290" t="s">
        <v>503</v>
      </c>
      <c r="C572" s="297">
        <v>6</v>
      </c>
      <c r="D572" s="297">
        <v>6</v>
      </c>
      <c r="E572" s="297">
        <v>0</v>
      </c>
      <c r="F572" s="297">
        <v>0</v>
      </c>
    </row>
    <row r="573" spans="1:6" ht="13.5">
      <c r="A573" s="290"/>
      <c r="B573" s="290" t="s">
        <v>259</v>
      </c>
      <c r="C573" s="297">
        <v>4</v>
      </c>
      <c r="D573" s="297">
        <v>3</v>
      </c>
      <c r="E573" s="297">
        <v>1</v>
      </c>
      <c r="F573" s="297">
        <v>0</v>
      </c>
    </row>
    <row r="574" spans="1:6" ht="13.5">
      <c r="A574" s="290"/>
      <c r="B574" s="290" t="s">
        <v>261</v>
      </c>
      <c r="C574" s="297">
        <v>7</v>
      </c>
      <c r="D574" s="297">
        <v>7</v>
      </c>
      <c r="E574" s="297">
        <v>0</v>
      </c>
      <c r="F574" s="297">
        <v>0</v>
      </c>
    </row>
    <row r="575" spans="1:6" ht="13.5">
      <c r="A575" s="290"/>
      <c r="B575" s="290" t="s">
        <v>63</v>
      </c>
      <c r="C575" s="297">
        <v>9</v>
      </c>
      <c r="D575" s="297">
        <v>9</v>
      </c>
      <c r="E575" s="297">
        <v>0</v>
      </c>
      <c r="F575" s="297">
        <v>0</v>
      </c>
    </row>
    <row r="576" spans="1:6" ht="13.5">
      <c r="A576" s="290"/>
      <c r="B576" s="290" t="s">
        <v>64</v>
      </c>
      <c r="C576" s="297">
        <v>14</v>
      </c>
      <c r="D576" s="297">
        <v>12</v>
      </c>
      <c r="E576" s="297">
        <v>2</v>
      </c>
      <c r="F576" s="297">
        <v>0</v>
      </c>
    </row>
    <row r="577" spans="1:6" ht="13.5">
      <c r="A577" s="290"/>
      <c r="B577" s="290" t="s">
        <v>65</v>
      </c>
      <c r="C577" s="297">
        <v>8</v>
      </c>
      <c r="D577" s="297">
        <v>8</v>
      </c>
      <c r="E577" s="297">
        <v>0</v>
      </c>
      <c r="F577" s="297">
        <v>0</v>
      </c>
    </row>
    <row r="578" spans="1:6" ht="13.5">
      <c r="A578" s="290"/>
      <c r="B578" s="290" t="s">
        <v>66</v>
      </c>
      <c r="C578" s="297">
        <v>12</v>
      </c>
      <c r="D578" s="297">
        <v>10</v>
      </c>
      <c r="E578" s="297">
        <v>2</v>
      </c>
      <c r="F578" s="297">
        <v>0</v>
      </c>
    </row>
    <row r="579" spans="1:6" ht="13.5">
      <c r="A579" s="290"/>
      <c r="B579" s="290" t="s">
        <v>67</v>
      </c>
      <c r="C579" s="297">
        <v>6</v>
      </c>
      <c r="D579" s="297">
        <v>6</v>
      </c>
      <c r="E579" s="297">
        <v>0</v>
      </c>
      <c r="F579" s="297">
        <v>0</v>
      </c>
    </row>
    <row r="580" spans="1:6" ht="13.5">
      <c r="A580" s="290"/>
      <c r="B580" s="290" t="s">
        <v>68</v>
      </c>
      <c r="C580" s="297">
        <v>20</v>
      </c>
      <c r="D580" s="297">
        <v>15</v>
      </c>
      <c r="E580" s="297">
        <v>4</v>
      </c>
      <c r="F580" s="297">
        <v>1</v>
      </c>
    </row>
    <row r="581" spans="1:6" ht="13.5">
      <c r="A581" s="290"/>
      <c r="B581" s="290" t="s">
        <v>69</v>
      </c>
      <c r="C581" s="297">
        <v>20</v>
      </c>
      <c r="D581" s="297">
        <v>18</v>
      </c>
      <c r="E581" s="297">
        <v>2</v>
      </c>
      <c r="F581" s="297">
        <v>0</v>
      </c>
    </row>
    <row r="582" spans="1:6" ht="13.5">
      <c r="A582" s="290"/>
      <c r="B582" s="290" t="s">
        <v>262</v>
      </c>
      <c r="C582" s="297">
        <v>25</v>
      </c>
      <c r="D582" s="297">
        <v>24</v>
      </c>
      <c r="E582" s="297">
        <v>1</v>
      </c>
      <c r="F582" s="297">
        <v>0</v>
      </c>
    </row>
    <row r="583" spans="1:6" ht="13.5">
      <c r="A583" s="290"/>
      <c r="B583" s="290" t="s">
        <v>263</v>
      </c>
      <c r="C583" s="297">
        <v>35</v>
      </c>
      <c r="D583" s="297">
        <v>25</v>
      </c>
      <c r="E583" s="297">
        <v>10</v>
      </c>
      <c r="F583" s="297">
        <v>0</v>
      </c>
    </row>
    <row r="584" spans="1:6" ht="13.5">
      <c r="A584" s="290"/>
      <c r="B584" s="290" t="s">
        <v>264</v>
      </c>
      <c r="C584" s="297">
        <v>32</v>
      </c>
      <c r="D584" s="297">
        <v>27</v>
      </c>
      <c r="E584" s="297">
        <v>4</v>
      </c>
      <c r="F584" s="297">
        <v>1</v>
      </c>
    </row>
    <row r="585" spans="1:6" ht="13.5">
      <c r="A585" s="290"/>
      <c r="B585" s="290" t="s">
        <v>265</v>
      </c>
      <c r="C585" s="297">
        <v>29</v>
      </c>
      <c r="D585" s="297">
        <v>23</v>
      </c>
      <c r="E585" s="297">
        <v>6</v>
      </c>
      <c r="F585" s="297">
        <v>0</v>
      </c>
    </row>
    <row r="586" spans="1:6" ht="13.5">
      <c r="A586" s="290"/>
      <c r="B586" s="290" t="s">
        <v>266</v>
      </c>
      <c r="C586" s="297">
        <v>261</v>
      </c>
      <c r="D586" s="297">
        <v>203</v>
      </c>
      <c r="E586" s="297">
        <v>53</v>
      </c>
      <c r="F586" s="297">
        <v>5</v>
      </c>
    </row>
    <row r="587" spans="1:6" ht="13.5">
      <c r="A587" s="290"/>
      <c r="B587" s="290" t="s">
        <v>504</v>
      </c>
      <c r="C587" s="297">
        <v>25</v>
      </c>
      <c r="D587" s="297">
        <v>19</v>
      </c>
      <c r="E587" s="297">
        <v>4</v>
      </c>
      <c r="F587" s="297">
        <v>2</v>
      </c>
    </row>
    <row r="588" spans="1:6" ht="5.0999999999999996" customHeight="1">
      <c r="A588" s="290"/>
      <c r="B588" s="290"/>
      <c r="C588" s="297"/>
      <c r="D588" s="297"/>
      <c r="E588" s="297"/>
      <c r="F588" s="297"/>
    </row>
    <row r="589" spans="1:6" s="322" customFormat="1" ht="13.5">
      <c r="A589" s="292" t="s">
        <v>105</v>
      </c>
      <c r="B589" s="292"/>
      <c r="C589" s="295">
        <v>237</v>
      </c>
      <c r="D589" s="295">
        <v>187</v>
      </c>
      <c r="E589" s="295">
        <v>23</v>
      </c>
      <c r="F589" s="295">
        <v>27</v>
      </c>
    </row>
    <row r="590" spans="1:6" ht="5.0999999999999996" customHeight="1">
      <c r="A590" s="290"/>
      <c r="B590" s="290"/>
      <c r="C590" s="297"/>
      <c r="D590" s="297"/>
      <c r="E590" s="297"/>
      <c r="F590" s="297"/>
    </row>
    <row r="591" spans="1:6" ht="13.5">
      <c r="A591" s="290"/>
      <c r="B591" s="290" t="s">
        <v>503</v>
      </c>
      <c r="C591" s="297">
        <v>2</v>
      </c>
      <c r="D591" s="297">
        <v>1</v>
      </c>
      <c r="E591" s="297">
        <v>0</v>
      </c>
      <c r="F591" s="297">
        <v>1</v>
      </c>
    </row>
    <row r="592" spans="1:6" ht="13.5">
      <c r="A592" s="290"/>
      <c r="B592" s="290" t="s">
        <v>259</v>
      </c>
      <c r="C592" s="297">
        <v>2</v>
      </c>
      <c r="D592" s="297">
        <v>2</v>
      </c>
      <c r="E592" s="297">
        <v>0</v>
      </c>
      <c r="F592" s="297">
        <v>0</v>
      </c>
    </row>
    <row r="593" spans="1:6" ht="13.5">
      <c r="A593" s="290"/>
      <c r="B593" s="290" t="s">
        <v>260</v>
      </c>
      <c r="C593" s="297">
        <v>1</v>
      </c>
      <c r="D593" s="297">
        <v>1</v>
      </c>
      <c r="E593" s="297">
        <v>0</v>
      </c>
      <c r="F593" s="297">
        <v>0</v>
      </c>
    </row>
    <row r="594" spans="1:6" ht="13.5">
      <c r="A594" s="290"/>
      <c r="B594" s="290" t="s">
        <v>63</v>
      </c>
      <c r="C594" s="297">
        <v>3</v>
      </c>
      <c r="D594" s="297">
        <v>3</v>
      </c>
      <c r="E594" s="297">
        <v>0</v>
      </c>
      <c r="F594" s="297">
        <v>0</v>
      </c>
    </row>
    <row r="595" spans="1:6" ht="13.5">
      <c r="A595" s="290"/>
      <c r="B595" s="290" t="s">
        <v>64</v>
      </c>
      <c r="C595" s="297">
        <v>5</v>
      </c>
      <c r="D595" s="297">
        <v>3</v>
      </c>
      <c r="E595" s="297">
        <v>0</v>
      </c>
      <c r="F595" s="297">
        <v>2</v>
      </c>
    </row>
    <row r="596" spans="1:6" ht="13.5">
      <c r="A596" s="290"/>
      <c r="B596" s="290" t="s">
        <v>65</v>
      </c>
      <c r="C596" s="297">
        <v>7</v>
      </c>
      <c r="D596" s="297">
        <v>6</v>
      </c>
      <c r="E596" s="297">
        <v>1</v>
      </c>
      <c r="F596" s="297">
        <v>0</v>
      </c>
    </row>
    <row r="597" spans="1:6" ht="13.5">
      <c r="A597" s="290"/>
      <c r="B597" s="290" t="s">
        <v>66</v>
      </c>
      <c r="C597" s="297">
        <v>9</v>
      </c>
      <c r="D597" s="297">
        <v>6</v>
      </c>
      <c r="E597" s="297">
        <v>2</v>
      </c>
      <c r="F597" s="297">
        <v>1</v>
      </c>
    </row>
    <row r="598" spans="1:6" ht="13.5">
      <c r="A598" s="290"/>
      <c r="B598" s="290" t="s">
        <v>67</v>
      </c>
      <c r="C598" s="297">
        <v>5</v>
      </c>
      <c r="D598" s="297">
        <v>3</v>
      </c>
      <c r="E598" s="297">
        <v>2</v>
      </c>
      <c r="F598" s="297">
        <v>0</v>
      </c>
    </row>
    <row r="599" spans="1:6" ht="13.5">
      <c r="A599" s="290"/>
      <c r="B599" s="290" t="s">
        <v>68</v>
      </c>
      <c r="C599" s="297">
        <v>7</v>
      </c>
      <c r="D599" s="297">
        <v>6</v>
      </c>
      <c r="E599" s="297">
        <v>1</v>
      </c>
      <c r="F599" s="297">
        <v>0</v>
      </c>
    </row>
    <row r="600" spans="1:6" ht="13.5">
      <c r="A600" s="290"/>
      <c r="B600" s="290" t="s">
        <v>69</v>
      </c>
      <c r="C600" s="297">
        <v>7</v>
      </c>
      <c r="D600" s="297">
        <v>5</v>
      </c>
      <c r="E600" s="297">
        <v>0</v>
      </c>
      <c r="F600" s="297">
        <v>2</v>
      </c>
    </row>
    <row r="601" spans="1:6" ht="13.5">
      <c r="A601" s="290"/>
      <c r="B601" s="290" t="s">
        <v>262</v>
      </c>
      <c r="C601" s="297">
        <v>10</v>
      </c>
      <c r="D601" s="297">
        <v>6</v>
      </c>
      <c r="E601" s="297">
        <v>1</v>
      </c>
      <c r="F601" s="297">
        <v>3</v>
      </c>
    </row>
    <row r="602" spans="1:6" ht="13.5">
      <c r="A602" s="290"/>
      <c r="B602" s="290" t="s">
        <v>263</v>
      </c>
      <c r="C602" s="297">
        <v>9</v>
      </c>
      <c r="D602" s="297">
        <v>8</v>
      </c>
      <c r="E602" s="297">
        <v>1</v>
      </c>
      <c r="F602" s="297">
        <v>0</v>
      </c>
    </row>
    <row r="603" spans="1:6" ht="13.5">
      <c r="A603" s="290"/>
      <c r="B603" s="290" t="s">
        <v>264</v>
      </c>
      <c r="C603" s="297">
        <v>13</v>
      </c>
      <c r="D603" s="297">
        <v>9</v>
      </c>
      <c r="E603" s="297">
        <v>3</v>
      </c>
      <c r="F603" s="297">
        <v>1</v>
      </c>
    </row>
    <row r="604" spans="1:6" ht="13.5">
      <c r="A604" s="290"/>
      <c r="B604" s="290" t="s">
        <v>265</v>
      </c>
      <c r="C604" s="297">
        <v>25</v>
      </c>
      <c r="D604" s="297">
        <v>19</v>
      </c>
      <c r="E604" s="297">
        <v>3</v>
      </c>
      <c r="F604" s="297">
        <v>3</v>
      </c>
    </row>
    <row r="605" spans="1:6" ht="13.5">
      <c r="A605" s="290"/>
      <c r="B605" s="290" t="s">
        <v>266</v>
      </c>
      <c r="C605" s="297">
        <v>127</v>
      </c>
      <c r="D605" s="297">
        <v>107</v>
      </c>
      <c r="E605" s="297">
        <v>8</v>
      </c>
      <c r="F605" s="297">
        <v>12</v>
      </c>
    </row>
    <row r="606" spans="1:6" ht="13.5">
      <c r="A606" s="290"/>
      <c r="B606" s="290" t="s">
        <v>504</v>
      </c>
      <c r="C606" s="297">
        <v>5</v>
      </c>
      <c r="D606" s="297">
        <v>2</v>
      </c>
      <c r="E606" s="297">
        <v>1</v>
      </c>
      <c r="F606" s="297">
        <v>2</v>
      </c>
    </row>
    <row r="607" spans="1:6" ht="5.0999999999999996" customHeight="1">
      <c r="A607" s="290"/>
      <c r="B607" s="290"/>
      <c r="C607" s="297"/>
      <c r="D607" s="297"/>
      <c r="E607" s="297"/>
      <c r="F607" s="297"/>
    </row>
    <row r="608" spans="1:6" s="322" customFormat="1" ht="13.5">
      <c r="A608" s="292" t="s">
        <v>106</v>
      </c>
      <c r="B608" s="292"/>
      <c r="C608" s="295">
        <v>198</v>
      </c>
      <c r="D608" s="295">
        <v>169</v>
      </c>
      <c r="E608" s="295">
        <v>29</v>
      </c>
      <c r="F608" s="295">
        <v>0</v>
      </c>
    </row>
    <row r="609" spans="1:6" ht="5.0999999999999996" customHeight="1">
      <c r="A609" s="290"/>
      <c r="B609" s="290"/>
      <c r="C609" s="297"/>
      <c r="D609" s="297"/>
      <c r="E609" s="297"/>
      <c r="F609" s="297"/>
    </row>
    <row r="610" spans="1:6" ht="13.5">
      <c r="A610" s="290"/>
      <c r="B610" s="290" t="s">
        <v>503</v>
      </c>
      <c r="C610" s="297">
        <v>2</v>
      </c>
      <c r="D610" s="297">
        <v>2</v>
      </c>
      <c r="E610" s="297">
        <v>0</v>
      </c>
      <c r="F610" s="297">
        <v>0</v>
      </c>
    </row>
    <row r="611" spans="1:6" ht="13.5">
      <c r="A611" s="290"/>
      <c r="B611" s="290" t="s">
        <v>261</v>
      </c>
      <c r="C611" s="297">
        <v>2</v>
      </c>
      <c r="D611" s="297">
        <v>2</v>
      </c>
      <c r="E611" s="297">
        <v>0</v>
      </c>
      <c r="F611" s="297">
        <v>0</v>
      </c>
    </row>
    <row r="612" spans="1:6" ht="13.5">
      <c r="A612" s="290"/>
      <c r="B612" s="290" t="s">
        <v>63</v>
      </c>
      <c r="C612" s="297">
        <v>2</v>
      </c>
      <c r="D612" s="297">
        <v>1</v>
      </c>
      <c r="E612" s="297">
        <v>1</v>
      </c>
      <c r="F612" s="297">
        <v>0</v>
      </c>
    </row>
    <row r="613" spans="1:6" ht="13.5">
      <c r="A613" s="290"/>
      <c r="B613" s="290" t="s">
        <v>64</v>
      </c>
      <c r="C613" s="297">
        <v>3</v>
      </c>
      <c r="D613" s="297">
        <v>3</v>
      </c>
      <c r="E613" s="297">
        <v>0</v>
      </c>
      <c r="F613" s="297">
        <v>0</v>
      </c>
    </row>
    <row r="614" spans="1:6" ht="13.5">
      <c r="A614" s="290"/>
      <c r="B614" s="290" t="s">
        <v>65</v>
      </c>
      <c r="C614" s="297">
        <v>4</v>
      </c>
      <c r="D614" s="297">
        <v>2</v>
      </c>
      <c r="E614" s="297">
        <v>2</v>
      </c>
      <c r="F614" s="297">
        <v>0</v>
      </c>
    </row>
    <row r="615" spans="1:6" ht="13.5">
      <c r="A615" s="290"/>
      <c r="B615" s="290" t="s">
        <v>66</v>
      </c>
      <c r="C615" s="297">
        <v>6</v>
      </c>
      <c r="D615" s="297">
        <v>6</v>
      </c>
      <c r="E615" s="297">
        <v>0</v>
      </c>
      <c r="F615" s="297">
        <v>0</v>
      </c>
    </row>
    <row r="616" spans="1:6" ht="13.5">
      <c r="A616" s="290"/>
      <c r="B616" s="290" t="s">
        <v>67</v>
      </c>
      <c r="C616" s="297">
        <v>6</v>
      </c>
      <c r="D616" s="297">
        <v>6</v>
      </c>
      <c r="E616" s="297">
        <v>0</v>
      </c>
      <c r="F616" s="297">
        <v>0</v>
      </c>
    </row>
    <row r="617" spans="1:6" ht="13.5">
      <c r="A617" s="290"/>
      <c r="B617" s="290" t="s">
        <v>68</v>
      </c>
      <c r="C617" s="297">
        <v>11</v>
      </c>
      <c r="D617" s="297">
        <v>9</v>
      </c>
      <c r="E617" s="297">
        <v>2</v>
      </c>
      <c r="F617" s="297">
        <v>0</v>
      </c>
    </row>
    <row r="618" spans="1:6" ht="13.5">
      <c r="A618" s="290"/>
      <c r="B618" s="290" t="s">
        <v>69</v>
      </c>
      <c r="C618" s="297">
        <v>2</v>
      </c>
      <c r="D618" s="297">
        <v>1</v>
      </c>
      <c r="E618" s="297">
        <v>1</v>
      </c>
      <c r="F618" s="297">
        <v>0</v>
      </c>
    </row>
    <row r="619" spans="1:6" ht="13.5">
      <c r="A619" s="290"/>
      <c r="B619" s="290" t="s">
        <v>262</v>
      </c>
      <c r="C619" s="297">
        <v>10</v>
      </c>
      <c r="D619" s="297">
        <v>9</v>
      </c>
      <c r="E619" s="297">
        <v>1</v>
      </c>
      <c r="F619" s="297">
        <v>0</v>
      </c>
    </row>
    <row r="620" spans="1:6" ht="13.5">
      <c r="A620" s="290"/>
      <c r="B620" s="290" t="s">
        <v>263</v>
      </c>
      <c r="C620" s="297">
        <v>13</v>
      </c>
      <c r="D620" s="297">
        <v>12</v>
      </c>
      <c r="E620" s="297">
        <v>1</v>
      </c>
      <c r="F620" s="297">
        <v>0</v>
      </c>
    </row>
    <row r="621" spans="1:6" ht="13.5">
      <c r="A621" s="290"/>
      <c r="B621" s="290" t="s">
        <v>264</v>
      </c>
      <c r="C621" s="297">
        <v>14</v>
      </c>
      <c r="D621" s="297">
        <v>11</v>
      </c>
      <c r="E621" s="297">
        <v>3</v>
      </c>
      <c r="F621" s="297">
        <v>0</v>
      </c>
    </row>
    <row r="622" spans="1:6" ht="13.5">
      <c r="A622" s="290"/>
      <c r="B622" s="290" t="s">
        <v>265</v>
      </c>
      <c r="C622" s="297">
        <v>13</v>
      </c>
      <c r="D622" s="297">
        <v>13</v>
      </c>
      <c r="E622" s="297">
        <v>0</v>
      </c>
      <c r="F622" s="297">
        <v>0</v>
      </c>
    </row>
    <row r="623" spans="1:6" ht="13.5">
      <c r="A623" s="290"/>
      <c r="B623" s="290" t="s">
        <v>266</v>
      </c>
      <c r="C623" s="297">
        <v>101</v>
      </c>
      <c r="D623" s="297">
        <v>84</v>
      </c>
      <c r="E623" s="297">
        <v>17</v>
      </c>
      <c r="F623" s="297">
        <v>0</v>
      </c>
    </row>
    <row r="624" spans="1:6" ht="13.5">
      <c r="A624" s="290"/>
      <c r="B624" s="290" t="s">
        <v>504</v>
      </c>
      <c r="C624" s="297">
        <v>9</v>
      </c>
      <c r="D624" s="297">
        <v>8</v>
      </c>
      <c r="E624" s="297">
        <v>1</v>
      </c>
      <c r="F624" s="297">
        <v>0</v>
      </c>
    </row>
    <row r="625" spans="1:6" ht="5.0999999999999996" customHeight="1">
      <c r="A625" s="290"/>
      <c r="B625" s="290"/>
      <c r="C625" s="297"/>
      <c r="D625" s="297"/>
      <c r="E625" s="297"/>
      <c r="F625" s="297"/>
    </row>
    <row r="626" spans="1:6" s="322" customFormat="1" ht="13.5">
      <c r="A626" s="292" t="s">
        <v>107</v>
      </c>
      <c r="B626" s="292"/>
      <c r="C626" s="295">
        <v>4394</v>
      </c>
      <c r="D626" s="295">
        <v>4147</v>
      </c>
      <c r="E626" s="295">
        <v>127</v>
      </c>
      <c r="F626" s="295">
        <v>120</v>
      </c>
    </row>
    <row r="627" spans="1:6" ht="5.0999999999999996" customHeight="1">
      <c r="A627" s="290"/>
      <c r="B627" s="290"/>
      <c r="C627" s="297"/>
      <c r="D627" s="297"/>
      <c r="E627" s="297"/>
      <c r="F627" s="297"/>
    </row>
    <row r="628" spans="1:6" ht="13.5">
      <c r="A628" s="290"/>
      <c r="B628" s="290" t="s">
        <v>503</v>
      </c>
      <c r="C628" s="297">
        <v>74</v>
      </c>
      <c r="D628" s="297">
        <v>12</v>
      </c>
      <c r="E628" s="297">
        <v>1</v>
      </c>
      <c r="F628" s="297">
        <v>61</v>
      </c>
    </row>
    <row r="629" spans="1:6" ht="13.5">
      <c r="A629" s="290"/>
      <c r="B629" s="290" t="s">
        <v>259</v>
      </c>
      <c r="C629" s="297">
        <v>36</v>
      </c>
      <c r="D629" s="297">
        <v>30</v>
      </c>
      <c r="E629" s="297">
        <v>2</v>
      </c>
      <c r="F629" s="297">
        <v>4</v>
      </c>
    </row>
    <row r="630" spans="1:6" ht="13.5">
      <c r="A630" s="290"/>
      <c r="B630" s="290" t="s">
        <v>260</v>
      </c>
      <c r="C630" s="297">
        <v>30</v>
      </c>
      <c r="D630" s="297">
        <v>25</v>
      </c>
      <c r="E630" s="297">
        <v>1</v>
      </c>
      <c r="F630" s="297">
        <v>4</v>
      </c>
    </row>
    <row r="631" spans="1:6" ht="13.5">
      <c r="A631" s="290"/>
      <c r="B631" s="290" t="s">
        <v>261</v>
      </c>
      <c r="C631" s="297">
        <v>43</v>
      </c>
      <c r="D631" s="297">
        <v>41</v>
      </c>
      <c r="E631" s="297">
        <v>0</v>
      </c>
      <c r="F631" s="297">
        <v>2</v>
      </c>
    </row>
    <row r="632" spans="1:6" ht="13.5">
      <c r="A632" s="290"/>
      <c r="B632" s="290" t="s">
        <v>63</v>
      </c>
      <c r="C632" s="297">
        <v>104</v>
      </c>
      <c r="D632" s="297">
        <v>96</v>
      </c>
      <c r="E632" s="297">
        <v>6</v>
      </c>
      <c r="F632" s="297">
        <v>2</v>
      </c>
    </row>
    <row r="633" spans="1:6" ht="13.5">
      <c r="A633" s="290"/>
      <c r="B633" s="290" t="s">
        <v>64</v>
      </c>
      <c r="C633" s="297">
        <v>162</v>
      </c>
      <c r="D633" s="297">
        <v>156</v>
      </c>
      <c r="E633" s="297">
        <v>4</v>
      </c>
      <c r="F633" s="297">
        <v>2</v>
      </c>
    </row>
    <row r="634" spans="1:6" ht="13.5">
      <c r="A634" s="290"/>
      <c r="B634" s="290" t="s">
        <v>65</v>
      </c>
      <c r="C634" s="297">
        <v>184</v>
      </c>
      <c r="D634" s="297">
        <v>179</v>
      </c>
      <c r="E634" s="297">
        <v>3</v>
      </c>
      <c r="F634" s="297">
        <v>2</v>
      </c>
    </row>
    <row r="635" spans="1:6" ht="13.5">
      <c r="A635" s="290"/>
      <c r="B635" s="290" t="s">
        <v>66</v>
      </c>
      <c r="C635" s="297">
        <v>155</v>
      </c>
      <c r="D635" s="297">
        <v>145</v>
      </c>
      <c r="E635" s="297">
        <v>6</v>
      </c>
      <c r="F635" s="297">
        <v>4</v>
      </c>
    </row>
    <row r="636" spans="1:6" ht="13.5">
      <c r="A636" s="290"/>
      <c r="B636" s="290" t="s">
        <v>67</v>
      </c>
      <c r="C636" s="297">
        <v>149</v>
      </c>
      <c r="D636" s="297">
        <v>139</v>
      </c>
      <c r="E636" s="297">
        <v>6</v>
      </c>
      <c r="F636" s="297">
        <v>4</v>
      </c>
    </row>
    <row r="637" spans="1:6" ht="13.5">
      <c r="A637" s="290"/>
      <c r="B637" s="290" t="s">
        <v>68</v>
      </c>
      <c r="C637" s="297">
        <v>171</v>
      </c>
      <c r="D637" s="297">
        <v>164</v>
      </c>
      <c r="E637" s="297">
        <v>3</v>
      </c>
      <c r="F637" s="297">
        <v>4</v>
      </c>
    </row>
    <row r="638" spans="1:6" ht="13.5">
      <c r="A638" s="290"/>
      <c r="B638" s="290" t="s">
        <v>69</v>
      </c>
      <c r="C638" s="297">
        <v>180</v>
      </c>
      <c r="D638" s="297">
        <v>175</v>
      </c>
      <c r="E638" s="297">
        <v>4</v>
      </c>
      <c r="F638" s="297">
        <v>1</v>
      </c>
    </row>
    <row r="639" spans="1:6" ht="13.5">
      <c r="A639" s="290"/>
      <c r="B639" s="290" t="s">
        <v>262</v>
      </c>
      <c r="C639" s="297">
        <v>221</v>
      </c>
      <c r="D639" s="297">
        <v>214</v>
      </c>
      <c r="E639" s="297">
        <v>6</v>
      </c>
      <c r="F639" s="297">
        <v>1</v>
      </c>
    </row>
    <row r="640" spans="1:6" ht="13.5">
      <c r="A640" s="290"/>
      <c r="B640" s="290" t="s">
        <v>263</v>
      </c>
      <c r="C640" s="297">
        <v>225</v>
      </c>
      <c r="D640" s="297">
        <v>217</v>
      </c>
      <c r="E640" s="297">
        <v>7</v>
      </c>
      <c r="F640" s="297">
        <v>1</v>
      </c>
    </row>
    <row r="641" spans="1:6" ht="13.5">
      <c r="A641" s="290"/>
      <c r="B641" s="290" t="s">
        <v>264</v>
      </c>
      <c r="C641" s="297">
        <v>305</v>
      </c>
      <c r="D641" s="297">
        <v>292</v>
      </c>
      <c r="E641" s="297">
        <v>11</v>
      </c>
      <c r="F641" s="297">
        <v>2</v>
      </c>
    </row>
    <row r="642" spans="1:6" ht="13.5">
      <c r="A642" s="290"/>
      <c r="B642" s="290" t="s">
        <v>265</v>
      </c>
      <c r="C642" s="297">
        <v>306</v>
      </c>
      <c r="D642" s="297">
        <v>297</v>
      </c>
      <c r="E642" s="297">
        <v>7</v>
      </c>
      <c r="F642" s="297">
        <v>2</v>
      </c>
    </row>
    <row r="643" spans="1:6" ht="13.5">
      <c r="A643" s="290"/>
      <c r="B643" s="290" t="s">
        <v>266</v>
      </c>
      <c r="C643" s="297">
        <v>1492</v>
      </c>
      <c r="D643" s="297">
        <v>1410</v>
      </c>
      <c r="E643" s="297">
        <v>59</v>
      </c>
      <c r="F643" s="297">
        <v>23</v>
      </c>
    </row>
    <row r="644" spans="1:6" ht="13.5">
      <c r="A644" s="290"/>
      <c r="B644" s="290" t="s">
        <v>504</v>
      </c>
      <c r="C644" s="297">
        <v>557</v>
      </c>
      <c r="D644" s="297">
        <v>555</v>
      </c>
      <c r="E644" s="297">
        <v>1</v>
      </c>
      <c r="F644" s="297">
        <v>1</v>
      </c>
    </row>
    <row r="645" spans="1:6" ht="5.0999999999999996" customHeight="1">
      <c r="A645" s="290"/>
      <c r="B645" s="290"/>
      <c r="C645" s="297"/>
      <c r="D645" s="297"/>
      <c r="E645" s="297"/>
      <c r="F645" s="297"/>
    </row>
    <row r="646" spans="1:6" s="322" customFormat="1" ht="13.5">
      <c r="A646" s="292" t="s">
        <v>584</v>
      </c>
      <c r="B646" s="292"/>
      <c r="C646" s="295">
        <v>107</v>
      </c>
      <c r="D646" s="295">
        <v>15</v>
      </c>
      <c r="E646" s="295">
        <v>0</v>
      </c>
      <c r="F646" s="295">
        <v>92</v>
      </c>
    </row>
    <row r="647" spans="1:6" ht="5.0999999999999996" customHeight="1">
      <c r="A647" s="290"/>
      <c r="B647" s="290"/>
      <c r="C647" s="297"/>
      <c r="D647" s="297"/>
      <c r="E647" s="297"/>
      <c r="F647" s="297"/>
    </row>
    <row r="648" spans="1:6" ht="13.5">
      <c r="A648" s="290"/>
      <c r="B648" s="290" t="s">
        <v>260</v>
      </c>
      <c r="C648" s="297">
        <v>2</v>
      </c>
      <c r="D648" s="297">
        <v>0</v>
      </c>
      <c r="E648" s="297">
        <v>0</v>
      </c>
      <c r="F648" s="297">
        <v>2</v>
      </c>
    </row>
    <row r="649" spans="1:6" ht="13.5">
      <c r="A649" s="290"/>
      <c r="B649" s="290" t="s">
        <v>261</v>
      </c>
      <c r="C649" s="297">
        <v>1</v>
      </c>
      <c r="D649" s="297">
        <v>0</v>
      </c>
      <c r="E649" s="297">
        <v>0</v>
      </c>
      <c r="F649" s="297">
        <v>1</v>
      </c>
    </row>
    <row r="650" spans="1:6" ht="13.5">
      <c r="A650" s="290"/>
      <c r="B650" s="290" t="s">
        <v>63</v>
      </c>
      <c r="C650" s="297">
        <v>3</v>
      </c>
      <c r="D650" s="297">
        <v>0</v>
      </c>
      <c r="E650" s="297">
        <v>0</v>
      </c>
      <c r="F650" s="297">
        <v>3</v>
      </c>
    </row>
    <row r="651" spans="1:6" ht="13.5">
      <c r="A651" s="290"/>
      <c r="B651" s="290" t="s">
        <v>64</v>
      </c>
      <c r="C651" s="297">
        <v>1</v>
      </c>
      <c r="D651" s="297">
        <v>0</v>
      </c>
      <c r="E651" s="297">
        <v>0</v>
      </c>
      <c r="F651" s="297">
        <v>1</v>
      </c>
    </row>
    <row r="652" spans="1:6" ht="13.5">
      <c r="A652" s="290"/>
      <c r="B652" s="290" t="s">
        <v>66</v>
      </c>
      <c r="C652" s="297">
        <v>12</v>
      </c>
      <c r="D652" s="297">
        <v>2</v>
      </c>
      <c r="E652" s="297">
        <v>0</v>
      </c>
      <c r="F652" s="297">
        <v>10</v>
      </c>
    </row>
    <row r="653" spans="1:6" ht="13.5">
      <c r="A653" s="290"/>
      <c r="B653" s="290" t="s">
        <v>67</v>
      </c>
      <c r="C653" s="297">
        <v>12</v>
      </c>
      <c r="D653" s="297">
        <v>1</v>
      </c>
      <c r="E653" s="297">
        <v>0</v>
      </c>
      <c r="F653" s="297">
        <v>11</v>
      </c>
    </row>
    <row r="654" spans="1:6" ht="13.5">
      <c r="A654" s="290"/>
      <c r="B654" s="290" t="s">
        <v>68</v>
      </c>
      <c r="C654" s="297">
        <v>21</v>
      </c>
      <c r="D654" s="297">
        <v>5</v>
      </c>
      <c r="E654" s="297">
        <v>0</v>
      </c>
      <c r="F654" s="297">
        <v>16</v>
      </c>
    </row>
    <row r="655" spans="1:6" ht="13.5">
      <c r="A655" s="290"/>
      <c r="B655" s="290" t="s">
        <v>69</v>
      </c>
      <c r="C655" s="297">
        <v>8</v>
      </c>
      <c r="D655" s="297">
        <v>1</v>
      </c>
      <c r="E655" s="297">
        <v>0</v>
      </c>
      <c r="F655" s="297">
        <v>7</v>
      </c>
    </row>
    <row r="656" spans="1:6" ht="13.5">
      <c r="A656" s="290"/>
      <c r="B656" s="290" t="s">
        <v>262</v>
      </c>
      <c r="C656" s="297">
        <v>4</v>
      </c>
      <c r="D656" s="297">
        <v>1</v>
      </c>
      <c r="E656" s="297">
        <v>0</v>
      </c>
      <c r="F656" s="297">
        <v>3</v>
      </c>
    </row>
    <row r="657" spans="1:6" ht="13.5">
      <c r="A657" s="290"/>
      <c r="B657" s="290" t="s">
        <v>263</v>
      </c>
      <c r="C657" s="297">
        <v>8</v>
      </c>
      <c r="D657" s="297">
        <v>1</v>
      </c>
      <c r="E657" s="297">
        <v>0</v>
      </c>
      <c r="F657" s="297">
        <v>7</v>
      </c>
    </row>
    <row r="658" spans="1:6" ht="13.5">
      <c r="A658" s="290"/>
      <c r="B658" s="290" t="s">
        <v>264</v>
      </c>
      <c r="C658" s="297">
        <v>1</v>
      </c>
      <c r="D658" s="297">
        <v>1</v>
      </c>
      <c r="E658" s="297">
        <v>0</v>
      </c>
      <c r="F658" s="297">
        <v>0</v>
      </c>
    </row>
    <row r="659" spans="1:6" ht="13.5">
      <c r="A659" s="290"/>
      <c r="B659" s="290" t="s">
        <v>265</v>
      </c>
      <c r="C659" s="297">
        <v>8</v>
      </c>
      <c r="D659" s="297">
        <v>1</v>
      </c>
      <c r="E659" s="297">
        <v>0</v>
      </c>
      <c r="F659" s="297">
        <v>7</v>
      </c>
    </row>
    <row r="660" spans="1:6" ht="13.5">
      <c r="A660" s="290"/>
      <c r="B660" s="290" t="s">
        <v>266</v>
      </c>
      <c r="C660" s="297">
        <v>25</v>
      </c>
      <c r="D660" s="297">
        <v>2</v>
      </c>
      <c r="E660" s="297">
        <v>0</v>
      </c>
      <c r="F660" s="297">
        <v>23</v>
      </c>
    </row>
    <row r="661" spans="1:6" ht="13.5">
      <c r="A661" s="290"/>
      <c r="B661" s="290" t="s">
        <v>504</v>
      </c>
      <c r="C661" s="297">
        <v>1</v>
      </c>
      <c r="D661" s="297">
        <v>0</v>
      </c>
      <c r="E661" s="297">
        <v>0</v>
      </c>
      <c r="F661" s="297">
        <v>1</v>
      </c>
    </row>
    <row r="662" spans="1:6" ht="5.0999999999999996" customHeight="1">
      <c r="A662" s="290"/>
      <c r="B662" s="290"/>
      <c r="C662" s="297"/>
      <c r="D662" s="297"/>
      <c r="E662" s="297"/>
      <c r="F662" s="297"/>
    </row>
    <row r="663" spans="1:6" s="322" customFormat="1" ht="13.5">
      <c r="A663" s="292" t="s">
        <v>45</v>
      </c>
      <c r="B663" s="292"/>
      <c r="C663" s="295">
        <v>59</v>
      </c>
      <c r="D663" s="295">
        <v>1</v>
      </c>
      <c r="E663" s="295">
        <v>0</v>
      </c>
      <c r="F663" s="295">
        <v>58</v>
      </c>
    </row>
    <row r="664" spans="1:6" ht="5.0999999999999996" customHeight="1">
      <c r="A664" s="290"/>
      <c r="B664" s="290"/>
      <c r="C664" s="297"/>
      <c r="D664" s="297"/>
      <c r="E664" s="297"/>
      <c r="F664" s="297"/>
    </row>
    <row r="665" spans="1:6" ht="13.5">
      <c r="A665" s="290"/>
      <c r="B665" s="290" t="s">
        <v>503</v>
      </c>
      <c r="C665" s="297">
        <v>1</v>
      </c>
      <c r="D665" s="297">
        <v>0</v>
      </c>
      <c r="E665" s="297">
        <v>0</v>
      </c>
      <c r="F665" s="297">
        <v>1</v>
      </c>
    </row>
    <row r="666" spans="1:6" ht="13.5">
      <c r="A666" s="290"/>
      <c r="B666" s="290" t="s">
        <v>63</v>
      </c>
      <c r="C666" s="297">
        <v>1</v>
      </c>
      <c r="D666" s="297">
        <v>0</v>
      </c>
      <c r="E666" s="297">
        <v>0</v>
      </c>
      <c r="F666" s="297">
        <v>1</v>
      </c>
    </row>
    <row r="667" spans="1:6" ht="13.5">
      <c r="A667" s="290"/>
      <c r="B667" s="290" t="s">
        <v>64</v>
      </c>
      <c r="C667" s="297">
        <v>2</v>
      </c>
      <c r="D667" s="297">
        <v>0</v>
      </c>
      <c r="E667" s="297">
        <v>0</v>
      </c>
      <c r="F667" s="297">
        <v>2</v>
      </c>
    </row>
    <row r="668" spans="1:6" ht="13.5">
      <c r="A668" s="290"/>
      <c r="B668" s="290" t="s">
        <v>65</v>
      </c>
      <c r="C668" s="297">
        <v>2</v>
      </c>
      <c r="D668" s="297">
        <v>0</v>
      </c>
      <c r="E668" s="297">
        <v>0</v>
      </c>
      <c r="F668" s="297">
        <v>2</v>
      </c>
    </row>
    <row r="669" spans="1:6" ht="13.5">
      <c r="A669" s="290"/>
      <c r="B669" s="290" t="s">
        <v>66</v>
      </c>
      <c r="C669" s="297">
        <v>2</v>
      </c>
      <c r="D669" s="297">
        <v>0</v>
      </c>
      <c r="E669" s="297">
        <v>0</v>
      </c>
      <c r="F669" s="297">
        <v>2</v>
      </c>
    </row>
    <row r="670" spans="1:6" ht="13.5">
      <c r="A670" s="290"/>
      <c r="B670" s="290" t="s">
        <v>67</v>
      </c>
      <c r="C670" s="297">
        <v>2</v>
      </c>
      <c r="D670" s="297">
        <v>0</v>
      </c>
      <c r="E670" s="297">
        <v>0</v>
      </c>
      <c r="F670" s="297">
        <v>2</v>
      </c>
    </row>
    <row r="671" spans="1:6" ht="13.5">
      <c r="A671" s="290"/>
      <c r="B671" s="290" t="s">
        <v>68</v>
      </c>
      <c r="C671" s="297">
        <v>5</v>
      </c>
      <c r="D671" s="297">
        <v>0</v>
      </c>
      <c r="E671" s="297">
        <v>0</v>
      </c>
      <c r="F671" s="297">
        <v>5</v>
      </c>
    </row>
    <row r="672" spans="1:6" ht="13.5">
      <c r="A672" s="290"/>
      <c r="B672" s="290" t="s">
        <v>262</v>
      </c>
      <c r="C672" s="297">
        <v>3</v>
      </c>
      <c r="D672" s="297">
        <v>0</v>
      </c>
      <c r="E672" s="297">
        <v>0</v>
      </c>
      <c r="F672" s="297">
        <v>3</v>
      </c>
    </row>
    <row r="673" spans="1:6" ht="13.5">
      <c r="A673" s="290"/>
      <c r="B673" s="290" t="s">
        <v>263</v>
      </c>
      <c r="C673" s="297">
        <v>2</v>
      </c>
      <c r="D673" s="297">
        <v>0</v>
      </c>
      <c r="E673" s="297">
        <v>0</v>
      </c>
      <c r="F673" s="297">
        <v>2</v>
      </c>
    </row>
    <row r="674" spans="1:6" ht="13.5">
      <c r="A674" s="290"/>
      <c r="B674" s="290" t="s">
        <v>264</v>
      </c>
      <c r="C674" s="297">
        <v>3</v>
      </c>
      <c r="D674" s="297">
        <v>0</v>
      </c>
      <c r="E674" s="297">
        <v>0</v>
      </c>
      <c r="F674" s="297">
        <v>3</v>
      </c>
    </row>
    <row r="675" spans="1:6" ht="13.5">
      <c r="A675" s="290"/>
      <c r="B675" s="290" t="s">
        <v>265</v>
      </c>
      <c r="C675" s="297">
        <v>5</v>
      </c>
      <c r="D675" s="297">
        <v>0</v>
      </c>
      <c r="E675" s="297">
        <v>0</v>
      </c>
      <c r="F675" s="297">
        <v>5</v>
      </c>
    </row>
    <row r="676" spans="1:6" ht="13.5">
      <c r="A676" s="290"/>
      <c r="B676" s="290" t="s">
        <v>266</v>
      </c>
      <c r="C676" s="297">
        <v>13</v>
      </c>
      <c r="D676" s="297">
        <v>0</v>
      </c>
      <c r="E676" s="297">
        <v>0</v>
      </c>
      <c r="F676" s="297">
        <v>13</v>
      </c>
    </row>
    <row r="677" spans="1:6" ht="13.5">
      <c r="A677" s="290"/>
      <c r="B677" s="290" t="s">
        <v>504</v>
      </c>
      <c r="C677" s="297">
        <v>18</v>
      </c>
      <c r="D677" s="297">
        <v>1</v>
      </c>
      <c r="E677" s="297">
        <v>0</v>
      </c>
      <c r="F677" s="297">
        <v>17</v>
      </c>
    </row>
    <row r="678" spans="1:6" ht="13.5">
      <c r="A678" s="290"/>
      <c r="B678" s="290" t="s">
        <v>266</v>
      </c>
      <c r="C678" s="297">
        <v>13</v>
      </c>
      <c r="D678" s="297">
        <v>0</v>
      </c>
      <c r="E678" s="297">
        <v>0</v>
      </c>
      <c r="F678" s="297">
        <v>13</v>
      </c>
    </row>
    <row r="679" spans="1:6" ht="13.5">
      <c r="A679" s="290"/>
      <c r="B679" s="290" t="s">
        <v>504</v>
      </c>
      <c r="C679" s="297">
        <v>19</v>
      </c>
      <c r="D679" s="297">
        <v>1</v>
      </c>
      <c r="E679" s="297">
        <v>0</v>
      </c>
      <c r="F679" s="297">
        <v>18</v>
      </c>
    </row>
    <row r="680" spans="1:6" ht="5.0999999999999996" customHeight="1">
      <c r="A680" s="299"/>
      <c r="B680" s="299"/>
      <c r="C680" s="323"/>
      <c r="D680" s="323"/>
      <c r="E680" s="323"/>
      <c r="F680" s="323"/>
    </row>
    <row r="681" spans="1:6" ht="5.0999999999999996" customHeight="1">
      <c r="A681" s="290"/>
      <c r="B681" s="290"/>
      <c r="C681" s="310"/>
      <c r="D681" s="310"/>
      <c r="E681" s="310"/>
      <c r="F681" s="310"/>
    </row>
    <row r="682" spans="1:6" ht="13.5">
      <c r="A682" s="301" t="s">
        <v>71</v>
      </c>
      <c r="B682" s="290"/>
      <c r="C682" s="310"/>
      <c r="D682" s="310"/>
      <c r="E682" s="310"/>
      <c r="F682" s="310"/>
    </row>
    <row r="683" spans="1:6" ht="13.5">
      <c r="A683" s="301" t="s">
        <v>231</v>
      </c>
      <c r="B683" s="290"/>
      <c r="C683" s="310"/>
      <c r="D683" s="310"/>
      <c r="E683" s="310"/>
      <c r="F683" s="310"/>
    </row>
    <row r="684" spans="1:6" ht="13.5">
      <c r="A684" s="290"/>
      <c r="B684" s="290"/>
      <c r="C684" s="310"/>
      <c r="D684" s="310"/>
      <c r="E684" s="310"/>
      <c r="F684" s="310"/>
    </row>
    <row r="685" spans="1:6" ht="13.5">
      <c r="A685" s="290"/>
      <c r="B685" s="290"/>
      <c r="C685" s="310"/>
      <c r="D685" s="310"/>
      <c r="E685" s="310"/>
      <c r="F685" s="310"/>
    </row>
    <row r="686" spans="1:6" ht="13.5">
      <c r="A686" s="290"/>
      <c r="B686" s="290"/>
      <c r="C686" s="310"/>
      <c r="D686" s="310"/>
      <c r="E686" s="310"/>
      <c r="F686" s="310"/>
    </row>
    <row r="687" spans="1:6" ht="13.5">
      <c r="A687" s="290"/>
      <c r="B687" s="290"/>
      <c r="C687" s="310"/>
      <c r="D687" s="310"/>
      <c r="E687" s="310"/>
      <c r="F687" s="310"/>
    </row>
    <row r="688" spans="1:6" ht="13.5">
      <c r="A688" s="290"/>
      <c r="B688" s="290"/>
      <c r="C688" s="310"/>
      <c r="D688" s="310"/>
      <c r="E688" s="310"/>
      <c r="F688" s="310"/>
    </row>
    <row r="689" spans="1:6" ht="13.5">
      <c r="A689" s="290"/>
      <c r="B689" s="290"/>
      <c r="C689" s="310"/>
      <c r="D689" s="310"/>
      <c r="E689" s="310"/>
      <c r="F689" s="310"/>
    </row>
    <row r="690" spans="1:6" ht="13.5">
      <c r="A690" s="290"/>
      <c r="B690" s="290"/>
      <c r="C690" s="310"/>
      <c r="D690" s="310"/>
      <c r="E690" s="310"/>
      <c r="F690" s="310"/>
    </row>
    <row r="691" spans="1:6" ht="13.5">
      <c r="A691" s="290"/>
      <c r="B691" s="290"/>
      <c r="C691" s="310"/>
      <c r="D691" s="310"/>
      <c r="E691" s="310"/>
      <c r="F691" s="310"/>
    </row>
    <row r="692" spans="1:6" ht="13.5">
      <c r="A692" s="290"/>
      <c r="B692" s="290"/>
      <c r="C692" s="310"/>
      <c r="D692" s="310"/>
      <c r="E692" s="310"/>
      <c r="F692" s="310"/>
    </row>
    <row r="693" spans="1:6" ht="13.5">
      <c r="A693" s="290"/>
      <c r="B693" s="290"/>
      <c r="C693" s="310"/>
      <c r="D693" s="310"/>
      <c r="E693" s="310"/>
      <c r="F693" s="310"/>
    </row>
    <row r="694" spans="1:6" ht="13.5">
      <c r="A694" s="290"/>
      <c r="B694" s="290"/>
      <c r="C694" s="310"/>
      <c r="D694" s="310"/>
      <c r="E694" s="310"/>
      <c r="F694" s="310"/>
    </row>
    <row r="695" spans="1:6" ht="13.5">
      <c r="A695" s="290"/>
      <c r="B695" s="290"/>
      <c r="C695" s="310"/>
      <c r="D695" s="310"/>
      <c r="E695" s="310"/>
      <c r="F695" s="310"/>
    </row>
    <row r="696" spans="1:6" ht="13.5">
      <c r="A696" s="290"/>
      <c r="B696" s="290"/>
      <c r="C696" s="310"/>
      <c r="D696" s="310"/>
      <c r="E696" s="310"/>
      <c r="F696" s="310"/>
    </row>
    <row r="697" spans="1:6" ht="13.5">
      <c r="A697" s="290"/>
      <c r="B697" s="290"/>
      <c r="C697" s="297"/>
      <c r="D697" s="297"/>
      <c r="E697" s="297"/>
      <c r="F697" s="297"/>
    </row>
    <row r="698" spans="1:6" ht="13.5">
      <c r="A698" s="290"/>
      <c r="B698" s="290"/>
      <c r="C698" s="297"/>
      <c r="D698" s="297"/>
      <c r="E698" s="297"/>
      <c r="F698" s="297"/>
    </row>
    <row r="699" spans="1:6" ht="13.5">
      <c r="A699" s="290"/>
      <c r="B699" s="290"/>
      <c r="C699" s="290"/>
      <c r="D699" s="290"/>
      <c r="E699" s="290"/>
      <c r="F699" s="290"/>
    </row>
    <row r="700" spans="1:6" ht="13.5">
      <c r="A700" s="290"/>
      <c r="B700" s="290"/>
      <c r="C700" s="290"/>
      <c r="D700" s="290"/>
      <c r="E700" s="290"/>
      <c r="F700" s="290"/>
    </row>
  </sheetData>
  <mergeCells count="6">
    <mergeCell ref="A2:F2"/>
    <mergeCell ref="D6:F6"/>
    <mergeCell ref="C6:C7"/>
    <mergeCell ref="A6:B7"/>
    <mergeCell ref="A4:F4"/>
    <mergeCell ref="A3:F3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39"/>
  <dimension ref="A1:B11"/>
  <sheetViews>
    <sheetView zoomScaleNormal="100" workbookViewId="0"/>
  </sheetViews>
  <sheetFormatPr baseColWidth="10" defaultColWidth="70.7109375" defaultRowHeight="60" customHeight="1"/>
  <cols>
    <col min="1" max="1" width="100.85546875" style="4" customWidth="1"/>
    <col min="2" max="16384" width="70.7109375" style="4"/>
  </cols>
  <sheetData>
    <row r="1" spans="1:2" s="11" customFormat="1" ht="21" customHeight="1">
      <c r="A1" s="24" t="s">
        <v>3</v>
      </c>
    </row>
    <row r="2" spans="1:2" s="23" customFormat="1" ht="31.5" customHeight="1">
      <c r="A2" s="15" t="s">
        <v>510</v>
      </c>
      <c r="B2" s="22"/>
    </row>
    <row r="3" spans="1:2" s="23" customFormat="1" ht="31.5" customHeight="1">
      <c r="A3" s="15" t="s">
        <v>511</v>
      </c>
      <c r="B3" s="22"/>
    </row>
    <row r="4" spans="1:2" s="23" customFormat="1" ht="31.5" customHeight="1">
      <c r="A4" s="15" t="s">
        <v>512</v>
      </c>
      <c r="B4" s="22"/>
    </row>
    <row r="5" spans="1:2" s="23" customFormat="1" ht="31.5" customHeight="1">
      <c r="A5" s="15" t="s">
        <v>513</v>
      </c>
      <c r="B5" s="22"/>
    </row>
    <row r="6" spans="1:2" s="23" customFormat="1" ht="31.5" customHeight="1">
      <c r="A6" s="15" t="s">
        <v>514</v>
      </c>
      <c r="B6" s="22"/>
    </row>
    <row r="7" spans="1:2" s="23" customFormat="1" ht="31.5" customHeight="1">
      <c r="A7" s="15" t="s">
        <v>515</v>
      </c>
      <c r="B7" s="22"/>
    </row>
    <row r="8" spans="1:2" s="23" customFormat="1" ht="31.5" customHeight="1">
      <c r="A8" s="15" t="s">
        <v>516</v>
      </c>
      <c r="B8" s="22"/>
    </row>
    <row r="9" spans="1:2" s="23" customFormat="1" ht="31.5" customHeight="1">
      <c r="A9" s="15" t="s">
        <v>517</v>
      </c>
      <c r="B9" s="22"/>
    </row>
    <row r="10" spans="1:2" s="23" customFormat="1" ht="31.5" customHeight="1">
      <c r="A10" s="15" t="s">
        <v>518</v>
      </c>
      <c r="B10" s="22"/>
    </row>
    <row r="11" spans="1:2" s="12" customFormat="1" ht="21" customHeight="1">
      <c r="A11" s="10" t="s">
        <v>0</v>
      </c>
    </row>
  </sheetData>
  <phoneticPr fontId="2" type="noConversion"/>
  <hyperlinks>
    <hyperlink ref="A11" location="Indice!A1" display="VOLVER AL ÍNDICE"/>
    <hyperlink ref="A2" location="'3.1'!A1" display="3.1 Matrimonios registrados, según mes, 2009"/>
    <hyperlink ref="A3" location="'3.2'!A1" display="3.2 Matrimonios registrados, según provincia de matrimonio, 2009"/>
    <hyperlink ref="A4" location="'3.3'!A1" display="3.3 Matrimonios registrados por grupos de edad del contrayente, según grupos de edad de la contrayente, 2009"/>
    <hyperlink ref="A5" location="'3.4'!A1" display="3.4 Matrimonios registrados, según tipo de matrimonio, 2009"/>
    <hyperlink ref="A6" location="'3.6'!A1" display="3.6 Matrimonios registrados por nacionalidad del contrayente, según nacionalidad de la contrayente, 2009"/>
    <hyperlink ref="A7" location="'3.7'!A1" display="3.7 Matrimonios registrados, según provincia, municipio y mes de registro, 2009"/>
    <hyperlink ref="A8" location="'3.8'!A1" display="3.8 Matrimonios registrados por grupos de edad del contrayente, según provincia de matrimonio y grupos de edad de la contrayente, 2009"/>
    <hyperlink ref="A9" location="'3.9'!A1" display="3.9 Matrimonios registrados por tipo, según provincia de matrimonio, 2009"/>
    <hyperlink ref="A10" location="'3.10'!A1" display="3.10 Matrimonios registrados por tipo, según provincia de matrimonio y grupos de edad de la contrayente, 2009"/>
  </hyperlinks>
  <printOptions horizontalCentered="1"/>
  <pageMargins left="0.43307086614173229" right="0.39370078740157483" top="0.98425196850393704" bottom="0.98425196850393704" header="0" footer="0"/>
  <pageSetup orientation="portrait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B2:C26"/>
  <sheetViews>
    <sheetView showGridLines="0" workbookViewId="0">
      <selection activeCell="C9" sqref="C9:C22"/>
    </sheetView>
  </sheetViews>
  <sheetFormatPr baseColWidth="10" defaultColWidth="11.42578125" defaultRowHeight="12.75"/>
  <cols>
    <col min="1" max="1" width="11.42578125" style="91"/>
    <col min="2" max="2" width="31.28515625" style="100" customWidth="1"/>
    <col min="3" max="3" width="23.5703125" style="91" customWidth="1"/>
    <col min="4" max="16384" width="11.42578125" style="91"/>
  </cols>
  <sheetData>
    <row r="2" spans="2:3" ht="11.25" customHeight="1">
      <c r="B2" s="444" t="s">
        <v>284</v>
      </c>
      <c r="C2" s="444"/>
    </row>
    <row r="3" spans="2:3" ht="11.25" customHeight="1">
      <c r="B3" s="445" t="s">
        <v>17</v>
      </c>
      <c r="C3" s="445"/>
    </row>
    <row r="4" spans="2:3" ht="11.25" customHeight="1">
      <c r="B4" s="445" t="s">
        <v>468</v>
      </c>
      <c r="C4" s="445"/>
    </row>
    <row r="6" spans="2:3" s="92" customFormat="1">
      <c r="B6" s="442" t="s">
        <v>285</v>
      </c>
      <c r="C6" s="440" t="s">
        <v>286</v>
      </c>
    </row>
    <row r="7" spans="2:3" s="92" customFormat="1" ht="6.75" customHeight="1">
      <c r="B7" s="443"/>
      <c r="C7" s="441"/>
    </row>
    <row r="8" spans="2:3" s="92" customFormat="1" ht="4.5" customHeight="1">
      <c r="B8" s="93"/>
      <c r="C8" s="94"/>
    </row>
    <row r="9" spans="2:3" s="92" customFormat="1" ht="12.75" customHeight="1">
      <c r="B9" s="292" t="s">
        <v>585</v>
      </c>
      <c r="C9" s="95">
        <f>SUM(C10:C22)</f>
        <v>43797</v>
      </c>
    </row>
    <row r="10" spans="2:3" s="92" customFormat="1" ht="4.5" customHeight="1">
      <c r="B10" s="93"/>
      <c r="C10" s="95"/>
    </row>
    <row r="11" spans="2:3">
      <c r="B11" s="96" t="s">
        <v>21</v>
      </c>
      <c r="C11" s="97">
        <v>3687</v>
      </c>
    </row>
    <row r="12" spans="2:3">
      <c r="B12" s="96" t="s">
        <v>22</v>
      </c>
      <c r="C12" s="97">
        <v>3478</v>
      </c>
    </row>
    <row r="13" spans="2:3">
      <c r="B13" s="96" t="s">
        <v>23</v>
      </c>
      <c r="C13" s="97">
        <v>3965</v>
      </c>
    </row>
    <row r="14" spans="2:3">
      <c r="B14" s="96" t="s">
        <v>24</v>
      </c>
      <c r="C14" s="97">
        <v>3422</v>
      </c>
    </row>
    <row r="15" spans="2:3">
      <c r="B15" s="96" t="s">
        <v>25</v>
      </c>
      <c r="C15" s="97">
        <v>3050</v>
      </c>
    </row>
    <row r="16" spans="2:3">
      <c r="B16" s="96" t="s">
        <v>26</v>
      </c>
      <c r="C16" s="97">
        <v>3125</v>
      </c>
    </row>
    <row r="17" spans="2:3">
      <c r="B17" s="96" t="s">
        <v>27</v>
      </c>
      <c r="C17" s="97">
        <v>3711</v>
      </c>
    </row>
    <row r="18" spans="2:3">
      <c r="B18" s="96" t="s">
        <v>28</v>
      </c>
      <c r="C18" s="97">
        <v>3378</v>
      </c>
    </row>
    <row r="19" spans="2:3">
      <c r="B19" s="96" t="s">
        <v>29</v>
      </c>
      <c r="C19" s="97">
        <v>3095</v>
      </c>
    </row>
    <row r="20" spans="2:3">
      <c r="B20" s="96" t="s">
        <v>30</v>
      </c>
      <c r="C20" s="97">
        <v>3252</v>
      </c>
    </row>
    <row r="21" spans="2:3">
      <c r="B21" s="96" t="s">
        <v>31</v>
      </c>
      <c r="C21" s="97">
        <v>3870</v>
      </c>
    </row>
    <row r="22" spans="2:3">
      <c r="B22" s="96" t="s">
        <v>32</v>
      </c>
      <c r="C22" s="97">
        <v>5764</v>
      </c>
    </row>
    <row r="23" spans="2:3" ht="4.5" customHeight="1">
      <c r="B23" s="98"/>
      <c r="C23" s="99"/>
    </row>
    <row r="24" spans="2:3" ht="4.5" customHeight="1"/>
    <row r="25" spans="2:3" ht="11.25" customHeight="1">
      <c r="B25" s="101" t="s">
        <v>586</v>
      </c>
      <c r="C25" s="101"/>
    </row>
    <row r="26" spans="2:3" ht="11.25" customHeight="1">
      <c r="B26" s="439" t="s">
        <v>231</v>
      </c>
      <c r="C26" s="439"/>
    </row>
  </sheetData>
  <mergeCells count="6">
    <mergeCell ref="B26:C26"/>
    <mergeCell ref="C6:C7"/>
    <mergeCell ref="B6:B7"/>
    <mergeCell ref="B2:C2"/>
    <mergeCell ref="B3:C3"/>
    <mergeCell ref="B4:C4"/>
  </mergeCells>
  <phoneticPr fontId="2" type="noConversion"/>
  <printOptions horizontalCentered="1" verticalCentered="1"/>
  <pageMargins left="0.78740157480314965" right="0.78740157480314965" top="0.47244094488188981" bottom="0.98425196850393704" header="0.27559055118110237" footer="0"/>
  <pageSetup orientation="portrait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2:B46"/>
  <sheetViews>
    <sheetView showGridLines="0" workbookViewId="0">
      <selection activeCell="E9" sqref="E9"/>
    </sheetView>
  </sheetViews>
  <sheetFormatPr baseColWidth="10" defaultColWidth="11.42578125" defaultRowHeight="12.75" customHeight="1"/>
  <cols>
    <col min="1" max="1" width="29" style="100" customWidth="1"/>
    <col min="2" max="2" width="19.5703125" style="91" customWidth="1"/>
    <col min="3" max="16384" width="11.42578125" style="91"/>
  </cols>
  <sheetData>
    <row r="2" spans="1:2" ht="11.25" customHeight="1">
      <c r="A2" s="444" t="s">
        <v>287</v>
      </c>
      <c r="B2" s="444"/>
    </row>
    <row r="3" spans="1:2" ht="11.25" customHeight="1">
      <c r="A3" s="445" t="s">
        <v>17</v>
      </c>
      <c r="B3" s="445"/>
    </row>
    <row r="4" spans="1:2" ht="11.25" customHeight="1">
      <c r="A4" s="445" t="s">
        <v>469</v>
      </c>
      <c r="B4" s="445"/>
    </row>
    <row r="6" spans="1:2" s="92" customFormat="1" ht="12.75" customHeight="1">
      <c r="A6" s="442" t="s">
        <v>288</v>
      </c>
      <c r="B6" s="440" t="s">
        <v>286</v>
      </c>
    </row>
    <row r="7" spans="1:2" s="92" customFormat="1" ht="12.75" customHeight="1">
      <c r="A7" s="443"/>
      <c r="B7" s="441"/>
    </row>
    <row r="8" spans="1:2" s="92" customFormat="1" ht="4.5" customHeight="1">
      <c r="A8" s="93"/>
      <c r="B8" s="94"/>
    </row>
    <row r="9" spans="1:2" s="92" customFormat="1" ht="12.75" customHeight="1">
      <c r="A9" s="292" t="s">
        <v>585</v>
      </c>
      <c r="B9" s="374">
        <f>SUM(B11:B42)</f>
        <v>43797</v>
      </c>
    </row>
    <row r="10" spans="1:2" s="92" customFormat="1" ht="4.5" customHeight="1">
      <c r="A10" s="93"/>
      <c r="B10" s="374"/>
    </row>
    <row r="11" spans="1:2" ht="12.75" customHeight="1">
      <c r="A11" s="96" t="s">
        <v>76</v>
      </c>
      <c r="B11" s="117">
        <v>5785</v>
      </c>
    </row>
    <row r="12" spans="1:2" ht="12.75" customHeight="1">
      <c r="A12" s="96" t="s">
        <v>77</v>
      </c>
      <c r="B12" s="117">
        <v>423</v>
      </c>
    </row>
    <row r="13" spans="1:2" ht="12.75" customHeight="1">
      <c r="A13" s="96" t="s">
        <v>78</v>
      </c>
      <c r="B13" s="117">
        <v>202</v>
      </c>
    </row>
    <row r="14" spans="1:2" ht="12.75" customHeight="1">
      <c r="A14" s="96" t="s">
        <v>79</v>
      </c>
      <c r="B14" s="117">
        <v>558</v>
      </c>
    </row>
    <row r="15" spans="1:2" ht="12.75" customHeight="1">
      <c r="A15" s="96" t="s">
        <v>80</v>
      </c>
      <c r="B15" s="117">
        <v>104</v>
      </c>
    </row>
    <row r="16" spans="1:2" ht="12.75" customHeight="1">
      <c r="A16" s="96" t="s">
        <v>81</v>
      </c>
      <c r="B16" s="117">
        <v>1502</v>
      </c>
    </row>
    <row r="17" spans="1:2" ht="12.75" customHeight="1">
      <c r="A17" s="96" t="s">
        <v>289</v>
      </c>
      <c r="B17" s="117">
        <v>44</v>
      </c>
    </row>
    <row r="18" spans="1:2" ht="12.75" customHeight="1">
      <c r="A18" s="96" t="s">
        <v>83</v>
      </c>
      <c r="B18" s="117">
        <v>217</v>
      </c>
    </row>
    <row r="19" spans="1:2" ht="12.75" customHeight="1">
      <c r="A19" s="96" t="s">
        <v>84</v>
      </c>
      <c r="B19" s="117">
        <v>1151</v>
      </c>
    </row>
    <row r="20" spans="1:2" ht="12.75" customHeight="1">
      <c r="A20" s="96" t="s">
        <v>85</v>
      </c>
      <c r="B20" s="117">
        <v>86</v>
      </c>
    </row>
    <row r="21" spans="1:2" ht="12.75" customHeight="1">
      <c r="A21" s="96" t="s">
        <v>86</v>
      </c>
      <c r="B21" s="117">
        <v>2989</v>
      </c>
    </row>
    <row r="22" spans="1:2" ht="12.75" customHeight="1">
      <c r="A22" s="96" t="s">
        <v>87</v>
      </c>
      <c r="B22" s="117">
        <v>1024</v>
      </c>
    </row>
    <row r="23" spans="1:2" ht="12.75" customHeight="1">
      <c r="A23" s="96" t="s">
        <v>88</v>
      </c>
      <c r="B23" s="117">
        <v>1942</v>
      </c>
    </row>
    <row r="24" spans="1:2" ht="12.75" customHeight="1">
      <c r="A24" s="96" t="s">
        <v>89</v>
      </c>
      <c r="B24" s="117">
        <v>540</v>
      </c>
    </row>
    <row r="25" spans="1:2" ht="12.75" customHeight="1">
      <c r="A25" s="96" t="s">
        <v>90</v>
      </c>
      <c r="B25" s="117">
        <v>369</v>
      </c>
    </row>
    <row r="26" spans="1:2" ht="12.75" customHeight="1">
      <c r="A26" s="96" t="s">
        <v>91</v>
      </c>
      <c r="B26" s="117">
        <v>35</v>
      </c>
    </row>
    <row r="27" spans="1:2" ht="12.75" customHeight="1">
      <c r="A27" s="96" t="s">
        <v>92</v>
      </c>
      <c r="B27" s="117">
        <v>599</v>
      </c>
    </row>
    <row r="28" spans="1:2" ht="12.75" customHeight="1">
      <c r="A28" s="96" t="s">
        <v>93</v>
      </c>
      <c r="B28" s="117">
        <v>1887</v>
      </c>
    </row>
    <row r="29" spans="1:2" ht="12.75" customHeight="1">
      <c r="A29" s="96" t="s">
        <v>224</v>
      </c>
      <c r="B29" s="117">
        <v>609</v>
      </c>
    </row>
    <row r="30" spans="1:2" ht="12.75" customHeight="1">
      <c r="A30" s="96" t="s">
        <v>95</v>
      </c>
      <c r="B30" s="117">
        <v>437</v>
      </c>
    </row>
    <row r="31" spans="1:2" ht="12.75" customHeight="1">
      <c r="A31" s="96" t="s">
        <v>96</v>
      </c>
      <c r="B31" s="117">
        <v>2218</v>
      </c>
    </row>
    <row r="32" spans="1:2" ht="12.75" customHeight="1">
      <c r="A32" s="96" t="s">
        <v>97</v>
      </c>
      <c r="B32" s="117">
        <v>316</v>
      </c>
    </row>
    <row r="33" spans="1:2" ht="12.75" customHeight="1">
      <c r="A33" s="96" t="s">
        <v>98</v>
      </c>
      <c r="B33" s="117">
        <v>1274</v>
      </c>
    </row>
    <row r="34" spans="1:2" ht="12.75" customHeight="1">
      <c r="A34" s="96" t="s">
        <v>99</v>
      </c>
      <c r="B34" s="117">
        <v>476</v>
      </c>
    </row>
    <row r="35" spans="1:2" ht="12.75" customHeight="1">
      <c r="A35" s="96" t="s">
        <v>100</v>
      </c>
      <c r="B35" s="117">
        <v>6557</v>
      </c>
    </row>
    <row r="36" spans="1:2" ht="12.75" customHeight="1">
      <c r="A36" s="96" t="s">
        <v>101</v>
      </c>
      <c r="B36" s="117">
        <v>247</v>
      </c>
    </row>
    <row r="37" spans="1:2" ht="12.75" customHeight="1">
      <c r="A37" s="96" t="s">
        <v>102</v>
      </c>
      <c r="B37" s="117">
        <v>667</v>
      </c>
    </row>
    <row r="38" spans="1:2" ht="12.75" customHeight="1">
      <c r="A38" s="96" t="s">
        <v>103</v>
      </c>
      <c r="B38" s="117">
        <v>897</v>
      </c>
    </row>
    <row r="39" spans="1:2" ht="12.75" customHeight="1">
      <c r="A39" s="96" t="s">
        <v>104</v>
      </c>
      <c r="B39" s="117">
        <v>468</v>
      </c>
    </row>
    <row r="40" spans="1:2" ht="12.75" customHeight="1">
      <c r="A40" s="96" t="s">
        <v>105</v>
      </c>
      <c r="B40" s="117">
        <v>216</v>
      </c>
    </row>
    <row r="41" spans="1:2" ht="12.75" customHeight="1">
      <c r="A41" s="96" t="s">
        <v>106</v>
      </c>
      <c r="B41" s="117">
        <v>133</v>
      </c>
    </row>
    <row r="42" spans="1:2" ht="12.75" customHeight="1">
      <c r="A42" s="96" t="s">
        <v>107</v>
      </c>
      <c r="B42" s="117">
        <v>9825</v>
      </c>
    </row>
    <row r="43" spans="1:2" ht="4.5" customHeight="1">
      <c r="A43" s="98"/>
      <c r="B43" s="265"/>
    </row>
    <row r="44" spans="1:2" ht="4.5" customHeight="1">
      <c r="B44" s="97"/>
    </row>
    <row r="45" spans="1:2" ht="11.25" customHeight="1">
      <c r="A45" s="102" t="s">
        <v>586</v>
      </c>
      <c r="B45" s="102"/>
    </row>
    <row r="46" spans="1:2" ht="11.25" customHeight="1">
      <c r="A46" s="446" t="s">
        <v>231</v>
      </c>
      <c r="B46" s="446"/>
    </row>
  </sheetData>
  <mergeCells count="6">
    <mergeCell ref="A46:B46"/>
    <mergeCell ref="B6:B7"/>
    <mergeCell ref="A6:A7"/>
    <mergeCell ref="A2:B2"/>
    <mergeCell ref="A3:B3"/>
    <mergeCell ref="A4:B4"/>
  </mergeCells>
  <phoneticPr fontId="2" type="noConversion"/>
  <printOptions horizontalCentered="1"/>
  <pageMargins left="0.78740157480314965" right="0.78740157480314965" top="0.98425196850393704" bottom="0.98425196850393704" header="0.55000000000000004" footer="0.69"/>
  <pageSetup orientation="portrait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2:L24"/>
  <sheetViews>
    <sheetView showGridLines="0" workbookViewId="0">
      <selection activeCell="G25" sqref="G25"/>
    </sheetView>
  </sheetViews>
  <sheetFormatPr baseColWidth="10" defaultColWidth="9.140625" defaultRowHeight="12.75"/>
  <cols>
    <col min="1" max="1" width="20" style="100" customWidth="1"/>
    <col min="2" max="2" width="12.5703125" style="91" customWidth="1"/>
    <col min="3" max="10" width="11" style="91" customWidth="1"/>
    <col min="11" max="11" width="12" style="91" customWidth="1"/>
    <col min="12" max="16384" width="9.140625" style="91"/>
  </cols>
  <sheetData>
    <row r="2" spans="1:12" ht="11.25" customHeight="1">
      <c r="A2" s="444" t="s">
        <v>290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</row>
    <row r="3" spans="1:12" ht="11.25" customHeight="1">
      <c r="A3" s="445" t="s">
        <v>17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</row>
    <row r="4" spans="1:12" ht="11.25" customHeight="1">
      <c r="A4" s="445" t="s">
        <v>470</v>
      </c>
      <c r="B4" s="445"/>
      <c r="C4" s="445"/>
      <c r="D4" s="445"/>
      <c r="E4" s="445"/>
      <c r="F4" s="445"/>
      <c r="G4" s="445"/>
      <c r="H4" s="445"/>
      <c r="I4" s="445"/>
      <c r="J4" s="445"/>
      <c r="K4" s="445"/>
    </row>
    <row r="6" spans="1:12" s="92" customFormat="1" ht="15" customHeight="1">
      <c r="A6" s="442" t="s">
        <v>291</v>
      </c>
      <c r="B6" s="447" t="s">
        <v>292</v>
      </c>
      <c r="C6" s="447"/>
      <c r="D6" s="447"/>
      <c r="E6" s="447"/>
      <c r="F6" s="447"/>
      <c r="G6" s="447"/>
      <c r="H6" s="447"/>
      <c r="I6" s="447"/>
      <c r="J6" s="447"/>
      <c r="K6" s="447"/>
    </row>
    <row r="7" spans="1:12" s="92" customFormat="1" ht="25.5" customHeight="1">
      <c r="A7" s="443"/>
      <c r="B7" s="103" t="s">
        <v>62</v>
      </c>
      <c r="C7" s="103" t="s">
        <v>63</v>
      </c>
      <c r="D7" s="103" t="s">
        <v>64</v>
      </c>
      <c r="E7" s="103" t="s">
        <v>65</v>
      </c>
      <c r="F7" s="103" t="s">
        <v>66</v>
      </c>
      <c r="G7" s="103" t="s">
        <v>67</v>
      </c>
      <c r="H7" s="103" t="s">
        <v>68</v>
      </c>
      <c r="I7" s="103" t="s">
        <v>69</v>
      </c>
      <c r="J7" s="103" t="s">
        <v>293</v>
      </c>
      <c r="K7" s="103" t="s">
        <v>33</v>
      </c>
    </row>
    <row r="8" spans="1:12" s="92" customFormat="1" ht="4.5" customHeight="1">
      <c r="A8" s="93"/>
      <c r="B8" s="104"/>
      <c r="C8" s="104"/>
      <c r="D8" s="104"/>
      <c r="E8" s="104"/>
      <c r="F8" s="104"/>
      <c r="G8" s="104"/>
      <c r="H8" s="104"/>
      <c r="I8" s="104"/>
      <c r="J8" s="104"/>
      <c r="K8" s="104"/>
    </row>
    <row r="9" spans="1:12" s="92" customFormat="1" ht="12.75" customHeight="1">
      <c r="A9" s="292" t="s">
        <v>585</v>
      </c>
      <c r="B9" s="106">
        <f>SUM(B11:B20)</f>
        <v>43797</v>
      </c>
      <c r="C9" s="106">
        <f t="shared" ref="C9:K9" si="0">SUM(C11:C20)</f>
        <v>455</v>
      </c>
      <c r="D9" s="106">
        <f t="shared" si="0"/>
        <v>5393</v>
      </c>
      <c r="E9" s="106">
        <f t="shared" si="0"/>
        <v>9218</v>
      </c>
      <c r="F9" s="106">
        <f t="shared" si="0"/>
        <v>8072</v>
      </c>
      <c r="G9" s="106">
        <f t="shared" si="0"/>
        <v>6210</v>
      </c>
      <c r="H9" s="106">
        <f t="shared" si="0"/>
        <v>4716</v>
      </c>
      <c r="I9" s="106">
        <f t="shared" si="0"/>
        <v>3310</v>
      </c>
      <c r="J9" s="106">
        <f t="shared" si="0"/>
        <v>6061</v>
      </c>
      <c r="K9" s="106">
        <f t="shared" si="0"/>
        <v>362</v>
      </c>
    </row>
    <row r="10" spans="1:12" ht="4.5" customHeight="1">
      <c r="A10" s="96"/>
      <c r="B10" s="108"/>
      <c r="C10" s="108"/>
      <c r="D10" s="108"/>
      <c r="E10" s="108"/>
      <c r="F10" s="108"/>
      <c r="G10" s="108"/>
      <c r="H10" s="108"/>
      <c r="I10" s="108"/>
      <c r="J10" s="108"/>
      <c r="K10" s="108"/>
    </row>
    <row r="11" spans="1:12" ht="12.75" customHeight="1">
      <c r="A11" s="96" t="s">
        <v>62</v>
      </c>
      <c r="B11" s="108">
        <f>+C11+D11+E11+F11+G11+H11+I11+J11+K11</f>
        <v>12</v>
      </c>
      <c r="C11" s="108">
        <v>3</v>
      </c>
      <c r="D11" s="108">
        <v>5</v>
      </c>
      <c r="E11" s="108">
        <v>1</v>
      </c>
      <c r="F11" s="108">
        <v>1</v>
      </c>
      <c r="G11" s="108">
        <v>0</v>
      </c>
      <c r="H11" s="108">
        <v>1</v>
      </c>
      <c r="I11" s="108">
        <v>0</v>
      </c>
      <c r="J11" s="108">
        <v>1</v>
      </c>
      <c r="K11" s="108">
        <v>0</v>
      </c>
    </row>
    <row r="12" spans="1:12">
      <c r="A12" s="96" t="s">
        <v>63</v>
      </c>
      <c r="B12" s="108">
        <f>+C12+D12+E12+F12+G12+H12+I12+J12+K12</f>
        <v>2543</v>
      </c>
      <c r="C12" s="108">
        <v>173</v>
      </c>
      <c r="D12" s="108">
        <v>1117</v>
      </c>
      <c r="E12" s="108">
        <v>699</v>
      </c>
      <c r="F12" s="108">
        <v>298</v>
      </c>
      <c r="G12" s="108">
        <v>131</v>
      </c>
      <c r="H12" s="108">
        <v>52</v>
      </c>
      <c r="I12" s="108">
        <v>34</v>
      </c>
      <c r="J12" s="108">
        <v>37</v>
      </c>
      <c r="K12" s="108">
        <v>2</v>
      </c>
      <c r="L12" s="108"/>
    </row>
    <row r="13" spans="1:12">
      <c r="A13" s="96" t="s">
        <v>64</v>
      </c>
      <c r="B13" s="108">
        <f t="shared" ref="B13:B20" si="1">+C13+D13+E13+F13+G13+H13+I13+J13+K13</f>
        <v>9273</v>
      </c>
      <c r="C13" s="108">
        <v>187</v>
      </c>
      <c r="D13" s="108">
        <v>2753</v>
      </c>
      <c r="E13" s="108">
        <v>3379</v>
      </c>
      <c r="F13" s="108">
        <v>1559</v>
      </c>
      <c r="G13" s="108">
        <v>665</v>
      </c>
      <c r="H13" s="108">
        <v>318</v>
      </c>
      <c r="I13" s="108">
        <v>201</v>
      </c>
      <c r="J13" s="108">
        <v>207</v>
      </c>
      <c r="K13" s="108">
        <v>4</v>
      </c>
      <c r="L13" s="108"/>
    </row>
    <row r="14" spans="1:12">
      <c r="A14" s="96" t="s">
        <v>65</v>
      </c>
      <c r="B14" s="108">
        <f t="shared" si="1"/>
        <v>9827</v>
      </c>
      <c r="C14" s="108">
        <v>54</v>
      </c>
      <c r="D14" s="108">
        <v>974</v>
      </c>
      <c r="E14" s="108">
        <v>3471</v>
      </c>
      <c r="F14" s="108">
        <v>2702</v>
      </c>
      <c r="G14" s="108">
        <v>1253</v>
      </c>
      <c r="H14" s="108">
        <v>630</v>
      </c>
      <c r="I14" s="108">
        <v>332</v>
      </c>
      <c r="J14" s="108">
        <v>404</v>
      </c>
      <c r="K14" s="108">
        <v>7</v>
      </c>
      <c r="L14" s="108"/>
    </row>
    <row r="15" spans="1:12">
      <c r="A15" s="96" t="s">
        <v>66</v>
      </c>
      <c r="B15" s="108">
        <f t="shared" si="1"/>
        <v>7464</v>
      </c>
      <c r="C15" s="108">
        <v>24</v>
      </c>
      <c r="D15" s="108">
        <v>318</v>
      </c>
      <c r="E15" s="108">
        <v>1033</v>
      </c>
      <c r="F15" s="108">
        <v>2157</v>
      </c>
      <c r="G15" s="108">
        <v>1934</v>
      </c>
      <c r="H15" s="108">
        <v>949</v>
      </c>
      <c r="I15" s="108">
        <v>489</v>
      </c>
      <c r="J15" s="108">
        <v>556</v>
      </c>
      <c r="K15" s="108">
        <v>4</v>
      </c>
      <c r="L15" s="108"/>
    </row>
    <row r="16" spans="1:12">
      <c r="A16" s="96" t="s">
        <v>67</v>
      </c>
      <c r="B16" s="108">
        <f t="shared" si="1"/>
        <v>5164</v>
      </c>
      <c r="C16" s="108">
        <v>7</v>
      </c>
      <c r="D16" s="108">
        <v>114</v>
      </c>
      <c r="E16" s="108">
        <v>356</v>
      </c>
      <c r="F16" s="108">
        <v>792</v>
      </c>
      <c r="G16" s="108">
        <v>1387</v>
      </c>
      <c r="H16" s="108">
        <v>1216</v>
      </c>
      <c r="I16" s="108">
        <v>644</v>
      </c>
      <c r="J16" s="108">
        <v>646</v>
      </c>
      <c r="K16" s="108">
        <v>2</v>
      </c>
      <c r="L16" s="108"/>
    </row>
    <row r="17" spans="1:12">
      <c r="A17" s="96" t="s">
        <v>68</v>
      </c>
      <c r="B17" s="108">
        <f t="shared" si="1"/>
        <v>3659</v>
      </c>
      <c r="C17" s="108">
        <v>3</v>
      </c>
      <c r="D17" s="108">
        <v>54</v>
      </c>
      <c r="E17" s="108">
        <v>141</v>
      </c>
      <c r="F17" s="108">
        <v>338</v>
      </c>
      <c r="G17" s="108">
        <v>487</v>
      </c>
      <c r="H17" s="108">
        <v>952</v>
      </c>
      <c r="I17" s="108">
        <v>781</v>
      </c>
      <c r="J17" s="108">
        <v>902</v>
      </c>
      <c r="K17" s="108">
        <v>1</v>
      </c>
      <c r="L17" s="108"/>
    </row>
    <row r="18" spans="1:12">
      <c r="A18" s="96" t="s">
        <v>69</v>
      </c>
      <c r="B18" s="108">
        <f t="shared" si="1"/>
        <v>2370</v>
      </c>
      <c r="C18" s="108">
        <v>3</v>
      </c>
      <c r="D18" s="108">
        <v>21</v>
      </c>
      <c r="E18" s="108">
        <v>58</v>
      </c>
      <c r="F18" s="108">
        <v>121</v>
      </c>
      <c r="G18" s="108">
        <v>218</v>
      </c>
      <c r="H18" s="108">
        <v>349</v>
      </c>
      <c r="I18" s="108">
        <v>532</v>
      </c>
      <c r="J18" s="108">
        <v>1067</v>
      </c>
      <c r="K18" s="108">
        <v>1</v>
      </c>
      <c r="L18" s="108"/>
    </row>
    <row r="19" spans="1:12">
      <c r="A19" s="96" t="s">
        <v>293</v>
      </c>
      <c r="B19" s="108">
        <f t="shared" si="1"/>
        <v>3025</v>
      </c>
      <c r="C19" s="108">
        <v>1</v>
      </c>
      <c r="D19" s="108">
        <v>20</v>
      </c>
      <c r="E19" s="108">
        <v>49</v>
      </c>
      <c r="F19" s="108">
        <v>82</v>
      </c>
      <c r="G19" s="108">
        <v>122</v>
      </c>
      <c r="H19" s="108">
        <v>239</v>
      </c>
      <c r="I19" s="108">
        <v>288</v>
      </c>
      <c r="J19" s="108">
        <v>2221</v>
      </c>
      <c r="K19" s="108">
        <v>3</v>
      </c>
      <c r="L19" s="108"/>
    </row>
    <row r="20" spans="1:12">
      <c r="A20" s="96" t="s">
        <v>33</v>
      </c>
      <c r="B20" s="108">
        <f t="shared" si="1"/>
        <v>460</v>
      </c>
      <c r="C20" s="108">
        <v>0</v>
      </c>
      <c r="D20" s="108">
        <v>17</v>
      </c>
      <c r="E20" s="108">
        <v>31</v>
      </c>
      <c r="F20" s="108">
        <v>22</v>
      </c>
      <c r="G20" s="108">
        <v>13</v>
      </c>
      <c r="H20" s="108">
        <v>10</v>
      </c>
      <c r="I20" s="108">
        <v>9</v>
      </c>
      <c r="J20" s="108">
        <v>20</v>
      </c>
      <c r="K20" s="108">
        <v>338</v>
      </c>
      <c r="L20" s="108"/>
    </row>
    <row r="21" spans="1:12" ht="4.5" customHeight="1">
      <c r="A21" s="98"/>
      <c r="B21" s="99"/>
      <c r="C21" s="99"/>
      <c r="D21" s="99"/>
      <c r="E21" s="99"/>
      <c r="F21" s="99"/>
      <c r="G21" s="99"/>
      <c r="H21" s="99"/>
      <c r="I21" s="99"/>
      <c r="J21" s="99"/>
      <c r="K21" s="99"/>
    </row>
    <row r="22" spans="1:12" ht="4.5" customHeight="1"/>
    <row r="23" spans="1:12" ht="11.25" customHeight="1">
      <c r="A23" s="102" t="s">
        <v>586</v>
      </c>
      <c r="B23" s="102"/>
    </row>
    <row r="24" spans="1:12" ht="11.25" customHeight="1">
      <c r="A24" s="446" t="s">
        <v>231</v>
      </c>
      <c r="B24" s="446"/>
    </row>
  </sheetData>
  <mergeCells count="6">
    <mergeCell ref="A24:B24"/>
    <mergeCell ref="B6:K6"/>
    <mergeCell ref="A6:A7"/>
    <mergeCell ref="A2:K2"/>
    <mergeCell ref="A3:K3"/>
    <mergeCell ref="A4:K4"/>
  </mergeCells>
  <phoneticPr fontId="2" type="noConversion"/>
  <printOptions horizontalCentered="1"/>
  <pageMargins left="0.38" right="0.23" top="0.72" bottom="0.98425196850393704" header="0.6" footer="0"/>
  <pageSetup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B2:D16"/>
  <sheetViews>
    <sheetView showGridLines="0" workbookViewId="0">
      <selection activeCell="E30" sqref="E30"/>
    </sheetView>
  </sheetViews>
  <sheetFormatPr baseColWidth="10" defaultColWidth="11.42578125" defaultRowHeight="12.75"/>
  <cols>
    <col min="1" max="1" width="11.42578125" style="91"/>
    <col min="2" max="2" width="34.5703125" style="100" customWidth="1"/>
    <col min="3" max="3" width="17.7109375" style="91" customWidth="1"/>
    <col min="4" max="4" width="15.140625" style="91" bestFit="1" customWidth="1"/>
    <col min="5" max="16384" width="11.42578125" style="91"/>
  </cols>
  <sheetData>
    <row r="2" spans="2:4" ht="11.25" customHeight="1">
      <c r="B2" s="448" t="s">
        <v>294</v>
      </c>
      <c r="C2" s="448"/>
      <c r="D2" s="448"/>
    </row>
    <row r="3" spans="2:4" ht="11.25" customHeight="1">
      <c r="B3" s="445" t="s">
        <v>17</v>
      </c>
      <c r="C3" s="445"/>
      <c r="D3" s="445"/>
    </row>
    <row r="4" spans="2:4" ht="11.25" customHeight="1">
      <c r="B4" s="445" t="s">
        <v>471</v>
      </c>
      <c r="C4" s="445"/>
      <c r="D4" s="445"/>
    </row>
    <row r="5" spans="2:4" ht="11.25" customHeight="1"/>
    <row r="6" spans="2:4" s="92" customFormat="1">
      <c r="B6" s="109" t="s">
        <v>295</v>
      </c>
      <c r="C6" s="110" t="s">
        <v>286</v>
      </c>
      <c r="D6" s="110" t="s">
        <v>332</v>
      </c>
    </row>
    <row r="7" spans="2:4" s="92" customFormat="1" ht="4.5" customHeight="1">
      <c r="B7" s="93"/>
      <c r="C7" s="94"/>
      <c r="D7" s="94"/>
    </row>
    <row r="8" spans="2:4" s="92" customFormat="1" ht="12.75" customHeight="1">
      <c r="B8" s="292" t="s">
        <v>585</v>
      </c>
      <c r="C8" s="105">
        <f>SUM(C10:C11)</f>
        <v>43797</v>
      </c>
      <c r="D8" s="172">
        <f>SUM(D10:D11)</f>
        <v>100</v>
      </c>
    </row>
    <row r="9" spans="2:4" ht="4.5" customHeight="1">
      <c r="B9" s="96"/>
      <c r="C9" s="107"/>
      <c r="D9" s="107"/>
    </row>
    <row r="10" spans="2:4">
      <c r="B10" s="96" t="s">
        <v>296</v>
      </c>
      <c r="C10" s="266">
        <v>39993</v>
      </c>
      <c r="D10" s="173">
        <f>C10/C8*100</f>
        <v>91.31447359408179</v>
      </c>
    </row>
    <row r="11" spans="2:4">
      <c r="B11" s="96" t="s">
        <v>297</v>
      </c>
      <c r="C11" s="266">
        <v>3804</v>
      </c>
      <c r="D11" s="173">
        <f>C11/C8*100</f>
        <v>8.685526405918214</v>
      </c>
    </row>
    <row r="12" spans="2:4" ht="4.5" customHeight="1">
      <c r="B12" s="98"/>
      <c r="C12" s="99"/>
      <c r="D12" s="99"/>
    </row>
    <row r="13" spans="2:4" ht="4.5" customHeight="1"/>
    <row r="14" spans="2:4" ht="11.25" customHeight="1">
      <c r="B14" s="102" t="s">
        <v>586</v>
      </c>
      <c r="C14" s="102"/>
    </row>
    <row r="15" spans="2:4" ht="11.25" customHeight="1">
      <c r="B15" s="446" t="s">
        <v>231</v>
      </c>
      <c r="C15" s="446"/>
    </row>
    <row r="16" spans="2:4" ht="11.25" customHeight="1"/>
  </sheetData>
  <mergeCells count="4">
    <mergeCell ref="B15:C15"/>
    <mergeCell ref="B4:D4"/>
    <mergeCell ref="B3:D3"/>
    <mergeCell ref="B2:D2"/>
  </mergeCells>
  <phoneticPr fontId="2" type="noConversion"/>
  <printOptions horizontalCentered="1"/>
  <pageMargins left="0.78740157480314965" right="0.78740157480314965" top="0.98425196850393704" bottom="0.98425196850393704" header="0.72" footer="0.5"/>
  <pageSetup orientation="portrait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theme="4" tint="0.59999389629810485"/>
  </sheetPr>
  <dimension ref="A2:CN89"/>
  <sheetViews>
    <sheetView showGridLines="0" workbookViewId="0">
      <selection activeCell="A4" sqref="A4:CK4"/>
    </sheetView>
  </sheetViews>
  <sheetFormatPr baseColWidth="10" defaultColWidth="9.140625" defaultRowHeight="12.75"/>
  <cols>
    <col min="1" max="1" width="20.85546875" style="100" customWidth="1"/>
    <col min="2" max="2" width="12.42578125" style="91" customWidth="1"/>
    <col min="3" max="28" width="10.85546875" style="91" customWidth="1"/>
    <col min="29" max="29" width="12" style="91" customWidth="1"/>
    <col min="30" max="60" width="10.85546875" style="91" customWidth="1"/>
    <col min="61" max="61" width="9.7109375" style="91" customWidth="1"/>
    <col min="62" max="66" width="10.85546875" style="91" customWidth="1"/>
    <col min="67" max="67" width="8.85546875" style="91" customWidth="1"/>
    <col min="68" max="68" width="10.85546875" style="91" customWidth="1"/>
    <col min="69" max="69" width="12.42578125" style="91" customWidth="1"/>
    <col min="70" max="72" width="10.85546875" style="91" customWidth="1"/>
    <col min="73" max="73" width="9.5703125" style="91" customWidth="1"/>
    <col min="74" max="74" width="10.85546875" style="91" customWidth="1"/>
    <col min="75" max="75" width="9.28515625" style="91" customWidth="1"/>
    <col min="76" max="80" width="10.85546875" style="91" customWidth="1"/>
    <col min="81" max="81" width="9.5703125" style="91" customWidth="1"/>
    <col min="82" max="82" width="9.28515625" style="91" customWidth="1"/>
    <col min="83" max="83" width="10.85546875" style="91" customWidth="1"/>
    <col min="84" max="84" width="8" style="91" customWidth="1"/>
    <col min="85" max="85" width="10.85546875" style="91" customWidth="1"/>
    <col min="86" max="86" width="12.28515625" style="91" customWidth="1"/>
    <col min="87" max="88" width="10.85546875" style="91" customWidth="1"/>
    <col min="89" max="89" width="11.85546875" style="91" customWidth="1"/>
    <col min="90" max="90" width="9.5703125" style="91" bestFit="1" customWidth="1"/>
    <col min="91" max="91" width="13.42578125" style="91" customWidth="1"/>
    <col min="92" max="92" width="11.28515625" style="91" customWidth="1"/>
    <col min="93" max="16384" width="9.140625" style="91"/>
  </cols>
  <sheetData>
    <row r="2" spans="1:92" ht="11.25" customHeight="1">
      <c r="A2" s="444" t="s">
        <v>298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</row>
    <row r="3" spans="1:92" ht="11.25" customHeight="1">
      <c r="A3" s="445" t="s">
        <v>17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</row>
    <row r="4" spans="1:92" ht="11.25" customHeight="1">
      <c r="A4" s="445" t="s">
        <v>487</v>
      </c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</row>
    <row r="5" spans="1:92" ht="11.25" customHeight="1"/>
    <row r="6" spans="1:92" s="92" customFormat="1" ht="12.75" customHeight="1">
      <c r="A6" s="442" t="s">
        <v>300</v>
      </c>
      <c r="B6" s="449" t="s">
        <v>61</v>
      </c>
      <c r="C6" s="451" t="s">
        <v>301</v>
      </c>
      <c r="D6" s="451"/>
      <c r="E6" s="451"/>
      <c r="F6" s="451"/>
      <c r="G6" s="451"/>
      <c r="H6" s="451"/>
      <c r="I6" s="451"/>
      <c r="J6" s="451"/>
      <c r="K6" s="451"/>
      <c r="L6" s="451"/>
      <c r="M6" s="451"/>
      <c r="N6" s="451"/>
      <c r="O6" s="451"/>
      <c r="P6" s="451"/>
      <c r="Q6" s="451"/>
      <c r="R6" s="451"/>
      <c r="S6" s="451"/>
      <c r="T6" s="451"/>
      <c r="U6" s="451"/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1"/>
      <c r="AY6" s="451"/>
      <c r="AZ6" s="451"/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1"/>
      <c r="BU6" s="451"/>
      <c r="BV6" s="451"/>
      <c r="BW6" s="451"/>
      <c r="BX6" s="451"/>
      <c r="BY6" s="451"/>
      <c r="BZ6" s="451"/>
      <c r="CA6" s="451"/>
      <c r="CB6" s="451"/>
      <c r="CC6" s="451"/>
      <c r="CD6" s="451"/>
      <c r="CE6" s="451"/>
      <c r="CF6" s="451"/>
      <c r="CG6" s="451"/>
      <c r="CH6" s="451"/>
      <c r="CI6" s="451"/>
      <c r="CJ6" s="451"/>
      <c r="CK6" s="451"/>
      <c r="CL6" s="451"/>
      <c r="CM6" s="451"/>
      <c r="CN6" s="451"/>
    </row>
    <row r="7" spans="1:92" s="92" customFormat="1" ht="27.75" customHeight="1">
      <c r="A7" s="443"/>
      <c r="B7" s="450"/>
      <c r="C7" s="361" t="s">
        <v>605</v>
      </c>
      <c r="D7" s="361" t="s">
        <v>606</v>
      </c>
      <c r="E7" s="361" t="s">
        <v>607</v>
      </c>
      <c r="F7" s="361" t="s">
        <v>563</v>
      </c>
      <c r="G7" s="361" t="s">
        <v>477</v>
      </c>
      <c r="H7" s="361" t="s">
        <v>398</v>
      </c>
      <c r="I7" s="361" t="s">
        <v>618</v>
      </c>
      <c r="J7" s="361" t="s">
        <v>354</v>
      </c>
      <c r="K7" s="361" t="s">
        <v>619</v>
      </c>
      <c r="L7" s="361" t="s">
        <v>400</v>
      </c>
      <c r="M7" s="361" t="s">
        <v>401</v>
      </c>
      <c r="N7" s="361" t="s">
        <v>478</v>
      </c>
      <c r="O7" s="361" t="s">
        <v>603</v>
      </c>
      <c r="P7" s="361" t="s">
        <v>603</v>
      </c>
      <c r="Q7" s="361" t="s">
        <v>340</v>
      </c>
      <c r="R7" s="361" t="s">
        <v>341</v>
      </c>
      <c r="S7" s="361" t="s">
        <v>479</v>
      </c>
      <c r="T7" s="361" t="s">
        <v>403</v>
      </c>
      <c r="U7" s="361" t="s">
        <v>342</v>
      </c>
      <c r="V7" s="361" t="s">
        <v>404</v>
      </c>
      <c r="W7" s="361" t="s">
        <v>572</v>
      </c>
      <c r="X7" s="361" t="s">
        <v>472</v>
      </c>
      <c r="Y7" s="361" t="s">
        <v>343</v>
      </c>
      <c r="Z7" s="361" t="s">
        <v>594</v>
      </c>
      <c r="AA7" s="361" t="s">
        <v>587</v>
      </c>
      <c r="AB7" s="361" t="s">
        <v>588</v>
      </c>
      <c r="AC7" s="361" t="s">
        <v>44</v>
      </c>
      <c r="AD7" s="361" t="s">
        <v>344</v>
      </c>
      <c r="AE7" s="361" t="s">
        <v>405</v>
      </c>
      <c r="AF7" s="361" t="s">
        <v>551</v>
      </c>
      <c r="AG7" s="361" t="s">
        <v>589</v>
      </c>
      <c r="AH7" s="361" t="s">
        <v>573</v>
      </c>
      <c r="AI7" s="361" t="s">
        <v>608</v>
      </c>
      <c r="AJ7" s="361" t="s">
        <v>574</v>
      </c>
      <c r="AK7" s="361" t="s">
        <v>609</v>
      </c>
      <c r="AL7" s="361" t="s">
        <v>481</v>
      </c>
      <c r="AM7" s="361" t="s">
        <v>345</v>
      </c>
      <c r="AN7" s="361" t="s">
        <v>346</v>
      </c>
      <c r="AO7" s="361" t="s">
        <v>408</v>
      </c>
      <c r="AP7" s="361" t="s">
        <v>590</v>
      </c>
      <c r="AQ7" s="361" t="s">
        <v>482</v>
      </c>
      <c r="AR7" s="361" t="s">
        <v>473</v>
      </c>
      <c r="AS7" s="361" t="s">
        <v>604</v>
      </c>
      <c r="AT7" s="361" t="s">
        <v>591</v>
      </c>
      <c r="AU7" s="361" t="s">
        <v>348</v>
      </c>
      <c r="AV7" s="361" t="s">
        <v>610</v>
      </c>
      <c r="AW7" s="361" t="s">
        <v>592</v>
      </c>
      <c r="AX7" s="361" t="s">
        <v>575</v>
      </c>
      <c r="AY7" s="361" t="s">
        <v>620</v>
      </c>
      <c r="AZ7" s="361" t="s">
        <v>593</v>
      </c>
      <c r="BA7" s="361" t="s">
        <v>611</v>
      </c>
      <c r="BB7" s="361" t="s">
        <v>349</v>
      </c>
      <c r="BC7" s="361" t="s">
        <v>595</v>
      </c>
      <c r="BD7" s="361" t="s">
        <v>474</v>
      </c>
      <c r="BE7" s="361" t="s">
        <v>621</v>
      </c>
      <c r="BF7" s="361" t="s">
        <v>621</v>
      </c>
      <c r="BG7" s="361" t="s">
        <v>622</v>
      </c>
      <c r="BH7" s="361" t="s">
        <v>582</v>
      </c>
      <c r="BI7" s="361" t="s">
        <v>596</v>
      </c>
      <c r="BJ7" s="361" t="s">
        <v>603</v>
      </c>
      <c r="BK7" s="361" t="s">
        <v>439</v>
      </c>
      <c r="BL7" s="361" t="s">
        <v>577</v>
      </c>
      <c r="BM7" s="361" t="s">
        <v>552</v>
      </c>
      <c r="BN7" s="361" t="s">
        <v>569</v>
      </c>
      <c r="BO7" s="361" t="s">
        <v>553</v>
      </c>
      <c r="BP7" s="361" t="s">
        <v>612</v>
      </c>
      <c r="BQ7" s="361" t="s">
        <v>597</v>
      </c>
      <c r="BR7" s="361" t="s">
        <v>484</v>
      </c>
      <c r="BS7" s="361" t="s">
        <v>578</v>
      </c>
      <c r="BT7" s="361" t="s">
        <v>598</v>
      </c>
      <c r="BU7" s="361" t="s">
        <v>350</v>
      </c>
      <c r="BV7" s="361" t="s">
        <v>603</v>
      </c>
      <c r="BW7" s="361">
        <v>688</v>
      </c>
      <c r="BX7" s="361" t="s">
        <v>613</v>
      </c>
      <c r="BY7" s="361" t="s">
        <v>485</v>
      </c>
      <c r="BZ7" s="361" t="s">
        <v>414</v>
      </c>
      <c r="CA7" s="361" t="s">
        <v>599</v>
      </c>
      <c r="CB7" s="361" t="s">
        <v>351</v>
      </c>
      <c r="CC7" s="361" t="s">
        <v>600</v>
      </c>
      <c r="CD7" s="361" t="s">
        <v>352</v>
      </c>
      <c r="CE7" s="360" t="s">
        <v>623</v>
      </c>
      <c r="CF7" s="361" t="s">
        <v>601</v>
      </c>
      <c r="CG7" s="361" t="s">
        <v>603</v>
      </c>
      <c r="CH7" s="361" t="s">
        <v>602</v>
      </c>
      <c r="CI7" s="361" t="s">
        <v>603</v>
      </c>
      <c r="CJ7" s="361" t="s">
        <v>353</v>
      </c>
      <c r="CK7" s="361" t="s">
        <v>565</v>
      </c>
      <c r="CL7" s="361" t="s">
        <v>475</v>
      </c>
      <c r="CM7" s="360" t="s">
        <v>624</v>
      </c>
      <c r="CN7" s="360" t="s">
        <v>333</v>
      </c>
    </row>
    <row r="8" spans="1:92" ht="4.5" customHeight="1">
      <c r="A8" s="96"/>
      <c r="B8" s="112"/>
      <c r="C8" s="112"/>
      <c r="D8" s="112"/>
      <c r="E8" s="112"/>
    </row>
    <row r="9" spans="1:92" s="92" customFormat="1" ht="12.75" customHeight="1">
      <c r="A9" s="303" t="s">
        <v>585</v>
      </c>
      <c r="B9" s="106">
        <f>SUM(B11:B81)</f>
        <v>43797</v>
      </c>
      <c r="C9" s="105">
        <f t="shared" ref="C9:BN9" si="0">SUM(C11:C81)</f>
        <v>1</v>
      </c>
      <c r="D9" s="105">
        <f t="shared" si="0"/>
        <v>1</v>
      </c>
      <c r="E9" s="105">
        <f t="shared" si="0"/>
        <v>2</v>
      </c>
      <c r="F9" s="105">
        <f t="shared" si="0"/>
        <v>16</v>
      </c>
      <c r="G9" s="105">
        <f t="shared" si="0"/>
        <v>11</v>
      </c>
      <c r="H9" s="105">
        <f t="shared" si="0"/>
        <v>16</v>
      </c>
      <c r="I9" s="105">
        <f t="shared" si="0"/>
        <v>2</v>
      </c>
      <c r="J9" s="105">
        <f t="shared" si="0"/>
        <v>25</v>
      </c>
      <c r="K9" s="105">
        <f t="shared" si="0"/>
        <v>1</v>
      </c>
      <c r="L9" s="105">
        <f t="shared" si="0"/>
        <v>3</v>
      </c>
      <c r="M9" s="105">
        <f t="shared" si="0"/>
        <v>10</v>
      </c>
      <c r="N9" s="105">
        <f t="shared" si="0"/>
        <v>1</v>
      </c>
      <c r="O9" s="105">
        <f t="shared" si="0"/>
        <v>1</v>
      </c>
      <c r="P9" s="105">
        <f t="shared" si="0"/>
        <v>3</v>
      </c>
      <c r="Q9" s="105">
        <f t="shared" si="0"/>
        <v>1</v>
      </c>
      <c r="R9" s="106">
        <f t="shared" si="0"/>
        <v>988</v>
      </c>
      <c r="S9" s="105">
        <f t="shared" si="0"/>
        <v>2</v>
      </c>
      <c r="T9" s="105">
        <f t="shared" si="0"/>
        <v>9</v>
      </c>
      <c r="U9" s="105">
        <f t="shared" si="0"/>
        <v>16</v>
      </c>
      <c r="V9" s="105">
        <f t="shared" si="0"/>
        <v>34</v>
      </c>
      <c r="W9" s="105">
        <f t="shared" si="0"/>
        <v>4</v>
      </c>
      <c r="X9" s="105">
        <f t="shared" si="0"/>
        <v>3</v>
      </c>
      <c r="Y9" s="105">
        <f t="shared" si="0"/>
        <v>33</v>
      </c>
      <c r="Z9" s="105">
        <f t="shared" si="0"/>
        <v>4</v>
      </c>
      <c r="AA9" s="105">
        <f t="shared" si="0"/>
        <v>4</v>
      </c>
      <c r="AB9" s="105">
        <f t="shared" si="0"/>
        <v>4</v>
      </c>
      <c r="AC9" s="106">
        <f t="shared" si="0"/>
        <v>37145</v>
      </c>
      <c r="AD9" s="105">
        <f t="shared" si="0"/>
        <v>22</v>
      </c>
      <c r="AE9" s="105">
        <f t="shared" si="0"/>
        <v>10</v>
      </c>
      <c r="AF9" s="105">
        <f t="shared" si="0"/>
        <v>1</v>
      </c>
      <c r="AG9" s="105">
        <f t="shared" si="0"/>
        <v>4</v>
      </c>
      <c r="AH9" s="105">
        <f t="shared" si="0"/>
        <v>90</v>
      </c>
      <c r="AI9" s="105">
        <f t="shared" si="0"/>
        <v>1</v>
      </c>
      <c r="AJ9" s="105">
        <f t="shared" si="0"/>
        <v>120</v>
      </c>
      <c r="AK9" s="105">
        <f t="shared" si="0"/>
        <v>5</v>
      </c>
      <c r="AL9" s="105">
        <f t="shared" si="0"/>
        <v>6</v>
      </c>
      <c r="AM9" s="106">
        <f t="shared" si="0"/>
        <v>189</v>
      </c>
      <c r="AN9" s="105">
        <f t="shared" si="0"/>
        <v>5</v>
      </c>
      <c r="AO9" s="105">
        <f t="shared" si="0"/>
        <v>2</v>
      </c>
      <c r="AP9" s="105">
        <f t="shared" si="0"/>
        <v>1</v>
      </c>
      <c r="AQ9" s="105">
        <f t="shared" si="0"/>
        <v>1</v>
      </c>
      <c r="AR9" s="105">
        <f t="shared" si="0"/>
        <v>1</v>
      </c>
      <c r="AS9" s="105">
        <f t="shared" si="0"/>
        <v>1</v>
      </c>
      <c r="AT9" s="105">
        <f t="shared" si="0"/>
        <v>12</v>
      </c>
      <c r="AU9" s="106">
        <f t="shared" si="0"/>
        <v>424</v>
      </c>
      <c r="AV9" s="105">
        <f t="shared" si="0"/>
        <v>2</v>
      </c>
      <c r="AW9" s="105">
        <f t="shared" si="0"/>
        <v>1</v>
      </c>
      <c r="AX9" s="105">
        <f t="shared" si="0"/>
        <v>2</v>
      </c>
      <c r="AY9" s="105">
        <f t="shared" si="0"/>
        <v>1</v>
      </c>
      <c r="AZ9" s="105">
        <f t="shared" si="0"/>
        <v>2</v>
      </c>
      <c r="BA9" s="105">
        <f t="shared" si="0"/>
        <v>1</v>
      </c>
      <c r="BB9" s="105">
        <f t="shared" si="0"/>
        <v>34</v>
      </c>
      <c r="BC9" s="105">
        <f t="shared" si="0"/>
        <v>2</v>
      </c>
      <c r="BD9" s="105">
        <f t="shared" si="0"/>
        <v>1</v>
      </c>
      <c r="BE9" s="105">
        <f t="shared" si="0"/>
        <v>74</v>
      </c>
      <c r="BF9" s="105">
        <f t="shared" si="0"/>
        <v>20</v>
      </c>
      <c r="BG9" s="105">
        <f t="shared" si="0"/>
        <v>1</v>
      </c>
      <c r="BH9" s="105">
        <f t="shared" si="0"/>
        <v>7</v>
      </c>
      <c r="BI9" s="106">
        <f t="shared" si="0"/>
        <v>2</v>
      </c>
      <c r="BJ9" s="105">
        <f t="shared" si="0"/>
        <v>1</v>
      </c>
      <c r="BK9" s="105">
        <f t="shared" si="0"/>
        <v>15</v>
      </c>
      <c r="BL9" s="105">
        <f t="shared" si="0"/>
        <v>3</v>
      </c>
      <c r="BM9" s="105">
        <f t="shared" si="0"/>
        <v>7</v>
      </c>
      <c r="BN9" s="105">
        <f t="shared" si="0"/>
        <v>1</v>
      </c>
      <c r="BO9" s="106">
        <f t="shared" ref="BO9:CN9" si="1">SUM(BO11:BO81)</f>
        <v>31</v>
      </c>
      <c r="BP9" s="105">
        <f t="shared" si="1"/>
        <v>1</v>
      </c>
      <c r="BQ9" s="105">
        <f t="shared" si="1"/>
        <v>11</v>
      </c>
      <c r="BR9" s="105">
        <f t="shared" si="1"/>
        <v>19</v>
      </c>
      <c r="BS9" s="105">
        <f t="shared" si="1"/>
        <v>130</v>
      </c>
      <c r="BT9" s="105">
        <f t="shared" si="1"/>
        <v>3</v>
      </c>
      <c r="BU9" s="106">
        <f t="shared" si="1"/>
        <v>25</v>
      </c>
      <c r="BV9" s="105">
        <f t="shared" si="1"/>
        <v>1</v>
      </c>
      <c r="BW9" s="106">
        <f t="shared" si="1"/>
        <v>2</v>
      </c>
      <c r="BX9" s="105">
        <f t="shared" si="1"/>
        <v>1</v>
      </c>
      <c r="BY9" s="105">
        <f t="shared" si="1"/>
        <v>1</v>
      </c>
      <c r="BZ9" s="105">
        <f t="shared" si="1"/>
        <v>4</v>
      </c>
      <c r="CA9" s="105">
        <f t="shared" si="1"/>
        <v>4</v>
      </c>
      <c r="CB9" s="105">
        <f t="shared" si="1"/>
        <v>422</v>
      </c>
      <c r="CC9" s="106">
        <f t="shared" si="1"/>
        <v>26</v>
      </c>
      <c r="CD9" s="106">
        <f t="shared" si="1"/>
        <v>61</v>
      </c>
      <c r="CE9" s="105">
        <f t="shared" si="1"/>
        <v>1</v>
      </c>
      <c r="CF9" s="106">
        <f t="shared" si="1"/>
        <v>4</v>
      </c>
      <c r="CG9" s="105">
        <f t="shared" si="1"/>
        <v>1</v>
      </c>
      <c r="CH9" s="105">
        <f t="shared" si="1"/>
        <v>1</v>
      </c>
      <c r="CI9" s="105">
        <f t="shared" si="1"/>
        <v>515</v>
      </c>
      <c r="CJ9" s="106">
        <f t="shared" si="1"/>
        <v>2457</v>
      </c>
      <c r="CK9" s="105">
        <f t="shared" si="1"/>
        <v>5</v>
      </c>
      <c r="CL9" s="106">
        <f t="shared" si="1"/>
        <v>28</v>
      </c>
      <c r="CM9" s="105">
        <f t="shared" si="1"/>
        <v>11</v>
      </c>
      <c r="CN9" s="105">
        <f t="shared" si="1"/>
        <v>620</v>
      </c>
    </row>
    <row r="10" spans="1:92" ht="4.5" customHeight="1">
      <c r="A10" s="96"/>
      <c r="B10" s="108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8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8"/>
      <c r="AD10" s="107"/>
      <c r="AE10" s="107"/>
      <c r="AF10" s="107"/>
      <c r="AG10" s="107"/>
      <c r="AH10" s="107"/>
      <c r="AI10" s="107"/>
      <c r="AJ10" s="107"/>
      <c r="AK10" s="107"/>
      <c r="AL10" s="107"/>
      <c r="AM10" s="108"/>
      <c r="AN10" s="107"/>
      <c r="AO10" s="107"/>
      <c r="AP10" s="107"/>
      <c r="AQ10" s="107"/>
      <c r="AR10" s="107"/>
      <c r="AS10" s="107"/>
      <c r="AT10" s="107"/>
      <c r="AU10" s="108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8"/>
      <c r="BJ10" s="107"/>
      <c r="BK10" s="107"/>
      <c r="BL10" s="107"/>
      <c r="BM10" s="107"/>
      <c r="BN10" s="107"/>
      <c r="BO10" s="108"/>
      <c r="BP10" s="107"/>
      <c r="BQ10" s="107"/>
      <c r="BR10" s="107"/>
      <c r="BS10" s="107"/>
      <c r="BT10" s="107"/>
      <c r="BU10" s="108"/>
      <c r="BV10" s="107"/>
      <c r="BW10" s="108"/>
      <c r="BX10" s="107"/>
      <c r="BY10" s="107"/>
      <c r="BZ10" s="107"/>
      <c r="CA10" s="107"/>
      <c r="CB10" s="107"/>
      <c r="CC10" s="108"/>
      <c r="CD10" s="108"/>
      <c r="CE10" s="107"/>
      <c r="CF10" s="108"/>
      <c r="CG10" s="107"/>
      <c r="CH10" s="107"/>
      <c r="CI10" s="107"/>
      <c r="CJ10" s="108"/>
      <c r="CK10" s="107"/>
      <c r="CL10" s="108"/>
      <c r="CM10" s="107"/>
      <c r="CN10" s="107"/>
    </row>
    <row r="11" spans="1:92">
      <c r="A11" s="207" t="s">
        <v>476</v>
      </c>
      <c r="B11" s="108">
        <v>1</v>
      </c>
      <c r="C11" s="107">
        <v>0</v>
      </c>
      <c r="D11" s="107">
        <v>0</v>
      </c>
      <c r="E11" s="107">
        <v>0</v>
      </c>
      <c r="F11" s="107">
        <v>0</v>
      </c>
      <c r="G11" s="107">
        <v>0</v>
      </c>
      <c r="H11" s="107">
        <v>0</v>
      </c>
      <c r="I11" s="107">
        <v>0</v>
      </c>
      <c r="J11" s="107">
        <v>0</v>
      </c>
      <c r="K11" s="107">
        <v>0</v>
      </c>
      <c r="L11" s="107">
        <v>0</v>
      </c>
      <c r="M11" s="107">
        <v>0</v>
      </c>
      <c r="N11" s="107">
        <v>0</v>
      </c>
      <c r="O11" s="107">
        <v>0</v>
      </c>
      <c r="P11" s="107">
        <v>0</v>
      </c>
      <c r="Q11" s="107">
        <v>0</v>
      </c>
      <c r="R11" s="108">
        <v>0</v>
      </c>
      <c r="S11" s="107">
        <v>0</v>
      </c>
      <c r="T11" s="107">
        <v>0</v>
      </c>
      <c r="U11" s="107">
        <v>0</v>
      </c>
      <c r="V11" s="107">
        <v>0</v>
      </c>
      <c r="W11" s="107">
        <v>0</v>
      </c>
      <c r="X11" s="107">
        <v>0</v>
      </c>
      <c r="Y11" s="107">
        <v>0</v>
      </c>
      <c r="Z11" s="107">
        <v>0</v>
      </c>
      <c r="AA11" s="107">
        <v>0</v>
      </c>
      <c r="AB11" s="107">
        <v>0</v>
      </c>
      <c r="AC11" s="108">
        <v>1</v>
      </c>
      <c r="AD11" s="107">
        <v>0</v>
      </c>
      <c r="AE11" s="107">
        <v>0</v>
      </c>
      <c r="AF11" s="107">
        <v>0</v>
      </c>
      <c r="AG11" s="107">
        <v>0</v>
      </c>
      <c r="AH11" s="107">
        <v>0</v>
      </c>
      <c r="AI11" s="107">
        <v>0</v>
      </c>
      <c r="AJ11" s="107">
        <v>0</v>
      </c>
      <c r="AK11" s="107">
        <v>0</v>
      </c>
      <c r="AL11" s="107">
        <v>0</v>
      </c>
      <c r="AM11" s="108">
        <v>0</v>
      </c>
      <c r="AN11" s="107">
        <v>0</v>
      </c>
      <c r="AO11" s="107">
        <v>0</v>
      </c>
      <c r="AP11" s="107">
        <v>0</v>
      </c>
      <c r="AQ11" s="107">
        <v>0</v>
      </c>
      <c r="AR11" s="107">
        <v>0</v>
      </c>
      <c r="AS11" s="107">
        <v>0</v>
      </c>
      <c r="AT11" s="107">
        <v>0</v>
      </c>
      <c r="AU11" s="108">
        <v>0</v>
      </c>
      <c r="AV11" s="107">
        <v>0</v>
      </c>
      <c r="AW11" s="107">
        <v>0</v>
      </c>
      <c r="AX11" s="107">
        <v>0</v>
      </c>
      <c r="AY11" s="107">
        <v>0</v>
      </c>
      <c r="AZ11" s="107">
        <v>0</v>
      </c>
      <c r="BA11" s="107">
        <v>0</v>
      </c>
      <c r="BB11" s="107">
        <v>0</v>
      </c>
      <c r="BC11" s="107">
        <v>0</v>
      </c>
      <c r="BD11" s="107">
        <v>0</v>
      </c>
      <c r="BE11" s="107">
        <v>0</v>
      </c>
      <c r="BF11" s="107">
        <v>0</v>
      </c>
      <c r="BG11" s="107">
        <v>0</v>
      </c>
      <c r="BH11" s="107">
        <v>0</v>
      </c>
      <c r="BI11" s="108">
        <v>0</v>
      </c>
      <c r="BJ11" s="107">
        <v>0</v>
      </c>
      <c r="BK11" s="107">
        <v>0</v>
      </c>
      <c r="BL11" s="107">
        <v>0</v>
      </c>
      <c r="BM11" s="107">
        <v>0</v>
      </c>
      <c r="BN11" s="107">
        <v>0</v>
      </c>
      <c r="BO11" s="108">
        <v>0</v>
      </c>
      <c r="BP11" s="107">
        <v>0</v>
      </c>
      <c r="BQ11" s="107">
        <v>0</v>
      </c>
      <c r="BR11" s="107">
        <v>0</v>
      </c>
      <c r="BS11" s="107">
        <v>0</v>
      </c>
      <c r="BT11" s="107">
        <v>0</v>
      </c>
      <c r="BU11" s="108">
        <v>0</v>
      </c>
      <c r="BV11" s="107">
        <v>0</v>
      </c>
      <c r="BW11" s="108">
        <v>0</v>
      </c>
      <c r="BX11" s="107">
        <v>0</v>
      </c>
      <c r="BY11" s="107">
        <v>0</v>
      </c>
      <c r="BZ11" s="107">
        <v>0</v>
      </c>
      <c r="CA11" s="107">
        <v>0</v>
      </c>
      <c r="CB11" s="107">
        <v>0</v>
      </c>
      <c r="CC11" s="108">
        <v>0</v>
      </c>
      <c r="CD11" s="108">
        <v>0</v>
      </c>
      <c r="CE11" s="107">
        <v>0</v>
      </c>
      <c r="CF11" s="108">
        <v>0</v>
      </c>
      <c r="CG11" s="107">
        <v>0</v>
      </c>
      <c r="CH11" s="107">
        <v>0</v>
      </c>
      <c r="CI11" s="107">
        <v>0</v>
      </c>
      <c r="CJ11" s="108">
        <v>0</v>
      </c>
      <c r="CK11" s="107">
        <v>0</v>
      </c>
      <c r="CL11" s="108">
        <v>0</v>
      </c>
      <c r="CM11" s="107">
        <v>0</v>
      </c>
      <c r="CN11" s="107">
        <v>0</v>
      </c>
    </row>
    <row r="12" spans="1:92">
      <c r="A12" s="207" t="s">
        <v>563</v>
      </c>
      <c r="B12" s="108">
        <v>10</v>
      </c>
      <c r="C12" s="107">
        <v>0</v>
      </c>
      <c r="D12" s="107">
        <v>0</v>
      </c>
      <c r="E12" s="107">
        <v>0</v>
      </c>
      <c r="F12" s="107">
        <v>2</v>
      </c>
      <c r="G12" s="107">
        <v>0</v>
      </c>
      <c r="H12" s="107">
        <v>0</v>
      </c>
      <c r="I12" s="107">
        <v>0</v>
      </c>
      <c r="J12" s="107">
        <v>0</v>
      </c>
      <c r="K12" s="107">
        <v>0</v>
      </c>
      <c r="L12" s="107">
        <v>0</v>
      </c>
      <c r="M12" s="107">
        <v>0</v>
      </c>
      <c r="N12" s="107">
        <v>0</v>
      </c>
      <c r="O12" s="107">
        <v>0</v>
      </c>
      <c r="P12" s="107">
        <v>0</v>
      </c>
      <c r="Q12" s="107">
        <v>0</v>
      </c>
      <c r="R12" s="108">
        <v>0</v>
      </c>
      <c r="S12" s="107">
        <v>0</v>
      </c>
      <c r="T12" s="107">
        <v>0</v>
      </c>
      <c r="U12" s="107">
        <v>0</v>
      </c>
      <c r="V12" s="107">
        <v>0</v>
      </c>
      <c r="W12" s="107">
        <v>0</v>
      </c>
      <c r="X12" s="107">
        <v>0</v>
      </c>
      <c r="Y12" s="107">
        <v>0</v>
      </c>
      <c r="Z12" s="107">
        <v>0</v>
      </c>
      <c r="AA12" s="107">
        <v>0</v>
      </c>
      <c r="AB12" s="107">
        <v>0</v>
      </c>
      <c r="AC12" s="108">
        <v>7</v>
      </c>
      <c r="AD12" s="107">
        <v>0</v>
      </c>
      <c r="AE12" s="107">
        <v>0</v>
      </c>
      <c r="AF12" s="107">
        <v>0</v>
      </c>
      <c r="AG12" s="107">
        <v>0</v>
      </c>
      <c r="AH12" s="107">
        <v>0</v>
      </c>
      <c r="AI12" s="107">
        <v>0</v>
      </c>
      <c r="AJ12" s="107">
        <v>0</v>
      </c>
      <c r="AK12" s="107">
        <v>0</v>
      </c>
      <c r="AL12" s="107">
        <v>0</v>
      </c>
      <c r="AM12" s="108">
        <v>0</v>
      </c>
      <c r="AN12" s="107">
        <v>0</v>
      </c>
      <c r="AO12" s="107">
        <v>0</v>
      </c>
      <c r="AP12" s="107">
        <v>0</v>
      </c>
      <c r="AQ12" s="107">
        <v>0</v>
      </c>
      <c r="AR12" s="107">
        <v>0</v>
      </c>
      <c r="AS12" s="107">
        <v>0</v>
      </c>
      <c r="AT12" s="107">
        <v>0</v>
      </c>
      <c r="AU12" s="108">
        <v>0</v>
      </c>
      <c r="AV12" s="107">
        <v>0</v>
      </c>
      <c r="AW12" s="107">
        <v>0</v>
      </c>
      <c r="AX12" s="107">
        <v>0</v>
      </c>
      <c r="AY12" s="107">
        <v>0</v>
      </c>
      <c r="AZ12" s="107">
        <v>0</v>
      </c>
      <c r="BA12" s="107">
        <v>0</v>
      </c>
      <c r="BB12" s="107">
        <v>0</v>
      </c>
      <c r="BC12" s="107">
        <v>0</v>
      </c>
      <c r="BD12" s="107">
        <v>0</v>
      </c>
      <c r="BE12" s="107">
        <v>0</v>
      </c>
      <c r="BF12" s="107">
        <v>0</v>
      </c>
      <c r="BG12" s="107">
        <v>0</v>
      </c>
      <c r="BH12" s="107">
        <v>0</v>
      </c>
      <c r="BI12" s="108">
        <v>0</v>
      </c>
      <c r="BJ12" s="107">
        <v>0</v>
      </c>
      <c r="BK12" s="107">
        <v>0</v>
      </c>
      <c r="BL12" s="107">
        <v>0</v>
      </c>
      <c r="BM12" s="107">
        <v>0</v>
      </c>
      <c r="BN12" s="107">
        <v>0</v>
      </c>
      <c r="BO12" s="108">
        <v>0</v>
      </c>
      <c r="BP12" s="107">
        <v>0</v>
      </c>
      <c r="BQ12" s="107">
        <v>0</v>
      </c>
      <c r="BR12" s="107">
        <v>0</v>
      </c>
      <c r="BS12" s="107">
        <v>0</v>
      </c>
      <c r="BT12" s="107">
        <v>0</v>
      </c>
      <c r="BU12" s="108">
        <v>0</v>
      </c>
      <c r="BV12" s="107">
        <v>0</v>
      </c>
      <c r="BW12" s="108">
        <v>0</v>
      </c>
      <c r="BX12" s="107">
        <v>0</v>
      </c>
      <c r="BY12" s="107">
        <v>0</v>
      </c>
      <c r="BZ12" s="107">
        <v>0</v>
      </c>
      <c r="CA12" s="107">
        <v>0</v>
      </c>
      <c r="CB12" s="107">
        <v>0</v>
      </c>
      <c r="CC12" s="108">
        <v>0</v>
      </c>
      <c r="CD12" s="108">
        <v>0</v>
      </c>
      <c r="CE12" s="107">
        <v>0</v>
      </c>
      <c r="CF12" s="108">
        <v>0</v>
      </c>
      <c r="CG12" s="107">
        <v>0</v>
      </c>
      <c r="CH12" s="107">
        <v>0</v>
      </c>
      <c r="CI12" s="107">
        <v>0</v>
      </c>
      <c r="CJ12" s="108">
        <v>1</v>
      </c>
      <c r="CK12" s="107">
        <v>0</v>
      </c>
      <c r="CL12" s="108">
        <v>0</v>
      </c>
      <c r="CM12" s="107">
        <v>0</v>
      </c>
      <c r="CN12" s="107">
        <v>0</v>
      </c>
    </row>
    <row r="13" spans="1:92">
      <c r="A13" s="207" t="s">
        <v>477</v>
      </c>
      <c r="B13" s="108">
        <v>6</v>
      </c>
      <c r="C13" s="107">
        <v>0</v>
      </c>
      <c r="D13" s="107">
        <v>0</v>
      </c>
      <c r="E13" s="107">
        <v>0</v>
      </c>
      <c r="F13" s="107">
        <v>0</v>
      </c>
      <c r="G13" s="107">
        <v>2</v>
      </c>
      <c r="H13" s="107">
        <v>0</v>
      </c>
      <c r="I13" s="107">
        <v>0</v>
      </c>
      <c r="J13" s="107">
        <v>0</v>
      </c>
      <c r="K13" s="107">
        <v>0</v>
      </c>
      <c r="L13" s="107">
        <v>0</v>
      </c>
      <c r="M13" s="107">
        <v>0</v>
      </c>
      <c r="N13" s="107">
        <v>0</v>
      </c>
      <c r="O13" s="107">
        <v>0</v>
      </c>
      <c r="P13" s="107">
        <v>0</v>
      </c>
      <c r="Q13" s="107">
        <v>0</v>
      </c>
      <c r="R13" s="108">
        <v>0</v>
      </c>
      <c r="S13" s="107">
        <v>0</v>
      </c>
      <c r="T13" s="107">
        <v>0</v>
      </c>
      <c r="U13" s="107">
        <v>0</v>
      </c>
      <c r="V13" s="107">
        <v>0</v>
      </c>
      <c r="W13" s="107">
        <v>0</v>
      </c>
      <c r="X13" s="107">
        <v>0</v>
      </c>
      <c r="Y13" s="107">
        <v>0</v>
      </c>
      <c r="Z13" s="107">
        <v>0</v>
      </c>
      <c r="AA13" s="107">
        <v>0</v>
      </c>
      <c r="AB13" s="107">
        <v>0</v>
      </c>
      <c r="AC13" s="108">
        <v>2</v>
      </c>
      <c r="AD13" s="107">
        <v>0</v>
      </c>
      <c r="AE13" s="107">
        <v>0</v>
      </c>
      <c r="AF13" s="107">
        <v>0</v>
      </c>
      <c r="AG13" s="107">
        <v>0</v>
      </c>
      <c r="AH13" s="107">
        <v>0</v>
      </c>
      <c r="AI13" s="107">
        <v>0</v>
      </c>
      <c r="AJ13" s="107">
        <v>0</v>
      </c>
      <c r="AK13" s="107">
        <v>0</v>
      </c>
      <c r="AL13" s="107">
        <v>0</v>
      </c>
      <c r="AM13" s="108">
        <v>0</v>
      </c>
      <c r="AN13" s="107">
        <v>0</v>
      </c>
      <c r="AO13" s="107">
        <v>0</v>
      </c>
      <c r="AP13" s="107">
        <v>0</v>
      </c>
      <c r="AQ13" s="107">
        <v>0</v>
      </c>
      <c r="AR13" s="107">
        <v>0</v>
      </c>
      <c r="AS13" s="107">
        <v>0</v>
      </c>
      <c r="AT13" s="107">
        <v>0</v>
      </c>
      <c r="AU13" s="108">
        <v>0</v>
      </c>
      <c r="AV13" s="107">
        <v>0</v>
      </c>
      <c r="AW13" s="107">
        <v>0</v>
      </c>
      <c r="AX13" s="107">
        <v>0</v>
      </c>
      <c r="AY13" s="107">
        <v>0</v>
      </c>
      <c r="AZ13" s="107">
        <v>0</v>
      </c>
      <c r="BA13" s="107">
        <v>0</v>
      </c>
      <c r="BB13" s="107">
        <v>0</v>
      </c>
      <c r="BC13" s="107">
        <v>0</v>
      </c>
      <c r="BD13" s="107">
        <v>0</v>
      </c>
      <c r="BE13" s="107">
        <v>0</v>
      </c>
      <c r="BF13" s="107">
        <v>0</v>
      </c>
      <c r="BG13" s="107">
        <v>0</v>
      </c>
      <c r="BH13" s="107">
        <v>0</v>
      </c>
      <c r="BI13" s="108">
        <v>0</v>
      </c>
      <c r="BJ13" s="107">
        <v>0</v>
      </c>
      <c r="BK13" s="107">
        <v>0</v>
      </c>
      <c r="BL13" s="107">
        <v>0</v>
      </c>
      <c r="BM13" s="107">
        <v>0</v>
      </c>
      <c r="BN13" s="107">
        <v>0</v>
      </c>
      <c r="BO13" s="108">
        <v>0</v>
      </c>
      <c r="BP13" s="107">
        <v>0</v>
      </c>
      <c r="BQ13" s="107">
        <v>0</v>
      </c>
      <c r="BR13" s="107">
        <v>0</v>
      </c>
      <c r="BS13" s="107">
        <v>0</v>
      </c>
      <c r="BT13" s="107">
        <v>0</v>
      </c>
      <c r="BU13" s="108">
        <v>0</v>
      </c>
      <c r="BV13" s="107">
        <v>0</v>
      </c>
      <c r="BW13" s="108">
        <v>0</v>
      </c>
      <c r="BX13" s="107">
        <v>0</v>
      </c>
      <c r="BY13" s="107">
        <v>0</v>
      </c>
      <c r="BZ13" s="107">
        <v>0</v>
      </c>
      <c r="CA13" s="107">
        <v>0</v>
      </c>
      <c r="CB13" s="107">
        <v>0</v>
      </c>
      <c r="CC13" s="108">
        <v>0</v>
      </c>
      <c r="CD13" s="108">
        <v>0</v>
      </c>
      <c r="CE13" s="107">
        <v>0</v>
      </c>
      <c r="CF13" s="108">
        <v>0</v>
      </c>
      <c r="CG13" s="107">
        <v>0</v>
      </c>
      <c r="CH13" s="107">
        <v>0</v>
      </c>
      <c r="CI13" s="107">
        <v>0</v>
      </c>
      <c r="CJ13" s="108">
        <v>2</v>
      </c>
      <c r="CK13" s="107">
        <v>0</v>
      </c>
      <c r="CL13" s="108">
        <v>0</v>
      </c>
      <c r="CM13" s="107">
        <v>0</v>
      </c>
      <c r="CN13" s="107">
        <v>0</v>
      </c>
    </row>
    <row r="14" spans="1:92">
      <c r="A14" s="207" t="s">
        <v>398</v>
      </c>
      <c r="B14" s="108">
        <v>13</v>
      </c>
      <c r="C14" s="107">
        <v>0</v>
      </c>
      <c r="D14" s="107">
        <v>0</v>
      </c>
      <c r="E14" s="107">
        <v>0</v>
      </c>
      <c r="F14" s="107">
        <v>0</v>
      </c>
      <c r="G14" s="107">
        <v>0</v>
      </c>
      <c r="H14" s="107">
        <v>3</v>
      </c>
      <c r="I14" s="107">
        <v>0</v>
      </c>
      <c r="J14" s="107">
        <v>0</v>
      </c>
      <c r="K14" s="107">
        <v>0</v>
      </c>
      <c r="L14" s="107">
        <v>0</v>
      </c>
      <c r="M14" s="107">
        <v>0</v>
      </c>
      <c r="N14" s="107">
        <v>0</v>
      </c>
      <c r="O14" s="107">
        <v>0</v>
      </c>
      <c r="P14" s="107">
        <v>0</v>
      </c>
      <c r="Q14" s="107">
        <v>0</v>
      </c>
      <c r="R14" s="108">
        <v>1</v>
      </c>
      <c r="S14" s="107">
        <v>0</v>
      </c>
      <c r="T14" s="107">
        <v>0</v>
      </c>
      <c r="U14" s="107">
        <v>0</v>
      </c>
      <c r="V14" s="107">
        <v>0</v>
      </c>
      <c r="W14" s="107">
        <v>0</v>
      </c>
      <c r="X14" s="107">
        <v>0</v>
      </c>
      <c r="Y14" s="107">
        <v>0</v>
      </c>
      <c r="Z14" s="107">
        <v>0</v>
      </c>
      <c r="AA14" s="107">
        <v>0</v>
      </c>
      <c r="AB14" s="107">
        <v>0</v>
      </c>
      <c r="AC14" s="108">
        <v>8</v>
      </c>
      <c r="AD14" s="107">
        <v>0</v>
      </c>
      <c r="AE14" s="107">
        <v>0</v>
      </c>
      <c r="AF14" s="107">
        <v>0</v>
      </c>
      <c r="AG14" s="107">
        <v>0</v>
      </c>
      <c r="AH14" s="107">
        <v>0</v>
      </c>
      <c r="AI14" s="107">
        <v>0</v>
      </c>
      <c r="AJ14" s="107">
        <v>0</v>
      </c>
      <c r="AK14" s="107">
        <v>0</v>
      </c>
      <c r="AL14" s="107">
        <v>0</v>
      </c>
      <c r="AM14" s="108">
        <v>1</v>
      </c>
      <c r="AN14" s="107">
        <v>0</v>
      </c>
      <c r="AO14" s="107">
        <v>0</v>
      </c>
      <c r="AP14" s="107">
        <v>0</v>
      </c>
      <c r="AQ14" s="107">
        <v>0</v>
      </c>
      <c r="AR14" s="107">
        <v>0</v>
      </c>
      <c r="AS14" s="107">
        <v>0</v>
      </c>
      <c r="AT14" s="107">
        <v>0</v>
      </c>
      <c r="AU14" s="108">
        <v>0</v>
      </c>
      <c r="AV14" s="107">
        <v>0</v>
      </c>
      <c r="AW14" s="107">
        <v>0</v>
      </c>
      <c r="AX14" s="107">
        <v>0</v>
      </c>
      <c r="AY14" s="107">
        <v>0</v>
      </c>
      <c r="AZ14" s="107">
        <v>0</v>
      </c>
      <c r="BA14" s="107">
        <v>0</v>
      </c>
      <c r="BB14" s="107">
        <v>0</v>
      </c>
      <c r="BC14" s="107">
        <v>0</v>
      </c>
      <c r="BD14" s="107">
        <v>0</v>
      </c>
      <c r="BE14" s="107">
        <v>0</v>
      </c>
      <c r="BF14" s="107">
        <v>0</v>
      </c>
      <c r="BG14" s="107">
        <v>0</v>
      </c>
      <c r="BH14" s="107">
        <v>0</v>
      </c>
      <c r="BI14" s="108">
        <v>0</v>
      </c>
      <c r="BJ14" s="107">
        <v>0</v>
      </c>
      <c r="BK14" s="107">
        <v>0</v>
      </c>
      <c r="BL14" s="107">
        <v>0</v>
      </c>
      <c r="BM14" s="107">
        <v>0</v>
      </c>
      <c r="BN14" s="107">
        <v>0</v>
      </c>
      <c r="BO14" s="108">
        <v>0</v>
      </c>
      <c r="BP14" s="107">
        <v>0</v>
      </c>
      <c r="BQ14" s="107">
        <v>0</v>
      </c>
      <c r="BR14" s="107">
        <v>0</v>
      </c>
      <c r="BS14" s="107">
        <v>0</v>
      </c>
      <c r="BT14" s="107">
        <v>0</v>
      </c>
      <c r="BU14" s="108">
        <v>0</v>
      </c>
      <c r="BV14" s="107">
        <v>0</v>
      </c>
      <c r="BW14" s="108">
        <v>0</v>
      </c>
      <c r="BX14" s="107">
        <v>0</v>
      </c>
      <c r="BY14" s="107">
        <v>0</v>
      </c>
      <c r="BZ14" s="107">
        <v>0</v>
      </c>
      <c r="CA14" s="107">
        <v>0</v>
      </c>
      <c r="CB14" s="107">
        <v>0</v>
      </c>
      <c r="CC14" s="108">
        <v>0</v>
      </c>
      <c r="CD14" s="108">
        <v>0</v>
      </c>
      <c r="CE14" s="107">
        <v>0</v>
      </c>
      <c r="CF14" s="108">
        <v>0</v>
      </c>
      <c r="CG14" s="107">
        <v>0</v>
      </c>
      <c r="CH14" s="107">
        <v>0</v>
      </c>
      <c r="CI14" s="107">
        <v>0</v>
      </c>
      <c r="CJ14" s="108">
        <v>0</v>
      </c>
      <c r="CK14" s="107">
        <v>0</v>
      </c>
      <c r="CL14" s="108">
        <v>0</v>
      </c>
      <c r="CM14" s="107">
        <v>0</v>
      </c>
      <c r="CN14" s="107">
        <v>0</v>
      </c>
    </row>
    <row r="15" spans="1:92">
      <c r="A15" s="207" t="s">
        <v>399</v>
      </c>
      <c r="B15" s="108">
        <v>1</v>
      </c>
      <c r="C15" s="107">
        <v>0</v>
      </c>
      <c r="D15" s="107">
        <v>0</v>
      </c>
      <c r="E15" s="107">
        <v>0</v>
      </c>
      <c r="F15" s="107">
        <v>0</v>
      </c>
      <c r="G15" s="107">
        <v>0</v>
      </c>
      <c r="H15" s="107">
        <v>0</v>
      </c>
      <c r="I15" s="107">
        <v>0</v>
      </c>
      <c r="J15" s="107">
        <v>0</v>
      </c>
      <c r="K15" s="107">
        <v>0</v>
      </c>
      <c r="L15" s="107">
        <v>0</v>
      </c>
      <c r="M15" s="107">
        <v>0</v>
      </c>
      <c r="N15" s="107">
        <v>0</v>
      </c>
      <c r="O15" s="107">
        <v>0</v>
      </c>
      <c r="P15" s="107">
        <v>0</v>
      </c>
      <c r="Q15" s="107">
        <v>0</v>
      </c>
      <c r="R15" s="108">
        <v>0</v>
      </c>
      <c r="S15" s="107">
        <v>0</v>
      </c>
      <c r="T15" s="107">
        <v>0</v>
      </c>
      <c r="U15" s="107">
        <v>0</v>
      </c>
      <c r="V15" s="107">
        <v>0</v>
      </c>
      <c r="W15" s="107">
        <v>0</v>
      </c>
      <c r="X15" s="107">
        <v>0</v>
      </c>
      <c r="Y15" s="107">
        <v>0</v>
      </c>
      <c r="Z15" s="107">
        <v>0</v>
      </c>
      <c r="AA15" s="107">
        <v>0</v>
      </c>
      <c r="AB15" s="107">
        <v>0</v>
      </c>
      <c r="AC15" s="108">
        <v>1</v>
      </c>
      <c r="AD15" s="107">
        <v>0</v>
      </c>
      <c r="AE15" s="107">
        <v>0</v>
      </c>
      <c r="AF15" s="107">
        <v>0</v>
      </c>
      <c r="AG15" s="107">
        <v>0</v>
      </c>
      <c r="AH15" s="107">
        <v>0</v>
      </c>
      <c r="AI15" s="107">
        <v>0</v>
      </c>
      <c r="AJ15" s="107">
        <v>0</v>
      </c>
      <c r="AK15" s="107">
        <v>0</v>
      </c>
      <c r="AL15" s="107">
        <v>0</v>
      </c>
      <c r="AM15" s="108">
        <v>0</v>
      </c>
      <c r="AN15" s="107">
        <v>0</v>
      </c>
      <c r="AO15" s="107">
        <v>0</v>
      </c>
      <c r="AP15" s="107">
        <v>0</v>
      </c>
      <c r="AQ15" s="107">
        <v>0</v>
      </c>
      <c r="AR15" s="107">
        <v>0</v>
      </c>
      <c r="AS15" s="107">
        <v>0</v>
      </c>
      <c r="AT15" s="107">
        <v>0</v>
      </c>
      <c r="AU15" s="108">
        <v>0</v>
      </c>
      <c r="AV15" s="107">
        <v>0</v>
      </c>
      <c r="AW15" s="107">
        <v>0</v>
      </c>
      <c r="AX15" s="107">
        <v>0</v>
      </c>
      <c r="AY15" s="107">
        <v>0</v>
      </c>
      <c r="AZ15" s="107">
        <v>0</v>
      </c>
      <c r="BA15" s="107">
        <v>0</v>
      </c>
      <c r="BB15" s="107">
        <v>0</v>
      </c>
      <c r="BC15" s="107">
        <v>0</v>
      </c>
      <c r="BD15" s="107">
        <v>0</v>
      </c>
      <c r="BE15" s="107">
        <v>0</v>
      </c>
      <c r="BF15" s="107">
        <v>0</v>
      </c>
      <c r="BG15" s="107">
        <v>0</v>
      </c>
      <c r="BH15" s="107">
        <v>0</v>
      </c>
      <c r="BI15" s="108">
        <v>0</v>
      </c>
      <c r="BJ15" s="107">
        <v>0</v>
      </c>
      <c r="BK15" s="107">
        <v>0</v>
      </c>
      <c r="BL15" s="107">
        <v>0</v>
      </c>
      <c r="BM15" s="107">
        <v>0</v>
      </c>
      <c r="BN15" s="107">
        <v>0</v>
      </c>
      <c r="BO15" s="108">
        <v>0</v>
      </c>
      <c r="BP15" s="107">
        <v>0</v>
      </c>
      <c r="BQ15" s="107">
        <v>0</v>
      </c>
      <c r="BR15" s="107">
        <v>0</v>
      </c>
      <c r="BS15" s="107">
        <v>0</v>
      </c>
      <c r="BT15" s="107">
        <v>0</v>
      </c>
      <c r="BU15" s="108">
        <v>0</v>
      </c>
      <c r="BV15" s="107">
        <v>0</v>
      </c>
      <c r="BW15" s="108">
        <v>0</v>
      </c>
      <c r="BX15" s="107">
        <v>0</v>
      </c>
      <c r="BY15" s="107">
        <v>0</v>
      </c>
      <c r="BZ15" s="107">
        <v>0</v>
      </c>
      <c r="CA15" s="107">
        <v>0</v>
      </c>
      <c r="CB15" s="107">
        <v>0</v>
      </c>
      <c r="CC15" s="108">
        <v>0</v>
      </c>
      <c r="CD15" s="108">
        <v>0</v>
      </c>
      <c r="CE15" s="107">
        <v>0</v>
      </c>
      <c r="CF15" s="108">
        <v>0</v>
      </c>
      <c r="CG15" s="107">
        <v>0</v>
      </c>
      <c r="CH15" s="107">
        <v>0</v>
      </c>
      <c r="CI15" s="107">
        <v>0</v>
      </c>
      <c r="CJ15" s="108">
        <v>0</v>
      </c>
      <c r="CK15" s="107">
        <v>0</v>
      </c>
      <c r="CL15" s="108">
        <v>0</v>
      </c>
      <c r="CM15" s="107">
        <v>0</v>
      </c>
      <c r="CN15" s="107">
        <v>0</v>
      </c>
    </row>
    <row r="16" spans="1:92">
      <c r="A16" s="207" t="s">
        <v>354</v>
      </c>
      <c r="B16" s="108">
        <v>12</v>
      </c>
      <c r="C16" s="107">
        <v>0</v>
      </c>
      <c r="D16" s="107">
        <v>0</v>
      </c>
      <c r="E16" s="107">
        <v>0</v>
      </c>
      <c r="F16" s="107">
        <v>0</v>
      </c>
      <c r="G16" s="107">
        <v>0</v>
      </c>
      <c r="H16" s="107">
        <v>0</v>
      </c>
      <c r="I16" s="107">
        <v>0</v>
      </c>
      <c r="J16" s="107">
        <v>3</v>
      </c>
      <c r="K16" s="107">
        <v>0</v>
      </c>
      <c r="L16" s="107">
        <v>0</v>
      </c>
      <c r="M16" s="107">
        <v>0</v>
      </c>
      <c r="N16" s="107">
        <v>0</v>
      </c>
      <c r="O16" s="107">
        <v>0</v>
      </c>
      <c r="P16" s="107">
        <v>0</v>
      </c>
      <c r="Q16" s="107">
        <v>0</v>
      </c>
      <c r="R16" s="108">
        <v>0</v>
      </c>
      <c r="S16" s="107">
        <v>0</v>
      </c>
      <c r="T16" s="107">
        <v>0</v>
      </c>
      <c r="U16" s="107">
        <v>0</v>
      </c>
      <c r="V16" s="107">
        <v>0</v>
      </c>
      <c r="W16" s="107">
        <v>0</v>
      </c>
      <c r="X16" s="107">
        <v>0</v>
      </c>
      <c r="Y16" s="107">
        <v>0</v>
      </c>
      <c r="Z16" s="107">
        <v>0</v>
      </c>
      <c r="AA16" s="107">
        <v>0</v>
      </c>
      <c r="AB16" s="107">
        <v>0</v>
      </c>
      <c r="AC16" s="108">
        <v>8</v>
      </c>
      <c r="AD16" s="107">
        <v>0</v>
      </c>
      <c r="AE16" s="107">
        <v>0</v>
      </c>
      <c r="AF16" s="107">
        <v>0</v>
      </c>
      <c r="AG16" s="107">
        <v>0</v>
      </c>
      <c r="AH16" s="107">
        <v>0</v>
      </c>
      <c r="AI16" s="107">
        <v>0</v>
      </c>
      <c r="AJ16" s="107">
        <v>0</v>
      </c>
      <c r="AK16" s="107">
        <v>0</v>
      </c>
      <c r="AL16" s="107">
        <v>0</v>
      </c>
      <c r="AM16" s="108">
        <v>0</v>
      </c>
      <c r="AN16" s="107">
        <v>0</v>
      </c>
      <c r="AO16" s="107">
        <v>0</v>
      </c>
      <c r="AP16" s="107">
        <v>0</v>
      </c>
      <c r="AQ16" s="107">
        <v>0</v>
      </c>
      <c r="AR16" s="107">
        <v>0</v>
      </c>
      <c r="AS16" s="107">
        <v>0</v>
      </c>
      <c r="AT16" s="107">
        <v>0</v>
      </c>
      <c r="AU16" s="108">
        <v>0</v>
      </c>
      <c r="AV16" s="107">
        <v>0</v>
      </c>
      <c r="AW16" s="107">
        <v>0</v>
      </c>
      <c r="AX16" s="107">
        <v>0</v>
      </c>
      <c r="AY16" s="107">
        <v>0</v>
      </c>
      <c r="AZ16" s="107">
        <v>0</v>
      </c>
      <c r="BA16" s="107">
        <v>0</v>
      </c>
      <c r="BB16" s="107">
        <v>0</v>
      </c>
      <c r="BC16" s="107">
        <v>0</v>
      </c>
      <c r="BD16" s="107">
        <v>0</v>
      </c>
      <c r="BE16" s="107">
        <v>0</v>
      </c>
      <c r="BF16" s="107">
        <v>0</v>
      </c>
      <c r="BG16" s="107">
        <v>0</v>
      </c>
      <c r="BH16" s="107">
        <v>0</v>
      </c>
      <c r="BI16" s="108">
        <v>0</v>
      </c>
      <c r="BJ16" s="107">
        <v>0</v>
      </c>
      <c r="BK16" s="107">
        <v>0</v>
      </c>
      <c r="BL16" s="107">
        <v>0</v>
      </c>
      <c r="BM16" s="107">
        <v>0</v>
      </c>
      <c r="BN16" s="107">
        <v>0</v>
      </c>
      <c r="BO16" s="108">
        <v>1</v>
      </c>
      <c r="BP16" s="107">
        <v>0</v>
      </c>
      <c r="BQ16" s="107">
        <v>0</v>
      </c>
      <c r="BR16" s="107">
        <v>0</v>
      </c>
      <c r="BS16" s="107">
        <v>0</v>
      </c>
      <c r="BT16" s="107">
        <v>0</v>
      </c>
      <c r="BU16" s="108">
        <v>0</v>
      </c>
      <c r="BV16" s="107">
        <v>0</v>
      </c>
      <c r="BW16" s="108">
        <v>0</v>
      </c>
      <c r="BX16" s="107">
        <v>0</v>
      </c>
      <c r="BY16" s="107">
        <v>0</v>
      </c>
      <c r="BZ16" s="107">
        <v>0</v>
      </c>
      <c r="CA16" s="107">
        <v>0</v>
      </c>
      <c r="CB16" s="107">
        <v>0</v>
      </c>
      <c r="CC16" s="108">
        <v>0</v>
      </c>
      <c r="CD16" s="108">
        <v>0</v>
      </c>
      <c r="CE16" s="107">
        <v>0</v>
      </c>
      <c r="CF16" s="108">
        <v>0</v>
      </c>
      <c r="CG16" s="107">
        <v>0</v>
      </c>
      <c r="CH16" s="107">
        <v>0</v>
      </c>
      <c r="CI16" s="107">
        <v>0</v>
      </c>
      <c r="CJ16" s="108">
        <v>0</v>
      </c>
      <c r="CK16" s="107">
        <v>0</v>
      </c>
      <c r="CL16" s="108">
        <v>0</v>
      </c>
      <c r="CM16" s="107">
        <v>0</v>
      </c>
      <c r="CN16" s="107">
        <v>0</v>
      </c>
    </row>
    <row r="17" spans="1:92">
      <c r="A17" s="207" t="s">
        <v>400</v>
      </c>
      <c r="B17" s="108">
        <v>5</v>
      </c>
      <c r="C17" s="107">
        <v>0</v>
      </c>
      <c r="D17" s="107">
        <v>0</v>
      </c>
      <c r="E17" s="107">
        <v>0</v>
      </c>
      <c r="F17" s="107">
        <v>0</v>
      </c>
      <c r="G17" s="107">
        <v>0</v>
      </c>
      <c r="H17" s="107">
        <v>0</v>
      </c>
      <c r="I17" s="107">
        <v>0</v>
      </c>
      <c r="J17" s="107">
        <v>0</v>
      </c>
      <c r="K17" s="107">
        <v>0</v>
      </c>
      <c r="L17" s="107">
        <v>2</v>
      </c>
      <c r="M17" s="107">
        <v>0</v>
      </c>
      <c r="N17" s="107">
        <v>0</v>
      </c>
      <c r="O17" s="107">
        <v>0</v>
      </c>
      <c r="P17" s="107">
        <v>0</v>
      </c>
      <c r="Q17" s="107">
        <v>0</v>
      </c>
      <c r="R17" s="108">
        <v>0</v>
      </c>
      <c r="S17" s="107">
        <v>0</v>
      </c>
      <c r="T17" s="107">
        <v>0</v>
      </c>
      <c r="U17" s="107">
        <v>0</v>
      </c>
      <c r="V17" s="107">
        <v>0</v>
      </c>
      <c r="W17" s="107">
        <v>0</v>
      </c>
      <c r="X17" s="107">
        <v>0</v>
      </c>
      <c r="Y17" s="107">
        <v>0</v>
      </c>
      <c r="Z17" s="107">
        <v>0</v>
      </c>
      <c r="AA17" s="107">
        <v>0</v>
      </c>
      <c r="AB17" s="107">
        <v>0</v>
      </c>
      <c r="AC17" s="108">
        <v>2</v>
      </c>
      <c r="AD17" s="107">
        <v>0</v>
      </c>
      <c r="AE17" s="107">
        <v>0</v>
      </c>
      <c r="AF17" s="107">
        <v>0</v>
      </c>
      <c r="AG17" s="107">
        <v>0</v>
      </c>
      <c r="AH17" s="107">
        <v>0</v>
      </c>
      <c r="AI17" s="107">
        <v>0</v>
      </c>
      <c r="AJ17" s="107">
        <v>0</v>
      </c>
      <c r="AK17" s="107">
        <v>0</v>
      </c>
      <c r="AL17" s="107">
        <v>0</v>
      </c>
      <c r="AM17" s="108">
        <v>0</v>
      </c>
      <c r="AN17" s="107">
        <v>0</v>
      </c>
      <c r="AO17" s="107">
        <v>0</v>
      </c>
      <c r="AP17" s="107">
        <v>0</v>
      </c>
      <c r="AQ17" s="107">
        <v>0</v>
      </c>
      <c r="AR17" s="107">
        <v>0</v>
      </c>
      <c r="AS17" s="107">
        <v>0</v>
      </c>
      <c r="AT17" s="107">
        <v>0</v>
      </c>
      <c r="AU17" s="108">
        <v>0</v>
      </c>
      <c r="AV17" s="107">
        <v>0</v>
      </c>
      <c r="AW17" s="107">
        <v>0</v>
      </c>
      <c r="AX17" s="107">
        <v>0</v>
      </c>
      <c r="AY17" s="107">
        <v>0</v>
      </c>
      <c r="AZ17" s="107">
        <v>0</v>
      </c>
      <c r="BA17" s="107">
        <v>0</v>
      </c>
      <c r="BB17" s="107">
        <v>0</v>
      </c>
      <c r="BC17" s="107">
        <v>0</v>
      </c>
      <c r="BD17" s="107">
        <v>0</v>
      </c>
      <c r="BE17" s="107">
        <v>0</v>
      </c>
      <c r="BF17" s="107">
        <v>0</v>
      </c>
      <c r="BG17" s="107">
        <v>0</v>
      </c>
      <c r="BH17" s="107">
        <v>0</v>
      </c>
      <c r="BI17" s="108">
        <v>0</v>
      </c>
      <c r="BJ17" s="107">
        <v>0</v>
      </c>
      <c r="BK17" s="107">
        <v>0</v>
      </c>
      <c r="BL17" s="107">
        <v>0</v>
      </c>
      <c r="BM17" s="107">
        <v>0</v>
      </c>
      <c r="BN17" s="107">
        <v>0</v>
      </c>
      <c r="BO17" s="108">
        <v>0</v>
      </c>
      <c r="BP17" s="107">
        <v>0</v>
      </c>
      <c r="BQ17" s="107">
        <v>0</v>
      </c>
      <c r="BR17" s="107">
        <v>0</v>
      </c>
      <c r="BS17" s="107">
        <v>0</v>
      </c>
      <c r="BT17" s="107">
        <v>0</v>
      </c>
      <c r="BU17" s="108">
        <v>0</v>
      </c>
      <c r="BV17" s="107">
        <v>0</v>
      </c>
      <c r="BW17" s="108">
        <v>0</v>
      </c>
      <c r="BX17" s="107">
        <v>0</v>
      </c>
      <c r="BY17" s="107">
        <v>0</v>
      </c>
      <c r="BZ17" s="107">
        <v>0</v>
      </c>
      <c r="CA17" s="107">
        <v>0</v>
      </c>
      <c r="CB17" s="107">
        <v>0</v>
      </c>
      <c r="CC17" s="108">
        <v>0</v>
      </c>
      <c r="CD17" s="108">
        <v>0</v>
      </c>
      <c r="CE17" s="107">
        <v>0</v>
      </c>
      <c r="CF17" s="108">
        <v>0</v>
      </c>
      <c r="CG17" s="107">
        <v>0</v>
      </c>
      <c r="CH17" s="107">
        <v>0</v>
      </c>
      <c r="CI17" s="107">
        <v>0</v>
      </c>
      <c r="CJ17" s="108">
        <v>1</v>
      </c>
      <c r="CK17" s="107">
        <v>0</v>
      </c>
      <c r="CL17" s="108">
        <v>0</v>
      </c>
      <c r="CM17" s="107">
        <v>0</v>
      </c>
      <c r="CN17" s="107">
        <v>0</v>
      </c>
    </row>
    <row r="18" spans="1:92">
      <c r="A18" s="207" t="s">
        <v>401</v>
      </c>
      <c r="B18" s="108">
        <v>6</v>
      </c>
      <c r="C18" s="107">
        <v>0</v>
      </c>
      <c r="D18" s="107">
        <v>0</v>
      </c>
      <c r="E18" s="107">
        <v>0</v>
      </c>
      <c r="F18" s="107">
        <v>0</v>
      </c>
      <c r="G18" s="107">
        <v>0</v>
      </c>
      <c r="H18" s="107">
        <v>0</v>
      </c>
      <c r="I18" s="107">
        <v>0</v>
      </c>
      <c r="J18" s="107">
        <v>0</v>
      </c>
      <c r="K18" s="107">
        <v>0</v>
      </c>
      <c r="L18" s="107">
        <v>0</v>
      </c>
      <c r="M18" s="107">
        <v>3</v>
      </c>
      <c r="N18" s="107">
        <v>0</v>
      </c>
      <c r="O18" s="107">
        <v>0</v>
      </c>
      <c r="P18" s="107">
        <v>0</v>
      </c>
      <c r="Q18" s="107">
        <v>0</v>
      </c>
      <c r="R18" s="108">
        <v>0</v>
      </c>
      <c r="S18" s="107">
        <v>0</v>
      </c>
      <c r="T18" s="107">
        <v>0</v>
      </c>
      <c r="U18" s="107">
        <v>0</v>
      </c>
      <c r="V18" s="107">
        <v>0</v>
      </c>
      <c r="W18" s="107">
        <v>0</v>
      </c>
      <c r="X18" s="107">
        <v>0</v>
      </c>
      <c r="Y18" s="107">
        <v>0</v>
      </c>
      <c r="Z18" s="107">
        <v>0</v>
      </c>
      <c r="AA18" s="107">
        <v>0</v>
      </c>
      <c r="AB18" s="107">
        <v>0</v>
      </c>
      <c r="AC18" s="108">
        <v>3</v>
      </c>
      <c r="AD18" s="107">
        <v>0</v>
      </c>
      <c r="AE18" s="107">
        <v>0</v>
      </c>
      <c r="AF18" s="107">
        <v>0</v>
      </c>
      <c r="AG18" s="107">
        <v>0</v>
      </c>
      <c r="AH18" s="107">
        <v>0</v>
      </c>
      <c r="AI18" s="107">
        <v>0</v>
      </c>
      <c r="AJ18" s="107">
        <v>0</v>
      </c>
      <c r="AK18" s="107">
        <v>0</v>
      </c>
      <c r="AL18" s="107">
        <v>0</v>
      </c>
      <c r="AM18" s="108">
        <v>0</v>
      </c>
      <c r="AN18" s="107">
        <v>0</v>
      </c>
      <c r="AO18" s="107">
        <v>0</v>
      </c>
      <c r="AP18" s="107">
        <v>0</v>
      </c>
      <c r="AQ18" s="107">
        <v>0</v>
      </c>
      <c r="AR18" s="107">
        <v>0</v>
      </c>
      <c r="AS18" s="107">
        <v>0</v>
      </c>
      <c r="AT18" s="107">
        <v>0</v>
      </c>
      <c r="AU18" s="108">
        <v>0</v>
      </c>
      <c r="AV18" s="107">
        <v>0</v>
      </c>
      <c r="AW18" s="107">
        <v>0</v>
      </c>
      <c r="AX18" s="107">
        <v>0</v>
      </c>
      <c r="AY18" s="107">
        <v>0</v>
      </c>
      <c r="AZ18" s="107">
        <v>0</v>
      </c>
      <c r="BA18" s="107">
        <v>0</v>
      </c>
      <c r="BB18" s="107">
        <v>0</v>
      </c>
      <c r="BC18" s="107">
        <v>0</v>
      </c>
      <c r="BD18" s="107">
        <v>0</v>
      </c>
      <c r="BE18" s="107">
        <v>0</v>
      </c>
      <c r="BF18" s="107">
        <v>0</v>
      </c>
      <c r="BG18" s="107">
        <v>0</v>
      </c>
      <c r="BH18" s="107">
        <v>0</v>
      </c>
      <c r="BI18" s="108">
        <v>0</v>
      </c>
      <c r="BJ18" s="107">
        <v>0</v>
      </c>
      <c r="BK18" s="107">
        <v>0</v>
      </c>
      <c r="BL18" s="107">
        <v>0</v>
      </c>
      <c r="BM18" s="107">
        <v>0</v>
      </c>
      <c r="BN18" s="107">
        <v>0</v>
      </c>
      <c r="BO18" s="108">
        <v>0</v>
      </c>
      <c r="BP18" s="107">
        <v>0</v>
      </c>
      <c r="BQ18" s="107">
        <v>0</v>
      </c>
      <c r="BR18" s="107">
        <v>0</v>
      </c>
      <c r="BS18" s="107">
        <v>0</v>
      </c>
      <c r="BT18" s="107">
        <v>0</v>
      </c>
      <c r="BU18" s="108">
        <v>0</v>
      </c>
      <c r="BV18" s="107">
        <v>0</v>
      </c>
      <c r="BW18" s="108">
        <v>0</v>
      </c>
      <c r="BX18" s="107">
        <v>0</v>
      </c>
      <c r="BY18" s="107">
        <v>0</v>
      </c>
      <c r="BZ18" s="107">
        <v>0</v>
      </c>
      <c r="CA18" s="107">
        <v>0</v>
      </c>
      <c r="CB18" s="107">
        <v>0</v>
      </c>
      <c r="CC18" s="108">
        <v>0</v>
      </c>
      <c r="CD18" s="108">
        <v>0</v>
      </c>
      <c r="CE18" s="107">
        <v>0</v>
      </c>
      <c r="CF18" s="108">
        <v>0</v>
      </c>
      <c r="CG18" s="107">
        <v>0</v>
      </c>
      <c r="CH18" s="107">
        <v>0</v>
      </c>
      <c r="CI18" s="107">
        <v>0</v>
      </c>
      <c r="CJ18" s="108">
        <v>0</v>
      </c>
      <c r="CK18" s="107">
        <v>0</v>
      </c>
      <c r="CL18" s="108">
        <v>0</v>
      </c>
      <c r="CM18" s="107">
        <v>0</v>
      </c>
      <c r="CN18" s="107">
        <v>0</v>
      </c>
    </row>
    <row r="19" spans="1:92">
      <c r="A19" s="207" t="s">
        <v>478</v>
      </c>
      <c r="B19" s="108">
        <v>1</v>
      </c>
      <c r="C19" s="107">
        <v>0</v>
      </c>
      <c r="D19" s="107">
        <v>0</v>
      </c>
      <c r="E19" s="107">
        <v>0</v>
      </c>
      <c r="F19" s="107">
        <v>0</v>
      </c>
      <c r="G19" s="107">
        <v>0</v>
      </c>
      <c r="H19" s="107">
        <v>0</v>
      </c>
      <c r="I19" s="107">
        <v>0</v>
      </c>
      <c r="J19" s="107">
        <v>0</v>
      </c>
      <c r="K19" s="107">
        <v>0</v>
      </c>
      <c r="L19" s="107">
        <v>0</v>
      </c>
      <c r="M19" s="107">
        <v>0</v>
      </c>
      <c r="N19" s="107">
        <v>0</v>
      </c>
      <c r="O19" s="107">
        <v>0</v>
      </c>
      <c r="P19" s="107">
        <v>0</v>
      </c>
      <c r="Q19" s="107">
        <v>0</v>
      </c>
      <c r="R19" s="108">
        <v>1</v>
      </c>
      <c r="S19" s="107">
        <v>0</v>
      </c>
      <c r="T19" s="107">
        <v>0</v>
      </c>
      <c r="U19" s="107">
        <v>0</v>
      </c>
      <c r="V19" s="107">
        <v>0</v>
      </c>
      <c r="W19" s="107">
        <v>0</v>
      </c>
      <c r="X19" s="107">
        <v>0</v>
      </c>
      <c r="Y19" s="107">
        <v>0</v>
      </c>
      <c r="Z19" s="107">
        <v>0</v>
      </c>
      <c r="AA19" s="107">
        <v>0</v>
      </c>
      <c r="AB19" s="107">
        <v>0</v>
      </c>
      <c r="AC19" s="108">
        <v>0</v>
      </c>
      <c r="AD19" s="107">
        <v>0</v>
      </c>
      <c r="AE19" s="107">
        <v>0</v>
      </c>
      <c r="AF19" s="107">
        <v>0</v>
      </c>
      <c r="AG19" s="107">
        <v>0</v>
      </c>
      <c r="AH19" s="107">
        <v>0</v>
      </c>
      <c r="AI19" s="107">
        <v>0</v>
      </c>
      <c r="AJ19" s="107">
        <v>0</v>
      </c>
      <c r="AK19" s="107">
        <v>0</v>
      </c>
      <c r="AL19" s="107">
        <v>0</v>
      </c>
      <c r="AM19" s="108">
        <v>0</v>
      </c>
      <c r="AN19" s="107">
        <v>0</v>
      </c>
      <c r="AO19" s="107">
        <v>0</v>
      </c>
      <c r="AP19" s="107">
        <v>0</v>
      </c>
      <c r="AQ19" s="107">
        <v>0</v>
      </c>
      <c r="AR19" s="107">
        <v>0</v>
      </c>
      <c r="AS19" s="107">
        <v>0</v>
      </c>
      <c r="AT19" s="107">
        <v>0</v>
      </c>
      <c r="AU19" s="108">
        <v>0</v>
      </c>
      <c r="AV19" s="107">
        <v>0</v>
      </c>
      <c r="AW19" s="107">
        <v>0</v>
      </c>
      <c r="AX19" s="107">
        <v>0</v>
      </c>
      <c r="AY19" s="107">
        <v>0</v>
      </c>
      <c r="AZ19" s="107">
        <v>0</v>
      </c>
      <c r="BA19" s="107">
        <v>0</v>
      </c>
      <c r="BB19" s="107">
        <v>0</v>
      </c>
      <c r="BC19" s="107">
        <v>0</v>
      </c>
      <c r="BD19" s="107">
        <v>0</v>
      </c>
      <c r="BE19" s="107">
        <v>0</v>
      </c>
      <c r="BF19" s="107">
        <v>0</v>
      </c>
      <c r="BG19" s="107">
        <v>0</v>
      </c>
      <c r="BH19" s="107">
        <v>0</v>
      </c>
      <c r="BI19" s="108">
        <v>0</v>
      </c>
      <c r="BJ19" s="107">
        <v>0</v>
      </c>
      <c r="BK19" s="107">
        <v>0</v>
      </c>
      <c r="BL19" s="107">
        <v>0</v>
      </c>
      <c r="BM19" s="107">
        <v>0</v>
      </c>
      <c r="BN19" s="107">
        <v>0</v>
      </c>
      <c r="BO19" s="108">
        <v>0</v>
      </c>
      <c r="BP19" s="107">
        <v>0</v>
      </c>
      <c r="BQ19" s="107">
        <v>0</v>
      </c>
      <c r="BR19" s="107">
        <v>0</v>
      </c>
      <c r="BS19" s="107">
        <v>0</v>
      </c>
      <c r="BT19" s="107">
        <v>0</v>
      </c>
      <c r="BU19" s="108">
        <v>0</v>
      </c>
      <c r="BV19" s="107">
        <v>0</v>
      </c>
      <c r="BW19" s="108">
        <v>0</v>
      </c>
      <c r="BX19" s="107">
        <v>0</v>
      </c>
      <c r="BY19" s="107">
        <v>0</v>
      </c>
      <c r="BZ19" s="107">
        <v>0</v>
      </c>
      <c r="CA19" s="107">
        <v>0</v>
      </c>
      <c r="CB19" s="107">
        <v>0</v>
      </c>
      <c r="CC19" s="108">
        <v>0</v>
      </c>
      <c r="CD19" s="108">
        <v>0</v>
      </c>
      <c r="CE19" s="107">
        <v>0</v>
      </c>
      <c r="CF19" s="108">
        <v>0</v>
      </c>
      <c r="CG19" s="107">
        <v>0</v>
      </c>
      <c r="CH19" s="107">
        <v>0</v>
      </c>
      <c r="CI19" s="107">
        <v>0</v>
      </c>
      <c r="CJ19" s="108">
        <v>0</v>
      </c>
      <c r="CK19" s="107">
        <v>0</v>
      </c>
      <c r="CL19" s="108">
        <v>0</v>
      </c>
      <c r="CM19" s="107">
        <v>0</v>
      </c>
      <c r="CN19" s="107">
        <v>0</v>
      </c>
    </row>
    <row r="20" spans="1:92">
      <c r="A20" s="207" t="s">
        <v>603</v>
      </c>
      <c r="B20" s="108">
        <v>3</v>
      </c>
      <c r="C20" s="107">
        <v>0</v>
      </c>
      <c r="D20" s="107">
        <v>0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7">
        <v>0</v>
      </c>
      <c r="M20" s="107">
        <v>0</v>
      </c>
      <c r="N20" s="107">
        <v>0</v>
      </c>
      <c r="O20" s="107">
        <v>0</v>
      </c>
      <c r="P20" s="107">
        <v>3</v>
      </c>
      <c r="Q20" s="107">
        <v>0</v>
      </c>
      <c r="R20" s="108">
        <v>0</v>
      </c>
      <c r="S20" s="107">
        <v>0</v>
      </c>
      <c r="T20" s="107">
        <v>0</v>
      </c>
      <c r="U20" s="107">
        <v>0</v>
      </c>
      <c r="V20" s="107">
        <v>0</v>
      </c>
      <c r="W20" s="107">
        <v>0</v>
      </c>
      <c r="X20" s="107">
        <v>0</v>
      </c>
      <c r="Y20" s="107">
        <v>0</v>
      </c>
      <c r="Z20" s="107">
        <v>0</v>
      </c>
      <c r="AA20" s="107">
        <v>0</v>
      </c>
      <c r="AB20" s="107">
        <v>0</v>
      </c>
      <c r="AC20" s="108">
        <v>0</v>
      </c>
      <c r="AD20" s="107">
        <v>0</v>
      </c>
      <c r="AE20" s="107">
        <v>0</v>
      </c>
      <c r="AF20" s="107">
        <v>0</v>
      </c>
      <c r="AG20" s="107">
        <v>0</v>
      </c>
      <c r="AH20" s="107">
        <v>0</v>
      </c>
      <c r="AI20" s="107">
        <v>0</v>
      </c>
      <c r="AJ20" s="107">
        <v>0</v>
      </c>
      <c r="AK20" s="107">
        <v>0</v>
      </c>
      <c r="AL20" s="107">
        <v>0</v>
      </c>
      <c r="AM20" s="108">
        <v>0</v>
      </c>
      <c r="AN20" s="107">
        <v>0</v>
      </c>
      <c r="AO20" s="107">
        <v>0</v>
      </c>
      <c r="AP20" s="107">
        <v>0</v>
      </c>
      <c r="AQ20" s="107">
        <v>0</v>
      </c>
      <c r="AR20" s="107">
        <v>0</v>
      </c>
      <c r="AS20" s="107">
        <v>0</v>
      </c>
      <c r="AT20" s="107">
        <v>0</v>
      </c>
      <c r="AU20" s="108">
        <v>0</v>
      </c>
      <c r="AV20" s="107">
        <v>0</v>
      </c>
      <c r="AW20" s="107">
        <v>0</v>
      </c>
      <c r="AX20" s="107">
        <v>0</v>
      </c>
      <c r="AY20" s="107">
        <v>0</v>
      </c>
      <c r="AZ20" s="107">
        <v>0</v>
      </c>
      <c r="BA20" s="107">
        <v>0</v>
      </c>
      <c r="BB20" s="107">
        <v>0</v>
      </c>
      <c r="BC20" s="107">
        <v>0</v>
      </c>
      <c r="BD20" s="107">
        <v>0</v>
      </c>
      <c r="BE20" s="107">
        <v>0</v>
      </c>
      <c r="BF20" s="107">
        <v>0</v>
      </c>
      <c r="BG20" s="107">
        <v>0</v>
      </c>
      <c r="BH20" s="107">
        <v>0</v>
      </c>
      <c r="BI20" s="108">
        <v>0</v>
      </c>
      <c r="BJ20" s="107">
        <v>0</v>
      </c>
      <c r="BK20" s="107">
        <v>0</v>
      </c>
      <c r="BL20" s="107">
        <v>0</v>
      </c>
      <c r="BM20" s="107">
        <v>0</v>
      </c>
      <c r="BN20" s="107">
        <v>0</v>
      </c>
      <c r="BO20" s="108">
        <v>0</v>
      </c>
      <c r="BP20" s="107">
        <v>0</v>
      </c>
      <c r="BQ20" s="107">
        <v>0</v>
      </c>
      <c r="BR20" s="107">
        <v>0</v>
      </c>
      <c r="BS20" s="107">
        <v>0</v>
      </c>
      <c r="BT20" s="107">
        <v>0</v>
      </c>
      <c r="BU20" s="108">
        <v>0</v>
      </c>
      <c r="BV20" s="107">
        <v>0</v>
      </c>
      <c r="BW20" s="108">
        <v>0</v>
      </c>
      <c r="BX20" s="107">
        <v>0</v>
      </c>
      <c r="BY20" s="107">
        <v>0</v>
      </c>
      <c r="BZ20" s="107">
        <v>0</v>
      </c>
      <c r="CA20" s="107">
        <v>0</v>
      </c>
      <c r="CB20" s="107">
        <v>0</v>
      </c>
      <c r="CC20" s="108">
        <v>0</v>
      </c>
      <c r="CD20" s="108">
        <v>0</v>
      </c>
      <c r="CE20" s="107">
        <v>0</v>
      </c>
      <c r="CF20" s="108">
        <v>0</v>
      </c>
      <c r="CG20" s="107">
        <v>0</v>
      </c>
      <c r="CH20" s="107">
        <v>0</v>
      </c>
      <c r="CI20" s="107">
        <v>0</v>
      </c>
      <c r="CJ20" s="108">
        <v>0</v>
      </c>
      <c r="CK20" s="107">
        <v>0</v>
      </c>
      <c r="CL20" s="108">
        <v>0</v>
      </c>
      <c r="CM20" s="107">
        <v>0</v>
      </c>
      <c r="CN20" s="107">
        <v>0</v>
      </c>
    </row>
    <row r="21" spans="1:92">
      <c r="A21" s="207" t="s">
        <v>341</v>
      </c>
      <c r="B21" s="108">
        <v>1048</v>
      </c>
      <c r="C21" s="107">
        <v>0</v>
      </c>
      <c r="D21" s="107">
        <v>0</v>
      </c>
      <c r="E21" s="107">
        <v>0</v>
      </c>
      <c r="F21" s="107">
        <v>0</v>
      </c>
      <c r="G21" s="107">
        <v>1</v>
      </c>
      <c r="H21" s="107">
        <v>0</v>
      </c>
      <c r="I21" s="107">
        <v>0</v>
      </c>
      <c r="J21" s="107">
        <v>0</v>
      </c>
      <c r="K21" s="107">
        <v>0</v>
      </c>
      <c r="L21" s="107">
        <v>0</v>
      </c>
      <c r="M21" s="107">
        <v>0</v>
      </c>
      <c r="N21" s="107">
        <v>0</v>
      </c>
      <c r="O21" s="107">
        <v>0</v>
      </c>
      <c r="P21" s="107">
        <v>0</v>
      </c>
      <c r="Q21" s="107">
        <v>0</v>
      </c>
      <c r="R21" s="108">
        <v>838</v>
      </c>
      <c r="S21" s="107">
        <v>2</v>
      </c>
      <c r="T21" s="107">
        <v>0</v>
      </c>
      <c r="U21" s="107">
        <v>0</v>
      </c>
      <c r="V21" s="107">
        <v>0</v>
      </c>
      <c r="W21" s="107">
        <v>0</v>
      </c>
      <c r="X21" s="107">
        <v>0</v>
      </c>
      <c r="Y21" s="107">
        <v>0</v>
      </c>
      <c r="Z21" s="107">
        <v>0</v>
      </c>
      <c r="AA21" s="107">
        <v>0</v>
      </c>
      <c r="AB21" s="107">
        <v>0</v>
      </c>
      <c r="AC21" s="108">
        <v>137</v>
      </c>
      <c r="AD21" s="107">
        <v>0</v>
      </c>
      <c r="AE21" s="107">
        <v>0</v>
      </c>
      <c r="AF21" s="107">
        <v>0</v>
      </c>
      <c r="AG21" s="107">
        <v>0</v>
      </c>
      <c r="AH21" s="107">
        <v>1</v>
      </c>
      <c r="AI21" s="107">
        <v>0</v>
      </c>
      <c r="AJ21" s="107">
        <v>0</v>
      </c>
      <c r="AK21" s="107">
        <v>0</v>
      </c>
      <c r="AL21" s="107">
        <v>0</v>
      </c>
      <c r="AM21" s="108">
        <v>22</v>
      </c>
      <c r="AN21" s="107">
        <v>0</v>
      </c>
      <c r="AO21" s="107">
        <v>0</v>
      </c>
      <c r="AP21" s="107">
        <v>0</v>
      </c>
      <c r="AQ21" s="107">
        <v>0</v>
      </c>
      <c r="AR21" s="107">
        <v>0</v>
      </c>
      <c r="AS21" s="107">
        <v>0</v>
      </c>
      <c r="AT21" s="107">
        <v>0</v>
      </c>
      <c r="AU21" s="108">
        <v>0</v>
      </c>
      <c r="AV21" s="107">
        <v>0</v>
      </c>
      <c r="AW21" s="107">
        <v>0</v>
      </c>
      <c r="AX21" s="107">
        <v>0</v>
      </c>
      <c r="AY21" s="107">
        <v>0</v>
      </c>
      <c r="AZ21" s="107">
        <v>0</v>
      </c>
      <c r="BA21" s="107">
        <v>0</v>
      </c>
      <c r="BB21" s="107">
        <v>0</v>
      </c>
      <c r="BC21" s="107">
        <v>0</v>
      </c>
      <c r="BD21" s="107">
        <v>0</v>
      </c>
      <c r="BE21" s="107">
        <v>0</v>
      </c>
      <c r="BF21" s="107">
        <v>0</v>
      </c>
      <c r="BG21" s="107">
        <v>1</v>
      </c>
      <c r="BH21" s="107">
        <v>0</v>
      </c>
      <c r="BI21" s="108">
        <v>0</v>
      </c>
      <c r="BJ21" s="107">
        <v>0</v>
      </c>
      <c r="BK21" s="107">
        <v>0</v>
      </c>
      <c r="BL21" s="107">
        <v>0</v>
      </c>
      <c r="BM21" s="107">
        <v>0</v>
      </c>
      <c r="BN21" s="107">
        <v>0</v>
      </c>
      <c r="BO21" s="108">
        <v>0</v>
      </c>
      <c r="BP21" s="107">
        <v>0</v>
      </c>
      <c r="BQ21" s="107">
        <v>0</v>
      </c>
      <c r="BR21" s="107">
        <v>3</v>
      </c>
      <c r="BS21" s="107">
        <v>0</v>
      </c>
      <c r="BT21" s="107">
        <v>0</v>
      </c>
      <c r="BU21" s="108">
        <v>2</v>
      </c>
      <c r="BV21" s="107">
        <v>0</v>
      </c>
      <c r="BW21" s="108">
        <v>0</v>
      </c>
      <c r="BX21" s="107">
        <v>0</v>
      </c>
      <c r="BY21" s="107">
        <v>0</v>
      </c>
      <c r="BZ21" s="107">
        <v>0</v>
      </c>
      <c r="CA21" s="107">
        <v>0</v>
      </c>
      <c r="CB21" s="107">
        <v>1</v>
      </c>
      <c r="CC21" s="108">
        <v>1</v>
      </c>
      <c r="CD21" s="108">
        <v>0</v>
      </c>
      <c r="CE21" s="107">
        <v>0</v>
      </c>
      <c r="CF21" s="108">
        <v>1</v>
      </c>
      <c r="CG21" s="107">
        <v>0</v>
      </c>
      <c r="CH21" s="107">
        <v>0</v>
      </c>
      <c r="CI21" s="107">
        <v>10</v>
      </c>
      <c r="CJ21" s="108">
        <v>28</v>
      </c>
      <c r="CK21" s="107">
        <v>0</v>
      </c>
      <c r="CL21" s="108">
        <v>0</v>
      </c>
      <c r="CM21" s="107">
        <v>0</v>
      </c>
      <c r="CN21" s="107">
        <v>0</v>
      </c>
    </row>
    <row r="22" spans="1:92">
      <c r="A22" s="207" t="s">
        <v>479</v>
      </c>
      <c r="B22" s="108">
        <v>1</v>
      </c>
      <c r="C22" s="107">
        <v>0</v>
      </c>
      <c r="D22" s="107">
        <v>0</v>
      </c>
      <c r="E22" s="107">
        <v>0</v>
      </c>
      <c r="F22" s="107">
        <v>0</v>
      </c>
      <c r="G22" s="107">
        <v>0</v>
      </c>
      <c r="H22" s="107">
        <v>0</v>
      </c>
      <c r="I22" s="107">
        <v>0</v>
      </c>
      <c r="J22" s="107">
        <v>0</v>
      </c>
      <c r="K22" s="107">
        <v>0</v>
      </c>
      <c r="L22" s="107">
        <v>0</v>
      </c>
      <c r="M22" s="107">
        <v>0</v>
      </c>
      <c r="N22" s="107">
        <v>0</v>
      </c>
      <c r="O22" s="107">
        <v>0</v>
      </c>
      <c r="P22" s="107">
        <v>0</v>
      </c>
      <c r="Q22" s="107">
        <v>0</v>
      </c>
      <c r="R22" s="108">
        <v>0</v>
      </c>
      <c r="S22" s="107">
        <v>0</v>
      </c>
      <c r="T22" s="107">
        <v>0</v>
      </c>
      <c r="U22" s="107">
        <v>0</v>
      </c>
      <c r="V22" s="107">
        <v>0</v>
      </c>
      <c r="W22" s="107">
        <v>0</v>
      </c>
      <c r="X22" s="107">
        <v>0</v>
      </c>
      <c r="Y22" s="107">
        <v>0</v>
      </c>
      <c r="Z22" s="107">
        <v>0</v>
      </c>
      <c r="AA22" s="107">
        <v>0</v>
      </c>
      <c r="AB22" s="107">
        <v>0</v>
      </c>
      <c r="AC22" s="108">
        <v>1</v>
      </c>
      <c r="AD22" s="107">
        <v>0</v>
      </c>
      <c r="AE22" s="107">
        <v>0</v>
      </c>
      <c r="AF22" s="107">
        <v>0</v>
      </c>
      <c r="AG22" s="107">
        <v>0</v>
      </c>
      <c r="AH22" s="107">
        <v>0</v>
      </c>
      <c r="AI22" s="107">
        <v>0</v>
      </c>
      <c r="AJ22" s="107">
        <v>0</v>
      </c>
      <c r="AK22" s="107">
        <v>0</v>
      </c>
      <c r="AL22" s="107">
        <v>0</v>
      </c>
      <c r="AM22" s="108">
        <v>0</v>
      </c>
      <c r="AN22" s="107">
        <v>0</v>
      </c>
      <c r="AO22" s="107">
        <v>0</v>
      </c>
      <c r="AP22" s="107">
        <v>0</v>
      </c>
      <c r="AQ22" s="107">
        <v>0</v>
      </c>
      <c r="AR22" s="107">
        <v>0</v>
      </c>
      <c r="AS22" s="107">
        <v>0</v>
      </c>
      <c r="AT22" s="107">
        <v>0</v>
      </c>
      <c r="AU22" s="108">
        <v>0</v>
      </c>
      <c r="AV22" s="107">
        <v>0</v>
      </c>
      <c r="AW22" s="107">
        <v>0</v>
      </c>
      <c r="AX22" s="107">
        <v>0</v>
      </c>
      <c r="AY22" s="107">
        <v>0</v>
      </c>
      <c r="AZ22" s="107">
        <v>0</v>
      </c>
      <c r="BA22" s="107">
        <v>0</v>
      </c>
      <c r="BB22" s="107">
        <v>0</v>
      </c>
      <c r="BC22" s="107">
        <v>0</v>
      </c>
      <c r="BD22" s="107">
        <v>0</v>
      </c>
      <c r="BE22" s="107">
        <v>0</v>
      </c>
      <c r="BF22" s="107">
        <v>0</v>
      </c>
      <c r="BG22" s="107">
        <v>0</v>
      </c>
      <c r="BH22" s="107">
        <v>0</v>
      </c>
      <c r="BI22" s="108">
        <v>0</v>
      </c>
      <c r="BJ22" s="107">
        <v>0</v>
      </c>
      <c r="BK22" s="107">
        <v>0</v>
      </c>
      <c r="BL22" s="107">
        <v>0</v>
      </c>
      <c r="BM22" s="107">
        <v>0</v>
      </c>
      <c r="BN22" s="107">
        <v>0</v>
      </c>
      <c r="BO22" s="108">
        <v>0</v>
      </c>
      <c r="BP22" s="107">
        <v>0</v>
      </c>
      <c r="BQ22" s="107">
        <v>0</v>
      </c>
      <c r="BR22" s="107">
        <v>0</v>
      </c>
      <c r="BS22" s="107">
        <v>0</v>
      </c>
      <c r="BT22" s="107">
        <v>0</v>
      </c>
      <c r="BU22" s="108">
        <v>0</v>
      </c>
      <c r="BV22" s="107">
        <v>0</v>
      </c>
      <c r="BW22" s="108">
        <v>0</v>
      </c>
      <c r="BX22" s="107">
        <v>0</v>
      </c>
      <c r="BY22" s="107">
        <v>0</v>
      </c>
      <c r="BZ22" s="107">
        <v>0</v>
      </c>
      <c r="CA22" s="107">
        <v>0</v>
      </c>
      <c r="CB22" s="107">
        <v>0</v>
      </c>
      <c r="CC22" s="108">
        <v>0</v>
      </c>
      <c r="CD22" s="108">
        <v>0</v>
      </c>
      <c r="CE22" s="107">
        <v>0</v>
      </c>
      <c r="CF22" s="108">
        <v>0</v>
      </c>
      <c r="CG22" s="107">
        <v>0</v>
      </c>
      <c r="CH22" s="107">
        <v>0</v>
      </c>
      <c r="CI22" s="107">
        <v>0</v>
      </c>
      <c r="CJ22" s="108">
        <v>0</v>
      </c>
      <c r="CK22" s="107">
        <v>0</v>
      </c>
      <c r="CL22" s="108">
        <v>0</v>
      </c>
      <c r="CM22" s="107">
        <v>0</v>
      </c>
      <c r="CN22" s="107">
        <v>0</v>
      </c>
    </row>
    <row r="23" spans="1:92">
      <c r="A23" s="207" t="s">
        <v>403</v>
      </c>
      <c r="B23" s="108">
        <v>9</v>
      </c>
      <c r="C23" s="107">
        <v>0</v>
      </c>
      <c r="D23" s="107">
        <v>0</v>
      </c>
      <c r="E23" s="107">
        <v>0</v>
      </c>
      <c r="F23" s="107">
        <v>0</v>
      </c>
      <c r="G23" s="107">
        <v>0</v>
      </c>
      <c r="H23" s="107">
        <v>0</v>
      </c>
      <c r="I23" s="107">
        <v>0</v>
      </c>
      <c r="J23" s="107">
        <v>0</v>
      </c>
      <c r="K23" s="107">
        <v>0</v>
      </c>
      <c r="L23" s="107">
        <v>0</v>
      </c>
      <c r="M23" s="107">
        <v>0</v>
      </c>
      <c r="N23" s="107">
        <v>0</v>
      </c>
      <c r="O23" s="107">
        <v>0</v>
      </c>
      <c r="P23" s="107">
        <v>0</v>
      </c>
      <c r="Q23" s="107">
        <v>0</v>
      </c>
      <c r="R23" s="108">
        <v>0</v>
      </c>
      <c r="S23" s="107">
        <v>0</v>
      </c>
      <c r="T23" s="107">
        <v>5</v>
      </c>
      <c r="U23" s="107">
        <v>0</v>
      </c>
      <c r="V23" s="107">
        <v>0</v>
      </c>
      <c r="W23" s="107">
        <v>0</v>
      </c>
      <c r="X23" s="107">
        <v>0</v>
      </c>
      <c r="Y23" s="107">
        <v>0</v>
      </c>
      <c r="Z23" s="107">
        <v>0</v>
      </c>
      <c r="AA23" s="107">
        <v>0</v>
      </c>
      <c r="AB23" s="107">
        <v>0</v>
      </c>
      <c r="AC23" s="108">
        <v>3</v>
      </c>
      <c r="AD23" s="107">
        <v>0</v>
      </c>
      <c r="AE23" s="107">
        <v>0</v>
      </c>
      <c r="AF23" s="107">
        <v>0</v>
      </c>
      <c r="AG23" s="107">
        <v>0</v>
      </c>
      <c r="AH23" s="107">
        <v>0</v>
      </c>
      <c r="AI23" s="107">
        <v>0</v>
      </c>
      <c r="AJ23" s="107">
        <v>0</v>
      </c>
      <c r="AK23" s="107">
        <v>0</v>
      </c>
      <c r="AL23" s="107">
        <v>0</v>
      </c>
      <c r="AM23" s="108">
        <v>0</v>
      </c>
      <c r="AN23" s="107">
        <v>0</v>
      </c>
      <c r="AO23" s="107">
        <v>0</v>
      </c>
      <c r="AP23" s="107">
        <v>0</v>
      </c>
      <c r="AQ23" s="107">
        <v>0</v>
      </c>
      <c r="AR23" s="107">
        <v>0</v>
      </c>
      <c r="AS23" s="107">
        <v>0</v>
      </c>
      <c r="AT23" s="107">
        <v>0</v>
      </c>
      <c r="AU23" s="108">
        <v>0</v>
      </c>
      <c r="AV23" s="107">
        <v>0</v>
      </c>
      <c r="AW23" s="107">
        <v>0</v>
      </c>
      <c r="AX23" s="107">
        <v>0</v>
      </c>
      <c r="AY23" s="107">
        <v>0</v>
      </c>
      <c r="AZ23" s="107">
        <v>0</v>
      </c>
      <c r="BA23" s="107">
        <v>0</v>
      </c>
      <c r="BB23" s="107">
        <v>0</v>
      </c>
      <c r="BC23" s="107">
        <v>0</v>
      </c>
      <c r="BD23" s="107">
        <v>0</v>
      </c>
      <c r="BE23" s="107">
        <v>0</v>
      </c>
      <c r="BF23" s="107">
        <v>0</v>
      </c>
      <c r="BG23" s="107">
        <v>0</v>
      </c>
      <c r="BH23" s="107">
        <v>0</v>
      </c>
      <c r="BI23" s="108">
        <v>0</v>
      </c>
      <c r="BJ23" s="107">
        <v>0</v>
      </c>
      <c r="BK23" s="107">
        <v>0</v>
      </c>
      <c r="BL23" s="107">
        <v>0</v>
      </c>
      <c r="BM23" s="107">
        <v>0</v>
      </c>
      <c r="BN23" s="107">
        <v>0</v>
      </c>
      <c r="BO23" s="108">
        <v>0</v>
      </c>
      <c r="BP23" s="107">
        <v>0</v>
      </c>
      <c r="BQ23" s="107">
        <v>0</v>
      </c>
      <c r="BR23" s="107">
        <v>0</v>
      </c>
      <c r="BS23" s="107">
        <v>0</v>
      </c>
      <c r="BT23" s="107">
        <v>0</v>
      </c>
      <c r="BU23" s="108">
        <v>0</v>
      </c>
      <c r="BV23" s="107">
        <v>0</v>
      </c>
      <c r="BW23" s="108">
        <v>0</v>
      </c>
      <c r="BX23" s="107">
        <v>0</v>
      </c>
      <c r="BY23" s="107">
        <v>0</v>
      </c>
      <c r="BZ23" s="107">
        <v>0</v>
      </c>
      <c r="CA23" s="107">
        <v>0</v>
      </c>
      <c r="CB23" s="107">
        <v>0</v>
      </c>
      <c r="CC23" s="108">
        <v>0</v>
      </c>
      <c r="CD23" s="108">
        <v>0</v>
      </c>
      <c r="CE23" s="107">
        <v>0</v>
      </c>
      <c r="CF23" s="108">
        <v>0</v>
      </c>
      <c r="CG23" s="107">
        <v>0</v>
      </c>
      <c r="CH23" s="107">
        <v>0</v>
      </c>
      <c r="CI23" s="107">
        <v>1</v>
      </c>
      <c r="CJ23" s="108">
        <v>0</v>
      </c>
      <c r="CK23" s="107">
        <v>0</v>
      </c>
      <c r="CL23" s="108">
        <v>0</v>
      </c>
      <c r="CM23" s="107">
        <v>0</v>
      </c>
      <c r="CN23" s="107">
        <v>0</v>
      </c>
    </row>
    <row r="24" spans="1:92">
      <c r="A24" s="207" t="s">
        <v>342</v>
      </c>
      <c r="B24" s="108">
        <v>20</v>
      </c>
      <c r="C24" s="107">
        <v>0</v>
      </c>
      <c r="D24" s="107">
        <v>0</v>
      </c>
      <c r="E24" s="107">
        <v>0</v>
      </c>
      <c r="F24" s="107">
        <v>0</v>
      </c>
      <c r="G24" s="107">
        <v>0</v>
      </c>
      <c r="H24" s="107">
        <v>0</v>
      </c>
      <c r="I24" s="107">
        <v>0</v>
      </c>
      <c r="J24" s="107">
        <v>0</v>
      </c>
      <c r="K24" s="107">
        <v>0</v>
      </c>
      <c r="L24" s="107">
        <v>0</v>
      </c>
      <c r="M24" s="107">
        <v>0</v>
      </c>
      <c r="N24" s="107">
        <v>0</v>
      </c>
      <c r="O24" s="107">
        <v>0</v>
      </c>
      <c r="P24" s="107">
        <v>0</v>
      </c>
      <c r="Q24" s="107">
        <v>0</v>
      </c>
      <c r="R24" s="108">
        <v>0</v>
      </c>
      <c r="S24" s="107">
        <v>0</v>
      </c>
      <c r="T24" s="107">
        <v>0</v>
      </c>
      <c r="U24" s="107">
        <v>13</v>
      </c>
      <c r="V24" s="107">
        <v>0</v>
      </c>
      <c r="W24" s="107">
        <v>0</v>
      </c>
      <c r="X24" s="107">
        <v>0</v>
      </c>
      <c r="Y24" s="107">
        <v>0</v>
      </c>
      <c r="Z24" s="107">
        <v>0</v>
      </c>
      <c r="AA24" s="107">
        <v>0</v>
      </c>
      <c r="AB24" s="107">
        <v>0</v>
      </c>
      <c r="AC24" s="108">
        <v>6</v>
      </c>
      <c r="AD24" s="107">
        <v>0</v>
      </c>
      <c r="AE24" s="107">
        <v>0</v>
      </c>
      <c r="AF24" s="107">
        <v>0</v>
      </c>
      <c r="AG24" s="107">
        <v>0</v>
      </c>
      <c r="AH24" s="107">
        <v>0</v>
      </c>
      <c r="AI24" s="107">
        <v>0</v>
      </c>
      <c r="AJ24" s="107">
        <v>0</v>
      </c>
      <c r="AK24" s="107">
        <v>0</v>
      </c>
      <c r="AL24" s="107">
        <v>0</v>
      </c>
      <c r="AM24" s="108">
        <v>0</v>
      </c>
      <c r="AN24" s="107">
        <v>0</v>
      </c>
      <c r="AO24" s="107">
        <v>0</v>
      </c>
      <c r="AP24" s="107">
        <v>0</v>
      </c>
      <c r="AQ24" s="107">
        <v>0</v>
      </c>
      <c r="AR24" s="107">
        <v>0</v>
      </c>
      <c r="AS24" s="107">
        <v>0</v>
      </c>
      <c r="AT24" s="107">
        <v>0</v>
      </c>
      <c r="AU24" s="108">
        <v>0</v>
      </c>
      <c r="AV24" s="107">
        <v>0</v>
      </c>
      <c r="AW24" s="107">
        <v>0</v>
      </c>
      <c r="AX24" s="107">
        <v>0</v>
      </c>
      <c r="AY24" s="107">
        <v>0</v>
      </c>
      <c r="AZ24" s="107">
        <v>0</v>
      </c>
      <c r="BA24" s="107">
        <v>0</v>
      </c>
      <c r="BB24" s="107">
        <v>0</v>
      </c>
      <c r="BC24" s="107">
        <v>0</v>
      </c>
      <c r="BD24" s="107">
        <v>0</v>
      </c>
      <c r="BE24" s="107">
        <v>1</v>
      </c>
      <c r="BF24" s="107">
        <v>0</v>
      </c>
      <c r="BG24" s="107">
        <v>0</v>
      </c>
      <c r="BH24" s="107">
        <v>0</v>
      </c>
      <c r="BI24" s="108">
        <v>0</v>
      </c>
      <c r="BJ24" s="107">
        <v>0</v>
      </c>
      <c r="BK24" s="107">
        <v>0</v>
      </c>
      <c r="BL24" s="107">
        <v>0</v>
      </c>
      <c r="BM24" s="107">
        <v>0</v>
      </c>
      <c r="BN24" s="107">
        <v>0</v>
      </c>
      <c r="BO24" s="108">
        <v>0</v>
      </c>
      <c r="BP24" s="107">
        <v>0</v>
      </c>
      <c r="BQ24" s="107">
        <v>0</v>
      </c>
      <c r="BR24" s="107">
        <v>0</v>
      </c>
      <c r="BS24" s="107">
        <v>0</v>
      </c>
      <c r="BT24" s="107">
        <v>0</v>
      </c>
      <c r="BU24" s="108">
        <v>0</v>
      </c>
      <c r="BV24" s="107">
        <v>0</v>
      </c>
      <c r="BW24" s="108">
        <v>0</v>
      </c>
      <c r="BX24" s="107">
        <v>0</v>
      </c>
      <c r="BY24" s="107">
        <v>0</v>
      </c>
      <c r="BZ24" s="107">
        <v>0</v>
      </c>
      <c r="CA24" s="107">
        <v>0</v>
      </c>
      <c r="CB24" s="107">
        <v>0</v>
      </c>
      <c r="CC24" s="108">
        <v>0</v>
      </c>
      <c r="CD24" s="108">
        <v>0</v>
      </c>
      <c r="CE24" s="107">
        <v>0</v>
      </c>
      <c r="CF24" s="108">
        <v>0</v>
      </c>
      <c r="CG24" s="107">
        <v>0</v>
      </c>
      <c r="CH24" s="107">
        <v>0</v>
      </c>
      <c r="CI24" s="107">
        <v>0</v>
      </c>
      <c r="CJ24" s="108">
        <v>0</v>
      </c>
      <c r="CK24" s="107">
        <v>0</v>
      </c>
      <c r="CL24" s="108">
        <v>0</v>
      </c>
      <c r="CM24" s="107">
        <v>0</v>
      </c>
      <c r="CN24" s="107">
        <v>0</v>
      </c>
    </row>
    <row r="25" spans="1:92">
      <c r="A25" s="207" t="s">
        <v>404</v>
      </c>
      <c r="B25" s="108">
        <v>37</v>
      </c>
      <c r="C25" s="107">
        <v>0</v>
      </c>
      <c r="D25" s="107">
        <v>0</v>
      </c>
      <c r="E25" s="107">
        <v>0</v>
      </c>
      <c r="F25" s="107">
        <v>1</v>
      </c>
      <c r="G25" s="107">
        <v>0</v>
      </c>
      <c r="H25" s="107">
        <v>0</v>
      </c>
      <c r="I25" s="107">
        <v>0</v>
      </c>
      <c r="J25" s="107">
        <v>0</v>
      </c>
      <c r="K25" s="107">
        <v>0</v>
      </c>
      <c r="L25" s="107">
        <v>0</v>
      </c>
      <c r="M25" s="107">
        <v>0</v>
      </c>
      <c r="N25" s="107">
        <v>0</v>
      </c>
      <c r="O25" s="107">
        <v>0</v>
      </c>
      <c r="P25" s="107">
        <v>0</v>
      </c>
      <c r="Q25" s="107">
        <v>0</v>
      </c>
      <c r="R25" s="108">
        <v>2</v>
      </c>
      <c r="S25" s="107">
        <v>0</v>
      </c>
      <c r="T25" s="107">
        <v>0</v>
      </c>
      <c r="U25" s="107">
        <v>0</v>
      </c>
      <c r="V25" s="107">
        <v>8</v>
      </c>
      <c r="W25" s="107">
        <v>0</v>
      </c>
      <c r="X25" s="107">
        <v>0</v>
      </c>
      <c r="Y25" s="107">
        <v>0</v>
      </c>
      <c r="Z25" s="107">
        <v>0</v>
      </c>
      <c r="AA25" s="107">
        <v>0</v>
      </c>
      <c r="AB25" s="107">
        <v>0</v>
      </c>
      <c r="AC25" s="108">
        <v>17</v>
      </c>
      <c r="AD25" s="107">
        <v>0</v>
      </c>
      <c r="AE25" s="107">
        <v>0</v>
      </c>
      <c r="AF25" s="107">
        <v>0</v>
      </c>
      <c r="AG25" s="107">
        <v>0</v>
      </c>
      <c r="AH25" s="107">
        <v>0</v>
      </c>
      <c r="AI25" s="107">
        <v>0</v>
      </c>
      <c r="AJ25" s="107">
        <v>0</v>
      </c>
      <c r="AK25" s="107">
        <v>0</v>
      </c>
      <c r="AL25" s="107">
        <v>0</v>
      </c>
      <c r="AM25" s="108">
        <v>0</v>
      </c>
      <c r="AN25" s="107">
        <v>0</v>
      </c>
      <c r="AO25" s="107">
        <v>0</v>
      </c>
      <c r="AP25" s="107">
        <v>0</v>
      </c>
      <c r="AQ25" s="107">
        <v>0</v>
      </c>
      <c r="AR25" s="107">
        <v>0</v>
      </c>
      <c r="AS25" s="107">
        <v>0</v>
      </c>
      <c r="AT25" s="107">
        <v>0</v>
      </c>
      <c r="AU25" s="108">
        <v>3</v>
      </c>
      <c r="AV25" s="107">
        <v>0</v>
      </c>
      <c r="AW25" s="107">
        <v>0</v>
      </c>
      <c r="AX25" s="107">
        <v>0</v>
      </c>
      <c r="AY25" s="107">
        <v>0</v>
      </c>
      <c r="AZ25" s="107">
        <v>0</v>
      </c>
      <c r="BA25" s="107">
        <v>0</v>
      </c>
      <c r="BB25" s="107">
        <v>1</v>
      </c>
      <c r="BC25" s="107">
        <v>0</v>
      </c>
      <c r="BD25" s="107">
        <v>0</v>
      </c>
      <c r="BE25" s="107">
        <v>0</v>
      </c>
      <c r="BF25" s="107">
        <v>0</v>
      </c>
      <c r="BG25" s="107">
        <v>0</v>
      </c>
      <c r="BH25" s="107">
        <v>0</v>
      </c>
      <c r="BI25" s="108">
        <v>0</v>
      </c>
      <c r="BJ25" s="107">
        <v>0</v>
      </c>
      <c r="BK25" s="107">
        <v>0</v>
      </c>
      <c r="BL25" s="107">
        <v>0</v>
      </c>
      <c r="BM25" s="107">
        <v>0</v>
      </c>
      <c r="BN25" s="107">
        <v>0</v>
      </c>
      <c r="BO25" s="108">
        <v>0</v>
      </c>
      <c r="BP25" s="107">
        <v>0</v>
      </c>
      <c r="BQ25" s="107">
        <v>0</v>
      </c>
      <c r="BR25" s="107">
        <v>0</v>
      </c>
      <c r="BS25" s="107">
        <v>0</v>
      </c>
      <c r="BT25" s="107">
        <v>0</v>
      </c>
      <c r="BU25" s="108">
        <v>0</v>
      </c>
      <c r="BV25" s="107">
        <v>0</v>
      </c>
      <c r="BW25" s="108">
        <v>0</v>
      </c>
      <c r="BX25" s="107">
        <v>0</v>
      </c>
      <c r="BY25" s="107">
        <v>0</v>
      </c>
      <c r="BZ25" s="107">
        <v>0</v>
      </c>
      <c r="CA25" s="107">
        <v>0</v>
      </c>
      <c r="CB25" s="107">
        <v>1</v>
      </c>
      <c r="CC25" s="108">
        <v>0</v>
      </c>
      <c r="CD25" s="108">
        <v>0</v>
      </c>
      <c r="CE25" s="107">
        <v>0</v>
      </c>
      <c r="CF25" s="108">
        <v>0</v>
      </c>
      <c r="CG25" s="107">
        <v>0</v>
      </c>
      <c r="CH25" s="107">
        <v>0</v>
      </c>
      <c r="CI25" s="107">
        <v>0</v>
      </c>
      <c r="CJ25" s="108">
        <v>4</v>
      </c>
      <c r="CK25" s="107">
        <v>0</v>
      </c>
      <c r="CL25" s="108">
        <v>0</v>
      </c>
      <c r="CM25" s="107">
        <v>0</v>
      </c>
      <c r="CN25" s="107">
        <v>0</v>
      </c>
    </row>
    <row r="26" spans="1:92">
      <c r="A26" s="207" t="s">
        <v>572</v>
      </c>
      <c r="B26" s="108">
        <v>1</v>
      </c>
      <c r="C26" s="107">
        <v>0</v>
      </c>
      <c r="D26" s="107">
        <v>0</v>
      </c>
      <c r="E26" s="107">
        <v>0</v>
      </c>
      <c r="F26" s="107">
        <v>0</v>
      </c>
      <c r="G26" s="107">
        <v>0</v>
      </c>
      <c r="H26" s="107">
        <v>0</v>
      </c>
      <c r="I26" s="107">
        <v>0</v>
      </c>
      <c r="J26" s="107">
        <v>0</v>
      </c>
      <c r="K26" s="107">
        <v>0</v>
      </c>
      <c r="L26" s="107">
        <v>0</v>
      </c>
      <c r="M26" s="107">
        <v>0</v>
      </c>
      <c r="N26" s="107">
        <v>0</v>
      </c>
      <c r="O26" s="107">
        <v>0</v>
      </c>
      <c r="P26" s="107">
        <v>0</v>
      </c>
      <c r="Q26" s="107">
        <v>0</v>
      </c>
      <c r="R26" s="108">
        <v>0</v>
      </c>
      <c r="S26" s="107">
        <v>0</v>
      </c>
      <c r="T26" s="107">
        <v>0</v>
      </c>
      <c r="U26" s="107">
        <v>0</v>
      </c>
      <c r="V26" s="107">
        <v>0</v>
      </c>
      <c r="W26" s="107">
        <v>0</v>
      </c>
      <c r="X26" s="107">
        <v>0</v>
      </c>
      <c r="Y26" s="107">
        <v>0</v>
      </c>
      <c r="Z26" s="107">
        <v>0</v>
      </c>
      <c r="AA26" s="107">
        <v>0</v>
      </c>
      <c r="AB26" s="107">
        <v>0</v>
      </c>
      <c r="AC26" s="108">
        <v>1</v>
      </c>
      <c r="AD26" s="107">
        <v>0</v>
      </c>
      <c r="AE26" s="107">
        <v>0</v>
      </c>
      <c r="AF26" s="107">
        <v>0</v>
      </c>
      <c r="AG26" s="107">
        <v>0</v>
      </c>
      <c r="AH26" s="107">
        <v>0</v>
      </c>
      <c r="AI26" s="107">
        <v>0</v>
      </c>
      <c r="AJ26" s="107">
        <v>0</v>
      </c>
      <c r="AK26" s="107">
        <v>0</v>
      </c>
      <c r="AL26" s="107">
        <v>0</v>
      </c>
      <c r="AM26" s="108">
        <v>0</v>
      </c>
      <c r="AN26" s="107">
        <v>0</v>
      </c>
      <c r="AO26" s="107">
        <v>0</v>
      </c>
      <c r="AP26" s="107">
        <v>0</v>
      </c>
      <c r="AQ26" s="107">
        <v>0</v>
      </c>
      <c r="AR26" s="107">
        <v>0</v>
      </c>
      <c r="AS26" s="107">
        <v>0</v>
      </c>
      <c r="AT26" s="107">
        <v>0</v>
      </c>
      <c r="AU26" s="108">
        <v>0</v>
      </c>
      <c r="AV26" s="107">
        <v>0</v>
      </c>
      <c r="AW26" s="107">
        <v>0</v>
      </c>
      <c r="AX26" s="107">
        <v>0</v>
      </c>
      <c r="AY26" s="107">
        <v>0</v>
      </c>
      <c r="AZ26" s="107">
        <v>0</v>
      </c>
      <c r="BA26" s="107">
        <v>0</v>
      </c>
      <c r="BB26" s="107">
        <v>0</v>
      </c>
      <c r="BC26" s="107">
        <v>0</v>
      </c>
      <c r="BD26" s="107">
        <v>0</v>
      </c>
      <c r="BE26" s="107">
        <v>0</v>
      </c>
      <c r="BF26" s="107">
        <v>0</v>
      </c>
      <c r="BG26" s="107">
        <v>0</v>
      </c>
      <c r="BH26" s="107">
        <v>0</v>
      </c>
      <c r="BI26" s="108">
        <v>0</v>
      </c>
      <c r="BJ26" s="107">
        <v>0</v>
      </c>
      <c r="BK26" s="107">
        <v>0</v>
      </c>
      <c r="BL26" s="107">
        <v>0</v>
      </c>
      <c r="BM26" s="107">
        <v>0</v>
      </c>
      <c r="BN26" s="107">
        <v>0</v>
      </c>
      <c r="BO26" s="108">
        <v>0</v>
      </c>
      <c r="BP26" s="107">
        <v>0</v>
      </c>
      <c r="BQ26" s="107">
        <v>0</v>
      </c>
      <c r="BR26" s="107">
        <v>0</v>
      </c>
      <c r="BS26" s="107">
        <v>0</v>
      </c>
      <c r="BT26" s="107">
        <v>0</v>
      </c>
      <c r="BU26" s="108">
        <v>0</v>
      </c>
      <c r="BV26" s="107">
        <v>0</v>
      </c>
      <c r="BW26" s="108">
        <v>0</v>
      </c>
      <c r="BX26" s="107">
        <v>0</v>
      </c>
      <c r="BY26" s="107">
        <v>0</v>
      </c>
      <c r="BZ26" s="107">
        <v>0</v>
      </c>
      <c r="CA26" s="107">
        <v>0</v>
      </c>
      <c r="CB26" s="107">
        <v>0</v>
      </c>
      <c r="CC26" s="108">
        <v>0</v>
      </c>
      <c r="CD26" s="108">
        <v>0</v>
      </c>
      <c r="CE26" s="107">
        <v>0</v>
      </c>
      <c r="CF26" s="108">
        <v>0</v>
      </c>
      <c r="CG26" s="107">
        <v>0</v>
      </c>
      <c r="CH26" s="107">
        <v>0</v>
      </c>
      <c r="CI26" s="107">
        <v>0</v>
      </c>
      <c r="CJ26" s="108">
        <v>0</v>
      </c>
      <c r="CK26" s="107">
        <v>0</v>
      </c>
      <c r="CL26" s="108">
        <v>0</v>
      </c>
      <c r="CM26" s="107">
        <v>0</v>
      </c>
      <c r="CN26" s="107">
        <v>0</v>
      </c>
    </row>
    <row r="27" spans="1:92">
      <c r="A27" s="207" t="s">
        <v>472</v>
      </c>
      <c r="B27" s="108">
        <v>2</v>
      </c>
      <c r="C27" s="107">
        <v>0</v>
      </c>
      <c r="D27" s="107">
        <v>0</v>
      </c>
      <c r="E27" s="107">
        <v>0</v>
      </c>
      <c r="F27" s="107">
        <v>0</v>
      </c>
      <c r="G27" s="107">
        <v>0</v>
      </c>
      <c r="H27" s="107">
        <v>0</v>
      </c>
      <c r="I27" s="107">
        <v>0</v>
      </c>
      <c r="J27" s="107">
        <v>0</v>
      </c>
      <c r="K27" s="107">
        <v>0</v>
      </c>
      <c r="L27" s="107">
        <v>0</v>
      </c>
      <c r="M27" s="107">
        <v>0</v>
      </c>
      <c r="N27" s="107">
        <v>0</v>
      </c>
      <c r="O27" s="107">
        <v>0</v>
      </c>
      <c r="P27" s="107">
        <v>0</v>
      </c>
      <c r="Q27" s="107">
        <v>0</v>
      </c>
      <c r="R27" s="108">
        <v>0</v>
      </c>
      <c r="S27" s="107">
        <v>0</v>
      </c>
      <c r="T27" s="107">
        <v>0</v>
      </c>
      <c r="U27" s="107">
        <v>0</v>
      </c>
      <c r="V27" s="107">
        <v>0</v>
      </c>
      <c r="W27" s="107">
        <v>0</v>
      </c>
      <c r="X27" s="107">
        <v>1</v>
      </c>
      <c r="Y27" s="107">
        <v>0</v>
      </c>
      <c r="Z27" s="107">
        <v>0</v>
      </c>
      <c r="AA27" s="107">
        <v>0</v>
      </c>
      <c r="AB27" s="107">
        <v>0</v>
      </c>
      <c r="AC27" s="108">
        <v>1</v>
      </c>
      <c r="AD27" s="107">
        <v>0</v>
      </c>
      <c r="AE27" s="107">
        <v>0</v>
      </c>
      <c r="AF27" s="107">
        <v>0</v>
      </c>
      <c r="AG27" s="107">
        <v>0</v>
      </c>
      <c r="AH27" s="107">
        <v>0</v>
      </c>
      <c r="AI27" s="107">
        <v>0</v>
      </c>
      <c r="AJ27" s="107">
        <v>0</v>
      </c>
      <c r="AK27" s="107">
        <v>0</v>
      </c>
      <c r="AL27" s="107">
        <v>0</v>
      </c>
      <c r="AM27" s="108">
        <v>0</v>
      </c>
      <c r="AN27" s="107">
        <v>0</v>
      </c>
      <c r="AO27" s="107">
        <v>0</v>
      </c>
      <c r="AP27" s="107">
        <v>0</v>
      </c>
      <c r="AQ27" s="107">
        <v>0</v>
      </c>
      <c r="AR27" s="107">
        <v>0</v>
      </c>
      <c r="AS27" s="107">
        <v>0</v>
      </c>
      <c r="AT27" s="107">
        <v>0</v>
      </c>
      <c r="AU27" s="108">
        <v>0</v>
      </c>
      <c r="AV27" s="107">
        <v>0</v>
      </c>
      <c r="AW27" s="107">
        <v>0</v>
      </c>
      <c r="AX27" s="107">
        <v>0</v>
      </c>
      <c r="AY27" s="107">
        <v>0</v>
      </c>
      <c r="AZ27" s="107">
        <v>0</v>
      </c>
      <c r="BA27" s="107">
        <v>0</v>
      </c>
      <c r="BB27" s="107">
        <v>0</v>
      </c>
      <c r="BC27" s="107">
        <v>0</v>
      </c>
      <c r="BD27" s="107">
        <v>0</v>
      </c>
      <c r="BE27" s="107">
        <v>0</v>
      </c>
      <c r="BF27" s="107">
        <v>0</v>
      </c>
      <c r="BG27" s="107">
        <v>0</v>
      </c>
      <c r="BH27" s="107">
        <v>0</v>
      </c>
      <c r="BI27" s="108">
        <v>0</v>
      </c>
      <c r="BJ27" s="107">
        <v>0</v>
      </c>
      <c r="BK27" s="107">
        <v>0</v>
      </c>
      <c r="BL27" s="107">
        <v>0</v>
      </c>
      <c r="BM27" s="107">
        <v>0</v>
      </c>
      <c r="BN27" s="107">
        <v>0</v>
      </c>
      <c r="BO27" s="108">
        <v>0</v>
      </c>
      <c r="BP27" s="107">
        <v>0</v>
      </c>
      <c r="BQ27" s="107">
        <v>0</v>
      </c>
      <c r="BR27" s="107">
        <v>0</v>
      </c>
      <c r="BS27" s="107">
        <v>0</v>
      </c>
      <c r="BT27" s="107">
        <v>0</v>
      </c>
      <c r="BU27" s="108">
        <v>0</v>
      </c>
      <c r="BV27" s="107">
        <v>0</v>
      </c>
      <c r="BW27" s="108">
        <v>0</v>
      </c>
      <c r="BX27" s="107">
        <v>0</v>
      </c>
      <c r="BY27" s="107">
        <v>0</v>
      </c>
      <c r="BZ27" s="107">
        <v>0</v>
      </c>
      <c r="CA27" s="107">
        <v>0</v>
      </c>
      <c r="CB27" s="107">
        <v>0</v>
      </c>
      <c r="CC27" s="108">
        <v>0</v>
      </c>
      <c r="CD27" s="108">
        <v>0</v>
      </c>
      <c r="CE27" s="107">
        <v>0</v>
      </c>
      <c r="CF27" s="108">
        <v>0</v>
      </c>
      <c r="CG27" s="107">
        <v>0</v>
      </c>
      <c r="CH27" s="107">
        <v>0</v>
      </c>
      <c r="CI27" s="107">
        <v>0</v>
      </c>
      <c r="CJ27" s="108">
        <v>0</v>
      </c>
      <c r="CK27" s="107">
        <v>0</v>
      </c>
      <c r="CL27" s="108">
        <v>0</v>
      </c>
      <c r="CM27" s="107">
        <v>0</v>
      </c>
      <c r="CN27" s="107">
        <v>0</v>
      </c>
    </row>
    <row r="28" spans="1:92">
      <c r="A28" s="207" t="s">
        <v>343</v>
      </c>
      <c r="B28" s="108">
        <v>30</v>
      </c>
      <c r="C28" s="107">
        <v>0</v>
      </c>
      <c r="D28" s="107">
        <v>0</v>
      </c>
      <c r="E28" s="107">
        <v>0</v>
      </c>
      <c r="F28" s="107">
        <v>0</v>
      </c>
      <c r="G28" s="107">
        <v>0</v>
      </c>
      <c r="H28" s="107">
        <v>0</v>
      </c>
      <c r="I28" s="107">
        <v>0</v>
      </c>
      <c r="J28" s="107">
        <v>0</v>
      </c>
      <c r="K28" s="107">
        <v>0</v>
      </c>
      <c r="L28" s="107">
        <v>0</v>
      </c>
      <c r="M28" s="107">
        <v>0</v>
      </c>
      <c r="N28" s="107">
        <v>0</v>
      </c>
      <c r="O28" s="107">
        <v>0</v>
      </c>
      <c r="P28" s="107">
        <v>0</v>
      </c>
      <c r="Q28" s="107">
        <v>0</v>
      </c>
      <c r="R28" s="108">
        <v>0</v>
      </c>
      <c r="S28" s="107">
        <v>0</v>
      </c>
      <c r="T28" s="107">
        <v>0</v>
      </c>
      <c r="U28" s="107">
        <v>0</v>
      </c>
      <c r="V28" s="107">
        <v>0</v>
      </c>
      <c r="W28" s="107">
        <v>0</v>
      </c>
      <c r="X28" s="107">
        <v>0</v>
      </c>
      <c r="Y28" s="107">
        <v>2</v>
      </c>
      <c r="Z28" s="107">
        <v>0</v>
      </c>
      <c r="AA28" s="107">
        <v>0</v>
      </c>
      <c r="AB28" s="107">
        <v>0</v>
      </c>
      <c r="AC28" s="108">
        <v>23</v>
      </c>
      <c r="AD28" s="107">
        <v>0</v>
      </c>
      <c r="AE28" s="107">
        <v>0</v>
      </c>
      <c r="AF28" s="107">
        <v>0</v>
      </c>
      <c r="AG28" s="107">
        <v>0</v>
      </c>
      <c r="AH28" s="107">
        <v>0</v>
      </c>
      <c r="AI28" s="107">
        <v>0</v>
      </c>
      <c r="AJ28" s="107">
        <v>1</v>
      </c>
      <c r="AK28" s="107">
        <v>0</v>
      </c>
      <c r="AL28" s="107">
        <v>0</v>
      </c>
      <c r="AM28" s="108">
        <v>0</v>
      </c>
      <c r="AN28" s="107">
        <v>0</v>
      </c>
      <c r="AO28" s="107">
        <v>0</v>
      </c>
      <c r="AP28" s="107">
        <v>0</v>
      </c>
      <c r="AQ28" s="107">
        <v>0</v>
      </c>
      <c r="AR28" s="107">
        <v>0</v>
      </c>
      <c r="AS28" s="107">
        <v>0</v>
      </c>
      <c r="AT28" s="107">
        <v>0</v>
      </c>
      <c r="AU28" s="108">
        <v>0</v>
      </c>
      <c r="AV28" s="107">
        <v>0</v>
      </c>
      <c r="AW28" s="107">
        <v>0</v>
      </c>
      <c r="AX28" s="107">
        <v>0</v>
      </c>
      <c r="AY28" s="107">
        <v>0</v>
      </c>
      <c r="AZ28" s="107">
        <v>0</v>
      </c>
      <c r="BA28" s="107">
        <v>0</v>
      </c>
      <c r="BB28" s="107">
        <v>1</v>
      </c>
      <c r="BC28" s="107">
        <v>0</v>
      </c>
      <c r="BD28" s="107">
        <v>0</v>
      </c>
      <c r="BE28" s="107">
        <v>0</v>
      </c>
      <c r="BF28" s="107">
        <v>0</v>
      </c>
      <c r="BG28" s="107">
        <v>0</v>
      </c>
      <c r="BH28" s="107">
        <v>0</v>
      </c>
      <c r="BI28" s="108">
        <v>0</v>
      </c>
      <c r="BJ28" s="107">
        <v>0</v>
      </c>
      <c r="BK28" s="107">
        <v>0</v>
      </c>
      <c r="BL28" s="107">
        <v>0</v>
      </c>
      <c r="BM28" s="107">
        <v>0</v>
      </c>
      <c r="BN28" s="107">
        <v>0</v>
      </c>
      <c r="BO28" s="108">
        <v>0</v>
      </c>
      <c r="BP28" s="107">
        <v>0</v>
      </c>
      <c r="BQ28" s="107">
        <v>0</v>
      </c>
      <c r="BR28" s="107">
        <v>0</v>
      </c>
      <c r="BS28" s="107">
        <v>0</v>
      </c>
      <c r="BT28" s="107">
        <v>0</v>
      </c>
      <c r="BU28" s="108">
        <v>0</v>
      </c>
      <c r="BV28" s="107">
        <v>0</v>
      </c>
      <c r="BW28" s="108">
        <v>0</v>
      </c>
      <c r="BX28" s="107">
        <v>0</v>
      </c>
      <c r="BY28" s="107">
        <v>0</v>
      </c>
      <c r="BZ28" s="107">
        <v>0</v>
      </c>
      <c r="CA28" s="107">
        <v>0</v>
      </c>
      <c r="CB28" s="107">
        <v>1</v>
      </c>
      <c r="CC28" s="108">
        <v>0</v>
      </c>
      <c r="CD28" s="108">
        <v>0</v>
      </c>
      <c r="CE28" s="107">
        <v>0</v>
      </c>
      <c r="CF28" s="108">
        <v>0</v>
      </c>
      <c r="CG28" s="107">
        <v>0</v>
      </c>
      <c r="CH28" s="107">
        <v>0</v>
      </c>
      <c r="CI28" s="107">
        <v>0</v>
      </c>
      <c r="CJ28" s="108">
        <v>2</v>
      </c>
      <c r="CK28" s="107">
        <v>0</v>
      </c>
      <c r="CL28" s="108">
        <v>0</v>
      </c>
      <c r="CM28" s="107">
        <v>0</v>
      </c>
      <c r="CN28" s="107">
        <v>0</v>
      </c>
    </row>
    <row r="29" spans="1:92">
      <c r="A29" s="207" t="s">
        <v>587</v>
      </c>
      <c r="B29" s="108">
        <v>4</v>
      </c>
      <c r="C29" s="107">
        <v>0</v>
      </c>
      <c r="D29" s="107">
        <v>0</v>
      </c>
      <c r="E29" s="107">
        <v>0</v>
      </c>
      <c r="F29" s="107">
        <v>0</v>
      </c>
      <c r="G29" s="107">
        <v>0</v>
      </c>
      <c r="H29" s="107">
        <v>0</v>
      </c>
      <c r="I29" s="107">
        <v>0</v>
      </c>
      <c r="J29" s="107">
        <v>0</v>
      </c>
      <c r="K29" s="107">
        <v>0</v>
      </c>
      <c r="L29" s="107">
        <v>0</v>
      </c>
      <c r="M29" s="107">
        <v>0</v>
      </c>
      <c r="N29" s="107">
        <v>0</v>
      </c>
      <c r="O29" s="107">
        <v>0</v>
      </c>
      <c r="P29" s="107">
        <v>0</v>
      </c>
      <c r="Q29" s="107">
        <v>0</v>
      </c>
      <c r="R29" s="108">
        <v>0</v>
      </c>
      <c r="S29" s="107">
        <v>0</v>
      </c>
      <c r="T29" s="107">
        <v>0</v>
      </c>
      <c r="U29" s="107">
        <v>0</v>
      </c>
      <c r="V29" s="107">
        <v>0</v>
      </c>
      <c r="W29" s="107">
        <v>0</v>
      </c>
      <c r="X29" s="107">
        <v>0</v>
      </c>
      <c r="Y29" s="107">
        <v>0</v>
      </c>
      <c r="Z29" s="107">
        <v>0</v>
      </c>
      <c r="AA29" s="107">
        <v>3</v>
      </c>
      <c r="AB29" s="107">
        <v>0</v>
      </c>
      <c r="AC29" s="108">
        <v>0</v>
      </c>
      <c r="AD29" s="107">
        <v>0</v>
      </c>
      <c r="AE29" s="107">
        <v>0</v>
      </c>
      <c r="AF29" s="107">
        <v>0</v>
      </c>
      <c r="AG29" s="107">
        <v>0</v>
      </c>
      <c r="AH29" s="107">
        <v>0</v>
      </c>
      <c r="AI29" s="107">
        <v>0</v>
      </c>
      <c r="AJ29" s="107">
        <v>0</v>
      </c>
      <c r="AK29" s="107">
        <v>0</v>
      </c>
      <c r="AL29" s="107">
        <v>0</v>
      </c>
      <c r="AM29" s="108">
        <v>0</v>
      </c>
      <c r="AN29" s="107">
        <v>0</v>
      </c>
      <c r="AO29" s="107">
        <v>0</v>
      </c>
      <c r="AP29" s="107">
        <v>0</v>
      </c>
      <c r="AQ29" s="107">
        <v>0</v>
      </c>
      <c r="AR29" s="107">
        <v>0</v>
      </c>
      <c r="AS29" s="107">
        <v>0</v>
      </c>
      <c r="AT29" s="107">
        <v>0</v>
      </c>
      <c r="AU29" s="108">
        <v>0</v>
      </c>
      <c r="AV29" s="107">
        <v>0</v>
      </c>
      <c r="AW29" s="107">
        <v>0</v>
      </c>
      <c r="AX29" s="107">
        <v>0</v>
      </c>
      <c r="AY29" s="107">
        <v>0</v>
      </c>
      <c r="AZ29" s="107">
        <v>0</v>
      </c>
      <c r="BA29" s="107">
        <v>0</v>
      </c>
      <c r="BB29" s="107">
        <v>0</v>
      </c>
      <c r="BC29" s="107">
        <v>0</v>
      </c>
      <c r="BD29" s="107">
        <v>0</v>
      </c>
      <c r="BE29" s="107">
        <v>0</v>
      </c>
      <c r="BF29" s="107">
        <v>0</v>
      </c>
      <c r="BG29" s="107">
        <v>0</v>
      </c>
      <c r="BH29" s="107">
        <v>0</v>
      </c>
      <c r="BI29" s="108">
        <v>0</v>
      </c>
      <c r="BJ29" s="107">
        <v>0</v>
      </c>
      <c r="BK29" s="107">
        <v>0</v>
      </c>
      <c r="BL29" s="107">
        <v>0</v>
      </c>
      <c r="BM29" s="107">
        <v>0</v>
      </c>
      <c r="BN29" s="107">
        <v>0</v>
      </c>
      <c r="BO29" s="108">
        <v>0</v>
      </c>
      <c r="BP29" s="107">
        <v>0</v>
      </c>
      <c r="BQ29" s="107">
        <v>0</v>
      </c>
      <c r="BR29" s="107">
        <v>0</v>
      </c>
      <c r="BS29" s="107">
        <v>0</v>
      </c>
      <c r="BT29" s="107">
        <v>0</v>
      </c>
      <c r="BU29" s="108">
        <v>0</v>
      </c>
      <c r="BV29" s="107">
        <v>0</v>
      </c>
      <c r="BW29" s="108">
        <v>0</v>
      </c>
      <c r="BX29" s="107">
        <v>0</v>
      </c>
      <c r="BY29" s="107">
        <v>0</v>
      </c>
      <c r="BZ29" s="107">
        <v>0</v>
      </c>
      <c r="CA29" s="107">
        <v>0</v>
      </c>
      <c r="CB29" s="107">
        <v>0</v>
      </c>
      <c r="CC29" s="108">
        <v>0</v>
      </c>
      <c r="CD29" s="108">
        <v>0</v>
      </c>
      <c r="CE29" s="107">
        <v>0</v>
      </c>
      <c r="CF29" s="108">
        <v>0</v>
      </c>
      <c r="CG29" s="107">
        <v>0</v>
      </c>
      <c r="CH29" s="107">
        <v>0</v>
      </c>
      <c r="CI29" s="107">
        <v>1</v>
      </c>
      <c r="CJ29" s="108">
        <v>0</v>
      </c>
      <c r="CK29" s="107">
        <v>0</v>
      </c>
      <c r="CL29" s="108">
        <v>0</v>
      </c>
      <c r="CM29" s="107">
        <v>0</v>
      </c>
      <c r="CN29" s="107">
        <v>0</v>
      </c>
    </row>
    <row r="30" spans="1:92">
      <c r="A30" s="207" t="s">
        <v>588</v>
      </c>
      <c r="B30" s="108">
        <v>4</v>
      </c>
      <c r="C30" s="107">
        <v>0</v>
      </c>
      <c r="D30" s="107">
        <v>0</v>
      </c>
      <c r="E30" s="107">
        <v>0</v>
      </c>
      <c r="F30" s="107">
        <v>0</v>
      </c>
      <c r="G30" s="107">
        <v>0</v>
      </c>
      <c r="H30" s="107">
        <v>0</v>
      </c>
      <c r="I30" s="107">
        <v>0</v>
      </c>
      <c r="J30" s="107">
        <v>0</v>
      </c>
      <c r="K30" s="107">
        <v>0</v>
      </c>
      <c r="L30" s="107">
        <v>0</v>
      </c>
      <c r="M30" s="107">
        <v>0</v>
      </c>
      <c r="N30" s="107">
        <v>0</v>
      </c>
      <c r="O30" s="107">
        <v>0</v>
      </c>
      <c r="P30" s="107">
        <v>0</v>
      </c>
      <c r="Q30" s="107">
        <v>0</v>
      </c>
      <c r="R30" s="108">
        <v>0</v>
      </c>
      <c r="S30" s="107">
        <v>0</v>
      </c>
      <c r="T30" s="107">
        <v>0</v>
      </c>
      <c r="U30" s="107">
        <v>0</v>
      </c>
      <c r="V30" s="107">
        <v>0</v>
      </c>
      <c r="W30" s="107">
        <v>0</v>
      </c>
      <c r="X30" s="107">
        <v>0</v>
      </c>
      <c r="Y30" s="107">
        <v>0</v>
      </c>
      <c r="Z30" s="107">
        <v>0</v>
      </c>
      <c r="AA30" s="107">
        <v>0</v>
      </c>
      <c r="AB30" s="107">
        <v>4</v>
      </c>
      <c r="AC30" s="108">
        <v>0</v>
      </c>
      <c r="AD30" s="107">
        <v>0</v>
      </c>
      <c r="AE30" s="107">
        <v>0</v>
      </c>
      <c r="AF30" s="107">
        <v>0</v>
      </c>
      <c r="AG30" s="107">
        <v>0</v>
      </c>
      <c r="AH30" s="107">
        <v>0</v>
      </c>
      <c r="AI30" s="107">
        <v>0</v>
      </c>
      <c r="AJ30" s="107">
        <v>0</v>
      </c>
      <c r="AK30" s="107">
        <v>0</v>
      </c>
      <c r="AL30" s="107">
        <v>0</v>
      </c>
      <c r="AM30" s="108">
        <v>0</v>
      </c>
      <c r="AN30" s="107">
        <v>0</v>
      </c>
      <c r="AO30" s="107">
        <v>0</v>
      </c>
      <c r="AP30" s="107">
        <v>0</v>
      </c>
      <c r="AQ30" s="107">
        <v>0</v>
      </c>
      <c r="AR30" s="107">
        <v>0</v>
      </c>
      <c r="AS30" s="107">
        <v>0</v>
      </c>
      <c r="AT30" s="107">
        <v>0</v>
      </c>
      <c r="AU30" s="108">
        <v>0</v>
      </c>
      <c r="AV30" s="107">
        <v>0</v>
      </c>
      <c r="AW30" s="107">
        <v>0</v>
      </c>
      <c r="AX30" s="107">
        <v>0</v>
      </c>
      <c r="AY30" s="107">
        <v>0</v>
      </c>
      <c r="AZ30" s="107">
        <v>0</v>
      </c>
      <c r="BA30" s="107">
        <v>0</v>
      </c>
      <c r="BB30" s="107">
        <v>0</v>
      </c>
      <c r="BC30" s="107">
        <v>0</v>
      </c>
      <c r="BD30" s="107">
        <v>0</v>
      </c>
      <c r="BE30" s="107">
        <v>0</v>
      </c>
      <c r="BF30" s="107">
        <v>0</v>
      </c>
      <c r="BG30" s="107">
        <v>0</v>
      </c>
      <c r="BH30" s="107">
        <v>0</v>
      </c>
      <c r="BI30" s="108">
        <v>0</v>
      </c>
      <c r="BJ30" s="107">
        <v>0</v>
      </c>
      <c r="BK30" s="107">
        <v>0</v>
      </c>
      <c r="BL30" s="107">
        <v>0</v>
      </c>
      <c r="BM30" s="107">
        <v>0</v>
      </c>
      <c r="BN30" s="107">
        <v>0</v>
      </c>
      <c r="BO30" s="108">
        <v>0</v>
      </c>
      <c r="BP30" s="107">
        <v>0</v>
      </c>
      <c r="BQ30" s="107">
        <v>0</v>
      </c>
      <c r="BR30" s="107">
        <v>0</v>
      </c>
      <c r="BS30" s="107">
        <v>0</v>
      </c>
      <c r="BT30" s="107">
        <v>0</v>
      </c>
      <c r="BU30" s="108">
        <v>0</v>
      </c>
      <c r="BV30" s="107">
        <v>0</v>
      </c>
      <c r="BW30" s="108">
        <v>0</v>
      </c>
      <c r="BX30" s="107">
        <v>0</v>
      </c>
      <c r="BY30" s="107">
        <v>0</v>
      </c>
      <c r="BZ30" s="107">
        <v>0</v>
      </c>
      <c r="CA30" s="107">
        <v>0</v>
      </c>
      <c r="CB30" s="107">
        <v>0</v>
      </c>
      <c r="CC30" s="108">
        <v>0</v>
      </c>
      <c r="CD30" s="108">
        <v>0</v>
      </c>
      <c r="CE30" s="107">
        <v>0</v>
      </c>
      <c r="CF30" s="108">
        <v>0</v>
      </c>
      <c r="CG30" s="107">
        <v>0</v>
      </c>
      <c r="CH30" s="107">
        <v>0</v>
      </c>
      <c r="CI30" s="107">
        <v>0</v>
      </c>
      <c r="CJ30" s="108">
        <v>0</v>
      </c>
      <c r="CK30" s="107">
        <v>0</v>
      </c>
      <c r="CL30" s="108">
        <v>0</v>
      </c>
      <c r="CM30" s="107">
        <v>0</v>
      </c>
      <c r="CN30" s="107">
        <v>0</v>
      </c>
    </row>
    <row r="31" spans="1:92">
      <c r="A31" s="207" t="s">
        <v>44</v>
      </c>
      <c r="B31" s="108">
        <v>38258</v>
      </c>
      <c r="C31" s="107">
        <v>1</v>
      </c>
      <c r="D31" s="107">
        <v>0</v>
      </c>
      <c r="E31" s="107">
        <v>2</v>
      </c>
      <c r="F31" s="107">
        <v>13</v>
      </c>
      <c r="G31" s="107">
        <v>7</v>
      </c>
      <c r="H31" s="107">
        <v>11</v>
      </c>
      <c r="I31" s="107">
        <v>2</v>
      </c>
      <c r="J31" s="107">
        <v>21</v>
      </c>
      <c r="K31" s="107">
        <v>1</v>
      </c>
      <c r="L31" s="107">
        <v>1</v>
      </c>
      <c r="M31" s="107">
        <v>6</v>
      </c>
      <c r="N31" s="107">
        <v>1</v>
      </c>
      <c r="O31" s="107">
        <v>0</v>
      </c>
      <c r="P31" s="107">
        <v>0</v>
      </c>
      <c r="Q31" s="107">
        <v>1</v>
      </c>
      <c r="R31" s="108">
        <v>107</v>
      </c>
      <c r="S31" s="107">
        <v>0</v>
      </c>
      <c r="T31" s="107">
        <v>3</v>
      </c>
      <c r="U31" s="107">
        <v>3</v>
      </c>
      <c r="V31" s="107">
        <v>23</v>
      </c>
      <c r="W31" s="107">
        <v>4</v>
      </c>
      <c r="X31" s="107">
        <v>2</v>
      </c>
      <c r="Y31" s="107">
        <v>30</v>
      </c>
      <c r="Z31" s="107">
        <v>3</v>
      </c>
      <c r="AA31" s="107">
        <v>1</v>
      </c>
      <c r="AB31" s="107">
        <v>0</v>
      </c>
      <c r="AC31" s="108">
        <v>34496</v>
      </c>
      <c r="AD31" s="107">
        <v>16</v>
      </c>
      <c r="AE31" s="107">
        <v>10</v>
      </c>
      <c r="AF31" s="107">
        <v>0</v>
      </c>
      <c r="AG31" s="107">
        <v>2</v>
      </c>
      <c r="AH31" s="107">
        <v>70</v>
      </c>
      <c r="AI31" s="107">
        <v>1</v>
      </c>
      <c r="AJ31" s="107">
        <v>100</v>
      </c>
      <c r="AK31" s="107">
        <v>5</v>
      </c>
      <c r="AL31" s="107">
        <v>6</v>
      </c>
      <c r="AM31" s="108">
        <v>70</v>
      </c>
      <c r="AN31" s="107">
        <v>5</v>
      </c>
      <c r="AO31" s="107">
        <v>2</v>
      </c>
      <c r="AP31" s="107">
        <v>0</v>
      </c>
      <c r="AQ31" s="107">
        <v>1</v>
      </c>
      <c r="AR31" s="107">
        <v>1</v>
      </c>
      <c r="AS31" s="107">
        <v>1</v>
      </c>
      <c r="AT31" s="107">
        <v>1</v>
      </c>
      <c r="AU31" s="108">
        <v>402</v>
      </c>
      <c r="AV31" s="107">
        <v>1</v>
      </c>
      <c r="AW31" s="107">
        <v>1</v>
      </c>
      <c r="AX31" s="107">
        <v>1</v>
      </c>
      <c r="AY31" s="107">
        <v>0</v>
      </c>
      <c r="AZ31" s="107">
        <v>0</v>
      </c>
      <c r="BA31" s="107">
        <v>1</v>
      </c>
      <c r="BB31" s="107">
        <v>29</v>
      </c>
      <c r="BC31" s="107">
        <v>2</v>
      </c>
      <c r="BD31" s="107">
        <v>1</v>
      </c>
      <c r="BE31" s="107">
        <v>58</v>
      </c>
      <c r="BF31" s="107">
        <v>14</v>
      </c>
      <c r="BG31" s="107">
        <v>0</v>
      </c>
      <c r="BH31" s="107">
        <v>6</v>
      </c>
      <c r="BI31" s="108">
        <v>0</v>
      </c>
      <c r="BJ31" s="107">
        <v>1</v>
      </c>
      <c r="BK31" s="107">
        <v>12</v>
      </c>
      <c r="BL31" s="107">
        <v>2</v>
      </c>
      <c r="BM31" s="107">
        <v>7</v>
      </c>
      <c r="BN31" s="107">
        <v>1</v>
      </c>
      <c r="BO31" s="108">
        <v>21</v>
      </c>
      <c r="BP31" s="107">
        <v>0</v>
      </c>
      <c r="BQ31" s="107">
        <v>5</v>
      </c>
      <c r="BR31" s="107">
        <v>13</v>
      </c>
      <c r="BS31" s="107">
        <v>122</v>
      </c>
      <c r="BT31" s="107">
        <v>3</v>
      </c>
      <c r="BU31" s="108">
        <v>2</v>
      </c>
      <c r="BV31" s="107">
        <v>1</v>
      </c>
      <c r="BW31" s="108">
        <v>2</v>
      </c>
      <c r="BX31" s="107">
        <v>0</v>
      </c>
      <c r="BY31" s="107">
        <v>0</v>
      </c>
      <c r="BZ31" s="107">
        <v>2</v>
      </c>
      <c r="CA31" s="107">
        <v>3</v>
      </c>
      <c r="CB31" s="107">
        <v>394</v>
      </c>
      <c r="CC31" s="108">
        <v>6</v>
      </c>
      <c r="CD31" s="108">
        <v>53</v>
      </c>
      <c r="CE31" s="107">
        <v>1</v>
      </c>
      <c r="CF31" s="108">
        <v>3</v>
      </c>
      <c r="CG31" s="107">
        <v>1</v>
      </c>
      <c r="CH31" s="107">
        <v>1</v>
      </c>
      <c r="CI31" s="107">
        <v>27</v>
      </c>
      <c r="CJ31" s="108">
        <v>1701</v>
      </c>
      <c r="CK31" s="107">
        <v>5</v>
      </c>
      <c r="CL31" s="108">
        <v>23</v>
      </c>
      <c r="CM31" s="107">
        <v>10</v>
      </c>
      <c r="CN31" s="107">
        <v>290</v>
      </c>
    </row>
    <row r="32" spans="1:92">
      <c r="A32" s="207" t="s">
        <v>344</v>
      </c>
      <c r="B32" s="108">
        <v>21</v>
      </c>
      <c r="C32" s="107">
        <v>0</v>
      </c>
      <c r="D32" s="107">
        <v>0</v>
      </c>
      <c r="E32" s="107">
        <v>0</v>
      </c>
      <c r="F32" s="107">
        <v>0</v>
      </c>
      <c r="G32" s="107">
        <v>0</v>
      </c>
      <c r="H32" s="107">
        <v>0</v>
      </c>
      <c r="I32" s="107">
        <v>0</v>
      </c>
      <c r="J32" s="107">
        <v>0</v>
      </c>
      <c r="K32" s="107">
        <v>0</v>
      </c>
      <c r="L32" s="107">
        <v>0</v>
      </c>
      <c r="M32" s="107">
        <v>0</v>
      </c>
      <c r="N32" s="107">
        <v>0</v>
      </c>
      <c r="O32" s="107">
        <v>0</v>
      </c>
      <c r="P32" s="107">
        <v>0</v>
      </c>
      <c r="Q32" s="107">
        <v>0</v>
      </c>
      <c r="R32" s="108">
        <v>0</v>
      </c>
      <c r="S32" s="107">
        <v>0</v>
      </c>
      <c r="T32" s="107">
        <v>0</v>
      </c>
      <c r="U32" s="107">
        <v>0</v>
      </c>
      <c r="V32" s="107">
        <v>0</v>
      </c>
      <c r="W32" s="107">
        <v>0</v>
      </c>
      <c r="X32" s="107">
        <v>0</v>
      </c>
      <c r="Y32" s="107">
        <v>0</v>
      </c>
      <c r="Z32" s="107">
        <v>0</v>
      </c>
      <c r="AA32" s="107">
        <v>0</v>
      </c>
      <c r="AB32" s="107">
        <v>0</v>
      </c>
      <c r="AC32" s="108">
        <v>17</v>
      </c>
      <c r="AD32" s="107">
        <v>2</v>
      </c>
      <c r="AE32" s="107">
        <v>0</v>
      </c>
      <c r="AF32" s="107">
        <v>0</v>
      </c>
      <c r="AG32" s="107">
        <v>0</v>
      </c>
      <c r="AH32" s="107">
        <v>0</v>
      </c>
      <c r="AI32" s="107">
        <v>0</v>
      </c>
      <c r="AJ32" s="107">
        <v>1</v>
      </c>
      <c r="AK32" s="107">
        <v>0</v>
      </c>
      <c r="AL32" s="107">
        <v>0</v>
      </c>
      <c r="AM32" s="108">
        <v>0</v>
      </c>
      <c r="AN32" s="107">
        <v>0</v>
      </c>
      <c r="AO32" s="107">
        <v>0</v>
      </c>
      <c r="AP32" s="107">
        <v>0</v>
      </c>
      <c r="AQ32" s="107">
        <v>0</v>
      </c>
      <c r="AR32" s="107">
        <v>0</v>
      </c>
      <c r="AS32" s="107">
        <v>0</v>
      </c>
      <c r="AT32" s="107">
        <v>0</v>
      </c>
      <c r="AU32" s="108">
        <v>0</v>
      </c>
      <c r="AV32" s="107">
        <v>0</v>
      </c>
      <c r="AW32" s="107">
        <v>0</v>
      </c>
      <c r="AX32" s="107">
        <v>0</v>
      </c>
      <c r="AY32" s="107">
        <v>0</v>
      </c>
      <c r="AZ32" s="107">
        <v>0</v>
      </c>
      <c r="BA32" s="107">
        <v>0</v>
      </c>
      <c r="BB32" s="107">
        <v>0</v>
      </c>
      <c r="BC32" s="107">
        <v>0</v>
      </c>
      <c r="BD32" s="107">
        <v>0</v>
      </c>
      <c r="BE32" s="107">
        <v>0</v>
      </c>
      <c r="BF32" s="107">
        <v>0</v>
      </c>
      <c r="BG32" s="107">
        <v>0</v>
      </c>
      <c r="BH32" s="107">
        <v>0</v>
      </c>
      <c r="BI32" s="108">
        <v>0</v>
      </c>
      <c r="BJ32" s="107">
        <v>0</v>
      </c>
      <c r="BK32" s="107">
        <v>0</v>
      </c>
      <c r="BL32" s="107">
        <v>0</v>
      </c>
      <c r="BM32" s="107">
        <v>0</v>
      </c>
      <c r="BN32" s="107">
        <v>0</v>
      </c>
      <c r="BO32" s="108">
        <v>0</v>
      </c>
      <c r="BP32" s="107">
        <v>0</v>
      </c>
      <c r="BQ32" s="107">
        <v>0</v>
      </c>
      <c r="BR32" s="107">
        <v>0</v>
      </c>
      <c r="BS32" s="107">
        <v>0</v>
      </c>
      <c r="BT32" s="107">
        <v>0</v>
      </c>
      <c r="BU32" s="108">
        <v>0</v>
      </c>
      <c r="BV32" s="107">
        <v>0</v>
      </c>
      <c r="BW32" s="108">
        <v>0</v>
      </c>
      <c r="BX32" s="107">
        <v>0</v>
      </c>
      <c r="BY32" s="107">
        <v>0</v>
      </c>
      <c r="BZ32" s="107">
        <v>0</v>
      </c>
      <c r="CA32" s="107">
        <v>0</v>
      </c>
      <c r="CB32" s="107">
        <v>0</v>
      </c>
      <c r="CC32" s="108">
        <v>0</v>
      </c>
      <c r="CD32" s="108">
        <v>0</v>
      </c>
      <c r="CE32" s="107">
        <v>0</v>
      </c>
      <c r="CF32" s="108">
        <v>0</v>
      </c>
      <c r="CG32" s="107">
        <v>0</v>
      </c>
      <c r="CH32" s="107">
        <v>0</v>
      </c>
      <c r="CI32" s="107">
        <v>0</v>
      </c>
      <c r="CJ32" s="108">
        <v>1</v>
      </c>
      <c r="CK32" s="107">
        <v>0</v>
      </c>
      <c r="CL32" s="108">
        <v>0</v>
      </c>
      <c r="CM32" s="107">
        <v>0</v>
      </c>
      <c r="CN32" s="107">
        <v>0</v>
      </c>
    </row>
    <row r="33" spans="1:92">
      <c r="A33" s="207" t="s">
        <v>405</v>
      </c>
      <c r="B33" s="108">
        <v>4</v>
      </c>
      <c r="C33" s="107">
        <v>0</v>
      </c>
      <c r="D33" s="107">
        <v>0</v>
      </c>
      <c r="E33" s="107">
        <v>0</v>
      </c>
      <c r="F33" s="107">
        <v>0</v>
      </c>
      <c r="G33" s="107">
        <v>0</v>
      </c>
      <c r="H33" s="107">
        <v>0</v>
      </c>
      <c r="I33" s="107">
        <v>0</v>
      </c>
      <c r="J33" s="107">
        <v>0</v>
      </c>
      <c r="K33" s="107">
        <v>0</v>
      </c>
      <c r="L33" s="107">
        <v>0</v>
      </c>
      <c r="M33" s="107">
        <v>0</v>
      </c>
      <c r="N33" s="107">
        <v>0</v>
      </c>
      <c r="O33" s="107">
        <v>0</v>
      </c>
      <c r="P33" s="107">
        <v>0</v>
      </c>
      <c r="Q33" s="107">
        <v>0</v>
      </c>
      <c r="R33" s="108">
        <v>0</v>
      </c>
      <c r="S33" s="107">
        <v>0</v>
      </c>
      <c r="T33" s="107">
        <v>0</v>
      </c>
      <c r="U33" s="107">
        <v>0</v>
      </c>
      <c r="V33" s="107">
        <v>0</v>
      </c>
      <c r="W33" s="107">
        <v>0</v>
      </c>
      <c r="X33" s="107">
        <v>0</v>
      </c>
      <c r="Y33" s="107">
        <v>0</v>
      </c>
      <c r="Z33" s="107">
        <v>0</v>
      </c>
      <c r="AA33" s="107">
        <v>0</v>
      </c>
      <c r="AB33" s="107">
        <v>0</v>
      </c>
      <c r="AC33" s="108">
        <v>2</v>
      </c>
      <c r="AD33" s="107">
        <v>0</v>
      </c>
      <c r="AE33" s="107">
        <v>0</v>
      </c>
      <c r="AF33" s="107">
        <v>0</v>
      </c>
      <c r="AG33" s="107">
        <v>0</v>
      </c>
      <c r="AH33" s="107">
        <v>0</v>
      </c>
      <c r="AI33" s="107">
        <v>0</v>
      </c>
      <c r="AJ33" s="107">
        <v>0</v>
      </c>
      <c r="AK33" s="107">
        <v>0</v>
      </c>
      <c r="AL33" s="107">
        <v>0</v>
      </c>
      <c r="AM33" s="108">
        <v>0</v>
      </c>
      <c r="AN33" s="107">
        <v>0</v>
      </c>
      <c r="AO33" s="107">
        <v>0</v>
      </c>
      <c r="AP33" s="107">
        <v>0</v>
      </c>
      <c r="AQ33" s="107">
        <v>0</v>
      </c>
      <c r="AR33" s="107">
        <v>0</v>
      </c>
      <c r="AS33" s="107">
        <v>0</v>
      </c>
      <c r="AT33" s="107">
        <v>0</v>
      </c>
      <c r="AU33" s="108">
        <v>0</v>
      </c>
      <c r="AV33" s="107">
        <v>0</v>
      </c>
      <c r="AW33" s="107">
        <v>0</v>
      </c>
      <c r="AX33" s="107">
        <v>0</v>
      </c>
      <c r="AY33" s="107">
        <v>0</v>
      </c>
      <c r="AZ33" s="107">
        <v>0</v>
      </c>
      <c r="BA33" s="107">
        <v>0</v>
      </c>
      <c r="BB33" s="107">
        <v>0</v>
      </c>
      <c r="BC33" s="107">
        <v>0</v>
      </c>
      <c r="BD33" s="107">
        <v>0</v>
      </c>
      <c r="BE33" s="107">
        <v>0</v>
      </c>
      <c r="BF33" s="107">
        <v>0</v>
      </c>
      <c r="BG33" s="107">
        <v>0</v>
      </c>
      <c r="BH33" s="107">
        <v>0</v>
      </c>
      <c r="BI33" s="108">
        <v>0</v>
      </c>
      <c r="BJ33" s="107">
        <v>0</v>
      </c>
      <c r="BK33" s="107">
        <v>0</v>
      </c>
      <c r="BL33" s="107">
        <v>0</v>
      </c>
      <c r="BM33" s="107">
        <v>0</v>
      </c>
      <c r="BN33" s="107">
        <v>0</v>
      </c>
      <c r="BO33" s="108">
        <v>0</v>
      </c>
      <c r="BP33" s="107">
        <v>0</v>
      </c>
      <c r="BQ33" s="107">
        <v>0</v>
      </c>
      <c r="BR33" s="107">
        <v>0</v>
      </c>
      <c r="BS33" s="107">
        <v>0</v>
      </c>
      <c r="BT33" s="107">
        <v>0</v>
      </c>
      <c r="BU33" s="108">
        <v>0</v>
      </c>
      <c r="BV33" s="107">
        <v>0</v>
      </c>
      <c r="BW33" s="108">
        <v>0</v>
      </c>
      <c r="BX33" s="107">
        <v>0</v>
      </c>
      <c r="BY33" s="107">
        <v>0</v>
      </c>
      <c r="BZ33" s="107">
        <v>0</v>
      </c>
      <c r="CA33" s="107">
        <v>0</v>
      </c>
      <c r="CB33" s="107">
        <v>0</v>
      </c>
      <c r="CC33" s="108">
        <v>0</v>
      </c>
      <c r="CD33" s="108">
        <v>0</v>
      </c>
      <c r="CE33" s="107">
        <v>0</v>
      </c>
      <c r="CF33" s="108">
        <v>0</v>
      </c>
      <c r="CG33" s="107">
        <v>0</v>
      </c>
      <c r="CH33" s="107">
        <v>0</v>
      </c>
      <c r="CI33" s="107">
        <v>0</v>
      </c>
      <c r="CJ33" s="108">
        <v>2</v>
      </c>
      <c r="CK33" s="107">
        <v>0</v>
      </c>
      <c r="CL33" s="108">
        <v>0</v>
      </c>
      <c r="CM33" s="107">
        <v>0</v>
      </c>
      <c r="CN33" s="107">
        <v>0</v>
      </c>
    </row>
    <row r="34" spans="1:92">
      <c r="A34" s="207" t="s">
        <v>480</v>
      </c>
      <c r="B34" s="108">
        <v>1</v>
      </c>
      <c r="C34" s="107">
        <v>0</v>
      </c>
      <c r="D34" s="107">
        <v>0</v>
      </c>
      <c r="E34" s="107">
        <v>0</v>
      </c>
      <c r="F34" s="107">
        <v>0</v>
      </c>
      <c r="G34" s="107">
        <v>0</v>
      </c>
      <c r="H34" s="107">
        <v>0</v>
      </c>
      <c r="I34" s="107">
        <v>0</v>
      </c>
      <c r="J34" s="107">
        <v>0</v>
      </c>
      <c r="K34" s="107">
        <v>0</v>
      </c>
      <c r="L34" s="107">
        <v>0</v>
      </c>
      <c r="M34" s="107">
        <v>0</v>
      </c>
      <c r="N34" s="107">
        <v>0</v>
      </c>
      <c r="O34" s="107">
        <v>0</v>
      </c>
      <c r="P34" s="107">
        <v>0</v>
      </c>
      <c r="Q34" s="107">
        <v>0</v>
      </c>
      <c r="R34" s="108">
        <v>0</v>
      </c>
      <c r="S34" s="107">
        <v>0</v>
      </c>
      <c r="T34" s="107">
        <v>0</v>
      </c>
      <c r="U34" s="107">
        <v>0</v>
      </c>
      <c r="V34" s="107">
        <v>0</v>
      </c>
      <c r="W34" s="107">
        <v>0</v>
      </c>
      <c r="X34" s="107">
        <v>0</v>
      </c>
      <c r="Y34" s="107">
        <v>0</v>
      </c>
      <c r="Z34" s="107">
        <v>0</v>
      </c>
      <c r="AA34" s="107">
        <v>0</v>
      </c>
      <c r="AB34" s="107">
        <v>0</v>
      </c>
      <c r="AC34" s="108">
        <v>1</v>
      </c>
      <c r="AD34" s="107">
        <v>0</v>
      </c>
      <c r="AE34" s="107">
        <v>0</v>
      </c>
      <c r="AF34" s="107">
        <v>0</v>
      </c>
      <c r="AG34" s="107">
        <v>0</v>
      </c>
      <c r="AH34" s="107">
        <v>0</v>
      </c>
      <c r="AI34" s="107">
        <v>0</v>
      </c>
      <c r="AJ34" s="107">
        <v>0</v>
      </c>
      <c r="AK34" s="107">
        <v>0</v>
      </c>
      <c r="AL34" s="107">
        <v>0</v>
      </c>
      <c r="AM34" s="108">
        <v>0</v>
      </c>
      <c r="AN34" s="107">
        <v>0</v>
      </c>
      <c r="AO34" s="107">
        <v>0</v>
      </c>
      <c r="AP34" s="107">
        <v>0</v>
      </c>
      <c r="AQ34" s="107">
        <v>0</v>
      </c>
      <c r="AR34" s="107">
        <v>0</v>
      </c>
      <c r="AS34" s="107">
        <v>0</v>
      </c>
      <c r="AT34" s="107">
        <v>0</v>
      </c>
      <c r="AU34" s="108">
        <v>0</v>
      </c>
      <c r="AV34" s="107">
        <v>0</v>
      </c>
      <c r="AW34" s="107">
        <v>0</v>
      </c>
      <c r="AX34" s="107">
        <v>0</v>
      </c>
      <c r="AY34" s="107">
        <v>0</v>
      </c>
      <c r="AZ34" s="107">
        <v>0</v>
      </c>
      <c r="BA34" s="107">
        <v>0</v>
      </c>
      <c r="BB34" s="107">
        <v>0</v>
      </c>
      <c r="BC34" s="107">
        <v>0</v>
      </c>
      <c r="BD34" s="107">
        <v>0</v>
      </c>
      <c r="BE34" s="107">
        <v>0</v>
      </c>
      <c r="BF34" s="107">
        <v>0</v>
      </c>
      <c r="BG34" s="107">
        <v>0</v>
      </c>
      <c r="BH34" s="107">
        <v>0</v>
      </c>
      <c r="BI34" s="108">
        <v>0</v>
      </c>
      <c r="BJ34" s="107">
        <v>0</v>
      </c>
      <c r="BK34" s="107">
        <v>0</v>
      </c>
      <c r="BL34" s="107">
        <v>0</v>
      </c>
      <c r="BM34" s="107">
        <v>0</v>
      </c>
      <c r="BN34" s="107">
        <v>0</v>
      </c>
      <c r="BO34" s="108">
        <v>0</v>
      </c>
      <c r="BP34" s="107">
        <v>0</v>
      </c>
      <c r="BQ34" s="107">
        <v>0</v>
      </c>
      <c r="BR34" s="107">
        <v>0</v>
      </c>
      <c r="BS34" s="107">
        <v>0</v>
      </c>
      <c r="BT34" s="107">
        <v>0</v>
      </c>
      <c r="BU34" s="108">
        <v>0</v>
      </c>
      <c r="BV34" s="107">
        <v>0</v>
      </c>
      <c r="BW34" s="108">
        <v>0</v>
      </c>
      <c r="BX34" s="107">
        <v>0</v>
      </c>
      <c r="BY34" s="107">
        <v>0</v>
      </c>
      <c r="BZ34" s="107">
        <v>0</v>
      </c>
      <c r="CA34" s="107">
        <v>0</v>
      </c>
      <c r="CB34" s="107">
        <v>0</v>
      </c>
      <c r="CC34" s="108">
        <v>0</v>
      </c>
      <c r="CD34" s="108">
        <v>0</v>
      </c>
      <c r="CE34" s="107">
        <v>0</v>
      </c>
      <c r="CF34" s="108">
        <v>0</v>
      </c>
      <c r="CG34" s="107">
        <v>0</v>
      </c>
      <c r="CH34" s="107">
        <v>0</v>
      </c>
      <c r="CI34" s="107">
        <v>0</v>
      </c>
      <c r="CJ34" s="108">
        <v>0</v>
      </c>
      <c r="CK34" s="107">
        <v>0</v>
      </c>
      <c r="CL34" s="108">
        <v>0</v>
      </c>
      <c r="CM34" s="107">
        <v>0</v>
      </c>
      <c r="CN34" s="107">
        <v>0</v>
      </c>
    </row>
    <row r="35" spans="1:92">
      <c r="A35" s="207" t="s">
        <v>589</v>
      </c>
      <c r="B35" s="108">
        <v>3</v>
      </c>
      <c r="C35" s="107">
        <v>0</v>
      </c>
      <c r="D35" s="107">
        <v>0</v>
      </c>
      <c r="E35" s="107">
        <v>0</v>
      </c>
      <c r="F35" s="107">
        <v>0</v>
      </c>
      <c r="G35" s="107">
        <v>0</v>
      </c>
      <c r="H35" s="107">
        <v>0</v>
      </c>
      <c r="I35" s="107">
        <v>0</v>
      </c>
      <c r="J35" s="107">
        <v>0</v>
      </c>
      <c r="K35" s="107">
        <v>0</v>
      </c>
      <c r="L35" s="107">
        <v>0</v>
      </c>
      <c r="M35" s="107">
        <v>0</v>
      </c>
      <c r="N35" s="107">
        <v>0</v>
      </c>
      <c r="O35" s="107">
        <v>0</v>
      </c>
      <c r="P35" s="107">
        <v>0</v>
      </c>
      <c r="Q35" s="107">
        <v>0</v>
      </c>
      <c r="R35" s="108">
        <v>0</v>
      </c>
      <c r="S35" s="107">
        <v>0</v>
      </c>
      <c r="T35" s="107">
        <v>0</v>
      </c>
      <c r="U35" s="107">
        <v>0</v>
      </c>
      <c r="V35" s="107">
        <v>0</v>
      </c>
      <c r="W35" s="107">
        <v>0</v>
      </c>
      <c r="X35" s="107">
        <v>0</v>
      </c>
      <c r="Y35" s="107">
        <v>0</v>
      </c>
      <c r="Z35" s="107">
        <v>0</v>
      </c>
      <c r="AA35" s="107">
        <v>0</v>
      </c>
      <c r="AB35" s="107">
        <v>0</v>
      </c>
      <c r="AC35" s="108">
        <v>1</v>
      </c>
      <c r="AD35" s="107">
        <v>0</v>
      </c>
      <c r="AE35" s="107">
        <v>0</v>
      </c>
      <c r="AF35" s="107">
        <v>0</v>
      </c>
      <c r="AG35" s="107">
        <v>2</v>
      </c>
      <c r="AH35" s="107">
        <v>0</v>
      </c>
      <c r="AI35" s="107">
        <v>0</v>
      </c>
      <c r="AJ35" s="107">
        <v>0</v>
      </c>
      <c r="AK35" s="107">
        <v>0</v>
      </c>
      <c r="AL35" s="107">
        <v>0</v>
      </c>
      <c r="AM35" s="108">
        <v>0</v>
      </c>
      <c r="AN35" s="107">
        <v>0</v>
      </c>
      <c r="AO35" s="107">
        <v>0</v>
      </c>
      <c r="AP35" s="107">
        <v>0</v>
      </c>
      <c r="AQ35" s="107">
        <v>0</v>
      </c>
      <c r="AR35" s="107">
        <v>0</v>
      </c>
      <c r="AS35" s="107">
        <v>0</v>
      </c>
      <c r="AT35" s="107">
        <v>0</v>
      </c>
      <c r="AU35" s="108">
        <v>0</v>
      </c>
      <c r="AV35" s="107">
        <v>0</v>
      </c>
      <c r="AW35" s="107">
        <v>0</v>
      </c>
      <c r="AX35" s="107">
        <v>0</v>
      </c>
      <c r="AY35" s="107">
        <v>0</v>
      </c>
      <c r="AZ35" s="107">
        <v>0</v>
      </c>
      <c r="BA35" s="107">
        <v>0</v>
      </c>
      <c r="BB35" s="107">
        <v>0</v>
      </c>
      <c r="BC35" s="107">
        <v>0</v>
      </c>
      <c r="BD35" s="107">
        <v>0</v>
      </c>
      <c r="BE35" s="107">
        <v>0</v>
      </c>
      <c r="BF35" s="107">
        <v>0</v>
      </c>
      <c r="BG35" s="107">
        <v>0</v>
      </c>
      <c r="BH35" s="107">
        <v>0</v>
      </c>
      <c r="BI35" s="108">
        <v>0</v>
      </c>
      <c r="BJ35" s="107">
        <v>0</v>
      </c>
      <c r="BK35" s="107">
        <v>0</v>
      </c>
      <c r="BL35" s="107">
        <v>0</v>
      </c>
      <c r="BM35" s="107">
        <v>0</v>
      </c>
      <c r="BN35" s="107">
        <v>0</v>
      </c>
      <c r="BO35" s="108">
        <v>0</v>
      </c>
      <c r="BP35" s="107">
        <v>0</v>
      </c>
      <c r="BQ35" s="107">
        <v>0</v>
      </c>
      <c r="BR35" s="107">
        <v>0</v>
      </c>
      <c r="BS35" s="107">
        <v>0</v>
      </c>
      <c r="BT35" s="107">
        <v>0</v>
      </c>
      <c r="BU35" s="108">
        <v>0</v>
      </c>
      <c r="BV35" s="107">
        <v>0</v>
      </c>
      <c r="BW35" s="108">
        <v>0</v>
      </c>
      <c r="BX35" s="107">
        <v>0</v>
      </c>
      <c r="BY35" s="107">
        <v>0</v>
      </c>
      <c r="BZ35" s="107">
        <v>0</v>
      </c>
      <c r="CA35" s="107">
        <v>0</v>
      </c>
      <c r="CB35" s="107">
        <v>0</v>
      </c>
      <c r="CC35" s="108">
        <v>0</v>
      </c>
      <c r="CD35" s="108">
        <v>0</v>
      </c>
      <c r="CE35" s="107">
        <v>0</v>
      </c>
      <c r="CF35" s="108">
        <v>0</v>
      </c>
      <c r="CG35" s="107">
        <v>0</v>
      </c>
      <c r="CH35" s="107">
        <v>0</v>
      </c>
      <c r="CI35" s="107">
        <v>0</v>
      </c>
      <c r="CJ35" s="108">
        <v>0</v>
      </c>
      <c r="CK35" s="107">
        <v>0</v>
      </c>
      <c r="CL35" s="108">
        <v>0</v>
      </c>
      <c r="CM35" s="107">
        <v>0</v>
      </c>
      <c r="CN35" s="107">
        <v>0</v>
      </c>
    </row>
    <row r="36" spans="1:92">
      <c r="A36" s="207" t="s">
        <v>573</v>
      </c>
      <c r="B36" s="108">
        <v>39</v>
      </c>
      <c r="C36" s="107">
        <v>0</v>
      </c>
      <c r="D36" s="107">
        <v>1</v>
      </c>
      <c r="E36" s="107">
        <v>0</v>
      </c>
      <c r="F36" s="107">
        <v>0</v>
      </c>
      <c r="G36" s="107">
        <v>0</v>
      </c>
      <c r="H36" s="107">
        <v>0</v>
      </c>
      <c r="I36" s="107">
        <v>0</v>
      </c>
      <c r="J36" s="107">
        <v>0</v>
      </c>
      <c r="K36" s="107">
        <v>0</v>
      </c>
      <c r="L36" s="107">
        <v>0</v>
      </c>
      <c r="M36" s="107">
        <v>0</v>
      </c>
      <c r="N36" s="107">
        <v>0</v>
      </c>
      <c r="O36" s="107">
        <v>0</v>
      </c>
      <c r="P36" s="107">
        <v>0</v>
      </c>
      <c r="Q36" s="107">
        <v>0</v>
      </c>
      <c r="R36" s="108">
        <v>1</v>
      </c>
      <c r="S36" s="107">
        <v>0</v>
      </c>
      <c r="T36" s="107">
        <v>0</v>
      </c>
      <c r="U36" s="107">
        <v>0</v>
      </c>
      <c r="V36" s="107">
        <v>0</v>
      </c>
      <c r="W36" s="107">
        <v>0</v>
      </c>
      <c r="X36" s="107">
        <v>0</v>
      </c>
      <c r="Y36" s="107">
        <v>0</v>
      </c>
      <c r="Z36" s="107">
        <v>0</v>
      </c>
      <c r="AA36" s="107">
        <v>0</v>
      </c>
      <c r="AB36" s="107">
        <v>0</v>
      </c>
      <c r="AC36" s="108">
        <v>26</v>
      </c>
      <c r="AD36" s="107">
        <v>0</v>
      </c>
      <c r="AE36" s="107">
        <v>0</v>
      </c>
      <c r="AF36" s="107">
        <v>0</v>
      </c>
      <c r="AG36" s="107">
        <v>0</v>
      </c>
      <c r="AH36" s="107">
        <v>8</v>
      </c>
      <c r="AI36" s="107">
        <v>0</v>
      </c>
      <c r="AJ36" s="107">
        <v>0</v>
      </c>
      <c r="AK36" s="107">
        <v>0</v>
      </c>
      <c r="AL36" s="107">
        <v>0</v>
      </c>
      <c r="AM36" s="108">
        <v>1</v>
      </c>
      <c r="AN36" s="107">
        <v>0</v>
      </c>
      <c r="AO36" s="107">
        <v>0</v>
      </c>
      <c r="AP36" s="107">
        <v>0</v>
      </c>
      <c r="AQ36" s="107">
        <v>0</v>
      </c>
      <c r="AR36" s="107">
        <v>0</v>
      </c>
      <c r="AS36" s="107">
        <v>0</v>
      </c>
      <c r="AT36" s="107">
        <v>0</v>
      </c>
      <c r="AU36" s="108">
        <v>0</v>
      </c>
      <c r="AV36" s="107">
        <v>0</v>
      </c>
      <c r="AW36" s="107">
        <v>0</v>
      </c>
      <c r="AX36" s="107">
        <v>0</v>
      </c>
      <c r="AY36" s="107">
        <v>0</v>
      </c>
      <c r="AZ36" s="107">
        <v>0</v>
      </c>
      <c r="BA36" s="107">
        <v>0</v>
      </c>
      <c r="BB36" s="107">
        <v>0</v>
      </c>
      <c r="BC36" s="107">
        <v>0</v>
      </c>
      <c r="BD36" s="107">
        <v>0</v>
      </c>
      <c r="BE36" s="107">
        <v>0</v>
      </c>
      <c r="BF36" s="107">
        <v>0</v>
      </c>
      <c r="BG36" s="107">
        <v>0</v>
      </c>
      <c r="BH36" s="107">
        <v>0</v>
      </c>
      <c r="BI36" s="108">
        <v>0</v>
      </c>
      <c r="BJ36" s="107">
        <v>0</v>
      </c>
      <c r="BK36" s="107">
        <v>0</v>
      </c>
      <c r="BL36" s="107">
        <v>0</v>
      </c>
      <c r="BM36" s="107">
        <v>0</v>
      </c>
      <c r="BN36" s="107">
        <v>0</v>
      </c>
      <c r="BO36" s="108">
        <v>0</v>
      </c>
      <c r="BP36" s="107">
        <v>0</v>
      </c>
      <c r="BQ36" s="107">
        <v>0</v>
      </c>
      <c r="BR36" s="107">
        <v>0</v>
      </c>
      <c r="BS36" s="107">
        <v>0</v>
      </c>
      <c r="BT36" s="107">
        <v>0</v>
      </c>
      <c r="BU36" s="108">
        <v>0</v>
      </c>
      <c r="BV36" s="107">
        <v>0</v>
      </c>
      <c r="BW36" s="108">
        <v>0</v>
      </c>
      <c r="BX36" s="107">
        <v>0</v>
      </c>
      <c r="BY36" s="107">
        <v>0</v>
      </c>
      <c r="BZ36" s="107">
        <v>0</v>
      </c>
      <c r="CA36" s="107">
        <v>0</v>
      </c>
      <c r="CB36" s="107">
        <v>0</v>
      </c>
      <c r="CC36" s="108">
        <v>0</v>
      </c>
      <c r="CD36" s="108">
        <v>2</v>
      </c>
      <c r="CE36" s="107">
        <v>0</v>
      </c>
      <c r="CF36" s="108">
        <v>0</v>
      </c>
      <c r="CG36" s="107">
        <v>0</v>
      </c>
      <c r="CH36" s="107">
        <v>0</v>
      </c>
      <c r="CI36" s="107">
        <v>0</v>
      </c>
      <c r="CJ36" s="108">
        <v>0</v>
      </c>
      <c r="CK36" s="107">
        <v>0</v>
      </c>
      <c r="CL36" s="108">
        <v>0</v>
      </c>
      <c r="CM36" s="107">
        <v>0</v>
      </c>
      <c r="CN36" s="107">
        <v>0</v>
      </c>
    </row>
    <row r="37" spans="1:92">
      <c r="A37" s="207" t="s">
        <v>574</v>
      </c>
      <c r="B37" s="108">
        <v>52</v>
      </c>
      <c r="C37" s="107">
        <v>0</v>
      </c>
      <c r="D37" s="107">
        <v>0</v>
      </c>
      <c r="E37" s="107">
        <v>0</v>
      </c>
      <c r="F37" s="107">
        <v>0</v>
      </c>
      <c r="G37" s="107">
        <v>0</v>
      </c>
      <c r="H37" s="107">
        <v>0</v>
      </c>
      <c r="I37" s="107">
        <v>0</v>
      </c>
      <c r="J37" s="107">
        <v>0</v>
      </c>
      <c r="K37" s="107">
        <v>0</v>
      </c>
      <c r="L37" s="107">
        <v>0</v>
      </c>
      <c r="M37" s="107">
        <v>0</v>
      </c>
      <c r="N37" s="107">
        <v>0</v>
      </c>
      <c r="O37" s="107">
        <v>0</v>
      </c>
      <c r="P37" s="107">
        <v>0</v>
      </c>
      <c r="Q37" s="107">
        <v>0</v>
      </c>
      <c r="R37" s="108">
        <v>1</v>
      </c>
      <c r="S37" s="107">
        <v>0</v>
      </c>
      <c r="T37" s="107">
        <v>0</v>
      </c>
      <c r="U37" s="107">
        <v>0</v>
      </c>
      <c r="V37" s="107">
        <v>0</v>
      </c>
      <c r="W37" s="107">
        <v>0</v>
      </c>
      <c r="X37" s="107">
        <v>0</v>
      </c>
      <c r="Y37" s="107">
        <v>0</v>
      </c>
      <c r="Z37" s="107">
        <v>0</v>
      </c>
      <c r="AA37" s="107">
        <v>0</v>
      </c>
      <c r="AB37" s="107">
        <v>0</v>
      </c>
      <c r="AC37" s="108">
        <v>36</v>
      </c>
      <c r="AD37" s="107">
        <v>0</v>
      </c>
      <c r="AE37" s="107">
        <v>0</v>
      </c>
      <c r="AF37" s="107">
        <v>0</v>
      </c>
      <c r="AG37" s="107">
        <v>0</v>
      </c>
      <c r="AH37" s="107">
        <v>0</v>
      </c>
      <c r="AI37" s="107">
        <v>0</v>
      </c>
      <c r="AJ37" s="107">
        <v>14</v>
      </c>
      <c r="AK37" s="107">
        <v>0</v>
      </c>
      <c r="AL37" s="107">
        <v>0</v>
      </c>
      <c r="AM37" s="108">
        <v>0</v>
      </c>
      <c r="AN37" s="107">
        <v>0</v>
      </c>
      <c r="AO37" s="107">
        <v>0</v>
      </c>
      <c r="AP37" s="107">
        <v>0</v>
      </c>
      <c r="AQ37" s="107">
        <v>0</v>
      </c>
      <c r="AR37" s="107">
        <v>0</v>
      </c>
      <c r="AS37" s="107">
        <v>0</v>
      </c>
      <c r="AT37" s="107">
        <v>0</v>
      </c>
      <c r="AU37" s="108">
        <v>1</v>
      </c>
      <c r="AV37" s="107">
        <v>0</v>
      </c>
      <c r="AW37" s="107">
        <v>0</v>
      </c>
      <c r="AX37" s="107">
        <v>0</v>
      </c>
      <c r="AY37" s="107">
        <v>0</v>
      </c>
      <c r="AZ37" s="107">
        <v>0</v>
      </c>
      <c r="BA37" s="107">
        <v>0</v>
      </c>
      <c r="BB37" s="107">
        <v>0</v>
      </c>
      <c r="BC37" s="107">
        <v>0</v>
      </c>
      <c r="BD37" s="107">
        <v>0</v>
      </c>
      <c r="BE37" s="107">
        <v>0</v>
      </c>
      <c r="BF37" s="107">
        <v>0</v>
      </c>
      <c r="BG37" s="107">
        <v>0</v>
      </c>
      <c r="BH37" s="107">
        <v>0</v>
      </c>
      <c r="BI37" s="108">
        <v>0</v>
      </c>
      <c r="BJ37" s="107">
        <v>0</v>
      </c>
      <c r="BK37" s="107">
        <v>0</v>
      </c>
      <c r="BL37" s="107">
        <v>0</v>
      </c>
      <c r="BM37" s="107">
        <v>0</v>
      </c>
      <c r="BN37" s="107">
        <v>0</v>
      </c>
      <c r="BO37" s="108">
        <v>0</v>
      </c>
      <c r="BP37" s="107">
        <v>0</v>
      </c>
      <c r="BQ37" s="107">
        <v>0</v>
      </c>
      <c r="BR37" s="107">
        <v>0</v>
      </c>
      <c r="BS37" s="107">
        <v>0</v>
      </c>
      <c r="BT37" s="107">
        <v>0</v>
      </c>
      <c r="BU37" s="108">
        <v>0</v>
      </c>
      <c r="BV37" s="107">
        <v>0</v>
      </c>
      <c r="BW37" s="108">
        <v>0</v>
      </c>
      <c r="BX37" s="107">
        <v>0</v>
      </c>
      <c r="BY37" s="107">
        <v>0</v>
      </c>
      <c r="BZ37" s="107">
        <v>0</v>
      </c>
      <c r="CA37" s="107">
        <v>0</v>
      </c>
      <c r="CB37" s="107">
        <v>0</v>
      </c>
      <c r="CC37" s="108">
        <v>0</v>
      </c>
      <c r="CD37" s="108">
        <v>0</v>
      </c>
      <c r="CE37" s="107">
        <v>0</v>
      </c>
      <c r="CF37" s="108">
        <v>0</v>
      </c>
      <c r="CG37" s="107">
        <v>0</v>
      </c>
      <c r="CH37" s="107">
        <v>0</v>
      </c>
      <c r="CI37" s="107">
        <v>0</v>
      </c>
      <c r="CJ37" s="108">
        <v>0</v>
      </c>
      <c r="CK37" s="107">
        <v>0</v>
      </c>
      <c r="CL37" s="108">
        <v>0</v>
      </c>
      <c r="CM37" s="107">
        <v>0</v>
      </c>
      <c r="CN37" s="107">
        <v>0</v>
      </c>
    </row>
    <row r="38" spans="1:92">
      <c r="A38" s="207" t="s">
        <v>481</v>
      </c>
      <c r="B38" s="108">
        <v>2</v>
      </c>
      <c r="C38" s="107">
        <v>0</v>
      </c>
      <c r="D38" s="107">
        <v>0</v>
      </c>
      <c r="E38" s="107">
        <v>0</v>
      </c>
      <c r="F38" s="107">
        <v>0</v>
      </c>
      <c r="G38" s="107">
        <v>0</v>
      </c>
      <c r="H38" s="107">
        <v>0</v>
      </c>
      <c r="I38" s="107">
        <v>0</v>
      </c>
      <c r="J38" s="107">
        <v>0</v>
      </c>
      <c r="K38" s="107">
        <v>0</v>
      </c>
      <c r="L38" s="107">
        <v>0</v>
      </c>
      <c r="M38" s="107">
        <v>0</v>
      </c>
      <c r="N38" s="107">
        <v>0</v>
      </c>
      <c r="O38" s="107">
        <v>0</v>
      </c>
      <c r="P38" s="107">
        <v>0</v>
      </c>
      <c r="Q38" s="107">
        <v>0</v>
      </c>
      <c r="R38" s="108">
        <v>0</v>
      </c>
      <c r="S38" s="107">
        <v>0</v>
      </c>
      <c r="T38" s="107">
        <v>0</v>
      </c>
      <c r="U38" s="107">
        <v>0</v>
      </c>
      <c r="V38" s="107">
        <v>0</v>
      </c>
      <c r="W38" s="107">
        <v>0</v>
      </c>
      <c r="X38" s="107">
        <v>0</v>
      </c>
      <c r="Y38" s="107">
        <v>0</v>
      </c>
      <c r="Z38" s="107">
        <v>0</v>
      </c>
      <c r="AA38" s="107">
        <v>0</v>
      </c>
      <c r="AB38" s="107">
        <v>0</v>
      </c>
      <c r="AC38" s="108">
        <v>2</v>
      </c>
      <c r="AD38" s="107">
        <v>0</v>
      </c>
      <c r="AE38" s="107">
        <v>0</v>
      </c>
      <c r="AF38" s="107">
        <v>0</v>
      </c>
      <c r="AG38" s="107">
        <v>0</v>
      </c>
      <c r="AH38" s="107">
        <v>0</v>
      </c>
      <c r="AI38" s="107">
        <v>0</v>
      </c>
      <c r="AJ38" s="107">
        <v>0</v>
      </c>
      <c r="AK38" s="107">
        <v>0</v>
      </c>
      <c r="AL38" s="107">
        <v>0</v>
      </c>
      <c r="AM38" s="108">
        <v>0</v>
      </c>
      <c r="AN38" s="107">
        <v>0</v>
      </c>
      <c r="AO38" s="107">
        <v>0</v>
      </c>
      <c r="AP38" s="107">
        <v>0</v>
      </c>
      <c r="AQ38" s="107">
        <v>0</v>
      </c>
      <c r="AR38" s="107">
        <v>0</v>
      </c>
      <c r="AS38" s="107">
        <v>0</v>
      </c>
      <c r="AT38" s="107">
        <v>0</v>
      </c>
      <c r="AU38" s="108">
        <v>0</v>
      </c>
      <c r="AV38" s="107">
        <v>0</v>
      </c>
      <c r="AW38" s="107">
        <v>0</v>
      </c>
      <c r="AX38" s="107">
        <v>0</v>
      </c>
      <c r="AY38" s="107">
        <v>0</v>
      </c>
      <c r="AZ38" s="107">
        <v>0</v>
      </c>
      <c r="BA38" s="107">
        <v>0</v>
      </c>
      <c r="BB38" s="107">
        <v>0</v>
      </c>
      <c r="BC38" s="107">
        <v>0</v>
      </c>
      <c r="BD38" s="107">
        <v>0</v>
      </c>
      <c r="BE38" s="107">
        <v>0</v>
      </c>
      <c r="BF38" s="107">
        <v>0</v>
      </c>
      <c r="BG38" s="107">
        <v>0</v>
      </c>
      <c r="BH38" s="107">
        <v>0</v>
      </c>
      <c r="BI38" s="108">
        <v>0</v>
      </c>
      <c r="BJ38" s="107">
        <v>0</v>
      </c>
      <c r="BK38" s="107">
        <v>0</v>
      </c>
      <c r="BL38" s="107">
        <v>0</v>
      </c>
      <c r="BM38" s="107">
        <v>0</v>
      </c>
      <c r="BN38" s="107">
        <v>0</v>
      </c>
      <c r="BO38" s="108">
        <v>0</v>
      </c>
      <c r="BP38" s="107">
        <v>0</v>
      </c>
      <c r="BQ38" s="107">
        <v>0</v>
      </c>
      <c r="BR38" s="107">
        <v>0</v>
      </c>
      <c r="BS38" s="107">
        <v>0</v>
      </c>
      <c r="BT38" s="107">
        <v>0</v>
      </c>
      <c r="BU38" s="108">
        <v>0</v>
      </c>
      <c r="BV38" s="107">
        <v>0</v>
      </c>
      <c r="BW38" s="108">
        <v>0</v>
      </c>
      <c r="BX38" s="107">
        <v>0</v>
      </c>
      <c r="BY38" s="107">
        <v>0</v>
      </c>
      <c r="BZ38" s="107">
        <v>0</v>
      </c>
      <c r="CA38" s="107">
        <v>0</v>
      </c>
      <c r="CB38" s="107">
        <v>0</v>
      </c>
      <c r="CC38" s="108">
        <v>0</v>
      </c>
      <c r="CD38" s="108">
        <v>0</v>
      </c>
      <c r="CE38" s="107">
        <v>0</v>
      </c>
      <c r="CF38" s="108">
        <v>0</v>
      </c>
      <c r="CG38" s="107">
        <v>0</v>
      </c>
      <c r="CH38" s="107">
        <v>0</v>
      </c>
      <c r="CI38" s="107">
        <v>0</v>
      </c>
      <c r="CJ38" s="108">
        <v>0</v>
      </c>
      <c r="CK38" s="107">
        <v>0</v>
      </c>
      <c r="CL38" s="108">
        <v>0</v>
      </c>
      <c r="CM38" s="107">
        <v>0</v>
      </c>
      <c r="CN38" s="107">
        <v>0</v>
      </c>
    </row>
    <row r="39" spans="1:92">
      <c r="A39" s="207" t="s">
        <v>345</v>
      </c>
      <c r="B39" s="108">
        <v>151</v>
      </c>
      <c r="C39" s="107">
        <v>0</v>
      </c>
      <c r="D39" s="107">
        <v>0</v>
      </c>
      <c r="E39" s="107">
        <v>0</v>
      </c>
      <c r="F39" s="107">
        <v>0</v>
      </c>
      <c r="G39" s="107">
        <v>0</v>
      </c>
      <c r="H39" s="107">
        <v>1</v>
      </c>
      <c r="I39" s="107">
        <v>0</v>
      </c>
      <c r="J39" s="107">
        <v>0</v>
      </c>
      <c r="K39" s="107">
        <v>0</v>
      </c>
      <c r="L39" s="107">
        <v>0</v>
      </c>
      <c r="M39" s="107">
        <v>0</v>
      </c>
      <c r="N39" s="107">
        <v>0</v>
      </c>
      <c r="O39" s="107">
        <v>0</v>
      </c>
      <c r="P39" s="107">
        <v>0</v>
      </c>
      <c r="Q39" s="107">
        <v>0</v>
      </c>
      <c r="R39" s="108">
        <v>9</v>
      </c>
      <c r="S39" s="107">
        <v>0</v>
      </c>
      <c r="T39" s="107">
        <v>0</v>
      </c>
      <c r="U39" s="107">
        <v>0</v>
      </c>
      <c r="V39" s="107">
        <v>0</v>
      </c>
      <c r="W39" s="107">
        <v>0</v>
      </c>
      <c r="X39" s="107">
        <v>0</v>
      </c>
      <c r="Y39" s="107">
        <v>0</v>
      </c>
      <c r="Z39" s="107">
        <v>1</v>
      </c>
      <c r="AA39" s="107">
        <v>0</v>
      </c>
      <c r="AB39" s="107">
        <v>0</v>
      </c>
      <c r="AC39" s="108">
        <v>47</v>
      </c>
      <c r="AD39" s="107">
        <v>0</v>
      </c>
      <c r="AE39" s="107">
        <v>0</v>
      </c>
      <c r="AF39" s="107">
        <v>0</v>
      </c>
      <c r="AG39" s="107">
        <v>0</v>
      </c>
      <c r="AH39" s="107">
        <v>8</v>
      </c>
      <c r="AI39" s="107">
        <v>0</v>
      </c>
      <c r="AJ39" s="107">
        <v>1</v>
      </c>
      <c r="AK39" s="107">
        <v>0</v>
      </c>
      <c r="AL39" s="107">
        <v>0</v>
      </c>
      <c r="AM39" s="108">
        <v>61</v>
      </c>
      <c r="AN39" s="107">
        <v>0</v>
      </c>
      <c r="AO39" s="107">
        <v>0</v>
      </c>
      <c r="AP39" s="107">
        <v>0</v>
      </c>
      <c r="AQ39" s="107">
        <v>0</v>
      </c>
      <c r="AR39" s="107">
        <v>0</v>
      </c>
      <c r="AS39" s="107">
        <v>0</v>
      </c>
      <c r="AT39" s="107">
        <v>0</v>
      </c>
      <c r="AU39" s="108">
        <v>3</v>
      </c>
      <c r="AV39" s="107">
        <v>0</v>
      </c>
      <c r="AW39" s="107">
        <v>0</v>
      </c>
      <c r="AX39" s="107">
        <v>0</v>
      </c>
      <c r="AY39" s="107">
        <v>0</v>
      </c>
      <c r="AZ39" s="107">
        <v>0</v>
      </c>
      <c r="BA39" s="107">
        <v>0</v>
      </c>
      <c r="BB39" s="107">
        <v>0</v>
      </c>
      <c r="BC39" s="107">
        <v>0</v>
      </c>
      <c r="BD39" s="107">
        <v>0</v>
      </c>
      <c r="BE39" s="107">
        <v>0</v>
      </c>
      <c r="BF39" s="107">
        <v>0</v>
      </c>
      <c r="BG39" s="107">
        <v>0</v>
      </c>
      <c r="BH39" s="107">
        <v>0</v>
      </c>
      <c r="BI39" s="108">
        <v>0</v>
      </c>
      <c r="BJ39" s="107">
        <v>0</v>
      </c>
      <c r="BK39" s="107">
        <v>1</v>
      </c>
      <c r="BL39" s="107">
        <v>0</v>
      </c>
      <c r="BM39" s="107">
        <v>0</v>
      </c>
      <c r="BN39" s="107">
        <v>0</v>
      </c>
      <c r="BO39" s="108">
        <v>0</v>
      </c>
      <c r="BP39" s="107">
        <v>0</v>
      </c>
      <c r="BQ39" s="107">
        <v>0</v>
      </c>
      <c r="BR39" s="107">
        <v>0</v>
      </c>
      <c r="BS39" s="107">
        <v>0</v>
      </c>
      <c r="BT39" s="107">
        <v>0</v>
      </c>
      <c r="BU39" s="108">
        <v>0</v>
      </c>
      <c r="BV39" s="107">
        <v>0</v>
      </c>
      <c r="BW39" s="108">
        <v>0</v>
      </c>
      <c r="BX39" s="107">
        <v>1</v>
      </c>
      <c r="BY39" s="107">
        <v>0</v>
      </c>
      <c r="BZ39" s="107">
        <v>0</v>
      </c>
      <c r="CA39" s="107">
        <v>0</v>
      </c>
      <c r="CB39" s="107">
        <v>2</v>
      </c>
      <c r="CC39" s="108">
        <v>0</v>
      </c>
      <c r="CD39" s="108">
        <v>2</v>
      </c>
      <c r="CE39" s="107">
        <v>0</v>
      </c>
      <c r="CF39" s="108">
        <v>0</v>
      </c>
      <c r="CG39" s="107">
        <v>0</v>
      </c>
      <c r="CH39" s="107">
        <v>0</v>
      </c>
      <c r="CI39" s="107">
        <v>1</v>
      </c>
      <c r="CJ39" s="108">
        <v>13</v>
      </c>
      <c r="CK39" s="107">
        <v>0</v>
      </c>
      <c r="CL39" s="108">
        <v>0</v>
      </c>
      <c r="CM39" s="107">
        <v>0</v>
      </c>
      <c r="CN39" s="107">
        <v>0</v>
      </c>
    </row>
    <row r="40" spans="1:92">
      <c r="A40" s="207" t="s">
        <v>346</v>
      </c>
      <c r="B40" s="108">
        <v>5</v>
      </c>
      <c r="C40" s="107">
        <v>0</v>
      </c>
      <c r="D40" s="107">
        <v>0</v>
      </c>
      <c r="E40" s="107">
        <v>0</v>
      </c>
      <c r="F40" s="107">
        <v>0</v>
      </c>
      <c r="G40" s="107">
        <v>0</v>
      </c>
      <c r="H40" s="107">
        <v>0</v>
      </c>
      <c r="I40" s="107">
        <v>0</v>
      </c>
      <c r="J40" s="107">
        <v>0</v>
      </c>
      <c r="K40" s="107">
        <v>0</v>
      </c>
      <c r="L40" s="107">
        <v>0</v>
      </c>
      <c r="M40" s="107">
        <v>0</v>
      </c>
      <c r="N40" s="107">
        <v>0</v>
      </c>
      <c r="O40" s="107">
        <v>0</v>
      </c>
      <c r="P40" s="107">
        <v>0</v>
      </c>
      <c r="Q40" s="107">
        <v>0</v>
      </c>
      <c r="R40" s="108">
        <v>0</v>
      </c>
      <c r="S40" s="107">
        <v>0</v>
      </c>
      <c r="T40" s="107">
        <v>0</v>
      </c>
      <c r="U40" s="107">
        <v>0</v>
      </c>
      <c r="V40" s="107">
        <v>0</v>
      </c>
      <c r="W40" s="107">
        <v>0</v>
      </c>
      <c r="X40" s="107">
        <v>0</v>
      </c>
      <c r="Y40" s="107">
        <v>0</v>
      </c>
      <c r="Z40" s="107">
        <v>0</v>
      </c>
      <c r="AA40" s="107">
        <v>0</v>
      </c>
      <c r="AB40" s="107">
        <v>0</v>
      </c>
      <c r="AC40" s="108">
        <v>5</v>
      </c>
      <c r="AD40" s="107">
        <v>0</v>
      </c>
      <c r="AE40" s="107">
        <v>0</v>
      </c>
      <c r="AF40" s="107">
        <v>0</v>
      </c>
      <c r="AG40" s="107">
        <v>0</v>
      </c>
      <c r="AH40" s="107">
        <v>0</v>
      </c>
      <c r="AI40" s="107">
        <v>0</v>
      </c>
      <c r="AJ40" s="107">
        <v>0</v>
      </c>
      <c r="AK40" s="107">
        <v>0</v>
      </c>
      <c r="AL40" s="107">
        <v>0</v>
      </c>
      <c r="AM40" s="108">
        <v>0</v>
      </c>
      <c r="AN40" s="107">
        <v>0</v>
      </c>
      <c r="AO40" s="107">
        <v>0</v>
      </c>
      <c r="AP40" s="107">
        <v>0</v>
      </c>
      <c r="AQ40" s="107">
        <v>0</v>
      </c>
      <c r="AR40" s="107">
        <v>0</v>
      </c>
      <c r="AS40" s="107">
        <v>0</v>
      </c>
      <c r="AT40" s="107">
        <v>0</v>
      </c>
      <c r="AU40" s="108">
        <v>0</v>
      </c>
      <c r="AV40" s="107">
        <v>0</v>
      </c>
      <c r="AW40" s="107">
        <v>0</v>
      </c>
      <c r="AX40" s="107">
        <v>0</v>
      </c>
      <c r="AY40" s="107">
        <v>0</v>
      </c>
      <c r="AZ40" s="107">
        <v>0</v>
      </c>
      <c r="BA40" s="107">
        <v>0</v>
      </c>
      <c r="BB40" s="107">
        <v>0</v>
      </c>
      <c r="BC40" s="107">
        <v>0</v>
      </c>
      <c r="BD40" s="107">
        <v>0</v>
      </c>
      <c r="BE40" s="107">
        <v>0</v>
      </c>
      <c r="BF40" s="107">
        <v>0</v>
      </c>
      <c r="BG40" s="107">
        <v>0</v>
      </c>
      <c r="BH40" s="107">
        <v>0</v>
      </c>
      <c r="BI40" s="108">
        <v>0</v>
      </c>
      <c r="BJ40" s="107">
        <v>0</v>
      </c>
      <c r="BK40" s="107">
        <v>0</v>
      </c>
      <c r="BL40" s="107">
        <v>0</v>
      </c>
      <c r="BM40" s="107">
        <v>0</v>
      </c>
      <c r="BN40" s="107">
        <v>0</v>
      </c>
      <c r="BO40" s="108">
        <v>0</v>
      </c>
      <c r="BP40" s="107">
        <v>0</v>
      </c>
      <c r="BQ40" s="107">
        <v>0</v>
      </c>
      <c r="BR40" s="107">
        <v>0</v>
      </c>
      <c r="BS40" s="107">
        <v>0</v>
      </c>
      <c r="BT40" s="107">
        <v>0</v>
      </c>
      <c r="BU40" s="108">
        <v>0</v>
      </c>
      <c r="BV40" s="107">
        <v>0</v>
      </c>
      <c r="BW40" s="108">
        <v>0</v>
      </c>
      <c r="BX40" s="107">
        <v>0</v>
      </c>
      <c r="BY40" s="107">
        <v>0</v>
      </c>
      <c r="BZ40" s="107">
        <v>0</v>
      </c>
      <c r="CA40" s="107">
        <v>0</v>
      </c>
      <c r="CB40" s="107">
        <v>0</v>
      </c>
      <c r="CC40" s="108">
        <v>0</v>
      </c>
      <c r="CD40" s="108">
        <v>0</v>
      </c>
      <c r="CE40" s="107">
        <v>0</v>
      </c>
      <c r="CF40" s="108">
        <v>0</v>
      </c>
      <c r="CG40" s="107">
        <v>0</v>
      </c>
      <c r="CH40" s="107">
        <v>0</v>
      </c>
      <c r="CI40" s="107">
        <v>0</v>
      </c>
      <c r="CJ40" s="108">
        <v>0</v>
      </c>
      <c r="CK40" s="107">
        <v>0</v>
      </c>
      <c r="CL40" s="108">
        <v>0</v>
      </c>
      <c r="CM40" s="107">
        <v>0</v>
      </c>
      <c r="CN40" s="107">
        <v>0</v>
      </c>
    </row>
    <row r="41" spans="1:92">
      <c r="A41" s="207" t="s">
        <v>408</v>
      </c>
      <c r="B41" s="108">
        <v>1</v>
      </c>
      <c r="C41" s="107">
        <v>0</v>
      </c>
      <c r="D41" s="107">
        <v>0</v>
      </c>
      <c r="E41" s="107">
        <v>0</v>
      </c>
      <c r="F41" s="107">
        <v>0</v>
      </c>
      <c r="G41" s="107">
        <v>0</v>
      </c>
      <c r="H41" s="107">
        <v>0</v>
      </c>
      <c r="I41" s="107">
        <v>0</v>
      </c>
      <c r="J41" s="107">
        <v>0</v>
      </c>
      <c r="K41" s="107">
        <v>0</v>
      </c>
      <c r="L41" s="107">
        <v>0</v>
      </c>
      <c r="M41" s="107">
        <v>0</v>
      </c>
      <c r="N41" s="107">
        <v>0</v>
      </c>
      <c r="O41" s="107">
        <v>0</v>
      </c>
      <c r="P41" s="107">
        <v>0</v>
      </c>
      <c r="Q41" s="107">
        <v>0</v>
      </c>
      <c r="R41" s="108">
        <v>0</v>
      </c>
      <c r="S41" s="107">
        <v>0</v>
      </c>
      <c r="T41" s="107">
        <v>0</v>
      </c>
      <c r="U41" s="107">
        <v>0</v>
      </c>
      <c r="V41" s="107">
        <v>0</v>
      </c>
      <c r="W41" s="107">
        <v>0</v>
      </c>
      <c r="X41" s="107">
        <v>0</v>
      </c>
      <c r="Y41" s="107">
        <v>0</v>
      </c>
      <c r="Z41" s="107">
        <v>0</v>
      </c>
      <c r="AA41" s="107">
        <v>0</v>
      </c>
      <c r="AB41" s="107">
        <v>0</v>
      </c>
      <c r="AC41" s="108">
        <v>1</v>
      </c>
      <c r="AD41" s="107">
        <v>0</v>
      </c>
      <c r="AE41" s="107">
        <v>0</v>
      </c>
      <c r="AF41" s="107">
        <v>0</v>
      </c>
      <c r="AG41" s="107">
        <v>0</v>
      </c>
      <c r="AH41" s="107">
        <v>0</v>
      </c>
      <c r="AI41" s="107">
        <v>0</v>
      </c>
      <c r="AJ41" s="107">
        <v>0</v>
      </c>
      <c r="AK41" s="107">
        <v>0</v>
      </c>
      <c r="AL41" s="107">
        <v>0</v>
      </c>
      <c r="AM41" s="108">
        <v>0</v>
      </c>
      <c r="AN41" s="107">
        <v>0</v>
      </c>
      <c r="AO41" s="107">
        <v>0</v>
      </c>
      <c r="AP41" s="107">
        <v>0</v>
      </c>
      <c r="AQ41" s="107">
        <v>0</v>
      </c>
      <c r="AR41" s="107">
        <v>0</v>
      </c>
      <c r="AS41" s="107">
        <v>0</v>
      </c>
      <c r="AT41" s="107">
        <v>0</v>
      </c>
      <c r="AU41" s="108">
        <v>0</v>
      </c>
      <c r="AV41" s="107">
        <v>0</v>
      </c>
      <c r="AW41" s="107">
        <v>0</v>
      </c>
      <c r="AX41" s="107">
        <v>0</v>
      </c>
      <c r="AY41" s="107">
        <v>0</v>
      </c>
      <c r="AZ41" s="107">
        <v>0</v>
      </c>
      <c r="BA41" s="107">
        <v>0</v>
      </c>
      <c r="BB41" s="107">
        <v>0</v>
      </c>
      <c r="BC41" s="107">
        <v>0</v>
      </c>
      <c r="BD41" s="107">
        <v>0</v>
      </c>
      <c r="BE41" s="107">
        <v>0</v>
      </c>
      <c r="BF41" s="107">
        <v>0</v>
      </c>
      <c r="BG41" s="107">
        <v>0</v>
      </c>
      <c r="BH41" s="107">
        <v>0</v>
      </c>
      <c r="BI41" s="108">
        <v>0</v>
      </c>
      <c r="BJ41" s="107">
        <v>0</v>
      </c>
      <c r="BK41" s="107">
        <v>0</v>
      </c>
      <c r="BL41" s="107">
        <v>0</v>
      </c>
      <c r="BM41" s="107">
        <v>0</v>
      </c>
      <c r="BN41" s="107">
        <v>0</v>
      </c>
      <c r="BO41" s="108">
        <v>0</v>
      </c>
      <c r="BP41" s="107">
        <v>0</v>
      </c>
      <c r="BQ41" s="107">
        <v>0</v>
      </c>
      <c r="BR41" s="107">
        <v>0</v>
      </c>
      <c r="BS41" s="107">
        <v>0</v>
      </c>
      <c r="BT41" s="107">
        <v>0</v>
      </c>
      <c r="BU41" s="108">
        <v>0</v>
      </c>
      <c r="BV41" s="107">
        <v>0</v>
      </c>
      <c r="BW41" s="108">
        <v>0</v>
      </c>
      <c r="BX41" s="107">
        <v>0</v>
      </c>
      <c r="BY41" s="107">
        <v>0</v>
      </c>
      <c r="BZ41" s="107">
        <v>0</v>
      </c>
      <c r="CA41" s="107">
        <v>0</v>
      </c>
      <c r="CB41" s="107">
        <v>0</v>
      </c>
      <c r="CC41" s="108">
        <v>0</v>
      </c>
      <c r="CD41" s="108">
        <v>0</v>
      </c>
      <c r="CE41" s="107">
        <v>0</v>
      </c>
      <c r="CF41" s="108">
        <v>0</v>
      </c>
      <c r="CG41" s="107">
        <v>0</v>
      </c>
      <c r="CH41" s="107">
        <v>0</v>
      </c>
      <c r="CI41" s="107">
        <v>0</v>
      </c>
      <c r="CJ41" s="108">
        <v>0</v>
      </c>
      <c r="CK41" s="107">
        <v>0</v>
      </c>
      <c r="CL41" s="108">
        <v>0</v>
      </c>
      <c r="CM41" s="107">
        <v>0</v>
      </c>
      <c r="CN41" s="107">
        <v>0</v>
      </c>
    </row>
    <row r="42" spans="1:92">
      <c r="A42" s="207" t="s">
        <v>590</v>
      </c>
      <c r="B42" s="108">
        <v>1</v>
      </c>
      <c r="C42" s="107">
        <v>0</v>
      </c>
      <c r="D42" s="107">
        <v>0</v>
      </c>
      <c r="E42" s="107">
        <v>0</v>
      </c>
      <c r="F42" s="107">
        <v>0</v>
      </c>
      <c r="G42" s="107">
        <v>0</v>
      </c>
      <c r="H42" s="107">
        <v>0</v>
      </c>
      <c r="I42" s="107">
        <v>0</v>
      </c>
      <c r="J42" s="107">
        <v>0</v>
      </c>
      <c r="K42" s="107">
        <v>0</v>
      </c>
      <c r="L42" s="107">
        <v>0</v>
      </c>
      <c r="M42" s="107">
        <v>0</v>
      </c>
      <c r="N42" s="107">
        <v>0</v>
      </c>
      <c r="O42" s="107">
        <v>0</v>
      </c>
      <c r="P42" s="107">
        <v>0</v>
      </c>
      <c r="Q42" s="107">
        <v>0</v>
      </c>
      <c r="R42" s="108">
        <v>0</v>
      </c>
      <c r="S42" s="107">
        <v>0</v>
      </c>
      <c r="T42" s="107">
        <v>0</v>
      </c>
      <c r="U42" s="107">
        <v>0</v>
      </c>
      <c r="V42" s="107">
        <v>0</v>
      </c>
      <c r="W42" s="107">
        <v>0</v>
      </c>
      <c r="X42" s="107">
        <v>0</v>
      </c>
      <c r="Y42" s="107">
        <v>0</v>
      </c>
      <c r="Z42" s="107">
        <v>0</v>
      </c>
      <c r="AA42" s="107">
        <v>0</v>
      </c>
      <c r="AB42" s="107">
        <v>0</v>
      </c>
      <c r="AC42" s="108">
        <v>0</v>
      </c>
      <c r="AD42" s="107">
        <v>0</v>
      </c>
      <c r="AE42" s="107">
        <v>0</v>
      </c>
      <c r="AF42" s="107">
        <v>0</v>
      </c>
      <c r="AG42" s="107">
        <v>0</v>
      </c>
      <c r="AH42" s="107">
        <v>0</v>
      </c>
      <c r="AI42" s="107">
        <v>0</v>
      </c>
      <c r="AJ42" s="107">
        <v>0</v>
      </c>
      <c r="AK42" s="107">
        <v>0</v>
      </c>
      <c r="AL42" s="107">
        <v>0</v>
      </c>
      <c r="AM42" s="108">
        <v>0</v>
      </c>
      <c r="AN42" s="107">
        <v>0</v>
      </c>
      <c r="AO42" s="107">
        <v>0</v>
      </c>
      <c r="AP42" s="107">
        <v>1</v>
      </c>
      <c r="AQ42" s="107">
        <v>0</v>
      </c>
      <c r="AR42" s="107">
        <v>0</v>
      </c>
      <c r="AS42" s="107">
        <v>0</v>
      </c>
      <c r="AT42" s="107">
        <v>0</v>
      </c>
      <c r="AU42" s="108">
        <v>0</v>
      </c>
      <c r="AV42" s="107">
        <v>0</v>
      </c>
      <c r="AW42" s="107">
        <v>0</v>
      </c>
      <c r="AX42" s="107">
        <v>0</v>
      </c>
      <c r="AY42" s="107">
        <v>0</v>
      </c>
      <c r="AZ42" s="107">
        <v>0</v>
      </c>
      <c r="BA42" s="107">
        <v>0</v>
      </c>
      <c r="BB42" s="107">
        <v>0</v>
      </c>
      <c r="BC42" s="107">
        <v>0</v>
      </c>
      <c r="BD42" s="107">
        <v>0</v>
      </c>
      <c r="BE42" s="107">
        <v>0</v>
      </c>
      <c r="BF42" s="107">
        <v>0</v>
      </c>
      <c r="BG42" s="107">
        <v>0</v>
      </c>
      <c r="BH42" s="107">
        <v>0</v>
      </c>
      <c r="BI42" s="108">
        <v>0</v>
      </c>
      <c r="BJ42" s="107">
        <v>0</v>
      </c>
      <c r="BK42" s="107">
        <v>0</v>
      </c>
      <c r="BL42" s="107">
        <v>0</v>
      </c>
      <c r="BM42" s="107">
        <v>0</v>
      </c>
      <c r="BN42" s="107">
        <v>0</v>
      </c>
      <c r="BO42" s="108">
        <v>0</v>
      </c>
      <c r="BP42" s="107">
        <v>0</v>
      </c>
      <c r="BQ42" s="107">
        <v>0</v>
      </c>
      <c r="BR42" s="107">
        <v>0</v>
      </c>
      <c r="BS42" s="107">
        <v>0</v>
      </c>
      <c r="BT42" s="107">
        <v>0</v>
      </c>
      <c r="BU42" s="108">
        <v>0</v>
      </c>
      <c r="BV42" s="107">
        <v>0</v>
      </c>
      <c r="BW42" s="108">
        <v>0</v>
      </c>
      <c r="BX42" s="107">
        <v>0</v>
      </c>
      <c r="BY42" s="107">
        <v>0</v>
      </c>
      <c r="BZ42" s="107">
        <v>0</v>
      </c>
      <c r="CA42" s="107">
        <v>0</v>
      </c>
      <c r="CB42" s="107">
        <v>0</v>
      </c>
      <c r="CC42" s="108">
        <v>0</v>
      </c>
      <c r="CD42" s="108">
        <v>0</v>
      </c>
      <c r="CE42" s="107">
        <v>0</v>
      </c>
      <c r="CF42" s="108">
        <v>0</v>
      </c>
      <c r="CG42" s="107">
        <v>0</v>
      </c>
      <c r="CH42" s="107">
        <v>0</v>
      </c>
      <c r="CI42" s="107">
        <v>0</v>
      </c>
      <c r="CJ42" s="108">
        <v>0</v>
      </c>
      <c r="CK42" s="107">
        <v>0</v>
      </c>
      <c r="CL42" s="108">
        <v>0</v>
      </c>
      <c r="CM42" s="107">
        <v>0</v>
      </c>
      <c r="CN42" s="107">
        <v>0</v>
      </c>
    </row>
    <row r="43" spans="1:92">
      <c r="A43" s="207" t="s">
        <v>482</v>
      </c>
      <c r="B43" s="108">
        <v>4</v>
      </c>
      <c r="C43" s="107">
        <v>0</v>
      </c>
      <c r="D43" s="107">
        <v>0</v>
      </c>
      <c r="E43" s="107">
        <v>0</v>
      </c>
      <c r="F43" s="107">
        <v>0</v>
      </c>
      <c r="G43" s="107">
        <v>0</v>
      </c>
      <c r="H43" s="107">
        <v>0</v>
      </c>
      <c r="I43" s="107">
        <v>0</v>
      </c>
      <c r="J43" s="107">
        <v>0</v>
      </c>
      <c r="K43" s="107">
        <v>0</v>
      </c>
      <c r="L43" s="107">
        <v>0</v>
      </c>
      <c r="M43" s="107">
        <v>0</v>
      </c>
      <c r="N43" s="107">
        <v>0</v>
      </c>
      <c r="O43" s="107">
        <v>0</v>
      </c>
      <c r="P43" s="107">
        <v>0</v>
      </c>
      <c r="Q43" s="107">
        <v>0</v>
      </c>
      <c r="R43" s="108">
        <v>0</v>
      </c>
      <c r="S43" s="107">
        <v>0</v>
      </c>
      <c r="T43" s="107">
        <v>0</v>
      </c>
      <c r="U43" s="107">
        <v>0</v>
      </c>
      <c r="V43" s="107">
        <v>0</v>
      </c>
      <c r="W43" s="107">
        <v>0</v>
      </c>
      <c r="X43" s="107">
        <v>0</v>
      </c>
      <c r="Y43" s="107">
        <v>0</v>
      </c>
      <c r="Z43" s="107">
        <v>0</v>
      </c>
      <c r="AA43" s="107">
        <v>0</v>
      </c>
      <c r="AB43" s="107">
        <v>0</v>
      </c>
      <c r="AC43" s="108">
        <v>0</v>
      </c>
      <c r="AD43" s="107">
        <v>0</v>
      </c>
      <c r="AE43" s="107">
        <v>0</v>
      </c>
      <c r="AF43" s="107">
        <v>0</v>
      </c>
      <c r="AG43" s="107">
        <v>0</v>
      </c>
      <c r="AH43" s="107">
        <v>0</v>
      </c>
      <c r="AI43" s="107">
        <v>0</v>
      </c>
      <c r="AJ43" s="107">
        <v>0</v>
      </c>
      <c r="AK43" s="107">
        <v>0</v>
      </c>
      <c r="AL43" s="107">
        <v>0</v>
      </c>
      <c r="AM43" s="108">
        <v>0</v>
      </c>
      <c r="AN43" s="107">
        <v>0</v>
      </c>
      <c r="AO43" s="107">
        <v>0</v>
      </c>
      <c r="AP43" s="107">
        <v>0</v>
      </c>
      <c r="AQ43" s="107">
        <v>0</v>
      </c>
      <c r="AR43" s="107">
        <v>0</v>
      </c>
      <c r="AS43" s="107">
        <v>0</v>
      </c>
      <c r="AT43" s="107">
        <v>0</v>
      </c>
      <c r="AU43" s="108">
        <v>0</v>
      </c>
      <c r="AV43" s="107">
        <v>0</v>
      </c>
      <c r="AW43" s="107">
        <v>0</v>
      </c>
      <c r="AX43" s="107">
        <v>0</v>
      </c>
      <c r="AY43" s="107">
        <v>0</v>
      </c>
      <c r="AZ43" s="107">
        <v>0</v>
      </c>
      <c r="BA43" s="107">
        <v>0</v>
      </c>
      <c r="BB43" s="107">
        <v>0</v>
      </c>
      <c r="BC43" s="107">
        <v>0</v>
      </c>
      <c r="BD43" s="107">
        <v>0</v>
      </c>
      <c r="BE43" s="107">
        <v>0</v>
      </c>
      <c r="BF43" s="107">
        <v>0</v>
      </c>
      <c r="BG43" s="107">
        <v>0</v>
      </c>
      <c r="BH43" s="107">
        <v>0</v>
      </c>
      <c r="BI43" s="108">
        <v>0</v>
      </c>
      <c r="BJ43" s="107">
        <v>0</v>
      </c>
      <c r="BK43" s="107">
        <v>0</v>
      </c>
      <c r="BL43" s="107">
        <v>0</v>
      </c>
      <c r="BM43" s="107">
        <v>0</v>
      </c>
      <c r="BN43" s="107">
        <v>0</v>
      </c>
      <c r="BO43" s="108">
        <v>0</v>
      </c>
      <c r="BP43" s="107">
        <v>0</v>
      </c>
      <c r="BQ43" s="107">
        <v>0</v>
      </c>
      <c r="BR43" s="107">
        <v>0</v>
      </c>
      <c r="BS43" s="107">
        <v>0</v>
      </c>
      <c r="BT43" s="107">
        <v>0</v>
      </c>
      <c r="BU43" s="108">
        <v>0</v>
      </c>
      <c r="BV43" s="107">
        <v>0</v>
      </c>
      <c r="BW43" s="108">
        <v>0</v>
      </c>
      <c r="BX43" s="107">
        <v>0</v>
      </c>
      <c r="BY43" s="107">
        <v>0</v>
      </c>
      <c r="BZ43" s="107">
        <v>0</v>
      </c>
      <c r="CA43" s="107">
        <v>0</v>
      </c>
      <c r="CB43" s="107">
        <v>0</v>
      </c>
      <c r="CC43" s="108">
        <v>0</v>
      </c>
      <c r="CD43" s="108">
        <v>0</v>
      </c>
      <c r="CE43" s="107">
        <v>0</v>
      </c>
      <c r="CF43" s="108">
        <v>0</v>
      </c>
      <c r="CG43" s="107">
        <v>0</v>
      </c>
      <c r="CH43" s="107">
        <v>0</v>
      </c>
      <c r="CI43" s="107">
        <v>0</v>
      </c>
      <c r="CJ43" s="108">
        <v>4</v>
      </c>
      <c r="CK43" s="107">
        <v>0</v>
      </c>
      <c r="CL43" s="108">
        <v>0</v>
      </c>
      <c r="CM43" s="107">
        <v>0</v>
      </c>
      <c r="CN43" s="107">
        <v>0</v>
      </c>
    </row>
    <row r="44" spans="1:92">
      <c r="A44" s="207" t="s">
        <v>591</v>
      </c>
      <c r="B44" s="108">
        <v>12</v>
      </c>
      <c r="C44" s="107">
        <v>0</v>
      </c>
      <c r="D44" s="107">
        <v>0</v>
      </c>
      <c r="E44" s="107">
        <v>0</v>
      </c>
      <c r="F44" s="107">
        <v>0</v>
      </c>
      <c r="G44" s="107">
        <v>0</v>
      </c>
      <c r="H44" s="107">
        <v>0</v>
      </c>
      <c r="I44" s="107">
        <v>0</v>
      </c>
      <c r="J44" s="107">
        <v>0</v>
      </c>
      <c r="K44" s="107">
        <v>0</v>
      </c>
      <c r="L44" s="107">
        <v>0</v>
      </c>
      <c r="M44" s="107">
        <v>0</v>
      </c>
      <c r="N44" s="107">
        <v>0</v>
      </c>
      <c r="O44" s="107">
        <v>0</v>
      </c>
      <c r="P44" s="107">
        <v>0</v>
      </c>
      <c r="Q44" s="107">
        <v>0</v>
      </c>
      <c r="R44" s="108">
        <v>0</v>
      </c>
      <c r="S44" s="107">
        <v>0</v>
      </c>
      <c r="T44" s="107">
        <v>0</v>
      </c>
      <c r="U44" s="107">
        <v>0</v>
      </c>
      <c r="V44" s="107">
        <v>0</v>
      </c>
      <c r="W44" s="107">
        <v>0</v>
      </c>
      <c r="X44" s="107">
        <v>0</v>
      </c>
      <c r="Y44" s="107">
        <v>0</v>
      </c>
      <c r="Z44" s="107">
        <v>0</v>
      </c>
      <c r="AA44" s="107">
        <v>0</v>
      </c>
      <c r="AB44" s="107">
        <v>0</v>
      </c>
      <c r="AC44" s="108">
        <v>0</v>
      </c>
      <c r="AD44" s="107">
        <v>0</v>
      </c>
      <c r="AE44" s="107">
        <v>0</v>
      </c>
      <c r="AF44" s="107">
        <v>0</v>
      </c>
      <c r="AG44" s="107">
        <v>0</v>
      </c>
      <c r="AH44" s="107">
        <v>0</v>
      </c>
      <c r="AI44" s="107">
        <v>0</v>
      </c>
      <c r="AJ44" s="107">
        <v>0</v>
      </c>
      <c r="AK44" s="107">
        <v>0</v>
      </c>
      <c r="AL44" s="107">
        <v>0</v>
      </c>
      <c r="AM44" s="108">
        <v>0</v>
      </c>
      <c r="AN44" s="107">
        <v>0</v>
      </c>
      <c r="AO44" s="107">
        <v>0</v>
      </c>
      <c r="AP44" s="107">
        <v>0</v>
      </c>
      <c r="AQ44" s="107">
        <v>0</v>
      </c>
      <c r="AR44" s="107">
        <v>0</v>
      </c>
      <c r="AS44" s="107">
        <v>0</v>
      </c>
      <c r="AT44" s="107">
        <v>9</v>
      </c>
      <c r="AU44" s="108">
        <v>0</v>
      </c>
      <c r="AV44" s="107">
        <v>0</v>
      </c>
      <c r="AW44" s="107">
        <v>0</v>
      </c>
      <c r="AX44" s="107">
        <v>0</v>
      </c>
      <c r="AY44" s="107">
        <v>0</v>
      </c>
      <c r="AZ44" s="107">
        <v>0</v>
      </c>
      <c r="BA44" s="107">
        <v>0</v>
      </c>
      <c r="BB44" s="107">
        <v>0</v>
      </c>
      <c r="BC44" s="107">
        <v>0</v>
      </c>
      <c r="BD44" s="107">
        <v>0</v>
      </c>
      <c r="BE44" s="107">
        <v>0</v>
      </c>
      <c r="BF44" s="107">
        <v>0</v>
      </c>
      <c r="BG44" s="107">
        <v>0</v>
      </c>
      <c r="BH44" s="107">
        <v>0</v>
      </c>
      <c r="BI44" s="108">
        <v>0</v>
      </c>
      <c r="BJ44" s="107">
        <v>0</v>
      </c>
      <c r="BK44" s="107">
        <v>0</v>
      </c>
      <c r="BL44" s="107">
        <v>0</v>
      </c>
      <c r="BM44" s="107">
        <v>0</v>
      </c>
      <c r="BN44" s="107">
        <v>0</v>
      </c>
      <c r="BO44" s="108">
        <v>0</v>
      </c>
      <c r="BP44" s="107">
        <v>0</v>
      </c>
      <c r="BQ44" s="107">
        <v>0</v>
      </c>
      <c r="BR44" s="107">
        <v>0</v>
      </c>
      <c r="BS44" s="107">
        <v>0</v>
      </c>
      <c r="BT44" s="107">
        <v>0</v>
      </c>
      <c r="BU44" s="108">
        <v>0</v>
      </c>
      <c r="BV44" s="107">
        <v>0</v>
      </c>
      <c r="BW44" s="108">
        <v>0</v>
      </c>
      <c r="BX44" s="107">
        <v>0</v>
      </c>
      <c r="BY44" s="107">
        <v>0</v>
      </c>
      <c r="BZ44" s="107">
        <v>0</v>
      </c>
      <c r="CA44" s="107">
        <v>0</v>
      </c>
      <c r="CB44" s="107">
        <v>0</v>
      </c>
      <c r="CC44" s="108">
        <v>0</v>
      </c>
      <c r="CD44" s="108">
        <v>0</v>
      </c>
      <c r="CE44" s="107">
        <v>0</v>
      </c>
      <c r="CF44" s="108">
        <v>0</v>
      </c>
      <c r="CG44" s="107">
        <v>0</v>
      </c>
      <c r="CH44" s="107">
        <v>0</v>
      </c>
      <c r="CI44" s="107">
        <v>3</v>
      </c>
      <c r="CJ44" s="108">
        <v>0</v>
      </c>
      <c r="CK44" s="107">
        <v>0</v>
      </c>
      <c r="CL44" s="108">
        <v>0</v>
      </c>
      <c r="CM44" s="107">
        <v>0</v>
      </c>
      <c r="CN44" s="107">
        <v>0</v>
      </c>
    </row>
    <row r="45" spans="1:92">
      <c r="A45" s="207" t="s">
        <v>348</v>
      </c>
      <c r="B45" s="108">
        <v>126</v>
      </c>
      <c r="C45" s="107">
        <v>0</v>
      </c>
      <c r="D45" s="107">
        <v>0</v>
      </c>
      <c r="E45" s="107">
        <v>0</v>
      </c>
      <c r="F45" s="107">
        <v>0</v>
      </c>
      <c r="G45" s="107">
        <v>0</v>
      </c>
      <c r="H45" s="107">
        <v>1</v>
      </c>
      <c r="I45" s="107">
        <v>0</v>
      </c>
      <c r="J45" s="107">
        <v>0</v>
      </c>
      <c r="K45" s="107">
        <v>0</v>
      </c>
      <c r="L45" s="107">
        <v>0</v>
      </c>
      <c r="M45" s="107">
        <v>0</v>
      </c>
      <c r="N45" s="107">
        <v>0</v>
      </c>
      <c r="O45" s="107">
        <v>0</v>
      </c>
      <c r="P45" s="107">
        <v>0</v>
      </c>
      <c r="Q45" s="107">
        <v>0</v>
      </c>
      <c r="R45" s="108">
        <v>0</v>
      </c>
      <c r="S45" s="107">
        <v>0</v>
      </c>
      <c r="T45" s="107">
        <v>0</v>
      </c>
      <c r="U45" s="107">
        <v>0</v>
      </c>
      <c r="V45" s="107">
        <v>0</v>
      </c>
      <c r="W45" s="107">
        <v>0</v>
      </c>
      <c r="X45" s="107">
        <v>0</v>
      </c>
      <c r="Y45" s="107">
        <v>0</v>
      </c>
      <c r="Z45" s="107">
        <v>0</v>
      </c>
      <c r="AA45" s="107">
        <v>0</v>
      </c>
      <c r="AB45" s="107">
        <v>0</v>
      </c>
      <c r="AC45" s="108">
        <v>104</v>
      </c>
      <c r="AD45" s="107">
        <v>0</v>
      </c>
      <c r="AE45" s="107">
        <v>0</v>
      </c>
      <c r="AF45" s="107">
        <v>0</v>
      </c>
      <c r="AG45" s="107">
        <v>0</v>
      </c>
      <c r="AH45" s="107">
        <v>1</v>
      </c>
      <c r="AI45" s="107">
        <v>0</v>
      </c>
      <c r="AJ45" s="107">
        <v>0</v>
      </c>
      <c r="AK45" s="107">
        <v>0</v>
      </c>
      <c r="AL45" s="107">
        <v>0</v>
      </c>
      <c r="AM45" s="108">
        <v>6</v>
      </c>
      <c r="AN45" s="107">
        <v>0</v>
      </c>
      <c r="AO45" s="107">
        <v>0</v>
      </c>
      <c r="AP45" s="107">
        <v>0</v>
      </c>
      <c r="AQ45" s="107">
        <v>0</v>
      </c>
      <c r="AR45" s="107">
        <v>0</v>
      </c>
      <c r="AS45" s="107">
        <v>0</v>
      </c>
      <c r="AT45" s="107">
        <v>0</v>
      </c>
      <c r="AU45" s="108">
        <v>12</v>
      </c>
      <c r="AV45" s="107">
        <v>0</v>
      </c>
      <c r="AW45" s="107">
        <v>0</v>
      </c>
      <c r="AX45" s="107">
        <v>0</v>
      </c>
      <c r="AY45" s="107">
        <v>0</v>
      </c>
      <c r="AZ45" s="107">
        <v>0</v>
      </c>
      <c r="BA45" s="107">
        <v>0</v>
      </c>
      <c r="BB45" s="107">
        <v>0</v>
      </c>
      <c r="BC45" s="107">
        <v>0</v>
      </c>
      <c r="BD45" s="107">
        <v>0</v>
      </c>
      <c r="BE45" s="107">
        <v>0</v>
      </c>
      <c r="BF45" s="107">
        <v>0</v>
      </c>
      <c r="BG45" s="107">
        <v>0</v>
      </c>
      <c r="BH45" s="107">
        <v>0</v>
      </c>
      <c r="BI45" s="108">
        <v>0</v>
      </c>
      <c r="BJ45" s="107">
        <v>0</v>
      </c>
      <c r="BK45" s="107">
        <v>0</v>
      </c>
      <c r="BL45" s="107">
        <v>0</v>
      </c>
      <c r="BM45" s="107">
        <v>0</v>
      </c>
      <c r="BN45" s="107">
        <v>0</v>
      </c>
      <c r="BO45" s="108">
        <v>0</v>
      </c>
      <c r="BP45" s="107">
        <v>1</v>
      </c>
      <c r="BQ45" s="107">
        <v>0</v>
      </c>
      <c r="BR45" s="107">
        <v>0</v>
      </c>
      <c r="BS45" s="107">
        <v>0</v>
      </c>
      <c r="BT45" s="107">
        <v>0</v>
      </c>
      <c r="BU45" s="108">
        <v>0</v>
      </c>
      <c r="BV45" s="107">
        <v>0</v>
      </c>
      <c r="BW45" s="108">
        <v>0</v>
      </c>
      <c r="BX45" s="107">
        <v>0</v>
      </c>
      <c r="BY45" s="107">
        <v>0</v>
      </c>
      <c r="BZ45" s="107">
        <v>0</v>
      </c>
      <c r="CA45" s="107">
        <v>0</v>
      </c>
      <c r="CB45" s="107">
        <v>0</v>
      </c>
      <c r="CC45" s="108">
        <v>0</v>
      </c>
      <c r="CD45" s="108">
        <v>1</v>
      </c>
      <c r="CE45" s="107">
        <v>0</v>
      </c>
      <c r="CF45" s="108">
        <v>0</v>
      </c>
      <c r="CG45" s="107">
        <v>0</v>
      </c>
      <c r="CH45" s="107">
        <v>0</v>
      </c>
      <c r="CI45" s="107">
        <v>0</v>
      </c>
      <c r="CJ45" s="108">
        <v>0</v>
      </c>
      <c r="CK45" s="107">
        <v>0</v>
      </c>
      <c r="CL45" s="108">
        <v>0</v>
      </c>
      <c r="CM45" s="107">
        <v>0</v>
      </c>
      <c r="CN45" s="107">
        <v>0</v>
      </c>
    </row>
    <row r="46" spans="1:92">
      <c r="A46" s="207" t="s">
        <v>610</v>
      </c>
      <c r="B46" s="108">
        <v>3</v>
      </c>
      <c r="C46" s="107">
        <v>0</v>
      </c>
      <c r="D46" s="107">
        <v>0</v>
      </c>
      <c r="E46" s="107">
        <v>0</v>
      </c>
      <c r="F46" s="107">
        <v>0</v>
      </c>
      <c r="G46" s="107">
        <v>0</v>
      </c>
      <c r="H46" s="107">
        <v>0</v>
      </c>
      <c r="I46" s="107">
        <v>0</v>
      </c>
      <c r="J46" s="107">
        <v>0</v>
      </c>
      <c r="K46" s="107">
        <v>0</v>
      </c>
      <c r="L46" s="107">
        <v>0</v>
      </c>
      <c r="M46" s="107">
        <v>0</v>
      </c>
      <c r="N46" s="107">
        <v>0</v>
      </c>
      <c r="O46" s="107">
        <v>0</v>
      </c>
      <c r="P46" s="107">
        <v>0</v>
      </c>
      <c r="Q46" s="107">
        <v>0</v>
      </c>
      <c r="R46" s="108">
        <v>0</v>
      </c>
      <c r="S46" s="107">
        <v>0</v>
      </c>
      <c r="T46" s="107">
        <v>0</v>
      </c>
      <c r="U46" s="107">
        <v>0</v>
      </c>
      <c r="V46" s="107">
        <v>0</v>
      </c>
      <c r="W46" s="107">
        <v>0</v>
      </c>
      <c r="X46" s="107">
        <v>0</v>
      </c>
      <c r="Y46" s="107">
        <v>0</v>
      </c>
      <c r="Z46" s="107">
        <v>0</v>
      </c>
      <c r="AA46" s="107">
        <v>0</v>
      </c>
      <c r="AB46" s="107">
        <v>0</v>
      </c>
      <c r="AC46" s="108">
        <v>3</v>
      </c>
      <c r="AD46" s="107">
        <v>0</v>
      </c>
      <c r="AE46" s="107">
        <v>0</v>
      </c>
      <c r="AF46" s="107">
        <v>0</v>
      </c>
      <c r="AG46" s="107">
        <v>0</v>
      </c>
      <c r="AH46" s="107">
        <v>0</v>
      </c>
      <c r="AI46" s="107">
        <v>0</v>
      </c>
      <c r="AJ46" s="107">
        <v>0</v>
      </c>
      <c r="AK46" s="107">
        <v>0</v>
      </c>
      <c r="AL46" s="107">
        <v>0</v>
      </c>
      <c r="AM46" s="108">
        <v>0</v>
      </c>
      <c r="AN46" s="107">
        <v>0</v>
      </c>
      <c r="AO46" s="107">
        <v>0</v>
      </c>
      <c r="AP46" s="107">
        <v>0</v>
      </c>
      <c r="AQ46" s="107">
        <v>0</v>
      </c>
      <c r="AR46" s="107">
        <v>0</v>
      </c>
      <c r="AS46" s="107">
        <v>0</v>
      </c>
      <c r="AT46" s="107">
        <v>0</v>
      </c>
      <c r="AU46" s="108">
        <v>0</v>
      </c>
      <c r="AV46" s="107">
        <v>0</v>
      </c>
      <c r="AW46" s="107">
        <v>0</v>
      </c>
      <c r="AX46" s="107">
        <v>0</v>
      </c>
      <c r="AY46" s="107">
        <v>0</v>
      </c>
      <c r="AZ46" s="107">
        <v>0</v>
      </c>
      <c r="BA46" s="107">
        <v>0</v>
      </c>
      <c r="BB46" s="107">
        <v>0</v>
      </c>
      <c r="BC46" s="107">
        <v>0</v>
      </c>
      <c r="BD46" s="107">
        <v>0</v>
      </c>
      <c r="BE46" s="107">
        <v>0</v>
      </c>
      <c r="BF46" s="107">
        <v>0</v>
      </c>
      <c r="BG46" s="107">
        <v>0</v>
      </c>
      <c r="BH46" s="107">
        <v>0</v>
      </c>
      <c r="BI46" s="108">
        <v>0</v>
      </c>
      <c r="BJ46" s="107">
        <v>0</v>
      </c>
      <c r="BK46" s="107">
        <v>0</v>
      </c>
      <c r="BL46" s="107">
        <v>0</v>
      </c>
      <c r="BM46" s="107">
        <v>0</v>
      </c>
      <c r="BN46" s="107">
        <v>0</v>
      </c>
      <c r="BO46" s="108">
        <v>0</v>
      </c>
      <c r="BP46" s="107">
        <v>0</v>
      </c>
      <c r="BQ46" s="107">
        <v>0</v>
      </c>
      <c r="BR46" s="107">
        <v>0</v>
      </c>
      <c r="BS46" s="107">
        <v>0</v>
      </c>
      <c r="BT46" s="107">
        <v>0</v>
      </c>
      <c r="BU46" s="108">
        <v>0</v>
      </c>
      <c r="BV46" s="107">
        <v>0</v>
      </c>
      <c r="BW46" s="108">
        <v>0</v>
      </c>
      <c r="BX46" s="107">
        <v>0</v>
      </c>
      <c r="BY46" s="107">
        <v>0</v>
      </c>
      <c r="BZ46" s="107">
        <v>0</v>
      </c>
      <c r="CA46" s="107">
        <v>0</v>
      </c>
      <c r="CB46" s="107">
        <v>0</v>
      </c>
      <c r="CC46" s="108">
        <v>0</v>
      </c>
      <c r="CD46" s="108">
        <v>0</v>
      </c>
      <c r="CE46" s="107">
        <v>0</v>
      </c>
      <c r="CF46" s="108">
        <v>0</v>
      </c>
      <c r="CG46" s="107">
        <v>0</v>
      </c>
      <c r="CH46" s="107">
        <v>0</v>
      </c>
      <c r="CI46" s="107">
        <v>0</v>
      </c>
      <c r="CJ46" s="108">
        <v>0</v>
      </c>
      <c r="CK46" s="107">
        <v>0</v>
      </c>
      <c r="CL46" s="108">
        <v>0</v>
      </c>
      <c r="CM46" s="107">
        <v>0</v>
      </c>
      <c r="CN46" s="107">
        <v>0</v>
      </c>
    </row>
    <row r="47" spans="1:92">
      <c r="A47" s="207" t="s">
        <v>592</v>
      </c>
      <c r="B47" s="108">
        <v>2</v>
      </c>
      <c r="C47" s="107">
        <v>0</v>
      </c>
      <c r="D47" s="107">
        <v>0</v>
      </c>
      <c r="E47" s="107">
        <v>0</v>
      </c>
      <c r="F47" s="107">
        <v>0</v>
      </c>
      <c r="G47" s="107">
        <v>0</v>
      </c>
      <c r="H47" s="107">
        <v>0</v>
      </c>
      <c r="I47" s="107">
        <v>0</v>
      </c>
      <c r="J47" s="107">
        <v>0</v>
      </c>
      <c r="K47" s="107">
        <v>0</v>
      </c>
      <c r="L47" s="107">
        <v>0</v>
      </c>
      <c r="M47" s="107">
        <v>0</v>
      </c>
      <c r="N47" s="107">
        <v>0</v>
      </c>
      <c r="O47" s="107">
        <v>0</v>
      </c>
      <c r="P47" s="107">
        <v>0</v>
      </c>
      <c r="Q47" s="107">
        <v>0</v>
      </c>
      <c r="R47" s="108">
        <v>0</v>
      </c>
      <c r="S47" s="107">
        <v>0</v>
      </c>
      <c r="T47" s="107">
        <v>0</v>
      </c>
      <c r="U47" s="107">
        <v>0</v>
      </c>
      <c r="V47" s="107">
        <v>0</v>
      </c>
      <c r="W47" s="107">
        <v>0</v>
      </c>
      <c r="X47" s="107">
        <v>0</v>
      </c>
      <c r="Y47" s="107">
        <v>0</v>
      </c>
      <c r="Z47" s="107">
        <v>0</v>
      </c>
      <c r="AA47" s="107">
        <v>0</v>
      </c>
      <c r="AB47" s="107">
        <v>0</v>
      </c>
      <c r="AC47" s="108">
        <v>2</v>
      </c>
      <c r="AD47" s="107">
        <v>0</v>
      </c>
      <c r="AE47" s="107">
        <v>0</v>
      </c>
      <c r="AF47" s="107">
        <v>0</v>
      </c>
      <c r="AG47" s="107">
        <v>0</v>
      </c>
      <c r="AH47" s="107">
        <v>0</v>
      </c>
      <c r="AI47" s="107">
        <v>0</v>
      </c>
      <c r="AJ47" s="107">
        <v>0</v>
      </c>
      <c r="AK47" s="107">
        <v>0</v>
      </c>
      <c r="AL47" s="107">
        <v>0</v>
      </c>
      <c r="AM47" s="108">
        <v>0</v>
      </c>
      <c r="AN47" s="107">
        <v>0</v>
      </c>
      <c r="AO47" s="107">
        <v>0</v>
      </c>
      <c r="AP47" s="107">
        <v>0</v>
      </c>
      <c r="AQ47" s="107">
        <v>0</v>
      </c>
      <c r="AR47" s="107">
        <v>0</v>
      </c>
      <c r="AS47" s="107">
        <v>0</v>
      </c>
      <c r="AT47" s="107">
        <v>0</v>
      </c>
      <c r="AU47" s="108">
        <v>0</v>
      </c>
      <c r="AV47" s="107">
        <v>0</v>
      </c>
      <c r="AW47" s="107">
        <v>0</v>
      </c>
      <c r="AX47" s="107">
        <v>0</v>
      </c>
      <c r="AY47" s="107">
        <v>0</v>
      </c>
      <c r="AZ47" s="107">
        <v>0</v>
      </c>
      <c r="BA47" s="107">
        <v>0</v>
      </c>
      <c r="BB47" s="107">
        <v>0</v>
      </c>
      <c r="BC47" s="107">
        <v>0</v>
      </c>
      <c r="BD47" s="107">
        <v>0</v>
      </c>
      <c r="BE47" s="107">
        <v>0</v>
      </c>
      <c r="BF47" s="107">
        <v>0</v>
      </c>
      <c r="BG47" s="107">
        <v>0</v>
      </c>
      <c r="BH47" s="107">
        <v>0</v>
      </c>
      <c r="BI47" s="108">
        <v>0</v>
      </c>
      <c r="BJ47" s="107">
        <v>0</v>
      </c>
      <c r="BK47" s="107">
        <v>0</v>
      </c>
      <c r="BL47" s="107">
        <v>0</v>
      </c>
      <c r="BM47" s="107">
        <v>0</v>
      </c>
      <c r="BN47" s="107">
        <v>0</v>
      </c>
      <c r="BO47" s="108">
        <v>0</v>
      </c>
      <c r="BP47" s="107">
        <v>0</v>
      </c>
      <c r="BQ47" s="107">
        <v>0</v>
      </c>
      <c r="BR47" s="107">
        <v>0</v>
      </c>
      <c r="BS47" s="107">
        <v>0</v>
      </c>
      <c r="BT47" s="107">
        <v>0</v>
      </c>
      <c r="BU47" s="108">
        <v>0</v>
      </c>
      <c r="BV47" s="107">
        <v>0</v>
      </c>
      <c r="BW47" s="108">
        <v>0</v>
      </c>
      <c r="BX47" s="107">
        <v>0</v>
      </c>
      <c r="BY47" s="107">
        <v>0</v>
      </c>
      <c r="BZ47" s="107">
        <v>0</v>
      </c>
      <c r="CA47" s="107">
        <v>0</v>
      </c>
      <c r="CB47" s="107">
        <v>0</v>
      </c>
      <c r="CC47" s="108">
        <v>0</v>
      </c>
      <c r="CD47" s="108">
        <v>0</v>
      </c>
      <c r="CE47" s="107">
        <v>0</v>
      </c>
      <c r="CF47" s="108">
        <v>0</v>
      </c>
      <c r="CG47" s="107">
        <v>0</v>
      </c>
      <c r="CH47" s="107">
        <v>0</v>
      </c>
      <c r="CI47" s="107">
        <v>0</v>
      </c>
      <c r="CJ47" s="108">
        <v>0</v>
      </c>
      <c r="CK47" s="107">
        <v>0</v>
      </c>
      <c r="CL47" s="108">
        <v>0</v>
      </c>
      <c r="CM47" s="107">
        <v>0</v>
      </c>
      <c r="CN47" s="107">
        <v>0</v>
      </c>
    </row>
    <row r="48" spans="1:92">
      <c r="A48" s="207" t="s">
        <v>483</v>
      </c>
      <c r="B48" s="108">
        <v>1</v>
      </c>
      <c r="C48" s="107">
        <v>0</v>
      </c>
      <c r="D48" s="107">
        <v>0</v>
      </c>
      <c r="E48" s="107">
        <v>0</v>
      </c>
      <c r="F48" s="107">
        <v>0</v>
      </c>
      <c r="G48" s="107">
        <v>0</v>
      </c>
      <c r="H48" s="107">
        <v>0</v>
      </c>
      <c r="I48" s="107">
        <v>0</v>
      </c>
      <c r="J48" s="107">
        <v>0</v>
      </c>
      <c r="K48" s="107">
        <v>0</v>
      </c>
      <c r="L48" s="107">
        <v>0</v>
      </c>
      <c r="M48" s="107">
        <v>0</v>
      </c>
      <c r="N48" s="107">
        <v>0</v>
      </c>
      <c r="O48" s="107">
        <v>0</v>
      </c>
      <c r="P48" s="107">
        <v>0</v>
      </c>
      <c r="Q48" s="107">
        <v>0</v>
      </c>
      <c r="R48" s="108">
        <v>0</v>
      </c>
      <c r="S48" s="107">
        <v>0</v>
      </c>
      <c r="T48" s="107">
        <v>0</v>
      </c>
      <c r="U48" s="107">
        <v>0</v>
      </c>
      <c r="V48" s="107">
        <v>0</v>
      </c>
      <c r="W48" s="107">
        <v>0</v>
      </c>
      <c r="X48" s="107">
        <v>0</v>
      </c>
      <c r="Y48" s="107">
        <v>0</v>
      </c>
      <c r="Z48" s="107">
        <v>0</v>
      </c>
      <c r="AA48" s="107">
        <v>0</v>
      </c>
      <c r="AB48" s="107">
        <v>0</v>
      </c>
      <c r="AC48" s="108">
        <v>1</v>
      </c>
      <c r="AD48" s="107">
        <v>0</v>
      </c>
      <c r="AE48" s="107">
        <v>0</v>
      </c>
      <c r="AF48" s="107">
        <v>0</v>
      </c>
      <c r="AG48" s="107">
        <v>0</v>
      </c>
      <c r="AH48" s="107">
        <v>0</v>
      </c>
      <c r="AI48" s="107">
        <v>0</v>
      </c>
      <c r="AJ48" s="107">
        <v>0</v>
      </c>
      <c r="AK48" s="107">
        <v>0</v>
      </c>
      <c r="AL48" s="107">
        <v>0</v>
      </c>
      <c r="AM48" s="108">
        <v>0</v>
      </c>
      <c r="AN48" s="107">
        <v>0</v>
      </c>
      <c r="AO48" s="107">
        <v>0</v>
      </c>
      <c r="AP48" s="107">
        <v>0</v>
      </c>
      <c r="AQ48" s="107">
        <v>0</v>
      </c>
      <c r="AR48" s="107">
        <v>0</v>
      </c>
      <c r="AS48" s="107">
        <v>0</v>
      </c>
      <c r="AT48" s="107">
        <v>0</v>
      </c>
      <c r="AU48" s="108">
        <v>0</v>
      </c>
      <c r="AV48" s="107">
        <v>0</v>
      </c>
      <c r="AW48" s="107">
        <v>0</v>
      </c>
      <c r="AX48" s="107">
        <v>0</v>
      </c>
      <c r="AY48" s="107">
        <v>0</v>
      </c>
      <c r="AZ48" s="107">
        <v>0</v>
      </c>
      <c r="BA48" s="107">
        <v>0</v>
      </c>
      <c r="BB48" s="107">
        <v>0</v>
      </c>
      <c r="BC48" s="107">
        <v>0</v>
      </c>
      <c r="BD48" s="107">
        <v>0</v>
      </c>
      <c r="BE48" s="107">
        <v>0</v>
      </c>
      <c r="BF48" s="107">
        <v>0</v>
      </c>
      <c r="BG48" s="107">
        <v>0</v>
      </c>
      <c r="BH48" s="107">
        <v>0</v>
      </c>
      <c r="BI48" s="108">
        <v>0</v>
      </c>
      <c r="BJ48" s="107">
        <v>0</v>
      </c>
      <c r="BK48" s="107">
        <v>0</v>
      </c>
      <c r="BL48" s="107">
        <v>0</v>
      </c>
      <c r="BM48" s="107">
        <v>0</v>
      </c>
      <c r="BN48" s="107">
        <v>0</v>
      </c>
      <c r="BO48" s="108">
        <v>0</v>
      </c>
      <c r="BP48" s="107">
        <v>0</v>
      </c>
      <c r="BQ48" s="107">
        <v>0</v>
      </c>
      <c r="BR48" s="107">
        <v>0</v>
      </c>
      <c r="BS48" s="107">
        <v>0</v>
      </c>
      <c r="BT48" s="107">
        <v>0</v>
      </c>
      <c r="BU48" s="108">
        <v>0</v>
      </c>
      <c r="BV48" s="107">
        <v>0</v>
      </c>
      <c r="BW48" s="108">
        <v>0</v>
      </c>
      <c r="BX48" s="107">
        <v>0</v>
      </c>
      <c r="BY48" s="107">
        <v>0</v>
      </c>
      <c r="BZ48" s="107">
        <v>0</v>
      </c>
      <c r="CA48" s="107">
        <v>0</v>
      </c>
      <c r="CB48" s="107">
        <v>0</v>
      </c>
      <c r="CC48" s="108">
        <v>0</v>
      </c>
      <c r="CD48" s="108">
        <v>0</v>
      </c>
      <c r="CE48" s="107">
        <v>0</v>
      </c>
      <c r="CF48" s="108">
        <v>0</v>
      </c>
      <c r="CG48" s="107">
        <v>0</v>
      </c>
      <c r="CH48" s="107">
        <v>0</v>
      </c>
      <c r="CI48" s="107">
        <v>0</v>
      </c>
      <c r="CJ48" s="108">
        <v>0</v>
      </c>
      <c r="CK48" s="107">
        <v>0</v>
      </c>
      <c r="CL48" s="108">
        <v>0</v>
      </c>
      <c r="CM48" s="107">
        <v>0</v>
      </c>
      <c r="CN48" s="107">
        <v>0</v>
      </c>
    </row>
    <row r="49" spans="1:92">
      <c r="A49" s="207" t="s">
        <v>620</v>
      </c>
      <c r="B49" s="108">
        <v>1</v>
      </c>
      <c r="C49" s="107">
        <v>0</v>
      </c>
      <c r="D49" s="107">
        <v>0</v>
      </c>
      <c r="E49" s="107">
        <v>0</v>
      </c>
      <c r="F49" s="107">
        <v>0</v>
      </c>
      <c r="G49" s="107">
        <v>0</v>
      </c>
      <c r="H49" s="107">
        <v>0</v>
      </c>
      <c r="I49" s="107">
        <v>0</v>
      </c>
      <c r="J49" s="107">
        <v>0</v>
      </c>
      <c r="K49" s="107">
        <v>0</v>
      </c>
      <c r="L49" s="107">
        <v>0</v>
      </c>
      <c r="M49" s="107">
        <v>0</v>
      </c>
      <c r="N49" s="107">
        <v>0</v>
      </c>
      <c r="O49" s="107">
        <v>0</v>
      </c>
      <c r="P49" s="107">
        <v>0</v>
      </c>
      <c r="Q49" s="107">
        <v>0</v>
      </c>
      <c r="R49" s="108">
        <v>0</v>
      </c>
      <c r="S49" s="107">
        <v>0</v>
      </c>
      <c r="T49" s="107">
        <v>0</v>
      </c>
      <c r="U49" s="107">
        <v>0</v>
      </c>
      <c r="V49" s="107">
        <v>0</v>
      </c>
      <c r="W49" s="107">
        <v>0</v>
      </c>
      <c r="X49" s="107">
        <v>0</v>
      </c>
      <c r="Y49" s="107">
        <v>0</v>
      </c>
      <c r="Z49" s="107">
        <v>0</v>
      </c>
      <c r="AA49" s="107">
        <v>0</v>
      </c>
      <c r="AB49" s="107">
        <v>0</v>
      </c>
      <c r="AC49" s="108">
        <v>0</v>
      </c>
      <c r="AD49" s="107">
        <v>0</v>
      </c>
      <c r="AE49" s="107">
        <v>0</v>
      </c>
      <c r="AF49" s="107">
        <v>0</v>
      </c>
      <c r="AG49" s="107">
        <v>0</v>
      </c>
      <c r="AH49" s="107">
        <v>0</v>
      </c>
      <c r="AI49" s="107">
        <v>0</v>
      </c>
      <c r="AJ49" s="107">
        <v>0</v>
      </c>
      <c r="AK49" s="107">
        <v>0</v>
      </c>
      <c r="AL49" s="107">
        <v>0</v>
      </c>
      <c r="AM49" s="108">
        <v>0</v>
      </c>
      <c r="AN49" s="107">
        <v>0</v>
      </c>
      <c r="AO49" s="107">
        <v>0</v>
      </c>
      <c r="AP49" s="107">
        <v>0</v>
      </c>
      <c r="AQ49" s="107">
        <v>0</v>
      </c>
      <c r="AR49" s="107">
        <v>0</v>
      </c>
      <c r="AS49" s="107">
        <v>0</v>
      </c>
      <c r="AT49" s="107">
        <v>0</v>
      </c>
      <c r="AU49" s="108">
        <v>0</v>
      </c>
      <c r="AV49" s="107">
        <v>0</v>
      </c>
      <c r="AW49" s="107">
        <v>0</v>
      </c>
      <c r="AX49" s="107">
        <v>0</v>
      </c>
      <c r="AY49" s="107">
        <v>1</v>
      </c>
      <c r="AZ49" s="107">
        <v>0</v>
      </c>
      <c r="BA49" s="107">
        <v>0</v>
      </c>
      <c r="BB49" s="107">
        <v>0</v>
      </c>
      <c r="BC49" s="107">
        <v>0</v>
      </c>
      <c r="BD49" s="107">
        <v>0</v>
      </c>
      <c r="BE49" s="107">
        <v>0</v>
      </c>
      <c r="BF49" s="107">
        <v>0</v>
      </c>
      <c r="BG49" s="107">
        <v>0</v>
      </c>
      <c r="BH49" s="107">
        <v>0</v>
      </c>
      <c r="BI49" s="108">
        <v>0</v>
      </c>
      <c r="BJ49" s="107">
        <v>0</v>
      </c>
      <c r="BK49" s="107">
        <v>0</v>
      </c>
      <c r="BL49" s="107">
        <v>0</v>
      </c>
      <c r="BM49" s="107">
        <v>0</v>
      </c>
      <c r="BN49" s="107">
        <v>0</v>
      </c>
      <c r="BO49" s="108">
        <v>0</v>
      </c>
      <c r="BP49" s="107">
        <v>0</v>
      </c>
      <c r="BQ49" s="107">
        <v>0</v>
      </c>
      <c r="BR49" s="107">
        <v>0</v>
      </c>
      <c r="BS49" s="107">
        <v>0</v>
      </c>
      <c r="BT49" s="107">
        <v>0</v>
      </c>
      <c r="BU49" s="108">
        <v>0</v>
      </c>
      <c r="BV49" s="107">
        <v>0</v>
      </c>
      <c r="BW49" s="108">
        <v>0</v>
      </c>
      <c r="BX49" s="107">
        <v>0</v>
      </c>
      <c r="BY49" s="107">
        <v>0</v>
      </c>
      <c r="BZ49" s="107">
        <v>0</v>
      </c>
      <c r="CA49" s="107">
        <v>0</v>
      </c>
      <c r="CB49" s="107">
        <v>0</v>
      </c>
      <c r="CC49" s="108">
        <v>0</v>
      </c>
      <c r="CD49" s="108">
        <v>0</v>
      </c>
      <c r="CE49" s="107">
        <v>0</v>
      </c>
      <c r="CF49" s="108">
        <v>0</v>
      </c>
      <c r="CG49" s="107">
        <v>0</v>
      </c>
      <c r="CH49" s="107">
        <v>0</v>
      </c>
      <c r="CI49" s="107">
        <v>0</v>
      </c>
      <c r="CJ49" s="108">
        <v>0</v>
      </c>
      <c r="CK49" s="107">
        <v>0</v>
      </c>
      <c r="CL49" s="108">
        <v>0</v>
      </c>
      <c r="CM49" s="107">
        <v>0</v>
      </c>
      <c r="CN49" s="107">
        <v>0</v>
      </c>
    </row>
    <row r="50" spans="1:92">
      <c r="A50" s="207" t="s">
        <v>593</v>
      </c>
      <c r="B50" s="108">
        <v>4</v>
      </c>
      <c r="C50" s="107">
        <v>0</v>
      </c>
      <c r="D50" s="107">
        <v>0</v>
      </c>
      <c r="E50" s="107">
        <v>0</v>
      </c>
      <c r="F50" s="107">
        <v>0</v>
      </c>
      <c r="G50" s="107">
        <v>0</v>
      </c>
      <c r="H50" s="107">
        <v>0</v>
      </c>
      <c r="I50" s="107">
        <v>0</v>
      </c>
      <c r="J50" s="107">
        <v>0</v>
      </c>
      <c r="K50" s="107">
        <v>0</v>
      </c>
      <c r="L50" s="107">
        <v>0</v>
      </c>
      <c r="M50" s="107">
        <v>0</v>
      </c>
      <c r="N50" s="107">
        <v>0</v>
      </c>
      <c r="O50" s="107">
        <v>0</v>
      </c>
      <c r="P50" s="107">
        <v>0</v>
      </c>
      <c r="Q50" s="107">
        <v>0</v>
      </c>
      <c r="R50" s="108">
        <v>0</v>
      </c>
      <c r="S50" s="107">
        <v>0</v>
      </c>
      <c r="T50" s="107">
        <v>0</v>
      </c>
      <c r="U50" s="107">
        <v>0</v>
      </c>
      <c r="V50" s="107">
        <v>0</v>
      </c>
      <c r="W50" s="107">
        <v>0</v>
      </c>
      <c r="X50" s="107">
        <v>0</v>
      </c>
      <c r="Y50" s="107">
        <v>0</v>
      </c>
      <c r="Z50" s="107">
        <v>0</v>
      </c>
      <c r="AA50" s="107">
        <v>0</v>
      </c>
      <c r="AB50" s="107">
        <v>0</v>
      </c>
      <c r="AC50" s="108">
        <v>1</v>
      </c>
      <c r="AD50" s="107">
        <v>0</v>
      </c>
      <c r="AE50" s="107">
        <v>0</v>
      </c>
      <c r="AF50" s="107">
        <v>0</v>
      </c>
      <c r="AG50" s="107">
        <v>0</v>
      </c>
      <c r="AH50" s="107">
        <v>0</v>
      </c>
      <c r="AI50" s="107">
        <v>0</v>
      </c>
      <c r="AJ50" s="107">
        <v>0</v>
      </c>
      <c r="AK50" s="107">
        <v>0</v>
      </c>
      <c r="AL50" s="107">
        <v>0</v>
      </c>
      <c r="AM50" s="108">
        <v>1</v>
      </c>
      <c r="AN50" s="107">
        <v>0</v>
      </c>
      <c r="AO50" s="107">
        <v>0</v>
      </c>
      <c r="AP50" s="107">
        <v>0</v>
      </c>
      <c r="AQ50" s="107">
        <v>0</v>
      </c>
      <c r="AR50" s="107">
        <v>0</v>
      </c>
      <c r="AS50" s="107">
        <v>0</v>
      </c>
      <c r="AT50" s="107">
        <v>0</v>
      </c>
      <c r="AU50" s="108">
        <v>0</v>
      </c>
      <c r="AV50" s="107">
        <v>0</v>
      </c>
      <c r="AW50" s="107">
        <v>0</v>
      </c>
      <c r="AX50" s="107">
        <v>0</v>
      </c>
      <c r="AY50" s="107">
        <v>0</v>
      </c>
      <c r="AZ50" s="107">
        <v>2</v>
      </c>
      <c r="BA50" s="107">
        <v>0</v>
      </c>
      <c r="BB50" s="107">
        <v>0</v>
      </c>
      <c r="BC50" s="107">
        <v>0</v>
      </c>
      <c r="BD50" s="107">
        <v>0</v>
      </c>
      <c r="BE50" s="107">
        <v>0</v>
      </c>
      <c r="BF50" s="107">
        <v>0</v>
      </c>
      <c r="BG50" s="107">
        <v>0</v>
      </c>
      <c r="BH50" s="107">
        <v>0</v>
      </c>
      <c r="BI50" s="108">
        <v>0</v>
      </c>
      <c r="BJ50" s="107">
        <v>0</v>
      </c>
      <c r="BK50" s="107">
        <v>0</v>
      </c>
      <c r="BL50" s="107">
        <v>0</v>
      </c>
      <c r="BM50" s="107">
        <v>0</v>
      </c>
      <c r="BN50" s="107">
        <v>0</v>
      </c>
      <c r="BO50" s="108">
        <v>0</v>
      </c>
      <c r="BP50" s="107">
        <v>0</v>
      </c>
      <c r="BQ50" s="107">
        <v>0</v>
      </c>
      <c r="BR50" s="107">
        <v>0</v>
      </c>
      <c r="BS50" s="107">
        <v>0</v>
      </c>
      <c r="BT50" s="107">
        <v>0</v>
      </c>
      <c r="BU50" s="108">
        <v>0</v>
      </c>
      <c r="BV50" s="107">
        <v>0</v>
      </c>
      <c r="BW50" s="108">
        <v>0</v>
      </c>
      <c r="BX50" s="107">
        <v>0</v>
      </c>
      <c r="BY50" s="107">
        <v>0</v>
      </c>
      <c r="BZ50" s="107">
        <v>0</v>
      </c>
      <c r="CA50" s="107">
        <v>0</v>
      </c>
      <c r="CB50" s="107">
        <v>0</v>
      </c>
      <c r="CC50" s="108">
        <v>0</v>
      </c>
      <c r="CD50" s="108">
        <v>0</v>
      </c>
      <c r="CE50" s="107">
        <v>0</v>
      </c>
      <c r="CF50" s="108">
        <v>0</v>
      </c>
      <c r="CG50" s="107">
        <v>0</v>
      </c>
      <c r="CH50" s="107">
        <v>0</v>
      </c>
      <c r="CI50" s="107">
        <v>0</v>
      </c>
      <c r="CJ50" s="108">
        <v>0</v>
      </c>
      <c r="CK50" s="107">
        <v>0</v>
      </c>
      <c r="CL50" s="108">
        <v>0</v>
      </c>
      <c r="CM50" s="107">
        <v>0</v>
      </c>
      <c r="CN50" s="107">
        <v>0</v>
      </c>
    </row>
    <row r="51" spans="1:92">
      <c r="A51" s="207" t="s">
        <v>349</v>
      </c>
      <c r="B51" s="108">
        <v>25</v>
      </c>
      <c r="C51" s="107">
        <v>0</v>
      </c>
      <c r="D51" s="107">
        <v>0</v>
      </c>
      <c r="E51" s="107">
        <v>0</v>
      </c>
      <c r="F51" s="107">
        <v>0</v>
      </c>
      <c r="G51" s="107">
        <v>0</v>
      </c>
      <c r="H51" s="107">
        <v>0</v>
      </c>
      <c r="I51" s="107">
        <v>0</v>
      </c>
      <c r="J51" s="107">
        <v>0</v>
      </c>
      <c r="K51" s="107">
        <v>0</v>
      </c>
      <c r="L51" s="107">
        <v>0</v>
      </c>
      <c r="M51" s="107">
        <v>0</v>
      </c>
      <c r="N51" s="107">
        <v>0</v>
      </c>
      <c r="O51" s="107">
        <v>0</v>
      </c>
      <c r="P51" s="107">
        <v>0</v>
      </c>
      <c r="Q51" s="107">
        <v>0</v>
      </c>
      <c r="R51" s="108">
        <v>0</v>
      </c>
      <c r="S51" s="107">
        <v>0</v>
      </c>
      <c r="T51" s="107">
        <v>0</v>
      </c>
      <c r="U51" s="107">
        <v>0</v>
      </c>
      <c r="V51" s="107">
        <v>1</v>
      </c>
      <c r="W51" s="107">
        <v>0</v>
      </c>
      <c r="X51" s="107">
        <v>0</v>
      </c>
      <c r="Y51" s="107">
        <v>0</v>
      </c>
      <c r="Z51" s="107">
        <v>0</v>
      </c>
      <c r="AA51" s="107">
        <v>0</v>
      </c>
      <c r="AB51" s="107">
        <v>0</v>
      </c>
      <c r="AC51" s="108">
        <v>21</v>
      </c>
      <c r="AD51" s="107">
        <v>0</v>
      </c>
      <c r="AE51" s="107">
        <v>0</v>
      </c>
      <c r="AF51" s="107">
        <v>0</v>
      </c>
      <c r="AG51" s="107">
        <v>0</v>
      </c>
      <c r="AH51" s="107">
        <v>1</v>
      </c>
      <c r="AI51" s="107">
        <v>0</v>
      </c>
      <c r="AJ51" s="107">
        <v>0</v>
      </c>
      <c r="AK51" s="107">
        <v>0</v>
      </c>
      <c r="AL51" s="107">
        <v>0</v>
      </c>
      <c r="AM51" s="108">
        <v>0</v>
      </c>
      <c r="AN51" s="107">
        <v>0</v>
      </c>
      <c r="AO51" s="107">
        <v>0</v>
      </c>
      <c r="AP51" s="107">
        <v>0</v>
      </c>
      <c r="AQ51" s="107">
        <v>0</v>
      </c>
      <c r="AR51" s="107">
        <v>0</v>
      </c>
      <c r="AS51" s="107">
        <v>0</v>
      </c>
      <c r="AT51" s="107">
        <v>0</v>
      </c>
      <c r="AU51" s="108">
        <v>0</v>
      </c>
      <c r="AV51" s="107">
        <v>0</v>
      </c>
      <c r="AW51" s="107">
        <v>0</v>
      </c>
      <c r="AX51" s="107">
        <v>0</v>
      </c>
      <c r="AY51" s="107">
        <v>0</v>
      </c>
      <c r="AZ51" s="107">
        <v>0</v>
      </c>
      <c r="BA51" s="107">
        <v>0</v>
      </c>
      <c r="BB51" s="107">
        <v>1</v>
      </c>
      <c r="BC51" s="107">
        <v>0</v>
      </c>
      <c r="BD51" s="107">
        <v>0</v>
      </c>
      <c r="BE51" s="107">
        <v>0</v>
      </c>
      <c r="BF51" s="107">
        <v>0</v>
      </c>
      <c r="BG51" s="107">
        <v>0</v>
      </c>
      <c r="BH51" s="107">
        <v>0</v>
      </c>
      <c r="BI51" s="108">
        <v>0</v>
      </c>
      <c r="BJ51" s="107">
        <v>0</v>
      </c>
      <c r="BK51" s="107">
        <v>0</v>
      </c>
      <c r="BL51" s="107">
        <v>0</v>
      </c>
      <c r="BM51" s="107">
        <v>0</v>
      </c>
      <c r="BN51" s="107">
        <v>0</v>
      </c>
      <c r="BO51" s="108">
        <v>0</v>
      </c>
      <c r="BP51" s="107">
        <v>0</v>
      </c>
      <c r="BQ51" s="107">
        <v>0</v>
      </c>
      <c r="BR51" s="107">
        <v>0</v>
      </c>
      <c r="BS51" s="107">
        <v>0</v>
      </c>
      <c r="BT51" s="107">
        <v>0</v>
      </c>
      <c r="BU51" s="108">
        <v>0</v>
      </c>
      <c r="BV51" s="107">
        <v>0</v>
      </c>
      <c r="BW51" s="108">
        <v>0</v>
      </c>
      <c r="BX51" s="107">
        <v>0</v>
      </c>
      <c r="BY51" s="107">
        <v>0</v>
      </c>
      <c r="BZ51" s="107">
        <v>0</v>
      </c>
      <c r="CA51" s="107">
        <v>0</v>
      </c>
      <c r="CB51" s="107">
        <v>1</v>
      </c>
      <c r="CC51" s="108">
        <v>0</v>
      </c>
      <c r="CD51" s="108">
        <v>0</v>
      </c>
      <c r="CE51" s="107">
        <v>0</v>
      </c>
      <c r="CF51" s="108">
        <v>0</v>
      </c>
      <c r="CG51" s="107">
        <v>0</v>
      </c>
      <c r="CH51" s="107">
        <v>0</v>
      </c>
      <c r="CI51" s="107">
        <v>0</v>
      </c>
      <c r="CJ51" s="108">
        <v>0</v>
      </c>
      <c r="CK51" s="107">
        <v>0</v>
      </c>
      <c r="CL51" s="108">
        <v>0</v>
      </c>
      <c r="CM51" s="107">
        <v>0</v>
      </c>
      <c r="CN51" s="107">
        <v>0</v>
      </c>
    </row>
    <row r="52" spans="1:92">
      <c r="A52" s="207" t="s">
        <v>595</v>
      </c>
      <c r="B52" s="108">
        <v>1</v>
      </c>
      <c r="C52" s="107">
        <v>0</v>
      </c>
      <c r="D52" s="107">
        <v>0</v>
      </c>
      <c r="E52" s="107">
        <v>0</v>
      </c>
      <c r="F52" s="107">
        <v>0</v>
      </c>
      <c r="G52" s="107">
        <v>0</v>
      </c>
      <c r="H52" s="107">
        <v>0</v>
      </c>
      <c r="I52" s="107">
        <v>0</v>
      </c>
      <c r="J52" s="107">
        <v>0</v>
      </c>
      <c r="K52" s="107">
        <v>0</v>
      </c>
      <c r="L52" s="107">
        <v>0</v>
      </c>
      <c r="M52" s="107">
        <v>0</v>
      </c>
      <c r="N52" s="107">
        <v>0</v>
      </c>
      <c r="O52" s="107">
        <v>0</v>
      </c>
      <c r="P52" s="107">
        <v>0</v>
      </c>
      <c r="Q52" s="107">
        <v>0</v>
      </c>
      <c r="R52" s="108">
        <v>0</v>
      </c>
      <c r="S52" s="107">
        <v>0</v>
      </c>
      <c r="T52" s="107">
        <v>0</v>
      </c>
      <c r="U52" s="107">
        <v>0</v>
      </c>
      <c r="V52" s="107">
        <v>0</v>
      </c>
      <c r="W52" s="107">
        <v>0</v>
      </c>
      <c r="X52" s="107">
        <v>0</v>
      </c>
      <c r="Y52" s="107">
        <v>0</v>
      </c>
      <c r="Z52" s="107">
        <v>0</v>
      </c>
      <c r="AA52" s="107">
        <v>0</v>
      </c>
      <c r="AB52" s="107">
        <v>0</v>
      </c>
      <c r="AC52" s="108">
        <v>0</v>
      </c>
      <c r="AD52" s="107">
        <v>0</v>
      </c>
      <c r="AE52" s="107">
        <v>0</v>
      </c>
      <c r="AF52" s="107">
        <v>0</v>
      </c>
      <c r="AG52" s="107">
        <v>0</v>
      </c>
      <c r="AH52" s="107">
        <v>0</v>
      </c>
      <c r="AI52" s="107">
        <v>0</v>
      </c>
      <c r="AJ52" s="107">
        <v>1</v>
      </c>
      <c r="AK52" s="107">
        <v>0</v>
      </c>
      <c r="AL52" s="107">
        <v>0</v>
      </c>
      <c r="AM52" s="108">
        <v>0</v>
      </c>
      <c r="AN52" s="107">
        <v>0</v>
      </c>
      <c r="AO52" s="107">
        <v>0</v>
      </c>
      <c r="AP52" s="107">
        <v>0</v>
      </c>
      <c r="AQ52" s="107">
        <v>0</v>
      </c>
      <c r="AR52" s="107">
        <v>0</v>
      </c>
      <c r="AS52" s="107">
        <v>0</v>
      </c>
      <c r="AT52" s="107">
        <v>0</v>
      </c>
      <c r="AU52" s="108">
        <v>0</v>
      </c>
      <c r="AV52" s="107">
        <v>0</v>
      </c>
      <c r="AW52" s="107">
        <v>0</v>
      </c>
      <c r="AX52" s="107">
        <v>0</v>
      </c>
      <c r="AY52" s="107">
        <v>0</v>
      </c>
      <c r="AZ52" s="107">
        <v>0</v>
      </c>
      <c r="BA52" s="107">
        <v>0</v>
      </c>
      <c r="BB52" s="107">
        <v>0</v>
      </c>
      <c r="BC52" s="107">
        <v>0</v>
      </c>
      <c r="BD52" s="107">
        <v>0</v>
      </c>
      <c r="BE52" s="107">
        <v>0</v>
      </c>
      <c r="BF52" s="107">
        <v>0</v>
      </c>
      <c r="BG52" s="107">
        <v>0</v>
      </c>
      <c r="BH52" s="107">
        <v>0</v>
      </c>
      <c r="BI52" s="108">
        <v>0</v>
      </c>
      <c r="BJ52" s="107">
        <v>0</v>
      </c>
      <c r="BK52" s="107">
        <v>0</v>
      </c>
      <c r="BL52" s="107">
        <v>0</v>
      </c>
      <c r="BM52" s="107">
        <v>0</v>
      </c>
      <c r="BN52" s="107">
        <v>0</v>
      </c>
      <c r="BO52" s="108">
        <v>0</v>
      </c>
      <c r="BP52" s="107">
        <v>0</v>
      </c>
      <c r="BQ52" s="107">
        <v>0</v>
      </c>
      <c r="BR52" s="107">
        <v>0</v>
      </c>
      <c r="BS52" s="107">
        <v>0</v>
      </c>
      <c r="BT52" s="107">
        <v>0</v>
      </c>
      <c r="BU52" s="108">
        <v>0</v>
      </c>
      <c r="BV52" s="107">
        <v>0</v>
      </c>
      <c r="BW52" s="108">
        <v>0</v>
      </c>
      <c r="BX52" s="107">
        <v>0</v>
      </c>
      <c r="BY52" s="107">
        <v>0</v>
      </c>
      <c r="BZ52" s="107">
        <v>0</v>
      </c>
      <c r="CA52" s="107">
        <v>0</v>
      </c>
      <c r="CB52" s="107">
        <v>0</v>
      </c>
      <c r="CC52" s="108">
        <v>0</v>
      </c>
      <c r="CD52" s="108">
        <v>0</v>
      </c>
      <c r="CE52" s="107">
        <v>0</v>
      </c>
      <c r="CF52" s="108">
        <v>0</v>
      </c>
      <c r="CG52" s="107">
        <v>0</v>
      </c>
      <c r="CH52" s="107">
        <v>0</v>
      </c>
      <c r="CI52" s="107">
        <v>0</v>
      </c>
      <c r="CJ52" s="108">
        <v>0</v>
      </c>
      <c r="CK52" s="107">
        <v>0</v>
      </c>
      <c r="CL52" s="108">
        <v>0</v>
      </c>
      <c r="CM52" s="107">
        <v>0</v>
      </c>
      <c r="CN52" s="107">
        <v>0</v>
      </c>
    </row>
    <row r="53" spans="1:92">
      <c r="A53" s="207" t="s">
        <v>621</v>
      </c>
      <c r="B53" s="108">
        <v>51</v>
      </c>
      <c r="C53" s="107">
        <v>0</v>
      </c>
      <c r="D53" s="107">
        <v>0</v>
      </c>
      <c r="E53" s="107">
        <v>0</v>
      </c>
      <c r="F53" s="107">
        <v>0</v>
      </c>
      <c r="G53" s="107">
        <v>0</v>
      </c>
      <c r="H53" s="107">
        <v>0</v>
      </c>
      <c r="I53" s="107">
        <v>0</v>
      </c>
      <c r="J53" s="107">
        <v>0</v>
      </c>
      <c r="K53" s="107">
        <v>0</v>
      </c>
      <c r="L53" s="107">
        <v>0</v>
      </c>
      <c r="M53" s="107">
        <v>0</v>
      </c>
      <c r="N53" s="107">
        <v>0</v>
      </c>
      <c r="O53" s="107">
        <v>0</v>
      </c>
      <c r="P53" s="107">
        <v>0</v>
      </c>
      <c r="Q53" s="107">
        <v>0</v>
      </c>
      <c r="R53" s="108">
        <v>0</v>
      </c>
      <c r="S53" s="107">
        <v>0</v>
      </c>
      <c r="T53" s="107">
        <v>0</v>
      </c>
      <c r="U53" s="107">
        <v>0</v>
      </c>
      <c r="V53" s="107">
        <v>0</v>
      </c>
      <c r="W53" s="107">
        <v>0</v>
      </c>
      <c r="X53" s="107">
        <v>0</v>
      </c>
      <c r="Y53" s="107">
        <v>0</v>
      </c>
      <c r="Z53" s="107">
        <v>0</v>
      </c>
      <c r="AA53" s="107">
        <v>0</v>
      </c>
      <c r="AB53" s="107">
        <v>0</v>
      </c>
      <c r="AC53" s="108">
        <v>34</v>
      </c>
      <c r="AD53" s="107">
        <v>0</v>
      </c>
      <c r="AE53" s="107">
        <v>0</v>
      </c>
      <c r="AF53" s="107">
        <v>0</v>
      </c>
      <c r="AG53" s="107">
        <v>0</v>
      </c>
      <c r="AH53" s="107">
        <v>0</v>
      </c>
      <c r="AI53" s="107">
        <v>0</v>
      </c>
      <c r="AJ53" s="107">
        <v>0</v>
      </c>
      <c r="AK53" s="107">
        <v>0</v>
      </c>
      <c r="AL53" s="107">
        <v>0</v>
      </c>
      <c r="AM53" s="108">
        <v>0</v>
      </c>
      <c r="AN53" s="107">
        <v>0</v>
      </c>
      <c r="AO53" s="107">
        <v>0</v>
      </c>
      <c r="AP53" s="107">
        <v>0</v>
      </c>
      <c r="AQ53" s="107">
        <v>0</v>
      </c>
      <c r="AR53" s="107">
        <v>0</v>
      </c>
      <c r="AS53" s="107">
        <v>0</v>
      </c>
      <c r="AT53" s="107">
        <v>1</v>
      </c>
      <c r="AU53" s="108">
        <v>0</v>
      </c>
      <c r="AV53" s="107">
        <v>0</v>
      </c>
      <c r="AW53" s="107">
        <v>0</v>
      </c>
      <c r="AX53" s="107">
        <v>0</v>
      </c>
      <c r="AY53" s="107">
        <v>0</v>
      </c>
      <c r="AZ53" s="107">
        <v>0</v>
      </c>
      <c r="BA53" s="107">
        <v>0</v>
      </c>
      <c r="BB53" s="107">
        <v>0</v>
      </c>
      <c r="BC53" s="107">
        <v>0</v>
      </c>
      <c r="BD53" s="107">
        <v>0</v>
      </c>
      <c r="BE53" s="107">
        <v>13</v>
      </c>
      <c r="BF53" s="107">
        <v>0</v>
      </c>
      <c r="BG53" s="107">
        <v>0</v>
      </c>
      <c r="BH53" s="107">
        <v>0</v>
      </c>
      <c r="BI53" s="108">
        <v>0</v>
      </c>
      <c r="BJ53" s="107">
        <v>0</v>
      </c>
      <c r="BK53" s="107">
        <v>0</v>
      </c>
      <c r="BL53" s="107">
        <v>0</v>
      </c>
      <c r="BM53" s="107">
        <v>0</v>
      </c>
      <c r="BN53" s="107">
        <v>0</v>
      </c>
      <c r="BO53" s="108">
        <v>0</v>
      </c>
      <c r="BP53" s="107">
        <v>0</v>
      </c>
      <c r="BQ53" s="107">
        <v>0</v>
      </c>
      <c r="BR53" s="107">
        <v>0</v>
      </c>
      <c r="BS53" s="107">
        <v>0</v>
      </c>
      <c r="BT53" s="107">
        <v>0</v>
      </c>
      <c r="BU53" s="108">
        <v>0</v>
      </c>
      <c r="BV53" s="107">
        <v>0</v>
      </c>
      <c r="BW53" s="108">
        <v>0</v>
      </c>
      <c r="BX53" s="107">
        <v>0</v>
      </c>
      <c r="BY53" s="107">
        <v>0</v>
      </c>
      <c r="BZ53" s="107">
        <v>0</v>
      </c>
      <c r="CA53" s="107">
        <v>0</v>
      </c>
      <c r="CB53" s="107">
        <v>0</v>
      </c>
      <c r="CC53" s="108">
        <v>0</v>
      </c>
      <c r="CD53" s="108">
        <v>0</v>
      </c>
      <c r="CE53" s="107">
        <v>0</v>
      </c>
      <c r="CF53" s="108">
        <v>0</v>
      </c>
      <c r="CG53" s="107">
        <v>0</v>
      </c>
      <c r="CH53" s="107">
        <v>0</v>
      </c>
      <c r="CI53" s="107">
        <v>1</v>
      </c>
      <c r="CJ53" s="108">
        <v>2</v>
      </c>
      <c r="CK53" s="107">
        <v>0</v>
      </c>
      <c r="CL53" s="108">
        <v>0</v>
      </c>
      <c r="CM53" s="107">
        <v>0</v>
      </c>
      <c r="CN53" s="107">
        <v>0</v>
      </c>
    </row>
    <row r="54" spans="1:92">
      <c r="A54" s="207" t="s">
        <v>621</v>
      </c>
      <c r="B54" s="108">
        <v>23</v>
      </c>
      <c r="C54" s="107">
        <v>0</v>
      </c>
      <c r="D54" s="107">
        <v>0</v>
      </c>
      <c r="E54" s="107">
        <v>0</v>
      </c>
      <c r="F54" s="107">
        <v>0</v>
      </c>
      <c r="G54" s="107">
        <v>0</v>
      </c>
      <c r="H54" s="107">
        <v>0</v>
      </c>
      <c r="I54" s="107">
        <v>0</v>
      </c>
      <c r="J54" s="107">
        <v>0</v>
      </c>
      <c r="K54" s="107">
        <v>0</v>
      </c>
      <c r="L54" s="107">
        <v>0</v>
      </c>
      <c r="M54" s="107">
        <v>0</v>
      </c>
      <c r="N54" s="107">
        <v>0</v>
      </c>
      <c r="O54" s="107">
        <v>0</v>
      </c>
      <c r="P54" s="107">
        <v>0</v>
      </c>
      <c r="Q54" s="107">
        <v>0</v>
      </c>
      <c r="R54" s="108">
        <v>0</v>
      </c>
      <c r="S54" s="107">
        <v>0</v>
      </c>
      <c r="T54" s="107">
        <v>0</v>
      </c>
      <c r="U54" s="107">
        <v>0</v>
      </c>
      <c r="V54" s="107">
        <v>0</v>
      </c>
      <c r="W54" s="107">
        <v>0</v>
      </c>
      <c r="X54" s="107">
        <v>0</v>
      </c>
      <c r="Y54" s="107">
        <v>0</v>
      </c>
      <c r="Z54" s="107">
        <v>0</v>
      </c>
      <c r="AA54" s="107">
        <v>0</v>
      </c>
      <c r="AB54" s="107">
        <v>0</v>
      </c>
      <c r="AC54" s="108">
        <v>17</v>
      </c>
      <c r="AD54" s="107">
        <v>0</v>
      </c>
      <c r="AE54" s="107">
        <v>0</v>
      </c>
      <c r="AF54" s="107">
        <v>0</v>
      </c>
      <c r="AG54" s="107">
        <v>0</v>
      </c>
      <c r="AH54" s="107">
        <v>0</v>
      </c>
      <c r="AI54" s="107">
        <v>0</v>
      </c>
      <c r="AJ54" s="107">
        <v>0</v>
      </c>
      <c r="AK54" s="107">
        <v>0</v>
      </c>
      <c r="AL54" s="107">
        <v>0</v>
      </c>
      <c r="AM54" s="108">
        <v>0</v>
      </c>
      <c r="AN54" s="107">
        <v>0</v>
      </c>
      <c r="AO54" s="107">
        <v>0</v>
      </c>
      <c r="AP54" s="107">
        <v>0</v>
      </c>
      <c r="AQ54" s="107">
        <v>0</v>
      </c>
      <c r="AR54" s="107">
        <v>0</v>
      </c>
      <c r="AS54" s="107">
        <v>0</v>
      </c>
      <c r="AT54" s="107">
        <v>0</v>
      </c>
      <c r="AU54" s="108">
        <v>0</v>
      </c>
      <c r="AV54" s="107">
        <v>0</v>
      </c>
      <c r="AW54" s="107">
        <v>0</v>
      </c>
      <c r="AX54" s="107">
        <v>0</v>
      </c>
      <c r="AY54" s="107">
        <v>0</v>
      </c>
      <c r="AZ54" s="107">
        <v>0</v>
      </c>
      <c r="BA54" s="107">
        <v>0</v>
      </c>
      <c r="BB54" s="107">
        <v>0</v>
      </c>
      <c r="BC54" s="107">
        <v>0</v>
      </c>
      <c r="BD54" s="107">
        <v>0</v>
      </c>
      <c r="BE54" s="107">
        <v>0</v>
      </c>
      <c r="BF54" s="107">
        <v>6</v>
      </c>
      <c r="BG54" s="107">
        <v>0</v>
      </c>
      <c r="BH54" s="107">
        <v>0</v>
      </c>
      <c r="BI54" s="108">
        <v>0</v>
      </c>
      <c r="BJ54" s="107">
        <v>0</v>
      </c>
      <c r="BK54" s="107">
        <v>0</v>
      </c>
      <c r="BL54" s="107">
        <v>0</v>
      </c>
      <c r="BM54" s="107">
        <v>0</v>
      </c>
      <c r="BN54" s="107">
        <v>0</v>
      </c>
      <c r="BO54" s="108">
        <v>0</v>
      </c>
      <c r="BP54" s="107">
        <v>0</v>
      </c>
      <c r="BQ54" s="107">
        <v>0</v>
      </c>
      <c r="BR54" s="107">
        <v>0</v>
      </c>
      <c r="BS54" s="107">
        <v>0</v>
      </c>
      <c r="BT54" s="107">
        <v>0</v>
      </c>
      <c r="BU54" s="108">
        <v>0</v>
      </c>
      <c r="BV54" s="107">
        <v>0</v>
      </c>
      <c r="BW54" s="108">
        <v>0</v>
      </c>
      <c r="BX54" s="107">
        <v>0</v>
      </c>
      <c r="BY54" s="107">
        <v>0</v>
      </c>
      <c r="BZ54" s="107">
        <v>0</v>
      </c>
      <c r="CA54" s="107">
        <v>0</v>
      </c>
      <c r="CB54" s="107">
        <v>0</v>
      </c>
      <c r="CC54" s="108">
        <v>0</v>
      </c>
      <c r="CD54" s="108">
        <v>0</v>
      </c>
      <c r="CE54" s="107">
        <v>0</v>
      </c>
      <c r="CF54" s="108">
        <v>0</v>
      </c>
      <c r="CG54" s="107">
        <v>0</v>
      </c>
      <c r="CH54" s="107">
        <v>0</v>
      </c>
      <c r="CI54" s="107">
        <v>0</v>
      </c>
      <c r="CJ54" s="108">
        <v>0</v>
      </c>
      <c r="CK54" s="107">
        <v>0</v>
      </c>
      <c r="CL54" s="108">
        <v>0</v>
      </c>
      <c r="CM54" s="107">
        <v>0</v>
      </c>
      <c r="CN54" s="107">
        <v>0</v>
      </c>
    </row>
    <row r="55" spans="1:92">
      <c r="A55" s="207" t="s">
        <v>582</v>
      </c>
      <c r="B55" s="108">
        <v>4</v>
      </c>
      <c r="C55" s="107">
        <v>0</v>
      </c>
      <c r="D55" s="107">
        <v>0</v>
      </c>
      <c r="E55" s="107">
        <v>0</v>
      </c>
      <c r="F55" s="107">
        <v>0</v>
      </c>
      <c r="G55" s="107">
        <v>0</v>
      </c>
      <c r="H55" s="107">
        <v>0</v>
      </c>
      <c r="I55" s="107">
        <v>0</v>
      </c>
      <c r="J55" s="107">
        <v>0</v>
      </c>
      <c r="K55" s="107">
        <v>0</v>
      </c>
      <c r="L55" s="107">
        <v>0</v>
      </c>
      <c r="M55" s="107">
        <v>0</v>
      </c>
      <c r="N55" s="107">
        <v>0</v>
      </c>
      <c r="O55" s="107">
        <v>0</v>
      </c>
      <c r="P55" s="107">
        <v>0</v>
      </c>
      <c r="Q55" s="107">
        <v>0</v>
      </c>
      <c r="R55" s="108">
        <v>0</v>
      </c>
      <c r="S55" s="107">
        <v>0</v>
      </c>
      <c r="T55" s="107">
        <v>0</v>
      </c>
      <c r="U55" s="107">
        <v>0</v>
      </c>
      <c r="V55" s="107">
        <v>0</v>
      </c>
      <c r="W55" s="107">
        <v>0</v>
      </c>
      <c r="X55" s="107">
        <v>0</v>
      </c>
      <c r="Y55" s="107">
        <v>0</v>
      </c>
      <c r="Z55" s="107">
        <v>0</v>
      </c>
      <c r="AA55" s="107">
        <v>0</v>
      </c>
      <c r="AB55" s="107">
        <v>0</v>
      </c>
      <c r="AC55" s="108">
        <v>3</v>
      </c>
      <c r="AD55" s="107">
        <v>0</v>
      </c>
      <c r="AE55" s="107">
        <v>0</v>
      </c>
      <c r="AF55" s="107">
        <v>0</v>
      </c>
      <c r="AG55" s="107">
        <v>0</v>
      </c>
      <c r="AH55" s="107">
        <v>0</v>
      </c>
      <c r="AI55" s="107">
        <v>0</v>
      </c>
      <c r="AJ55" s="107">
        <v>0</v>
      </c>
      <c r="AK55" s="107">
        <v>0</v>
      </c>
      <c r="AL55" s="107">
        <v>0</v>
      </c>
      <c r="AM55" s="108">
        <v>0</v>
      </c>
      <c r="AN55" s="107">
        <v>0</v>
      </c>
      <c r="AO55" s="107">
        <v>0</v>
      </c>
      <c r="AP55" s="107">
        <v>0</v>
      </c>
      <c r="AQ55" s="107">
        <v>0</v>
      </c>
      <c r="AR55" s="107">
        <v>0</v>
      </c>
      <c r="AS55" s="107">
        <v>0</v>
      </c>
      <c r="AT55" s="107">
        <v>0</v>
      </c>
      <c r="AU55" s="108">
        <v>0</v>
      </c>
      <c r="AV55" s="107">
        <v>0</v>
      </c>
      <c r="AW55" s="107">
        <v>0</v>
      </c>
      <c r="AX55" s="107">
        <v>0</v>
      </c>
      <c r="AY55" s="107">
        <v>0</v>
      </c>
      <c r="AZ55" s="107">
        <v>0</v>
      </c>
      <c r="BA55" s="107">
        <v>0</v>
      </c>
      <c r="BB55" s="107">
        <v>0</v>
      </c>
      <c r="BC55" s="107">
        <v>0</v>
      </c>
      <c r="BD55" s="107">
        <v>0</v>
      </c>
      <c r="BE55" s="107">
        <v>0</v>
      </c>
      <c r="BF55" s="107">
        <v>0</v>
      </c>
      <c r="BG55" s="107">
        <v>0</v>
      </c>
      <c r="BH55" s="107">
        <v>0</v>
      </c>
      <c r="BI55" s="108">
        <v>0</v>
      </c>
      <c r="BJ55" s="107">
        <v>0</v>
      </c>
      <c r="BK55" s="107">
        <v>0</v>
      </c>
      <c r="BL55" s="107">
        <v>0</v>
      </c>
      <c r="BM55" s="107">
        <v>0</v>
      </c>
      <c r="BN55" s="107">
        <v>0</v>
      </c>
      <c r="BO55" s="108">
        <v>1</v>
      </c>
      <c r="BP55" s="107">
        <v>0</v>
      </c>
      <c r="BQ55" s="107">
        <v>0</v>
      </c>
      <c r="BR55" s="107">
        <v>0</v>
      </c>
      <c r="BS55" s="107">
        <v>0</v>
      </c>
      <c r="BT55" s="107">
        <v>0</v>
      </c>
      <c r="BU55" s="108">
        <v>0</v>
      </c>
      <c r="BV55" s="107">
        <v>0</v>
      </c>
      <c r="BW55" s="108">
        <v>0</v>
      </c>
      <c r="BX55" s="107">
        <v>0</v>
      </c>
      <c r="BY55" s="107">
        <v>0</v>
      </c>
      <c r="BZ55" s="107">
        <v>0</v>
      </c>
      <c r="CA55" s="107">
        <v>0</v>
      </c>
      <c r="CB55" s="107">
        <v>0</v>
      </c>
      <c r="CC55" s="108">
        <v>0</v>
      </c>
      <c r="CD55" s="108">
        <v>0</v>
      </c>
      <c r="CE55" s="107">
        <v>0</v>
      </c>
      <c r="CF55" s="108">
        <v>0</v>
      </c>
      <c r="CG55" s="107">
        <v>0</v>
      </c>
      <c r="CH55" s="107">
        <v>0</v>
      </c>
      <c r="CI55" s="107">
        <v>0</v>
      </c>
      <c r="CJ55" s="108">
        <v>0</v>
      </c>
      <c r="CK55" s="107">
        <v>0</v>
      </c>
      <c r="CL55" s="108">
        <v>0</v>
      </c>
      <c r="CM55" s="107">
        <v>0</v>
      </c>
      <c r="CN55" s="107">
        <v>0</v>
      </c>
    </row>
    <row r="56" spans="1:92">
      <c r="A56" s="207" t="s">
        <v>596</v>
      </c>
      <c r="B56" s="108">
        <v>1</v>
      </c>
      <c r="C56" s="107">
        <v>0</v>
      </c>
      <c r="D56" s="107">
        <v>0</v>
      </c>
      <c r="E56" s="107">
        <v>0</v>
      </c>
      <c r="F56" s="107">
        <v>0</v>
      </c>
      <c r="G56" s="107">
        <v>0</v>
      </c>
      <c r="H56" s="107">
        <v>0</v>
      </c>
      <c r="I56" s="107">
        <v>0</v>
      </c>
      <c r="J56" s="107">
        <v>0</v>
      </c>
      <c r="K56" s="107">
        <v>0</v>
      </c>
      <c r="L56" s="107">
        <v>0</v>
      </c>
      <c r="M56" s="107">
        <v>0</v>
      </c>
      <c r="N56" s="107">
        <v>0</v>
      </c>
      <c r="O56" s="107">
        <v>0</v>
      </c>
      <c r="P56" s="107">
        <v>0</v>
      </c>
      <c r="Q56" s="107">
        <v>0</v>
      </c>
      <c r="R56" s="108">
        <v>0</v>
      </c>
      <c r="S56" s="107">
        <v>0</v>
      </c>
      <c r="T56" s="107">
        <v>0</v>
      </c>
      <c r="U56" s="107">
        <v>0</v>
      </c>
      <c r="V56" s="107">
        <v>0</v>
      </c>
      <c r="W56" s="107">
        <v>0</v>
      </c>
      <c r="X56" s="107">
        <v>0</v>
      </c>
      <c r="Y56" s="107">
        <v>0</v>
      </c>
      <c r="Z56" s="107">
        <v>0</v>
      </c>
      <c r="AA56" s="107">
        <v>0</v>
      </c>
      <c r="AB56" s="107">
        <v>0</v>
      </c>
      <c r="AC56" s="108">
        <v>0</v>
      </c>
      <c r="AD56" s="107">
        <v>0</v>
      </c>
      <c r="AE56" s="107">
        <v>0</v>
      </c>
      <c r="AF56" s="107">
        <v>0</v>
      </c>
      <c r="AG56" s="107">
        <v>0</v>
      </c>
      <c r="AH56" s="107">
        <v>0</v>
      </c>
      <c r="AI56" s="107">
        <v>0</v>
      </c>
      <c r="AJ56" s="107">
        <v>0</v>
      </c>
      <c r="AK56" s="107">
        <v>0</v>
      </c>
      <c r="AL56" s="107">
        <v>0</v>
      </c>
      <c r="AM56" s="108">
        <v>0</v>
      </c>
      <c r="AN56" s="107">
        <v>0</v>
      </c>
      <c r="AO56" s="107">
        <v>0</v>
      </c>
      <c r="AP56" s="107">
        <v>0</v>
      </c>
      <c r="AQ56" s="107">
        <v>0</v>
      </c>
      <c r="AR56" s="107">
        <v>0</v>
      </c>
      <c r="AS56" s="107">
        <v>0</v>
      </c>
      <c r="AT56" s="107">
        <v>0</v>
      </c>
      <c r="AU56" s="108">
        <v>0</v>
      </c>
      <c r="AV56" s="107">
        <v>0</v>
      </c>
      <c r="AW56" s="107">
        <v>0</v>
      </c>
      <c r="AX56" s="107">
        <v>0</v>
      </c>
      <c r="AY56" s="107">
        <v>0</v>
      </c>
      <c r="AZ56" s="107">
        <v>0</v>
      </c>
      <c r="BA56" s="107">
        <v>0</v>
      </c>
      <c r="BB56" s="107">
        <v>0</v>
      </c>
      <c r="BC56" s="107">
        <v>0</v>
      </c>
      <c r="BD56" s="107">
        <v>0</v>
      </c>
      <c r="BE56" s="107">
        <v>0</v>
      </c>
      <c r="BF56" s="107">
        <v>0</v>
      </c>
      <c r="BG56" s="107">
        <v>0</v>
      </c>
      <c r="BH56" s="107">
        <v>0</v>
      </c>
      <c r="BI56" s="108">
        <v>1</v>
      </c>
      <c r="BJ56" s="107">
        <v>0</v>
      </c>
      <c r="BK56" s="107">
        <v>0</v>
      </c>
      <c r="BL56" s="107">
        <v>0</v>
      </c>
      <c r="BM56" s="107">
        <v>0</v>
      </c>
      <c r="BN56" s="107">
        <v>0</v>
      </c>
      <c r="BO56" s="108">
        <v>0</v>
      </c>
      <c r="BP56" s="107">
        <v>0</v>
      </c>
      <c r="BQ56" s="107">
        <v>0</v>
      </c>
      <c r="BR56" s="107">
        <v>0</v>
      </c>
      <c r="BS56" s="107">
        <v>0</v>
      </c>
      <c r="BT56" s="107">
        <v>0</v>
      </c>
      <c r="BU56" s="108">
        <v>0</v>
      </c>
      <c r="BV56" s="107">
        <v>0</v>
      </c>
      <c r="BW56" s="108">
        <v>0</v>
      </c>
      <c r="BX56" s="107">
        <v>0</v>
      </c>
      <c r="BY56" s="107">
        <v>0</v>
      </c>
      <c r="BZ56" s="107">
        <v>0</v>
      </c>
      <c r="CA56" s="107">
        <v>0</v>
      </c>
      <c r="CB56" s="107">
        <v>0</v>
      </c>
      <c r="CC56" s="108">
        <v>0</v>
      </c>
      <c r="CD56" s="108">
        <v>0</v>
      </c>
      <c r="CE56" s="107">
        <v>0</v>
      </c>
      <c r="CF56" s="108">
        <v>0</v>
      </c>
      <c r="CG56" s="107">
        <v>0</v>
      </c>
      <c r="CH56" s="107">
        <v>0</v>
      </c>
      <c r="CI56" s="107">
        <v>0</v>
      </c>
      <c r="CJ56" s="108">
        <v>0</v>
      </c>
      <c r="CK56" s="107">
        <v>0</v>
      </c>
      <c r="CL56" s="108">
        <v>0</v>
      </c>
      <c r="CM56" s="107">
        <v>0</v>
      </c>
      <c r="CN56" s="107">
        <v>0</v>
      </c>
    </row>
    <row r="57" spans="1:92">
      <c r="A57" s="207" t="s">
        <v>439</v>
      </c>
      <c r="B57" s="108">
        <v>4</v>
      </c>
      <c r="C57" s="107">
        <v>0</v>
      </c>
      <c r="D57" s="107">
        <v>0</v>
      </c>
      <c r="E57" s="107">
        <v>0</v>
      </c>
      <c r="F57" s="107">
        <v>0</v>
      </c>
      <c r="G57" s="107">
        <v>0</v>
      </c>
      <c r="H57" s="107">
        <v>0</v>
      </c>
      <c r="I57" s="107">
        <v>0</v>
      </c>
      <c r="J57" s="107">
        <v>0</v>
      </c>
      <c r="K57" s="107">
        <v>0</v>
      </c>
      <c r="L57" s="107">
        <v>0</v>
      </c>
      <c r="M57" s="107">
        <v>0</v>
      </c>
      <c r="N57" s="107">
        <v>0</v>
      </c>
      <c r="O57" s="107">
        <v>0</v>
      </c>
      <c r="P57" s="107">
        <v>0</v>
      </c>
      <c r="Q57" s="107">
        <v>0</v>
      </c>
      <c r="R57" s="108">
        <v>0</v>
      </c>
      <c r="S57" s="107">
        <v>0</v>
      </c>
      <c r="T57" s="107">
        <v>0</v>
      </c>
      <c r="U57" s="107">
        <v>0</v>
      </c>
      <c r="V57" s="107">
        <v>0</v>
      </c>
      <c r="W57" s="107">
        <v>0</v>
      </c>
      <c r="X57" s="107">
        <v>0</v>
      </c>
      <c r="Y57" s="107">
        <v>0</v>
      </c>
      <c r="Z57" s="107">
        <v>0</v>
      </c>
      <c r="AA57" s="107">
        <v>0</v>
      </c>
      <c r="AB57" s="107">
        <v>0</v>
      </c>
      <c r="AC57" s="108">
        <v>3</v>
      </c>
      <c r="AD57" s="107">
        <v>0</v>
      </c>
      <c r="AE57" s="107">
        <v>0</v>
      </c>
      <c r="AF57" s="107">
        <v>0</v>
      </c>
      <c r="AG57" s="107">
        <v>0</v>
      </c>
      <c r="AH57" s="107">
        <v>0</v>
      </c>
      <c r="AI57" s="107">
        <v>0</v>
      </c>
      <c r="AJ57" s="107">
        <v>0</v>
      </c>
      <c r="AK57" s="107">
        <v>0</v>
      </c>
      <c r="AL57" s="107">
        <v>0</v>
      </c>
      <c r="AM57" s="108">
        <v>0</v>
      </c>
      <c r="AN57" s="107">
        <v>0</v>
      </c>
      <c r="AO57" s="107">
        <v>0</v>
      </c>
      <c r="AP57" s="107">
        <v>0</v>
      </c>
      <c r="AQ57" s="107">
        <v>0</v>
      </c>
      <c r="AR57" s="107">
        <v>0</v>
      </c>
      <c r="AS57" s="107">
        <v>0</v>
      </c>
      <c r="AT57" s="107">
        <v>0</v>
      </c>
      <c r="AU57" s="108">
        <v>0</v>
      </c>
      <c r="AV57" s="107">
        <v>0</v>
      </c>
      <c r="AW57" s="107">
        <v>0</v>
      </c>
      <c r="AX57" s="107">
        <v>0</v>
      </c>
      <c r="AY57" s="107">
        <v>0</v>
      </c>
      <c r="AZ57" s="107">
        <v>0</v>
      </c>
      <c r="BA57" s="107">
        <v>0</v>
      </c>
      <c r="BB57" s="107">
        <v>0</v>
      </c>
      <c r="BC57" s="107">
        <v>0</v>
      </c>
      <c r="BD57" s="107">
        <v>0</v>
      </c>
      <c r="BE57" s="107">
        <v>0</v>
      </c>
      <c r="BF57" s="107">
        <v>0</v>
      </c>
      <c r="BG57" s="107">
        <v>0</v>
      </c>
      <c r="BH57" s="107">
        <v>0</v>
      </c>
      <c r="BI57" s="108">
        <v>0</v>
      </c>
      <c r="BJ57" s="107">
        <v>0</v>
      </c>
      <c r="BK57" s="107">
        <v>1</v>
      </c>
      <c r="BL57" s="107">
        <v>0</v>
      </c>
      <c r="BM57" s="107">
        <v>0</v>
      </c>
      <c r="BN57" s="107">
        <v>0</v>
      </c>
      <c r="BO57" s="108">
        <v>0</v>
      </c>
      <c r="BP57" s="107">
        <v>0</v>
      </c>
      <c r="BQ57" s="107">
        <v>0</v>
      </c>
      <c r="BR57" s="107">
        <v>0</v>
      </c>
      <c r="BS57" s="107">
        <v>0</v>
      </c>
      <c r="BT57" s="107">
        <v>0</v>
      </c>
      <c r="BU57" s="108">
        <v>0</v>
      </c>
      <c r="BV57" s="107">
        <v>0</v>
      </c>
      <c r="BW57" s="108">
        <v>0</v>
      </c>
      <c r="BX57" s="107">
        <v>0</v>
      </c>
      <c r="BY57" s="107">
        <v>0</v>
      </c>
      <c r="BZ57" s="107">
        <v>0</v>
      </c>
      <c r="CA57" s="107">
        <v>0</v>
      </c>
      <c r="CB57" s="107">
        <v>0</v>
      </c>
      <c r="CC57" s="108">
        <v>0</v>
      </c>
      <c r="CD57" s="108">
        <v>0</v>
      </c>
      <c r="CE57" s="107">
        <v>0</v>
      </c>
      <c r="CF57" s="108">
        <v>0</v>
      </c>
      <c r="CG57" s="107">
        <v>0</v>
      </c>
      <c r="CH57" s="107">
        <v>0</v>
      </c>
      <c r="CI57" s="107">
        <v>0</v>
      </c>
      <c r="CJ57" s="108">
        <v>0</v>
      </c>
      <c r="CK57" s="107">
        <v>0</v>
      </c>
      <c r="CL57" s="108">
        <v>0</v>
      </c>
      <c r="CM57" s="107">
        <v>0</v>
      </c>
      <c r="CN57" s="107">
        <v>0</v>
      </c>
    </row>
    <row r="58" spans="1:92">
      <c r="A58" s="207" t="s">
        <v>552</v>
      </c>
      <c r="B58" s="108">
        <v>3</v>
      </c>
      <c r="C58" s="107">
        <v>0</v>
      </c>
      <c r="D58" s="107">
        <v>0</v>
      </c>
      <c r="E58" s="107">
        <v>0</v>
      </c>
      <c r="F58" s="107">
        <v>0</v>
      </c>
      <c r="G58" s="107">
        <v>0</v>
      </c>
      <c r="H58" s="107">
        <v>0</v>
      </c>
      <c r="I58" s="107">
        <v>0</v>
      </c>
      <c r="J58" s="107">
        <v>0</v>
      </c>
      <c r="K58" s="107">
        <v>0</v>
      </c>
      <c r="L58" s="107">
        <v>0</v>
      </c>
      <c r="M58" s="107">
        <v>0</v>
      </c>
      <c r="N58" s="107">
        <v>0</v>
      </c>
      <c r="O58" s="107">
        <v>0</v>
      </c>
      <c r="P58" s="107">
        <v>0</v>
      </c>
      <c r="Q58" s="107">
        <v>0</v>
      </c>
      <c r="R58" s="108">
        <v>0</v>
      </c>
      <c r="S58" s="107">
        <v>0</v>
      </c>
      <c r="T58" s="107">
        <v>0</v>
      </c>
      <c r="U58" s="107">
        <v>0</v>
      </c>
      <c r="V58" s="107">
        <v>0</v>
      </c>
      <c r="W58" s="107">
        <v>0</v>
      </c>
      <c r="X58" s="107">
        <v>0</v>
      </c>
      <c r="Y58" s="107">
        <v>0</v>
      </c>
      <c r="Z58" s="107">
        <v>0</v>
      </c>
      <c r="AA58" s="107">
        <v>0</v>
      </c>
      <c r="AB58" s="107">
        <v>0</v>
      </c>
      <c r="AC58" s="108">
        <v>3</v>
      </c>
      <c r="AD58" s="107">
        <v>0</v>
      </c>
      <c r="AE58" s="107">
        <v>0</v>
      </c>
      <c r="AF58" s="107">
        <v>0</v>
      </c>
      <c r="AG58" s="107">
        <v>0</v>
      </c>
      <c r="AH58" s="107">
        <v>0</v>
      </c>
      <c r="AI58" s="107">
        <v>0</v>
      </c>
      <c r="AJ58" s="107">
        <v>0</v>
      </c>
      <c r="AK58" s="107">
        <v>0</v>
      </c>
      <c r="AL58" s="107">
        <v>0</v>
      </c>
      <c r="AM58" s="108">
        <v>0</v>
      </c>
      <c r="AN58" s="107">
        <v>0</v>
      </c>
      <c r="AO58" s="107">
        <v>0</v>
      </c>
      <c r="AP58" s="107">
        <v>0</v>
      </c>
      <c r="AQ58" s="107">
        <v>0</v>
      </c>
      <c r="AR58" s="107">
        <v>0</v>
      </c>
      <c r="AS58" s="107">
        <v>0</v>
      </c>
      <c r="AT58" s="107">
        <v>0</v>
      </c>
      <c r="AU58" s="108">
        <v>0</v>
      </c>
      <c r="AV58" s="107">
        <v>0</v>
      </c>
      <c r="AW58" s="107">
        <v>0</v>
      </c>
      <c r="AX58" s="107">
        <v>0</v>
      </c>
      <c r="AY58" s="107">
        <v>0</v>
      </c>
      <c r="AZ58" s="107">
        <v>0</v>
      </c>
      <c r="BA58" s="107">
        <v>0</v>
      </c>
      <c r="BB58" s="107">
        <v>0</v>
      </c>
      <c r="BC58" s="107">
        <v>0</v>
      </c>
      <c r="BD58" s="107">
        <v>0</v>
      </c>
      <c r="BE58" s="107">
        <v>0</v>
      </c>
      <c r="BF58" s="107">
        <v>0</v>
      </c>
      <c r="BG58" s="107">
        <v>0</v>
      </c>
      <c r="BH58" s="107">
        <v>0</v>
      </c>
      <c r="BI58" s="108">
        <v>0</v>
      </c>
      <c r="BJ58" s="107">
        <v>0</v>
      </c>
      <c r="BK58" s="107">
        <v>0</v>
      </c>
      <c r="BL58" s="107">
        <v>0</v>
      </c>
      <c r="BM58" s="107">
        <v>0</v>
      </c>
      <c r="BN58" s="107">
        <v>0</v>
      </c>
      <c r="BO58" s="108">
        <v>0</v>
      </c>
      <c r="BP58" s="107">
        <v>0</v>
      </c>
      <c r="BQ58" s="107">
        <v>0</v>
      </c>
      <c r="BR58" s="107">
        <v>0</v>
      </c>
      <c r="BS58" s="107">
        <v>0</v>
      </c>
      <c r="BT58" s="107">
        <v>0</v>
      </c>
      <c r="BU58" s="108">
        <v>0</v>
      </c>
      <c r="BV58" s="107">
        <v>0</v>
      </c>
      <c r="BW58" s="108">
        <v>0</v>
      </c>
      <c r="BX58" s="107">
        <v>0</v>
      </c>
      <c r="BY58" s="107">
        <v>0</v>
      </c>
      <c r="BZ58" s="107">
        <v>0</v>
      </c>
      <c r="CA58" s="107">
        <v>0</v>
      </c>
      <c r="CB58" s="107">
        <v>0</v>
      </c>
      <c r="CC58" s="108">
        <v>0</v>
      </c>
      <c r="CD58" s="108">
        <v>0</v>
      </c>
      <c r="CE58" s="107">
        <v>0</v>
      </c>
      <c r="CF58" s="108">
        <v>0</v>
      </c>
      <c r="CG58" s="107">
        <v>0</v>
      </c>
      <c r="CH58" s="107">
        <v>0</v>
      </c>
      <c r="CI58" s="107">
        <v>0</v>
      </c>
      <c r="CJ58" s="108">
        <v>0</v>
      </c>
      <c r="CK58" s="107">
        <v>0</v>
      </c>
      <c r="CL58" s="108">
        <v>0</v>
      </c>
      <c r="CM58" s="107">
        <v>0</v>
      </c>
      <c r="CN58" s="107">
        <v>0</v>
      </c>
    </row>
    <row r="59" spans="1:92">
      <c r="A59" s="207" t="s">
        <v>569</v>
      </c>
      <c r="B59" s="108">
        <v>2</v>
      </c>
      <c r="C59" s="107">
        <v>0</v>
      </c>
      <c r="D59" s="107">
        <v>0</v>
      </c>
      <c r="E59" s="107">
        <v>0</v>
      </c>
      <c r="F59" s="107">
        <v>0</v>
      </c>
      <c r="G59" s="107">
        <v>0</v>
      </c>
      <c r="H59" s="107">
        <v>0</v>
      </c>
      <c r="I59" s="107">
        <v>0</v>
      </c>
      <c r="J59" s="107">
        <v>0</v>
      </c>
      <c r="K59" s="107">
        <v>0</v>
      </c>
      <c r="L59" s="107">
        <v>0</v>
      </c>
      <c r="M59" s="107">
        <v>0</v>
      </c>
      <c r="N59" s="107">
        <v>0</v>
      </c>
      <c r="O59" s="107">
        <v>0</v>
      </c>
      <c r="P59" s="107">
        <v>0</v>
      </c>
      <c r="Q59" s="107">
        <v>0</v>
      </c>
      <c r="R59" s="108">
        <v>0</v>
      </c>
      <c r="S59" s="107">
        <v>0</v>
      </c>
      <c r="T59" s="107">
        <v>0</v>
      </c>
      <c r="U59" s="107">
        <v>0</v>
      </c>
      <c r="V59" s="107">
        <v>0</v>
      </c>
      <c r="W59" s="107">
        <v>0</v>
      </c>
      <c r="X59" s="107">
        <v>0</v>
      </c>
      <c r="Y59" s="107">
        <v>0</v>
      </c>
      <c r="Z59" s="107">
        <v>0</v>
      </c>
      <c r="AA59" s="107">
        <v>0</v>
      </c>
      <c r="AB59" s="107">
        <v>0</v>
      </c>
      <c r="AC59" s="108">
        <v>1</v>
      </c>
      <c r="AD59" s="107">
        <v>0</v>
      </c>
      <c r="AE59" s="107">
        <v>0</v>
      </c>
      <c r="AF59" s="107">
        <v>0</v>
      </c>
      <c r="AG59" s="107">
        <v>0</v>
      </c>
      <c r="AH59" s="107">
        <v>0</v>
      </c>
      <c r="AI59" s="107">
        <v>0</v>
      </c>
      <c r="AJ59" s="107">
        <v>0</v>
      </c>
      <c r="AK59" s="107">
        <v>0</v>
      </c>
      <c r="AL59" s="107">
        <v>0</v>
      </c>
      <c r="AM59" s="108">
        <v>0</v>
      </c>
      <c r="AN59" s="107">
        <v>0</v>
      </c>
      <c r="AO59" s="107">
        <v>0</v>
      </c>
      <c r="AP59" s="107">
        <v>0</v>
      </c>
      <c r="AQ59" s="107">
        <v>0</v>
      </c>
      <c r="AR59" s="107">
        <v>0</v>
      </c>
      <c r="AS59" s="107">
        <v>0</v>
      </c>
      <c r="AT59" s="107">
        <v>0</v>
      </c>
      <c r="AU59" s="108">
        <v>0</v>
      </c>
      <c r="AV59" s="107">
        <v>0</v>
      </c>
      <c r="AW59" s="107">
        <v>0</v>
      </c>
      <c r="AX59" s="107">
        <v>0</v>
      </c>
      <c r="AY59" s="107">
        <v>0</v>
      </c>
      <c r="AZ59" s="107">
        <v>0</v>
      </c>
      <c r="BA59" s="107">
        <v>0</v>
      </c>
      <c r="BB59" s="107">
        <v>0</v>
      </c>
      <c r="BC59" s="107">
        <v>0</v>
      </c>
      <c r="BD59" s="107">
        <v>0</v>
      </c>
      <c r="BE59" s="107">
        <v>0</v>
      </c>
      <c r="BF59" s="107">
        <v>0</v>
      </c>
      <c r="BG59" s="107">
        <v>0</v>
      </c>
      <c r="BH59" s="107">
        <v>0</v>
      </c>
      <c r="BI59" s="108">
        <v>0</v>
      </c>
      <c r="BJ59" s="107">
        <v>0</v>
      </c>
      <c r="BK59" s="107">
        <v>0</v>
      </c>
      <c r="BL59" s="107">
        <v>0</v>
      </c>
      <c r="BM59" s="107">
        <v>0</v>
      </c>
      <c r="BN59" s="107">
        <v>0</v>
      </c>
      <c r="BO59" s="108">
        <v>1</v>
      </c>
      <c r="BP59" s="107">
        <v>0</v>
      </c>
      <c r="BQ59" s="107">
        <v>0</v>
      </c>
      <c r="BR59" s="107">
        <v>0</v>
      </c>
      <c r="BS59" s="107">
        <v>0</v>
      </c>
      <c r="BT59" s="107">
        <v>0</v>
      </c>
      <c r="BU59" s="108">
        <v>0</v>
      </c>
      <c r="BV59" s="107">
        <v>0</v>
      </c>
      <c r="BW59" s="108">
        <v>0</v>
      </c>
      <c r="BX59" s="107">
        <v>0</v>
      </c>
      <c r="BY59" s="107">
        <v>0</v>
      </c>
      <c r="BZ59" s="107">
        <v>0</v>
      </c>
      <c r="CA59" s="107">
        <v>0</v>
      </c>
      <c r="CB59" s="107">
        <v>0</v>
      </c>
      <c r="CC59" s="108">
        <v>0</v>
      </c>
      <c r="CD59" s="108">
        <v>0</v>
      </c>
      <c r="CE59" s="107">
        <v>0</v>
      </c>
      <c r="CF59" s="108">
        <v>0</v>
      </c>
      <c r="CG59" s="107">
        <v>0</v>
      </c>
      <c r="CH59" s="107">
        <v>0</v>
      </c>
      <c r="CI59" s="107">
        <v>0</v>
      </c>
      <c r="CJ59" s="108">
        <v>0</v>
      </c>
      <c r="CK59" s="107">
        <v>0</v>
      </c>
      <c r="CL59" s="108">
        <v>0</v>
      </c>
      <c r="CM59" s="107">
        <v>0</v>
      </c>
      <c r="CN59" s="107">
        <v>0</v>
      </c>
    </row>
    <row r="60" spans="1:92">
      <c r="A60" s="207" t="s">
        <v>553</v>
      </c>
      <c r="B60" s="108">
        <v>22</v>
      </c>
      <c r="C60" s="107">
        <v>0</v>
      </c>
      <c r="D60" s="107">
        <v>0</v>
      </c>
      <c r="E60" s="107">
        <v>0</v>
      </c>
      <c r="F60" s="107">
        <v>0</v>
      </c>
      <c r="G60" s="107">
        <v>0</v>
      </c>
      <c r="H60" s="107">
        <v>0</v>
      </c>
      <c r="I60" s="107">
        <v>0</v>
      </c>
      <c r="J60" s="107">
        <v>0</v>
      </c>
      <c r="K60" s="107">
        <v>0</v>
      </c>
      <c r="L60" s="107">
        <v>0</v>
      </c>
      <c r="M60" s="107">
        <v>1</v>
      </c>
      <c r="N60" s="107">
        <v>0</v>
      </c>
      <c r="O60" s="107">
        <v>0</v>
      </c>
      <c r="P60" s="107">
        <v>0</v>
      </c>
      <c r="Q60" s="107">
        <v>0</v>
      </c>
      <c r="R60" s="108">
        <v>3</v>
      </c>
      <c r="S60" s="107">
        <v>0</v>
      </c>
      <c r="T60" s="107">
        <v>0</v>
      </c>
      <c r="U60" s="107">
        <v>0</v>
      </c>
      <c r="V60" s="107">
        <v>0</v>
      </c>
      <c r="W60" s="107">
        <v>0</v>
      </c>
      <c r="X60" s="107">
        <v>0</v>
      </c>
      <c r="Y60" s="107">
        <v>0</v>
      </c>
      <c r="Z60" s="107">
        <v>0</v>
      </c>
      <c r="AA60" s="107">
        <v>0</v>
      </c>
      <c r="AB60" s="107">
        <v>0</v>
      </c>
      <c r="AC60" s="108">
        <v>13</v>
      </c>
      <c r="AD60" s="107">
        <v>0</v>
      </c>
      <c r="AE60" s="107">
        <v>0</v>
      </c>
      <c r="AF60" s="107">
        <v>0</v>
      </c>
      <c r="AG60" s="107">
        <v>0</v>
      </c>
      <c r="AH60" s="107">
        <v>1</v>
      </c>
      <c r="AI60" s="107">
        <v>0</v>
      </c>
      <c r="AJ60" s="107">
        <v>0</v>
      </c>
      <c r="AK60" s="107">
        <v>0</v>
      </c>
      <c r="AL60" s="107">
        <v>0</v>
      </c>
      <c r="AM60" s="108">
        <v>0</v>
      </c>
      <c r="AN60" s="107">
        <v>0</v>
      </c>
      <c r="AO60" s="107">
        <v>0</v>
      </c>
      <c r="AP60" s="107">
        <v>0</v>
      </c>
      <c r="AQ60" s="107">
        <v>0</v>
      </c>
      <c r="AR60" s="107">
        <v>0</v>
      </c>
      <c r="AS60" s="107">
        <v>0</v>
      </c>
      <c r="AT60" s="107">
        <v>0</v>
      </c>
      <c r="AU60" s="108">
        <v>0</v>
      </c>
      <c r="AV60" s="107">
        <v>0</v>
      </c>
      <c r="AW60" s="107">
        <v>0</v>
      </c>
      <c r="AX60" s="107">
        <v>0</v>
      </c>
      <c r="AY60" s="107">
        <v>0</v>
      </c>
      <c r="AZ60" s="107">
        <v>0</v>
      </c>
      <c r="BA60" s="107">
        <v>0</v>
      </c>
      <c r="BB60" s="107">
        <v>0</v>
      </c>
      <c r="BC60" s="107">
        <v>0</v>
      </c>
      <c r="BD60" s="107">
        <v>0</v>
      </c>
      <c r="BE60" s="107">
        <v>0</v>
      </c>
      <c r="BF60" s="107">
        <v>0</v>
      </c>
      <c r="BG60" s="107">
        <v>0</v>
      </c>
      <c r="BH60" s="107">
        <v>0</v>
      </c>
      <c r="BI60" s="108">
        <v>0</v>
      </c>
      <c r="BJ60" s="107">
        <v>0</v>
      </c>
      <c r="BK60" s="107">
        <v>0</v>
      </c>
      <c r="BL60" s="107">
        <v>0</v>
      </c>
      <c r="BM60" s="107">
        <v>0</v>
      </c>
      <c r="BN60" s="107">
        <v>0</v>
      </c>
      <c r="BO60" s="108">
        <v>4</v>
      </c>
      <c r="BP60" s="107">
        <v>0</v>
      </c>
      <c r="BQ60" s="107">
        <v>0</v>
      </c>
      <c r="BR60" s="107">
        <v>0</v>
      </c>
      <c r="BS60" s="107">
        <v>0</v>
      </c>
      <c r="BT60" s="107">
        <v>0</v>
      </c>
      <c r="BU60" s="108">
        <v>0</v>
      </c>
      <c r="BV60" s="107">
        <v>0</v>
      </c>
      <c r="BW60" s="108">
        <v>0</v>
      </c>
      <c r="BX60" s="107">
        <v>0</v>
      </c>
      <c r="BY60" s="107">
        <v>0</v>
      </c>
      <c r="BZ60" s="107">
        <v>0</v>
      </c>
      <c r="CA60" s="107">
        <v>0</v>
      </c>
      <c r="CB60" s="107">
        <v>0</v>
      </c>
      <c r="CC60" s="108">
        <v>0</v>
      </c>
      <c r="CD60" s="108">
        <v>0</v>
      </c>
      <c r="CE60" s="107">
        <v>0</v>
      </c>
      <c r="CF60" s="108">
        <v>0</v>
      </c>
      <c r="CG60" s="107">
        <v>0</v>
      </c>
      <c r="CH60" s="107">
        <v>0</v>
      </c>
      <c r="CI60" s="107">
        <v>0</v>
      </c>
      <c r="CJ60" s="108">
        <v>0</v>
      </c>
      <c r="CK60" s="107">
        <v>0</v>
      </c>
      <c r="CL60" s="108">
        <v>0</v>
      </c>
      <c r="CM60" s="107">
        <v>0</v>
      </c>
      <c r="CN60" s="107">
        <v>0</v>
      </c>
    </row>
    <row r="61" spans="1:92">
      <c r="A61" s="207" t="s">
        <v>597</v>
      </c>
      <c r="B61" s="108">
        <v>16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8">
        <v>1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0</v>
      </c>
      <c r="Z61" s="107">
        <v>0</v>
      </c>
      <c r="AA61" s="107">
        <v>0</v>
      </c>
      <c r="AB61" s="107">
        <v>0</v>
      </c>
      <c r="AC61" s="108">
        <v>5</v>
      </c>
      <c r="AD61" s="107">
        <v>0</v>
      </c>
      <c r="AE61" s="107">
        <v>0</v>
      </c>
      <c r="AF61" s="107">
        <v>0</v>
      </c>
      <c r="AG61" s="107">
        <v>0</v>
      </c>
      <c r="AH61" s="107">
        <v>0</v>
      </c>
      <c r="AI61" s="107">
        <v>0</v>
      </c>
      <c r="AJ61" s="107">
        <v>0</v>
      </c>
      <c r="AK61" s="107">
        <v>0</v>
      </c>
      <c r="AL61" s="107">
        <v>0</v>
      </c>
      <c r="AM61" s="108">
        <v>0</v>
      </c>
      <c r="AN61" s="107">
        <v>0</v>
      </c>
      <c r="AO61" s="107">
        <v>0</v>
      </c>
      <c r="AP61" s="107">
        <v>0</v>
      </c>
      <c r="AQ61" s="107">
        <v>0</v>
      </c>
      <c r="AR61" s="107">
        <v>0</v>
      </c>
      <c r="AS61" s="107">
        <v>0</v>
      </c>
      <c r="AT61" s="107">
        <v>0</v>
      </c>
      <c r="AU61" s="108">
        <v>0</v>
      </c>
      <c r="AV61" s="107">
        <v>0</v>
      </c>
      <c r="AW61" s="107">
        <v>0</v>
      </c>
      <c r="AX61" s="107">
        <v>0</v>
      </c>
      <c r="AY61" s="107">
        <v>0</v>
      </c>
      <c r="AZ61" s="107">
        <v>0</v>
      </c>
      <c r="BA61" s="107">
        <v>0</v>
      </c>
      <c r="BB61" s="107">
        <v>0</v>
      </c>
      <c r="BC61" s="107">
        <v>0</v>
      </c>
      <c r="BD61" s="107">
        <v>0</v>
      </c>
      <c r="BE61" s="107">
        <v>1</v>
      </c>
      <c r="BF61" s="107">
        <v>0</v>
      </c>
      <c r="BG61" s="107">
        <v>0</v>
      </c>
      <c r="BH61" s="107">
        <v>0</v>
      </c>
      <c r="BI61" s="108">
        <v>0</v>
      </c>
      <c r="BJ61" s="107">
        <v>0</v>
      </c>
      <c r="BK61" s="107">
        <v>1</v>
      </c>
      <c r="BL61" s="107">
        <v>0</v>
      </c>
      <c r="BM61" s="107">
        <v>0</v>
      </c>
      <c r="BN61" s="107">
        <v>0</v>
      </c>
      <c r="BO61" s="108">
        <v>0</v>
      </c>
      <c r="BP61" s="107">
        <v>0</v>
      </c>
      <c r="BQ61" s="107">
        <v>6</v>
      </c>
      <c r="BR61" s="107">
        <v>0</v>
      </c>
      <c r="BS61" s="107">
        <v>0</v>
      </c>
      <c r="BT61" s="107">
        <v>0</v>
      </c>
      <c r="BU61" s="108">
        <v>0</v>
      </c>
      <c r="BV61" s="107">
        <v>0</v>
      </c>
      <c r="BW61" s="108">
        <v>0</v>
      </c>
      <c r="BX61" s="107">
        <v>0</v>
      </c>
      <c r="BY61" s="107">
        <v>0</v>
      </c>
      <c r="BZ61" s="107">
        <v>0</v>
      </c>
      <c r="CA61" s="107">
        <v>0</v>
      </c>
      <c r="CB61" s="107">
        <v>0</v>
      </c>
      <c r="CC61" s="108">
        <v>0</v>
      </c>
      <c r="CD61" s="108">
        <v>0</v>
      </c>
      <c r="CE61" s="107">
        <v>0</v>
      </c>
      <c r="CF61" s="108">
        <v>0</v>
      </c>
      <c r="CG61" s="107">
        <v>0</v>
      </c>
      <c r="CH61" s="107">
        <v>0</v>
      </c>
      <c r="CI61" s="107">
        <v>0</v>
      </c>
      <c r="CJ61" s="108">
        <v>2</v>
      </c>
      <c r="CK61" s="107">
        <v>0</v>
      </c>
      <c r="CL61" s="108">
        <v>0</v>
      </c>
      <c r="CM61" s="107">
        <v>0</v>
      </c>
      <c r="CN61" s="107">
        <v>0</v>
      </c>
    </row>
    <row r="62" spans="1:92">
      <c r="A62" s="207" t="s">
        <v>484</v>
      </c>
      <c r="B62" s="108">
        <v>9</v>
      </c>
      <c r="C62" s="107">
        <v>0</v>
      </c>
      <c r="D62" s="107">
        <v>0</v>
      </c>
      <c r="E62" s="107">
        <v>0</v>
      </c>
      <c r="F62" s="107">
        <v>0</v>
      </c>
      <c r="G62" s="107">
        <v>0</v>
      </c>
      <c r="H62" s="107">
        <v>0</v>
      </c>
      <c r="I62" s="107">
        <v>0</v>
      </c>
      <c r="J62" s="107">
        <v>0</v>
      </c>
      <c r="K62" s="107">
        <v>0</v>
      </c>
      <c r="L62" s="107">
        <v>0</v>
      </c>
      <c r="M62" s="107">
        <v>0</v>
      </c>
      <c r="N62" s="107">
        <v>0</v>
      </c>
      <c r="O62" s="107">
        <v>0</v>
      </c>
      <c r="P62" s="107">
        <v>0</v>
      </c>
      <c r="Q62" s="107">
        <v>0</v>
      </c>
      <c r="R62" s="108">
        <v>0</v>
      </c>
      <c r="S62" s="107">
        <v>0</v>
      </c>
      <c r="T62" s="107">
        <v>0</v>
      </c>
      <c r="U62" s="107">
        <v>0</v>
      </c>
      <c r="V62" s="107">
        <v>0</v>
      </c>
      <c r="W62" s="107">
        <v>0</v>
      </c>
      <c r="X62" s="107">
        <v>0</v>
      </c>
      <c r="Y62" s="107">
        <v>0</v>
      </c>
      <c r="Z62" s="107">
        <v>0</v>
      </c>
      <c r="AA62" s="107">
        <v>0</v>
      </c>
      <c r="AB62" s="107">
        <v>0</v>
      </c>
      <c r="AC62" s="108">
        <v>6</v>
      </c>
      <c r="AD62" s="107">
        <v>0</v>
      </c>
      <c r="AE62" s="107">
        <v>0</v>
      </c>
      <c r="AF62" s="107">
        <v>0</v>
      </c>
      <c r="AG62" s="107">
        <v>0</v>
      </c>
      <c r="AH62" s="107">
        <v>0</v>
      </c>
      <c r="AI62" s="107">
        <v>0</v>
      </c>
      <c r="AJ62" s="107">
        <v>0</v>
      </c>
      <c r="AK62" s="107">
        <v>0</v>
      </c>
      <c r="AL62" s="107">
        <v>0</v>
      </c>
      <c r="AM62" s="108">
        <v>0</v>
      </c>
      <c r="AN62" s="107">
        <v>0</v>
      </c>
      <c r="AO62" s="107">
        <v>0</v>
      </c>
      <c r="AP62" s="107">
        <v>0</v>
      </c>
      <c r="AQ62" s="107">
        <v>0</v>
      </c>
      <c r="AR62" s="107">
        <v>0</v>
      </c>
      <c r="AS62" s="107">
        <v>0</v>
      </c>
      <c r="AT62" s="107">
        <v>0</v>
      </c>
      <c r="AU62" s="108">
        <v>0</v>
      </c>
      <c r="AV62" s="107">
        <v>0</v>
      </c>
      <c r="AW62" s="107">
        <v>0</v>
      </c>
      <c r="AX62" s="107">
        <v>0</v>
      </c>
      <c r="AY62" s="107">
        <v>0</v>
      </c>
      <c r="AZ62" s="107">
        <v>0</v>
      </c>
      <c r="BA62" s="107">
        <v>0</v>
      </c>
      <c r="BB62" s="107">
        <v>0</v>
      </c>
      <c r="BC62" s="107">
        <v>0</v>
      </c>
      <c r="BD62" s="107">
        <v>0</v>
      </c>
      <c r="BE62" s="107">
        <v>0</v>
      </c>
      <c r="BF62" s="107">
        <v>0</v>
      </c>
      <c r="BG62" s="107">
        <v>0</v>
      </c>
      <c r="BH62" s="107">
        <v>0</v>
      </c>
      <c r="BI62" s="108">
        <v>0</v>
      </c>
      <c r="BJ62" s="107">
        <v>0</v>
      </c>
      <c r="BK62" s="107">
        <v>0</v>
      </c>
      <c r="BL62" s="107">
        <v>0</v>
      </c>
      <c r="BM62" s="107">
        <v>0</v>
      </c>
      <c r="BN62" s="107">
        <v>0</v>
      </c>
      <c r="BO62" s="108">
        <v>0</v>
      </c>
      <c r="BP62" s="107">
        <v>0</v>
      </c>
      <c r="BQ62" s="107">
        <v>0</v>
      </c>
      <c r="BR62" s="107">
        <v>3</v>
      </c>
      <c r="BS62" s="107">
        <v>0</v>
      </c>
      <c r="BT62" s="107">
        <v>0</v>
      </c>
      <c r="BU62" s="108">
        <v>0</v>
      </c>
      <c r="BV62" s="107">
        <v>0</v>
      </c>
      <c r="BW62" s="108">
        <v>0</v>
      </c>
      <c r="BX62" s="107">
        <v>0</v>
      </c>
      <c r="BY62" s="107">
        <v>0</v>
      </c>
      <c r="BZ62" s="107">
        <v>0</v>
      </c>
      <c r="CA62" s="107">
        <v>0</v>
      </c>
      <c r="CB62" s="107">
        <v>0</v>
      </c>
      <c r="CC62" s="108">
        <v>0</v>
      </c>
      <c r="CD62" s="108">
        <v>0</v>
      </c>
      <c r="CE62" s="107">
        <v>0</v>
      </c>
      <c r="CF62" s="108">
        <v>0</v>
      </c>
      <c r="CG62" s="107">
        <v>0</v>
      </c>
      <c r="CH62" s="107">
        <v>0</v>
      </c>
      <c r="CI62" s="107">
        <v>0</v>
      </c>
      <c r="CJ62" s="108">
        <v>0</v>
      </c>
      <c r="CK62" s="107">
        <v>0</v>
      </c>
      <c r="CL62" s="108">
        <v>0</v>
      </c>
      <c r="CM62" s="107">
        <v>0</v>
      </c>
      <c r="CN62" s="107">
        <v>0</v>
      </c>
    </row>
    <row r="63" spans="1:92">
      <c r="A63" s="207" t="s">
        <v>578</v>
      </c>
      <c r="B63" s="108">
        <v>75</v>
      </c>
      <c r="C63" s="107">
        <v>0</v>
      </c>
      <c r="D63" s="107">
        <v>0</v>
      </c>
      <c r="E63" s="107">
        <v>0</v>
      </c>
      <c r="F63" s="107">
        <v>0</v>
      </c>
      <c r="G63" s="107">
        <v>0</v>
      </c>
      <c r="H63" s="107">
        <v>0</v>
      </c>
      <c r="I63" s="107">
        <v>0</v>
      </c>
      <c r="J63" s="107">
        <v>0</v>
      </c>
      <c r="K63" s="107">
        <v>0</v>
      </c>
      <c r="L63" s="107">
        <v>0</v>
      </c>
      <c r="M63" s="107">
        <v>0</v>
      </c>
      <c r="N63" s="107">
        <v>0</v>
      </c>
      <c r="O63" s="107">
        <v>0</v>
      </c>
      <c r="P63" s="107">
        <v>0</v>
      </c>
      <c r="Q63" s="107">
        <v>0</v>
      </c>
      <c r="R63" s="108">
        <v>0</v>
      </c>
      <c r="S63" s="107">
        <v>0</v>
      </c>
      <c r="T63" s="107">
        <v>0</v>
      </c>
      <c r="U63" s="107">
        <v>0</v>
      </c>
      <c r="V63" s="107">
        <v>0</v>
      </c>
      <c r="W63" s="107">
        <v>0</v>
      </c>
      <c r="X63" s="107">
        <v>0</v>
      </c>
      <c r="Y63" s="107">
        <v>0</v>
      </c>
      <c r="Z63" s="107">
        <v>0</v>
      </c>
      <c r="AA63" s="107">
        <v>0</v>
      </c>
      <c r="AB63" s="107">
        <v>0</v>
      </c>
      <c r="AC63" s="108">
        <v>68</v>
      </c>
      <c r="AD63" s="107">
        <v>0</v>
      </c>
      <c r="AE63" s="107">
        <v>0</v>
      </c>
      <c r="AF63" s="107">
        <v>0</v>
      </c>
      <c r="AG63" s="107">
        <v>0</v>
      </c>
      <c r="AH63" s="107">
        <v>0</v>
      </c>
      <c r="AI63" s="107">
        <v>0</v>
      </c>
      <c r="AJ63" s="107">
        <v>0</v>
      </c>
      <c r="AK63" s="107">
        <v>0</v>
      </c>
      <c r="AL63" s="107">
        <v>0</v>
      </c>
      <c r="AM63" s="108">
        <v>0</v>
      </c>
      <c r="AN63" s="107">
        <v>0</v>
      </c>
      <c r="AO63" s="107">
        <v>0</v>
      </c>
      <c r="AP63" s="107">
        <v>0</v>
      </c>
      <c r="AQ63" s="107">
        <v>0</v>
      </c>
      <c r="AR63" s="107">
        <v>0</v>
      </c>
      <c r="AS63" s="107">
        <v>0</v>
      </c>
      <c r="AT63" s="107">
        <v>0</v>
      </c>
      <c r="AU63" s="108">
        <v>0</v>
      </c>
      <c r="AV63" s="107">
        <v>0</v>
      </c>
      <c r="AW63" s="107">
        <v>0</v>
      </c>
      <c r="AX63" s="107">
        <v>0</v>
      </c>
      <c r="AY63" s="107">
        <v>0</v>
      </c>
      <c r="AZ63" s="107">
        <v>0</v>
      </c>
      <c r="BA63" s="107">
        <v>0</v>
      </c>
      <c r="BB63" s="107">
        <v>0</v>
      </c>
      <c r="BC63" s="107">
        <v>0</v>
      </c>
      <c r="BD63" s="107">
        <v>0</v>
      </c>
      <c r="BE63" s="107">
        <v>0</v>
      </c>
      <c r="BF63" s="107">
        <v>0</v>
      </c>
      <c r="BG63" s="107">
        <v>0</v>
      </c>
      <c r="BH63" s="107">
        <v>0</v>
      </c>
      <c r="BI63" s="108">
        <v>0</v>
      </c>
      <c r="BJ63" s="107">
        <v>0</v>
      </c>
      <c r="BK63" s="107">
        <v>0</v>
      </c>
      <c r="BL63" s="107">
        <v>0</v>
      </c>
      <c r="BM63" s="107">
        <v>0</v>
      </c>
      <c r="BN63" s="107">
        <v>0</v>
      </c>
      <c r="BO63" s="108">
        <v>1</v>
      </c>
      <c r="BP63" s="107">
        <v>0</v>
      </c>
      <c r="BQ63" s="107">
        <v>0</v>
      </c>
      <c r="BR63" s="107">
        <v>0</v>
      </c>
      <c r="BS63" s="107">
        <v>5</v>
      </c>
      <c r="BT63" s="107">
        <v>0</v>
      </c>
      <c r="BU63" s="108">
        <v>0</v>
      </c>
      <c r="BV63" s="107">
        <v>0</v>
      </c>
      <c r="BW63" s="108">
        <v>0</v>
      </c>
      <c r="BX63" s="107">
        <v>0</v>
      </c>
      <c r="BY63" s="107">
        <v>0</v>
      </c>
      <c r="BZ63" s="107">
        <v>0</v>
      </c>
      <c r="CA63" s="107">
        <v>0</v>
      </c>
      <c r="CB63" s="107">
        <v>0</v>
      </c>
      <c r="CC63" s="108">
        <v>0</v>
      </c>
      <c r="CD63" s="108">
        <v>0</v>
      </c>
      <c r="CE63" s="107">
        <v>0</v>
      </c>
      <c r="CF63" s="108">
        <v>0</v>
      </c>
      <c r="CG63" s="107">
        <v>0</v>
      </c>
      <c r="CH63" s="107">
        <v>0</v>
      </c>
      <c r="CI63" s="107">
        <v>0</v>
      </c>
      <c r="CJ63" s="108">
        <v>1</v>
      </c>
      <c r="CK63" s="107">
        <v>0</v>
      </c>
      <c r="CL63" s="108">
        <v>0</v>
      </c>
      <c r="CM63" s="107">
        <v>0</v>
      </c>
      <c r="CN63" s="107">
        <v>0</v>
      </c>
    </row>
    <row r="64" spans="1:92">
      <c r="A64" s="207" t="s">
        <v>598</v>
      </c>
      <c r="B64" s="108">
        <v>4</v>
      </c>
      <c r="C64" s="107">
        <v>0</v>
      </c>
      <c r="D64" s="107">
        <v>0</v>
      </c>
      <c r="E64" s="107">
        <v>0</v>
      </c>
      <c r="F64" s="107">
        <v>0</v>
      </c>
      <c r="G64" s="107">
        <v>0</v>
      </c>
      <c r="H64" s="107">
        <v>0</v>
      </c>
      <c r="I64" s="107">
        <v>0</v>
      </c>
      <c r="J64" s="107">
        <v>0</v>
      </c>
      <c r="K64" s="107">
        <v>0</v>
      </c>
      <c r="L64" s="107">
        <v>0</v>
      </c>
      <c r="M64" s="107">
        <v>0</v>
      </c>
      <c r="N64" s="107">
        <v>0</v>
      </c>
      <c r="O64" s="107">
        <v>0</v>
      </c>
      <c r="P64" s="107">
        <v>0</v>
      </c>
      <c r="Q64" s="107">
        <v>0</v>
      </c>
      <c r="R64" s="108">
        <v>0</v>
      </c>
      <c r="S64" s="107">
        <v>0</v>
      </c>
      <c r="T64" s="107">
        <v>0</v>
      </c>
      <c r="U64" s="107">
        <v>0</v>
      </c>
      <c r="V64" s="107">
        <v>0</v>
      </c>
      <c r="W64" s="107">
        <v>0</v>
      </c>
      <c r="X64" s="107">
        <v>0</v>
      </c>
      <c r="Y64" s="107">
        <v>0</v>
      </c>
      <c r="Z64" s="107">
        <v>0</v>
      </c>
      <c r="AA64" s="107">
        <v>0</v>
      </c>
      <c r="AB64" s="107">
        <v>0</v>
      </c>
      <c r="AC64" s="108">
        <v>4</v>
      </c>
      <c r="AD64" s="107">
        <v>0</v>
      </c>
      <c r="AE64" s="107">
        <v>0</v>
      </c>
      <c r="AF64" s="107">
        <v>0</v>
      </c>
      <c r="AG64" s="107">
        <v>0</v>
      </c>
      <c r="AH64" s="107">
        <v>0</v>
      </c>
      <c r="AI64" s="107">
        <v>0</v>
      </c>
      <c r="AJ64" s="107">
        <v>0</v>
      </c>
      <c r="AK64" s="107">
        <v>0</v>
      </c>
      <c r="AL64" s="107">
        <v>0</v>
      </c>
      <c r="AM64" s="108">
        <v>0</v>
      </c>
      <c r="AN64" s="107">
        <v>0</v>
      </c>
      <c r="AO64" s="107">
        <v>0</v>
      </c>
      <c r="AP64" s="107">
        <v>0</v>
      </c>
      <c r="AQ64" s="107">
        <v>0</v>
      </c>
      <c r="AR64" s="107">
        <v>0</v>
      </c>
      <c r="AS64" s="107">
        <v>0</v>
      </c>
      <c r="AT64" s="107">
        <v>0</v>
      </c>
      <c r="AU64" s="108">
        <v>0</v>
      </c>
      <c r="AV64" s="107">
        <v>0</v>
      </c>
      <c r="AW64" s="107">
        <v>0</v>
      </c>
      <c r="AX64" s="107">
        <v>0</v>
      </c>
      <c r="AY64" s="107">
        <v>0</v>
      </c>
      <c r="AZ64" s="107">
        <v>0</v>
      </c>
      <c r="BA64" s="107">
        <v>0</v>
      </c>
      <c r="BB64" s="107">
        <v>0</v>
      </c>
      <c r="BC64" s="107">
        <v>0</v>
      </c>
      <c r="BD64" s="107">
        <v>0</v>
      </c>
      <c r="BE64" s="107">
        <v>0</v>
      </c>
      <c r="BF64" s="107">
        <v>0</v>
      </c>
      <c r="BG64" s="107">
        <v>0</v>
      </c>
      <c r="BH64" s="107">
        <v>0</v>
      </c>
      <c r="BI64" s="108">
        <v>0</v>
      </c>
      <c r="BJ64" s="107">
        <v>0</v>
      </c>
      <c r="BK64" s="107">
        <v>0</v>
      </c>
      <c r="BL64" s="107">
        <v>0</v>
      </c>
      <c r="BM64" s="107">
        <v>0</v>
      </c>
      <c r="BN64" s="107">
        <v>0</v>
      </c>
      <c r="BO64" s="108">
        <v>0</v>
      </c>
      <c r="BP64" s="107">
        <v>0</v>
      </c>
      <c r="BQ64" s="107">
        <v>0</v>
      </c>
      <c r="BR64" s="107">
        <v>0</v>
      </c>
      <c r="BS64" s="107">
        <v>0</v>
      </c>
      <c r="BT64" s="107">
        <v>0</v>
      </c>
      <c r="BU64" s="108">
        <v>0</v>
      </c>
      <c r="BV64" s="107">
        <v>0</v>
      </c>
      <c r="BW64" s="108">
        <v>0</v>
      </c>
      <c r="BX64" s="107">
        <v>0</v>
      </c>
      <c r="BY64" s="107">
        <v>0</v>
      </c>
      <c r="BZ64" s="107">
        <v>0</v>
      </c>
      <c r="CA64" s="107">
        <v>0</v>
      </c>
      <c r="CB64" s="107">
        <v>0</v>
      </c>
      <c r="CC64" s="108">
        <v>0</v>
      </c>
      <c r="CD64" s="108">
        <v>0</v>
      </c>
      <c r="CE64" s="107">
        <v>0</v>
      </c>
      <c r="CF64" s="108">
        <v>0</v>
      </c>
      <c r="CG64" s="107">
        <v>0</v>
      </c>
      <c r="CH64" s="107">
        <v>0</v>
      </c>
      <c r="CI64" s="107">
        <v>0</v>
      </c>
      <c r="CJ64" s="108">
        <v>0</v>
      </c>
      <c r="CK64" s="107">
        <v>0</v>
      </c>
      <c r="CL64" s="108">
        <v>0</v>
      </c>
      <c r="CM64" s="107">
        <v>0</v>
      </c>
      <c r="CN64" s="107">
        <v>0</v>
      </c>
    </row>
    <row r="65" spans="1:92">
      <c r="A65" s="207" t="s">
        <v>350</v>
      </c>
      <c r="B65" s="108">
        <v>25</v>
      </c>
      <c r="C65" s="107">
        <v>0</v>
      </c>
      <c r="D65" s="107">
        <v>0</v>
      </c>
      <c r="E65" s="107">
        <v>0</v>
      </c>
      <c r="F65" s="107">
        <v>0</v>
      </c>
      <c r="G65" s="107">
        <v>0</v>
      </c>
      <c r="H65" s="107">
        <v>0</v>
      </c>
      <c r="I65" s="107">
        <v>0</v>
      </c>
      <c r="J65" s="107">
        <v>0</v>
      </c>
      <c r="K65" s="107">
        <v>0</v>
      </c>
      <c r="L65" s="107">
        <v>0</v>
      </c>
      <c r="M65" s="107">
        <v>0</v>
      </c>
      <c r="N65" s="107">
        <v>0</v>
      </c>
      <c r="O65" s="107">
        <v>0</v>
      </c>
      <c r="P65" s="107">
        <v>0</v>
      </c>
      <c r="Q65" s="107">
        <v>0</v>
      </c>
      <c r="R65" s="108">
        <v>2</v>
      </c>
      <c r="S65" s="107">
        <v>0</v>
      </c>
      <c r="T65" s="107">
        <v>0</v>
      </c>
      <c r="U65" s="107">
        <v>0</v>
      </c>
      <c r="V65" s="107">
        <v>0</v>
      </c>
      <c r="W65" s="107">
        <v>0</v>
      </c>
      <c r="X65" s="107">
        <v>0</v>
      </c>
      <c r="Y65" s="107">
        <v>0</v>
      </c>
      <c r="Z65" s="107">
        <v>0</v>
      </c>
      <c r="AA65" s="107">
        <v>0</v>
      </c>
      <c r="AB65" s="107">
        <v>0</v>
      </c>
      <c r="AC65" s="108">
        <v>2</v>
      </c>
      <c r="AD65" s="107">
        <v>0</v>
      </c>
      <c r="AE65" s="107">
        <v>0</v>
      </c>
      <c r="AF65" s="107">
        <v>0</v>
      </c>
      <c r="AG65" s="107">
        <v>0</v>
      </c>
      <c r="AH65" s="107">
        <v>0</v>
      </c>
      <c r="AI65" s="107">
        <v>0</v>
      </c>
      <c r="AJ65" s="107">
        <v>0</v>
      </c>
      <c r="AK65" s="107">
        <v>0</v>
      </c>
      <c r="AL65" s="107">
        <v>0</v>
      </c>
      <c r="AM65" s="108">
        <v>0</v>
      </c>
      <c r="AN65" s="107">
        <v>0</v>
      </c>
      <c r="AO65" s="107">
        <v>0</v>
      </c>
      <c r="AP65" s="107">
        <v>0</v>
      </c>
      <c r="AQ65" s="107">
        <v>0</v>
      </c>
      <c r="AR65" s="107">
        <v>0</v>
      </c>
      <c r="AS65" s="107">
        <v>0</v>
      </c>
      <c r="AT65" s="107">
        <v>0</v>
      </c>
      <c r="AU65" s="108">
        <v>0</v>
      </c>
      <c r="AV65" s="107">
        <v>0</v>
      </c>
      <c r="AW65" s="107">
        <v>0</v>
      </c>
      <c r="AX65" s="107">
        <v>0</v>
      </c>
      <c r="AY65" s="107">
        <v>0</v>
      </c>
      <c r="AZ65" s="107">
        <v>0</v>
      </c>
      <c r="BA65" s="107">
        <v>0</v>
      </c>
      <c r="BB65" s="107">
        <v>0</v>
      </c>
      <c r="BC65" s="107">
        <v>0</v>
      </c>
      <c r="BD65" s="107">
        <v>0</v>
      </c>
      <c r="BE65" s="107">
        <v>0</v>
      </c>
      <c r="BF65" s="107">
        <v>0</v>
      </c>
      <c r="BG65" s="107">
        <v>0</v>
      </c>
      <c r="BH65" s="107">
        <v>0</v>
      </c>
      <c r="BI65" s="108">
        <v>0</v>
      </c>
      <c r="BJ65" s="107">
        <v>0</v>
      </c>
      <c r="BK65" s="107">
        <v>0</v>
      </c>
      <c r="BL65" s="107">
        <v>0</v>
      </c>
      <c r="BM65" s="107">
        <v>0</v>
      </c>
      <c r="BN65" s="107">
        <v>0</v>
      </c>
      <c r="BO65" s="108">
        <v>0</v>
      </c>
      <c r="BP65" s="107">
        <v>0</v>
      </c>
      <c r="BQ65" s="107">
        <v>0</v>
      </c>
      <c r="BR65" s="107">
        <v>0</v>
      </c>
      <c r="BS65" s="107">
        <v>0</v>
      </c>
      <c r="BT65" s="107">
        <v>0</v>
      </c>
      <c r="BU65" s="108">
        <v>21</v>
      </c>
      <c r="BV65" s="107">
        <v>0</v>
      </c>
      <c r="BW65" s="108">
        <v>0</v>
      </c>
      <c r="BX65" s="107">
        <v>0</v>
      </c>
      <c r="BY65" s="107">
        <v>0</v>
      </c>
      <c r="BZ65" s="107">
        <v>0</v>
      </c>
      <c r="CA65" s="107">
        <v>0</v>
      </c>
      <c r="CB65" s="107">
        <v>0</v>
      </c>
      <c r="CC65" s="108">
        <v>0</v>
      </c>
      <c r="CD65" s="108">
        <v>0</v>
      </c>
      <c r="CE65" s="107">
        <v>0</v>
      </c>
      <c r="CF65" s="108">
        <v>0</v>
      </c>
      <c r="CG65" s="107">
        <v>0</v>
      </c>
      <c r="CH65" s="107">
        <v>0</v>
      </c>
      <c r="CI65" s="107">
        <v>0</v>
      </c>
      <c r="CJ65" s="108">
        <v>0</v>
      </c>
      <c r="CK65" s="107">
        <v>0</v>
      </c>
      <c r="CL65" s="108">
        <v>0</v>
      </c>
      <c r="CM65" s="107">
        <v>0</v>
      </c>
      <c r="CN65" s="107">
        <v>0</v>
      </c>
    </row>
    <row r="66" spans="1:92">
      <c r="A66" s="207" t="s">
        <v>485</v>
      </c>
      <c r="B66" s="108">
        <v>2</v>
      </c>
      <c r="C66" s="107">
        <v>0</v>
      </c>
      <c r="D66" s="107">
        <v>0</v>
      </c>
      <c r="E66" s="107">
        <v>0</v>
      </c>
      <c r="F66" s="107">
        <v>0</v>
      </c>
      <c r="G66" s="107">
        <v>0</v>
      </c>
      <c r="H66" s="107">
        <v>0</v>
      </c>
      <c r="I66" s="107">
        <v>0</v>
      </c>
      <c r="J66" s="107">
        <v>0</v>
      </c>
      <c r="K66" s="107">
        <v>0</v>
      </c>
      <c r="L66" s="107">
        <v>0</v>
      </c>
      <c r="M66" s="107">
        <v>0</v>
      </c>
      <c r="N66" s="107">
        <v>0</v>
      </c>
      <c r="O66" s="107">
        <v>0</v>
      </c>
      <c r="P66" s="107">
        <v>0</v>
      </c>
      <c r="Q66" s="107">
        <v>0</v>
      </c>
      <c r="R66" s="108">
        <v>0</v>
      </c>
      <c r="S66" s="107">
        <v>0</v>
      </c>
      <c r="T66" s="107">
        <v>0</v>
      </c>
      <c r="U66" s="107">
        <v>0</v>
      </c>
      <c r="V66" s="107">
        <v>0</v>
      </c>
      <c r="W66" s="107">
        <v>0</v>
      </c>
      <c r="X66" s="107">
        <v>0</v>
      </c>
      <c r="Y66" s="107">
        <v>0</v>
      </c>
      <c r="Z66" s="107">
        <v>0</v>
      </c>
      <c r="AA66" s="107">
        <v>0</v>
      </c>
      <c r="AB66" s="107">
        <v>0</v>
      </c>
      <c r="AC66" s="108">
        <v>0</v>
      </c>
      <c r="AD66" s="107">
        <v>0</v>
      </c>
      <c r="AE66" s="107">
        <v>0</v>
      </c>
      <c r="AF66" s="107">
        <v>0</v>
      </c>
      <c r="AG66" s="107">
        <v>0</v>
      </c>
      <c r="AH66" s="107">
        <v>0</v>
      </c>
      <c r="AI66" s="107">
        <v>0</v>
      </c>
      <c r="AJ66" s="107">
        <v>0</v>
      </c>
      <c r="AK66" s="107">
        <v>0</v>
      </c>
      <c r="AL66" s="107">
        <v>0</v>
      </c>
      <c r="AM66" s="108">
        <v>1</v>
      </c>
      <c r="AN66" s="107">
        <v>0</v>
      </c>
      <c r="AO66" s="107">
        <v>0</v>
      </c>
      <c r="AP66" s="107">
        <v>0</v>
      </c>
      <c r="AQ66" s="107">
        <v>0</v>
      </c>
      <c r="AR66" s="107">
        <v>0</v>
      </c>
      <c r="AS66" s="107">
        <v>0</v>
      </c>
      <c r="AT66" s="107">
        <v>0</v>
      </c>
      <c r="AU66" s="108">
        <v>0</v>
      </c>
      <c r="AV66" s="107">
        <v>0</v>
      </c>
      <c r="AW66" s="107">
        <v>0</v>
      </c>
      <c r="AX66" s="107">
        <v>0</v>
      </c>
      <c r="AY66" s="107">
        <v>0</v>
      </c>
      <c r="AZ66" s="107">
        <v>0</v>
      </c>
      <c r="BA66" s="107">
        <v>0</v>
      </c>
      <c r="BB66" s="107">
        <v>0</v>
      </c>
      <c r="BC66" s="107">
        <v>0</v>
      </c>
      <c r="BD66" s="107">
        <v>0</v>
      </c>
      <c r="BE66" s="107">
        <v>0</v>
      </c>
      <c r="BF66" s="107">
        <v>0</v>
      </c>
      <c r="BG66" s="107">
        <v>0</v>
      </c>
      <c r="BH66" s="107">
        <v>0</v>
      </c>
      <c r="BI66" s="108">
        <v>0</v>
      </c>
      <c r="BJ66" s="107">
        <v>0</v>
      </c>
      <c r="BK66" s="107">
        <v>0</v>
      </c>
      <c r="BL66" s="107">
        <v>0</v>
      </c>
      <c r="BM66" s="107">
        <v>0</v>
      </c>
      <c r="BN66" s="107">
        <v>0</v>
      </c>
      <c r="BO66" s="108">
        <v>0</v>
      </c>
      <c r="BP66" s="107">
        <v>0</v>
      </c>
      <c r="BQ66" s="107">
        <v>0</v>
      </c>
      <c r="BR66" s="107">
        <v>0</v>
      </c>
      <c r="BS66" s="107">
        <v>0</v>
      </c>
      <c r="BT66" s="107">
        <v>0</v>
      </c>
      <c r="BU66" s="108">
        <v>0</v>
      </c>
      <c r="BV66" s="107">
        <v>0</v>
      </c>
      <c r="BW66" s="108">
        <v>0</v>
      </c>
      <c r="BX66" s="107">
        <v>0</v>
      </c>
      <c r="BY66" s="107">
        <v>1</v>
      </c>
      <c r="BZ66" s="107">
        <v>0</v>
      </c>
      <c r="CA66" s="107">
        <v>0</v>
      </c>
      <c r="CB66" s="107">
        <v>0</v>
      </c>
      <c r="CC66" s="108">
        <v>0</v>
      </c>
      <c r="CD66" s="108">
        <v>0</v>
      </c>
      <c r="CE66" s="107">
        <v>0</v>
      </c>
      <c r="CF66" s="108">
        <v>0</v>
      </c>
      <c r="CG66" s="107">
        <v>0</v>
      </c>
      <c r="CH66" s="107">
        <v>0</v>
      </c>
      <c r="CI66" s="107">
        <v>0</v>
      </c>
      <c r="CJ66" s="108">
        <v>0</v>
      </c>
      <c r="CK66" s="107">
        <v>0</v>
      </c>
      <c r="CL66" s="108">
        <v>0</v>
      </c>
      <c r="CM66" s="107">
        <v>0</v>
      </c>
      <c r="CN66" s="107">
        <v>0</v>
      </c>
    </row>
    <row r="67" spans="1:92">
      <c r="A67" s="207" t="s">
        <v>414</v>
      </c>
      <c r="B67" s="108">
        <v>2</v>
      </c>
      <c r="C67" s="107">
        <v>0</v>
      </c>
      <c r="D67" s="107">
        <v>0</v>
      </c>
      <c r="E67" s="107">
        <v>0</v>
      </c>
      <c r="F67" s="107">
        <v>0</v>
      </c>
      <c r="G67" s="107">
        <v>0</v>
      </c>
      <c r="H67" s="107">
        <v>0</v>
      </c>
      <c r="I67" s="107">
        <v>0</v>
      </c>
      <c r="J67" s="107">
        <v>0</v>
      </c>
      <c r="K67" s="107">
        <v>0</v>
      </c>
      <c r="L67" s="107">
        <v>0</v>
      </c>
      <c r="M67" s="107">
        <v>0</v>
      </c>
      <c r="N67" s="107">
        <v>0</v>
      </c>
      <c r="O67" s="107">
        <v>0</v>
      </c>
      <c r="P67" s="107">
        <v>0</v>
      </c>
      <c r="Q67" s="107">
        <v>0</v>
      </c>
      <c r="R67" s="108">
        <v>0</v>
      </c>
      <c r="S67" s="107">
        <v>0</v>
      </c>
      <c r="T67" s="107">
        <v>0</v>
      </c>
      <c r="U67" s="107">
        <v>0</v>
      </c>
      <c r="V67" s="107">
        <v>0</v>
      </c>
      <c r="W67" s="107">
        <v>0</v>
      </c>
      <c r="X67" s="107">
        <v>0</v>
      </c>
      <c r="Y67" s="107">
        <v>0</v>
      </c>
      <c r="Z67" s="107">
        <v>0</v>
      </c>
      <c r="AA67" s="107">
        <v>0</v>
      </c>
      <c r="AB67" s="107">
        <v>0</v>
      </c>
      <c r="AC67" s="108">
        <v>0</v>
      </c>
      <c r="AD67" s="107">
        <v>0</v>
      </c>
      <c r="AE67" s="107">
        <v>0</v>
      </c>
      <c r="AF67" s="107">
        <v>0</v>
      </c>
      <c r="AG67" s="107">
        <v>0</v>
      </c>
      <c r="AH67" s="107">
        <v>0</v>
      </c>
      <c r="AI67" s="107">
        <v>0</v>
      </c>
      <c r="AJ67" s="107">
        <v>0</v>
      </c>
      <c r="AK67" s="107">
        <v>0</v>
      </c>
      <c r="AL67" s="107">
        <v>0</v>
      </c>
      <c r="AM67" s="108">
        <v>0</v>
      </c>
      <c r="AN67" s="107">
        <v>0</v>
      </c>
      <c r="AO67" s="107">
        <v>0</v>
      </c>
      <c r="AP67" s="107">
        <v>0</v>
      </c>
      <c r="AQ67" s="107">
        <v>0</v>
      </c>
      <c r="AR67" s="107">
        <v>0</v>
      </c>
      <c r="AS67" s="107">
        <v>0</v>
      </c>
      <c r="AT67" s="107">
        <v>0</v>
      </c>
      <c r="AU67" s="108">
        <v>0</v>
      </c>
      <c r="AV67" s="107">
        <v>0</v>
      </c>
      <c r="AW67" s="107">
        <v>0</v>
      </c>
      <c r="AX67" s="107">
        <v>0</v>
      </c>
      <c r="AY67" s="107">
        <v>0</v>
      </c>
      <c r="AZ67" s="107">
        <v>0</v>
      </c>
      <c r="BA67" s="107">
        <v>0</v>
      </c>
      <c r="BB67" s="107">
        <v>0</v>
      </c>
      <c r="BC67" s="107">
        <v>0</v>
      </c>
      <c r="BD67" s="107">
        <v>0</v>
      </c>
      <c r="BE67" s="107">
        <v>0</v>
      </c>
      <c r="BF67" s="107">
        <v>0</v>
      </c>
      <c r="BG67" s="107">
        <v>0</v>
      </c>
      <c r="BH67" s="107">
        <v>0</v>
      </c>
      <c r="BI67" s="108">
        <v>0</v>
      </c>
      <c r="BJ67" s="107">
        <v>0</v>
      </c>
      <c r="BK67" s="107">
        <v>0</v>
      </c>
      <c r="BL67" s="107">
        <v>0</v>
      </c>
      <c r="BM67" s="107">
        <v>0</v>
      </c>
      <c r="BN67" s="107">
        <v>0</v>
      </c>
      <c r="BO67" s="108">
        <v>0</v>
      </c>
      <c r="BP67" s="107">
        <v>0</v>
      </c>
      <c r="BQ67" s="107">
        <v>0</v>
      </c>
      <c r="BR67" s="107">
        <v>0</v>
      </c>
      <c r="BS67" s="107">
        <v>0</v>
      </c>
      <c r="BT67" s="107">
        <v>0</v>
      </c>
      <c r="BU67" s="108">
        <v>0</v>
      </c>
      <c r="BV67" s="107">
        <v>0</v>
      </c>
      <c r="BW67" s="108">
        <v>0</v>
      </c>
      <c r="BX67" s="107">
        <v>0</v>
      </c>
      <c r="BY67" s="107">
        <v>0</v>
      </c>
      <c r="BZ67" s="107">
        <v>2</v>
      </c>
      <c r="CA67" s="107">
        <v>0</v>
      </c>
      <c r="CB67" s="107">
        <v>0</v>
      </c>
      <c r="CC67" s="108">
        <v>0</v>
      </c>
      <c r="CD67" s="108">
        <v>0</v>
      </c>
      <c r="CE67" s="107">
        <v>0</v>
      </c>
      <c r="CF67" s="108">
        <v>0</v>
      </c>
      <c r="CG67" s="107">
        <v>0</v>
      </c>
      <c r="CH67" s="107">
        <v>0</v>
      </c>
      <c r="CI67" s="107">
        <v>0</v>
      </c>
      <c r="CJ67" s="108">
        <v>0</v>
      </c>
      <c r="CK67" s="107">
        <v>0</v>
      </c>
      <c r="CL67" s="108">
        <v>0</v>
      </c>
      <c r="CM67" s="107">
        <v>0</v>
      </c>
      <c r="CN67" s="107">
        <v>0</v>
      </c>
    </row>
    <row r="68" spans="1:92">
      <c r="A68" s="207" t="s">
        <v>599</v>
      </c>
      <c r="B68" s="108">
        <v>1</v>
      </c>
      <c r="C68" s="107">
        <v>0</v>
      </c>
      <c r="D68" s="107">
        <v>0</v>
      </c>
      <c r="E68" s="107">
        <v>0</v>
      </c>
      <c r="F68" s="107">
        <v>0</v>
      </c>
      <c r="G68" s="107">
        <v>0</v>
      </c>
      <c r="H68" s="107">
        <v>0</v>
      </c>
      <c r="I68" s="107">
        <v>0</v>
      </c>
      <c r="J68" s="107">
        <v>0</v>
      </c>
      <c r="K68" s="107">
        <v>0</v>
      </c>
      <c r="L68" s="107">
        <v>0</v>
      </c>
      <c r="M68" s="107">
        <v>0</v>
      </c>
      <c r="N68" s="107">
        <v>0</v>
      </c>
      <c r="O68" s="107">
        <v>0</v>
      </c>
      <c r="P68" s="107">
        <v>0</v>
      </c>
      <c r="Q68" s="107">
        <v>0</v>
      </c>
      <c r="R68" s="108">
        <v>0</v>
      </c>
      <c r="S68" s="107">
        <v>0</v>
      </c>
      <c r="T68" s="107">
        <v>0</v>
      </c>
      <c r="U68" s="107">
        <v>0</v>
      </c>
      <c r="V68" s="107">
        <v>0</v>
      </c>
      <c r="W68" s="107">
        <v>0</v>
      </c>
      <c r="X68" s="107">
        <v>0</v>
      </c>
      <c r="Y68" s="107">
        <v>0</v>
      </c>
      <c r="Z68" s="107">
        <v>0</v>
      </c>
      <c r="AA68" s="107">
        <v>0</v>
      </c>
      <c r="AB68" s="107">
        <v>0</v>
      </c>
      <c r="AC68" s="108">
        <v>1</v>
      </c>
      <c r="AD68" s="107">
        <v>0</v>
      </c>
      <c r="AE68" s="107">
        <v>0</v>
      </c>
      <c r="AF68" s="107">
        <v>0</v>
      </c>
      <c r="AG68" s="107">
        <v>0</v>
      </c>
      <c r="AH68" s="107">
        <v>0</v>
      </c>
      <c r="AI68" s="107">
        <v>0</v>
      </c>
      <c r="AJ68" s="107">
        <v>0</v>
      </c>
      <c r="AK68" s="107">
        <v>0</v>
      </c>
      <c r="AL68" s="107">
        <v>0</v>
      </c>
      <c r="AM68" s="108">
        <v>0</v>
      </c>
      <c r="AN68" s="107">
        <v>0</v>
      </c>
      <c r="AO68" s="107">
        <v>0</v>
      </c>
      <c r="AP68" s="107">
        <v>0</v>
      </c>
      <c r="AQ68" s="107">
        <v>0</v>
      </c>
      <c r="AR68" s="107">
        <v>0</v>
      </c>
      <c r="AS68" s="107">
        <v>0</v>
      </c>
      <c r="AT68" s="107">
        <v>0</v>
      </c>
      <c r="AU68" s="108">
        <v>0</v>
      </c>
      <c r="AV68" s="107">
        <v>0</v>
      </c>
      <c r="AW68" s="107">
        <v>0</v>
      </c>
      <c r="AX68" s="107">
        <v>0</v>
      </c>
      <c r="AY68" s="107">
        <v>0</v>
      </c>
      <c r="AZ68" s="107">
        <v>0</v>
      </c>
      <c r="BA68" s="107">
        <v>0</v>
      </c>
      <c r="BB68" s="107">
        <v>0</v>
      </c>
      <c r="BC68" s="107">
        <v>0</v>
      </c>
      <c r="BD68" s="107">
        <v>0</v>
      </c>
      <c r="BE68" s="107">
        <v>0</v>
      </c>
      <c r="BF68" s="107">
        <v>0</v>
      </c>
      <c r="BG68" s="107">
        <v>0</v>
      </c>
      <c r="BH68" s="107">
        <v>0</v>
      </c>
      <c r="BI68" s="108">
        <v>0</v>
      </c>
      <c r="BJ68" s="107">
        <v>0</v>
      </c>
      <c r="BK68" s="107">
        <v>0</v>
      </c>
      <c r="BL68" s="107">
        <v>0</v>
      </c>
      <c r="BM68" s="107">
        <v>0</v>
      </c>
      <c r="BN68" s="107">
        <v>0</v>
      </c>
      <c r="BO68" s="108">
        <v>0</v>
      </c>
      <c r="BP68" s="107">
        <v>0</v>
      </c>
      <c r="BQ68" s="107">
        <v>0</v>
      </c>
      <c r="BR68" s="107">
        <v>0</v>
      </c>
      <c r="BS68" s="107">
        <v>0</v>
      </c>
      <c r="BT68" s="107">
        <v>0</v>
      </c>
      <c r="BU68" s="108">
        <v>0</v>
      </c>
      <c r="BV68" s="107">
        <v>0</v>
      </c>
      <c r="BW68" s="108">
        <v>0</v>
      </c>
      <c r="BX68" s="107">
        <v>0</v>
      </c>
      <c r="BY68" s="107">
        <v>0</v>
      </c>
      <c r="BZ68" s="107">
        <v>0</v>
      </c>
      <c r="CA68" s="107">
        <v>0</v>
      </c>
      <c r="CB68" s="107">
        <v>0</v>
      </c>
      <c r="CC68" s="108">
        <v>0</v>
      </c>
      <c r="CD68" s="108">
        <v>0</v>
      </c>
      <c r="CE68" s="107">
        <v>0</v>
      </c>
      <c r="CF68" s="108">
        <v>0</v>
      </c>
      <c r="CG68" s="107">
        <v>0</v>
      </c>
      <c r="CH68" s="107">
        <v>0</v>
      </c>
      <c r="CI68" s="107">
        <v>0</v>
      </c>
      <c r="CJ68" s="108">
        <v>0</v>
      </c>
      <c r="CK68" s="107">
        <v>0</v>
      </c>
      <c r="CL68" s="108">
        <v>0</v>
      </c>
      <c r="CM68" s="107">
        <v>0</v>
      </c>
      <c r="CN68" s="107">
        <v>0</v>
      </c>
    </row>
    <row r="69" spans="1:92">
      <c r="A69" s="207" t="s">
        <v>351</v>
      </c>
      <c r="B69" s="108">
        <v>315</v>
      </c>
      <c r="C69" s="107">
        <v>0</v>
      </c>
      <c r="D69" s="107">
        <v>0</v>
      </c>
      <c r="E69" s="107">
        <v>0</v>
      </c>
      <c r="F69" s="107">
        <v>0</v>
      </c>
      <c r="G69" s="107">
        <v>0</v>
      </c>
      <c r="H69" s="107">
        <v>0</v>
      </c>
      <c r="I69" s="107">
        <v>0</v>
      </c>
      <c r="J69" s="107">
        <v>0</v>
      </c>
      <c r="K69" s="107">
        <v>0</v>
      </c>
      <c r="L69" s="107">
        <v>0</v>
      </c>
      <c r="M69" s="107">
        <v>0</v>
      </c>
      <c r="N69" s="107">
        <v>0</v>
      </c>
      <c r="O69" s="107">
        <v>1</v>
      </c>
      <c r="P69" s="107">
        <v>0</v>
      </c>
      <c r="Q69" s="107">
        <v>0</v>
      </c>
      <c r="R69" s="108">
        <v>0</v>
      </c>
      <c r="S69" s="107">
        <v>0</v>
      </c>
      <c r="T69" s="107">
        <v>0</v>
      </c>
      <c r="U69" s="107">
        <v>0</v>
      </c>
      <c r="V69" s="107">
        <v>0</v>
      </c>
      <c r="W69" s="107">
        <v>0</v>
      </c>
      <c r="X69" s="107">
        <v>0</v>
      </c>
      <c r="Y69" s="107">
        <v>0</v>
      </c>
      <c r="Z69" s="107">
        <v>0</v>
      </c>
      <c r="AA69" s="107">
        <v>0</v>
      </c>
      <c r="AB69" s="107">
        <v>0</v>
      </c>
      <c r="AC69" s="108">
        <v>291</v>
      </c>
      <c r="AD69" s="107">
        <v>0</v>
      </c>
      <c r="AE69" s="107">
        <v>0</v>
      </c>
      <c r="AF69" s="107">
        <v>0</v>
      </c>
      <c r="AG69" s="107">
        <v>0</v>
      </c>
      <c r="AH69" s="107">
        <v>0</v>
      </c>
      <c r="AI69" s="107">
        <v>0</v>
      </c>
      <c r="AJ69" s="107">
        <v>0</v>
      </c>
      <c r="AK69" s="107">
        <v>0</v>
      </c>
      <c r="AL69" s="107">
        <v>0</v>
      </c>
      <c r="AM69" s="108">
        <v>0</v>
      </c>
      <c r="AN69" s="107">
        <v>0</v>
      </c>
      <c r="AO69" s="107">
        <v>0</v>
      </c>
      <c r="AP69" s="107">
        <v>0</v>
      </c>
      <c r="AQ69" s="107">
        <v>0</v>
      </c>
      <c r="AR69" s="107">
        <v>0</v>
      </c>
      <c r="AS69" s="107">
        <v>0</v>
      </c>
      <c r="AT69" s="107">
        <v>0</v>
      </c>
      <c r="AU69" s="108">
        <v>1</v>
      </c>
      <c r="AV69" s="107">
        <v>0</v>
      </c>
      <c r="AW69" s="107">
        <v>0</v>
      </c>
      <c r="AX69" s="107">
        <v>0</v>
      </c>
      <c r="AY69" s="107">
        <v>0</v>
      </c>
      <c r="AZ69" s="107">
        <v>0</v>
      </c>
      <c r="BA69" s="107">
        <v>0</v>
      </c>
      <c r="BB69" s="107">
        <v>1</v>
      </c>
      <c r="BC69" s="107">
        <v>0</v>
      </c>
      <c r="BD69" s="107">
        <v>0</v>
      </c>
      <c r="BE69" s="107">
        <v>1</v>
      </c>
      <c r="BF69" s="107">
        <v>0</v>
      </c>
      <c r="BG69" s="107">
        <v>0</v>
      </c>
      <c r="BH69" s="107">
        <v>0</v>
      </c>
      <c r="BI69" s="108">
        <v>0</v>
      </c>
      <c r="BJ69" s="107">
        <v>0</v>
      </c>
      <c r="BK69" s="107">
        <v>0</v>
      </c>
      <c r="BL69" s="107">
        <v>0</v>
      </c>
      <c r="BM69" s="107">
        <v>0</v>
      </c>
      <c r="BN69" s="107">
        <v>0</v>
      </c>
      <c r="BO69" s="108">
        <v>1</v>
      </c>
      <c r="BP69" s="107">
        <v>0</v>
      </c>
      <c r="BQ69" s="107">
        <v>0</v>
      </c>
      <c r="BR69" s="107">
        <v>0</v>
      </c>
      <c r="BS69" s="107">
        <v>0</v>
      </c>
      <c r="BT69" s="107">
        <v>0</v>
      </c>
      <c r="BU69" s="108">
        <v>0</v>
      </c>
      <c r="BV69" s="107">
        <v>0</v>
      </c>
      <c r="BW69" s="108">
        <v>0</v>
      </c>
      <c r="BX69" s="107">
        <v>0</v>
      </c>
      <c r="BY69" s="107">
        <v>0</v>
      </c>
      <c r="BZ69" s="107">
        <v>0</v>
      </c>
      <c r="CA69" s="107">
        <v>0</v>
      </c>
      <c r="CB69" s="107">
        <v>18</v>
      </c>
      <c r="CC69" s="108">
        <v>0</v>
      </c>
      <c r="CD69" s="108">
        <v>0</v>
      </c>
      <c r="CE69" s="107">
        <v>0</v>
      </c>
      <c r="CF69" s="108">
        <v>0</v>
      </c>
      <c r="CG69" s="107">
        <v>0</v>
      </c>
      <c r="CH69" s="107">
        <v>0</v>
      </c>
      <c r="CI69" s="107">
        <v>0</v>
      </c>
      <c r="CJ69" s="108">
        <v>1</v>
      </c>
      <c r="CK69" s="107">
        <v>0</v>
      </c>
      <c r="CL69" s="108">
        <v>0</v>
      </c>
      <c r="CM69" s="107">
        <v>0</v>
      </c>
      <c r="CN69" s="107">
        <v>0</v>
      </c>
    </row>
    <row r="70" spans="1:92">
      <c r="A70" s="207" t="s">
        <v>625</v>
      </c>
      <c r="B70" s="108">
        <v>1</v>
      </c>
      <c r="C70" s="107">
        <v>0</v>
      </c>
      <c r="D70" s="107">
        <v>0</v>
      </c>
      <c r="E70" s="107">
        <v>0</v>
      </c>
      <c r="F70" s="107">
        <v>0</v>
      </c>
      <c r="G70" s="107">
        <v>0</v>
      </c>
      <c r="H70" s="107">
        <v>0</v>
      </c>
      <c r="I70" s="107">
        <v>0</v>
      </c>
      <c r="J70" s="107">
        <v>0</v>
      </c>
      <c r="K70" s="107">
        <v>0</v>
      </c>
      <c r="L70" s="107">
        <v>0</v>
      </c>
      <c r="M70" s="107">
        <v>0</v>
      </c>
      <c r="N70" s="107">
        <v>0</v>
      </c>
      <c r="O70" s="107">
        <v>0</v>
      </c>
      <c r="P70" s="107">
        <v>0</v>
      </c>
      <c r="Q70" s="107">
        <v>0</v>
      </c>
      <c r="R70" s="108">
        <v>0</v>
      </c>
      <c r="S70" s="107">
        <v>0</v>
      </c>
      <c r="T70" s="107">
        <v>0</v>
      </c>
      <c r="U70" s="107">
        <v>0</v>
      </c>
      <c r="V70" s="107">
        <v>0</v>
      </c>
      <c r="W70" s="107">
        <v>0</v>
      </c>
      <c r="X70" s="107">
        <v>0</v>
      </c>
      <c r="Y70" s="107">
        <v>0</v>
      </c>
      <c r="Z70" s="107">
        <v>0</v>
      </c>
      <c r="AA70" s="107">
        <v>0</v>
      </c>
      <c r="AB70" s="107">
        <v>0</v>
      </c>
      <c r="AC70" s="108">
        <v>1</v>
      </c>
      <c r="AD70" s="107">
        <v>0</v>
      </c>
      <c r="AE70" s="107">
        <v>0</v>
      </c>
      <c r="AF70" s="107">
        <v>0</v>
      </c>
      <c r="AG70" s="107">
        <v>0</v>
      </c>
      <c r="AH70" s="107">
        <v>0</v>
      </c>
      <c r="AI70" s="107">
        <v>0</v>
      </c>
      <c r="AJ70" s="107">
        <v>0</v>
      </c>
      <c r="AK70" s="107">
        <v>0</v>
      </c>
      <c r="AL70" s="107">
        <v>0</v>
      </c>
      <c r="AM70" s="108">
        <v>0</v>
      </c>
      <c r="AN70" s="107">
        <v>0</v>
      </c>
      <c r="AO70" s="107">
        <v>0</v>
      </c>
      <c r="AP70" s="107">
        <v>0</v>
      </c>
      <c r="AQ70" s="107">
        <v>0</v>
      </c>
      <c r="AR70" s="107">
        <v>0</v>
      </c>
      <c r="AS70" s="107">
        <v>0</v>
      </c>
      <c r="AT70" s="107">
        <v>0</v>
      </c>
      <c r="AU70" s="108">
        <v>0</v>
      </c>
      <c r="AV70" s="107">
        <v>0</v>
      </c>
      <c r="AW70" s="107">
        <v>0</v>
      </c>
      <c r="AX70" s="107">
        <v>0</v>
      </c>
      <c r="AY70" s="107">
        <v>0</v>
      </c>
      <c r="AZ70" s="107">
        <v>0</v>
      </c>
      <c r="BA70" s="107">
        <v>0</v>
      </c>
      <c r="BB70" s="107">
        <v>0</v>
      </c>
      <c r="BC70" s="107">
        <v>0</v>
      </c>
      <c r="BD70" s="107">
        <v>0</v>
      </c>
      <c r="BE70" s="107">
        <v>0</v>
      </c>
      <c r="BF70" s="107">
        <v>0</v>
      </c>
      <c r="BG70" s="107">
        <v>0</v>
      </c>
      <c r="BH70" s="107">
        <v>0</v>
      </c>
      <c r="BI70" s="108">
        <v>0</v>
      </c>
      <c r="BJ70" s="107">
        <v>0</v>
      </c>
      <c r="BK70" s="107">
        <v>0</v>
      </c>
      <c r="BL70" s="107">
        <v>0</v>
      </c>
      <c r="BM70" s="107">
        <v>0</v>
      </c>
      <c r="BN70" s="107">
        <v>0</v>
      </c>
      <c r="BO70" s="108">
        <v>0</v>
      </c>
      <c r="BP70" s="107">
        <v>0</v>
      </c>
      <c r="BQ70" s="107">
        <v>0</v>
      </c>
      <c r="BR70" s="107">
        <v>0</v>
      </c>
      <c r="BS70" s="107">
        <v>0</v>
      </c>
      <c r="BT70" s="107">
        <v>0</v>
      </c>
      <c r="BU70" s="108">
        <v>0</v>
      </c>
      <c r="BV70" s="107">
        <v>0</v>
      </c>
      <c r="BW70" s="108">
        <v>0</v>
      </c>
      <c r="BX70" s="107">
        <v>0</v>
      </c>
      <c r="BY70" s="107">
        <v>0</v>
      </c>
      <c r="BZ70" s="107">
        <v>0</v>
      </c>
      <c r="CA70" s="107">
        <v>0</v>
      </c>
      <c r="CB70" s="107">
        <v>0</v>
      </c>
      <c r="CC70" s="108">
        <v>0</v>
      </c>
      <c r="CD70" s="108">
        <v>0</v>
      </c>
      <c r="CE70" s="107">
        <v>0</v>
      </c>
      <c r="CF70" s="108">
        <v>0</v>
      </c>
      <c r="CG70" s="107">
        <v>0</v>
      </c>
      <c r="CH70" s="107">
        <v>0</v>
      </c>
      <c r="CI70" s="107">
        <v>0</v>
      </c>
      <c r="CJ70" s="108">
        <v>0</v>
      </c>
      <c r="CK70" s="107">
        <v>0</v>
      </c>
      <c r="CL70" s="108">
        <v>0</v>
      </c>
      <c r="CM70" s="107">
        <v>0</v>
      </c>
      <c r="CN70" s="107">
        <v>0</v>
      </c>
    </row>
    <row r="71" spans="1:92">
      <c r="A71" s="207" t="s">
        <v>600</v>
      </c>
      <c r="B71" s="108">
        <v>26</v>
      </c>
      <c r="C71" s="107">
        <v>0</v>
      </c>
      <c r="D71" s="107">
        <v>0</v>
      </c>
      <c r="E71" s="107">
        <v>0</v>
      </c>
      <c r="F71" s="107">
        <v>0</v>
      </c>
      <c r="G71" s="107">
        <v>1</v>
      </c>
      <c r="H71" s="107">
        <v>0</v>
      </c>
      <c r="I71" s="107">
        <v>0</v>
      </c>
      <c r="J71" s="107">
        <v>0</v>
      </c>
      <c r="K71" s="107">
        <v>0</v>
      </c>
      <c r="L71" s="107">
        <v>0</v>
      </c>
      <c r="M71" s="107">
        <v>0</v>
      </c>
      <c r="N71" s="107">
        <v>0</v>
      </c>
      <c r="O71" s="107">
        <v>0</v>
      </c>
      <c r="P71" s="107">
        <v>0</v>
      </c>
      <c r="Q71" s="107">
        <v>0</v>
      </c>
      <c r="R71" s="108">
        <v>0</v>
      </c>
      <c r="S71" s="107">
        <v>0</v>
      </c>
      <c r="T71" s="107">
        <v>0</v>
      </c>
      <c r="U71" s="107">
        <v>0</v>
      </c>
      <c r="V71" s="107">
        <v>0</v>
      </c>
      <c r="W71" s="107">
        <v>0</v>
      </c>
      <c r="X71" s="107">
        <v>0</v>
      </c>
      <c r="Y71" s="107">
        <v>0</v>
      </c>
      <c r="Z71" s="107">
        <v>0</v>
      </c>
      <c r="AA71" s="107">
        <v>0</v>
      </c>
      <c r="AB71" s="107">
        <v>0</v>
      </c>
      <c r="AC71" s="108">
        <v>5</v>
      </c>
      <c r="AD71" s="107">
        <v>0</v>
      </c>
      <c r="AE71" s="107">
        <v>0</v>
      </c>
      <c r="AF71" s="107">
        <v>0</v>
      </c>
      <c r="AG71" s="107">
        <v>0</v>
      </c>
      <c r="AH71" s="107">
        <v>0</v>
      </c>
      <c r="AI71" s="107">
        <v>0</v>
      </c>
      <c r="AJ71" s="107">
        <v>0</v>
      </c>
      <c r="AK71" s="107">
        <v>0</v>
      </c>
      <c r="AL71" s="107">
        <v>0</v>
      </c>
      <c r="AM71" s="108">
        <v>0</v>
      </c>
      <c r="AN71" s="107">
        <v>0</v>
      </c>
      <c r="AO71" s="107">
        <v>0</v>
      </c>
      <c r="AP71" s="107">
        <v>0</v>
      </c>
      <c r="AQ71" s="107">
        <v>0</v>
      </c>
      <c r="AR71" s="107">
        <v>0</v>
      </c>
      <c r="AS71" s="107">
        <v>0</v>
      </c>
      <c r="AT71" s="107">
        <v>0</v>
      </c>
      <c r="AU71" s="108">
        <v>1</v>
      </c>
      <c r="AV71" s="107">
        <v>0</v>
      </c>
      <c r="AW71" s="107">
        <v>0</v>
      </c>
      <c r="AX71" s="107">
        <v>0</v>
      </c>
      <c r="AY71" s="107">
        <v>0</v>
      </c>
      <c r="AZ71" s="107">
        <v>0</v>
      </c>
      <c r="BA71" s="107">
        <v>0</v>
      </c>
      <c r="BB71" s="107">
        <v>0</v>
      </c>
      <c r="BC71" s="107">
        <v>0</v>
      </c>
      <c r="BD71" s="107">
        <v>0</v>
      </c>
      <c r="BE71" s="107">
        <v>0</v>
      </c>
      <c r="BF71" s="107">
        <v>0</v>
      </c>
      <c r="BG71" s="107">
        <v>0</v>
      </c>
      <c r="BH71" s="107">
        <v>0</v>
      </c>
      <c r="BI71" s="108">
        <v>0</v>
      </c>
      <c r="BJ71" s="107">
        <v>0</v>
      </c>
      <c r="BK71" s="107">
        <v>0</v>
      </c>
      <c r="BL71" s="107">
        <v>0</v>
      </c>
      <c r="BM71" s="107">
        <v>0</v>
      </c>
      <c r="BN71" s="107">
        <v>0</v>
      </c>
      <c r="BO71" s="108">
        <v>0</v>
      </c>
      <c r="BP71" s="107">
        <v>0</v>
      </c>
      <c r="BQ71" s="107">
        <v>0</v>
      </c>
      <c r="BR71" s="107">
        <v>0</v>
      </c>
      <c r="BS71" s="107">
        <v>0</v>
      </c>
      <c r="BT71" s="107">
        <v>0</v>
      </c>
      <c r="BU71" s="108">
        <v>0</v>
      </c>
      <c r="BV71" s="107">
        <v>0</v>
      </c>
      <c r="BW71" s="108">
        <v>0</v>
      </c>
      <c r="BX71" s="107">
        <v>0</v>
      </c>
      <c r="BY71" s="107">
        <v>0</v>
      </c>
      <c r="BZ71" s="107">
        <v>0</v>
      </c>
      <c r="CA71" s="107">
        <v>0</v>
      </c>
      <c r="CB71" s="107">
        <v>0</v>
      </c>
      <c r="CC71" s="108">
        <v>18</v>
      </c>
      <c r="CD71" s="108">
        <v>0</v>
      </c>
      <c r="CE71" s="107">
        <v>0</v>
      </c>
      <c r="CF71" s="108">
        <v>0</v>
      </c>
      <c r="CG71" s="107">
        <v>0</v>
      </c>
      <c r="CH71" s="107">
        <v>0</v>
      </c>
      <c r="CI71" s="107">
        <v>1</v>
      </c>
      <c r="CJ71" s="108">
        <v>0</v>
      </c>
      <c r="CK71" s="107">
        <v>0</v>
      </c>
      <c r="CL71" s="108">
        <v>0</v>
      </c>
      <c r="CM71" s="107">
        <v>0</v>
      </c>
      <c r="CN71" s="107">
        <v>0</v>
      </c>
    </row>
    <row r="72" spans="1:92">
      <c r="A72" s="207" t="s">
        <v>352</v>
      </c>
      <c r="B72" s="108">
        <v>35</v>
      </c>
      <c r="C72" s="107">
        <v>0</v>
      </c>
      <c r="D72" s="107">
        <v>0</v>
      </c>
      <c r="E72" s="107">
        <v>0</v>
      </c>
      <c r="F72" s="107">
        <v>0</v>
      </c>
      <c r="G72" s="107">
        <v>0</v>
      </c>
      <c r="H72" s="107">
        <v>0</v>
      </c>
      <c r="I72" s="107">
        <v>0</v>
      </c>
      <c r="J72" s="107">
        <v>0</v>
      </c>
      <c r="K72" s="107">
        <v>0</v>
      </c>
      <c r="L72" s="107">
        <v>0</v>
      </c>
      <c r="M72" s="107">
        <v>0</v>
      </c>
      <c r="N72" s="107">
        <v>0</v>
      </c>
      <c r="O72" s="107">
        <v>0</v>
      </c>
      <c r="P72" s="107">
        <v>0</v>
      </c>
      <c r="Q72" s="107">
        <v>0</v>
      </c>
      <c r="R72" s="108">
        <v>0</v>
      </c>
      <c r="S72" s="107">
        <v>0</v>
      </c>
      <c r="T72" s="107">
        <v>1</v>
      </c>
      <c r="U72" s="107">
        <v>0</v>
      </c>
      <c r="V72" s="107">
        <v>0</v>
      </c>
      <c r="W72" s="107">
        <v>0</v>
      </c>
      <c r="X72" s="107">
        <v>0</v>
      </c>
      <c r="Y72" s="107">
        <v>0</v>
      </c>
      <c r="Z72" s="107">
        <v>0</v>
      </c>
      <c r="AA72" s="107">
        <v>0</v>
      </c>
      <c r="AB72" s="107">
        <v>0</v>
      </c>
      <c r="AC72" s="108">
        <v>31</v>
      </c>
      <c r="AD72" s="107">
        <v>0</v>
      </c>
      <c r="AE72" s="107">
        <v>0</v>
      </c>
      <c r="AF72" s="107">
        <v>0</v>
      </c>
      <c r="AG72" s="107">
        <v>0</v>
      </c>
      <c r="AH72" s="107">
        <v>0</v>
      </c>
      <c r="AI72" s="107">
        <v>0</v>
      </c>
      <c r="AJ72" s="107">
        <v>0</v>
      </c>
      <c r="AK72" s="107">
        <v>0</v>
      </c>
      <c r="AL72" s="107">
        <v>0</v>
      </c>
      <c r="AM72" s="108">
        <v>0</v>
      </c>
      <c r="AN72" s="107">
        <v>0</v>
      </c>
      <c r="AO72" s="107">
        <v>0</v>
      </c>
      <c r="AP72" s="107">
        <v>0</v>
      </c>
      <c r="AQ72" s="107">
        <v>0</v>
      </c>
      <c r="AR72" s="107">
        <v>0</v>
      </c>
      <c r="AS72" s="107">
        <v>0</v>
      </c>
      <c r="AT72" s="107">
        <v>0</v>
      </c>
      <c r="AU72" s="108">
        <v>0</v>
      </c>
      <c r="AV72" s="107">
        <v>0</v>
      </c>
      <c r="AW72" s="107">
        <v>0</v>
      </c>
      <c r="AX72" s="107">
        <v>0</v>
      </c>
      <c r="AY72" s="107">
        <v>0</v>
      </c>
      <c r="AZ72" s="107">
        <v>0</v>
      </c>
      <c r="BA72" s="107">
        <v>0</v>
      </c>
      <c r="BB72" s="107">
        <v>0</v>
      </c>
      <c r="BC72" s="107">
        <v>0</v>
      </c>
      <c r="BD72" s="107">
        <v>0</v>
      </c>
      <c r="BE72" s="107">
        <v>0</v>
      </c>
      <c r="BF72" s="107">
        <v>0</v>
      </c>
      <c r="BG72" s="107">
        <v>0</v>
      </c>
      <c r="BH72" s="107">
        <v>0</v>
      </c>
      <c r="BI72" s="108">
        <v>0</v>
      </c>
      <c r="BJ72" s="107">
        <v>0</v>
      </c>
      <c r="BK72" s="107">
        <v>0</v>
      </c>
      <c r="BL72" s="107">
        <v>0</v>
      </c>
      <c r="BM72" s="107">
        <v>0</v>
      </c>
      <c r="BN72" s="107">
        <v>0</v>
      </c>
      <c r="BO72" s="108">
        <v>0</v>
      </c>
      <c r="BP72" s="107">
        <v>0</v>
      </c>
      <c r="BQ72" s="107">
        <v>0</v>
      </c>
      <c r="BR72" s="107">
        <v>0</v>
      </c>
      <c r="BS72" s="107">
        <v>0</v>
      </c>
      <c r="BT72" s="107">
        <v>0</v>
      </c>
      <c r="BU72" s="108">
        <v>0</v>
      </c>
      <c r="BV72" s="107">
        <v>0</v>
      </c>
      <c r="BW72" s="108">
        <v>0</v>
      </c>
      <c r="BX72" s="107">
        <v>0</v>
      </c>
      <c r="BY72" s="107">
        <v>0</v>
      </c>
      <c r="BZ72" s="107">
        <v>0</v>
      </c>
      <c r="CA72" s="107">
        <v>0</v>
      </c>
      <c r="CB72" s="107">
        <v>0</v>
      </c>
      <c r="CC72" s="108">
        <v>0</v>
      </c>
      <c r="CD72" s="108">
        <v>2</v>
      </c>
      <c r="CE72" s="107">
        <v>0</v>
      </c>
      <c r="CF72" s="108">
        <v>0</v>
      </c>
      <c r="CG72" s="107">
        <v>0</v>
      </c>
      <c r="CH72" s="107">
        <v>0</v>
      </c>
      <c r="CI72" s="107">
        <v>0</v>
      </c>
      <c r="CJ72" s="108">
        <v>1</v>
      </c>
      <c r="CK72" s="107">
        <v>0</v>
      </c>
      <c r="CL72" s="108">
        <v>0</v>
      </c>
      <c r="CM72" s="107">
        <v>0</v>
      </c>
      <c r="CN72" s="107">
        <v>0</v>
      </c>
    </row>
    <row r="73" spans="1:92">
      <c r="A73" s="207" t="s">
        <v>601</v>
      </c>
      <c r="B73" s="108">
        <v>1</v>
      </c>
      <c r="C73" s="107">
        <v>0</v>
      </c>
      <c r="D73" s="107">
        <v>0</v>
      </c>
      <c r="E73" s="107">
        <v>0</v>
      </c>
      <c r="F73" s="107">
        <v>0</v>
      </c>
      <c r="G73" s="107">
        <v>0</v>
      </c>
      <c r="H73" s="107">
        <v>0</v>
      </c>
      <c r="I73" s="107">
        <v>0</v>
      </c>
      <c r="J73" s="107">
        <v>0</v>
      </c>
      <c r="K73" s="107">
        <v>0</v>
      </c>
      <c r="L73" s="107">
        <v>0</v>
      </c>
      <c r="M73" s="107">
        <v>0</v>
      </c>
      <c r="N73" s="107">
        <v>0</v>
      </c>
      <c r="O73" s="107">
        <v>0</v>
      </c>
      <c r="P73" s="107">
        <v>0</v>
      </c>
      <c r="Q73" s="107">
        <v>0</v>
      </c>
      <c r="R73" s="108">
        <v>0</v>
      </c>
      <c r="S73" s="107">
        <v>0</v>
      </c>
      <c r="T73" s="107">
        <v>0</v>
      </c>
      <c r="U73" s="107">
        <v>0</v>
      </c>
      <c r="V73" s="107">
        <v>0</v>
      </c>
      <c r="W73" s="107">
        <v>0</v>
      </c>
      <c r="X73" s="107">
        <v>0</v>
      </c>
      <c r="Y73" s="107">
        <v>0</v>
      </c>
      <c r="Z73" s="107">
        <v>0</v>
      </c>
      <c r="AA73" s="107">
        <v>0</v>
      </c>
      <c r="AB73" s="107">
        <v>0</v>
      </c>
      <c r="AC73" s="108">
        <v>1</v>
      </c>
      <c r="AD73" s="107">
        <v>0</v>
      </c>
      <c r="AE73" s="107">
        <v>0</v>
      </c>
      <c r="AF73" s="107">
        <v>0</v>
      </c>
      <c r="AG73" s="107">
        <v>0</v>
      </c>
      <c r="AH73" s="107">
        <v>0</v>
      </c>
      <c r="AI73" s="107">
        <v>0</v>
      </c>
      <c r="AJ73" s="107">
        <v>0</v>
      </c>
      <c r="AK73" s="107">
        <v>0</v>
      </c>
      <c r="AL73" s="107">
        <v>0</v>
      </c>
      <c r="AM73" s="108">
        <v>0</v>
      </c>
      <c r="AN73" s="107">
        <v>0</v>
      </c>
      <c r="AO73" s="107">
        <v>0</v>
      </c>
      <c r="AP73" s="107">
        <v>0</v>
      </c>
      <c r="AQ73" s="107">
        <v>0</v>
      </c>
      <c r="AR73" s="107">
        <v>0</v>
      </c>
      <c r="AS73" s="107">
        <v>0</v>
      </c>
      <c r="AT73" s="107">
        <v>0</v>
      </c>
      <c r="AU73" s="108">
        <v>0</v>
      </c>
      <c r="AV73" s="107">
        <v>0</v>
      </c>
      <c r="AW73" s="107">
        <v>0</v>
      </c>
      <c r="AX73" s="107">
        <v>0</v>
      </c>
      <c r="AY73" s="107">
        <v>0</v>
      </c>
      <c r="AZ73" s="107">
        <v>0</v>
      </c>
      <c r="BA73" s="107">
        <v>0</v>
      </c>
      <c r="BB73" s="107">
        <v>0</v>
      </c>
      <c r="BC73" s="107">
        <v>0</v>
      </c>
      <c r="BD73" s="107">
        <v>0</v>
      </c>
      <c r="BE73" s="107">
        <v>0</v>
      </c>
      <c r="BF73" s="107">
        <v>0</v>
      </c>
      <c r="BG73" s="107">
        <v>0</v>
      </c>
      <c r="BH73" s="107">
        <v>0</v>
      </c>
      <c r="BI73" s="108">
        <v>0</v>
      </c>
      <c r="BJ73" s="107">
        <v>0</v>
      </c>
      <c r="BK73" s="107">
        <v>0</v>
      </c>
      <c r="BL73" s="107">
        <v>0</v>
      </c>
      <c r="BM73" s="107">
        <v>0</v>
      </c>
      <c r="BN73" s="107">
        <v>0</v>
      </c>
      <c r="BO73" s="108">
        <v>0</v>
      </c>
      <c r="BP73" s="107">
        <v>0</v>
      </c>
      <c r="BQ73" s="107">
        <v>0</v>
      </c>
      <c r="BR73" s="107">
        <v>0</v>
      </c>
      <c r="BS73" s="107">
        <v>0</v>
      </c>
      <c r="BT73" s="107">
        <v>0</v>
      </c>
      <c r="BU73" s="108">
        <v>0</v>
      </c>
      <c r="BV73" s="107">
        <v>0</v>
      </c>
      <c r="BW73" s="108">
        <v>0</v>
      </c>
      <c r="BX73" s="107">
        <v>0</v>
      </c>
      <c r="BY73" s="107">
        <v>0</v>
      </c>
      <c r="BZ73" s="107">
        <v>0</v>
      </c>
      <c r="CA73" s="107">
        <v>0</v>
      </c>
      <c r="CB73" s="107">
        <v>0</v>
      </c>
      <c r="CC73" s="108">
        <v>0</v>
      </c>
      <c r="CD73" s="108">
        <v>0</v>
      </c>
      <c r="CE73" s="107">
        <v>0</v>
      </c>
      <c r="CF73" s="108">
        <v>0</v>
      </c>
      <c r="CG73" s="107">
        <v>0</v>
      </c>
      <c r="CH73" s="107">
        <v>0</v>
      </c>
      <c r="CI73" s="107">
        <v>0</v>
      </c>
      <c r="CJ73" s="108">
        <v>0</v>
      </c>
      <c r="CK73" s="107">
        <v>0</v>
      </c>
      <c r="CL73" s="108">
        <v>0</v>
      </c>
      <c r="CM73" s="107">
        <v>0</v>
      </c>
      <c r="CN73" s="107">
        <v>0</v>
      </c>
    </row>
    <row r="74" spans="1:92">
      <c r="A74" s="207" t="s">
        <v>602</v>
      </c>
      <c r="B74" s="108">
        <v>3</v>
      </c>
      <c r="C74" s="107">
        <v>0</v>
      </c>
      <c r="D74" s="107">
        <v>0</v>
      </c>
      <c r="E74" s="107">
        <v>0</v>
      </c>
      <c r="F74" s="107">
        <v>0</v>
      </c>
      <c r="G74" s="107">
        <v>0</v>
      </c>
      <c r="H74" s="107">
        <v>0</v>
      </c>
      <c r="I74" s="107">
        <v>0</v>
      </c>
      <c r="J74" s="107">
        <v>0</v>
      </c>
      <c r="K74" s="107">
        <v>0</v>
      </c>
      <c r="L74" s="107">
        <v>0</v>
      </c>
      <c r="M74" s="107">
        <v>0</v>
      </c>
      <c r="N74" s="107">
        <v>0</v>
      </c>
      <c r="O74" s="107">
        <v>0</v>
      </c>
      <c r="P74" s="107">
        <v>0</v>
      </c>
      <c r="Q74" s="107">
        <v>0</v>
      </c>
      <c r="R74" s="108">
        <v>2</v>
      </c>
      <c r="S74" s="107">
        <v>0</v>
      </c>
      <c r="T74" s="107">
        <v>0</v>
      </c>
      <c r="U74" s="107">
        <v>0</v>
      </c>
      <c r="V74" s="107">
        <v>0</v>
      </c>
      <c r="W74" s="107">
        <v>0</v>
      </c>
      <c r="X74" s="107">
        <v>0</v>
      </c>
      <c r="Y74" s="107">
        <v>0</v>
      </c>
      <c r="Z74" s="107">
        <v>0</v>
      </c>
      <c r="AA74" s="107">
        <v>0</v>
      </c>
      <c r="AB74" s="107">
        <v>0</v>
      </c>
      <c r="AC74" s="108">
        <v>1</v>
      </c>
      <c r="AD74" s="107">
        <v>0</v>
      </c>
      <c r="AE74" s="107">
        <v>0</v>
      </c>
      <c r="AF74" s="107">
        <v>0</v>
      </c>
      <c r="AG74" s="107">
        <v>0</v>
      </c>
      <c r="AH74" s="107">
        <v>0</v>
      </c>
      <c r="AI74" s="107">
        <v>0</v>
      </c>
      <c r="AJ74" s="107">
        <v>0</v>
      </c>
      <c r="AK74" s="107">
        <v>0</v>
      </c>
      <c r="AL74" s="107">
        <v>0</v>
      </c>
      <c r="AM74" s="108">
        <v>0</v>
      </c>
      <c r="AN74" s="107">
        <v>0</v>
      </c>
      <c r="AO74" s="107">
        <v>0</v>
      </c>
      <c r="AP74" s="107">
        <v>0</v>
      </c>
      <c r="AQ74" s="107">
        <v>0</v>
      </c>
      <c r="AR74" s="107">
        <v>0</v>
      </c>
      <c r="AS74" s="107">
        <v>0</v>
      </c>
      <c r="AT74" s="107">
        <v>0</v>
      </c>
      <c r="AU74" s="108">
        <v>0</v>
      </c>
      <c r="AV74" s="107">
        <v>0</v>
      </c>
      <c r="AW74" s="107">
        <v>0</v>
      </c>
      <c r="AX74" s="107">
        <v>0</v>
      </c>
      <c r="AY74" s="107">
        <v>0</v>
      </c>
      <c r="AZ74" s="107">
        <v>0</v>
      </c>
      <c r="BA74" s="107">
        <v>0</v>
      </c>
      <c r="BB74" s="107">
        <v>0</v>
      </c>
      <c r="BC74" s="107">
        <v>0</v>
      </c>
      <c r="BD74" s="107">
        <v>0</v>
      </c>
      <c r="BE74" s="107">
        <v>0</v>
      </c>
      <c r="BF74" s="107">
        <v>0</v>
      </c>
      <c r="BG74" s="107">
        <v>0</v>
      </c>
      <c r="BH74" s="107">
        <v>0</v>
      </c>
      <c r="BI74" s="108">
        <v>0</v>
      </c>
      <c r="BJ74" s="107">
        <v>0</v>
      </c>
      <c r="BK74" s="107">
        <v>0</v>
      </c>
      <c r="BL74" s="107">
        <v>0</v>
      </c>
      <c r="BM74" s="107">
        <v>0</v>
      </c>
      <c r="BN74" s="107">
        <v>0</v>
      </c>
      <c r="BO74" s="108">
        <v>0</v>
      </c>
      <c r="BP74" s="107">
        <v>0</v>
      </c>
      <c r="BQ74" s="107">
        <v>0</v>
      </c>
      <c r="BR74" s="107">
        <v>0</v>
      </c>
      <c r="BS74" s="107">
        <v>0</v>
      </c>
      <c r="BT74" s="107">
        <v>0</v>
      </c>
      <c r="BU74" s="108">
        <v>0</v>
      </c>
      <c r="BV74" s="107">
        <v>0</v>
      </c>
      <c r="BW74" s="108">
        <v>0</v>
      </c>
      <c r="BX74" s="107">
        <v>0</v>
      </c>
      <c r="BY74" s="107">
        <v>0</v>
      </c>
      <c r="BZ74" s="107">
        <v>0</v>
      </c>
      <c r="CA74" s="107">
        <v>0</v>
      </c>
      <c r="CB74" s="107">
        <v>0</v>
      </c>
      <c r="CC74" s="108">
        <v>0</v>
      </c>
      <c r="CD74" s="108">
        <v>0</v>
      </c>
      <c r="CE74" s="107">
        <v>0</v>
      </c>
      <c r="CF74" s="108">
        <v>0</v>
      </c>
      <c r="CG74" s="107">
        <v>0</v>
      </c>
      <c r="CH74" s="107">
        <v>0</v>
      </c>
      <c r="CI74" s="107">
        <v>0</v>
      </c>
      <c r="CJ74" s="108">
        <v>0</v>
      </c>
      <c r="CK74" s="107">
        <v>0</v>
      </c>
      <c r="CL74" s="108">
        <v>0</v>
      </c>
      <c r="CM74" s="107">
        <v>0</v>
      </c>
      <c r="CN74" s="107">
        <v>0</v>
      </c>
    </row>
    <row r="75" spans="1:92">
      <c r="A75" s="207" t="s">
        <v>603</v>
      </c>
      <c r="B75" s="108">
        <v>519</v>
      </c>
      <c r="C75" s="107">
        <v>0</v>
      </c>
      <c r="D75" s="107">
        <v>0</v>
      </c>
      <c r="E75" s="107">
        <v>0</v>
      </c>
      <c r="F75" s="107">
        <v>0</v>
      </c>
      <c r="G75" s="107">
        <v>0</v>
      </c>
      <c r="H75" s="107">
        <v>0</v>
      </c>
      <c r="I75" s="107">
        <v>0</v>
      </c>
      <c r="J75" s="107">
        <v>1</v>
      </c>
      <c r="K75" s="107">
        <v>0</v>
      </c>
      <c r="L75" s="107">
        <v>0</v>
      </c>
      <c r="M75" s="107">
        <v>0</v>
      </c>
      <c r="N75" s="107">
        <v>0</v>
      </c>
      <c r="O75" s="107">
        <v>0</v>
      </c>
      <c r="P75" s="107">
        <v>0</v>
      </c>
      <c r="Q75" s="107">
        <v>0</v>
      </c>
      <c r="R75" s="108">
        <v>2</v>
      </c>
      <c r="S75" s="107">
        <v>0</v>
      </c>
      <c r="T75" s="107">
        <v>0</v>
      </c>
      <c r="U75" s="107">
        <v>0</v>
      </c>
      <c r="V75" s="107">
        <v>1</v>
      </c>
      <c r="W75" s="107">
        <v>0</v>
      </c>
      <c r="X75" s="107">
        <v>0</v>
      </c>
      <c r="Y75" s="107">
        <v>0</v>
      </c>
      <c r="Z75" s="107">
        <v>0</v>
      </c>
      <c r="AA75" s="107">
        <v>0</v>
      </c>
      <c r="AB75" s="107">
        <v>0</v>
      </c>
      <c r="AC75" s="108">
        <v>45</v>
      </c>
      <c r="AD75" s="107">
        <v>0</v>
      </c>
      <c r="AE75" s="107">
        <v>0</v>
      </c>
      <c r="AF75" s="107">
        <v>1</v>
      </c>
      <c r="AG75" s="107">
        <v>0</v>
      </c>
      <c r="AH75" s="107">
        <v>0</v>
      </c>
      <c r="AI75" s="107">
        <v>0</v>
      </c>
      <c r="AJ75" s="107">
        <v>0</v>
      </c>
      <c r="AK75" s="107">
        <v>0</v>
      </c>
      <c r="AL75" s="107">
        <v>0</v>
      </c>
      <c r="AM75" s="108">
        <v>1</v>
      </c>
      <c r="AN75" s="107">
        <v>0</v>
      </c>
      <c r="AO75" s="107">
        <v>0</v>
      </c>
      <c r="AP75" s="107">
        <v>0</v>
      </c>
      <c r="AQ75" s="107">
        <v>0</v>
      </c>
      <c r="AR75" s="107">
        <v>0</v>
      </c>
      <c r="AS75" s="107">
        <v>0</v>
      </c>
      <c r="AT75" s="107">
        <v>0</v>
      </c>
      <c r="AU75" s="108">
        <v>0</v>
      </c>
      <c r="AV75" s="107">
        <v>0</v>
      </c>
      <c r="AW75" s="107">
        <v>0</v>
      </c>
      <c r="AX75" s="107">
        <v>0</v>
      </c>
      <c r="AY75" s="107">
        <v>0</v>
      </c>
      <c r="AZ75" s="107">
        <v>0</v>
      </c>
      <c r="BA75" s="107">
        <v>0</v>
      </c>
      <c r="BB75" s="107">
        <v>0</v>
      </c>
      <c r="BC75" s="107">
        <v>0</v>
      </c>
      <c r="BD75" s="107">
        <v>0</v>
      </c>
      <c r="BE75" s="107">
        <v>0</v>
      </c>
      <c r="BF75" s="107">
        <v>0</v>
      </c>
      <c r="BG75" s="107">
        <v>0</v>
      </c>
      <c r="BH75" s="107">
        <v>1</v>
      </c>
      <c r="BI75" s="108">
        <v>1</v>
      </c>
      <c r="BJ75" s="107">
        <v>0</v>
      </c>
      <c r="BK75" s="107">
        <v>0</v>
      </c>
      <c r="BL75" s="107">
        <v>0</v>
      </c>
      <c r="BM75" s="107">
        <v>0</v>
      </c>
      <c r="BN75" s="107">
        <v>0</v>
      </c>
      <c r="BO75" s="108">
        <v>0</v>
      </c>
      <c r="BP75" s="107">
        <v>0</v>
      </c>
      <c r="BQ75" s="107">
        <v>0</v>
      </c>
      <c r="BR75" s="107">
        <v>0</v>
      </c>
      <c r="BS75" s="107">
        <v>0</v>
      </c>
      <c r="BT75" s="107">
        <v>0</v>
      </c>
      <c r="BU75" s="108">
        <v>0</v>
      </c>
      <c r="BV75" s="107">
        <v>0</v>
      </c>
      <c r="BW75" s="108">
        <v>0</v>
      </c>
      <c r="BX75" s="107">
        <v>0</v>
      </c>
      <c r="BY75" s="107">
        <v>0</v>
      </c>
      <c r="BZ75" s="107">
        <v>0</v>
      </c>
      <c r="CA75" s="107">
        <v>0</v>
      </c>
      <c r="CB75" s="107">
        <v>0</v>
      </c>
      <c r="CC75" s="108">
        <v>1</v>
      </c>
      <c r="CD75" s="108">
        <v>0</v>
      </c>
      <c r="CE75" s="107">
        <v>0</v>
      </c>
      <c r="CF75" s="108">
        <v>0</v>
      </c>
      <c r="CG75" s="107">
        <v>0</v>
      </c>
      <c r="CH75" s="107">
        <v>0</v>
      </c>
      <c r="CI75" s="107">
        <v>460</v>
      </c>
      <c r="CJ75" s="108">
        <v>5</v>
      </c>
      <c r="CK75" s="107">
        <v>0</v>
      </c>
      <c r="CL75" s="108">
        <v>0</v>
      </c>
      <c r="CM75" s="107">
        <v>0</v>
      </c>
      <c r="CN75" s="107">
        <v>0</v>
      </c>
    </row>
    <row r="76" spans="1:92">
      <c r="A76" s="207" t="s">
        <v>353</v>
      </c>
      <c r="B76" s="108">
        <v>2107</v>
      </c>
      <c r="C76" s="107">
        <v>0</v>
      </c>
      <c r="D76" s="107">
        <v>0</v>
      </c>
      <c r="E76" s="107">
        <v>0</v>
      </c>
      <c r="F76" s="107">
        <v>0</v>
      </c>
      <c r="G76" s="107">
        <v>0</v>
      </c>
      <c r="H76" s="107">
        <v>0</v>
      </c>
      <c r="I76" s="107">
        <v>0</v>
      </c>
      <c r="J76" s="107">
        <v>0</v>
      </c>
      <c r="K76" s="107">
        <v>0</v>
      </c>
      <c r="L76" s="107">
        <v>0</v>
      </c>
      <c r="M76" s="107">
        <v>0</v>
      </c>
      <c r="N76" s="107">
        <v>0</v>
      </c>
      <c r="O76" s="107">
        <v>0</v>
      </c>
      <c r="P76" s="107">
        <v>0</v>
      </c>
      <c r="Q76" s="107">
        <v>0</v>
      </c>
      <c r="R76" s="108">
        <v>18</v>
      </c>
      <c r="S76" s="107">
        <v>0</v>
      </c>
      <c r="T76" s="107">
        <v>0</v>
      </c>
      <c r="U76" s="107">
        <v>0</v>
      </c>
      <c r="V76" s="107">
        <v>0</v>
      </c>
      <c r="W76" s="107">
        <v>0</v>
      </c>
      <c r="X76" s="107">
        <v>0</v>
      </c>
      <c r="Y76" s="107">
        <v>0</v>
      </c>
      <c r="Z76" s="107">
        <v>0</v>
      </c>
      <c r="AA76" s="107">
        <v>0</v>
      </c>
      <c r="AB76" s="107">
        <v>0</v>
      </c>
      <c r="AC76" s="108">
        <v>1358</v>
      </c>
      <c r="AD76" s="107">
        <v>4</v>
      </c>
      <c r="AE76" s="107">
        <v>0</v>
      </c>
      <c r="AF76" s="107">
        <v>0</v>
      </c>
      <c r="AG76" s="107">
        <v>0</v>
      </c>
      <c r="AH76" s="107">
        <v>0</v>
      </c>
      <c r="AI76" s="107">
        <v>0</v>
      </c>
      <c r="AJ76" s="107">
        <v>2</v>
      </c>
      <c r="AK76" s="107">
        <v>0</v>
      </c>
      <c r="AL76" s="107">
        <v>0</v>
      </c>
      <c r="AM76" s="108">
        <v>25</v>
      </c>
      <c r="AN76" s="107">
        <v>0</v>
      </c>
      <c r="AO76" s="107">
        <v>0</v>
      </c>
      <c r="AP76" s="107">
        <v>0</v>
      </c>
      <c r="AQ76" s="107">
        <v>0</v>
      </c>
      <c r="AR76" s="107">
        <v>0</v>
      </c>
      <c r="AS76" s="107">
        <v>0</v>
      </c>
      <c r="AT76" s="107">
        <v>1</v>
      </c>
      <c r="AU76" s="108">
        <v>1</v>
      </c>
      <c r="AV76" s="107">
        <v>1</v>
      </c>
      <c r="AW76" s="107">
        <v>0</v>
      </c>
      <c r="AX76" s="107">
        <v>1</v>
      </c>
      <c r="AY76" s="107">
        <v>0</v>
      </c>
      <c r="AZ76" s="107">
        <v>0</v>
      </c>
      <c r="BA76" s="107">
        <v>0</v>
      </c>
      <c r="BB76" s="107">
        <v>1</v>
      </c>
      <c r="BC76" s="107">
        <v>0</v>
      </c>
      <c r="BD76" s="107">
        <v>0</v>
      </c>
      <c r="BE76" s="107">
        <v>0</v>
      </c>
      <c r="BF76" s="107">
        <v>0</v>
      </c>
      <c r="BG76" s="107">
        <v>0</v>
      </c>
      <c r="BH76" s="107">
        <v>0</v>
      </c>
      <c r="BI76" s="108">
        <v>0</v>
      </c>
      <c r="BJ76" s="107">
        <v>0</v>
      </c>
      <c r="BK76" s="107">
        <v>0</v>
      </c>
      <c r="BL76" s="107">
        <v>1</v>
      </c>
      <c r="BM76" s="107">
        <v>0</v>
      </c>
      <c r="BN76" s="107">
        <v>0</v>
      </c>
      <c r="BO76" s="108">
        <v>1</v>
      </c>
      <c r="BP76" s="107">
        <v>0</v>
      </c>
      <c r="BQ76" s="107">
        <v>0</v>
      </c>
      <c r="BR76" s="107">
        <v>0</v>
      </c>
      <c r="BS76" s="107">
        <v>3</v>
      </c>
      <c r="BT76" s="107">
        <v>0</v>
      </c>
      <c r="BU76" s="108">
        <v>0</v>
      </c>
      <c r="BV76" s="107">
        <v>0</v>
      </c>
      <c r="BW76" s="108">
        <v>0</v>
      </c>
      <c r="BX76" s="107">
        <v>0</v>
      </c>
      <c r="BY76" s="107">
        <v>0</v>
      </c>
      <c r="BZ76" s="107">
        <v>0</v>
      </c>
      <c r="CA76" s="107">
        <v>1</v>
      </c>
      <c r="CB76" s="107">
        <v>2</v>
      </c>
      <c r="CC76" s="108">
        <v>0</v>
      </c>
      <c r="CD76" s="108">
        <v>1</v>
      </c>
      <c r="CE76" s="107">
        <v>0</v>
      </c>
      <c r="CF76" s="108">
        <v>0</v>
      </c>
      <c r="CG76" s="107">
        <v>0</v>
      </c>
      <c r="CH76" s="107">
        <v>0</v>
      </c>
      <c r="CI76" s="107">
        <v>9</v>
      </c>
      <c r="CJ76" s="108">
        <v>675</v>
      </c>
      <c r="CK76" s="107">
        <v>0</v>
      </c>
      <c r="CL76" s="108">
        <v>1</v>
      </c>
      <c r="CM76" s="107">
        <v>0</v>
      </c>
      <c r="CN76" s="107">
        <v>1</v>
      </c>
    </row>
    <row r="77" spans="1:92">
      <c r="A77" s="207" t="s">
        <v>565</v>
      </c>
      <c r="B77" s="108">
        <v>2</v>
      </c>
      <c r="C77" s="107">
        <v>0</v>
      </c>
      <c r="D77" s="107">
        <v>0</v>
      </c>
      <c r="E77" s="107">
        <v>0</v>
      </c>
      <c r="F77" s="107">
        <v>0</v>
      </c>
      <c r="G77" s="107">
        <v>0</v>
      </c>
      <c r="H77" s="107">
        <v>0</v>
      </c>
      <c r="I77" s="107">
        <v>0</v>
      </c>
      <c r="J77" s="107">
        <v>0</v>
      </c>
      <c r="K77" s="107">
        <v>0</v>
      </c>
      <c r="L77" s="107">
        <v>0</v>
      </c>
      <c r="M77" s="107">
        <v>0</v>
      </c>
      <c r="N77" s="107">
        <v>0</v>
      </c>
      <c r="O77" s="107">
        <v>0</v>
      </c>
      <c r="P77" s="107">
        <v>0</v>
      </c>
      <c r="Q77" s="107">
        <v>0</v>
      </c>
      <c r="R77" s="108">
        <v>0</v>
      </c>
      <c r="S77" s="107">
        <v>0</v>
      </c>
      <c r="T77" s="107">
        <v>0</v>
      </c>
      <c r="U77" s="107">
        <v>0</v>
      </c>
      <c r="V77" s="107">
        <v>0</v>
      </c>
      <c r="W77" s="107">
        <v>0</v>
      </c>
      <c r="X77" s="107">
        <v>0</v>
      </c>
      <c r="Y77" s="107">
        <v>0</v>
      </c>
      <c r="Z77" s="107">
        <v>0</v>
      </c>
      <c r="AA77" s="107">
        <v>0</v>
      </c>
      <c r="AB77" s="107">
        <v>0</v>
      </c>
      <c r="AC77" s="108">
        <v>1</v>
      </c>
      <c r="AD77" s="107">
        <v>0</v>
      </c>
      <c r="AE77" s="107">
        <v>0</v>
      </c>
      <c r="AF77" s="107">
        <v>0</v>
      </c>
      <c r="AG77" s="107">
        <v>0</v>
      </c>
      <c r="AH77" s="107">
        <v>0</v>
      </c>
      <c r="AI77" s="107">
        <v>0</v>
      </c>
      <c r="AJ77" s="107">
        <v>0</v>
      </c>
      <c r="AK77" s="107">
        <v>0</v>
      </c>
      <c r="AL77" s="107">
        <v>0</v>
      </c>
      <c r="AM77" s="108">
        <v>0</v>
      </c>
      <c r="AN77" s="107">
        <v>0</v>
      </c>
      <c r="AO77" s="107">
        <v>0</v>
      </c>
      <c r="AP77" s="107">
        <v>0</v>
      </c>
      <c r="AQ77" s="107">
        <v>0</v>
      </c>
      <c r="AR77" s="107">
        <v>0</v>
      </c>
      <c r="AS77" s="107">
        <v>0</v>
      </c>
      <c r="AT77" s="107">
        <v>0</v>
      </c>
      <c r="AU77" s="108">
        <v>0</v>
      </c>
      <c r="AV77" s="107">
        <v>0</v>
      </c>
      <c r="AW77" s="107">
        <v>0</v>
      </c>
      <c r="AX77" s="107">
        <v>0</v>
      </c>
      <c r="AY77" s="107">
        <v>0</v>
      </c>
      <c r="AZ77" s="107">
        <v>0</v>
      </c>
      <c r="BA77" s="107">
        <v>0</v>
      </c>
      <c r="BB77" s="107">
        <v>0</v>
      </c>
      <c r="BC77" s="107">
        <v>0</v>
      </c>
      <c r="BD77" s="107">
        <v>0</v>
      </c>
      <c r="BE77" s="107">
        <v>0</v>
      </c>
      <c r="BF77" s="107">
        <v>0</v>
      </c>
      <c r="BG77" s="107">
        <v>0</v>
      </c>
      <c r="BH77" s="107">
        <v>0</v>
      </c>
      <c r="BI77" s="108">
        <v>0</v>
      </c>
      <c r="BJ77" s="107">
        <v>0</v>
      </c>
      <c r="BK77" s="107">
        <v>0</v>
      </c>
      <c r="BL77" s="107">
        <v>0</v>
      </c>
      <c r="BM77" s="107">
        <v>0</v>
      </c>
      <c r="BN77" s="107">
        <v>0</v>
      </c>
      <c r="BO77" s="108">
        <v>0</v>
      </c>
      <c r="BP77" s="107">
        <v>0</v>
      </c>
      <c r="BQ77" s="107">
        <v>0</v>
      </c>
      <c r="BR77" s="107">
        <v>0</v>
      </c>
      <c r="BS77" s="107">
        <v>0</v>
      </c>
      <c r="BT77" s="107">
        <v>0</v>
      </c>
      <c r="BU77" s="108">
        <v>0</v>
      </c>
      <c r="BV77" s="107">
        <v>0</v>
      </c>
      <c r="BW77" s="108">
        <v>0</v>
      </c>
      <c r="BX77" s="107">
        <v>0</v>
      </c>
      <c r="BY77" s="107">
        <v>0</v>
      </c>
      <c r="BZ77" s="107">
        <v>0</v>
      </c>
      <c r="CA77" s="107">
        <v>0</v>
      </c>
      <c r="CB77" s="107">
        <v>0</v>
      </c>
      <c r="CC77" s="108">
        <v>0</v>
      </c>
      <c r="CD77" s="108">
        <v>0</v>
      </c>
      <c r="CE77" s="107">
        <v>0</v>
      </c>
      <c r="CF77" s="108">
        <v>0</v>
      </c>
      <c r="CG77" s="107">
        <v>0</v>
      </c>
      <c r="CH77" s="107">
        <v>0</v>
      </c>
      <c r="CI77" s="107">
        <v>0</v>
      </c>
      <c r="CJ77" s="108">
        <v>1</v>
      </c>
      <c r="CK77" s="107">
        <v>0</v>
      </c>
      <c r="CL77" s="108">
        <v>0</v>
      </c>
      <c r="CM77" s="107">
        <v>0</v>
      </c>
      <c r="CN77" s="107">
        <v>0</v>
      </c>
    </row>
    <row r="78" spans="1:92">
      <c r="A78" s="207" t="s">
        <v>554</v>
      </c>
      <c r="B78" s="108">
        <v>43</v>
      </c>
      <c r="C78" s="107">
        <v>0</v>
      </c>
      <c r="D78" s="107">
        <v>0</v>
      </c>
      <c r="E78" s="107">
        <v>0</v>
      </c>
      <c r="F78" s="107">
        <v>0</v>
      </c>
      <c r="G78" s="107">
        <v>0</v>
      </c>
      <c r="H78" s="107">
        <v>0</v>
      </c>
      <c r="I78" s="107">
        <v>0</v>
      </c>
      <c r="J78" s="107">
        <v>0</v>
      </c>
      <c r="K78" s="107">
        <v>0</v>
      </c>
      <c r="L78" s="107">
        <v>0</v>
      </c>
      <c r="M78" s="107">
        <v>0</v>
      </c>
      <c r="N78" s="107">
        <v>0</v>
      </c>
      <c r="O78" s="107">
        <v>0</v>
      </c>
      <c r="P78" s="107">
        <v>0</v>
      </c>
      <c r="Q78" s="107">
        <v>0</v>
      </c>
      <c r="R78" s="108">
        <v>0</v>
      </c>
      <c r="S78" s="107">
        <v>0</v>
      </c>
      <c r="T78" s="107">
        <v>0</v>
      </c>
      <c r="U78" s="107">
        <v>0</v>
      </c>
      <c r="V78" s="107">
        <v>1</v>
      </c>
      <c r="W78" s="107">
        <v>0</v>
      </c>
      <c r="X78" s="107">
        <v>0</v>
      </c>
      <c r="Y78" s="107">
        <v>0</v>
      </c>
      <c r="Z78" s="107">
        <v>0</v>
      </c>
      <c r="AA78" s="107">
        <v>0</v>
      </c>
      <c r="AB78" s="107">
        <v>0</v>
      </c>
      <c r="AC78" s="108">
        <v>31</v>
      </c>
      <c r="AD78" s="107">
        <v>0</v>
      </c>
      <c r="AE78" s="107">
        <v>0</v>
      </c>
      <c r="AF78" s="107">
        <v>0</v>
      </c>
      <c r="AG78" s="107">
        <v>0</v>
      </c>
      <c r="AH78" s="107">
        <v>0</v>
      </c>
      <c r="AI78" s="107">
        <v>0</v>
      </c>
      <c r="AJ78" s="107">
        <v>0</v>
      </c>
      <c r="AK78" s="107">
        <v>0</v>
      </c>
      <c r="AL78" s="107">
        <v>0</v>
      </c>
      <c r="AM78" s="108">
        <v>0</v>
      </c>
      <c r="AN78" s="107">
        <v>0</v>
      </c>
      <c r="AO78" s="107">
        <v>0</v>
      </c>
      <c r="AP78" s="107">
        <v>0</v>
      </c>
      <c r="AQ78" s="107">
        <v>0</v>
      </c>
      <c r="AR78" s="107">
        <v>0</v>
      </c>
      <c r="AS78" s="107">
        <v>0</v>
      </c>
      <c r="AT78" s="107">
        <v>0</v>
      </c>
      <c r="AU78" s="108">
        <v>0</v>
      </c>
      <c r="AV78" s="107">
        <v>0</v>
      </c>
      <c r="AW78" s="107">
        <v>0</v>
      </c>
      <c r="AX78" s="107">
        <v>0</v>
      </c>
      <c r="AY78" s="107">
        <v>0</v>
      </c>
      <c r="AZ78" s="107">
        <v>0</v>
      </c>
      <c r="BA78" s="107">
        <v>0</v>
      </c>
      <c r="BB78" s="107">
        <v>0</v>
      </c>
      <c r="BC78" s="107">
        <v>0</v>
      </c>
      <c r="BD78" s="107">
        <v>0</v>
      </c>
      <c r="BE78" s="107">
        <v>0</v>
      </c>
      <c r="BF78" s="107">
        <v>0</v>
      </c>
      <c r="BG78" s="107">
        <v>0</v>
      </c>
      <c r="BH78" s="107">
        <v>0</v>
      </c>
      <c r="BI78" s="108">
        <v>0</v>
      </c>
      <c r="BJ78" s="107">
        <v>0</v>
      </c>
      <c r="BK78" s="107">
        <v>0</v>
      </c>
      <c r="BL78" s="107">
        <v>0</v>
      </c>
      <c r="BM78" s="107">
        <v>0</v>
      </c>
      <c r="BN78" s="107">
        <v>0</v>
      </c>
      <c r="BO78" s="108">
        <v>0</v>
      </c>
      <c r="BP78" s="107">
        <v>0</v>
      </c>
      <c r="BQ78" s="107">
        <v>0</v>
      </c>
      <c r="BR78" s="107">
        <v>0</v>
      </c>
      <c r="BS78" s="107">
        <v>0</v>
      </c>
      <c r="BT78" s="107">
        <v>0</v>
      </c>
      <c r="BU78" s="108">
        <v>0</v>
      </c>
      <c r="BV78" s="107">
        <v>0</v>
      </c>
      <c r="BW78" s="108">
        <v>0</v>
      </c>
      <c r="BX78" s="107">
        <v>0</v>
      </c>
      <c r="BY78" s="107">
        <v>0</v>
      </c>
      <c r="BZ78" s="107">
        <v>0</v>
      </c>
      <c r="CA78" s="107">
        <v>0</v>
      </c>
      <c r="CB78" s="107">
        <v>2</v>
      </c>
      <c r="CC78" s="108">
        <v>0</v>
      </c>
      <c r="CD78" s="108">
        <v>0</v>
      </c>
      <c r="CE78" s="107">
        <v>0</v>
      </c>
      <c r="CF78" s="108">
        <v>0</v>
      </c>
      <c r="CG78" s="107">
        <v>0</v>
      </c>
      <c r="CH78" s="107">
        <v>0</v>
      </c>
      <c r="CI78" s="107">
        <v>0</v>
      </c>
      <c r="CJ78" s="108">
        <v>5</v>
      </c>
      <c r="CK78" s="107">
        <v>0</v>
      </c>
      <c r="CL78" s="108">
        <v>4</v>
      </c>
      <c r="CM78" s="107">
        <v>0</v>
      </c>
      <c r="CN78" s="107">
        <v>0</v>
      </c>
    </row>
    <row r="79" spans="1:92">
      <c r="A79" s="207" t="s">
        <v>626</v>
      </c>
      <c r="B79" s="108">
        <v>1</v>
      </c>
      <c r="C79" s="107">
        <v>0</v>
      </c>
      <c r="D79" s="107">
        <v>0</v>
      </c>
      <c r="E79" s="107">
        <v>0</v>
      </c>
      <c r="F79" s="107">
        <v>0</v>
      </c>
      <c r="G79" s="107">
        <v>0</v>
      </c>
      <c r="H79" s="107">
        <v>0</v>
      </c>
      <c r="I79" s="107">
        <v>0</v>
      </c>
      <c r="J79" s="107">
        <v>0</v>
      </c>
      <c r="K79" s="107">
        <v>0</v>
      </c>
      <c r="L79" s="107">
        <v>0</v>
      </c>
      <c r="M79" s="107">
        <v>0</v>
      </c>
      <c r="N79" s="107">
        <v>0</v>
      </c>
      <c r="O79" s="107">
        <v>0</v>
      </c>
      <c r="P79" s="107">
        <v>0</v>
      </c>
      <c r="Q79" s="107">
        <v>0</v>
      </c>
      <c r="R79" s="108">
        <v>0</v>
      </c>
      <c r="S79" s="107">
        <v>0</v>
      </c>
      <c r="T79" s="107">
        <v>0</v>
      </c>
      <c r="U79" s="107">
        <v>0</v>
      </c>
      <c r="V79" s="107">
        <v>0</v>
      </c>
      <c r="W79" s="107">
        <v>0</v>
      </c>
      <c r="X79" s="107">
        <v>0</v>
      </c>
      <c r="Y79" s="107">
        <v>0</v>
      </c>
      <c r="Z79" s="107">
        <v>0</v>
      </c>
      <c r="AA79" s="107">
        <v>0</v>
      </c>
      <c r="AB79" s="107">
        <v>0</v>
      </c>
      <c r="AC79" s="108">
        <v>1</v>
      </c>
      <c r="AD79" s="107">
        <v>0</v>
      </c>
      <c r="AE79" s="107">
        <v>0</v>
      </c>
      <c r="AF79" s="107">
        <v>0</v>
      </c>
      <c r="AG79" s="107">
        <v>0</v>
      </c>
      <c r="AH79" s="107">
        <v>0</v>
      </c>
      <c r="AI79" s="107">
        <v>0</v>
      </c>
      <c r="AJ79" s="107">
        <v>0</v>
      </c>
      <c r="AK79" s="107">
        <v>0</v>
      </c>
      <c r="AL79" s="107">
        <v>0</v>
      </c>
      <c r="AM79" s="108">
        <v>0</v>
      </c>
      <c r="AN79" s="107">
        <v>0</v>
      </c>
      <c r="AO79" s="107">
        <v>0</v>
      </c>
      <c r="AP79" s="107">
        <v>0</v>
      </c>
      <c r="AQ79" s="107">
        <v>0</v>
      </c>
      <c r="AR79" s="107">
        <v>0</v>
      </c>
      <c r="AS79" s="107">
        <v>0</v>
      </c>
      <c r="AT79" s="107">
        <v>0</v>
      </c>
      <c r="AU79" s="108">
        <v>0</v>
      </c>
      <c r="AV79" s="107">
        <v>0</v>
      </c>
      <c r="AW79" s="107">
        <v>0</v>
      </c>
      <c r="AX79" s="107">
        <v>0</v>
      </c>
      <c r="AY79" s="107">
        <v>0</v>
      </c>
      <c r="AZ79" s="107">
        <v>0</v>
      </c>
      <c r="BA79" s="107">
        <v>0</v>
      </c>
      <c r="BB79" s="107">
        <v>0</v>
      </c>
      <c r="BC79" s="107">
        <v>0</v>
      </c>
      <c r="BD79" s="107">
        <v>0</v>
      </c>
      <c r="BE79" s="107">
        <v>0</v>
      </c>
      <c r="BF79" s="107">
        <v>0</v>
      </c>
      <c r="BG79" s="107">
        <v>0</v>
      </c>
      <c r="BH79" s="107">
        <v>0</v>
      </c>
      <c r="BI79" s="108">
        <v>0</v>
      </c>
      <c r="BJ79" s="107">
        <v>0</v>
      </c>
      <c r="BK79" s="107">
        <v>0</v>
      </c>
      <c r="BL79" s="107">
        <v>0</v>
      </c>
      <c r="BM79" s="107">
        <v>0</v>
      </c>
      <c r="BN79" s="107">
        <v>0</v>
      </c>
      <c r="BO79" s="108">
        <v>0</v>
      </c>
      <c r="BP79" s="107">
        <v>0</v>
      </c>
      <c r="BQ79" s="107">
        <v>0</v>
      </c>
      <c r="BR79" s="107">
        <v>0</v>
      </c>
      <c r="BS79" s="107">
        <v>0</v>
      </c>
      <c r="BT79" s="107">
        <v>0</v>
      </c>
      <c r="BU79" s="108">
        <v>0</v>
      </c>
      <c r="BV79" s="107">
        <v>0</v>
      </c>
      <c r="BW79" s="108">
        <v>0</v>
      </c>
      <c r="BX79" s="107">
        <v>0</v>
      </c>
      <c r="BY79" s="107">
        <v>0</v>
      </c>
      <c r="BZ79" s="107">
        <v>0</v>
      </c>
      <c r="CA79" s="107">
        <v>0</v>
      </c>
      <c r="CB79" s="107">
        <v>0</v>
      </c>
      <c r="CC79" s="108">
        <v>0</v>
      </c>
      <c r="CD79" s="108">
        <v>0</v>
      </c>
      <c r="CE79" s="107">
        <v>0</v>
      </c>
      <c r="CF79" s="108">
        <v>0</v>
      </c>
      <c r="CG79" s="107">
        <v>0</v>
      </c>
      <c r="CH79" s="107">
        <v>0</v>
      </c>
      <c r="CI79" s="107">
        <v>0</v>
      </c>
      <c r="CJ79" s="108">
        <v>0</v>
      </c>
      <c r="CK79" s="107">
        <v>0</v>
      </c>
      <c r="CL79" s="108">
        <v>0</v>
      </c>
      <c r="CM79" s="107">
        <v>0</v>
      </c>
      <c r="CN79" s="107">
        <v>0</v>
      </c>
    </row>
    <row r="80" spans="1:92">
      <c r="A80" s="207" t="s">
        <v>624</v>
      </c>
      <c r="B80" s="108">
        <v>13</v>
      </c>
      <c r="C80" s="107">
        <v>0</v>
      </c>
      <c r="D80" s="107">
        <v>0</v>
      </c>
      <c r="E80" s="107">
        <v>0</v>
      </c>
      <c r="F80" s="107">
        <v>0</v>
      </c>
      <c r="G80" s="107">
        <v>0</v>
      </c>
      <c r="H80" s="107">
        <v>0</v>
      </c>
      <c r="I80" s="107">
        <v>0</v>
      </c>
      <c r="J80" s="107">
        <v>0</v>
      </c>
      <c r="K80" s="107">
        <v>0</v>
      </c>
      <c r="L80" s="107">
        <v>0</v>
      </c>
      <c r="M80" s="107">
        <v>0</v>
      </c>
      <c r="N80" s="107">
        <v>0</v>
      </c>
      <c r="O80" s="107">
        <v>0</v>
      </c>
      <c r="P80" s="107">
        <v>0</v>
      </c>
      <c r="Q80" s="107">
        <v>0</v>
      </c>
      <c r="R80" s="108">
        <v>0</v>
      </c>
      <c r="S80" s="107">
        <v>0</v>
      </c>
      <c r="T80" s="107">
        <v>0</v>
      </c>
      <c r="U80" s="107">
        <v>0</v>
      </c>
      <c r="V80" s="107">
        <v>0</v>
      </c>
      <c r="W80" s="107">
        <v>0</v>
      </c>
      <c r="X80" s="107">
        <v>0</v>
      </c>
      <c r="Y80" s="107">
        <v>0</v>
      </c>
      <c r="Z80" s="107">
        <v>0</v>
      </c>
      <c r="AA80" s="107">
        <v>0</v>
      </c>
      <c r="AB80" s="107">
        <v>0</v>
      </c>
      <c r="AC80" s="108">
        <v>11</v>
      </c>
      <c r="AD80" s="107">
        <v>0</v>
      </c>
      <c r="AE80" s="107">
        <v>0</v>
      </c>
      <c r="AF80" s="107">
        <v>0</v>
      </c>
      <c r="AG80" s="107">
        <v>0</v>
      </c>
      <c r="AH80" s="107">
        <v>0</v>
      </c>
      <c r="AI80" s="107">
        <v>0</v>
      </c>
      <c r="AJ80" s="107">
        <v>0</v>
      </c>
      <c r="AK80" s="107">
        <v>0</v>
      </c>
      <c r="AL80" s="107">
        <v>0</v>
      </c>
      <c r="AM80" s="108">
        <v>0</v>
      </c>
      <c r="AN80" s="107">
        <v>0</v>
      </c>
      <c r="AO80" s="107">
        <v>0</v>
      </c>
      <c r="AP80" s="107">
        <v>0</v>
      </c>
      <c r="AQ80" s="107">
        <v>0</v>
      </c>
      <c r="AR80" s="107">
        <v>0</v>
      </c>
      <c r="AS80" s="107">
        <v>0</v>
      </c>
      <c r="AT80" s="107">
        <v>0</v>
      </c>
      <c r="AU80" s="108">
        <v>0</v>
      </c>
      <c r="AV80" s="107">
        <v>0</v>
      </c>
      <c r="AW80" s="107">
        <v>0</v>
      </c>
      <c r="AX80" s="107">
        <v>0</v>
      </c>
      <c r="AY80" s="107">
        <v>0</v>
      </c>
      <c r="AZ80" s="107">
        <v>0</v>
      </c>
      <c r="BA80" s="107">
        <v>0</v>
      </c>
      <c r="BB80" s="107">
        <v>0</v>
      </c>
      <c r="BC80" s="107">
        <v>0</v>
      </c>
      <c r="BD80" s="107">
        <v>0</v>
      </c>
      <c r="BE80" s="107">
        <v>0</v>
      </c>
      <c r="BF80" s="107">
        <v>0</v>
      </c>
      <c r="BG80" s="107">
        <v>0</v>
      </c>
      <c r="BH80" s="107">
        <v>0</v>
      </c>
      <c r="BI80" s="108">
        <v>0</v>
      </c>
      <c r="BJ80" s="107">
        <v>0</v>
      </c>
      <c r="BK80" s="107">
        <v>0</v>
      </c>
      <c r="BL80" s="107">
        <v>0</v>
      </c>
      <c r="BM80" s="107">
        <v>0</v>
      </c>
      <c r="BN80" s="107">
        <v>0</v>
      </c>
      <c r="BO80" s="108">
        <v>0</v>
      </c>
      <c r="BP80" s="107">
        <v>0</v>
      </c>
      <c r="BQ80" s="107">
        <v>0</v>
      </c>
      <c r="BR80" s="107">
        <v>0</v>
      </c>
      <c r="BS80" s="107">
        <v>0</v>
      </c>
      <c r="BT80" s="107">
        <v>0</v>
      </c>
      <c r="BU80" s="108">
        <v>0</v>
      </c>
      <c r="BV80" s="107">
        <v>0</v>
      </c>
      <c r="BW80" s="108">
        <v>0</v>
      </c>
      <c r="BX80" s="107">
        <v>0</v>
      </c>
      <c r="BY80" s="107">
        <v>0</v>
      </c>
      <c r="BZ80" s="107">
        <v>0</v>
      </c>
      <c r="CA80" s="107">
        <v>0</v>
      </c>
      <c r="CB80" s="107">
        <v>0</v>
      </c>
      <c r="CC80" s="108">
        <v>0</v>
      </c>
      <c r="CD80" s="108">
        <v>0</v>
      </c>
      <c r="CE80" s="107">
        <v>0</v>
      </c>
      <c r="CF80" s="108">
        <v>0</v>
      </c>
      <c r="CG80" s="107">
        <v>0</v>
      </c>
      <c r="CH80" s="107">
        <v>0</v>
      </c>
      <c r="CI80" s="107">
        <v>0</v>
      </c>
      <c r="CJ80" s="108">
        <v>1</v>
      </c>
      <c r="CK80" s="107">
        <v>0</v>
      </c>
      <c r="CL80" s="108">
        <v>0</v>
      </c>
      <c r="CM80" s="107">
        <v>1</v>
      </c>
      <c r="CN80" s="107">
        <v>0</v>
      </c>
    </row>
    <row r="81" spans="1:92">
      <c r="A81" s="207" t="s">
        <v>333</v>
      </c>
      <c r="B81" s="108">
        <v>556</v>
      </c>
      <c r="C81" s="107">
        <v>0</v>
      </c>
      <c r="D81" s="107">
        <v>0</v>
      </c>
      <c r="E81" s="107">
        <v>0</v>
      </c>
      <c r="F81" s="107">
        <v>0</v>
      </c>
      <c r="G81" s="107">
        <v>0</v>
      </c>
      <c r="H81" s="107">
        <v>0</v>
      </c>
      <c r="I81" s="107">
        <v>0</v>
      </c>
      <c r="J81" s="107">
        <v>0</v>
      </c>
      <c r="K81" s="107">
        <v>0</v>
      </c>
      <c r="L81" s="107">
        <v>0</v>
      </c>
      <c r="M81" s="107">
        <v>0</v>
      </c>
      <c r="N81" s="107">
        <v>0</v>
      </c>
      <c r="O81" s="107">
        <v>0</v>
      </c>
      <c r="P81" s="107">
        <v>0</v>
      </c>
      <c r="Q81" s="107">
        <v>0</v>
      </c>
      <c r="R81" s="108">
        <v>0</v>
      </c>
      <c r="S81" s="107">
        <v>0</v>
      </c>
      <c r="T81" s="107">
        <v>0</v>
      </c>
      <c r="U81" s="107">
        <v>0</v>
      </c>
      <c r="V81" s="107">
        <v>0</v>
      </c>
      <c r="W81" s="107">
        <v>0</v>
      </c>
      <c r="X81" s="107">
        <v>0</v>
      </c>
      <c r="Y81" s="107">
        <v>1</v>
      </c>
      <c r="Z81" s="107">
        <v>0</v>
      </c>
      <c r="AA81" s="107">
        <v>0</v>
      </c>
      <c r="AB81" s="107">
        <v>0</v>
      </c>
      <c r="AC81" s="108">
        <v>221</v>
      </c>
      <c r="AD81" s="107">
        <v>0</v>
      </c>
      <c r="AE81" s="107">
        <v>0</v>
      </c>
      <c r="AF81" s="107">
        <v>0</v>
      </c>
      <c r="AG81" s="107">
        <v>0</v>
      </c>
      <c r="AH81" s="107">
        <v>0</v>
      </c>
      <c r="AI81" s="107">
        <v>0</v>
      </c>
      <c r="AJ81" s="107">
        <v>0</v>
      </c>
      <c r="AK81" s="107">
        <v>0</v>
      </c>
      <c r="AL81" s="107">
        <v>0</v>
      </c>
      <c r="AM81" s="108">
        <v>0</v>
      </c>
      <c r="AN81" s="107">
        <v>0</v>
      </c>
      <c r="AO81" s="107">
        <v>0</v>
      </c>
      <c r="AP81" s="107">
        <v>0</v>
      </c>
      <c r="AQ81" s="107">
        <v>0</v>
      </c>
      <c r="AR81" s="107">
        <v>0</v>
      </c>
      <c r="AS81" s="107">
        <v>0</v>
      </c>
      <c r="AT81" s="107">
        <v>0</v>
      </c>
      <c r="AU81" s="108">
        <v>0</v>
      </c>
      <c r="AV81" s="107">
        <v>0</v>
      </c>
      <c r="AW81" s="107">
        <v>0</v>
      </c>
      <c r="AX81" s="107">
        <v>0</v>
      </c>
      <c r="AY81" s="107">
        <v>0</v>
      </c>
      <c r="AZ81" s="107">
        <v>0</v>
      </c>
      <c r="BA81" s="107">
        <v>0</v>
      </c>
      <c r="BB81" s="107">
        <v>0</v>
      </c>
      <c r="BC81" s="107">
        <v>0</v>
      </c>
      <c r="BD81" s="107">
        <v>0</v>
      </c>
      <c r="BE81" s="107">
        <v>0</v>
      </c>
      <c r="BF81" s="107">
        <v>0</v>
      </c>
      <c r="BG81" s="107">
        <v>0</v>
      </c>
      <c r="BH81" s="107">
        <v>0</v>
      </c>
      <c r="BI81" s="108">
        <v>0</v>
      </c>
      <c r="BJ81" s="107">
        <v>0</v>
      </c>
      <c r="BK81" s="107">
        <v>0</v>
      </c>
      <c r="BL81" s="107">
        <v>0</v>
      </c>
      <c r="BM81" s="107">
        <v>0</v>
      </c>
      <c r="BN81" s="107">
        <v>0</v>
      </c>
      <c r="BO81" s="108">
        <v>0</v>
      </c>
      <c r="BP81" s="107">
        <v>0</v>
      </c>
      <c r="BQ81" s="107">
        <v>0</v>
      </c>
      <c r="BR81" s="107">
        <v>0</v>
      </c>
      <c r="BS81" s="107">
        <v>0</v>
      </c>
      <c r="BT81" s="107">
        <v>0</v>
      </c>
      <c r="BU81" s="108">
        <v>0</v>
      </c>
      <c r="BV81" s="107">
        <v>0</v>
      </c>
      <c r="BW81" s="108">
        <v>0</v>
      </c>
      <c r="BX81" s="107">
        <v>0</v>
      </c>
      <c r="BY81" s="107">
        <v>0</v>
      </c>
      <c r="BZ81" s="107">
        <v>0</v>
      </c>
      <c r="CA81" s="107">
        <v>0</v>
      </c>
      <c r="CB81" s="107">
        <v>0</v>
      </c>
      <c r="CC81" s="108">
        <v>0</v>
      </c>
      <c r="CD81" s="108">
        <v>0</v>
      </c>
      <c r="CE81" s="107">
        <v>0</v>
      </c>
      <c r="CF81" s="108">
        <v>0</v>
      </c>
      <c r="CG81" s="107">
        <v>0</v>
      </c>
      <c r="CH81" s="107">
        <v>0</v>
      </c>
      <c r="CI81" s="107">
        <v>1</v>
      </c>
      <c r="CJ81" s="108">
        <v>4</v>
      </c>
      <c r="CK81" s="107">
        <v>0</v>
      </c>
      <c r="CL81" s="108">
        <v>0</v>
      </c>
      <c r="CM81" s="107">
        <v>0</v>
      </c>
      <c r="CN81" s="107">
        <v>329</v>
      </c>
    </row>
    <row r="82" spans="1:92" ht="5.0999999999999996" customHeight="1">
      <c r="A82" s="268"/>
      <c r="B82" s="99"/>
      <c r="C82" s="357"/>
      <c r="D82" s="357"/>
      <c r="E82" s="357"/>
      <c r="F82" s="357"/>
      <c r="G82" s="357"/>
      <c r="H82" s="357"/>
      <c r="I82" s="357"/>
      <c r="J82" s="357"/>
      <c r="K82" s="357"/>
      <c r="L82" s="357"/>
      <c r="M82" s="357"/>
      <c r="N82" s="357"/>
      <c r="O82" s="357"/>
      <c r="P82" s="357"/>
      <c r="Q82" s="357"/>
      <c r="R82" s="357"/>
      <c r="S82" s="357"/>
      <c r="T82" s="357"/>
      <c r="U82" s="357"/>
      <c r="V82" s="357"/>
      <c r="W82" s="357"/>
      <c r="X82" s="357"/>
      <c r="Y82" s="357"/>
      <c r="Z82" s="357"/>
      <c r="AA82" s="357"/>
      <c r="AB82" s="357"/>
      <c r="AC82" s="357"/>
      <c r="AD82" s="357"/>
      <c r="AE82" s="357"/>
      <c r="AF82" s="357"/>
      <c r="AG82" s="357"/>
      <c r="AH82" s="357"/>
      <c r="AI82" s="357"/>
      <c r="AJ82" s="357"/>
      <c r="AK82" s="357"/>
      <c r="AL82" s="357"/>
      <c r="AM82" s="357"/>
      <c r="AN82" s="357"/>
      <c r="AO82" s="357"/>
      <c r="AP82" s="357"/>
      <c r="AQ82" s="357"/>
      <c r="AR82" s="357"/>
      <c r="AS82" s="357"/>
      <c r="AT82" s="357"/>
      <c r="AU82" s="357"/>
      <c r="AV82" s="357"/>
      <c r="AW82" s="357"/>
      <c r="AX82" s="357"/>
      <c r="AY82" s="357"/>
      <c r="AZ82" s="357"/>
      <c r="BA82" s="357"/>
      <c r="BB82" s="357"/>
      <c r="BC82" s="357"/>
      <c r="BD82" s="357"/>
      <c r="BE82" s="357"/>
      <c r="BF82" s="357"/>
      <c r="BG82" s="357"/>
      <c r="BH82" s="357"/>
      <c r="BI82" s="357"/>
      <c r="BJ82" s="357"/>
      <c r="BK82" s="357"/>
      <c r="BL82" s="357"/>
      <c r="BM82" s="357"/>
      <c r="BN82" s="357"/>
      <c r="BO82" s="358"/>
      <c r="BP82" s="357"/>
      <c r="BQ82" s="357"/>
      <c r="BR82" s="357"/>
      <c r="BS82" s="357"/>
      <c r="BT82" s="357"/>
      <c r="BU82" s="357"/>
      <c r="BV82" s="357"/>
      <c r="BW82" s="357"/>
      <c r="BX82" s="357"/>
      <c r="BY82" s="357"/>
      <c r="BZ82" s="357"/>
      <c r="CA82" s="357"/>
      <c r="CB82" s="357"/>
      <c r="CC82" s="357"/>
      <c r="CD82" s="357"/>
      <c r="CE82" s="357"/>
      <c r="CF82" s="357"/>
      <c r="CG82" s="357"/>
      <c r="CH82" s="357"/>
      <c r="CI82" s="357"/>
      <c r="CJ82" s="357"/>
      <c r="CK82" s="357"/>
      <c r="CL82" s="357"/>
      <c r="CM82" s="357"/>
      <c r="CN82" s="357"/>
    </row>
    <row r="83" spans="1:92" ht="5.0999999999999996" customHeight="1">
      <c r="A83" s="267"/>
    </row>
    <row r="84" spans="1:92">
      <c r="A84" s="102" t="s">
        <v>586</v>
      </c>
    </row>
    <row r="85" spans="1:92">
      <c r="A85" s="111" t="s">
        <v>231</v>
      </c>
    </row>
    <row r="86" spans="1:92">
      <c r="A86" s="267"/>
    </row>
    <row r="87" spans="1:92">
      <c r="A87" s="267"/>
    </row>
    <row r="88" spans="1:92">
      <c r="A88" s="267"/>
    </row>
    <row r="89" spans="1:92">
      <c r="A89" s="267"/>
    </row>
  </sheetData>
  <mergeCells count="6">
    <mergeCell ref="A6:A7"/>
    <mergeCell ref="B6:B7"/>
    <mergeCell ref="A4:CK4"/>
    <mergeCell ref="A3:CK3"/>
    <mergeCell ref="A2:CK2"/>
    <mergeCell ref="C6:CN6"/>
  </mergeCells>
  <phoneticPr fontId="2" type="noConversion"/>
  <printOptions horizontalCentered="1"/>
  <pageMargins left="0.78740157480314965" right="0.78740157480314965" top="0.98425196850393704" bottom="0.98425196850393704" header="0" footer="0"/>
  <pageSetup orientation="portrait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2:E2059"/>
  <sheetViews>
    <sheetView showGridLines="0" zoomScaleNormal="100" zoomScaleSheetLayoutView="100" workbookViewId="0"/>
  </sheetViews>
  <sheetFormatPr baseColWidth="10" defaultColWidth="11.42578125" defaultRowHeight="12.75"/>
  <cols>
    <col min="1" max="1" width="36.85546875" style="100" customWidth="1"/>
    <col min="2" max="2" width="20.5703125" style="91" customWidth="1"/>
    <col min="3" max="16384" width="11.42578125" style="91"/>
  </cols>
  <sheetData>
    <row r="2" spans="1:3" s="92" customFormat="1" ht="11.25" customHeight="1">
      <c r="A2" s="444" t="s">
        <v>299</v>
      </c>
      <c r="B2" s="444"/>
    </row>
    <row r="3" spans="1:3" ht="11.25" customHeight="1">
      <c r="A3" s="445" t="s">
        <v>17</v>
      </c>
      <c r="B3" s="445"/>
    </row>
    <row r="4" spans="1:3" ht="11.25" customHeight="1">
      <c r="A4" s="445" t="s">
        <v>488</v>
      </c>
      <c r="B4" s="445"/>
    </row>
    <row r="5" spans="1:3" ht="11.25" customHeight="1"/>
    <row r="6" spans="1:3" s="92" customFormat="1" ht="33" customHeight="1">
      <c r="A6" s="113" t="s">
        <v>303</v>
      </c>
      <c r="B6" s="114" t="s">
        <v>286</v>
      </c>
      <c r="C6" s="95"/>
    </row>
    <row r="7" spans="1:3" s="92" customFormat="1" ht="4.5" customHeight="1">
      <c r="A7" s="115"/>
      <c r="B7" s="116"/>
    </row>
    <row r="8" spans="1:3" s="92" customFormat="1" ht="12.75" customHeight="1">
      <c r="A8" s="292" t="s">
        <v>585</v>
      </c>
      <c r="B8" s="95">
        <v>43797</v>
      </c>
    </row>
    <row r="9" spans="1:3" s="92" customFormat="1" ht="4.5" customHeight="1">
      <c r="A9" s="93"/>
      <c r="B9" s="95"/>
    </row>
    <row r="10" spans="1:3" s="92" customFormat="1" ht="12.75" customHeight="1">
      <c r="A10" s="96" t="s">
        <v>21</v>
      </c>
      <c r="B10" s="97">
        <v>3687</v>
      </c>
    </row>
    <row r="11" spans="1:3" s="92" customFormat="1" ht="12.75" customHeight="1">
      <c r="A11" s="96" t="s">
        <v>22</v>
      </c>
      <c r="B11" s="97">
        <v>3478</v>
      </c>
    </row>
    <row r="12" spans="1:3" s="92" customFormat="1" ht="12.75" customHeight="1">
      <c r="A12" s="96" t="s">
        <v>23</v>
      </c>
      <c r="B12" s="97">
        <v>3965</v>
      </c>
    </row>
    <row r="13" spans="1:3" s="92" customFormat="1" ht="12.75" customHeight="1">
      <c r="A13" s="96" t="s">
        <v>24</v>
      </c>
      <c r="B13" s="97">
        <v>3422</v>
      </c>
    </row>
    <row r="14" spans="1:3" s="92" customFormat="1" ht="12.75" customHeight="1">
      <c r="A14" s="96" t="s">
        <v>25</v>
      </c>
      <c r="B14" s="97">
        <v>3050</v>
      </c>
    </row>
    <row r="15" spans="1:3" s="92" customFormat="1" ht="12.75" customHeight="1">
      <c r="A15" s="96" t="s">
        <v>26</v>
      </c>
      <c r="B15" s="97">
        <v>3125</v>
      </c>
    </row>
    <row r="16" spans="1:3" s="92" customFormat="1" ht="12.75" customHeight="1">
      <c r="A16" s="96" t="s">
        <v>27</v>
      </c>
      <c r="B16" s="97">
        <v>3711</v>
      </c>
    </row>
    <row r="17" spans="1:2" s="92" customFormat="1" ht="12.75" customHeight="1">
      <c r="A17" s="96" t="s">
        <v>28</v>
      </c>
      <c r="B17" s="97">
        <v>3378</v>
      </c>
    </row>
    <row r="18" spans="1:2" s="92" customFormat="1" ht="12.75" customHeight="1">
      <c r="A18" s="96" t="s">
        <v>29</v>
      </c>
      <c r="B18" s="97">
        <v>3095</v>
      </c>
    </row>
    <row r="19" spans="1:2" s="92" customFormat="1" ht="12.75" customHeight="1">
      <c r="A19" s="96" t="s">
        <v>30</v>
      </c>
      <c r="B19" s="97">
        <v>3252</v>
      </c>
    </row>
    <row r="20" spans="1:2" s="92" customFormat="1" ht="12.75" customHeight="1">
      <c r="A20" s="96" t="s">
        <v>31</v>
      </c>
      <c r="B20" s="97">
        <v>3870</v>
      </c>
    </row>
    <row r="21" spans="1:2" s="92" customFormat="1" ht="12.75" customHeight="1">
      <c r="A21" s="96" t="s">
        <v>32</v>
      </c>
      <c r="B21" s="97">
        <v>5764</v>
      </c>
    </row>
    <row r="22" spans="1:2" s="92" customFormat="1" ht="5.0999999999999996" customHeight="1">
      <c r="A22" s="93"/>
      <c r="B22" s="95"/>
    </row>
    <row r="23" spans="1:2" s="92" customFormat="1" ht="12.75" customHeight="1">
      <c r="A23" s="93" t="s">
        <v>76</v>
      </c>
      <c r="B23" s="95">
        <f>SUM(B25:B36)</f>
        <v>5785</v>
      </c>
    </row>
    <row r="24" spans="1:2" s="92" customFormat="1" ht="4.5" customHeight="1">
      <c r="A24" s="93"/>
      <c r="B24" s="95"/>
    </row>
    <row r="25" spans="1:2" ht="12.75" customHeight="1">
      <c r="A25" s="96" t="s">
        <v>21</v>
      </c>
      <c r="B25" s="97">
        <v>432</v>
      </c>
    </row>
    <row r="26" spans="1:2">
      <c r="A26" s="96" t="s">
        <v>22</v>
      </c>
      <c r="B26" s="97">
        <v>424</v>
      </c>
    </row>
    <row r="27" spans="1:2">
      <c r="A27" s="96" t="s">
        <v>23</v>
      </c>
      <c r="B27" s="97">
        <v>507</v>
      </c>
    </row>
    <row r="28" spans="1:2">
      <c r="A28" s="96" t="s">
        <v>24</v>
      </c>
      <c r="B28" s="97">
        <v>457</v>
      </c>
    </row>
    <row r="29" spans="1:2">
      <c r="A29" s="96" t="s">
        <v>25</v>
      </c>
      <c r="B29" s="97">
        <v>403</v>
      </c>
    </row>
    <row r="30" spans="1:2">
      <c r="A30" s="96" t="s">
        <v>26</v>
      </c>
      <c r="B30" s="97">
        <v>417</v>
      </c>
    </row>
    <row r="31" spans="1:2">
      <c r="A31" s="96" t="s">
        <v>27</v>
      </c>
      <c r="B31" s="97">
        <v>534</v>
      </c>
    </row>
    <row r="32" spans="1:2">
      <c r="A32" s="96" t="s">
        <v>28</v>
      </c>
      <c r="B32" s="97">
        <v>461</v>
      </c>
    </row>
    <row r="33" spans="1:2">
      <c r="A33" s="96" t="s">
        <v>29</v>
      </c>
      <c r="B33" s="97">
        <v>445</v>
      </c>
    </row>
    <row r="34" spans="1:2">
      <c r="A34" s="96" t="s">
        <v>30</v>
      </c>
      <c r="B34" s="97">
        <v>454</v>
      </c>
    </row>
    <row r="35" spans="1:2">
      <c r="A35" s="96" t="s">
        <v>31</v>
      </c>
      <c r="B35" s="97">
        <v>508</v>
      </c>
    </row>
    <row r="36" spans="1:2">
      <c r="A36" s="96" t="s">
        <v>32</v>
      </c>
      <c r="B36" s="97">
        <v>743</v>
      </c>
    </row>
    <row r="37" spans="1:2" ht="4.5" customHeight="1">
      <c r="A37" s="96"/>
      <c r="B37" s="97"/>
    </row>
    <row r="38" spans="1:2" s="92" customFormat="1" ht="12.75" customHeight="1">
      <c r="A38" s="93" t="s">
        <v>77</v>
      </c>
      <c r="B38" s="95">
        <f>SUM(B40:B51)</f>
        <v>423</v>
      </c>
    </row>
    <row r="39" spans="1:2" ht="4.5" customHeight="1">
      <c r="A39" s="96"/>
      <c r="B39" s="97"/>
    </row>
    <row r="40" spans="1:2">
      <c r="A40" s="96" t="s">
        <v>21</v>
      </c>
      <c r="B40" s="97">
        <f>+B55+B70+B85+B100+B115+B130+B145+B160+B175</f>
        <v>43</v>
      </c>
    </row>
    <row r="41" spans="1:2">
      <c r="A41" s="96" t="s">
        <v>22</v>
      </c>
      <c r="B41" s="97">
        <f t="shared" ref="B41:B51" si="0">+B56+B71+B86+B101+B116+B131+B146+B161+B176</f>
        <v>46</v>
      </c>
    </row>
    <row r="42" spans="1:2">
      <c r="A42" s="96" t="s">
        <v>23</v>
      </c>
      <c r="B42" s="97">
        <f t="shared" si="0"/>
        <v>43</v>
      </c>
    </row>
    <row r="43" spans="1:2">
      <c r="A43" s="96" t="s">
        <v>24</v>
      </c>
      <c r="B43" s="97">
        <f t="shared" si="0"/>
        <v>40</v>
      </c>
    </row>
    <row r="44" spans="1:2">
      <c r="A44" s="96" t="s">
        <v>25</v>
      </c>
      <c r="B44" s="97">
        <f t="shared" si="0"/>
        <v>32</v>
      </c>
    </row>
    <row r="45" spans="1:2">
      <c r="A45" s="96" t="s">
        <v>26</v>
      </c>
      <c r="B45" s="97">
        <f t="shared" si="0"/>
        <v>27</v>
      </c>
    </row>
    <row r="46" spans="1:2">
      <c r="A46" s="96" t="s">
        <v>27</v>
      </c>
      <c r="B46" s="97">
        <f t="shared" si="0"/>
        <v>24</v>
      </c>
    </row>
    <row r="47" spans="1:2">
      <c r="A47" s="96" t="s">
        <v>28</v>
      </c>
      <c r="B47" s="97">
        <f t="shared" si="0"/>
        <v>26</v>
      </c>
    </row>
    <row r="48" spans="1:2">
      <c r="A48" s="96" t="s">
        <v>29</v>
      </c>
      <c r="B48" s="97">
        <f t="shared" si="0"/>
        <v>27</v>
      </c>
    </row>
    <row r="49" spans="1:2">
      <c r="A49" s="96" t="s">
        <v>30</v>
      </c>
      <c r="B49" s="97">
        <f t="shared" si="0"/>
        <v>20</v>
      </c>
    </row>
    <row r="50" spans="1:2">
      <c r="A50" s="96" t="s">
        <v>31</v>
      </c>
      <c r="B50" s="97">
        <f t="shared" si="0"/>
        <v>44</v>
      </c>
    </row>
    <row r="51" spans="1:2">
      <c r="A51" s="96" t="s">
        <v>32</v>
      </c>
      <c r="B51" s="97">
        <f t="shared" si="0"/>
        <v>51</v>
      </c>
    </row>
    <row r="52" spans="1:2" ht="4.5" customHeight="1">
      <c r="A52" s="96"/>
      <c r="B52" s="97"/>
    </row>
    <row r="53" spans="1:2" s="92" customFormat="1" ht="12.75" customHeight="1">
      <c r="A53" s="93" t="s">
        <v>77</v>
      </c>
      <c r="B53" s="95">
        <f>SUM(B55:B66)</f>
        <v>169</v>
      </c>
    </row>
    <row r="54" spans="1:2" ht="4.5" customHeight="1">
      <c r="A54" s="96"/>
      <c r="B54" s="97"/>
    </row>
    <row r="55" spans="1:2">
      <c r="A55" s="96" t="s">
        <v>21</v>
      </c>
      <c r="B55" s="97">
        <v>22</v>
      </c>
    </row>
    <row r="56" spans="1:2">
      <c r="A56" s="96" t="s">
        <v>22</v>
      </c>
      <c r="B56" s="97">
        <v>20</v>
      </c>
    </row>
    <row r="57" spans="1:2">
      <c r="A57" s="96" t="s">
        <v>23</v>
      </c>
      <c r="B57" s="97">
        <v>16</v>
      </c>
    </row>
    <row r="58" spans="1:2">
      <c r="A58" s="96" t="s">
        <v>24</v>
      </c>
      <c r="B58" s="97">
        <v>16</v>
      </c>
    </row>
    <row r="59" spans="1:2">
      <c r="A59" s="96" t="s">
        <v>25</v>
      </c>
      <c r="B59" s="97">
        <v>11</v>
      </c>
    </row>
    <row r="60" spans="1:2">
      <c r="A60" s="96" t="s">
        <v>26</v>
      </c>
      <c r="B60" s="97">
        <v>10</v>
      </c>
    </row>
    <row r="61" spans="1:2">
      <c r="A61" s="96" t="s">
        <v>27</v>
      </c>
      <c r="B61" s="97">
        <v>14</v>
      </c>
    </row>
    <row r="62" spans="1:2">
      <c r="A62" s="96" t="s">
        <v>28</v>
      </c>
      <c r="B62" s="97">
        <v>7</v>
      </c>
    </row>
    <row r="63" spans="1:2">
      <c r="A63" s="96" t="s">
        <v>29</v>
      </c>
      <c r="B63" s="97">
        <v>12</v>
      </c>
    </row>
    <row r="64" spans="1:2">
      <c r="A64" s="96" t="s">
        <v>30</v>
      </c>
      <c r="B64" s="97">
        <v>6</v>
      </c>
    </row>
    <row r="65" spans="1:2">
      <c r="A65" s="96" t="s">
        <v>31</v>
      </c>
      <c r="B65" s="97">
        <v>17</v>
      </c>
    </row>
    <row r="66" spans="1:2">
      <c r="A66" s="96" t="s">
        <v>32</v>
      </c>
      <c r="B66" s="97">
        <v>18</v>
      </c>
    </row>
    <row r="67" spans="1:2" ht="4.5" customHeight="1">
      <c r="A67" s="96"/>
      <c r="B67" s="97"/>
    </row>
    <row r="68" spans="1:2" s="92" customFormat="1" ht="12.75" customHeight="1">
      <c r="A68" s="93" t="s">
        <v>114</v>
      </c>
      <c r="B68" s="95">
        <f>SUM(B70:B81)</f>
        <v>25</v>
      </c>
    </row>
    <row r="69" spans="1:2" ht="4.5" customHeight="1">
      <c r="A69" s="96"/>
      <c r="B69" s="97"/>
    </row>
    <row r="70" spans="1:2">
      <c r="A70" s="96" t="s">
        <v>21</v>
      </c>
      <c r="B70" s="97">
        <v>0</v>
      </c>
    </row>
    <row r="71" spans="1:2">
      <c r="A71" s="96" t="s">
        <v>22</v>
      </c>
      <c r="B71" s="97">
        <v>2</v>
      </c>
    </row>
    <row r="72" spans="1:2">
      <c r="A72" s="96" t="s">
        <v>23</v>
      </c>
      <c r="B72" s="97">
        <v>2</v>
      </c>
    </row>
    <row r="73" spans="1:2">
      <c r="A73" s="96" t="s">
        <v>24</v>
      </c>
      <c r="B73" s="97">
        <v>3</v>
      </c>
    </row>
    <row r="74" spans="1:2">
      <c r="A74" s="96" t="s">
        <v>25</v>
      </c>
      <c r="B74" s="97">
        <v>1</v>
      </c>
    </row>
    <row r="75" spans="1:2">
      <c r="A75" s="96" t="s">
        <v>26</v>
      </c>
      <c r="B75" s="97">
        <v>3</v>
      </c>
    </row>
    <row r="76" spans="1:2">
      <c r="A76" s="96" t="s">
        <v>27</v>
      </c>
      <c r="B76" s="97">
        <v>1</v>
      </c>
    </row>
    <row r="77" spans="1:2">
      <c r="A77" s="96" t="s">
        <v>28</v>
      </c>
      <c r="B77" s="97">
        <v>1</v>
      </c>
    </row>
    <row r="78" spans="1:2">
      <c r="A78" s="96" t="s">
        <v>29</v>
      </c>
      <c r="B78" s="97">
        <v>4</v>
      </c>
    </row>
    <row r="79" spans="1:2">
      <c r="A79" s="96" t="s">
        <v>30</v>
      </c>
      <c r="B79" s="97">
        <v>2</v>
      </c>
    </row>
    <row r="80" spans="1:2">
      <c r="A80" s="96" t="s">
        <v>31</v>
      </c>
      <c r="B80" s="97">
        <v>3</v>
      </c>
    </row>
    <row r="81" spans="1:2">
      <c r="A81" s="96" t="s">
        <v>32</v>
      </c>
      <c r="B81" s="97">
        <v>3</v>
      </c>
    </row>
    <row r="82" spans="1:2" ht="4.5" customHeight="1">
      <c r="A82" s="96"/>
      <c r="B82" s="97"/>
    </row>
    <row r="83" spans="1:2" s="92" customFormat="1" ht="12.75" customHeight="1">
      <c r="A83" s="93" t="s">
        <v>115</v>
      </c>
      <c r="B83" s="95">
        <f>SUM(B85:B96)</f>
        <v>13</v>
      </c>
    </row>
    <row r="84" spans="1:2" ht="4.5" customHeight="1">
      <c r="A84" s="96"/>
      <c r="B84" s="97"/>
    </row>
    <row r="85" spans="1:2">
      <c r="A85" s="96" t="s">
        <v>21</v>
      </c>
      <c r="B85" s="97">
        <v>1</v>
      </c>
    </row>
    <row r="86" spans="1:2">
      <c r="A86" s="96" t="s">
        <v>22</v>
      </c>
      <c r="B86" s="97">
        <v>0</v>
      </c>
    </row>
    <row r="87" spans="1:2">
      <c r="A87" s="96" t="s">
        <v>23</v>
      </c>
      <c r="B87" s="97">
        <v>0</v>
      </c>
    </row>
    <row r="88" spans="1:2">
      <c r="A88" s="96" t="s">
        <v>24</v>
      </c>
      <c r="B88" s="97">
        <v>1</v>
      </c>
    </row>
    <row r="89" spans="1:2">
      <c r="A89" s="96" t="s">
        <v>25</v>
      </c>
      <c r="B89" s="97">
        <v>2</v>
      </c>
    </row>
    <row r="90" spans="1:2">
      <c r="A90" s="96" t="s">
        <v>26</v>
      </c>
      <c r="B90" s="97">
        <v>1</v>
      </c>
    </row>
    <row r="91" spans="1:2">
      <c r="A91" s="96" t="s">
        <v>27</v>
      </c>
      <c r="B91" s="97">
        <v>0</v>
      </c>
    </row>
    <row r="92" spans="1:2">
      <c r="A92" s="96" t="s">
        <v>28</v>
      </c>
      <c r="B92" s="97">
        <v>1</v>
      </c>
    </row>
    <row r="93" spans="1:2">
      <c r="A93" s="96" t="s">
        <v>29</v>
      </c>
      <c r="B93" s="97">
        <v>0</v>
      </c>
    </row>
    <row r="94" spans="1:2">
      <c r="A94" s="96" t="s">
        <v>30</v>
      </c>
      <c r="B94" s="269">
        <v>0</v>
      </c>
    </row>
    <row r="95" spans="1:2">
      <c r="A95" s="96" t="s">
        <v>31</v>
      </c>
      <c r="B95" s="269">
        <v>6</v>
      </c>
    </row>
    <row r="96" spans="1:2">
      <c r="A96" s="96" t="s">
        <v>32</v>
      </c>
      <c r="B96" s="97">
        <v>1</v>
      </c>
    </row>
    <row r="97" spans="1:2" ht="4.5" customHeight="1">
      <c r="A97" s="96"/>
      <c r="B97" s="97"/>
    </row>
    <row r="98" spans="1:2" s="92" customFormat="1" ht="12.75" customHeight="1">
      <c r="A98" s="93" t="s">
        <v>116</v>
      </c>
      <c r="B98" s="95">
        <f>SUM(B100:B111)</f>
        <v>35</v>
      </c>
    </row>
    <row r="99" spans="1:2" ht="4.5" customHeight="1">
      <c r="A99" s="96"/>
      <c r="B99" s="97"/>
    </row>
    <row r="100" spans="1:2">
      <c r="A100" s="96" t="s">
        <v>21</v>
      </c>
      <c r="B100" s="97">
        <v>3</v>
      </c>
    </row>
    <row r="101" spans="1:2">
      <c r="A101" s="96" t="s">
        <v>22</v>
      </c>
      <c r="B101" s="97">
        <v>5</v>
      </c>
    </row>
    <row r="102" spans="1:2">
      <c r="A102" s="96" t="s">
        <v>23</v>
      </c>
      <c r="B102" s="97">
        <v>1</v>
      </c>
    </row>
    <row r="103" spans="1:2">
      <c r="A103" s="96" t="s">
        <v>24</v>
      </c>
      <c r="B103" s="97">
        <v>0</v>
      </c>
    </row>
    <row r="104" spans="1:2">
      <c r="A104" s="96" t="s">
        <v>25</v>
      </c>
      <c r="B104" s="97">
        <v>5</v>
      </c>
    </row>
    <row r="105" spans="1:2">
      <c r="A105" s="96" t="s">
        <v>26</v>
      </c>
      <c r="B105" s="97">
        <v>1</v>
      </c>
    </row>
    <row r="106" spans="1:2">
      <c r="A106" s="96" t="s">
        <v>27</v>
      </c>
      <c r="B106" s="97">
        <v>4</v>
      </c>
    </row>
    <row r="107" spans="1:2">
      <c r="A107" s="96" t="s">
        <v>28</v>
      </c>
      <c r="B107" s="97">
        <v>3</v>
      </c>
    </row>
    <row r="108" spans="1:2">
      <c r="A108" s="96" t="s">
        <v>29</v>
      </c>
      <c r="B108" s="97">
        <v>3</v>
      </c>
    </row>
    <row r="109" spans="1:2">
      <c r="A109" s="96" t="s">
        <v>30</v>
      </c>
      <c r="B109" s="97">
        <v>2</v>
      </c>
    </row>
    <row r="110" spans="1:2">
      <c r="A110" s="96" t="s">
        <v>31</v>
      </c>
      <c r="B110" s="97">
        <v>3</v>
      </c>
    </row>
    <row r="111" spans="1:2">
      <c r="A111" s="96" t="s">
        <v>32</v>
      </c>
      <c r="B111" s="97">
        <v>5</v>
      </c>
    </row>
    <row r="112" spans="1:2" ht="4.5" customHeight="1">
      <c r="A112" s="96"/>
      <c r="B112" s="97"/>
    </row>
    <row r="113" spans="1:2" s="92" customFormat="1" ht="12.75" customHeight="1">
      <c r="A113" s="93" t="s">
        <v>117</v>
      </c>
      <c r="B113" s="95">
        <f>SUM(B115:B126)</f>
        <v>30</v>
      </c>
    </row>
    <row r="114" spans="1:2" ht="4.5" customHeight="1">
      <c r="A114" s="96"/>
      <c r="B114" s="97"/>
    </row>
    <row r="115" spans="1:2">
      <c r="A115" s="96" t="s">
        <v>21</v>
      </c>
      <c r="B115" s="97">
        <v>4</v>
      </c>
    </row>
    <row r="116" spans="1:2">
      <c r="A116" s="96" t="s">
        <v>22</v>
      </c>
      <c r="B116" s="97">
        <v>2</v>
      </c>
    </row>
    <row r="117" spans="1:2">
      <c r="A117" s="96" t="s">
        <v>23</v>
      </c>
      <c r="B117" s="97">
        <v>2</v>
      </c>
    </row>
    <row r="118" spans="1:2">
      <c r="A118" s="96" t="s">
        <v>24</v>
      </c>
      <c r="B118" s="97">
        <v>4</v>
      </c>
    </row>
    <row r="119" spans="1:2">
      <c r="A119" s="96" t="s">
        <v>25</v>
      </c>
      <c r="B119" s="97">
        <v>2</v>
      </c>
    </row>
    <row r="120" spans="1:2">
      <c r="A120" s="96" t="s">
        <v>26</v>
      </c>
      <c r="B120" s="97">
        <v>3</v>
      </c>
    </row>
    <row r="121" spans="1:2">
      <c r="A121" s="96" t="s">
        <v>304</v>
      </c>
      <c r="B121" s="97">
        <v>1</v>
      </c>
    </row>
    <row r="122" spans="1:2">
      <c r="A122" s="96" t="s">
        <v>28</v>
      </c>
      <c r="B122" s="97">
        <v>0</v>
      </c>
    </row>
    <row r="123" spans="1:2">
      <c r="A123" s="96" t="s">
        <v>29</v>
      </c>
      <c r="B123" s="97">
        <v>3</v>
      </c>
    </row>
    <row r="124" spans="1:2">
      <c r="A124" s="96" t="s">
        <v>30</v>
      </c>
      <c r="B124" s="97">
        <v>2</v>
      </c>
    </row>
    <row r="125" spans="1:2">
      <c r="A125" s="96" t="s">
        <v>31</v>
      </c>
      <c r="B125" s="97">
        <v>1</v>
      </c>
    </row>
    <row r="126" spans="1:2">
      <c r="A126" s="96" t="s">
        <v>32</v>
      </c>
      <c r="B126" s="97">
        <v>6</v>
      </c>
    </row>
    <row r="127" spans="1:2" ht="4.5" customHeight="1">
      <c r="A127" s="96"/>
      <c r="B127" s="97"/>
    </row>
    <row r="128" spans="1:2" s="92" customFormat="1" ht="12.75" customHeight="1">
      <c r="A128" s="93" t="s">
        <v>118</v>
      </c>
      <c r="B128" s="95">
        <f>SUM(B130:B141)</f>
        <v>39</v>
      </c>
    </row>
    <row r="129" spans="1:2" ht="4.5" customHeight="1">
      <c r="A129" s="96"/>
      <c r="B129" s="97"/>
    </row>
    <row r="130" spans="1:2">
      <c r="A130" s="96" t="s">
        <v>21</v>
      </c>
      <c r="B130" s="97">
        <v>3</v>
      </c>
    </row>
    <row r="131" spans="1:2">
      <c r="A131" s="96" t="s">
        <v>22</v>
      </c>
      <c r="B131" s="97">
        <v>3</v>
      </c>
    </row>
    <row r="132" spans="1:2">
      <c r="A132" s="96" t="s">
        <v>23</v>
      </c>
      <c r="B132" s="97">
        <v>6</v>
      </c>
    </row>
    <row r="133" spans="1:2">
      <c r="A133" s="96" t="s">
        <v>24</v>
      </c>
      <c r="B133" s="97">
        <v>6</v>
      </c>
    </row>
    <row r="134" spans="1:2">
      <c r="A134" s="96" t="s">
        <v>25</v>
      </c>
      <c r="B134" s="97">
        <v>4</v>
      </c>
    </row>
    <row r="135" spans="1:2">
      <c r="A135" s="96" t="s">
        <v>26</v>
      </c>
      <c r="B135" s="97">
        <v>1</v>
      </c>
    </row>
    <row r="136" spans="1:2">
      <c r="A136" s="96" t="s">
        <v>27</v>
      </c>
      <c r="B136" s="97">
        <v>1</v>
      </c>
    </row>
    <row r="137" spans="1:2">
      <c r="A137" s="96" t="s">
        <v>28</v>
      </c>
      <c r="B137" s="97">
        <v>4</v>
      </c>
    </row>
    <row r="138" spans="1:2">
      <c r="A138" s="96" t="s">
        <v>29</v>
      </c>
      <c r="B138" s="97">
        <v>0</v>
      </c>
    </row>
    <row r="139" spans="1:2">
      <c r="A139" s="96" t="s">
        <v>30</v>
      </c>
      <c r="B139" s="97">
        <v>3</v>
      </c>
    </row>
    <row r="140" spans="1:2">
      <c r="A140" s="96" t="s">
        <v>31</v>
      </c>
      <c r="B140" s="97">
        <v>4</v>
      </c>
    </row>
    <row r="141" spans="1:2">
      <c r="A141" s="96" t="s">
        <v>32</v>
      </c>
      <c r="B141" s="97">
        <v>4</v>
      </c>
    </row>
    <row r="142" spans="1:2" ht="4.5" customHeight="1">
      <c r="A142" s="96"/>
      <c r="B142" s="97"/>
    </row>
    <row r="143" spans="1:2" s="92" customFormat="1" ht="12.75" customHeight="1">
      <c r="A143" s="93" t="s">
        <v>119</v>
      </c>
      <c r="B143" s="95">
        <f>SUM(B145:B156)</f>
        <v>23</v>
      </c>
    </row>
    <row r="144" spans="1:2" ht="4.5" customHeight="1">
      <c r="A144" s="96"/>
      <c r="B144" s="97"/>
    </row>
    <row r="145" spans="1:3">
      <c r="A145" s="96" t="s">
        <v>21</v>
      </c>
      <c r="B145" s="97">
        <v>2</v>
      </c>
      <c r="C145" s="117"/>
    </row>
    <row r="146" spans="1:3">
      <c r="A146" s="96" t="s">
        <v>22</v>
      </c>
      <c r="B146" s="97">
        <v>2</v>
      </c>
      <c r="C146" s="117"/>
    </row>
    <row r="147" spans="1:3">
      <c r="A147" s="96" t="s">
        <v>23</v>
      </c>
      <c r="B147" s="97">
        <v>8</v>
      </c>
      <c r="C147" s="117"/>
    </row>
    <row r="148" spans="1:3">
      <c r="A148" s="96" t="s">
        <v>24</v>
      </c>
      <c r="B148" s="97">
        <v>2</v>
      </c>
      <c r="C148" s="117"/>
    </row>
    <row r="149" spans="1:3">
      <c r="A149" s="96" t="s">
        <v>25</v>
      </c>
      <c r="B149" s="97">
        <v>1</v>
      </c>
      <c r="C149" s="117"/>
    </row>
    <row r="150" spans="1:3">
      <c r="A150" s="96" t="s">
        <v>26</v>
      </c>
      <c r="B150" s="97">
        <v>3</v>
      </c>
      <c r="C150" s="117"/>
    </row>
    <row r="151" spans="1:3">
      <c r="A151" s="96" t="s">
        <v>27</v>
      </c>
      <c r="B151" s="97">
        <v>1</v>
      </c>
      <c r="C151" s="117"/>
    </row>
    <row r="152" spans="1:3">
      <c r="A152" s="96" t="s">
        <v>28</v>
      </c>
      <c r="B152" s="97">
        <v>1</v>
      </c>
      <c r="C152" s="117"/>
    </row>
    <row r="153" spans="1:3">
      <c r="A153" s="96" t="s">
        <v>29</v>
      </c>
      <c r="B153" s="97">
        <v>0</v>
      </c>
      <c r="C153" s="117"/>
    </row>
    <row r="154" spans="1:3">
      <c r="A154" s="96" t="s">
        <v>30</v>
      </c>
      <c r="B154" s="97">
        <v>0</v>
      </c>
      <c r="C154" s="117"/>
    </row>
    <row r="155" spans="1:3">
      <c r="A155" s="96" t="s">
        <v>31</v>
      </c>
      <c r="B155" s="97">
        <v>2</v>
      </c>
      <c r="C155" s="117"/>
    </row>
    <row r="156" spans="1:3">
      <c r="A156" s="96" t="s">
        <v>32</v>
      </c>
      <c r="B156" s="97">
        <v>1</v>
      </c>
      <c r="C156" s="117"/>
    </row>
    <row r="157" spans="1:3" ht="4.5" customHeight="1">
      <c r="A157" s="96"/>
      <c r="B157" s="97"/>
    </row>
    <row r="158" spans="1:3" s="92" customFormat="1" ht="12.75" customHeight="1">
      <c r="A158" s="93" t="s">
        <v>120</v>
      </c>
      <c r="B158" s="95">
        <f>SUM(B160:B171)</f>
        <v>7</v>
      </c>
    </row>
    <row r="159" spans="1:3" ht="4.5" customHeight="1">
      <c r="A159" s="96"/>
      <c r="B159" s="97"/>
    </row>
    <row r="160" spans="1:3" ht="12.75" customHeight="1">
      <c r="A160" s="96" t="s">
        <v>21</v>
      </c>
      <c r="B160" s="97">
        <v>0</v>
      </c>
    </row>
    <row r="161" spans="1:3" ht="12.75" customHeight="1">
      <c r="A161" s="96" t="s">
        <v>22</v>
      </c>
      <c r="B161" s="97">
        <v>0</v>
      </c>
    </row>
    <row r="162" spans="1:3" ht="12.75" customHeight="1">
      <c r="A162" s="96" t="s">
        <v>23</v>
      </c>
      <c r="B162" s="97">
        <v>2</v>
      </c>
    </row>
    <row r="163" spans="1:3" ht="12.75" customHeight="1">
      <c r="A163" s="96" t="s">
        <v>24</v>
      </c>
      <c r="B163" s="97">
        <v>1</v>
      </c>
    </row>
    <row r="164" spans="1:3" ht="12.75" customHeight="1">
      <c r="A164" s="96" t="s">
        <v>25</v>
      </c>
      <c r="B164" s="97">
        <v>0</v>
      </c>
    </row>
    <row r="165" spans="1:3" ht="12.75" customHeight="1">
      <c r="A165" s="96" t="s">
        <v>26</v>
      </c>
      <c r="B165" s="97">
        <v>1</v>
      </c>
    </row>
    <row r="166" spans="1:3" ht="12.75" customHeight="1">
      <c r="A166" s="96" t="s">
        <v>27</v>
      </c>
      <c r="B166" s="97">
        <v>0</v>
      </c>
    </row>
    <row r="167" spans="1:3">
      <c r="A167" s="96" t="s">
        <v>28</v>
      </c>
      <c r="B167" s="97">
        <v>1</v>
      </c>
    </row>
    <row r="168" spans="1:3">
      <c r="A168" s="96" t="s">
        <v>29</v>
      </c>
      <c r="B168" s="97">
        <v>0</v>
      </c>
    </row>
    <row r="169" spans="1:3">
      <c r="A169" s="96" t="s">
        <v>30</v>
      </c>
      <c r="B169" s="97">
        <v>0</v>
      </c>
    </row>
    <row r="170" spans="1:3">
      <c r="A170" s="96" t="s">
        <v>31</v>
      </c>
      <c r="B170" s="97">
        <v>1</v>
      </c>
    </row>
    <row r="171" spans="1:3">
      <c r="A171" s="96" t="s">
        <v>32</v>
      </c>
      <c r="B171" s="97">
        <v>1</v>
      </c>
    </row>
    <row r="172" spans="1:3" ht="4.5" customHeight="1">
      <c r="A172" s="96"/>
      <c r="B172" s="97"/>
    </row>
    <row r="173" spans="1:3" s="92" customFormat="1" ht="12.75" customHeight="1">
      <c r="A173" s="93" t="s">
        <v>121</v>
      </c>
      <c r="B173" s="95">
        <f>SUM(B175:B186)</f>
        <v>82</v>
      </c>
    </row>
    <row r="174" spans="1:3" ht="4.5" customHeight="1">
      <c r="A174" s="96"/>
      <c r="B174" s="97"/>
    </row>
    <row r="175" spans="1:3">
      <c r="A175" s="96" t="s">
        <v>21</v>
      </c>
      <c r="B175" s="97">
        <v>8</v>
      </c>
      <c r="C175" s="117"/>
    </row>
    <row r="176" spans="1:3">
      <c r="A176" s="96" t="s">
        <v>22</v>
      </c>
      <c r="B176" s="97">
        <v>12</v>
      </c>
      <c r="C176" s="117"/>
    </row>
    <row r="177" spans="1:3">
      <c r="A177" s="96" t="s">
        <v>23</v>
      </c>
      <c r="B177" s="97">
        <v>6</v>
      </c>
      <c r="C177" s="117"/>
    </row>
    <row r="178" spans="1:3">
      <c r="A178" s="96" t="s">
        <v>24</v>
      </c>
      <c r="B178" s="97">
        <v>7</v>
      </c>
      <c r="C178" s="117"/>
    </row>
    <row r="179" spans="1:3">
      <c r="A179" s="96" t="s">
        <v>25</v>
      </c>
      <c r="B179" s="97">
        <v>6</v>
      </c>
      <c r="C179" s="117"/>
    </row>
    <row r="180" spans="1:3">
      <c r="A180" s="96" t="s">
        <v>26</v>
      </c>
      <c r="B180" s="97">
        <v>4</v>
      </c>
      <c r="C180" s="117"/>
    </row>
    <row r="181" spans="1:3">
      <c r="A181" s="96" t="s">
        <v>27</v>
      </c>
      <c r="B181" s="97">
        <v>2</v>
      </c>
      <c r="C181" s="117"/>
    </row>
    <row r="182" spans="1:3">
      <c r="A182" s="96" t="s">
        <v>28</v>
      </c>
      <c r="B182" s="97">
        <v>8</v>
      </c>
      <c r="C182" s="117"/>
    </row>
    <row r="183" spans="1:3">
      <c r="A183" s="96" t="s">
        <v>29</v>
      </c>
      <c r="B183" s="97">
        <v>5</v>
      </c>
      <c r="C183" s="117"/>
    </row>
    <row r="184" spans="1:3">
      <c r="A184" s="96" t="s">
        <v>30</v>
      </c>
      <c r="B184" s="97">
        <v>5</v>
      </c>
      <c r="C184" s="117"/>
    </row>
    <row r="185" spans="1:3">
      <c r="A185" s="96" t="s">
        <v>31</v>
      </c>
      <c r="B185" s="97">
        <v>7</v>
      </c>
      <c r="C185" s="117"/>
    </row>
    <row r="186" spans="1:3">
      <c r="A186" s="96" t="s">
        <v>32</v>
      </c>
      <c r="B186" s="97">
        <v>12</v>
      </c>
      <c r="C186" s="117"/>
    </row>
    <row r="187" spans="1:3" ht="4.5" customHeight="1">
      <c r="A187" s="96"/>
      <c r="B187" s="97"/>
    </row>
    <row r="188" spans="1:3" s="92" customFormat="1" ht="12.75" customHeight="1">
      <c r="A188" s="93" t="s">
        <v>78</v>
      </c>
      <c r="B188" s="95">
        <f>SUM(B190:B201)</f>
        <v>202</v>
      </c>
    </row>
    <row r="189" spans="1:3" ht="4.5" customHeight="1">
      <c r="A189" s="96"/>
      <c r="B189" s="97"/>
    </row>
    <row r="190" spans="1:3">
      <c r="A190" s="96" t="s">
        <v>21</v>
      </c>
      <c r="B190" s="97">
        <f>+B205+B220+B235+B250+B265</f>
        <v>26</v>
      </c>
    </row>
    <row r="191" spans="1:3">
      <c r="A191" s="96" t="s">
        <v>22</v>
      </c>
      <c r="B191" s="97">
        <f t="shared" ref="B191:B201" si="1">+B206+B221+B236+B251+B266</f>
        <v>9</v>
      </c>
    </row>
    <row r="192" spans="1:3">
      <c r="A192" s="96" t="s">
        <v>23</v>
      </c>
      <c r="B192" s="97">
        <f t="shared" si="1"/>
        <v>21</v>
      </c>
    </row>
    <row r="193" spans="1:3">
      <c r="A193" s="96" t="s">
        <v>24</v>
      </c>
      <c r="B193" s="97">
        <f t="shared" si="1"/>
        <v>12</v>
      </c>
    </row>
    <row r="194" spans="1:3">
      <c r="A194" s="96" t="s">
        <v>25</v>
      </c>
      <c r="B194" s="97">
        <f t="shared" si="1"/>
        <v>13</v>
      </c>
    </row>
    <row r="195" spans="1:3">
      <c r="A195" s="96" t="s">
        <v>26</v>
      </c>
      <c r="B195" s="97">
        <f t="shared" si="1"/>
        <v>14</v>
      </c>
    </row>
    <row r="196" spans="1:3">
      <c r="A196" s="96" t="s">
        <v>27</v>
      </c>
      <c r="B196" s="97">
        <f t="shared" si="1"/>
        <v>20</v>
      </c>
    </row>
    <row r="197" spans="1:3">
      <c r="A197" s="96" t="s">
        <v>28</v>
      </c>
      <c r="B197" s="97">
        <f t="shared" si="1"/>
        <v>12</v>
      </c>
    </row>
    <row r="198" spans="1:3">
      <c r="A198" s="96" t="s">
        <v>29</v>
      </c>
      <c r="B198" s="97">
        <f t="shared" si="1"/>
        <v>17</v>
      </c>
    </row>
    <row r="199" spans="1:3">
      <c r="A199" s="96" t="s">
        <v>30</v>
      </c>
      <c r="B199" s="97">
        <f t="shared" si="1"/>
        <v>19</v>
      </c>
    </row>
    <row r="200" spans="1:3">
      <c r="A200" s="96" t="s">
        <v>31</v>
      </c>
      <c r="B200" s="97">
        <f t="shared" si="1"/>
        <v>22</v>
      </c>
    </row>
    <row r="201" spans="1:3">
      <c r="A201" s="96" t="s">
        <v>32</v>
      </c>
      <c r="B201" s="97">
        <f t="shared" si="1"/>
        <v>17</v>
      </c>
    </row>
    <row r="202" spans="1:3" ht="4.5" customHeight="1">
      <c r="A202" s="96"/>
      <c r="B202" s="97"/>
    </row>
    <row r="203" spans="1:3" s="92" customFormat="1" ht="12.75" customHeight="1">
      <c r="A203" s="93" t="s">
        <v>122</v>
      </c>
      <c r="B203" s="95">
        <f>SUM(B205:B216)</f>
        <v>72</v>
      </c>
    </row>
    <row r="204" spans="1:3" ht="4.5" customHeight="1">
      <c r="A204" s="96"/>
      <c r="B204" s="97"/>
    </row>
    <row r="205" spans="1:3">
      <c r="A205" s="96" t="s">
        <v>21</v>
      </c>
      <c r="B205" s="97">
        <v>7</v>
      </c>
      <c r="C205" s="117"/>
    </row>
    <row r="206" spans="1:3">
      <c r="A206" s="96" t="s">
        <v>22</v>
      </c>
      <c r="B206" s="97">
        <v>4</v>
      </c>
      <c r="C206" s="117"/>
    </row>
    <row r="207" spans="1:3">
      <c r="A207" s="96" t="s">
        <v>23</v>
      </c>
      <c r="B207" s="97">
        <v>11</v>
      </c>
      <c r="C207" s="117"/>
    </row>
    <row r="208" spans="1:3">
      <c r="A208" s="96" t="s">
        <v>24</v>
      </c>
      <c r="B208" s="97">
        <v>4</v>
      </c>
      <c r="C208" s="117"/>
    </row>
    <row r="209" spans="1:3">
      <c r="A209" s="96" t="s">
        <v>25</v>
      </c>
      <c r="B209" s="97">
        <v>7</v>
      </c>
      <c r="C209" s="117"/>
    </row>
    <row r="210" spans="1:3">
      <c r="A210" s="96" t="s">
        <v>26</v>
      </c>
      <c r="B210" s="97">
        <v>3</v>
      </c>
      <c r="C210" s="117"/>
    </row>
    <row r="211" spans="1:3">
      <c r="A211" s="96" t="s">
        <v>27</v>
      </c>
      <c r="B211" s="97">
        <v>9</v>
      </c>
      <c r="C211" s="117"/>
    </row>
    <row r="212" spans="1:3">
      <c r="A212" s="96" t="s">
        <v>28</v>
      </c>
      <c r="B212" s="97">
        <v>3</v>
      </c>
      <c r="C212" s="117"/>
    </row>
    <row r="213" spans="1:3">
      <c r="A213" s="96" t="s">
        <v>29</v>
      </c>
      <c r="B213" s="97">
        <v>10</v>
      </c>
      <c r="C213" s="117"/>
    </row>
    <row r="214" spans="1:3">
      <c r="A214" s="96" t="s">
        <v>30</v>
      </c>
      <c r="B214" s="97">
        <v>5</v>
      </c>
      <c r="C214" s="117"/>
    </row>
    <row r="215" spans="1:3">
      <c r="A215" s="96" t="s">
        <v>31</v>
      </c>
      <c r="B215" s="97">
        <v>4</v>
      </c>
      <c r="C215" s="117"/>
    </row>
    <row r="216" spans="1:3">
      <c r="A216" s="96" t="s">
        <v>32</v>
      </c>
      <c r="B216" s="97">
        <v>5</v>
      </c>
      <c r="C216" s="117"/>
    </row>
    <row r="217" spans="1:3" ht="4.5" customHeight="1">
      <c r="A217" s="96"/>
      <c r="B217" s="97"/>
    </row>
    <row r="218" spans="1:3" s="92" customFormat="1" ht="12.75" customHeight="1">
      <c r="A218" s="93" t="s">
        <v>123</v>
      </c>
      <c r="B218" s="95">
        <f>SUM(B220:B231)</f>
        <v>14</v>
      </c>
    </row>
    <row r="219" spans="1:3" ht="4.5" customHeight="1">
      <c r="A219" s="96"/>
      <c r="B219" s="97"/>
    </row>
    <row r="220" spans="1:3">
      <c r="A220" s="96" t="s">
        <v>21</v>
      </c>
      <c r="B220" s="97">
        <v>2</v>
      </c>
    </row>
    <row r="221" spans="1:3">
      <c r="A221" s="96" t="s">
        <v>22</v>
      </c>
      <c r="B221" s="97">
        <v>0</v>
      </c>
    </row>
    <row r="222" spans="1:3">
      <c r="A222" s="96" t="s">
        <v>23</v>
      </c>
      <c r="B222" s="97">
        <v>0</v>
      </c>
    </row>
    <row r="223" spans="1:3">
      <c r="A223" s="96" t="s">
        <v>24</v>
      </c>
      <c r="B223" s="97">
        <v>0</v>
      </c>
    </row>
    <row r="224" spans="1:3">
      <c r="A224" s="96" t="s">
        <v>25</v>
      </c>
      <c r="B224" s="97">
        <v>0</v>
      </c>
    </row>
    <row r="225" spans="1:2">
      <c r="A225" s="96" t="s">
        <v>26</v>
      </c>
      <c r="B225" s="97">
        <v>3</v>
      </c>
    </row>
    <row r="226" spans="1:2">
      <c r="A226" s="96" t="s">
        <v>27</v>
      </c>
      <c r="B226" s="97">
        <v>2</v>
      </c>
    </row>
    <row r="227" spans="1:2">
      <c r="A227" s="96" t="s">
        <v>28</v>
      </c>
      <c r="B227" s="97">
        <v>0</v>
      </c>
    </row>
    <row r="228" spans="1:2">
      <c r="A228" s="96" t="s">
        <v>29</v>
      </c>
      <c r="B228" s="97">
        <v>0</v>
      </c>
    </row>
    <row r="229" spans="1:2">
      <c r="A229" s="96" t="s">
        <v>30</v>
      </c>
      <c r="B229" s="97">
        <v>0</v>
      </c>
    </row>
    <row r="230" spans="1:2">
      <c r="A230" s="96" t="s">
        <v>31</v>
      </c>
      <c r="B230" s="97">
        <v>4</v>
      </c>
    </row>
    <row r="231" spans="1:2">
      <c r="A231" s="96" t="s">
        <v>32</v>
      </c>
      <c r="B231" s="97">
        <v>3</v>
      </c>
    </row>
    <row r="232" spans="1:2" ht="4.5" customHeight="1">
      <c r="A232" s="96"/>
      <c r="B232" s="97"/>
    </row>
    <row r="233" spans="1:2" s="92" customFormat="1" ht="12.75" customHeight="1">
      <c r="A233" s="93" t="s">
        <v>124</v>
      </c>
      <c r="B233" s="95">
        <f>SUM(B235:B246)</f>
        <v>62</v>
      </c>
    </row>
    <row r="234" spans="1:2" ht="4.5" customHeight="1">
      <c r="A234" s="96"/>
      <c r="B234" s="97"/>
    </row>
    <row r="235" spans="1:2">
      <c r="A235" s="96" t="s">
        <v>21</v>
      </c>
      <c r="B235" s="97">
        <v>12</v>
      </c>
    </row>
    <row r="236" spans="1:2">
      <c r="A236" s="96" t="s">
        <v>22</v>
      </c>
      <c r="B236" s="97">
        <v>3</v>
      </c>
    </row>
    <row r="237" spans="1:2">
      <c r="A237" s="96" t="s">
        <v>23</v>
      </c>
      <c r="B237" s="97">
        <v>7</v>
      </c>
    </row>
    <row r="238" spans="1:2">
      <c r="A238" s="96" t="s">
        <v>24</v>
      </c>
      <c r="B238" s="97">
        <v>3</v>
      </c>
    </row>
    <row r="239" spans="1:2">
      <c r="A239" s="96" t="s">
        <v>25</v>
      </c>
      <c r="B239" s="97">
        <v>3</v>
      </c>
    </row>
    <row r="240" spans="1:2">
      <c r="A240" s="96" t="s">
        <v>26</v>
      </c>
      <c r="B240" s="97">
        <v>6</v>
      </c>
    </row>
    <row r="241" spans="1:2">
      <c r="A241" s="96" t="s">
        <v>27</v>
      </c>
      <c r="B241" s="97">
        <v>3</v>
      </c>
    </row>
    <row r="242" spans="1:2">
      <c r="A242" s="96" t="s">
        <v>28</v>
      </c>
      <c r="B242" s="97">
        <v>4</v>
      </c>
    </row>
    <row r="243" spans="1:2">
      <c r="A243" s="96" t="s">
        <v>29</v>
      </c>
      <c r="B243" s="97">
        <v>4</v>
      </c>
    </row>
    <row r="244" spans="1:2">
      <c r="A244" s="96" t="s">
        <v>30</v>
      </c>
      <c r="B244" s="97">
        <v>5</v>
      </c>
    </row>
    <row r="245" spans="1:2">
      <c r="A245" s="96" t="s">
        <v>31</v>
      </c>
      <c r="B245" s="97">
        <v>7</v>
      </c>
    </row>
    <row r="246" spans="1:2">
      <c r="A246" s="96" t="s">
        <v>32</v>
      </c>
      <c r="B246" s="97">
        <v>5</v>
      </c>
    </row>
    <row r="247" spans="1:2" ht="4.5" customHeight="1">
      <c r="A247" s="96"/>
      <c r="B247" s="97"/>
    </row>
    <row r="248" spans="1:2" s="92" customFormat="1" ht="12.75" customHeight="1">
      <c r="A248" s="93" t="s">
        <v>125</v>
      </c>
      <c r="B248" s="95">
        <f>SUM(B250:B261)</f>
        <v>16</v>
      </c>
    </row>
    <row r="249" spans="1:2" ht="4.5" customHeight="1">
      <c r="A249" s="96"/>
      <c r="B249" s="97"/>
    </row>
    <row r="250" spans="1:2">
      <c r="A250" s="96" t="s">
        <v>21</v>
      </c>
      <c r="B250" s="97">
        <v>2</v>
      </c>
    </row>
    <row r="251" spans="1:2">
      <c r="A251" s="96" t="s">
        <v>22</v>
      </c>
      <c r="B251" s="97">
        <v>1</v>
      </c>
    </row>
    <row r="252" spans="1:2">
      <c r="A252" s="96" t="s">
        <v>23</v>
      </c>
      <c r="B252" s="97">
        <v>0</v>
      </c>
    </row>
    <row r="253" spans="1:2">
      <c r="A253" s="96" t="s">
        <v>24</v>
      </c>
      <c r="B253" s="97">
        <v>3</v>
      </c>
    </row>
    <row r="254" spans="1:2">
      <c r="A254" s="96" t="s">
        <v>25</v>
      </c>
      <c r="B254" s="97">
        <v>1</v>
      </c>
    </row>
    <row r="255" spans="1:2">
      <c r="A255" s="96" t="s">
        <v>26</v>
      </c>
      <c r="B255" s="97">
        <v>2</v>
      </c>
    </row>
    <row r="256" spans="1:2">
      <c r="A256" s="96" t="s">
        <v>27</v>
      </c>
      <c r="B256" s="97">
        <v>0</v>
      </c>
    </row>
    <row r="257" spans="1:2">
      <c r="A257" s="96" t="s">
        <v>28</v>
      </c>
      <c r="B257" s="97">
        <v>1</v>
      </c>
    </row>
    <row r="258" spans="1:2">
      <c r="A258" s="96" t="s">
        <v>29</v>
      </c>
      <c r="B258" s="97">
        <v>0</v>
      </c>
    </row>
    <row r="259" spans="1:2">
      <c r="A259" s="96" t="s">
        <v>30</v>
      </c>
      <c r="B259" s="97">
        <v>2</v>
      </c>
    </row>
    <row r="260" spans="1:2">
      <c r="A260" s="96" t="s">
        <v>31</v>
      </c>
      <c r="B260" s="97">
        <v>2</v>
      </c>
    </row>
    <row r="261" spans="1:2">
      <c r="A261" s="100" t="s">
        <v>32</v>
      </c>
      <c r="B261" s="97">
        <v>2</v>
      </c>
    </row>
    <row r="262" spans="1:2" ht="4.5" customHeight="1">
      <c r="A262" s="91"/>
      <c r="B262" s="269"/>
    </row>
    <row r="263" spans="1:2" s="92" customFormat="1" ht="12.75" customHeight="1">
      <c r="A263" s="93" t="s">
        <v>126</v>
      </c>
      <c r="B263" s="95">
        <f>SUM(B265:B276)</f>
        <v>38</v>
      </c>
    </row>
    <row r="264" spans="1:2" ht="4.5" customHeight="1">
      <c r="A264" s="96"/>
      <c r="B264" s="97"/>
    </row>
    <row r="265" spans="1:2">
      <c r="A265" s="96" t="s">
        <v>21</v>
      </c>
      <c r="B265" s="97">
        <v>3</v>
      </c>
    </row>
    <row r="266" spans="1:2">
      <c r="A266" s="96" t="s">
        <v>22</v>
      </c>
      <c r="B266" s="97">
        <v>1</v>
      </c>
    </row>
    <row r="267" spans="1:2">
      <c r="A267" s="96" t="s">
        <v>23</v>
      </c>
      <c r="B267" s="97">
        <v>3</v>
      </c>
    </row>
    <row r="268" spans="1:2">
      <c r="A268" s="96" t="s">
        <v>24</v>
      </c>
      <c r="B268" s="97">
        <v>2</v>
      </c>
    </row>
    <row r="269" spans="1:2">
      <c r="A269" s="96" t="s">
        <v>25</v>
      </c>
      <c r="B269" s="97">
        <v>2</v>
      </c>
    </row>
    <row r="270" spans="1:2">
      <c r="A270" s="96" t="s">
        <v>26</v>
      </c>
      <c r="B270" s="97">
        <v>0</v>
      </c>
    </row>
    <row r="271" spans="1:2">
      <c r="A271" s="96" t="s">
        <v>27</v>
      </c>
      <c r="B271" s="97">
        <v>6</v>
      </c>
    </row>
    <row r="272" spans="1:2">
      <c r="A272" s="96" t="s">
        <v>28</v>
      </c>
      <c r="B272" s="97">
        <v>4</v>
      </c>
    </row>
    <row r="273" spans="1:2">
      <c r="A273" s="96" t="s">
        <v>29</v>
      </c>
      <c r="B273" s="97">
        <v>3</v>
      </c>
    </row>
    <row r="274" spans="1:2">
      <c r="A274" s="96" t="s">
        <v>30</v>
      </c>
      <c r="B274" s="97">
        <v>7</v>
      </c>
    </row>
    <row r="275" spans="1:2">
      <c r="A275" s="96" t="s">
        <v>31</v>
      </c>
      <c r="B275" s="97">
        <v>5</v>
      </c>
    </row>
    <row r="276" spans="1:2">
      <c r="A276" s="96" t="s">
        <v>32</v>
      </c>
      <c r="B276" s="97">
        <v>2</v>
      </c>
    </row>
    <row r="277" spans="1:2" ht="4.5" customHeight="1">
      <c r="A277" s="96"/>
      <c r="B277" s="97"/>
    </row>
    <row r="278" spans="1:2" s="92" customFormat="1" ht="12.75" customHeight="1">
      <c r="A278" s="93" t="s">
        <v>79</v>
      </c>
      <c r="B278" s="95">
        <f>SUM(B280:B291)</f>
        <v>558</v>
      </c>
    </row>
    <row r="279" spans="1:2" ht="4.5" customHeight="1">
      <c r="A279" s="96"/>
      <c r="B279" s="97"/>
    </row>
    <row r="280" spans="1:2">
      <c r="A280" s="96" t="s">
        <v>21</v>
      </c>
      <c r="B280" s="97">
        <f>+B295+B310+B325+B339+B354+B369+B384</f>
        <v>39</v>
      </c>
    </row>
    <row r="281" spans="1:2">
      <c r="A281" s="96" t="s">
        <v>22</v>
      </c>
      <c r="B281" s="97">
        <f t="shared" ref="B281:B291" si="2">+B296+B311+B326+B340+B355+B370+B385</f>
        <v>47</v>
      </c>
    </row>
    <row r="282" spans="1:2">
      <c r="A282" s="96" t="s">
        <v>23</v>
      </c>
      <c r="B282" s="97">
        <f t="shared" si="2"/>
        <v>65</v>
      </c>
    </row>
    <row r="283" spans="1:2">
      <c r="A283" s="96" t="s">
        <v>24</v>
      </c>
      <c r="B283" s="97">
        <f t="shared" si="2"/>
        <v>55</v>
      </c>
    </row>
    <row r="284" spans="1:2">
      <c r="A284" s="96" t="s">
        <v>25</v>
      </c>
      <c r="B284" s="97">
        <f t="shared" si="2"/>
        <v>33</v>
      </c>
    </row>
    <row r="285" spans="1:2">
      <c r="A285" s="96" t="s">
        <v>26</v>
      </c>
      <c r="B285" s="97">
        <f t="shared" si="2"/>
        <v>35</v>
      </c>
    </row>
    <row r="286" spans="1:2">
      <c r="A286" s="96" t="s">
        <v>27</v>
      </c>
      <c r="B286" s="97">
        <f t="shared" si="2"/>
        <v>49</v>
      </c>
    </row>
    <row r="287" spans="1:2">
      <c r="A287" s="96" t="s">
        <v>28</v>
      </c>
      <c r="B287" s="97">
        <f t="shared" si="2"/>
        <v>44</v>
      </c>
    </row>
    <row r="288" spans="1:2">
      <c r="A288" s="96" t="s">
        <v>29</v>
      </c>
      <c r="B288" s="97">
        <f t="shared" si="2"/>
        <v>28</v>
      </c>
    </row>
    <row r="289" spans="1:2">
      <c r="A289" s="96" t="s">
        <v>30</v>
      </c>
      <c r="B289" s="97">
        <f t="shared" si="2"/>
        <v>34</v>
      </c>
    </row>
    <row r="290" spans="1:2">
      <c r="A290" s="96" t="s">
        <v>31</v>
      </c>
      <c r="B290" s="97">
        <f t="shared" si="2"/>
        <v>61</v>
      </c>
    </row>
    <row r="291" spans="1:2">
      <c r="A291" s="96" t="s">
        <v>32</v>
      </c>
      <c r="B291" s="97">
        <f t="shared" si="2"/>
        <v>68</v>
      </c>
    </row>
    <row r="292" spans="1:2" ht="4.5" customHeight="1">
      <c r="A292" s="96"/>
      <c r="B292" s="97"/>
    </row>
    <row r="293" spans="1:2" s="92" customFormat="1" ht="12.75" customHeight="1">
      <c r="A293" s="93" t="s">
        <v>79</v>
      </c>
      <c r="B293" s="95">
        <f>SUM(B295:B306)</f>
        <v>384</v>
      </c>
    </row>
    <row r="294" spans="1:2" ht="4.5" customHeight="1">
      <c r="A294" s="96"/>
      <c r="B294" s="97"/>
    </row>
    <row r="295" spans="1:2">
      <c r="A295" s="96" t="s">
        <v>21</v>
      </c>
      <c r="B295" s="97">
        <v>29</v>
      </c>
    </row>
    <row r="296" spans="1:2">
      <c r="A296" s="96" t="s">
        <v>22</v>
      </c>
      <c r="B296" s="97">
        <v>33</v>
      </c>
    </row>
    <row r="297" spans="1:2">
      <c r="A297" s="96" t="s">
        <v>23</v>
      </c>
      <c r="B297" s="97">
        <v>47</v>
      </c>
    </row>
    <row r="298" spans="1:2">
      <c r="A298" s="96" t="s">
        <v>24</v>
      </c>
      <c r="B298" s="97">
        <v>35</v>
      </c>
    </row>
    <row r="299" spans="1:2">
      <c r="A299" s="96" t="s">
        <v>25</v>
      </c>
      <c r="B299" s="97">
        <v>25</v>
      </c>
    </row>
    <row r="300" spans="1:2">
      <c r="A300" s="96" t="s">
        <v>26</v>
      </c>
      <c r="B300" s="97">
        <v>26</v>
      </c>
    </row>
    <row r="301" spans="1:2">
      <c r="A301" s="96" t="s">
        <v>27</v>
      </c>
      <c r="B301" s="97">
        <v>35</v>
      </c>
    </row>
    <row r="302" spans="1:2">
      <c r="A302" s="96" t="s">
        <v>28</v>
      </c>
      <c r="B302" s="97">
        <v>36</v>
      </c>
    </row>
    <row r="303" spans="1:2">
      <c r="A303" s="96" t="s">
        <v>29</v>
      </c>
      <c r="B303" s="97">
        <v>18</v>
      </c>
    </row>
    <row r="304" spans="1:2">
      <c r="A304" s="96" t="s">
        <v>30</v>
      </c>
      <c r="B304" s="97">
        <v>25</v>
      </c>
    </row>
    <row r="305" spans="1:2">
      <c r="A305" s="96" t="s">
        <v>31</v>
      </c>
      <c r="B305" s="97">
        <v>22</v>
      </c>
    </row>
    <row r="306" spans="1:2">
      <c r="A306" s="96" t="s">
        <v>32</v>
      </c>
      <c r="B306" s="97">
        <v>53</v>
      </c>
    </row>
    <row r="307" spans="1:2" ht="3.95" customHeight="1">
      <c r="A307" s="96"/>
      <c r="B307" s="97"/>
    </row>
    <row r="308" spans="1:2" s="92" customFormat="1" ht="12.75" customHeight="1">
      <c r="A308" s="93" t="s">
        <v>127</v>
      </c>
      <c r="B308" s="95">
        <f>SUM(B310:B321)</f>
        <v>56</v>
      </c>
    </row>
    <row r="309" spans="1:2" ht="3.95" customHeight="1">
      <c r="A309" s="96"/>
      <c r="B309" s="97"/>
    </row>
    <row r="310" spans="1:2">
      <c r="A310" s="96" t="s">
        <v>21</v>
      </c>
      <c r="B310" s="97">
        <v>1</v>
      </c>
    </row>
    <row r="311" spans="1:2">
      <c r="A311" s="96" t="s">
        <v>22</v>
      </c>
      <c r="B311" s="97">
        <v>5</v>
      </c>
    </row>
    <row r="312" spans="1:2">
      <c r="A312" s="96" t="s">
        <v>23</v>
      </c>
      <c r="B312" s="97">
        <v>1</v>
      </c>
    </row>
    <row r="313" spans="1:2">
      <c r="A313" s="96" t="s">
        <v>24</v>
      </c>
      <c r="B313" s="97">
        <v>5</v>
      </c>
    </row>
    <row r="314" spans="1:2">
      <c r="A314" s="96" t="s">
        <v>25</v>
      </c>
      <c r="B314" s="97">
        <v>2</v>
      </c>
    </row>
    <row r="315" spans="1:2">
      <c r="A315" s="96" t="s">
        <v>26</v>
      </c>
      <c r="B315" s="97">
        <v>3</v>
      </c>
    </row>
    <row r="316" spans="1:2">
      <c r="A316" s="96" t="s">
        <v>27</v>
      </c>
      <c r="B316" s="97">
        <v>6</v>
      </c>
    </row>
    <row r="317" spans="1:2">
      <c r="A317" s="96" t="s">
        <v>28</v>
      </c>
      <c r="B317" s="97">
        <v>2</v>
      </c>
    </row>
    <row r="318" spans="1:2">
      <c r="A318" s="96" t="s">
        <v>29</v>
      </c>
      <c r="B318" s="97">
        <v>5</v>
      </c>
    </row>
    <row r="319" spans="1:2">
      <c r="A319" s="96" t="s">
        <v>30</v>
      </c>
      <c r="B319" s="97">
        <v>3</v>
      </c>
    </row>
    <row r="320" spans="1:2">
      <c r="A320" s="96" t="s">
        <v>31</v>
      </c>
      <c r="B320" s="97">
        <v>20</v>
      </c>
    </row>
    <row r="321" spans="1:2">
      <c r="A321" s="96" t="s">
        <v>32</v>
      </c>
      <c r="B321" s="97">
        <v>3</v>
      </c>
    </row>
    <row r="322" spans="1:2" ht="4.5" customHeight="1">
      <c r="A322" s="96"/>
      <c r="B322" s="97"/>
    </row>
    <row r="323" spans="1:2" s="92" customFormat="1" ht="12.75" customHeight="1">
      <c r="A323" s="93" t="s">
        <v>128</v>
      </c>
      <c r="B323" s="95">
        <f>SUM(B325:B335)</f>
        <v>17</v>
      </c>
    </row>
    <row r="324" spans="1:2" ht="4.5" customHeight="1">
      <c r="A324" s="96"/>
      <c r="B324" s="97"/>
    </row>
    <row r="325" spans="1:2">
      <c r="A325" s="96" t="s">
        <v>21</v>
      </c>
      <c r="B325" s="97">
        <v>1</v>
      </c>
    </row>
    <row r="326" spans="1:2">
      <c r="A326" s="96" t="s">
        <v>22</v>
      </c>
      <c r="B326" s="97">
        <v>3</v>
      </c>
    </row>
    <row r="327" spans="1:2">
      <c r="A327" s="96" t="s">
        <v>23</v>
      </c>
      <c r="B327" s="97">
        <v>1</v>
      </c>
    </row>
    <row r="328" spans="1:2">
      <c r="A328" s="96" t="s">
        <v>24</v>
      </c>
      <c r="B328" s="97">
        <v>2</v>
      </c>
    </row>
    <row r="329" spans="1:2">
      <c r="A329" s="96" t="s">
        <v>25</v>
      </c>
      <c r="B329" s="97">
        <v>1</v>
      </c>
    </row>
    <row r="330" spans="1:2">
      <c r="A330" s="96" t="s">
        <v>27</v>
      </c>
      <c r="B330" s="97">
        <v>0</v>
      </c>
    </row>
    <row r="331" spans="1:2">
      <c r="A331" s="96" t="s">
        <v>28</v>
      </c>
      <c r="B331" s="97">
        <v>2</v>
      </c>
    </row>
    <row r="332" spans="1:2">
      <c r="A332" s="96" t="s">
        <v>29</v>
      </c>
      <c r="B332" s="97">
        <v>1</v>
      </c>
    </row>
    <row r="333" spans="1:2">
      <c r="A333" s="96" t="s">
        <v>30</v>
      </c>
      <c r="B333" s="97">
        <v>1</v>
      </c>
    </row>
    <row r="334" spans="1:2">
      <c r="A334" s="96" t="s">
        <v>31</v>
      </c>
      <c r="B334" s="97">
        <v>3</v>
      </c>
    </row>
    <row r="335" spans="1:2">
      <c r="A335" s="96" t="s">
        <v>32</v>
      </c>
      <c r="B335" s="97">
        <v>2</v>
      </c>
    </row>
    <row r="336" spans="1:2" ht="4.5" customHeight="1">
      <c r="A336" s="96"/>
      <c r="B336" s="97"/>
    </row>
    <row r="337" spans="1:2" s="92" customFormat="1" ht="12.75" customHeight="1">
      <c r="A337" s="93" t="s">
        <v>129</v>
      </c>
      <c r="B337" s="95">
        <f>SUM(B339:B350)</f>
        <v>19</v>
      </c>
    </row>
    <row r="338" spans="1:2" ht="4.5" customHeight="1">
      <c r="A338" s="96"/>
      <c r="B338" s="97"/>
    </row>
    <row r="339" spans="1:2">
      <c r="A339" s="96" t="s">
        <v>21</v>
      </c>
      <c r="B339" s="97">
        <v>2</v>
      </c>
    </row>
    <row r="340" spans="1:2">
      <c r="A340" s="96" t="s">
        <v>22</v>
      </c>
      <c r="B340" s="97">
        <v>2</v>
      </c>
    </row>
    <row r="341" spans="1:2">
      <c r="A341" s="96" t="s">
        <v>23</v>
      </c>
      <c r="B341" s="97">
        <v>5</v>
      </c>
    </row>
    <row r="342" spans="1:2">
      <c r="A342" s="96" t="s">
        <v>24</v>
      </c>
      <c r="B342" s="97">
        <v>3</v>
      </c>
    </row>
    <row r="343" spans="1:2">
      <c r="A343" s="96" t="s">
        <v>25</v>
      </c>
      <c r="B343" s="97">
        <v>1</v>
      </c>
    </row>
    <row r="344" spans="1:2">
      <c r="A344" s="96" t="s">
        <v>26</v>
      </c>
      <c r="B344" s="97">
        <v>1</v>
      </c>
    </row>
    <row r="345" spans="1:2">
      <c r="A345" s="96" t="s">
        <v>27</v>
      </c>
      <c r="B345" s="97">
        <v>1</v>
      </c>
    </row>
    <row r="346" spans="1:2">
      <c r="A346" s="96" t="s">
        <v>28</v>
      </c>
      <c r="B346" s="97">
        <v>0</v>
      </c>
    </row>
    <row r="347" spans="1:2">
      <c r="A347" s="96" t="s">
        <v>29</v>
      </c>
      <c r="B347" s="97">
        <v>0</v>
      </c>
    </row>
    <row r="348" spans="1:2">
      <c r="A348" s="96" t="s">
        <v>30</v>
      </c>
      <c r="B348" s="97">
        <v>0</v>
      </c>
    </row>
    <row r="349" spans="1:2">
      <c r="A349" s="96" t="s">
        <v>31</v>
      </c>
      <c r="B349" s="97">
        <v>1</v>
      </c>
    </row>
    <row r="350" spans="1:2">
      <c r="A350" s="96" t="s">
        <v>32</v>
      </c>
      <c r="B350" s="97">
        <v>3</v>
      </c>
    </row>
    <row r="351" spans="1:2" ht="4.5" customHeight="1">
      <c r="A351" s="96"/>
      <c r="B351" s="97"/>
    </row>
    <row r="352" spans="1:2" s="92" customFormat="1" ht="12.75" customHeight="1">
      <c r="A352" s="93" t="s">
        <v>130</v>
      </c>
      <c r="B352" s="95">
        <f>SUM(B354:B365)</f>
        <v>43</v>
      </c>
    </row>
    <row r="353" spans="1:2" ht="4.5" customHeight="1">
      <c r="A353" s="96"/>
      <c r="B353" s="97"/>
    </row>
    <row r="354" spans="1:2">
      <c r="A354" s="96" t="s">
        <v>21</v>
      </c>
      <c r="B354" s="97">
        <v>6</v>
      </c>
    </row>
    <row r="355" spans="1:2">
      <c r="A355" s="96" t="s">
        <v>22</v>
      </c>
      <c r="B355" s="97">
        <v>1</v>
      </c>
    </row>
    <row r="356" spans="1:2">
      <c r="A356" s="96" t="s">
        <v>23</v>
      </c>
      <c r="B356" s="97">
        <v>5</v>
      </c>
    </row>
    <row r="357" spans="1:2">
      <c r="A357" s="96" t="s">
        <v>24</v>
      </c>
      <c r="B357" s="97">
        <v>6</v>
      </c>
    </row>
    <row r="358" spans="1:2">
      <c r="A358" s="96" t="s">
        <v>25</v>
      </c>
      <c r="B358" s="97">
        <v>2</v>
      </c>
    </row>
    <row r="359" spans="1:2">
      <c r="A359" s="96" t="s">
        <v>26</v>
      </c>
      <c r="B359" s="97">
        <v>1</v>
      </c>
    </row>
    <row r="360" spans="1:2">
      <c r="A360" s="96" t="s">
        <v>27</v>
      </c>
      <c r="B360" s="97">
        <v>3</v>
      </c>
    </row>
    <row r="361" spans="1:2">
      <c r="A361" s="96" t="s">
        <v>28</v>
      </c>
      <c r="B361" s="97">
        <v>3</v>
      </c>
    </row>
    <row r="362" spans="1:2">
      <c r="A362" s="96" t="s">
        <v>29</v>
      </c>
      <c r="B362" s="97">
        <v>2</v>
      </c>
    </row>
    <row r="363" spans="1:2">
      <c r="A363" s="96" t="s">
        <v>30</v>
      </c>
      <c r="B363" s="97">
        <v>2</v>
      </c>
    </row>
    <row r="364" spans="1:2">
      <c r="A364" s="96" t="s">
        <v>31</v>
      </c>
      <c r="B364" s="97">
        <v>5</v>
      </c>
    </row>
    <row r="365" spans="1:2">
      <c r="A365" s="96" t="s">
        <v>32</v>
      </c>
      <c r="B365" s="97">
        <v>7</v>
      </c>
    </row>
    <row r="366" spans="1:2" ht="4.5" customHeight="1">
      <c r="A366" s="96"/>
      <c r="B366" s="97"/>
    </row>
    <row r="367" spans="1:2" s="92" customFormat="1" ht="12.75" customHeight="1">
      <c r="A367" s="93" t="s">
        <v>131</v>
      </c>
      <c r="B367" s="95">
        <f>SUM(B369:B380)</f>
        <v>27</v>
      </c>
    </row>
    <row r="368" spans="1:2" ht="4.5" customHeight="1">
      <c r="A368" s="96"/>
      <c r="B368" s="97"/>
    </row>
    <row r="369" spans="1:2" ht="12.75" customHeight="1">
      <c r="A369" s="96" t="s">
        <v>21</v>
      </c>
      <c r="B369" s="97">
        <v>0</v>
      </c>
    </row>
    <row r="370" spans="1:2" ht="12.75" customHeight="1">
      <c r="A370" s="96" t="s">
        <v>22</v>
      </c>
      <c r="B370" s="97">
        <v>2</v>
      </c>
    </row>
    <row r="371" spans="1:2" ht="12.75" customHeight="1">
      <c r="A371" s="96" t="s">
        <v>23</v>
      </c>
      <c r="B371" s="97">
        <v>5</v>
      </c>
    </row>
    <row r="372" spans="1:2" ht="12.75" customHeight="1">
      <c r="A372" s="96" t="s">
        <v>24</v>
      </c>
      <c r="B372" s="97">
        <v>2</v>
      </c>
    </row>
    <row r="373" spans="1:2">
      <c r="A373" s="96" t="s">
        <v>25</v>
      </c>
      <c r="B373" s="97">
        <v>2</v>
      </c>
    </row>
    <row r="374" spans="1:2">
      <c r="A374" s="96" t="s">
        <v>26</v>
      </c>
      <c r="B374" s="97">
        <v>2</v>
      </c>
    </row>
    <row r="375" spans="1:2">
      <c r="A375" s="96" t="s">
        <v>27</v>
      </c>
      <c r="B375" s="97">
        <v>0</v>
      </c>
    </row>
    <row r="376" spans="1:2">
      <c r="A376" s="96" t="s">
        <v>28</v>
      </c>
      <c r="B376" s="97">
        <v>0</v>
      </c>
    </row>
    <row r="377" spans="1:2">
      <c r="A377" s="96" t="s">
        <v>29</v>
      </c>
      <c r="B377" s="97">
        <v>2</v>
      </c>
    </row>
    <row r="378" spans="1:2">
      <c r="A378" s="96" t="s">
        <v>30</v>
      </c>
      <c r="B378" s="97">
        <v>1</v>
      </c>
    </row>
    <row r="379" spans="1:2">
      <c r="A379" s="96" t="s">
        <v>31</v>
      </c>
      <c r="B379" s="97">
        <v>10</v>
      </c>
    </row>
    <row r="380" spans="1:2">
      <c r="A380" s="96" t="s">
        <v>32</v>
      </c>
      <c r="B380" s="97">
        <v>1</v>
      </c>
    </row>
    <row r="381" spans="1:2" ht="4.5" customHeight="1">
      <c r="A381" s="96"/>
      <c r="B381" s="97"/>
    </row>
    <row r="382" spans="1:2" s="92" customFormat="1" ht="12.75" customHeight="1">
      <c r="A382" s="93" t="s">
        <v>132</v>
      </c>
      <c r="B382" s="95">
        <f>SUM(B383:B395)</f>
        <v>12</v>
      </c>
    </row>
    <row r="383" spans="1:2" ht="4.5" customHeight="1">
      <c r="A383" s="96"/>
      <c r="B383" s="97"/>
    </row>
    <row r="384" spans="1:2">
      <c r="A384" s="96" t="s">
        <v>21</v>
      </c>
      <c r="B384" s="269">
        <v>0</v>
      </c>
    </row>
    <row r="385" spans="1:3">
      <c r="A385" s="96" t="s">
        <v>22</v>
      </c>
      <c r="B385" s="97">
        <v>1</v>
      </c>
    </row>
    <row r="386" spans="1:3">
      <c r="A386" s="96" t="s">
        <v>23</v>
      </c>
      <c r="B386" s="97">
        <v>1</v>
      </c>
    </row>
    <row r="387" spans="1:3">
      <c r="A387" s="96" t="s">
        <v>24</v>
      </c>
      <c r="B387" s="97">
        <v>2</v>
      </c>
    </row>
    <row r="388" spans="1:3">
      <c r="A388" s="96" t="s">
        <v>25</v>
      </c>
      <c r="B388" s="97">
        <v>0</v>
      </c>
    </row>
    <row r="389" spans="1:3">
      <c r="A389" s="96" t="s">
        <v>26</v>
      </c>
      <c r="B389" s="269">
        <v>2</v>
      </c>
    </row>
    <row r="390" spans="1:3">
      <c r="A390" s="96" t="s">
        <v>27</v>
      </c>
      <c r="B390" s="97">
        <v>2</v>
      </c>
    </row>
    <row r="391" spans="1:3">
      <c r="A391" s="96" t="s">
        <v>28</v>
      </c>
      <c r="B391" s="97">
        <v>2</v>
      </c>
    </row>
    <row r="392" spans="1:3">
      <c r="A392" s="96" t="s">
        <v>29</v>
      </c>
      <c r="B392" s="97">
        <v>0</v>
      </c>
    </row>
    <row r="393" spans="1:3">
      <c r="A393" s="96" t="s">
        <v>30</v>
      </c>
      <c r="B393" s="97">
        <v>0</v>
      </c>
    </row>
    <row r="394" spans="1:3">
      <c r="A394" s="96" t="s">
        <v>31</v>
      </c>
      <c r="B394" s="97">
        <v>1</v>
      </c>
    </row>
    <row r="395" spans="1:3">
      <c r="A395" s="96" t="s">
        <v>32</v>
      </c>
      <c r="B395" s="97">
        <v>1</v>
      </c>
    </row>
    <row r="396" spans="1:3" ht="4.5" customHeight="1">
      <c r="A396" s="96"/>
      <c r="B396" s="97"/>
    </row>
    <row r="397" spans="1:3" s="92" customFormat="1" ht="12.75" customHeight="1">
      <c r="A397" s="93" t="s">
        <v>80</v>
      </c>
      <c r="B397" s="95">
        <v>51</v>
      </c>
      <c r="C397" s="117"/>
    </row>
    <row r="398" spans="1:3" s="92" customFormat="1" ht="5.0999999999999996" customHeight="1">
      <c r="A398"/>
      <c r="B398" s="97"/>
      <c r="C398" s="117"/>
    </row>
    <row r="399" spans="1:3" ht="12.75" customHeight="1">
      <c r="A399" s="96" t="s">
        <v>21</v>
      </c>
      <c r="B399" s="97">
        <v>2</v>
      </c>
      <c r="C399" s="117"/>
    </row>
    <row r="400" spans="1:3" ht="12.75" customHeight="1">
      <c r="A400" s="96" t="s">
        <v>22</v>
      </c>
      <c r="B400" s="97">
        <v>1</v>
      </c>
      <c r="C400" s="117"/>
    </row>
    <row r="401" spans="1:3">
      <c r="A401" s="96" t="s">
        <v>23</v>
      </c>
      <c r="B401" s="97">
        <v>4</v>
      </c>
      <c r="C401" s="117"/>
    </row>
    <row r="402" spans="1:3">
      <c r="A402" s="96" t="s">
        <v>24</v>
      </c>
      <c r="B402" s="97">
        <v>2</v>
      </c>
      <c r="C402" s="117"/>
    </row>
    <row r="403" spans="1:3">
      <c r="A403" s="96" t="s">
        <v>25</v>
      </c>
      <c r="B403" s="97">
        <v>5</v>
      </c>
      <c r="C403" s="117"/>
    </row>
    <row r="404" spans="1:3">
      <c r="A404" s="96" t="s">
        <v>26</v>
      </c>
      <c r="B404" s="97">
        <v>7</v>
      </c>
      <c r="C404" s="117"/>
    </row>
    <row r="405" spans="1:3">
      <c r="A405" s="96" t="s">
        <v>27</v>
      </c>
      <c r="B405" s="97">
        <v>9</v>
      </c>
      <c r="C405" s="117"/>
    </row>
    <row r="406" spans="1:3">
      <c r="A406" s="96" t="s">
        <v>28</v>
      </c>
      <c r="B406" s="97">
        <v>0</v>
      </c>
      <c r="C406" s="117"/>
    </row>
    <row r="407" spans="1:3">
      <c r="A407" s="96" t="s">
        <v>29</v>
      </c>
      <c r="B407" s="97">
        <v>3</v>
      </c>
      <c r="C407" s="117"/>
    </row>
    <row r="408" spans="1:3">
      <c r="A408" s="96" t="s">
        <v>30</v>
      </c>
      <c r="B408" s="97">
        <v>8</v>
      </c>
      <c r="C408" s="117"/>
    </row>
    <row r="409" spans="1:3" ht="12.75" customHeight="1">
      <c r="A409" s="96" t="s">
        <v>31</v>
      </c>
      <c r="B409" s="97">
        <v>4</v>
      </c>
      <c r="C409" s="117"/>
    </row>
    <row r="410" spans="1:3" ht="12.75" customHeight="1">
      <c r="A410" s="96" t="s">
        <v>32</v>
      </c>
      <c r="B410" s="97">
        <v>6</v>
      </c>
      <c r="C410" s="117"/>
    </row>
    <row r="411" spans="1:3" ht="5.0999999999999996" customHeight="1">
      <c r="A411" s="96"/>
      <c r="B411" s="270"/>
      <c r="C411"/>
    </row>
    <row r="412" spans="1:3" ht="12.75" customHeight="1">
      <c r="A412" s="93" t="s">
        <v>133</v>
      </c>
      <c r="B412" s="95">
        <v>26</v>
      </c>
    </row>
    <row r="413" spans="1:3" ht="5.0999999999999996" customHeight="1">
      <c r="A413" s="96"/>
      <c r="B413" s="97"/>
      <c r="C413"/>
    </row>
    <row r="414" spans="1:3" ht="12.75" customHeight="1">
      <c r="A414" s="96" t="s">
        <v>21</v>
      </c>
      <c r="B414" s="97">
        <v>3</v>
      </c>
    </row>
    <row r="415" spans="1:3" ht="12.75" customHeight="1">
      <c r="A415" s="96" t="s">
        <v>22</v>
      </c>
      <c r="B415" s="97">
        <v>3</v>
      </c>
    </row>
    <row r="416" spans="1:3" s="92" customFormat="1" ht="12.75" customHeight="1">
      <c r="A416" s="96" t="s">
        <v>23</v>
      </c>
      <c r="B416" s="97">
        <v>2</v>
      </c>
    </row>
    <row r="417" spans="1:5" ht="12.75" customHeight="1">
      <c r="A417" s="96" t="s">
        <v>24</v>
      </c>
      <c r="B417" s="97">
        <v>3</v>
      </c>
    </row>
    <row r="418" spans="1:5" ht="12.75" customHeight="1">
      <c r="A418" s="96" t="s">
        <v>25</v>
      </c>
      <c r="B418" s="97">
        <v>1</v>
      </c>
    </row>
    <row r="419" spans="1:5" ht="12.75" customHeight="1">
      <c r="A419" s="96" t="s">
        <v>26</v>
      </c>
      <c r="B419" s="97">
        <v>2</v>
      </c>
    </row>
    <row r="420" spans="1:5" ht="12.75" customHeight="1">
      <c r="A420" s="96" t="s">
        <v>27</v>
      </c>
      <c r="B420" s="97">
        <v>3</v>
      </c>
    </row>
    <row r="421" spans="1:5" ht="12.75" customHeight="1">
      <c r="A421" s="96" t="s">
        <v>28</v>
      </c>
      <c r="B421" s="97">
        <v>0</v>
      </c>
    </row>
    <row r="422" spans="1:5" ht="12.75" customHeight="1">
      <c r="A422" s="96" t="s">
        <v>29</v>
      </c>
      <c r="B422" s="97">
        <v>1</v>
      </c>
    </row>
    <row r="423" spans="1:5" ht="12.75" customHeight="1">
      <c r="A423" s="96" t="s">
        <v>30</v>
      </c>
      <c r="B423" s="97">
        <v>1</v>
      </c>
    </row>
    <row r="424" spans="1:5" ht="12.75" customHeight="1">
      <c r="A424" s="96" t="s">
        <v>31</v>
      </c>
      <c r="B424" s="97">
        <v>0</v>
      </c>
    </row>
    <row r="425" spans="1:5" ht="12.75" customHeight="1">
      <c r="A425" s="96" t="s">
        <v>32</v>
      </c>
      <c r="B425" s="97">
        <v>7</v>
      </c>
    </row>
    <row r="426" spans="1:5" ht="5.0999999999999996" customHeight="1">
      <c r="A426" s="96"/>
      <c r="B426" s="97"/>
      <c r="C426"/>
    </row>
    <row r="427" spans="1:5" ht="12.75" customHeight="1">
      <c r="A427" s="93" t="s">
        <v>134</v>
      </c>
      <c r="B427" s="95">
        <v>22</v>
      </c>
      <c r="D427" s="96"/>
      <c r="E427" s="96"/>
    </row>
    <row r="428" spans="1:5" ht="5.0999999999999996" customHeight="1">
      <c r="A428" s="96"/>
      <c r="B428" s="97"/>
      <c r="C428" s="96"/>
      <c r="D428" s="96"/>
      <c r="E428" s="96"/>
    </row>
    <row r="429" spans="1:5" ht="12.75" customHeight="1">
      <c r="A429" s="96" t="s">
        <v>21</v>
      </c>
      <c r="B429" s="97">
        <v>2</v>
      </c>
      <c r="D429" s="96"/>
      <c r="E429" s="96"/>
    </row>
    <row r="430" spans="1:5" ht="12.75" customHeight="1">
      <c r="A430" s="96" t="s">
        <v>22</v>
      </c>
      <c r="B430" s="97">
        <v>3</v>
      </c>
      <c r="D430" s="96"/>
      <c r="E430" s="96"/>
    </row>
    <row r="431" spans="1:5" ht="12.75" customHeight="1">
      <c r="A431" s="96" t="s">
        <v>23</v>
      </c>
      <c r="B431" s="97">
        <v>1</v>
      </c>
      <c r="D431" s="96"/>
      <c r="E431" s="96"/>
    </row>
    <row r="432" spans="1:5" ht="12.75" customHeight="1">
      <c r="A432" s="96" t="s">
        <v>24</v>
      </c>
      <c r="B432" s="97">
        <v>3</v>
      </c>
      <c r="D432" s="96"/>
      <c r="E432" s="96"/>
    </row>
    <row r="433" spans="1:5" ht="12.75" customHeight="1">
      <c r="A433" s="96" t="s">
        <v>25</v>
      </c>
      <c r="B433" s="97">
        <v>2</v>
      </c>
      <c r="D433" s="96"/>
      <c r="E433" s="96"/>
    </row>
    <row r="434" spans="1:5" ht="12.75" customHeight="1">
      <c r="A434" s="96" t="s">
        <v>26</v>
      </c>
      <c r="B434" s="97">
        <v>3</v>
      </c>
      <c r="D434" s="96"/>
      <c r="E434" s="96"/>
    </row>
    <row r="435" spans="1:5" s="92" customFormat="1" ht="12.75" customHeight="1">
      <c r="A435" s="96" t="s">
        <v>27</v>
      </c>
      <c r="B435" s="97">
        <v>2</v>
      </c>
      <c r="D435" s="96"/>
      <c r="E435" s="96"/>
    </row>
    <row r="436" spans="1:5" ht="12.75" customHeight="1">
      <c r="A436" s="96" t="s">
        <v>28</v>
      </c>
      <c r="B436" s="97">
        <v>3</v>
      </c>
      <c r="D436" s="96"/>
      <c r="E436" s="96"/>
    </row>
    <row r="437" spans="1:5" ht="12.75" customHeight="1">
      <c r="A437" s="96" t="s">
        <v>29</v>
      </c>
      <c r="B437" s="97">
        <v>1</v>
      </c>
      <c r="D437" s="96"/>
      <c r="E437" s="96"/>
    </row>
    <row r="438" spans="1:5" ht="12.75" customHeight="1">
      <c r="A438" s="96" t="s">
        <v>30</v>
      </c>
      <c r="B438" s="97">
        <v>1</v>
      </c>
      <c r="D438" s="96"/>
      <c r="E438" s="96"/>
    </row>
    <row r="439" spans="1:5" ht="12.75" customHeight="1">
      <c r="A439" s="96" t="s">
        <v>31</v>
      </c>
      <c r="B439" s="97">
        <v>0</v>
      </c>
      <c r="D439" s="96"/>
      <c r="E439" s="96"/>
    </row>
    <row r="440" spans="1:5" ht="12.75" customHeight="1">
      <c r="A440" s="96" t="s">
        <v>32</v>
      </c>
      <c r="B440" s="97">
        <v>1</v>
      </c>
      <c r="D440" s="96"/>
      <c r="E440" s="96"/>
    </row>
    <row r="441" spans="1:5" ht="5.0999999999999996" customHeight="1">
      <c r="A441" s="96"/>
      <c r="B441" s="97"/>
      <c r="D441" s="96"/>
      <c r="E441" s="96"/>
    </row>
    <row r="442" spans="1:5" ht="12.75" customHeight="1">
      <c r="A442" s="93" t="s">
        <v>135</v>
      </c>
      <c r="B442" s="95">
        <v>5</v>
      </c>
      <c r="C442" s="96"/>
      <c r="D442" s="96"/>
      <c r="E442" s="96"/>
    </row>
    <row r="443" spans="1:5" ht="5.0999999999999996" customHeight="1">
      <c r="A443" s="96"/>
      <c r="B443" s="271"/>
      <c r="C443" s="96"/>
      <c r="D443" s="96"/>
      <c r="E443" s="96"/>
    </row>
    <row r="444" spans="1:5" ht="12.75" customHeight="1">
      <c r="A444" s="96" t="s">
        <v>21</v>
      </c>
      <c r="B444" s="97">
        <v>0</v>
      </c>
      <c r="C444" s="96"/>
      <c r="D444" s="96"/>
      <c r="E444" s="96"/>
    </row>
    <row r="445" spans="1:5" ht="12.75" customHeight="1">
      <c r="A445" s="96" t="s">
        <v>22</v>
      </c>
      <c r="B445" s="97">
        <v>0</v>
      </c>
      <c r="C445" s="96"/>
      <c r="D445" s="96"/>
      <c r="E445" s="96"/>
    </row>
    <row r="446" spans="1:5" ht="12.75" customHeight="1">
      <c r="A446" s="96" t="s">
        <v>23</v>
      </c>
      <c r="B446" s="97">
        <v>0</v>
      </c>
      <c r="C446" s="96"/>
      <c r="D446" s="96"/>
      <c r="E446" s="96"/>
    </row>
    <row r="447" spans="1:5" ht="12.75" customHeight="1">
      <c r="A447" s="96" t="s">
        <v>24</v>
      </c>
      <c r="B447" s="97">
        <v>1</v>
      </c>
      <c r="D447" s="96"/>
      <c r="E447" s="96"/>
    </row>
    <row r="448" spans="1:5" ht="12.75" customHeight="1">
      <c r="A448" s="96" t="s">
        <v>25</v>
      </c>
      <c r="B448" s="97">
        <v>1</v>
      </c>
      <c r="D448" s="96"/>
      <c r="E448" s="96"/>
    </row>
    <row r="449" spans="1:5" ht="12.75" customHeight="1">
      <c r="A449" s="96" t="s">
        <v>26</v>
      </c>
      <c r="B449" s="97">
        <v>1</v>
      </c>
      <c r="D449" s="96"/>
      <c r="E449" s="96"/>
    </row>
    <row r="450" spans="1:5" ht="12.75" customHeight="1">
      <c r="A450" s="96" t="s">
        <v>27</v>
      </c>
      <c r="B450" s="97">
        <v>1</v>
      </c>
      <c r="D450" s="96"/>
      <c r="E450" s="96"/>
    </row>
    <row r="451" spans="1:5" ht="12.75" customHeight="1">
      <c r="A451" s="96" t="s">
        <v>28</v>
      </c>
      <c r="B451" s="97">
        <v>0</v>
      </c>
      <c r="D451" s="96"/>
      <c r="E451" s="96"/>
    </row>
    <row r="452" spans="1:5" ht="12.75" customHeight="1">
      <c r="A452" s="96" t="s">
        <v>29</v>
      </c>
      <c r="B452" s="97">
        <v>0</v>
      </c>
      <c r="D452" s="96"/>
      <c r="E452" s="96"/>
    </row>
    <row r="453" spans="1:5" ht="12.75" customHeight="1">
      <c r="A453" s="96" t="s">
        <v>30</v>
      </c>
      <c r="B453" s="97">
        <v>0</v>
      </c>
      <c r="D453" s="96"/>
      <c r="E453" s="96"/>
    </row>
    <row r="454" spans="1:5" ht="12.75" customHeight="1">
      <c r="A454" s="96" t="s">
        <v>31</v>
      </c>
      <c r="B454" s="97">
        <v>0</v>
      </c>
      <c r="D454" s="96"/>
      <c r="E454" s="96"/>
    </row>
    <row r="455" spans="1:5" ht="12.75" customHeight="1">
      <c r="A455" s="96" t="s">
        <v>32</v>
      </c>
      <c r="B455" s="97">
        <v>1</v>
      </c>
      <c r="D455" s="96"/>
      <c r="E455" s="96"/>
    </row>
    <row r="456" spans="1:5" ht="5.0999999999999996" customHeight="1">
      <c r="A456" s="91"/>
      <c r="B456" s="269"/>
      <c r="D456" s="96"/>
      <c r="E456" s="96"/>
    </row>
    <row r="457" spans="1:5" ht="12.75" customHeight="1">
      <c r="A457" s="93" t="s">
        <v>136</v>
      </c>
      <c r="B457" s="272">
        <v>1249</v>
      </c>
      <c r="D457" s="96"/>
      <c r="E457" s="96"/>
    </row>
    <row r="458" spans="1:5" ht="5.0999999999999996" customHeight="1">
      <c r="A458" s="96"/>
      <c r="B458" s="271"/>
      <c r="D458" s="96"/>
      <c r="E458" s="96"/>
    </row>
    <row r="459" spans="1:5" ht="12.75" customHeight="1">
      <c r="A459" s="96" t="s">
        <v>21</v>
      </c>
      <c r="B459" s="271">
        <v>97</v>
      </c>
      <c r="D459" s="96"/>
      <c r="E459" s="96"/>
    </row>
    <row r="460" spans="1:5" ht="12.75" customHeight="1">
      <c r="A460" s="96" t="s">
        <v>22</v>
      </c>
      <c r="B460" s="271">
        <v>99</v>
      </c>
      <c r="D460" s="96"/>
      <c r="E460" s="96"/>
    </row>
    <row r="461" spans="1:5" ht="12.75" customHeight="1">
      <c r="A461" s="96" t="s">
        <v>23</v>
      </c>
      <c r="B461" s="271">
        <v>113</v>
      </c>
      <c r="D461" s="96"/>
      <c r="E461" s="96"/>
    </row>
    <row r="462" spans="1:5" s="92" customFormat="1" ht="12.75" customHeight="1">
      <c r="A462" s="96" t="s">
        <v>24</v>
      </c>
      <c r="B462" s="271">
        <v>85</v>
      </c>
      <c r="D462" s="96"/>
      <c r="E462" s="96"/>
    </row>
    <row r="463" spans="1:5" ht="12.75" customHeight="1">
      <c r="A463" s="96" t="s">
        <v>25</v>
      </c>
      <c r="B463" s="271">
        <v>82</v>
      </c>
      <c r="D463" s="96"/>
      <c r="E463" s="96"/>
    </row>
    <row r="464" spans="1:5" ht="12.75" customHeight="1">
      <c r="A464" s="96" t="s">
        <v>26</v>
      </c>
      <c r="B464" s="271">
        <v>87</v>
      </c>
      <c r="D464" s="96"/>
      <c r="E464" s="96"/>
    </row>
    <row r="465" spans="1:5" ht="12.75" customHeight="1">
      <c r="A465" s="96" t="s">
        <v>27</v>
      </c>
      <c r="B465" s="271">
        <v>114</v>
      </c>
      <c r="D465" s="96"/>
      <c r="E465" s="96"/>
    </row>
    <row r="466" spans="1:5" ht="12.75" customHeight="1">
      <c r="A466" s="96" t="s">
        <v>28</v>
      </c>
      <c r="B466" s="271">
        <v>102</v>
      </c>
      <c r="D466" s="96"/>
      <c r="E466" s="96"/>
    </row>
    <row r="467" spans="1:5" ht="12.75" customHeight="1">
      <c r="A467" s="96" t="s">
        <v>29</v>
      </c>
      <c r="B467" s="271">
        <v>97</v>
      </c>
      <c r="D467" s="96"/>
      <c r="E467" s="96"/>
    </row>
    <row r="468" spans="1:5" ht="12.75" customHeight="1">
      <c r="A468" s="96" t="s">
        <v>30</v>
      </c>
      <c r="B468" s="271">
        <v>93</v>
      </c>
      <c r="D468" s="96"/>
      <c r="E468" s="96"/>
    </row>
    <row r="469" spans="1:5" ht="12.75" customHeight="1">
      <c r="A469" s="96" t="s">
        <v>31</v>
      </c>
      <c r="B469" s="271">
        <v>105</v>
      </c>
      <c r="D469" s="96"/>
      <c r="E469" s="96"/>
    </row>
    <row r="470" spans="1:5" ht="12.75" customHeight="1">
      <c r="A470" s="96" t="s">
        <v>32</v>
      </c>
      <c r="B470" s="271">
        <v>175</v>
      </c>
      <c r="D470" s="96"/>
      <c r="E470" s="96"/>
    </row>
    <row r="471" spans="1:5" ht="5.0999999999999996" customHeight="1">
      <c r="A471" s="96"/>
      <c r="B471" s="271"/>
      <c r="D471" s="96"/>
      <c r="E471" s="96"/>
    </row>
    <row r="472" spans="1:5" ht="12.75" customHeight="1">
      <c r="A472" s="93" t="s">
        <v>137</v>
      </c>
      <c r="B472" s="272">
        <v>88</v>
      </c>
      <c r="D472" s="96"/>
      <c r="E472" s="96"/>
    </row>
    <row r="473" spans="1:5" ht="5.0999999999999996" customHeight="1">
      <c r="A473" s="96"/>
      <c r="B473" s="271"/>
      <c r="D473" s="96"/>
      <c r="E473" s="96"/>
    </row>
    <row r="474" spans="1:5" ht="12.75" customHeight="1">
      <c r="A474" s="96" t="s">
        <v>21</v>
      </c>
      <c r="B474" s="271">
        <v>6</v>
      </c>
      <c r="D474" s="96"/>
      <c r="E474" s="96"/>
    </row>
    <row r="475" spans="1:5" ht="12.75" customHeight="1">
      <c r="A475" s="96" t="s">
        <v>22</v>
      </c>
      <c r="B475" s="271">
        <v>5</v>
      </c>
      <c r="D475" s="96"/>
      <c r="E475" s="96"/>
    </row>
    <row r="476" spans="1:5" ht="12.75" customHeight="1">
      <c r="A476" s="96" t="s">
        <v>23</v>
      </c>
      <c r="B476" s="271">
        <v>22</v>
      </c>
      <c r="D476" s="96"/>
      <c r="E476" s="96"/>
    </row>
    <row r="477" spans="1:5" ht="12.75" customHeight="1">
      <c r="A477" s="96" t="s">
        <v>24</v>
      </c>
      <c r="B477" s="271">
        <v>8</v>
      </c>
      <c r="D477" s="96"/>
      <c r="E477" s="96"/>
    </row>
    <row r="478" spans="1:5" ht="12.75" customHeight="1">
      <c r="A478" s="96" t="s">
        <v>25</v>
      </c>
      <c r="B478" s="271">
        <v>2</v>
      </c>
      <c r="D478" s="96"/>
      <c r="E478" s="96"/>
    </row>
    <row r="479" spans="1:5" s="92" customFormat="1" ht="12.75" customHeight="1">
      <c r="A479" s="96" t="s">
        <v>26</v>
      </c>
      <c r="B479" s="271">
        <v>7</v>
      </c>
      <c r="D479" s="96"/>
      <c r="E479" s="96"/>
    </row>
    <row r="480" spans="1:5" ht="12.75" customHeight="1">
      <c r="A480" s="96" t="s">
        <v>27</v>
      </c>
      <c r="B480" s="271">
        <v>4</v>
      </c>
      <c r="D480" s="96"/>
      <c r="E480" s="96"/>
    </row>
    <row r="481" spans="1:5" ht="12.75" customHeight="1">
      <c r="A481" s="96" t="s">
        <v>28</v>
      </c>
      <c r="B481" s="271">
        <v>6</v>
      </c>
      <c r="D481" s="96"/>
      <c r="E481" s="96"/>
    </row>
    <row r="482" spans="1:5" ht="12.75" customHeight="1">
      <c r="A482" s="96" t="s">
        <v>29</v>
      </c>
      <c r="B482" s="271">
        <v>6</v>
      </c>
      <c r="D482" s="96"/>
      <c r="E482" s="96"/>
    </row>
    <row r="483" spans="1:5" ht="12.75" customHeight="1">
      <c r="A483" s="96" t="s">
        <v>30</v>
      </c>
      <c r="B483" s="271">
        <v>7</v>
      </c>
      <c r="D483" s="96"/>
      <c r="E483" s="96"/>
    </row>
    <row r="484" spans="1:5" ht="12.75" customHeight="1">
      <c r="A484" s="96" t="s">
        <v>31</v>
      </c>
      <c r="B484" s="271">
        <v>7</v>
      </c>
      <c r="D484" s="96"/>
      <c r="E484" s="96"/>
    </row>
    <row r="485" spans="1:5" ht="12.75" customHeight="1">
      <c r="A485" s="96" t="s">
        <v>32</v>
      </c>
      <c r="B485" s="271">
        <v>8</v>
      </c>
      <c r="D485" s="96"/>
      <c r="E485" s="96"/>
    </row>
    <row r="486" spans="1:5" ht="5.0999999999999996" customHeight="1">
      <c r="A486" s="96"/>
      <c r="B486" s="271"/>
      <c r="D486" s="96"/>
      <c r="E486" s="96"/>
    </row>
    <row r="487" spans="1:5" ht="12.75" customHeight="1">
      <c r="A487" s="93" t="s">
        <v>138</v>
      </c>
      <c r="B487" s="272">
        <v>24</v>
      </c>
      <c r="D487" s="96"/>
      <c r="E487" s="96"/>
    </row>
    <row r="488" spans="1:5" ht="5.0999999999999996" customHeight="1">
      <c r="A488" s="96"/>
      <c r="B488" s="271"/>
      <c r="D488" s="96"/>
      <c r="E488" s="96"/>
    </row>
    <row r="489" spans="1:5" ht="12.75" customHeight="1">
      <c r="A489" s="96" t="s">
        <v>22</v>
      </c>
      <c r="B489" s="271">
        <v>4</v>
      </c>
      <c r="D489" s="96"/>
      <c r="E489" s="96"/>
    </row>
    <row r="490" spans="1:5" ht="12.75" customHeight="1">
      <c r="A490" s="96" t="s">
        <v>23</v>
      </c>
      <c r="B490" s="271">
        <v>3</v>
      </c>
      <c r="D490" s="96"/>
      <c r="E490" s="96"/>
    </row>
    <row r="491" spans="1:5" ht="12.75" customHeight="1">
      <c r="A491" s="96" t="s">
        <v>24</v>
      </c>
      <c r="B491" s="271">
        <v>1</v>
      </c>
      <c r="D491" s="96"/>
      <c r="E491" s="96"/>
    </row>
    <row r="492" spans="1:5" ht="12.75" customHeight="1">
      <c r="A492" s="96" t="s">
        <v>25</v>
      </c>
      <c r="B492" s="271">
        <v>1</v>
      </c>
      <c r="D492" s="96"/>
      <c r="E492" s="96"/>
    </row>
    <row r="493" spans="1:5" ht="12.75" customHeight="1">
      <c r="A493" s="96" t="s">
        <v>26</v>
      </c>
      <c r="B493" s="271">
        <v>2</v>
      </c>
      <c r="D493" s="96"/>
      <c r="E493" s="96"/>
    </row>
    <row r="494" spans="1:5" ht="12.75" customHeight="1">
      <c r="A494" s="96" t="s">
        <v>27</v>
      </c>
      <c r="B494" s="271">
        <v>2</v>
      </c>
      <c r="D494" s="96"/>
      <c r="E494" s="96"/>
    </row>
    <row r="495" spans="1:5" ht="12.75" customHeight="1">
      <c r="A495" s="96" t="s">
        <v>28</v>
      </c>
      <c r="B495" s="271">
        <v>1</v>
      </c>
      <c r="D495" s="96"/>
      <c r="E495" s="96"/>
    </row>
    <row r="496" spans="1:5" s="92" customFormat="1" ht="12.75" customHeight="1">
      <c r="A496" s="96" t="s">
        <v>29</v>
      </c>
      <c r="B496" s="271">
        <v>1</v>
      </c>
      <c r="D496" s="96"/>
      <c r="E496" s="96"/>
    </row>
    <row r="497" spans="1:5" ht="12.75" customHeight="1">
      <c r="A497" s="96" t="s">
        <v>30</v>
      </c>
      <c r="B497" s="271">
        <v>4</v>
      </c>
      <c r="D497" s="96"/>
      <c r="E497" s="96"/>
    </row>
    <row r="498" spans="1:5" ht="12.75" customHeight="1">
      <c r="A498" s="96" t="s">
        <v>31</v>
      </c>
      <c r="B498" s="271">
        <v>2</v>
      </c>
      <c r="D498" s="96"/>
      <c r="E498" s="96"/>
    </row>
    <row r="499" spans="1:5" ht="12.75" customHeight="1">
      <c r="A499" s="96" t="s">
        <v>32</v>
      </c>
      <c r="B499" s="271">
        <v>3</v>
      </c>
      <c r="D499" s="96"/>
      <c r="E499" s="96"/>
    </row>
    <row r="500" spans="1:5" ht="5.0999999999999996" customHeight="1">
      <c r="A500" s="96"/>
      <c r="B500" s="271"/>
      <c r="D500" s="96"/>
      <c r="E500" s="96"/>
    </row>
    <row r="501" spans="1:5" ht="12.75" customHeight="1">
      <c r="A501" s="93" t="s">
        <v>139</v>
      </c>
      <c r="B501" s="272">
        <v>58</v>
      </c>
      <c r="D501" s="96"/>
      <c r="E501" s="96"/>
    </row>
    <row r="502" spans="1:5" ht="5.0999999999999996" customHeight="1">
      <c r="A502" s="96"/>
      <c r="B502" s="271"/>
      <c r="D502" s="96"/>
      <c r="E502" s="96"/>
    </row>
    <row r="503" spans="1:5" ht="12.75" customHeight="1">
      <c r="A503" s="96" t="s">
        <v>21</v>
      </c>
      <c r="B503" s="271">
        <v>4</v>
      </c>
      <c r="D503" s="96"/>
      <c r="E503" s="96"/>
    </row>
    <row r="504" spans="1:5" ht="12.75" customHeight="1">
      <c r="A504" s="96" t="s">
        <v>22</v>
      </c>
      <c r="B504" s="271">
        <v>3</v>
      </c>
      <c r="D504" s="96"/>
      <c r="E504" s="96"/>
    </row>
    <row r="505" spans="1:5" ht="12.75" customHeight="1">
      <c r="A505" s="96" t="s">
        <v>23</v>
      </c>
      <c r="B505" s="271">
        <v>7</v>
      </c>
      <c r="D505" s="96"/>
      <c r="E505" s="96"/>
    </row>
    <row r="506" spans="1:5" ht="12.75" customHeight="1">
      <c r="A506" s="96" t="s">
        <v>24</v>
      </c>
      <c r="B506" s="271">
        <v>4</v>
      </c>
      <c r="D506" s="96"/>
      <c r="E506" s="96"/>
    </row>
    <row r="507" spans="1:5" ht="12.75" customHeight="1">
      <c r="A507" s="96" t="s">
        <v>25</v>
      </c>
      <c r="B507" s="271">
        <v>5</v>
      </c>
      <c r="D507" s="96"/>
      <c r="E507" s="96"/>
    </row>
    <row r="508" spans="1:5" ht="12.75" customHeight="1">
      <c r="A508" s="96" t="s">
        <v>26</v>
      </c>
      <c r="B508" s="271">
        <v>6</v>
      </c>
      <c r="D508" s="96"/>
      <c r="E508" s="96"/>
    </row>
    <row r="509" spans="1:5" ht="12.75" customHeight="1">
      <c r="A509" s="96" t="s">
        <v>27</v>
      </c>
      <c r="B509" s="271">
        <v>5</v>
      </c>
      <c r="D509" s="96"/>
      <c r="E509" s="96"/>
    </row>
    <row r="510" spans="1:5" ht="12.75" customHeight="1">
      <c r="A510" s="96" t="s">
        <v>28</v>
      </c>
      <c r="B510" s="271">
        <v>2</v>
      </c>
      <c r="D510" s="96"/>
      <c r="E510" s="96"/>
    </row>
    <row r="511" spans="1:5" ht="12.75" customHeight="1">
      <c r="A511" s="96" t="s">
        <v>29</v>
      </c>
      <c r="B511" s="271">
        <v>2</v>
      </c>
      <c r="D511" s="96"/>
      <c r="E511" s="96"/>
    </row>
    <row r="512" spans="1:5" ht="12.75" customHeight="1">
      <c r="A512" s="96" t="s">
        <v>30</v>
      </c>
      <c r="B512" s="271">
        <v>1</v>
      </c>
      <c r="D512" s="96"/>
      <c r="E512" s="96"/>
    </row>
    <row r="513" spans="1:5" s="92" customFormat="1" ht="12.75" customHeight="1">
      <c r="A513" s="96" t="s">
        <v>31</v>
      </c>
      <c r="B513" s="271">
        <v>8</v>
      </c>
      <c r="D513" s="96"/>
      <c r="E513" s="96"/>
    </row>
    <row r="514" spans="1:5" ht="12.75" customHeight="1">
      <c r="A514" s="96" t="s">
        <v>32</v>
      </c>
      <c r="B514" s="271">
        <v>11</v>
      </c>
      <c r="D514" s="96"/>
      <c r="E514" s="96"/>
    </row>
    <row r="515" spans="1:5" ht="5.0999999999999996" customHeight="1">
      <c r="A515" s="96"/>
      <c r="B515" s="271"/>
      <c r="D515" s="96"/>
      <c r="E515" s="96"/>
    </row>
    <row r="516" spans="1:5" ht="12.75" customHeight="1">
      <c r="A516" s="93" t="s">
        <v>140</v>
      </c>
      <c r="B516" s="272">
        <v>67</v>
      </c>
      <c r="D516" s="96"/>
      <c r="E516" s="96"/>
    </row>
    <row r="517" spans="1:5" ht="5.0999999999999996" customHeight="1">
      <c r="A517" s="96"/>
      <c r="B517" s="271"/>
      <c r="D517" s="96"/>
      <c r="E517" s="96"/>
    </row>
    <row r="518" spans="1:5" ht="12.75" customHeight="1">
      <c r="A518" s="96" t="s">
        <v>21</v>
      </c>
      <c r="B518" s="271">
        <v>7</v>
      </c>
      <c r="D518" s="96"/>
      <c r="E518" s="96"/>
    </row>
    <row r="519" spans="1:5" ht="12.75" customHeight="1">
      <c r="A519" s="96" t="s">
        <v>22</v>
      </c>
      <c r="B519" s="271">
        <v>13</v>
      </c>
      <c r="D519" s="96"/>
      <c r="E519" s="96"/>
    </row>
    <row r="520" spans="1:5" ht="12.75" customHeight="1">
      <c r="A520" s="96" t="s">
        <v>23</v>
      </c>
      <c r="B520" s="271">
        <v>7</v>
      </c>
      <c r="D520" s="96"/>
      <c r="E520" s="96"/>
    </row>
    <row r="521" spans="1:5" ht="12.75" customHeight="1">
      <c r="A521" s="96" t="s">
        <v>24</v>
      </c>
      <c r="B521" s="271">
        <v>11</v>
      </c>
      <c r="D521" s="96"/>
      <c r="E521" s="96"/>
    </row>
    <row r="522" spans="1:5" ht="12.75" customHeight="1">
      <c r="A522" s="96" t="s">
        <v>25</v>
      </c>
      <c r="B522" s="271">
        <v>2</v>
      </c>
      <c r="D522" s="96"/>
      <c r="E522" s="96"/>
    </row>
    <row r="523" spans="1:5" ht="12.75" customHeight="1">
      <c r="A523" s="96" t="s">
        <v>26</v>
      </c>
      <c r="B523" s="271">
        <v>4</v>
      </c>
      <c r="D523" s="96"/>
      <c r="E523" s="96"/>
    </row>
    <row r="524" spans="1:5" ht="12.75" customHeight="1">
      <c r="A524" s="96" t="s">
        <v>27</v>
      </c>
      <c r="B524" s="271">
        <v>4</v>
      </c>
      <c r="D524" s="96"/>
      <c r="E524" s="96"/>
    </row>
    <row r="525" spans="1:5" ht="12.75" customHeight="1">
      <c r="A525" s="96" t="s">
        <v>28</v>
      </c>
      <c r="B525" s="271">
        <v>6</v>
      </c>
      <c r="D525" s="96"/>
      <c r="E525" s="96"/>
    </row>
    <row r="526" spans="1:5" ht="12.75" customHeight="1">
      <c r="A526" s="96" t="s">
        <v>29</v>
      </c>
      <c r="B526" s="271">
        <v>8</v>
      </c>
      <c r="D526" s="96"/>
      <c r="E526" s="96"/>
    </row>
    <row r="527" spans="1:5" ht="12.75" customHeight="1">
      <c r="A527" s="96" t="s">
        <v>31</v>
      </c>
      <c r="B527" s="271">
        <v>3</v>
      </c>
      <c r="D527" s="96"/>
      <c r="E527" s="96"/>
    </row>
    <row r="528" spans="1:5" ht="12.75" customHeight="1">
      <c r="A528" s="96" t="s">
        <v>32</v>
      </c>
      <c r="B528" s="271">
        <v>2</v>
      </c>
      <c r="D528" s="96"/>
      <c r="E528" s="96"/>
    </row>
    <row r="529" spans="1:5" ht="5.0999999999999996" customHeight="1">
      <c r="A529" s="96"/>
      <c r="B529" s="271"/>
      <c r="D529" s="96"/>
      <c r="E529" s="96"/>
    </row>
    <row r="530" spans="1:5" ht="12.75" customHeight="1">
      <c r="A530" s="93" t="s">
        <v>614</v>
      </c>
      <c r="B530" s="272">
        <v>16</v>
      </c>
      <c r="D530" s="96"/>
      <c r="E530" s="96"/>
    </row>
    <row r="531" spans="1:5" ht="5.0999999999999996" customHeight="1">
      <c r="A531" s="96"/>
      <c r="B531" s="271"/>
      <c r="D531" s="96"/>
      <c r="E531" s="96"/>
    </row>
    <row r="532" spans="1:5" s="92" customFormat="1" ht="12.75" customHeight="1">
      <c r="A532" s="96" t="s">
        <v>21</v>
      </c>
      <c r="B532" s="271">
        <v>1</v>
      </c>
      <c r="D532" s="96"/>
      <c r="E532" s="96"/>
    </row>
    <row r="533" spans="1:5" ht="12.75" customHeight="1">
      <c r="A533" s="96" t="s">
        <v>23</v>
      </c>
      <c r="B533" s="271">
        <v>3</v>
      </c>
      <c r="D533" s="96"/>
      <c r="E533" s="96"/>
    </row>
    <row r="534" spans="1:5" ht="12.75" customHeight="1">
      <c r="A534" s="96" t="s">
        <v>24</v>
      </c>
      <c r="B534" s="271">
        <v>1</v>
      </c>
      <c r="D534" s="96"/>
      <c r="E534" s="96"/>
    </row>
    <row r="535" spans="1:5" ht="12.75" customHeight="1">
      <c r="A535" s="96" t="s">
        <v>26</v>
      </c>
      <c r="B535" s="271">
        <v>1</v>
      </c>
      <c r="D535" s="96"/>
      <c r="E535" s="96"/>
    </row>
    <row r="536" spans="1:5" ht="12.75" customHeight="1">
      <c r="A536" s="96" t="s">
        <v>27</v>
      </c>
      <c r="B536" s="271">
        <v>1</v>
      </c>
      <c r="D536" s="96"/>
      <c r="E536" s="96"/>
    </row>
    <row r="537" spans="1:5" ht="12.75" customHeight="1">
      <c r="A537" s="96" t="s">
        <v>28</v>
      </c>
      <c r="B537" s="271">
        <v>1</v>
      </c>
      <c r="D537" s="96"/>
      <c r="E537" s="96"/>
    </row>
    <row r="538" spans="1:5" ht="12.75" customHeight="1">
      <c r="A538" s="96" t="s">
        <v>29</v>
      </c>
      <c r="B538" s="271">
        <v>1</v>
      </c>
      <c r="D538" s="96"/>
      <c r="E538" s="96"/>
    </row>
    <row r="539" spans="1:5" ht="12.75" customHeight="1">
      <c r="A539" s="96" t="s">
        <v>30</v>
      </c>
      <c r="B539" s="271">
        <v>1</v>
      </c>
      <c r="D539" s="96"/>
      <c r="E539" s="96"/>
    </row>
    <row r="540" spans="1:5" ht="12.75" customHeight="1">
      <c r="A540" s="96" t="s">
        <v>31</v>
      </c>
      <c r="B540" s="271">
        <v>1</v>
      </c>
      <c r="D540" s="96"/>
      <c r="E540" s="96"/>
    </row>
    <row r="541" spans="1:5" ht="12.75" customHeight="1">
      <c r="A541" s="96" t="s">
        <v>32</v>
      </c>
      <c r="B541" s="271">
        <v>5</v>
      </c>
      <c r="D541" s="96"/>
      <c r="E541" s="96"/>
    </row>
    <row r="542" spans="1:5" ht="5.0999999999999996" customHeight="1">
      <c r="A542" s="96"/>
      <c r="B542" s="271"/>
      <c r="D542" s="96"/>
      <c r="E542" s="96"/>
    </row>
    <row r="543" spans="1:5" ht="12.75" customHeight="1">
      <c r="A543" s="93" t="s">
        <v>141</v>
      </c>
      <c r="B543" s="272">
        <v>31</v>
      </c>
      <c r="D543" s="96"/>
      <c r="E543" s="96"/>
    </row>
    <row r="544" spans="1:5" ht="5.0999999999999996" customHeight="1">
      <c r="A544" s="96"/>
      <c r="B544" s="271"/>
      <c r="D544" s="96"/>
      <c r="E544" s="96"/>
    </row>
    <row r="545" spans="1:5" ht="12.75" customHeight="1">
      <c r="A545" s="96" t="s">
        <v>21</v>
      </c>
      <c r="B545" s="271">
        <v>1</v>
      </c>
      <c r="D545" s="96"/>
      <c r="E545" s="96"/>
    </row>
    <row r="546" spans="1:5" ht="12.75" customHeight="1">
      <c r="A546" s="96" t="s">
        <v>22</v>
      </c>
      <c r="B546" s="271">
        <v>6</v>
      </c>
      <c r="D546" s="96"/>
      <c r="E546" s="96"/>
    </row>
    <row r="547" spans="1:5" ht="12.75" customHeight="1">
      <c r="A547" s="96" t="s">
        <v>23</v>
      </c>
      <c r="B547" s="271">
        <v>2</v>
      </c>
      <c r="D547" s="96"/>
      <c r="E547" s="96"/>
    </row>
    <row r="548" spans="1:5" ht="12.75" customHeight="1">
      <c r="A548" s="96" t="s">
        <v>24</v>
      </c>
      <c r="B548" s="271">
        <v>2</v>
      </c>
      <c r="D548" s="96"/>
      <c r="E548" s="96"/>
    </row>
    <row r="549" spans="1:5" s="92" customFormat="1" ht="12.75" customHeight="1">
      <c r="A549" s="96" t="s">
        <v>25</v>
      </c>
      <c r="B549" s="271">
        <v>2</v>
      </c>
      <c r="D549" s="96"/>
      <c r="E549" s="96"/>
    </row>
    <row r="550" spans="1:5" ht="12.75" customHeight="1">
      <c r="A550" s="96" t="s">
        <v>26</v>
      </c>
      <c r="B550" s="271">
        <v>1</v>
      </c>
      <c r="D550" s="96"/>
      <c r="E550" s="96"/>
    </row>
    <row r="551" spans="1:5" ht="12.75" customHeight="1">
      <c r="A551" s="96" t="s">
        <v>27</v>
      </c>
      <c r="B551" s="271">
        <v>5</v>
      </c>
      <c r="D551" s="96"/>
      <c r="E551" s="96"/>
    </row>
    <row r="552" spans="1:5" ht="12.75" customHeight="1">
      <c r="A552" s="96" t="s">
        <v>29</v>
      </c>
      <c r="B552" s="271">
        <v>4</v>
      </c>
      <c r="D552" s="96"/>
      <c r="E552" s="96"/>
    </row>
    <row r="553" spans="1:5" ht="12.75" customHeight="1">
      <c r="A553" s="96" t="s">
        <v>30</v>
      </c>
      <c r="B553" s="271">
        <v>2</v>
      </c>
      <c r="D553" s="96"/>
      <c r="E553" s="96"/>
    </row>
    <row r="554" spans="1:5" ht="12.75" customHeight="1">
      <c r="A554" s="96" t="s">
        <v>31</v>
      </c>
      <c r="B554" s="271">
        <v>3</v>
      </c>
      <c r="D554" s="96"/>
      <c r="E554" s="96"/>
    </row>
    <row r="555" spans="1:5" ht="12.75" customHeight="1">
      <c r="A555" s="96" t="s">
        <v>32</v>
      </c>
      <c r="B555" s="271">
        <v>3</v>
      </c>
      <c r="D555" s="96"/>
      <c r="E555" s="96"/>
    </row>
    <row r="556" spans="1:5" ht="5.0999999999999996" customHeight="1">
      <c r="A556" s="96"/>
      <c r="B556" s="271"/>
      <c r="D556" s="96"/>
      <c r="E556" s="96"/>
    </row>
    <row r="557" spans="1:5" ht="12.75" customHeight="1">
      <c r="A557" s="93" t="s">
        <v>142</v>
      </c>
      <c r="B557" s="272">
        <v>6</v>
      </c>
      <c r="D557" s="96"/>
      <c r="E557" s="96"/>
    </row>
    <row r="558" spans="1:5" ht="5.0999999999999996" customHeight="1">
      <c r="A558" s="96"/>
      <c r="B558" s="271"/>
      <c r="D558" s="96"/>
      <c r="E558" s="96"/>
    </row>
    <row r="559" spans="1:5" ht="12.75" customHeight="1">
      <c r="A559" s="96" t="s">
        <v>21</v>
      </c>
      <c r="B559" s="271">
        <v>1</v>
      </c>
      <c r="D559" s="96"/>
      <c r="E559" s="96"/>
    </row>
    <row r="560" spans="1:5" ht="12.75" customHeight="1">
      <c r="A560" s="96" t="s">
        <v>22</v>
      </c>
      <c r="B560" s="271">
        <v>0</v>
      </c>
      <c r="D560" s="96"/>
      <c r="E560" s="96"/>
    </row>
    <row r="561" spans="1:5" ht="12.75" customHeight="1">
      <c r="A561" s="96" t="s">
        <v>23</v>
      </c>
      <c r="B561" s="271">
        <v>2</v>
      </c>
      <c r="D561" s="96"/>
      <c r="E561" s="96"/>
    </row>
    <row r="562" spans="1:5" ht="12.75" customHeight="1">
      <c r="A562" s="96" t="s">
        <v>24</v>
      </c>
      <c r="B562" s="271">
        <v>1</v>
      </c>
      <c r="D562" s="96"/>
      <c r="E562" s="96"/>
    </row>
    <row r="563" spans="1:5" ht="12.75" customHeight="1">
      <c r="A563" s="96" t="s">
        <v>25</v>
      </c>
      <c r="B563" s="271">
        <v>0</v>
      </c>
      <c r="D563" s="96"/>
      <c r="E563" s="96"/>
    </row>
    <row r="564" spans="1:5" ht="12.75" customHeight="1">
      <c r="A564" s="96" t="s">
        <v>26</v>
      </c>
      <c r="B564" s="271">
        <v>0</v>
      </c>
      <c r="D564" s="96"/>
      <c r="E564" s="96"/>
    </row>
    <row r="565" spans="1:5" ht="12.75" customHeight="1">
      <c r="A565" s="96" t="s">
        <v>27</v>
      </c>
      <c r="B565" s="271">
        <v>0</v>
      </c>
      <c r="D565" s="96"/>
      <c r="E565" s="96"/>
    </row>
    <row r="566" spans="1:5" ht="12.75" customHeight="1">
      <c r="A566" s="96" t="s">
        <v>28</v>
      </c>
      <c r="B566" s="271">
        <v>0</v>
      </c>
      <c r="D566" s="96"/>
      <c r="E566" s="96"/>
    </row>
    <row r="567" spans="1:5" ht="12.75" customHeight="1">
      <c r="A567" s="96" t="s">
        <v>29</v>
      </c>
      <c r="B567" s="271">
        <v>0</v>
      </c>
      <c r="D567" s="96"/>
      <c r="E567" s="96"/>
    </row>
    <row r="568" spans="1:5" ht="12.75" customHeight="1">
      <c r="A568" s="96" t="s">
        <v>30</v>
      </c>
      <c r="B568" s="271">
        <v>2</v>
      </c>
      <c r="D568" s="96"/>
      <c r="E568" s="96"/>
    </row>
    <row r="569" spans="1:5" ht="12.75" customHeight="1">
      <c r="A569" s="96" t="s">
        <v>31</v>
      </c>
      <c r="B569" s="271">
        <v>0</v>
      </c>
      <c r="D569" s="96"/>
      <c r="E569" s="96"/>
    </row>
    <row r="570" spans="1:5" ht="12.75" customHeight="1">
      <c r="A570" s="96" t="s">
        <v>32</v>
      </c>
      <c r="B570" s="271">
        <v>0</v>
      </c>
      <c r="D570" s="96"/>
      <c r="E570" s="96"/>
    </row>
    <row r="571" spans="1:5" ht="5.0999999999999996" customHeight="1">
      <c r="A571" s="96"/>
      <c r="B571" s="271"/>
      <c r="D571" s="96"/>
      <c r="E571" s="96"/>
    </row>
    <row r="572" spans="1:5" ht="12.75" customHeight="1">
      <c r="A572" s="93" t="s">
        <v>268</v>
      </c>
      <c r="B572" s="272">
        <v>3</v>
      </c>
      <c r="D572" s="96"/>
      <c r="E572" s="96"/>
    </row>
    <row r="573" spans="1:5" ht="5.0999999999999996" customHeight="1">
      <c r="A573" s="96"/>
      <c r="B573" s="271"/>
      <c r="D573" s="96"/>
      <c r="E573" s="96"/>
    </row>
    <row r="574" spans="1:5" ht="12.75" customHeight="1">
      <c r="A574" s="96" t="s">
        <v>21</v>
      </c>
      <c r="B574" s="271">
        <v>1</v>
      </c>
      <c r="D574" s="96"/>
      <c r="E574" s="96"/>
    </row>
    <row r="575" spans="1:5" ht="12.75" customHeight="1">
      <c r="A575" s="96" t="s">
        <v>22</v>
      </c>
      <c r="B575" s="271">
        <v>0</v>
      </c>
      <c r="D575" s="96"/>
      <c r="E575" s="96"/>
    </row>
    <row r="576" spans="1:5" ht="12.75" customHeight="1">
      <c r="A576" s="96" t="s">
        <v>23</v>
      </c>
      <c r="B576" s="271">
        <v>0</v>
      </c>
      <c r="D576" s="96"/>
      <c r="E576" s="96"/>
    </row>
    <row r="577" spans="1:5" ht="12.75" customHeight="1">
      <c r="A577" s="96" t="s">
        <v>24</v>
      </c>
      <c r="B577" s="271">
        <v>2</v>
      </c>
      <c r="D577" s="96"/>
      <c r="E577" s="96"/>
    </row>
    <row r="578" spans="1:5" ht="12.75" customHeight="1">
      <c r="A578" s="96" t="s">
        <v>25</v>
      </c>
      <c r="B578" s="271">
        <v>0</v>
      </c>
      <c r="D578" s="96"/>
      <c r="E578" s="96"/>
    </row>
    <row r="579" spans="1:5" ht="12.75" customHeight="1">
      <c r="A579" s="96" t="s">
        <v>26</v>
      </c>
      <c r="B579" s="271">
        <v>0</v>
      </c>
      <c r="D579" s="96"/>
      <c r="E579" s="96"/>
    </row>
    <row r="580" spans="1:5" ht="12.75" customHeight="1">
      <c r="A580" s="96" t="s">
        <v>27</v>
      </c>
      <c r="B580" s="271">
        <v>0</v>
      </c>
      <c r="D580" s="96"/>
      <c r="E580" s="96"/>
    </row>
    <row r="581" spans="1:5" ht="12.75" customHeight="1">
      <c r="A581" s="96" t="s">
        <v>28</v>
      </c>
      <c r="B581" s="271">
        <v>0</v>
      </c>
      <c r="D581" s="96"/>
      <c r="E581" s="96"/>
    </row>
    <row r="582" spans="1:5" ht="12.75" customHeight="1">
      <c r="A582" s="96" t="s">
        <v>29</v>
      </c>
      <c r="B582" s="271">
        <v>0</v>
      </c>
      <c r="D582" s="96"/>
      <c r="E582" s="96"/>
    </row>
    <row r="583" spans="1:5" ht="12.75" customHeight="1">
      <c r="A583" s="96" t="s">
        <v>30</v>
      </c>
      <c r="B583" s="271">
        <v>0</v>
      </c>
      <c r="D583" s="96"/>
      <c r="E583" s="96"/>
    </row>
    <row r="584" spans="1:5" ht="12.75" customHeight="1">
      <c r="A584" s="96" t="s">
        <v>31</v>
      </c>
      <c r="B584" s="271">
        <v>0</v>
      </c>
      <c r="D584" s="96"/>
      <c r="E584" s="96"/>
    </row>
    <row r="585" spans="1:5" ht="12.75" customHeight="1">
      <c r="A585" s="96" t="s">
        <v>32</v>
      </c>
      <c r="B585" s="271">
        <v>0</v>
      </c>
      <c r="D585" s="96"/>
      <c r="E585" s="96"/>
    </row>
    <row r="586" spans="1:5" ht="5.0999999999999996" customHeight="1">
      <c r="A586" s="96"/>
      <c r="B586" s="271"/>
      <c r="D586" s="96"/>
      <c r="E586" s="96"/>
    </row>
    <row r="587" spans="1:5" ht="5.0999999999999996" customHeight="1">
      <c r="A587" s="96"/>
      <c r="B587" s="271"/>
      <c r="D587" s="96"/>
      <c r="E587" s="96"/>
    </row>
    <row r="588" spans="1:5" s="92" customFormat="1" ht="12.75" customHeight="1">
      <c r="A588" s="93" t="s">
        <v>143</v>
      </c>
      <c r="B588" s="272">
        <v>4</v>
      </c>
      <c r="D588" s="96"/>
      <c r="E588" s="96"/>
    </row>
    <row r="589" spans="1:5" s="92" customFormat="1" ht="5.0999999999999996" customHeight="1">
      <c r="A589" s="96"/>
      <c r="B589" s="271"/>
      <c r="D589" s="96"/>
      <c r="E589" s="96"/>
    </row>
    <row r="590" spans="1:5" ht="12.75" customHeight="1">
      <c r="A590" s="96" t="s">
        <v>27</v>
      </c>
      <c r="B590" s="271">
        <v>1</v>
      </c>
      <c r="D590" s="96"/>
      <c r="E590" s="96"/>
    </row>
    <row r="591" spans="1:5" ht="12.75" customHeight="1">
      <c r="A591" s="96" t="s">
        <v>29</v>
      </c>
      <c r="B591" s="271">
        <v>1</v>
      </c>
      <c r="D591" s="96"/>
      <c r="E591" s="96"/>
    </row>
    <row r="592" spans="1:5" ht="12.75" customHeight="1">
      <c r="A592" s="96" t="s">
        <v>31</v>
      </c>
      <c r="B592" s="271">
        <v>2</v>
      </c>
      <c r="D592" s="96"/>
      <c r="E592" s="96"/>
    </row>
    <row r="593" spans="1:5" ht="5.0999999999999996" customHeight="1">
      <c r="A593" s="96"/>
      <c r="B593" s="271"/>
      <c r="D593" s="96"/>
      <c r="E593" s="96"/>
    </row>
    <row r="594" spans="1:5" ht="12.75" customHeight="1">
      <c r="A594" s="93" t="s">
        <v>83</v>
      </c>
      <c r="B594" s="272">
        <v>143</v>
      </c>
      <c r="D594" s="96"/>
      <c r="E594" s="96"/>
    </row>
    <row r="595" spans="1:5" ht="5.0999999999999996" customHeight="1">
      <c r="A595" s="96"/>
      <c r="B595" s="271"/>
      <c r="D595" s="96"/>
      <c r="E595" s="96"/>
    </row>
    <row r="596" spans="1:5" ht="12.75" customHeight="1">
      <c r="A596" s="96" t="s">
        <v>21</v>
      </c>
      <c r="B596" s="271">
        <v>7</v>
      </c>
      <c r="D596" s="96"/>
      <c r="E596" s="96"/>
    </row>
    <row r="597" spans="1:5" ht="12.75" customHeight="1">
      <c r="A597" s="96" t="s">
        <v>22</v>
      </c>
      <c r="B597" s="271">
        <v>13</v>
      </c>
      <c r="D597" s="96"/>
      <c r="E597" s="96"/>
    </row>
    <row r="598" spans="1:5" ht="12.75" customHeight="1">
      <c r="A598" s="96" t="s">
        <v>23</v>
      </c>
      <c r="B598" s="271">
        <v>14</v>
      </c>
      <c r="D598" s="96"/>
      <c r="E598" s="96"/>
    </row>
    <row r="599" spans="1:5" ht="12.75" customHeight="1">
      <c r="A599" s="96" t="s">
        <v>24</v>
      </c>
      <c r="B599" s="271">
        <v>11</v>
      </c>
      <c r="D599" s="96"/>
      <c r="E599" s="96"/>
    </row>
    <row r="600" spans="1:5" ht="12.75" customHeight="1">
      <c r="A600" s="96" t="s">
        <v>25</v>
      </c>
      <c r="B600" s="271">
        <v>11</v>
      </c>
      <c r="D600" s="96"/>
      <c r="E600" s="96"/>
    </row>
    <row r="601" spans="1:5" ht="12.75" customHeight="1">
      <c r="A601" s="96" t="s">
        <v>26</v>
      </c>
      <c r="B601" s="271">
        <v>8</v>
      </c>
      <c r="D601" s="96"/>
      <c r="E601" s="96"/>
    </row>
    <row r="602" spans="1:5" ht="12.75" customHeight="1">
      <c r="A602" s="96" t="s">
        <v>27</v>
      </c>
      <c r="B602" s="271">
        <v>8</v>
      </c>
      <c r="D602" s="96"/>
      <c r="E602" s="96"/>
    </row>
    <row r="603" spans="1:5" ht="12.75" customHeight="1">
      <c r="A603" s="96" t="s">
        <v>28</v>
      </c>
      <c r="B603" s="271">
        <v>11</v>
      </c>
      <c r="D603" s="96"/>
      <c r="E603" s="96"/>
    </row>
    <row r="604" spans="1:5" ht="12.75" customHeight="1">
      <c r="A604" s="96" t="s">
        <v>29</v>
      </c>
      <c r="B604" s="271">
        <v>7</v>
      </c>
      <c r="D604" s="96"/>
      <c r="E604" s="96"/>
    </row>
    <row r="605" spans="1:5" ht="12.75" customHeight="1">
      <c r="A605" s="96" t="s">
        <v>30</v>
      </c>
      <c r="B605" s="271">
        <v>18</v>
      </c>
      <c r="D605" s="96"/>
      <c r="E605" s="96"/>
    </row>
    <row r="606" spans="1:5" s="92" customFormat="1" ht="12.75" customHeight="1">
      <c r="A606" s="96" t="s">
        <v>31</v>
      </c>
      <c r="B606" s="271">
        <v>15</v>
      </c>
      <c r="D606" s="96"/>
      <c r="E606" s="96"/>
    </row>
    <row r="607" spans="1:5" ht="12.75" customHeight="1">
      <c r="A607" s="96" t="s">
        <v>32</v>
      </c>
      <c r="B607" s="271">
        <v>20</v>
      </c>
      <c r="D607" s="96"/>
      <c r="E607" s="96"/>
    </row>
    <row r="608" spans="1:5" ht="5.0999999999999996" customHeight="1">
      <c r="A608" s="96"/>
      <c r="B608" s="271"/>
      <c r="D608" s="96"/>
      <c r="E608" s="96"/>
    </row>
    <row r="609" spans="1:5" ht="12.75" customHeight="1">
      <c r="A609" s="93" t="s">
        <v>144</v>
      </c>
      <c r="B609" s="272">
        <v>74</v>
      </c>
      <c r="D609" s="96"/>
      <c r="E609" s="96"/>
    </row>
    <row r="610" spans="1:5" ht="5.0999999999999996" customHeight="1">
      <c r="A610" s="96"/>
      <c r="B610" s="271"/>
      <c r="D610" s="96"/>
      <c r="E610" s="96"/>
    </row>
    <row r="611" spans="1:5" ht="12.75" customHeight="1">
      <c r="A611" s="96" t="s">
        <v>21</v>
      </c>
      <c r="B611" s="271">
        <v>7</v>
      </c>
      <c r="D611" s="96"/>
      <c r="E611" s="96"/>
    </row>
    <row r="612" spans="1:5" ht="12.75" customHeight="1">
      <c r="A612" s="96" t="s">
        <v>22</v>
      </c>
      <c r="B612" s="271">
        <v>8</v>
      </c>
      <c r="D612" s="96"/>
      <c r="E612" s="96"/>
    </row>
    <row r="613" spans="1:5" ht="12.75" customHeight="1">
      <c r="A613" s="96" t="s">
        <v>23</v>
      </c>
      <c r="B613" s="271">
        <v>7</v>
      </c>
      <c r="D613" s="96"/>
      <c r="E613" s="96"/>
    </row>
    <row r="614" spans="1:5" ht="12.75" customHeight="1">
      <c r="A614" s="96" t="s">
        <v>24</v>
      </c>
      <c r="B614" s="271">
        <v>9</v>
      </c>
      <c r="D614" s="96"/>
      <c r="E614" s="96"/>
    </row>
    <row r="615" spans="1:5" ht="12.75" customHeight="1">
      <c r="A615" s="96" t="s">
        <v>25</v>
      </c>
      <c r="B615" s="271">
        <v>6</v>
      </c>
      <c r="D615" s="96"/>
      <c r="E615" s="96"/>
    </row>
    <row r="616" spans="1:5" ht="12.75" customHeight="1">
      <c r="A616" s="96" t="s">
        <v>26</v>
      </c>
      <c r="B616" s="271">
        <v>6</v>
      </c>
      <c r="D616" s="96"/>
      <c r="E616" s="96"/>
    </row>
    <row r="617" spans="1:5" ht="12.75" customHeight="1">
      <c r="A617" s="96" t="s">
        <v>27</v>
      </c>
      <c r="B617" s="271">
        <v>8</v>
      </c>
      <c r="D617" s="96"/>
      <c r="E617" s="96"/>
    </row>
    <row r="618" spans="1:5" ht="12.75" customHeight="1">
      <c r="A618" s="96" t="s">
        <v>28</v>
      </c>
      <c r="B618" s="271">
        <v>5</v>
      </c>
      <c r="D618" s="96"/>
      <c r="E618" s="96"/>
    </row>
    <row r="619" spans="1:5" ht="12.75" customHeight="1">
      <c r="A619" s="96" t="s">
        <v>29</v>
      </c>
      <c r="B619" s="271">
        <v>4</v>
      </c>
      <c r="D619" s="96"/>
      <c r="E619" s="96"/>
    </row>
    <row r="620" spans="1:5" ht="12.75" customHeight="1">
      <c r="A620" s="96" t="s">
        <v>30</v>
      </c>
      <c r="B620" s="271">
        <v>2</v>
      </c>
      <c r="D620" s="96"/>
      <c r="E620" s="96"/>
    </row>
    <row r="621" spans="1:5" ht="12.75" customHeight="1">
      <c r="A621" s="96" t="s">
        <v>31</v>
      </c>
      <c r="B621" s="271">
        <v>7</v>
      </c>
      <c r="D621" s="96"/>
      <c r="E621" s="96"/>
    </row>
    <row r="622" spans="1:5" ht="12.75" customHeight="1">
      <c r="A622" s="96" t="s">
        <v>32</v>
      </c>
      <c r="B622" s="271">
        <v>5</v>
      </c>
      <c r="D622" s="96"/>
      <c r="E622" s="96"/>
    </row>
    <row r="623" spans="1:5" ht="5.0999999999999996" customHeight="1">
      <c r="A623" s="96"/>
      <c r="B623" s="271"/>
      <c r="D623" s="96"/>
      <c r="E623" s="96"/>
    </row>
    <row r="624" spans="1:5" s="92" customFormat="1" ht="12.75" customHeight="1">
      <c r="A624" s="93" t="s">
        <v>145</v>
      </c>
      <c r="B624" s="272">
        <v>890</v>
      </c>
      <c r="D624" s="96"/>
      <c r="E624" s="96"/>
    </row>
    <row r="625" spans="1:5" s="92" customFormat="1" ht="5.0999999999999996" customHeight="1">
      <c r="A625" s="96"/>
      <c r="B625" s="271"/>
      <c r="D625" s="96"/>
      <c r="E625" s="96"/>
    </row>
    <row r="626" spans="1:5" ht="12.75" customHeight="1">
      <c r="A626" s="96" t="s">
        <v>21</v>
      </c>
      <c r="B626" s="271">
        <v>76</v>
      </c>
      <c r="D626" s="96"/>
      <c r="E626" s="96"/>
    </row>
    <row r="627" spans="1:5" ht="12.75" customHeight="1">
      <c r="A627" s="96" t="s">
        <v>22</v>
      </c>
      <c r="B627" s="271">
        <v>67</v>
      </c>
      <c r="D627" s="96"/>
      <c r="E627" s="96"/>
    </row>
    <row r="628" spans="1:5" ht="12.75" customHeight="1">
      <c r="A628" s="96" t="s">
        <v>23</v>
      </c>
      <c r="B628" s="271">
        <v>76</v>
      </c>
      <c r="D628" s="96"/>
      <c r="E628" s="96"/>
    </row>
    <row r="629" spans="1:5" ht="12.75" customHeight="1">
      <c r="A629" s="96" t="s">
        <v>24</v>
      </c>
      <c r="B629" s="271">
        <v>58</v>
      </c>
      <c r="D629" s="96"/>
      <c r="E629" s="96"/>
    </row>
    <row r="630" spans="1:5" ht="12.75" customHeight="1">
      <c r="A630" s="96" t="s">
        <v>25</v>
      </c>
      <c r="B630" s="271">
        <v>65</v>
      </c>
      <c r="D630" s="96"/>
      <c r="E630" s="96"/>
    </row>
    <row r="631" spans="1:5" ht="12.75" customHeight="1">
      <c r="A631" s="96" t="s">
        <v>26</v>
      </c>
      <c r="B631" s="271">
        <v>42</v>
      </c>
      <c r="D631" s="96"/>
      <c r="E631" s="96"/>
    </row>
    <row r="632" spans="1:5" ht="12.75" customHeight="1">
      <c r="A632" s="96" t="s">
        <v>27</v>
      </c>
      <c r="B632" s="271">
        <v>78</v>
      </c>
      <c r="D632" s="96"/>
      <c r="E632" s="96"/>
    </row>
    <row r="633" spans="1:5" ht="12.75" customHeight="1">
      <c r="A633" s="96" t="s">
        <v>28</v>
      </c>
      <c r="B633" s="271">
        <v>65</v>
      </c>
      <c r="D633" s="96"/>
      <c r="E633" s="96"/>
    </row>
    <row r="634" spans="1:5" ht="12.75" customHeight="1">
      <c r="A634" s="96" t="s">
        <v>29</v>
      </c>
      <c r="B634" s="271">
        <v>52</v>
      </c>
      <c r="D634" s="96"/>
      <c r="E634" s="96"/>
    </row>
    <row r="635" spans="1:5" ht="12.75" customHeight="1">
      <c r="A635" s="96" t="s">
        <v>30</v>
      </c>
      <c r="B635" s="271">
        <v>65</v>
      </c>
      <c r="D635" s="96"/>
      <c r="E635" s="96"/>
    </row>
    <row r="636" spans="1:5" ht="12.75" customHeight="1">
      <c r="A636" s="96" t="s">
        <v>31</v>
      </c>
      <c r="B636" s="271">
        <v>107</v>
      </c>
      <c r="D636" s="96"/>
      <c r="E636" s="96"/>
    </row>
    <row r="637" spans="1:5" ht="12.75" customHeight="1">
      <c r="A637" s="96" t="s">
        <v>32</v>
      </c>
      <c r="B637" s="271">
        <v>139</v>
      </c>
      <c r="D637" s="96"/>
      <c r="E637" s="96"/>
    </row>
    <row r="638" spans="1:5" ht="5.0999999999999996" customHeight="1">
      <c r="A638" s="96"/>
      <c r="B638" s="271"/>
      <c r="D638" s="96"/>
      <c r="E638" s="96"/>
    </row>
    <row r="639" spans="1:5" ht="12.75" customHeight="1">
      <c r="A639" s="93" t="s">
        <v>146</v>
      </c>
      <c r="B639" s="272">
        <v>58</v>
      </c>
      <c r="D639" s="96"/>
      <c r="E639" s="96"/>
    </row>
    <row r="640" spans="1:5" ht="5.0999999999999996" customHeight="1">
      <c r="A640" s="96"/>
      <c r="B640" s="271"/>
      <c r="D640" s="96"/>
      <c r="E640" s="96"/>
    </row>
    <row r="641" spans="1:5" ht="12.75" customHeight="1">
      <c r="A641" s="96" t="s">
        <v>21</v>
      </c>
      <c r="B641" s="271">
        <v>6</v>
      </c>
      <c r="D641" s="96"/>
      <c r="E641" s="96"/>
    </row>
    <row r="642" spans="1:5" s="92" customFormat="1" ht="12.75" customHeight="1">
      <c r="A642" s="96" t="s">
        <v>22</v>
      </c>
      <c r="B642" s="271">
        <v>4</v>
      </c>
      <c r="D642" s="96"/>
      <c r="E642" s="96"/>
    </row>
    <row r="643" spans="1:5" ht="12.75" customHeight="1">
      <c r="A643" s="96" t="s">
        <v>23</v>
      </c>
      <c r="B643" s="271">
        <v>4</v>
      </c>
      <c r="D643" s="96"/>
      <c r="E643" s="96"/>
    </row>
    <row r="644" spans="1:5" ht="12.75" customHeight="1">
      <c r="A644" s="96" t="s">
        <v>24</v>
      </c>
      <c r="B644" s="271">
        <v>1</v>
      </c>
      <c r="D644" s="96"/>
      <c r="E644" s="96"/>
    </row>
    <row r="645" spans="1:5" ht="12.75" customHeight="1">
      <c r="A645" s="96" t="s">
        <v>25</v>
      </c>
      <c r="B645" s="271">
        <v>3</v>
      </c>
      <c r="D645" s="96"/>
      <c r="E645" s="96"/>
    </row>
    <row r="646" spans="1:5" ht="12.75" customHeight="1">
      <c r="A646" s="96" t="s">
        <v>26</v>
      </c>
      <c r="B646" s="271">
        <v>6</v>
      </c>
      <c r="D646" s="96"/>
      <c r="E646" s="96"/>
    </row>
    <row r="647" spans="1:5" ht="12.75" customHeight="1">
      <c r="A647" s="96" t="s">
        <v>27</v>
      </c>
      <c r="B647" s="271">
        <v>10</v>
      </c>
      <c r="D647" s="96"/>
      <c r="E647" s="96"/>
    </row>
    <row r="648" spans="1:5" ht="12.75" customHeight="1">
      <c r="A648" s="96" t="s">
        <v>28</v>
      </c>
      <c r="B648" s="271">
        <v>5</v>
      </c>
      <c r="D648" s="96"/>
      <c r="E648" s="96"/>
    </row>
    <row r="649" spans="1:5" ht="12.75" customHeight="1">
      <c r="A649" s="96" t="s">
        <v>29</v>
      </c>
      <c r="B649" s="271">
        <v>5</v>
      </c>
      <c r="D649" s="96"/>
      <c r="E649" s="96"/>
    </row>
    <row r="650" spans="1:5" ht="12.75" customHeight="1">
      <c r="A650" s="96" t="s">
        <v>30</v>
      </c>
      <c r="B650" s="271">
        <v>5</v>
      </c>
      <c r="D650" s="96"/>
      <c r="E650" s="96"/>
    </row>
    <row r="651" spans="1:5" ht="12.75" customHeight="1">
      <c r="A651" s="96" t="s">
        <v>31</v>
      </c>
      <c r="B651" s="271">
        <v>5</v>
      </c>
      <c r="D651" s="96"/>
      <c r="E651" s="96"/>
    </row>
    <row r="652" spans="1:5" ht="12.75" customHeight="1">
      <c r="A652" s="96" t="s">
        <v>32</v>
      </c>
      <c r="B652" s="271">
        <v>4</v>
      </c>
      <c r="D652" s="96"/>
      <c r="E652" s="96"/>
    </row>
    <row r="653" spans="1:5" ht="5.0999999999999996" customHeight="1">
      <c r="A653" s="96"/>
      <c r="B653" s="271"/>
      <c r="D653" s="96"/>
      <c r="E653" s="96"/>
    </row>
    <row r="654" spans="1:5" ht="12.75" customHeight="1">
      <c r="A654" s="93" t="s">
        <v>147</v>
      </c>
      <c r="B654" s="272">
        <v>170</v>
      </c>
      <c r="D654" s="96"/>
      <c r="E654" s="96"/>
    </row>
    <row r="655" spans="1:5" ht="5.0999999999999996" customHeight="1">
      <c r="A655" s="96"/>
      <c r="B655" s="271"/>
      <c r="D655" s="96"/>
      <c r="E655" s="96"/>
    </row>
    <row r="656" spans="1:5" ht="12.75" customHeight="1">
      <c r="A656" s="96" t="s">
        <v>21</v>
      </c>
      <c r="B656" s="271">
        <v>15</v>
      </c>
      <c r="D656" s="96"/>
      <c r="E656" s="96"/>
    </row>
    <row r="657" spans="1:5" ht="12.75" customHeight="1">
      <c r="A657" s="96" t="s">
        <v>22</v>
      </c>
      <c r="B657" s="271">
        <v>25</v>
      </c>
      <c r="D657" s="96"/>
      <c r="E657" s="96"/>
    </row>
    <row r="658" spans="1:5" ht="12.75" customHeight="1">
      <c r="A658" s="96" t="s">
        <v>23</v>
      </c>
      <c r="B658" s="271">
        <v>18</v>
      </c>
      <c r="D658" s="96"/>
      <c r="E658" s="96"/>
    </row>
    <row r="659" spans="1:5" s="92" customFormat="1" ht="12.75" customHeight="1">
      <c r="A659" s="96" t="s">
        <v>24</v>
      </c>
      <c r="B659" s="271">
        <v>16</v>
      </c>
      <c r="D659" s="96"/>
      <c r="E659" s="96"/>
    </row>
    <row r="660" spans="1:5" ht="12.75" customHeight="1">
      <c r="A660" s="96" t="s">
        <v>25</v>
      </c>
      <c r="B660" s="271">
        <v>15</v>
      </c>
      <c r="D660" s="96"/>
      <c r="E660" s="96"/>
    </row>
    <row r="661" spans="1:5" ht="12.75" customHeight="1">
      <c r="A661" s="96" t="s">
        <v>26</v>
      </c>
      <c r="B661" s="271">
        <v>15</v>
      </c>
      <c r="D661" s="96"/>
      <c r="E661" s="96"/>
    </row>
    <row r="662" spans="1:5" ht="12.75" customHeight="1">
      <c r="A662" s="96" t="s">
        <v>27</v>
      </c>
      <c r="B662" s="271">
        <v>8</v>
      </c>
      <c r="D662" s="96"/>
      <c r="E662" s="96"/>
    </row>
    <row r="663" spans="1:5" ht="12.75" customHeight="1">
      <c r="A663" s="96" t="s">
        <v>28</v>
      </c>
      <c r="B663" s="271">
        <v>3</v>
      </c>
      <c r="D663" s="96"/>
      <c r="E663" s="96"/>
    </row>
    <row r="664" spans="1:5" ht="12.75" customHeight="1">
      <c r="A664" s="96" t="s">
        <v>29</v>
      </c>
      <c r="B664" s="271">
        <v>12</v>
      </c>
      <c r="D664" s="96"/>
      <c r="E664" s="96"/>
    </row>
    <row r="665" spans="1:5" ht="12.75" customHeight="1">
      <c r="A665" s="96" t="s">
        <v>30</v>
      </c>
      <c r="B665" s="271">
        <v>17</v>
      </c>
      <c r="D665" s="96"/>
      <c r="E665" s="96"/>
    </row>
    <row r="666" spans="1:5" ht="12.75" customHeight="1">
      <c r="A666" s="96" t="s">
        <v>31</v>
      </c>
      <c r="B666" s="271">
        <v>13</v>
      </c>
      <c r="D666" s="96"/>
      <c r="E666" s="96"/>
    </row>
    <row r="667" spans="1:5" ht="12.75" customHeight="1">
      <c r="A667" s="96" t="s">
        <v>32</v>
      </c>
      <c r="B667" s="271">
        <v>13</v>
      </c>
      <c r="D667" s="96"/>
      <c r="E667" s="96"/>
    </row>
    <row r="668" spans="1:5" ht="5.0999999999999996" customHeight="1">
      <c r="A668" s="96"/>
      <c r="B668" s="271"/>
      <c r="D668" s="96"/>
      <c r="E668" s="96"/>
    </row>
    <row r="669" spans="1:5" ht="12.75" customHeight="1">
      <c r="A669" s="93" t="s">
        <v>148</v>
      </c>
      <c r="B669" s="272">
        <v>33</v>
      </c>
      <c r="D669" s="96"/>
      <c r="E669" s="96"/>
    </row>
    <row r="670" spans="1:5" ht="5.0999999999999996" customHeight="1">
      <c r="A670" s="96"/>
      <c r="B670" s="271"/>
      <c r="D670" s="96"/>
      <c r="E670" s="96"/>
    </row>
    <row r="671" spans="1:5" ht="12.75" customHeight="1">
      <c r="A671" s="96" t="s">
        <v>21</v>
      </c>
      <c r="B671" s="271">
        <v>1</v>
      </c>
      <c r="D671" s="96"/>
      <c r="E671" s="96"/>
    </row>
    <row r="672" spans="1:5" ht="12.75" customHeight="1">
      <c r="A672" s="96" t="s">
        <v>22</v>
      </c>
      <c r="B672" s="271">
        <v>1</v>
      </c>
      <c r="D672" s="96"/>
      <c r="E672" s="96"/>
    </row>
    <row r="673" spans="1:5" ht="12.75" customHeight="1">
      <c r="A673" s="96" t="s">
        <v>23</v>
      </c>
      <c r="B673" s="271">
        <v>6</v>
      </c>
      <c r="D673" s="96"/>
      <c r="E673" s="96"/>
    </row>
    <row r="674" spans="1:5" ht="12.75" customHeight="1">
      <c r="A674" s="96" t="s">
        <v>24</v>
      </c>
      <c r="B674" s="271">
        <v>2</v>
      </c>
      <c r="D674" s="96"/>
      <c r="E674" s="96"/>
    </row>
    <row r="675" spans="1:5" ht="12.75" customHeight="1">
      <c r="A675" s="96" t="s">
        <v>25</v>
      </c>
      <c r="B675" s="271">
        <v>4</v>
      </c>
      <c r="D675" s="96"/>
      <c r="E675" s="96"/>
    </row>
    <row r="676" spans="1:5" s="92" customFormat="1" ht="12.75" customHeight="1">
      <c r="A676" s="96" t="s">
        <v>26</v>
      </c>
      <c r="B676" s="271">
        <v>4</v>
      </c>
      <c r="D676" s="96"/>
      <c r="E676" s="96"/>
    </row>
    <row r="677" spans="1:5" ht="12.75" customHeight="1">
      <c r="A677" s="96" t="s">
        <v>27</v>
      </c>
      <c r="B677" s="271">
        <v>2</v>
      </c>
      <c r="D677" s="96"/>
      <c r="E677" s="96"/>
    </row>
    <row r="678" spans="1:5" ht="12.75" customHeight="1">
      <c r="A678" s="96" t="s">
        <v>28</v>
      </c>
      <c r="B678" s="271">
        <v>2</v>
      </c>
      <c r="D678" s="96"/>
      <c r="E678" s="96"/>
    </row>
    <row r="679" spans="1:5" ht="12.75" customHeight="1">
      <c r="A679" s="96" t="s">
        <v>29</v>
      </c>
      <c r="B679" s="271">
        <v>2</v>
      </c>
      <c r="D679" s="96"/>
      <c r="E679" s="96"/>
    </row>
    <row r="680" spans="1:5" ht="12.75" customHeight="1">
      <c r="A680" s="96" t="s">
        <v>30</v>
      </c>
      <c r="B680" s="271">
        <v>2</v>
      </c>
      <c r="D680" s="96"/>
      <c r="E680" s="96"/>
    </row>
    <row r="681" spans="1:5" ht="12.75" customHeight="1">
      <c r="A681" s="96" t="s">
        <v>32</v>
      </c>
      <c r="B681" s="271">
        <v>7</v>
      </c>
      <c r="D681" s="96"/>
      <c r="E681" s="96"/>
    </row>
    <row r="682" spans="1:5" ht="5.0999999999999996" customHeight="1">
      <c r="A682" s="96"/>
      <c r="B682" s="271"/>
      <c r="D682" s="96"/>
      <c r="E682" s="96"/>
    </row>
    <row r="683" spans="1:5" ht="12.75" customHeight="1">
      <c r="A683" s="93" t="s">
        <v>149</v>
      </c>
      <c r="B683" s="272">
        <v>21</v>
      </c>
      <c r="D683" s="96"/>
      <c r="E683" s="96"/>
    </row>
    <row r="684" spans="1:5" ht="5.0999999999999996" customHeight="1">
      <c r="A684" s="96"/>
      <c r="B684" s="271"/>
      <c r="D684" s="96"/>
      <c r="E684" s="96"/>
    </row>
    <row r="685" spans="1:5" ht="12.75" customHeight="1">
      <c r="A685" s="96" t="s">
        <v>21</v>
      </c>
      <c r="B685" s="271">
        <v>7</v>
      </c>
      <c r="D685" s="96"/>
      <c r="E685" s="96"/>
    </row>
    <row r="686" spans="1:5" ht="12.75" customHeight="1">
      <c r="A686" s="96" t="s">
        <v>22</v>
      </c>
      <c r="B686" s="271">
        <v>5</v>
      </c>
      <c r="D686" s="96"/>
      <c r="E686" s="96"/>
    </row>
    <row r="687" spans="1:5" ht="12.75" customHeight="1">
      <c r="A687" s="96" t="s">
        <v>23</v>
      </c>
      <c r="B687" s="271">
        <v>2</v>
      </c>
      <c r="D687" s="96"/>
      <c r="E687" s="96"/>
    </row>
    <row r="688" spans="1:5" ht="12.75" customHeight="1">
      <c r="A688" s="96" t="s">
        <v>24</v>
      </c>
      <c r="B688" s="271">
        <v>1</v>
      </c>
      <c r="D688" s="96"/>
      <c r="E688" s="96"/>
    </row>
    <row r="689" spans="1:5" ht="12.75" customHeight="1">
      <c r="A689" s="96" t="s">
        <v>25</v>
      </c>
      <c r="B689" s="271">
        <v>2</v>
      </c>
      <c r="D689" s="96"/>
      <c r="E689" s="96"/>
    </row>
    <row r="690" spans="1:5" ht="12.75" customHeight="1">
      <c r="A690" s="96" t="s">
        <v>27</v>
      </c>
      <c r="B690" s="271">
        <v>1</v>
      </c>
      <c r="D690" s="96"/>
      <c r="E690" s="96"/>
    </row>
    <row r="691" spans="1:5" ht="12.75" customHeight="1">
      <c r="A691" s="96" t="s">
        <v>29</v>
      </c>
      <c r="B691" s="271">
        <v>1</v>
      </c>
      <c r="D691" s="96"/>
      <c r="E691" s="96"/>
    </row>
    <row r="692" spans="1:5" ht="12.75" customHeight="1">
      <c r="A692" s="96" t="s">
        <v>31</v>
      </c>
      <c r="B692" s="271">
        <v>1</v>
      </c>
      <c r="D692" s="96"/>
      <c r="E692" s="96"/>
    </row>
    <row r="693" spans="1:5" s="92" customFormat="1" ht="12.75" customHeight="1">
      <c r="A693" s="96" t="s">
        <v>32</v>
      </c>
      <c r="B693" s="271">
        <v>1</v>
      </c>
      <c r="D693" s="96"/>
      <c r="E693" s="96"/>
    </row>
    <row r="694" spans="1:5" s="92" customFormat="1" ht="5.0999999999999996" customHeight="1">
      <c r="A694" s="96"/>
      <c r="B694" s="271"/>
      <c r="D694" s="96"/>
      <c r="E694" s="96"/>
    </row>
    <row r="695" spans="1:5" ht="12.75" customHeight="1">
      <c r="A695" s="93" t="s">
        <v>150</v>
      </c>
      <c r="B695" s="272">
        <v>30</v>
      </c>
      <c r="D695" s="96"/>
      <c r="E695" s="96"/>
    </row>
    <row r="696" spans="1:5" ht="5.0999999999999996" customHeight="1">
      <c r="A696" s="96"/>
      <c r="B696" s="271"/>
      <c r="D696" s="96"/>
      <c r="E696" s="96"/>
    </row>
    <row r="697" spans="1:5" ht="12.75" customHeight="1">
      <c r="A697" s="96" t="s">
        <v>21</v>
      </c>
      <c r="B697" s="271">
        <v>4</v>
      </c>
      <c r="D697" s="96"/>
      <c r="E697" s="96"/>
    </row>
    <row r="698" spans="1:5" ht="12.75" customHeight="1">
      <c r="A698" s="96" t="s">
        <v>22</v>
      </c>
      <c r="B698" s="271">
        <v>2</v>
      </c>
      <c r="D698" s="96"/>
      <c r="E698" s="96"/>
    </row>
    <row r="699" spans="1:5" ht="12.75" customHeight="1">
      <c r="A699" s="96" t="s">
        <v>23</v>
      </c>
      <c r="B699" s="271">
        <v>3</v>
      </c>
      <c r="D699" s="96"/>
      <c r="E699" s="96"/>
    </row>
    <row r="700" spans="1:5" ht="12.75" customHeight="1">
      <c r="A700" s="96" t="s">
        <v>24</v>
      </c>
      <c r="B700" s="271">
        <v>2</v>
      </c>
      <c r="D700" s="96"/>
      <c r="E700" s="96"/>
    </row>
    <row r="701" spans="1:5" ht="12.75" customHeight="1">
      <c r="A701" s="96" t="s">
        <v>25</v>
      </c>
      <c r="B701" s="271">
        <v>2</v>
      </c>
      <c r="D701" s="96"/>
      <c r="E701" s="96"/>
    </row>
    <row r="702" spans="1:5" ht="12.75" customHeight="1">
      <c r="A702" s="96" t="s">
        <v>27</v>
      </c>
      <c r="B702" s="271">
        <v>4</v>
      </c>
      <c r="D702" s="96"/>
      <c r="E702" s="96"/>
    </row>
    <row r="703" spans="1:5" ht="12.75" customHeight="1">
      <c r="A703" s="96" t="s">
        <v>28</v>
      </c>
      <c r="B703" s="271">
        <v>2</v>
      </c>
      <c r="D703" s="96"/>
      <c r="E703" s="96"/>
    </row>
    <row r="704" spans="1:5" ht="12.75" customHeight="1">
      <c r="A704" s="96" t="s">
        <v>29</v>
      </c>
      <c r="B704" s="271">
        <v>2</v>
      </c>
      <c r="D704" s="96"/>
      <c r="E704" s="96"/>
    </row>
    <row r="705" spans="1:5" ht="12.75" customHeight="1">
      <c r="A705" s="96" t="s">
        <v>30</v>
      </c>
      <c r="B705" s="271">
        <v>4</v>
      </c>
      <c r="D705" s="96"/>
      <c r="E705" s="96"/>
    </row>
    <row r="706" spans="1:5" ht="12.75" customHeight="1">
      <c r="A706" s="96" t="s">
        <v>31</v>
      </c>
      <c r="B706" s="271">
        <v>4</v>
      </c>
      <c r="D706" s="96"/>
      <c r="E706" s="96"/>
    </row>
    <row r="707" spans="1:5" ht="12.75" customHeight="1">
      <c r="A707" s="96" t="s">
        <v>32</v>
      </c>
      <c r="B707" s="271">
        <v>1</v>
      </c>
      <c r="D707" s="96"/>
      <c r="E707" s="96"/>
    </row>
    <row r="708" spans="1:5" ht="5.0999999999999996" customHeight="1">
      <c r="A708" s="96"/>
      <c r="B708" s="271"/>
      <c r="D708" s="96"/>
      <c r="E708" s="96"/>
    </row>
    <row r="709" spans="1:5" ht="12.75" customHeight="1">
      <c r="A709" s="93" t="s">
        <v>151</v>
      </c>
      <c r="B709" s="272">
        <v>15</v>
      </c>
      <c r="D709" s="96"/>
      <c r="E709" s="96"/>
    </row>
    <row r="710" spans="1:5" ht="5.0999999999999996" customHeight="1">
      <c r="A710" s="96"/>
      <c r="B710" s="271"/>
      <c r="D710" s="96"/>
      <c r="E710" s="96"/>
    </row>
    <row r="711" spans="1:5" ht="12.75" customHeight="1">
      <c r="A711" s="96" t="s">
        <v>21</v>
      </c>
      <c r="B711" s="271">
        <v>2</v>
      </c>
      <c r="D711" s="96"/>
      <c r="E711" s="96"/>
    </row>
    <row r="712" spans="1:5" s="92" customFormat="1" ht="12.75" customHeight="1">
      <c r="A712" s="96" t="s">
        <v>22</v>
      </c>
      <c r="B712" s="271">
        <v>1</v>
      </c>
      <c r="D712" s="96"/>
      <c r="E712" s="96"/>
    </row>
    <row r="713" spans="1:5" ht="12.75" customHeight="1">
      <c r="A713" s="96" t="s">
        <v>23</v>
      </c>
      <c r="B713" s="271">
        <v>1</v>
      </c>
      <c r="D713" s="96"/>
      <c r="E713" s="96"/>
    </row>
    <row r="714" spans="1:5" ht="12.75" customHeight="1">
      <c r="A714" s="96" t="s">
        <v>24</v>
      </c>
      <c r="B714" s="271">
        <v>0</v>
      </c>
      <c r="D714" s="96"/>
      <c r="E714" s="96"/>
    </row>
    <row r="715" spans="1:5" ht="12.75" customHeight="1">
      <c r="A715" s="96" t="s">
        <v>25</v>
      </c>
      <c r="B715" s="271">
        <v>0</v>
      </c>
      <c r="D715" s="96"/>
      <c r="E715" s="96"/>
    </row>
    <row r="716" spans="1:5" ht="12.75" customHeight="1">
      <c r="A716" s="96" t="s">
        <v>26</v>
      </c>
      <c r="B716" s="271">
        <v>3</v>
      </c>
      <c r="D716" s="96"/>
      <c r="E716" s="96"/>
    </row>
    <row r="717" spans="1:5" ht="12.75" customHeight="1">
      <c r="A717" s="96" t="s">
        <v>27</v>
      </c>
      <c r="B717" s="271">
        <v>2</v>
      </c>
      <c r="D717" s="96"/>
      <c r="E717" s="96"/>
    </row>
    <row r="718" spans="1:5" ht="12.75" customHeight="1">
      <c r="A718" s="96" t="s">
        <v>28</v>
      </c>
      <c r="B718" s="271">
        <v>3</v>
      </c>
      <c r="D718" s="96"/>
      <c r="E718" s="96"/>
    </row>
    <row r="719" spans="1:5" ht="12.75" customHeight="1">
      <c r="A719" s="96" t="s">
        <v>30</v>
      </c>
      <c r="B719" s="271">
        <v>1</v>
      </c>
      <c r="D719" s="96"/>
      <c r="E719" s="96"/>
    </row>
    <row r="720" spans="1:5" ht="12.75" customHeight="1">
      <c r="A720" s="96" t="s">
        <v>31</v>
      </c>
      <c r="B720" s="271">
        <v>1</v>
      </c>
      <c r="D720" s="96"/>
      <c r="E720" s="96"/>
    </row>
    <row r="721" spans="1:5" ht="12.75" customHeight="1">
      <c r="A721" s="96" t="s">
        <v>32</v>
      </c>
      <c r="B721" s="271">
        <v>1</v>
      </c>
      <c r="D721" s="96"/>
      <c r="E721" s="96"/>
    </row>
    <row r="722" spans="1:5" ht="5.0999999999999996" customHeight="1">
      <c r="A722" s="96"/>
      <c r="B722" s="271"/>
      <c r="D722" s="96"/>
      <c r="E722" s="96"/>
    </row>
    <row r="723" spans="1:5" ht="12.75" customHeight="1">
      <c r="A723" s="93" t="s">
        <v>152</v>
      </c>
      <c r="B723" s="272">
        <v>8</v>
      </c>
      <c r="D723" s="96"/>
      <c r="E723" s="96"/>
    </row>
    <row r="724" spans="1:5" ht="5.0999999999999996" customHeight="1">
      <c r="A724" s="96"/>
      <c r="B724" s="271"/>
      <c r="D724" s="96"/>
      <c r="E724" s="96"/>
    </row>
    <row r="725" spans="1:5" ht="12.75" customHeight="1">
      <c r="A725" s="96" t="s">
        <v>21</v>
      </c>
      <c r="B725" s="271">
        <v>0</v>
      </c>
      <c r="D725" s="96"/>
      <c r="E725" s="96"/>
    </row>
    <row r="726" spans="1:5" ht="12.75" customHeight="1">
      <c r="A726" s="96" t="s">
        <v>22</v>
      </c>
      <c r="B726" s="271">
        <v>1</v>
      </c>
      <c r="D726" s="96"/>
      <c r="E726" s="96"/>
    </row>
    <row r="727" spans="1:5" ht="12.75" customHeight="1">
      <c r="A727" s="96" t="s">
        <v>23</v>
      </c>
      <c r="B727" s="271">
        <v>0</v>
      </c>
      <c r="D727" s="96"/>
      <c r="E727" s="96"/>
    </row>
    <row r="728" spans="1:5" ht="12.75" customHeight="1">
      <c r="A728" s="96" t="s">
        <v>24</v>
      </c>
      <c r="B728" s="271">
        <v>0</v>
      </c>
      <c r="D728" s="96"/>
      <c r="E728" s="96"/>
    </row>
    <row r="729" spans="1:5" ht="12.75" customHeight="1">
      <c r="A729" s="96" t="s">
        <v>25</v>
      </c>
      <c r="B729" s="271">
        <v>1</v>
      </c>
      <c r="D729" s="96"/>
      <c r="E729" s="96"/>
    </row>
    <row r="730" spans="1:5" ht="12.75" customHeight="1">
      <c r="A730" s="96" t="s">
        <v>26</v>
      </c>
      <c r="B730" s="271">
        <v>2</v>
      </c>
      <c r="D730" s="96"/>
      <c r="E730" s="96"/>
    </row>
    <row r="731" spans="1:5" ht="12.75" customHeight="1">
      <c r="A731" s="96" t="s">
        <v>27</v>
      </c>
      <c r="B731" s="271">
        <v>1</v>
      </c>
      <c r="D731" s="96"/>
      <c r="E731" s="96"/>
    </row>
    <row r="732" spans="1:5" ht="12.75" customHeight="1">
      <c r="A732" s="96" t="s">
        <v>28</v>
      </c>
      <c r="B732" s="271">
        <v>0</v>
      </c>
      <c r="D732" s="96"/>
      <c r="E732" s="96"/>
    </row>
    <row r="733" spans="1:5" ht="12.75" customHeight="1">
      <c r="A733" s="96" t="s">
        <v>29</v>
      </c>
      <c r="B733" s="271">
        <v>0</v>
      </c>
      <c r="D733" s="96"/>
      <c r="E733" s="96"/>
    </row>
    <row r="734" spans="1:5" ht="12.75" customHeight="1">
      <c r="A734" s="96" t="s">
        <v>30</v>
      </c>
      <c r="B734" s="271">
        <v>0</v>
      </c>
      <c r="D734" s="96"/>
      <c r="E734" s="96"/>
    </row>
    <row r="735" spans="1:5" ht="12.75" customHeight="1">
      <c r="A735" s="96" t="s">
        <v>31</v>
      </c>
      <c r="B735" s="271">
        <v>0</v>
      </c>
      <c r="D735" s="96"/>
      <c r="E735" s="96"/>
    </row>
    <row r="736" spans="1:5" ht="12.75" customHeight="1">
      <c r="A736" s="96" t="s">
        <v>32</v>
      </c>
      <c r="B736" s="271">
        <v>1</v>
      </c>
      <c r="D736" s="96"/>
      <c r="E736" s="96"/>
    </row>
    <row r="737" spans="1:5" ht="5.0999999999999996" customHeight="1">
      <c r="A737" s="96"/>
      <c r="B737" s="271"/>
      <c r="D737" s="96"/>
      <c r="E737" s="96"/>
    </row>
    <row r="738" spans="1:5" s="92" customFormat="1" ht="12.75" customHeight="1">
      <c r="A738" s="93" t="s">
        <v>615</v>
      </c>
      <c r="B738" s="272">
        <v>5</v>
      </c>
      <c r="D738" s="96"/>
      <c r="E738" s="96"/>
    </row>
    <row r="739" spans="1:5" s="92" customFormat="1" ht="5.0999999999999996" customHeight="1">
      <c r="A739" s="96"/>
      <c r="B739" s="271"/>
      <c r="D739" s="96"/>
      <c r="E739" s="96"/>
    </row>
    <row r="740" spans="1:5" ht="12.75" customHeight="1">
      <c r="A740" s="96" t="s">
        <v>21</v>
      </c>
      <c r="B740" s="271">
        <v>1</v>
      </c>
      <c r="D740" s="96"/>
      <c r="E740" s="96"/>
    </row>
    <row r="741" spans="1:5" ht="12.75" customHeight="1">
      <c r="A741" s="96" t="s">
        <v>22</v>
      </c>
      <c r="B741" s="271">
        <v>0</v>
      </c>
      <c r="D741" s="96"/>
      <c r="E741" s="96"/>
    </row>
    <row r="742" spans="1:5" ht="12.75" customHeight="1">
      <c r="A742" s="96" t="s">
        <v>23</v>
      </c>
      <c r="B742" s="271">
        <v>1</v>
      </c>
      <c r="D742" s="96"/>
      <c r="E742" s="96"/>
    </row>
    <row r="743" spans="1:5" ht="12.75" customHeight="1">
      <c r="A743" s="96" t="s">
        <v>24</v>
      </c>
      <c r="B743" s="271">
        <v>0</v>
      </c>
      <c r="D743" s="96"/>
      <c r="E743" s="96"/>
    </row>
    <row r="744" spans="1:5" ht="12.75" customHeight="1">
      <c r="A744" s="96" t="s">
        <v>25</v>
      </c>
      <c r="B744" s="271">
        <v>0</v>
      </c>
      <c r="D744" s="96"/>
      <c r="E744" s="96"/>
    </row>
    <row r="745" spans="1:5" ht="12.75" customHeight="1">
      <c r="A745" s="96" t="s">
        <v>26</v>
      </c>
      <c r="B745" s="271">
        <v>0</v>
      </c>
      <c r="D745" s="96"/>
      <c r="E745" s="96"/>
    </row>
    <row r="746" spans="1:5" ht="12.75" customHeight="1">
      <c r="A746" s="96" t="s">
        <v>27</v>
      </c>
      <c r="B746" s="271">
        <v>0</v>
      </c>
      <c r="D746" s="96"/>
      <c r="E746" s="96"/>
    </row>
    <row r="747" spans="1:5" ht="12.75" customHeight="1">
      <c r="A747" s="96" t="s">
        <v>28</v>
      </c>
      <c r="B747" s="271">
        <v>0</v>
      </c>
      <c r="D747" s="96"/>
      <c r="E747" s="96"/>
    </row>
    <row r="748" spans="1:5" ht="12.75" customHeight="1">
      <c r="A748" s="96" t="s">
        <v>29</v>
      </c>
      <c r="B748" s="271">
        <v>0</v>
      </c>
      <c r="D748" s="96"/>
      <c r="E748" s="96"/>
    </row>
    <row r="749" spans="1:5" ht="12.75" customHeight="1">
      <c r="A749" s="96" t="s">
        <v>30</v>
      </c>
      <c r="B749" s="271">
        <v>1</v>
      </c>
      <c r="D749" s="96"/>
      <c r="E749" s="96"/>
    </row>
    <row r="750" spans="1:5" ht="12.75" customHeight="1">
      <c r="A750" s="96" t="s">
        <v>31</v>
      </c>
      <c r="B750" s="271">
        <v>2</v>
      </c>
      <c r="D750" s="96"/>
      <c r="E750" s="96"/>
    </row>
    <row r="751" spans="1:5" ht="12.75" customHeight="1">
      <c r="A751" s="96" t="s">
        <v>32</v>
      </c>
      <c r="B751" s="271">
        <v>0</v>
      </c>
      <c r="D751" s="96"/>
      <c r="E751" s="96"/>
    </row>
    <row r="752" spans="1:5" ht="5.0999999999999996" customHeight="1">
      <c r="A752" s="96"/>
      <c r="B752" s="271"/>
      <c r="D752" s="96"/>
      <c r="E752" s="96"/>
    </row>
    <row r="753" spans="1:5" ht="12.75" customHeight="1">
      <c r="A753" s="93" t="s">
        <v>269</v>
      </c>
      <c r="B753" s="272">
        <v>7</v>
      </c>
      <c r="D753" s="96"/>
      <c r="E753" s="96"/>
    </row>
    <row r="754" spans="1:5" ht="5.0999999999999996" customHeight="1">
      <c r="A754" s="96"/>
      <c r="B754" s="271"/>
      <c r="D754" s="96"/>
      <c r="E754" s="96"/>
    </row>
    <row r="755" spans="1:5" ht="12.75" customHeight="1">
      <c r="A755" s="96" t="s">
        <v>21</v>
      </c>
      <c r="B755" s="271">
        <v>1</v>
      </c>
      <c r="D755" s="96"/>
      <c r="E755" s="96"/>
    </row>
    <row r="756" spans="1:5" ht="12.75" customHeight="1">
      <c r="A756" s="96" t="s">
        <v>22</v>
      </c>
      <c r="B756" s="271">
        <v>1</v>
      </c>
      <c r="D756" s="96"/>
      <c r="E756" s="96"/>
    </row>
    <row r="757" spans="1:5" ht="12.75" customHeight="1">
      <c r="A757" s="96" t="s">
        <v>23</v>
      </c>
      <c r="B757" s="271">
        <v>1</v>
      </c>
      <c r="D757" s="96"/>
      <c r="E757" s="96"/>
    </row>
    <row r="758" spans="1:5" ht="12.75" customHeight="1">
      <c r="A758" s="96" t="s">
        <v>24</v>
      </c>
      <c r="B758" s="271">
        <v>0</v>
      </c>
      <c r="D758" s="96"/>
      <c r="E758" s="96"/>
    </row>
    <row r="759" spans="1:5" ht="12.75" customHeight="1">
      <c r="A759" s="96" t="s">
        <v>25</v>
      </c>
      <c r="B759" s="271">
        <v>0</v>
      </c>
      <c r="D759" s="96"/>
      <c r="E759" s="96"/>
    </row>
    <row r="760" spans="1:5" ht="12.75" customHeight="1">
      <c r="A760" s="96" t="s">
        <v>26</v>
      </c>
      <c r="B760" s="271">
        <v>1</v>
      </c>
      <c r="D760" s="96"/>
      <c r="E760" s="96"/>
    </row>
    <row r="761" spans="1:5" ht="12.75" customHeight="1">
      <c r="A761" s="96" t="s">
        <v>27</v>
      </c>
      <c r="B761" s="271">
        <v>0</v>
      </c>
      <c r="D761" s="96"/>
      <c r="E761" s="96"/>
    </row>
    <row r="762" spans="1:5" ht="12.75" customHeight="1">
      <c r="A762" s="96" t="s">
        <v>28</v>
      </c>
      <c r="B762" s="271">
        <v>1</v>
      </c>
      <c r="D762" s="96"/>
      <c r="E762" s="96"/>
    </row>
    <row r="763" spans="1:5" ht="12.75" customHeight="1">
      <c r="A763" s="96" t="s">
        <v>29</v>
      </c>
      <c r="B763" s="271">
        <v>1</v>
      </c>
      <c r="D763" s="96"/>
      <c r="E763" s="96"/>
    </row>
    <row r="764" spans="1:5" ht="12.75" customHeight="1">
      <c r="A764" s="96" t="s">
        <v>30</v>
      </c>
      <c r="B764" s="271">
        <v>1</v>
      </c>
      <c r="D764" s="96"/>
      <c r="E764" s="96"/>
    </row>
    <row r="765" spans="1:5" ht="12.75" customHeight="1">
      <c r="A765" s="96" t="s">
        <v>31</v>
      </c>
      <c r="B765" s="271">
        <v>0</v>
      </c>
      <c r="D765" s="96"/>
      <c r="E765" s="96"/>
    </row>
    <row r="766" spans="1:5" ht="12.75" customHeight="1">
      <c r="A766" s="96" t="s">
        <v>32</v>
      </c>
      <c r="B766" s="271">
        <v>0</v>
      </c>
      <c r="D766" s="96"/>
      <c r="E766" s="96"/>
    </row>
    <row r="767" spans="1:5" ht="5.0999999999999996" customHeight="1">
      <c r="A767" s="96"/>
      <c r="B767" s="271"/>
      <c r="D767" s="96"/>
      <c r="E767" s="96"/>
    </row>
    <row r="768" spans="1:5" ht="12.75" customHeight="1">
      <c r="A768" s="93" t="s">
        <v>270</v>
      </c>
      <c r="B768" s="272">
        <v>2755</v>
      </c>
      <c r="D768" s="96"/>
      <c r="E768" s="96"/>
    </row>
    <row r="769" spans="1:5" ht="5.0999999999999996" customHeight="1">
      <c r="A769" s="96"/>
      <c r="B769" s="271"/>
      <c r="D769" s="96"/>
      <c r="E769" s="96"/>
    </row>
    <row r="770" spans="1:5" ht="12.75" customHeight="1">
      <c r="A770" s="96" t="s">
        <v>21</v>
      </c>
      <c r="B770" s="271">
        <v>229</v>
      </c>
      <c r="D770" s="96"/>
      <c r="E770" s="96"/>
    </row>
    <row r="771" spans="1:5" s="92" customFormat="1" ht="12.75" customHeight="1">
      <c r="A771" s="96" t="s">
        <v>22</v>
      </c>
      <c r="B771" s="271">
        <v>279</v>
      </c>
      <c r="D771" s="96"/>
      <c r="E771" s="96"/>
    </row>
    <row r="772" spans="1:5" ht="12.75" customHeight="1">
      <c r="A772" s="96" t="s">
        <v>23</v>
      </c>
      <c r="B772" s="271">
        <v>228</v>
      </c>
      <c r="D772" s="96"/>
      <c r="E772" s="96"/>
    </row>
    <row r="773" spans="1:5" ht="12.75" customHeight="1">
      <c r="A773" s="96" t="s">
        <v>24</v>
      </c>
      <c r="B773" s="271">
        <v>380</v>
      </c>
      <c r="D773" s="96"/>
      <c r="E773" s="96"/>
    </row>
    <row r="774" spans="1:5" ht="12.75" customHeight="1">
      <c r="A774" s="96" t="s">
        <v>25</v>
      </c>
      <c r="B774" s="271">
        <v>277</v>
      </c>
      <c r="D774" s="96"/>
      <c r="E774" s="96"/>
    </row>
    <row r="775" spans="1:5" ht="12.75" customHeight="1">
      <c r="A775" s="96" t="s">
        <v>26</v>
      </c>
      <c r="B775" s="271">
        <v>218</v>
      </c>
      <c r="D775" s="96"/>
      <c r="E775" s="96"/>
    </row>
    <row r="776" spans="1:5" ht="12.75" customHeight="1">
      <c r="A776" s="96" t="s">
        <v>27</v>
      </c>
      <c r="B776" s="271">
        <v>256</v>
      </c>
      <c r="D776" s="96"/>
      <c r="E776" s="96"/>
    </row>
    <row r="777" spans="1:5" ht="12.75" customHeight="1">
      <c r="A777" s="96" t="s">
        <v>28</v>
      </c>
      <c r="B777" s="271">
        <v>146</v>
      </c>
      <c r="D777" s="96"/>
      <c r="E777" s="96"/>
    </row>
    <row r="778" spans="1:5" ht="12.75" customHeight="1">
      <c r="A778" s="96" t="s">
        <v>29</v>
      </c>
      <c r="B778" s="271">
        <v>120</v>
      </c>
      <c r="D778" s="96"/>
      <c r="E778" s="96"/>
    </row>
    <row r="779" spans="1:5" ht="12.75" customHeight="1">
      <c r="A779" s="96" t="s">
        <v>30</v>
      </c>
      <c r="B779" s="271">
        <v>194</v>
      </c>
      <c r="D779" s="96"/>
      <c r="E779" s="96"/>
    </row>
    <row r="780" spans="1:5" ht="12.75" customHeight="1">
      <c r="A780" s="96" t="s">
        <v>31</v>
      </c>
      <c r="B780" s="271">
        <v>211</v>
      </c>
      <c r="D780" s="96"/>
      <c r="E780" s="96"/>
    </row>
    <row r="781" spans="1:5" ht="12.75" customHeight="1">
      <c r="A781" s="96" t="s">
        <v>32</v>
      </c>
      <c r="B781" s="271">
        <v>217</v>
      </c>
      <c r="D781" s="96"/>
      <c r="E781" s="96"/>
    </row>
    <row r="782" spans="1:5" ht="5.0999999999999996" customHeight="1">
      <c r="A782" s="96"/>
      <c r="B782" s="271"/>
      <c r="D782" s="96"/>
      <c r="E782" s="96"/>
    </row>
    <row r="783" spans="1:5" ht="12.75" customHeight="1">
      <c r="A783" s="93" t="s">
        <v>154</v>
      </c>
      <c r="B783" s="272">
        <v>234</v>
      </c>
      <c r="D783" s="96"/>
      <c r="E783" s="96"/>
    </row>
    <row r="784" spans="1:5" ht="5.0999999999999996" customHeight="1">
      <c r="A784" s="96"/>
      <c r="B784" s="271"/>
      <c r="D784" s="96"/>
      <c r="E784" s="96"/>
    </row>
    <row r="785" spans="1:5" ht="12.75" customHeight="1">
      <c r="A785" s="96" t="s">
        <v>21</v>
      </c>
      <c r="B785" s="271">
        <v>19</v>
      </c>
      <c r="D785" s="96"/>
      <c r="E785" s="96"/>
    </row>
    <row r="786" spans="1:5" ht="12.75" customHeight="1">
      <c r="A786" s="96" t="s">
        <v>22</v>
      </c>
      <c r="B786" s="271">
        <v>14</v>
      </c>
      <c r="D786" s="96"/>
      <c r="E786" s="96"/>
    </row>
    <row r="787" spans="1:5" ht="12.75" customHeight="1">
      <c r="A787" s="96" t="s">
        <v>23</v>
      </c>
      <c r="B787" s="271">
        <v>19</v>
      </c>
      <c r="D787" s="96"/>
      <c r="E787" s="96"/>
    </row>
    <row r="788" spans="1:5" s="92" customFormat="1" ht="12.75" customHeight="1">
      <c r="A788" s="96" t="s">
        <v>24</v>
      </c>
      <c r="B788" s="271">
        <v>27</v>
      </c>
      <c r="D788" s="96"/>
      <c r="E788" s="96"/>
    </row>
    <row r="789" spans="1:5" ht="12.75" customHeight="1">
      <c r="A789" s="96" t="s">
        <v>25</v>
      </c>
      <c r="B789" s="271">
        <v>23</v>
      </c>
      <c r="D789" s="96"/>
      <c r="E789" s="96"/>
    </row>
    <row r="790" spans="1:5" ht="12.75" customHeight="1">
      <c r="A790" s="96" t="s">
        <v>26</v>
      </c>
      <c r="B790" s="271">
        <v>20</v>
      </c>
      <c r="D790" s="96"/>
      <c r="E790" s="96"/>
    </row>
    <row r="791" spans="1:5" ht="12.75" customHeight="1">
      <c r="A791" s="96" t="s">
        <v>27</v>
      </c>
      <c r="B791" s="271">
        <v>12</v>
      </c>
      <c r="D791" s="96"/>
      <c r="E791" s="96"/>
    </row>
    <row r="792" spans="1:5" ht="12.75" customHeight="1">
      <c r="A792" s="96" t="s">
        <v>28</v>
      </c>
      <c r="B792" s="271">
        <v>13</v>
      </c>
      <c r="D792" s="96"/>
      <c r="E792" s="96"/>
    </row>
    <row r="793" spans="1:5" ht="12.75" customHeight="1">
      <c r="A793" s="96" t="s">
        <v>29</v>
      </c>
      <c r="B793" s="271">
        <v>13</v>
      </c>
      <c r="D793" s="96"/>
      <c r="E793" s="96"/>
    </row>
    <row r="794" spans="1:5" ht="12.75" customHeight="1">
      <c r="A794" s="96" t="s">
        <v>30</v>
      </c>
      <c r="B794" s="271">
        <v>28</v>
      </c>
      <c r="D794" s="96"/>
      <c r="E794" s="96"/>
    </row>
    <row r="795" spans="1:5" ht="12.75" customHeight="1">
      <c r="A795" s="96" t="s">
        <v>31</v>
      </c>
      <c r="B795" s="271">
        <v>27</v>
      </c>
      <c r="D795" s="96"/>
      <c r="E795" s="96"/>
    </row>
    <row r="796" spans="1:5" ht="12.75" customHeight="1">
      <c r="A796" s="96" t="s">
        <v>32</v>
      </c>
      <c r="B796" s="271">
        <v>19</v>
      </c>
      <c r="D796" s="96"/>
      <c r="E796" s="96"/>
    </row>
    <row r="797" spans="1:5" ht="5.0999999999999996" customHeight="1">
      <c r="A797" s="96"/>
      <c r="B797" s="271"/>
      <c r="D797" s="96"/>
      <c r="E797" s="96"/>
    </row>
    <row r="798" spans="1:5" ht="12.75" customHeight="1">
      <c r="A798" s="93" t="s">
        <v>87</v>
      </c>
      <c r="B798" s="272">
        <v>973</v>
      </c>
      <c r="D798" s="96"/>
      <c r="E798" s="96"/>
    </row>
    <row r="799" spans="1:5" ht="5.0999999999999996" customHeight="1">
      <c r="A799" s="96"/>
      <c r="B799" s="271"/>
      <c r="D799" s="96"/>
      <c r="E799" s="96"/>
    </row>
    <row r="800" spans="1:5" ht="12.75" customHeight="1">
      <c r="A800" s="96" t="s">
        <v>21</v>
      </c>
      <c r="B800" s="271">
        <v>75</v>
      </c>
      <c r="D800" s="96"/>
      <c r="E800" s="96"/>
    </row>
    <row r="801" spans="1:5" ht="12.75" customHeight="1">
      <c r="A801" s="96" t="s">
        <v>22</v>
      </c>
      <c r="B801" s="271">
        <v>64</v>
      </c>
      <c r="D801" s="96"/>
      <c r="E801" s="96"/>
    </row>
    <row r="802" spans="1:5" ht="12.75" customHeight="1">
      <c r="A802" s="96" t="s">
        <v>23</v>
      </c>
      <c r="B802" s="271">
        <v>79</v>
      </c>
      <c r="D802" s="96"/>
      <c r="E802" s="96"/>
    </row>
    <row r="803" spans="1:5" ht="12.75" customHeight="1">
      <c r="A803" s="96" t="s">
        <v>24</v>
      </c>
      <c r="B803" s="271">
        <v>84</v>
      </c>
      <c r="D803" s="96"/>
      <c r="E803" s="96"/>
    </row>
    <row r="804" spans="1:5" ht="12.75" customHeight="1">
      <c r="A804" s="96" t="s">
        <v>25</v>
      </c>
      <c r="B804" s="271">
        <v>62</v>
      </c>
      <c r="D804" s="96"/>
      <c r="E804" s="96"/>
    </row>
    <row r="805" spans="1:5" s="92" customFormat="1" ht="12.75" customHeight="1">
      <c r="A805" s="96" t="s">
        <v>26</v>
      </c>
      <c r="B805" s="271">
        <v>66</v>
      </c>
      <c r="D805" s="96"/>
      <c r="E805" s="96"/>
    </row>
    <row r="806" spans="1:5" ht="12.75" customHeight="1">
      <c r="A806" s="96" t="s">
        <v>27</v>
      </c>
      <c r="B806" s="271">
        <v>80</v>
      </c>
      <c r="D806" s="96"/>
      <c r="E806" s="96"/>
    </row>
    <row r="807" spans="1:5" ht="12.75" customHeight="1">
      <c r="A807" s="96" t="s">
        <v>28</v>
      </c>
      <c r="B807" s="271">
        <v>77</v>
      </c>
      <c r="D807" s="96"/>
      <c r="E807" s="96"/>
    </row>
    <row r="808" spans="1:5" ht="12.75" customHeight="1">
      <c r="A808" s="96" t="s">
        <v>29</v>
      </c>
      <c r="B808" s="271">
        <v>67</v>
      </c>
      <c r="D808" s="96"/>
      <c r="E808" s="96"/>
    </row>
    <row r="809" spans="1:5" ht="12.75" customHeight="1">
      <c r="A809" s="96" t="s">
        <v>30</v>
      </c>
      <c r="B809" s="271">
        <v>73</v>
      </c>
      <c r="D809" s="96"/>
      <c r="E809" s="96"/>
    </row>
    <row r="810" spans="1:5" ht="12.75" customHeight="1">
      <c r="A810" s="96" t="s">
        <v>31</v>
      </c>
      <c r="B810" s="271">
        <v>100</v>
      </c>
      <c r="D810" s="96"/>
      <c r="E810" s="96"/>
    </row>
    <row r="811" spans="1:5" ht="12.75" customHeight="1">
      <c r="A811" s="96" t="s">
        <v>32</v>
      </c>
      <c r="B811" s="271">
        <v>146</v>
      </c>
      <c r="D811" s="96"/>
      <c r="E811" s="96"/>
    </row>
    <row r="812" spans="1:5" ht="5.0999999999999996" customHeight="1">
      <c r="A812" s="96"/>
      <c r="B812" s="271"/>
      <c r="D812" s="96"/>
      <c r="E812" s="96"/>
    </row>
    <row r="813" spans="1:5" ht="12.75" customHeight="1">
      <c r="A813" s="93" t="s">
        <v>155</v>
      </c>
      <c r="B813" s="272">
        <v>51</v>
      </c>
      <c r="D813" s="96"/>
      <c r="E813" s="96"/>
    </row>
    <row r="814" spans="1:5" ht="5.0999999999999996" customHeight="1">
      <c r="A814" s="96"/>
      <c r="B814" s="271"/>
      <c r="D814" s="96"/>
      <c r="E814" s="96"/>
    </row>
    <row r="815" spans="1:5" ht="12.75" customHeight="1">
      <c r="A815" s="96" t="s">
        <v>21</v>
      </c>
      <c r="B815" s="271">
        <v>1</v>
      </c>
      <c r="D815" s="96"/>
      <c r="E815" s="96"/>
    </row>
    <row r="816" spans="1:5" ht="12.75" customHeight="1">
      <c r="A816" s="96" t="s">
        <v>22</v>
      </c>
      <c r="B816" s="271">
        <v>3</v>
      </c>
      <c r="D816" s="96"/>
      <c r="E816" s="96"/>
    </row>
    <row r="817" spans="1:5" ht="12.75" customHeight="1">
      <c r="A817" s="96" t="s">
        <v>23</v>
      </c>
      <c r="B817" s="271">
        <v>1</v>
      </c>
      <c r="D817" s="96"/>
      <c r="E817" s="96"/>
    </row>
    <row r="818" spans="1:5" ht="12.75" customHeight="1">
      <c r="A818" s="96" t="s">
        <v>24</v>
      </c>
      <c r="B818" s="271">
        <v>5</v>
      </c>
      <c r="D818" s="96"/>
      <c r="E818" s="96"/>
    </row>
    <row r="819" spans="1:5" ht="12.75" customHeight="1">
      <c r="A819" s="96" t="s">
        <v>25</v>
      </c>
      <c r="B819" s="271">
        <v>4</v>
      </c>
      <c r="D819" s="96"/>
      <c r="E819" s="96"/>
    </row>
    <row r="820" spans="1:5" ht="12.75" customHeight="1">
      <c r="A820" s="96" t="s">
        <v>26</v>
      </c>
      <c r="B820" s="271">
        <v>5</v>
      </c>
      <c r="D820" s="96"/>
      <c r="E820" s="96"/>
    </row>
    <row r="821" spans="1:5" ht="12.75" customHeight="1">
      <c r="A821" s="96" t="s">
        <v>27</v>
      </c>
      <c r="B821" s="271">
        <v>6</v>
      </c>
      <c r="D821" s="96"/>
      <c r="E821" s="96"/>
    </row>
    <row r="822" spans="1:5" s="92" customFormat="1" ht="12.75" customHeight="1">
      <c r="A822" s="96" t="s">
        <v>28</v>
      </c>
      <c r="B822" s="271">
        <v>5</v>
      </c>
      <c r="D822" s="96"/>
      <c r="E822" s="96"/>
    </row>
    <row r="823" spans="1:5" ht="12.75" customHeight="1">
      <c r="A823" s="96" t="s">
        <v>29</v>
      </c>
      <c r="B823" s="271">
        <v>4</v>
      </c>
      <c r="D823" s="96"/>
      <c r="E823" s="96"/>
    </row>
    <row r="824" spans="1:5" ht="12.75" customHeight="1">
      <c r="A824" s="96" t="s">
        <v>30</v>
      </c>
      <c r="B824" s="271">
        <v>5</v>
      </c>
      <c r="D824" s="96"/>
      <c r="E824" s="96"/>
    </row>
    <row r="825" spans="1:5" ht="12.75" customHeight="1">
      <c r="A825" s="96" t="s">
        <v>32</v>
      </c>
      <c r="B825" s="271">
        <v>12</v>
      </c>
      <c r="D825" s="96"/>
      <c r="E825" s="96"/>
    </row>
    <row r="826" spans="1:5" ht="5.0999999999999996" customHeight="1">
      <c r="A826" s="96"/>
      <c r="B826" s="271"/>
      <c r="D826" s="96"/>
      <c r="E826" s="96"/>
    </row>
    <row r="827" spans="1:5" ht="12.75" customHeight="1">
      <c r="A827" s="93" t="s">
        <v>88</v>
      </c>
      <c r="B827" s="272">
        <v>1236</v>
      </c>
      <c r="D827" s="96"/>
      <c r="E827" s="96"/>
    </row>
    <row r="828" spans="1:5" ht="5.0999999999999996" customHeight="1">
      <c r="A828" s="96"/>
      <c r="B828" s="271"/>
      <c r="D828" s="96"/>
      <c r="E828" s="96"/>
    </row>
    <row r="829" spans="1:5" ht="12.75" customHeight="1">
      <c r="A829" s="96" t="s">
        <v>21</v>
      </c>
      <c r="B829" s="271">
        <v>108</v>
      </c>
      <c r="D829" s="96"/>
      <c r="E829" s="96"/>
    </row>
    <row r="830" spans="1:5" ht="12.75" customHeight="1">
      <c r="A830" s="96" t="s">
        <v>22</v>
      </c>
      <c r="B830" s="271">
        <v>90</v>
      </c>
      <c r="D830" s="96"/>
      <c r="E830" s="96"/>
    </row>
    <row r="831" spans="1:5" ht="12.75" customHeight="1">
      <c r="A831" s="96" t="s">
        <v>23</v>
      </c>
      <c r="B831" s="271">
        <v>115</v>
      </c>
      <c r="D831" s="96"/>
      <c r="E831" s="96"/>
    </row>
    <row r="832" spans="1:5" ht="12.75" customHeight="1">
      <c r="A832" s="96" t="s">
        <v>24</v>
      </c>
      <c r="B832" s="271">
        <v>93</v>
      </c>
      <c r="D832" s="96"/>
      <c r="E832" s="96"/>
    </row>
    <row r="833" spans="1:5" ht="12.75" customHeight="1">
      <c r="A833" s="96" t="s">
        <v>25</v>
      </c>
      <c r="B833" s="271">
        <v>81</v>
      </c>
      <c r="D833" s="96"/>
      <c r="E833" s="96"/>
    </row>
    <row r="834" spans="1:5" ht="12.75" customHeight="1">
      <c r="A834" s="96" t="s">
        <v>26</v>
      </c>
      <c r="B834" s="271">
        <v>82</v>
      </c>
      <c r="D834" s="96"/>
      <c r="E834" s="96"/>
    </row>
    <row r="835" spans="1:5" ht="12.75" customHeight="1">
      <c r="A835" s="96" t="s">
        <v>27</v>
      </c>
      <c r="B835" s="271">
        <v>106</v>
      </c>
      <c r="D835" s="96"/>
      <c r="E835" s="96"/>
    </row>
    <row r="836" spans="1:5" ht="12.75" customHeight="1">
      <c r="A836" s="96" t="s">
        <v>28</v>
      </c>
      <c r="B836" s="271">
        <v>103</v>
      </c>
      <c r="D836" s="96"/>
      <c r="E836" s="96"/>
    </row>
    <row r="837" spans="1:5" ht="12.75" customHeight="1">
      <c r="A837" s="96" t="s">
        <v>29</v>
      </c>
      <c r="B837" s="271">
        <v>96</v>
      </c>
      <c r="D837" s="96"/>
      <c r="E837" s="96"/>
    </row>
    <row r="838" spans="1:5" ht="12.75" customHeight="1">
      <c r="A838" s="96" t="s">
        <v>30</v>
      </c>
      <c r="B838" s="271">
        <v>93</v>
      </c>
      <c r="D838" s="96"/>
      <c r="E838" s="96"/>
    </row>
    <row r="839" spans="1:5" s="92" customFormat="1" ht="12.75" customHeight="1">
      <c r="A839" s="96" t="s">
        <v>31</v>
      </c>
      <c r="B839" s="271">
        <v>85</v>
      </c>
      <c r="D839" s="96"/>
      <c r="E839" s="96"/>
    </row>
    <row r="840" spans="1:5" ht="12.75" customHeight="1">
      <c r="A840" s="96" t="s">
        <v>32</v>
      </c>
      <c r="B840" s="271">
        <v>184</v>
      </c>
      <c r="D840" s="96"/>
      <c r="E840" s="96"/>
    </row>
    <row r="841" spans="1:5" ht="5.0999999999999996" customHeight="1">
      <c r="A841" s="96"/>
      <c r="B841" s="271"/>
      <c r="D841" s="96"/>
      <c r="E841" s="96"/>
    </row>
    <row r="842" spans="1:5" ht="12.75" customHeight="1">
      <c r="A842" s="93" t="s">
        <v>156</v>
      </c>
      <c r="B842" s="272">
        <v>193</v>
      </c>
      <c r="D842" s="96"/>
      <c r="E842" s="96"/>
    </row>
    <row r="843" spans="1:5" ht="5.0999999999999996" customHeight="1">
      <c r="A843" s="96"/>
      <c r="B843" s="271"/>
      <c r="D843" s="96"/>
      <c r="E843" s="96"/>
    </row>
    <row r="844" spans="1:5" ht="12.75" customHeight="1">
      <c r="A844" s="96" t="s">
        <v>21</v>
      </c>
      <c r="B844" s="271">
        <v>13</v>
      </c>
      <c r="D844" s="96"/>
      <c r="E844" s="96"/>
    </row>
    <row r="845" spans="1:5" ht="12.75" customHeight="1">
      <c r="A845" s="96" t="s">
        <v>22</v>
      </c>
      <c r="B845" s="271">
        <v>13</v>
      </c>
      <c r="D845" s="96"/>
      <c r="E845" s="96"/>
    </row>
    <row r="846" spans="1:5" ht="12.75" customHeight="1">
      <c r="A846" s="96" t="s">
        <v>23</v>
      </c>
      <c r="B846" s="271">
        <v>23</v>
      </c>
      <c r="D846" s="96"/>
      <c r="E846" s="96"/>
    </row>
    <row r="847" spans="1:5" ht="12.75" customHeight="1">
      <c r="A847" s="96" t="s">
        <v>24</v>
      </c>
      <c r="B847" s="271">
        <v>10</v>
      </c>
      <c r="D847" s="96"/>
      <c r="E847" s="96"/>
    </row>
    <row r="848" spans="1:5" ht="12.75" customHeight="1">
      <c r="A848" s="96" t="s">
        <v>25</v>
      </c>
      <c r="B848" s="271">
        <v>7</v>
      </c>
      <c r="D848" s="96"/>
      <c r="E848" s="96"/>
    </row>
    <row r="849" spans="1:5" ht="12.75" customHeight="1">
      <c r="A849" s="96" t="s">
        <v>26</v>
      </c>
      <c r="B849" s="271">
        <v>14</v>
      </c>
      <c r="D849" s="96"/>
      <c r="E849" s="96"/>
    </row>
    <row r="850" spans="1:5" ht="12.75" customHeight="1">
      <c r="A850" s="96" t="s">
        <v>27</v>
      </c>
      <c r="B850" s="271">
        <v>13</v>
      </c>
      <c r="D850" s="96"/>
      <c r="E850" s="96"/>
    </row>
    <row r="851" spans="1:5" ht="12.75" customHeight="1">
      <c r="A851" s="96" t="s">
        <v>28</v>
      </c>
      <c r="B851" s="271">
        <v>12</v>
      </c>
      <c r="D851" s="96"/>
      <c r="E851" s="96"/>
    </row>
    <row r="852" spans="1:5" ht="12.75" customHeight="1">
      <c r="A852" s="96" t="s">
        <v>29</v>
      </c>
      <c r="B852" s="271">
        <v>21</v>
      </c>
      <c r="D852" s="96"/>
      <c r="E852" s="96"/>
    </row>
    <row r="853" spans="1:5" ht="12.75" customHeight="1">
      <c r="A853" s="96" t="s">
        <v>30</v>
      </c>
      <c r="B853" s="271">
        <v>12</v>
      </c>
      <c r="D853" s="96"/>
      <c r="E853" s="96"/>
    </row>
    <row r="854" spans="1:5" ht="12.75" customHeight="1">
      <c r="A854" s="96" t="s">
        <v>31</v>
      </c>
      <c r="B854" s="271">
        <v>20</v>
      </c>
      <c r="D854" s="96"/>
      <c r="E854" s="96"/>
    </row>
    <row r="855" spans="1:5" ht="12.75" customHeight="1">
      <c r="A855" s="96" t="s">
        <v>32</v>
      </c>
      <c r="B855" s="271">
        <v>35</v>
      </c>
      <c r="D855" s="96"/>
      <c r="E855" s="96"/>
    </row>
    <row r="856" spans="1:5" ht="5.0999999999999996" customHeight="1">
      <c r="A856" s="96"/>
      <c r="B856" s="271"/>
      <c r="D856" s="96"/>
      <c r="E856" s="96"/>
    </row>
    <row r="857" spans="1:5" s="92" customFormat="1" ht="12.75" customHeight="1">
      <c r="A857" s="93" t="s">
        <v>157</v>
      </c>
      <c r="B857" s="272">
        <v>418</v>
      </c>
      <c r="D857" s="96"/>
      <c r="E857" s="96"/>
    </row>
    <row r="858" spans="1:5" s="92" customFormat="1" ht="5.0999999999999996" customHeight="1">
      <c r="A858" s="96"/>
      <c r="B858" s="271"/>
      <c r="D858" s="96"/>
      <c r="E858" s="96"/>
    </row>
    <row r="859" spans="1:5" ht="12.75" customHeight="1">
      <c r="A859" s="96" t="s">
        <v>21</v>
      </c>
      <c r="B859" s="271">
        <v>31</v>
      </c>
      <c r="D859" s="96"/>
      <c r="E859" s="96"/>
    </row>
    <row r="860" spans="1:5" ht="12.75" customHeight="1">
      <c r="A860" s="96" t="s">
        <v>22</v>
      </c>
      <c r="B860" s="271">
        <v>38</v>
      </c>
      <c r="D860" s="96"/>
      <c r="E860" s="96"/>
    </row>
    <row r="861" spans="1:5" ht="12.75" customHeight="1">
      <c r="A861" s="96" t="s">
        <v>23</v>
      </c>
      <c r="B861" s="271">
        <v>39</v>
      </c>
      <c r="D861" s="96"/>
      <c r="E861" s="96"/>
    </row>
    <row r="862" spans="1:5" ht="12.75" customHeight="1">
      <c r="A862" s="96" t="s">
        <v>24</v>
      </c>
      <c r="B862" s="271">
        <v>32</v>
      </c>
      <c r="D862" s="96"/>
      <c r="E862" s="96"/>
    </row>
    <row r="863" spans="1:5" ht="12.75" customHeight="1">
      <c r="A863" s="96" t="s">
        <v>25</v>
      </c>
      <c r="B863" s="271">
        <v>20</v>
      </c>
      <c r="D863" s="96"/>
      <c r="E863" s="96"/>
    </row>
    <row r="864" spans="1:5" ht="12.75" customHeight="1">
      <c r="A864" s="96" t="s">
        <v>26</v>
      </c>
      <c r="B864" s="271">
        <v>29</v>
      </c>
      <c r="D864" s="96"/>
      <c r="E864" s="96"/>
    </row>
    <row r="865" spans="1:5" ht="12.75" customHeight="1">
      <c r="A865" s="96" t="s">
        <v>27</v>
      </c>
      <c r="B865" s="271">
        <v>38</v>
      </c>
      <c r="D865" s="96"/>
      <c r="E865" s="96"/>
    </row>
    <row r="866" spans="1:5" ht="12.75" customHeight="1">
      <c r="A866" s="96" t="s">
        <v>28</v>
      </c>
      <c r="B866" s="271">
        <v>40</v>
      </c>
      <c r="D866" s="96"/>
      <c r="E866" s="96"/>
    </row>
    <row r="867" spans="1:5" ht="12.75" customHeight="1">
      <c r="A867" s="96" t="s">
        <v>29</v>
      </c>
      <c r="B867" s="271">
        <v>43</v>
      </c>
      <c r="D867" s="96"/>
      <c r="E867" s="96"/>
    </row>
    <row r="868" spans="1:5" ht="12.75" customHeight="1">
      <c r="A868" s="96" t="s">
        <v>30</v>
      </c>
      <c r="B868" s="271">
        <v>27</v>
      </c>
      <c r="D868" s="96"/>
      <c r="E868" s="96"/>
    </row>
    <row r="869" spans="1:5" ht="12.75" customHeight="1">
      <c r="A869" s="96" t="s">
        <v>31</v>
      </c>
      <c r="B869" s="271">
        <v>30</v>
      </c>
      <c r="D869" s="96"/>
      <c r="E869" s="96"/>
    </row>
    <row r="870" spans="1:5" ht="12.75" customHeight="1">
      <c r="A870" s="96" t="s">
        <v>32</v>
      </c>
      <c r="B870" s="271">
        <v>51</v>
      </c>
      <c r="D870" s="96"/>
      <c r="E870" s="96"/>
    </row>
    <row r="871" spans="1:5" ht="5.0999999999999996" customHeight="1">
      <c r="A871" s="96"/>
      <c r="B871" s="271"/>
      <c r="D871" s="96"/>
      <c r="E871" s="96"/>
    </row>
    <row r="872" spans="1:5" ht="12.75" customHeight="1">
      <c r="A872" s="93" t="s">
        <v>158</v>
      </c>
      <c r="B872" s="272">
        <v>95</v>
      </c>
      <c r="D872" s="96"/>
      <c r="E872" s="96"/>
    </row>
    <row r="873" spans="1:5" ht="5.0999999999999996" customHeight="1">
      <c r="A873" s="96"/>
      <c r="B873" s="271"/>
      <c r="D873" s="96"/>
      <c r="E873" s="96"/>
    </row>
    <row r="874" spans="1:5" ht="12.75" customHeight="1">
      <c r="A874" s="96" t="s">
        <v>21</v>
      </c>
      <c r="B874" s="271">
        <v>8</v>
      </c>
      <c r="D874" s="96"/>
      <c r="E874" s="96"/>
    </row>
    <row r="875" spans="1:5" s="92" customFormat="1" ht="12.75" customHeight="1">
      <c r="A875" s="96" t="s">
        <v>22</v>
      </c>
      <c r="B875" s="271">
        <v>8</v>
      </c>
      <c r="D875" s="96"/>
      <c r="E875" s="96"/>
    </row>
    <row r="876" spans="1:5" ht="12.75" customHeight="1">
      <c r="A876" s="96" t="s">
        <v>23</v>
      </c>
      <c r="B876" s="271">
        <v>7</v>
      </c>
      <c r="D876" s="96"/>
      <c r="E876" s="96"/>
    </row>
    <row r="877" spans="1:5" ht="12.75" customHeight="1">
      <c r="A877" s="96" t="s">
        <v>24</v>
      </c>
      <c r="B877" s="271">
        <v>1</v>
      </c>
      <c r="D877" s="96"/>
      <c r="E877" s="96"/>
    </row>
    <row r="878" spans="1:5" ht="12.75" customHeight="1">
      <c r="A878" s="96" t="s">
        <v>25</v>
      </c>
      <c r="B878" s="271">
        <v>7</v>
      </c>
      <c r="D878" s="96"/>
      <c r="E878" s="96"/>
    </row>
    <row r="879" spans="1:5" ht="12.75" customHeight="1">
      <c r="A879" s="96" t="s">
        <v>26</v>
      </c>
      <c r="B879" s="271">
        <v>5</v>
      </c>
      <c r="D879" s="96"/>
      <c r="E879" s="96"/>
    </row>
    <row r="880" spans="1:5" ht="12.75" customHeight="1">
      <c r="A880" s="96" t="s">
        <v>27</v>
      </c>
      <c r="B880" s="271">
        <v>11</v>
      </c>
      <c r="D880" s="96"/>
      <c r="E880" s="96"/>
    </row>
    <row r="881" spans="1:5" ht="12.75" customHeight="1">
      <c r="A881" s="96" t="s">
        <v>28</v>
      </c>
      <c r="B881" s="271">
        <v>7</v>
      </c>
      <c r="D881" s="96"/>
      <c r="E881" s="96"/>
    </row>
    <row r="882" spans="1:5" ht="12.75" customHeight="1">
      <c r="A882" s="96" t="s">
        <v>29</v>
      </c>
      <c r="B882" s="271">
        <v>12</v>
      </c>
      <c r="D882" s="96"/>
      <c r="E882" s="96"/>
    </row>
    <row r="883" spans="1:5" ht="12.75" customHeight="1">
      <c r="A883" s="96" t="s">
        <v>30</v>
      </c>
      <c r="B883" s="271">
        <v>9</v>
      </c>
      <c r="D883" s="96"/>
      <c r="E883" s="96"/>
    </row>
    <row r="884" spans="1:5" ht="12.75" customHeight="1">
      <c r="A884" s="96" t="s">
        <v>31</v>
      </c>
      <c r="B884" s="271">
        <v>5</v>
      </c>
      <c r="D884" s="96"/>
      <c r="E884" s="96"/>
    </row>
    <row r="885" spans="1:5" ht="12.75" customHeight="1">
      <c r="A885" s="96" t="s">
        <v>32</v>
      </c>
      <c r="B885" s="271">
        <v>15</v>
      </c>
      <c r="D885" s="96"/>
      <c r="E885" s="96"/>
    </row>
    <row r="886" spans="1:5" ht="5.0999999999999996" customHeight="1">
      <c r="A886" s="96"/>
      <c r="B886" s="271"/>
      <c r="D886" s="96"/>
      <c r="E886" s="96"/>
    </row>
    <row r="887" spans="1:5" ht="12.75" customHeight="1">
      <c r="A887" s="93" t="s">
        <v>159</v>
      </c>
      <c r="B887" s="272">
        <v>290</v>
      </c>
      <c r="D887" s="96"/>
      <c r="E887" s="96"/>
    </row>
    <row r="888" spans="1:5" ht="5.0999999999999996" customHeight="1">
      <c r="A888" s="96"/>
      <c r="B888" s="271"/>
      <c r="D888" s="96"/>
      <c r="E888" s="96"/>
    </row>
    <row r="889" spans="1:5" ht="12.75" customHeight="1">
      <c r="A889" s="96" t="s">
        <v>21</v>
      </c>
      <c r="B889" s="271">
        <v>32</v>
      </c>
      <c r="D889" s="96"/>
      <c r="E889" s="96"/>
    </row>
    <row r="890" spans="1:5" ht="12.75" customHeight="1">
      <c r="A890" s="96" t="s">
        <v>22</v>
      </c>
      <c r="B890" s="271">
        <v>29</v>
      </c>
      <c r="D890" s="96"/>
      <c r="E890" s="96"/>
    </row>
    <row r="891" spans="1:5" ht="12.75" customHeight="1">
      <c r="A891" s="96" t="s">
        <v>23</v>
      </c>
      <c r="B891" s="271">
        <v>46</v>
      </c>
      <c r="D891" s="96"/>
      <c r="E891" s="96"/>
    </row>
    <row r="892" spans="1:5" s="92" customFormat="1" ht="12.75" customHeight="1">
      <c r="A892" s="96" t="s">
        <v>24</v>
      </c>
      <c r="B892" s="271">
        <v>22</v>
      </c>
      <c r="D892" s="96"/>
      <c r="E892" s="96"/>
    </row>
    <row r="893" spans="1:5" ht="12.75" customHeight="1">
      <c r="A893" s="96" t="s">
        <v>25</v>
      </c>
      <c r="B893" s="271">
        <v>14</v>
      </c>
      <c r="D893" s="96"/>
      <c r="E893" s="96"/>
    </row>
    <row r="894" spans="1:5" ht="12.75" customHeight="1">
      <c r="A894" s="96" t="s">
        <v>26</v>
      </c>
      <c r="B894" s="271">
        <v>15</v>
      </c>
      <c r="D894" s="96"/>
      <c r="E894" s="96"/>
    </row>
    <row r="895" spans="1:5" ht="12.75" customHeight="1">
      <c r="A895" s="96" t="s">
        <v>27</v>
      </c>
      <c r="B895" s="271">
        <v>21</v>
      </c>
      <c r="D895" s="96"/>
      <c r="E895" s="96"/>
    </row>
    <row r="896" spans="1:5" ht="12.75" customHeight="1">
      <c r="A896" s="96" t="s">
        <v>28</v>
      </c>
      <c r="B896" s="271">
        <v>27</v>
      </c>
      <c r="D896" s="96"/>
      <c r="E896" s="96"/>
    </row>
    <row r="897" spans="1:5" ht="12.75" customHeight="1">
      <c r="A897" s="96" t="s">
        <v>29</v>
      </c>
      <c r="B897" s="271">
        <v>21</v>
      </c>
      <c r="D897" s="96"/>
      <c r="E897" s="96"/>
    </row>
    <row r="898" spans="1:5" ht="12.75" customHeight="1">
      <c r="A898" s="96" t="s">
        <v>30</v>
      </c>
      <c r="B898" s="271">
        <v>12</v>
      </c>
      <c r="D898" s="96"/>
      <c r="E898" s="96"/>
    </row>
    <row r="899" spans="1:5" ht="12.75" customHeight="1">
      <c r="A899" s="96" t="s">
        <v>31</v>
      </c>
      <c r="B899" s="271">
        <v>18</v>
      </c>
      <c r="D899" s="96"/>
      <c r="E899" s="96"/>
    </row>
    <row r="900" spans="1:5" ht="12.75" customHeight="1">
      <c r="A900" s="96" t="s">
        <v>32</v>
      </c>
      <c r="B900" s="271">
        <v>33</v>
      </c>
      <c r="D900" s="96"/>
      <c r="E900" s="96"/>
    </row>
    <row r="901" spans="1:5" ht="5.0999999999999996" customHeight="1">
      <c r="A901" s="96"/>
      <c r="B901" s="271"/>
      <c r="D901" s="96"/>
      <c r="E901" s="96"/>
    </row>
    <row r="902" spans="1:5" ht="12.75" customHeight="1">
      <c r="A902" s="93" t="s">
        <v>160</v>
      </c>
      <c r="B902" s="272">
        <v>95</v>
      </c>
      <c r="D902" s="96"/>
      <c r="E902" s="96"/>
    </row>
    <row r="903" spans="1:5" ht="5.0999999999999996" customHeight="1">
      <c r="A903" s="96"/>
      <c r="B903" s="271"/>
      <c r="D903" s="96"/>
      <c r="E903" s="96"/>
    </row>
    <row r="904" spans="1:5" ht="12.75" customHeight="1">
      <c r="A904" s="96" t="s">
        <v>21</v>
      </c>
      <c r="B904" s="271">
        <v>9</v>
      </c>
      <c r="D904" s="96"/>
      <c r="E904" s="96"/>
    </row>
    <row r="905" spans="1:5" ht="12.75" customHeight="1">
      <c r="A905" s="96" t="s">
        <v>22</v>
      </c>
      <c r="B905" s="271">
        <v>8</v>
      </c>
      <c r="D905" s="96"/>
      <c r="E905" s="96"/>
    </row>
    <row r="906" spans="1:5" ht="12.75" customHeight="1">
      <c r="A906" s="96" t="s">
        <v>23</v>
      </c>
      <c r="B906" s="271">
        <v>2</v>
      </c>
      <c r="D906" s="96"/>
      <c r="E906" s="96"/>
    </row>
    <row r="907" spans="1:5" ht="12.75" customHeight="1">
      <c r="A907" s="96" t="s">
        <v>24</v>
      </c>
      <c r="B907" s="271">
        <v>11</v>
      </c>
      <c r="D907" s="96"/>
      <c r="E907" s="96"/>
    </row>
    <row r="908" spans="1:5" ht="12.75" customHeight="1">
      <c r="A908" s="96" t="s">
        <v>25</v>
      </c>
      <c r="B908" s="271">
        <v>5</v>
      </c>
      <c r="D908" s="96"/>
      <c r="E908" s="96"/>
    </row>
    <row r="909" spans="1:5" s="92" customFormat="1" ht="12.75" customHeight="1">
      <c r="A909" s="96" t="s">
        <v>26</v>
      </c>
      <c r="B909" s="271">
        <v>11</v>
      </c>
      <c r="D909" s="96"/>
      <c r="E909" s="96"/>
    </row>
    <row r="910" spans="1:5" ht="12.75" customHeight="1">
      <c r="A910" s="96" t="s">
        <v>27</v>
      </c>
      <c r="B910" s="271">
        <v>8</v>
      </c>
      <c r="D910" s="96"/>
      <c r="E910" s="96"/>
    </row>
    <row r="911" spans="1:5" ht="12.75" customHeight="1">
      <c r="A911" s="96" t="s">
        <v>28</v>
      </c>
      <c r="B911" s="271">
        <v>9</v>
      </c>
      <c r="D911" s="96"/>
      <c r="E911" s="96"/>
    </row>
    <row r="912" spans="1:5" ht="12.75" customHeight="1">
      <c r="A912" s="96" t="s">
        <v>29</v>
      </c>
      <c r="B912" s="271">
        <v>6</v>
      </c>
      <c r="D912" s="96"/>
      <c r="E912" s="96"/>
    </row>
    <row r="913" spans="1:5" ht="12.75" customHeight="1">
      <c r="A913" s="96" t="s">
        <v>30</v>
      </c>
      <c r="B913" s="271">
        <v>4</v>
      </c>
      <c r="D913" s="96"/>
      <c r="E913" s="96"/>
    </row>
    <row r="914" spans="1:5" ht="12.75" customHeight="1">
      <c r="A914" s="96" t="s">
        <v>31</v>
      </c>
      <c r="B914" s="271">
        <v>8</v>
      </c>
      <c r="D914" s="96"/>
      <c r="E914" s="96"/>
    </row>
    <row r="915" spans="1:5" ht="12.75" customHeight="1">
      <c r="A915" s="96" t="s">
        <v>32</v>
      </c>
      <c r="B915" s="271">
        <v>14</v>
      </c>
      <c r="D915" s="96"/>
      <c r="E915" s="96"/>
    </row>
    <row r="916" spans="1:5" ht="5.0999999999999996" customHeight="1">
      <c r="A916" s="96"/>
      <c r="B916" s="271"/>
      <c r="D916" s="96"/>
      <c r="E916" s="96"/>
    </row>
    <row r="917" spans="1:5">
      <c r="A917" s="93" t="s">
        <v>161</v>
      </c>
      <c r="B917" s="272">
        <v>155</v>
      </c>
      <c r="D917" s="96"/>
      <c r="E917" s="96"/>
    </row>
    <row r="918" spans="1:5" ht="5.0999999999999996" customHeight="1">
      <c r="A918" s="96"/>
      <c r="B918" s="271"/>
      <c r="D918" s="96"/>
      <c r="E918" s="96"/>
    </row>
    <row r="919" spans="1:5" ht="12.75" customHeight="1">
      <c r="A919" s="96" t="s">
        <v>21</v>
      </c>
      <c r="B919" s="271">
        <v>16</v>
      </c>
      <c r="D919" s="96"/>
      <c r="E919" s="96"/>
    </row>
    <row r="920" spans="1:5" ht="12.75" customHeight="1">
      <c r="A920" s="96" t="s">
        <v>22</v>
      </c>
      <c r="B920" s="271">
        <v>14</v>
      </c>
      <c r="D920" s="96"/>
      <c r="E920" s="96"/>
    </row>
    <row r="921" spans="1:5" ht="12.75" customHeight="1">
      <c r="A921" s="96" t="s">
        <v>23</v>
      </c>
      <c r="B921" s="271">
        <v>14</v>
      </c>
      <c r="D921" s="96"/>
      <c r="E921" s="96"/>
    </row>
    <row r="922" spans="1:5" ht="12.75" customHeight="1">
      <c r="A922" s="96" t="s">
        <v>24</v>
      </c>
      <c r="B922" s="271">
        <v>9</v>
      </c>
      <c r="D922" s="96"/>
      <c r="E922" s="96"/>
    </row>
    <row r="923" spans="1:5" ht="12.75" customHeight="1">
      <c r="A923" s="96" t="s">
        <v>25</v>
      </c>
      <c r="B923" s="271">
        <v>10</v>
      </c>
      <c r="D923" s="96"/>
      <c r="E923" s="96"/>
    </row>
    <row r="924" spans="1:5" ht="12.75" customHeight="1">
      <c r="A924" s="96" t="s">
        <v>26</v>
      </c>
      <c r="B924" s="271">
        <v>11</v>
      </c>
      <c r="D924" s="96"/>
      <c r="E924" s="96"/>
    </row>
    <row r="925" spans="1:5" ht="12.75" customHeight="1">
      <c r="A925" s="96" t="s">
        <v>27</v>
      </c>
      <c r="B925" s="271">
        <v>12</v>
      </c>
      <c r="D925" s="96"/>
      <c r="E925" s="96"/>
    </row>
    <row r="926" spans="1:5" s="92" customFormat="1" ht="12.75" customHeight="1">
      <c r="A926" s="96" t="s">
        <v>28</v>
      </c>
      <c r="B926" s="271">
        <v>12</v>
      </c>
      <c r="D926" s="96"/>
      <c r="E926" s="96"/>
    </row>
    <row r="927" spans="1:5" ht="12.75" customHeight="1">
      <c r="A927" s="96" t="s">
        <v>29</v>
      </c>
      <c r="B927" s="271">
        <v>10</v>
      </c>
      <c r="D927" s="96"/>
      <c r="E927" s="96"/>
    </row>
    <row r="928" spans="1:5" ht="12.75" customHeight="1">
      <c r="A928" s="96" t="s">
        <v>30</v>
      </c>
      <c r="B928" s="271">
        <v>14</v>
      </c>
      <c r="D928" s="96"/>
      <c r="E928" s="96"/>
    </row>
    <row r="929" spans="1:5" ht="12.75" customHeight="1">
      <c r="A929" s="96" t="s">
        <v>31</v>
      </c>
      <c r="B929" s="271">
        <v>16</v>
      </c>
      <c r="D929" s="96"/>
      <c r="E929" s="96"/>
    </row>
    <row r="930" spans="1:5" ht="12.75" customHeight="1">
      <c r="A930" s="96" t="s">
        <v>32</v>
      </c>
      <c r="B930" s="271">
        <v>17</v>
      </c>
      <c r="D930" s="96"/>
      <c r="E930" s="96"/>
    </row>
    <row r="931" spans="1:5" ht="5.0999999999999996" customHeight="1">
      <c r="A931" s="96"/>
      <c r="B931" s="271"/>
      <c r="D931" s="96"/>
      <c r="E931" s="96"/>
    </row>
    <row r="932" spans="1:5" ht="12.75" customHeight="1">
      <c r="A932" s="93" t="s">
        <v>369</v>
      </c>
      <c r="B932" s="272">
        <v>114</v>
      </c>
      <c r="D932" s="96"/>
      <c r="E932" s="96"/>
    </row>
    <row r="933" spans="1:5" ht="5.0999999999999996" customHeight="1">
      <c r="A933" s="96"/>
      <c r="B933" s="271"/>
      <c r="D933" s="96"/>
      <c r="E933" s="96"/>
    </row>
    <row r="934" spans="1:5" ht="12.75" customHeight="1">
      <c r="A934" s="96" t="s">
        <v>21</v>
      </c>
      <c r="B934" s="271">
        <v>9</v>
      </c>
      <c r="D934" s="96"/>
      <c r="E934" s="96"/>
    </row>
    <row r="935" spans="1:5" ht="12.75" customHeight="1">
      <c r="A935" s="96" t="s">
        <v>22</v>
      </c>
      <c r="B935" s="271">
        <v>12</v>
      </c>
      <c r="D935" s="96"/>
      <c r="E935" s="96"/>
    </row>
    <row r="936" spans="1:5" ht="12.75" customHeight="1">
      <c r="A936" s="96" t="s">
        <v>23</v>
      </c>
      <c r="B936" s="271">
        <v>9</v>
      </c>
      <c r="D936" s="96"/>
      <c r="E936" s="96"/>
    </row>
    <row r="937" spans="1:5" ht="12.75" customHeight="1">
      <c r="A937" s="96" t="s">
        <v>24</v>
      </c>
      <c r="B937" s="271">
        <v>12</v>
      </c>
      <c r="D937" s="96"/>
      <c r="E937" s="96"/>
    </row>
    <row r="938" spans="1:5" ht="12.75" customHeight="1">
      <c r="A938" s="96" t="s">
        <v>25</v>
      </c>
      <c r="B938" s="271">
        <v>7</v>
      </c>
      <c r="D938" s="96"/>
      <c r="E938" s="96"/>
    </row>
    <row r="939" spans="1:5" ht="12.75" customHeight="1">
      <c r="A939" s="96" t="s">
        <v>26</v>
      </c>
      <c r="B939" s="271">
        <v>9</v>
      </c>
      <c r="D939" s="96"/>
      <c r="E939" s="96"/>
    </row>
    <row r="940" spans="1:5" ht="12.75" customHeight="1">
      <c r="A940" s="96" t="s">
        <v>27</v>
      </c>
      <c r="B940" s="271">
        <v>12</v>
      </c>
      <c r="D940" s="96"/>
      <c r="E940" s="96"/>
    </row>
    <row r="941" spans="1:5" ht="12.75" customHeight="1">
      <c r="A941" s="96" t="s">
        <v>28</v>
      </c>
      <c r="B941" s="271">
        <v>10</v>
      </c>
      <c r="D941" s="96"/>
      <c r="E941" s="96"/>
    </row>
    <row r="942" spans="1:5" ht="12.75" customHeight="1">
      <c r="A942" s="96" t="s">
        <v>29</v>
      </c>
      <c r="B942" s="271">
        <v>9</v>
      </c>
      <c r="D942" s="96"/>
      <c r="E942" s="96"/>
    </row>
    <row r="943" spans="1:5" s="92" customFormat="1" ht="12.75" customHeight="1">
      <c r="A943" s="96" t="s">
        <v>30</v>
      </c>
      <c r="B943" s="271">
        <v>9</v>
      </c>
      <c r="D943" s="96"/>
      <c r="E943" s="96"/>
    </row>
    <row r="944" spans="1:5" ht="12.75" customHeight="1">
      <c r="A944" s="96" t="s">
        <v>31</v>
      </c>
      <c r="B944" s="271">
        <v>5</v>
      </c>
      <c r="D944" s="96"/>
      <c r="E944" s="96"/>
    </row>
    <row r="945" spans="1:5" ht="12.75" customHeight="1">
      <c r="A945" s="96" t="s">
        <v>32</v>
      </c>
      <c r="B945" s="271">
        <v>11</v>
      </c>
      <c r="D945" s="96"/>
      <c r="E945" s="96"/>
    </row>
    <row r="946" spans="1:5" ht="5.0999999999999996" customHeight="1">
      <c r="A946" s="96"/>
      <c r="B946" s="271"/>
      <c r="D946" s="96"/>
      <c r="E946" s="96"/>
    </row>
    <row r="947" spans="1:5" ht="12.75" customHeight="1">
      <c r="A947" s="93" t="s">
        <v>162</v>
      </c>
      <c r="B947" s="272">
        <v>39</v>
      </c>
      <c r="D947" s="96"/>
      <c r="E947" s="96"/>
    </row>
    <row r="948" spans="1:5" ht="5.0999999999999996" customHeight="1">
      <c r="A948" s="96"/>
      <c r="B948" s="271"/>
      <c r="D948" s="96"/>
      <c r="E948" s="96"/>
    </row>
    <row r="949" spans="1:5" ht="12.75" customHeight="1">
      <c r="A949" s="96" t="s">
        <v>21</v>
      </c>
      <c r="B949" s="271">
        <v>8</v>
      </c>
      <c r="D949" s="96"/>
      <c r="E949" s="96"/>
    </row>
    <row r="950" spans="1:5" ht="12.75" customHeight="1">
      <c r="A950" s="96" t="s">
        <v>22</v>
      </c>
      <c r="B950" s="271">
        <v>3</v>
      </c>
      <c r="D950" s="96"/>
      <c r="E950" s="96"/>
    </row>
    <row r="951" spans="1:5" ht="12.75" customHeight="1">
      <c r="A951" s="96" t="s">
        <v>24</v>
      </c>
      <c r="B951" s="271">
        <v>7</v>
      </c>
      <c r="D951" s="96"/>
      <c r="E951" s="96"/>
    </row>
    <row r="952" spans="1:5" ht="12.75" customHeight="1">
      <c r="A952" s="96" t="s">
        <v>25</v>
      </c>
      <c r="B952" s="271">
        <v>3</v>
      </c>
      <c r="D952" s="96"/>
      <c r="E952" s="96"/>
    </row>
    <row r="953" spans="1:5" ht="12.75" customHeight="1">
      <c r="A953" s="96" t="s">
        <v>26</v>
      </c>
      <c r="B953" s="271">
        <v>2</v>
      </c>
      <c r="D953" s="96"/>
      <c r="E953" s="96"/>
    </row>
    <row r="954" spans="1:5" ht="12.75" customHeight="1">
      <c r="A954" s="96" t="s">
        <v>27</v>
      </c>
      <c r="B954" s="271">
        <v>4</v>
      </c>
      <c r="D954" s="96"/>
      <c r="E954" s="96"/>
    </row>
    <row r="955" spans="1:5" ht="12.75" customHeight="1">
      <c r="A955" s="96" t="s">
        <v>28</v>
      </c>
      <c r="B955" s="271">
        <v>1</v>
      </c>
      <c r="D955" s="96"/>
      <c r="E955" s="96"/>
    </row>
    <row r="956" spans="1:5" ht="12.75" customHeight="1">
      <c r="A956" s="96" t="s">
        <v>29</v>
      </c>
      <c r="B956" s="271">
        <v>2</v>
      </c>
      <c r="D956" s="96"/>
      <c r="E956" s="96"/>
    </row>
    <row r="957" spans="1:5" ht="12.75" customHeight="1">
      <c r="A957" s="96" t="s">
        <v>30</v>
      </c>
      <c r="B957" s="271">
        <v>2</v>
      </c>
      <c r="D957" s="96"/>
      <c r="E957" s="96"/>
    </row>
    <row r="958" spans="1:5" ht="12.75" customHeight="1">
      <c r="A958" s="96" t="s">
        <v>32</v>
      </c>
      <c r="B958" s="271">
        <v>7</v>
      </c>
      <c r="D958" s="96"/>
      <c r="E958" s="96"/>
    </row>
    <row r="959" spans="1:5" ht="5.0999999999999996" customHeight="1">
      <c r="A959" s="96"/>
      <c r="B959" s="271"/>
      <c r="D959" s="96"/>
      <c r="E959" s="96"/>
    </row>
    <row r="960" spans="1:5" ht="12.75" customHeight="1">
      <c r="A960" s="93" t="s">
        <v>163</v>
      </c>
      <c r="B960" s="272">
        <v>75</v>
      </c>
      <c r="D960" s="96"/>
      <c r="E960" s="96"/>
    </row>
    <row r="961" spans="1:5" ht="5.0999999999999996" customHeight="1">
      <c r="A961" s="96"/>
      <c r="B961" s="271"/>
      <c r="D961" s="96"/>
      <c r="E961" s="96"/>
    </row>
    <row r="962" spans="1:5" s="92" customFormat="1" ht="12.75" customHeight="1">
      <c r="A962" s="96" t="s">
        <v>21</v>
      </c>
      <c r="B962" s="271">
        <v>8</v>
      </c>
      <c r="D962" s="96"/>
      <c r="E962" s="96"/>
    </row>
    <row r="963" spans="1:5" ht="12.75" customHeight="1">
      <c r="A963" s="96" t="s">
        <v>22</v>
      </c>
      <c r="B963" s="271">
        <v>7</v>
      </c>
      <c r="D963" s="96"/>
      <c r="E963" s="96"/>
    </row>
    <row r="964" spans="1:5" ht="12.75" customHeight="1">
      <c r="A964" s="96" t="s">
        <v>23</v>
      </c>
      <c r="B964" s="271">
        <v>8</v>
      </c>
      <c r="D964" s="96"/>
      <c r="E964" s="96"/>
    </row>
    <row r="965" spans="1:5" ht="12.75" customHeight="1">
      <c r="A965" s="96" t="s">
        <v>24</v>
      </c>
      <c r="B965" s="271">
        <v>6</v>
      </c>
      <c r="D965" s="96"/>
      <c r="E965" s="96"/>
    </row>
    <row r="966" spans="1:5" ht="12.75" customHeight="1">
      <c r="A966" s="96" t="s">
        <v>25</v>
      </c>
      <c r="B966" s="271">
        <v>4</v>
      </c>
      <c r="D966" s="96"/>
      <c r="E966" s="96"/>
    </row>
    <row r="967" spans="1:5" ht="12.75" customHeight="1">
      <c r="A967" s="96" t="s">
        <v>26</v>
      </c>
      <c r="B967" s="271">
        <v>6</v>
      </c>
      <c r="D967" s="96"/>
      <c r="E967" s="96"/>
    </row>
    <row r="968" spans="1:5" ht="12.75" customHeight="1">
      <c r="A968" s="96" t="s">
        <v>27</v>
      </c>
      <c r="B968" s="271">
        <v>4</v>
      </c>
      <c r="D968" s="96"/>
      <c r="E968" s="96"/>
    </row>
    <row r="969" spans="1:5" ht="12.75" customHeight="1">
      <c r="A969" s="96" t="s">
        <v>28</v>
      </c>
      <c r="B969" s="271">
        <v>7</v>
      </c>
      <c r="D969" s="96"/>
      <c r="E969" s="96"/>
    </row>
    <row r="970" spans="1:5" ht="12.75" customHeight="1">
      <c r="A970" s="96" t="s">
        <v>29</v>
      </c>
      <c r="B970" s="271">
        <v>4</v>
      </c>
      <c r="D970" s="96"/>
      <c r="E970" s="96"/>
    </row>
    <row r="971" spans="1:5" ht="12.75" customHeight="1">
      <c r="A971" s="96" t="s">
        <v>30</v>
      </c>
      <c r="B971" s="271">
        <v>2</v>
      </c>
      <c r="D971" s="96"/>
      <c r="E971" s="96"/>
    </row>
    <row r="972" spans="1:5" ht="12.75" customHeight="1">
      <c r="A972" s="96" t="s">
        <v>31</v>
      </c>
      <c r="B972" s="271">
        <v>8</v>
      </c>
      <c r="D972" s="96"/>
      <c r="E972" s="96"/>
    </row>
    <row r="973" spans="1:5" ht="12.75" customHeight="1">
      <c r="A973" s="96" t="s">
        <v>32</v>
      </c>
      <c r="B973" s="271">
        <v>11</v>
      </c>
      <c r="D973" s="96"/>
      <c r="E973" s="96"/>
    </row>
    <row r="974" spans="1:5" ht="5.0999999999999996" customHeight="1">
      <c r="A974" s="96"/>
      <c r="B974" s="271"/>
      <c r="D974" s="96"/>
      <c r="E974" s="96"/>
    </row>
    <row r="975" spans="1:5" ht="12.75" customHeight="1">
      <c r="A975" s="93" t="s">
        <v>164</v>
      </c>
      <c r="B975" s="272">
        <v>52</v>
      </c>
      <c r="D975" s="96"/>
      <c r="E975" s="96"/>
    </row>
    <row r="976" spans="1:5" ht="5.0999999999999996" customHeight="1">
      <c r="A976" s="96"/>
      <c r="B976" s="271"/>
      <c r="D976" s="96"/>
      <c r="E976" s="96"/>
    </row>
    <row r="977" spans="1:5" ht="12.75" customHeight="1">
      <c r="A977" s="96" t="s">
        <v>21</v>
      </c>
      <c r="B977" s="271">
        <v>3</v>
      </c>
      <c r="D977" s="96"/>
      <c r="E977" s="96"/>
    </row>
    <row r="978" spans="1:5" ht="12.75" customHeight="1">
      <c r="A978" s="96" t="s">
        <v>22</v>
      </c>
      <c r="B978" s="271">
        <v>8</v>
      </c>
      <c r="D978" s="96"/>
      <c r="E978" s="96"/>
    </row>
    <row r="979" spans="1:5" s="92" customFormat="1" ht="12.75" customHeight="1">
      <c r="A979" s="96" t="s">
        <v>23</v>
      </c>
      <c r="B979" s="271">
        <v>5</v>
      </c>
      <c r="D979" s="96"/>
      <c r="E979" s="96"/>
    </row>
    <row r="980" spans="1:5" ht="12.75" customHeight="1">
      <c r="A980" s="96" t="s">
        <v>24</v>
      </c>
      <c r="B980" s="271">
        <v>6</v>
      </c>
      <c r="D980" s="96"/>
      <c r="E980" s="96"/>
    </row>
    <row r="981" spans="1:5" ht="12.75" customHeight="1">
      <c r="A981" s="96" t="s">
        <v>25</v>
      </c>
      <c r="B981" s="271">
        <v>2</v>
      </c>
      <c r="D981" s="96"/>
      <c r="E981" s="96"/>
    </row>
    <row r="982" spans="1:5" ht="12.75" customHeight="1">
      <c r="A982" s="96" t="s">
        <v>26</v>
      </c>
      <c r="B982" s="271">
        <v>2</v>
      </c>
      <c r="D982" s="96"/>
      <c r="E982" s="96"/>
    </row>
    <row r="983" spans="1:5" ht="12.75" customHeight="1">
      <c r="A983" s="96" t="s">
        <v>27</v>
      </c>
      <c r="B983" s="271">
        <v>4</v>
      </c>
      <c r="D983" s="96"/>
      <c r="E983" s="96"/>
    </row>
    <row r="984" spans="1:5" ht="12.75" customHeight="1">
      <c r="A984" s="96" t="s">
        <v>28</v>
      </c>
      <c r="B984" s="271">
        <v>3</v>
      </c>
      <c r="D984" s="96"/>
      <c r="E984" s="96"/>
    </row>
    <row r="985" spans="1:5" ht="12.75" customHeight="1">
      <c r="A985" s="96" t="s">
        <v>29</v>
      </c>
      <c r="B985" s="271">
        <v>3</v>
      </c>
      <c r="D985" s="96"/>
      <c r="E985" s="96"/>
    </row>
    <row r="986" spans="1:5" ht="12.75" customHeight="1">
      <c r="A986" s="96" t="s">
        <v>30</v>
      </c>
      <c r="B986" s="271">
        <v>4</v>
      </c>
      <c r="D986" s="96"/>
      <c r="E986" s="96"/>
    </row>
    <row r="987" spans="1:5" ht="12.75" customHeight="1">
      <c r="A987" s="96" t="s">
        <v>31</v>
      </c>
      <c r="B987" s="271">
        <v>7</v>
      </c>
      <c r="D987" s="96"/>
      <c r="E987" s="96"/>
    </row>
    <row r="988" spans="1:5" ht="12.75" customHeight="1">
      <c r="A988" s="96" t="s">
        <v>32</v>
      </c>
      <c r="B988" s="271">
        <v>5</v>
      </c>
      <c r="D988" s="96"/>
      <c r="E988" s="96"/>
    </row>
    <row r="989" spans="1:5" ht="5.0999999999999996" customHeight="1">
      <c r="A989" s="96"/>
      <c r="B989" s="271"/>
      <c r="D989" s="96"/>
      <c r="E989" s="96"/>
    </row>
    <row r="990" spans="1:5" ht="12.75" customHeight="1">
      <c r="A990" s="93" t="s">
        <v>450</v>
      </c>
      <c r="B990" s="272">
        <v>21</v>
      </c>
      <c r="D990" s="96"/>
      <c r="E990" s="96"/>
    </row>
    <row r="991" spans="1:5" ht="5.0999999999999996" customHeight="1">
      <c r="A991" s="96"/>
      <c r="B991" s="271"/>
      <c r="D991" s="96"/>
      <c r="E991" s="96"/>
    </row>
    <row r="992" spans="1:5" ht="12.75" customHeight="1">
      <c r="A992" s="96" t="s">
        <v>21</v>
      </c>
      <c r="B992" s="271">
        <v>4</v>
      </c>
      <c r="D992" s="96"/>
      <c r="E992" s="96"/>
    </row>
    <row r="993" spans="1:5" ht="12.75" customHeight="1">
      <c r="A993" s="96" t="s">
        <v>22</v>
      </c>
      <c r="B993" s="271">
        <v>1</v>
      </c>
      <c r="D993" s="96"/>
      <c r="E993" s="96"/>
    </row>
    <row r="994" spans="1:5" ht="12.75" customHeight="1">
      <c r="A994" s="96" t="s">
        <v>23</v>
      </c>
      <c r="B994" s="271">
        <v>3</v>
      </c>
      <c r="D994" s="96"/>
      <c r="E994" s="96"/>
    </row>
    <row r="995" spans="1:5" ht="12.75" customHeight="1">
      <c r="A995" s="96" t="s">
        <v>24</v>
      </c>
      <c r="B995" s="271">
        <v>1</v>
      </c>
      <c r="D995" s="96"/>
      <c r="E995" s="96"/>
    </row>
    <row r="996" spans="1:5" s="92" customFormat="1" ht="12.75" customHeight="1">
      <c r="A996" s="96" t="s">
        <v>25</v>
      </c>
      <c r="B996" s="271">
        <v>1</v>
      </c>
      <c r="D996" s="96"/>
      <c r="E996" s="96"/>
    </row>
    <row r="997" spans="1:5" ht="12.75" customHeight="1">
      <c r="A997" s="96" t="s">
        <v>26</v>
      </c>
      <c r="B997" s="271">
        <v>1</v>
      </c>
      <c r="D997" s="96"/>
      <c r="E997" s="96"/>
    </row>
    <row r="998" spans="1:5" ht="12.75" customHeight="1">
      <c r="A998" s="96" t="s">
        <v>29</v>
      </c>
      <c r="B998" s="271">
        <v>2</v>
      </c>
      <c r="D998" s="96"/>
      <c r="E998" s="96"/>
    </row>
    <row r="999" spans="1:5" ht="12.75" customHeight="1">
      <c r="A999" s="96" t="s">
        <v>30</v>
      </c>
      <c r="B999" s="271">
        <v>1</v>
      </c>
      <c r="D999" s="96"/>
      <c r="E999" s="96"/>
    </row>
    <row r="1000" spans="1:5" ht="12.75" customHeight="1">
      <c r="A1000" s="96" t="s">
        <v>31</v>
      </c>
      <c r="B1000" s="271">
        <v>3</v>
      </c>
      <c r="D1000" s="96"/>
      <c r="E1000" s="96"/>
    </row>
    <row r="1001" spans="1:5" ht="12.75" customHeight="1">
      <c r="A1001" s="96" t="s">
        <v>32</v>
      </c>
      <c r="B1001" s="271">
        <v>4</v>
      </c>
      <c r="D1001" s="96"/>
      <c r="E1001" s="96"/>
    </row>
    <row r="1002" spans="1:5" ht="5.0999999999999996" customHeight="1">
      <c r="A1002" s="96"/>
      <c r="B1002" s="271"/>
      <c r="D1002" s="96"/>
      <c r="E1002" s="96"/>
    </row>
    <row r="1003" spans="1:5" ht="12.75" customHeight="1">
      <c r="A1003" s="93" t="s">
        <v>451</v>
      </c>
      <c r="B1003" s="272">
        <v>68</v>
      </c>
      <c r="D1003" s="96"/>
      <c r="E1003" s="96"/>
    </row>
    <row r="1004" spans="1:5" ht="5.0999999999999996" customHeight="1">
      <c r="A1004" s="96"/>
      <c r="B1004" s="271"/>
      <c r="D1004" s="96"/>
      <c r="E1004" s="96"/>
    </row>
    <row r="1005" spans="1:5" ht="12.75" customHeight="1">
      <c r="A1005" s="96" t="s">
        <v>21</v>
      </c>
      <c r="B1005" s="271">
        <v>4</v>
      </c>
      <c r="D1005" s="96"/>
      <c r="E1005" s="96"/>
    </row>
    <row r="1006" spans="1:5" ht="12.75" customHeight="1">
      <c r="A1006" s="96" t="s">
        <v>22</v>
      </c>
      <c r="B1006" s="271">
        <v>7</v>
      </c>
      <c r="D1006" s="96"/>
      <c r="E1006" s="96"/>
    </row>
    <row r="1007" spans="1:5" ht="12.75" customHeight="1">
      <c r="A1007" s="96" t="s">
        <v>23</v>
      </c>
      <c r="B1007" s="271">
        <v>5</v>
      </c>
      <c r="D1007" s="96"/>
      <c r="E1007" s="96"/>
    </row>
    <row r="1008" spans="1:5" ht="12.75" customHeight="1">
      <c r="A1008" s="96" t="s">
        <v>24</v>
      </c>
      <c r="B1008" s="271">
        <v>6</v>
      </c>
      <c r="D1008" s="96"/>
      <c r="E1008" s="96"/>
    </row>
    <row r="1009" spans="1:5" ht="12.75" customHeight="1">
      <c r="A1009" s="96" t="s">
        <v>25</v>
      </c>
      <c r="B1009" s="271">
        <v>3</v>
      </c>
      <c r="D1009" s="96"/>
      <c r="E1009" s="96"/>
    </row>
    <row r="1010" spans="1:5" ht="12.75" customHeight="1">
      <c r="A1010" s="96" t="s">
        <v>26</v>
      </c>
      <c r="B1010" s="271">
        <v>3</v>
      </c>
      <c r="D1010" s="96"/>
      <c r="E1010" s="96"/>
    </row>
    <row r="1011" spans="1:5" ht="12.75" customHeight="1">
      <c r="A1011" s="96" t="s">
        <v>27</v>
      </c>
      <c r="B1011" s="271">
        <v>5</v>
      </c>
      <c r="D1011" s="96"/>
      <c r="E1011" s="96"/>
    </row>
    <row r="1012" spans="1:5" ht="12.75" customHeight="1">
      <c r="A1012" s="96" t="s">
        <v>28</v>
      </c>
      <c r="B1012" s="271">
        <v>2</v>
      </c>
      <c r="D1012" s="96"/>
      <c r="E1012" s="96"/>
    </row>
    <row r="1013" spans="1:5" s="92" customFormat="1" ht="12.75" customHeight="1">
      <c r="A1013" s="96" t="s">
        <v>29</v>
      </c>
      <c r="B1013" s="271">
        <v>8</v>
      </c>
      <c r="D1013" s="96"/>
      <c r="E1013" s="96"/>
    </row>
    <row r="1014" spans="1:5" ht="12.75" customHeight="1">
      <c r="A1014" s="96" t="s">
        <v>30</v>
      </c>
      <c r="B1014" s="271">
        <v>5</v>
      </c>
      <c r="D1014" s="96"/>
      <c r="E1014" s="96"/>
    </row>
    <row r="1015" spans="1:5" ht="12.75" customHeight="1">
      <c r="A1015" s="96" t="s">
        <v>31</v>
      </c>
      <c r="B1015" s="271">
        <v>9</v>
      </c>
      <c r="D1015" s="96"/>
      <c r="E1015" s="96"/>
    </row>
    <row r="1016" spans="1:5" ht="12.75" customHeight="1">
      <c r="A1016" s="96" t="s">
        <v>32</v>
      </c>
      <c r="B1016" s="271">
        <v>11</v>
      </c>
      <c r="D1016" s="96"/>
      <c r="E1016" s="96"/>
    </row>
    <row r="1017" spans="1:5" ht="5.0999999999999996" customHeight="1">
      <c r="A1017" s="96"/>
      <c r="B1017" s="271"/>
      <c r="D1017" s="96"/>
      <c r="E1017" s="96"/>
    </row>
    <row r="1018" spans="1:5" ht="12.75" customHeight="1">
      <c r="A1018" s="93" t="s">
        <v>91</v>
      </c>
      <c r="B1018" s="272">
        <v>27</v>
      </c>
      <c r="D1018" s="96"/>
      <c r="E1018" s="96"/>
    </row>
    <row r="1019" spans="1:5" ht="5.0999999999999996" customHeight="1">
      <c r="A1019" s="96"/>
      <c r="B1019" s="271"/>
      <c r="D1019" s="96"/>
      <c r="E1019" s="96"/>
    </row>
    <row r="1020" spans="1:5" ht="12.75" customHeight="1">
      <c r="A1020" s="96" t="s">
        <v>21</v>
      </c>
      <c r="B1020" s="271">
        <v>1</v>
      </c>
      <c r="D1020" s="96"/>
      <c r="E1020" s="96"/>
    </row>
    <row r="1021" spans="1:5" ht="12.75" customHeight="1">
      <c r="A1021" s="96" t="s">
        <v>22</v>
      </c>
      <c r="B1021" s="271">
        <v>1</v>
      </c>
      <c r="D1021" s="96"/>
      <c r="E1021" s="96"/>
    </row>
    <row r="1022" spans="1:5" ht="12.75" customHeight="1">
      <c r="A1022" s="96" t="s">
        <v>23</v>
      </c>
      <c r="B1022" s="271">
        <v>2</v>
      </c>
      <c r="D1022" s="96"/>
      <c r="E1022" s="96"/>
    </row>
    <row r="1023" spans="1:5" ht="12.75" customHeight="1">
      <c r="A1023" s="96" t="s">
        <v>24</v>
      </c>
      <c r="B1023" s="271">
        <v>4</v>
      </c>
      <c r="D1023" s="96"/>
      <c r="E1023" s="96"/>
    </row>
    <row r="1024" spans="1:5" ht="12.75" customHeight="1">
      <c r="A1024" s="96" t="s">
        <v>25</v>
      </c>
      <c r="B1024" s="271">
        <v>1</v>
      </c>
      <c r="D1024" s="96"/>
      <c r="E1024" s="96"/>
    </row>
    <row r="1025" spans="1:5" ht="12.75" customHeight="1">
      <c r="A1025" s="96" t="s">
        <v>27</v>
      </c>
      <c r="B1025" s="271">
        <v>2</v>
      </c>
      <c r="D1025" s="96"/>
      <c r="E1025" s="96"/>
    </row>
    <row r="1026" spans="1:5" ht="12.75" customHeight="1">
      <c r="A1026" s="96" t="s">
        <v>29</v>
      </c>
      <c r="B1026" s="271">
        <v>6</v>
      </c>
      <c r="D1026" s="96"/>
      <c r="E1026" s="96"/>
    </row>
    <row r="1027" spans="1:5" ht="12.75" customHeight="1">
      <c r="A1027" s="96" t="s">
        <v>30</v>
      </c>
      <c r="B1027" s="271">
        <v>2</v>
      </c>
      <c r="D1027" s="96"/>
      <c r="E1027" s="96"/>
    </row>
    <row r="1028" spans="1:5" ht="12.75" customHeight="1">
      <c r="A1028" s="96" t="s">
        <v>31</v>
      </c>
      <c r="B1028" s="271">
        <v>4</v>
      </c>
      <c r="D1028" s="96"/>
      <c r="E1028" s="96"/>
    </row>
    <row r="1029" spans="1:5" ht="12.75" customHeight="1">
      <c r="A1029" s="96" t="s">
        <v>32</v>
      </c>
      <c r="B1029" s="271">
        <v>4</v>
      </c>
      <c r="D1029" s="96"/>
      <c r="E1029" s="96"/>
    </row>
    <row r="1030" spans="1:5" s="92" customFormat="1" ht="12.75" customHeight="1">
      <c r="A1030" s="96" t="s">
        <v>165</v>
      </c>
      <c r="B1030" s="271">
        <v>8</v>
      </c>
      <c r="D1030" s="96"/>
      <c r="E1030" s="96"/>
    </row>
    <row r="1031" spans="1:5" ht="12.75" customHeight="1">
      <c r="A1031" s="96" t="s">
        <v>24</v>
      </c>
      <c r="B1031" s="271">
        <v>2</v>
      </c>
      <c r="D1031" s="96"/>
      <c r="E1031" s="96"/>
    </row>
    <row r="1032" spans="1:5" ht="12.75" customHeight="1">
      <c r="A1032" s="96" t="s">
        <v>25</v>
      </c>
      <c r="B1032" s="271">
        <v>1</v>
      </c>
      <c r="D1032" s="96"/>
      <c r="E1032" s="96"/>
    </row>
    <row r="1033" spans="1:5" ht="12.75" customHeight="1">
      <c r="A1033" s="96" t="s">
        <v>31</v>
      </c>
      <c r="B1033" s="271">
        <v>3</v>
      </c>
      <c r="D1033" s="96"/>
      <c r="E1033" s="96"/>
    </row>
    <row r="1034" spans="1:5" ht="12.75" customHeight="1">
      <c r="A1034" s="96" t="s">
        <v>32</v>
      </c>
      <c r="B1034" s="271">
        <v>2</v>
      </c>
      <c r="D1034" s="96"/>
      <c r="E1034" s="96"/>
    </row>
    <row r="1035" spans="1:5" ht="5.0999999999999996" customHeight="1">
      <c r="A1035" s="96"/>
      <c r="B1035" s="271"/>
      <c r="D1035" s="96"/>
      <c r="E1035" s="96"/>
    </row>
    <row r="1036" spans="1:5" ht="12.75" customHeight="1">
      <c r="A1036" s="93" t="s">
        <v>166</v>
      </c>
      <c r="B1036" s="272">
        <v>539</v>
      </c>
      <c r="D1036" s="96"/>
      <c r="E1036" s="96"/>
    </row>
    <row r="1037" spans="1:5" ht="5.0999999999999996" customHeight="1">
      <c r="A1037" s="96"/>
      <c r="B1037" s="271"/>
      <c r="D1037" s="96"/>
      <c r="E1037" s="96"/>
    </row>
    <row r="1038" spans="1:5" ht="12.75" customHeight="1">
      <c r="A1038" s="96" t="s">
        <v>21</v>
      </c>
      <c r="B1038" s="271">
        <v>59</v>
      </c>
      <c r="D1038" s="96"/>
      <c r="E1038" s="96"/>
    </row>
    <row r="1039" spans="1:5" ht="12.75" customHeight="1">
      <c r="A1039" s="96" t="s">
        <v>22</v>
      </c>
      <c r="B1039" s="271">
        <v>59</v>
      </c>
      <c r="D1039" s="96"/>
      <c r="E1039" s="96"/>
    </row>
    <row r="1040" spans="1:5" ht="12.75" customHeight="1">
      <c r="A1040" s="96" t="s">
        <v>23</v>
      </c>
      <c r="B1040" s="271">
        <v>68</v>
      </c>
      <c r="D1040" s="96"/>
      <c r="E1040" s="96"/>
    </row>
    <row r="1041" spans="1:5" ht="12.75" customHeight="1">
      <c r="A1041" s="96" t="s">
        <v>24</v>
      </c>
      <c r="B1041" s="271">
        <v>37</v>
      </c>
      <c r="D1041" s="96"/>
      <c r="E1041" s="96"/>
    </row>
    <row r="1042" spans="1:5" ht="12.75" customHeight="1">
      <c r="A1042" s="96" t="s">
        <v>25</v>
      </c>
      <c r="B1042" s="271">
        <v>38</v>
      </c>
      <c r="D1042" s="96"/>
      <c r="E1042" s="96"/>
    </row>
    <row r="1043" spans="1:5" ht="12.75" customHeight="1">
      <c r="A1043" s="96" t="s">
        <v>26</v>
      </c>
      <c r="B1043" s="271">
        <v>37</v>
      </c>
      <c r="D1043" s="96"/>
      <c r="E1043" s="96"/>
    </row>
    <row r="1044" spans="1:5" ht="12.75" customHeight="1">
      <c r="A1044" s="96" t="s">
        <v>27</v>
      </c>
      <c r="B1044" s="271">
        <v>56</v>
      </c>
      <c r="D1044" s="96"/>
      <c r="E1044" s="96"/>
    </row>
    <row r="1045" spans="1:5" ht="12.75" customHeight="1">
      <c r="A1045" s="96" t="s">
        <v>28</v>
      </c>
      <c r="B1045" s="271">
        <v>39</v>
      </c>
      <c r="D1045" s="96"/>
      <c r="E1045" s="96"/>
    </row>
    <row r="1046" spans="1:5" ht="12.75" customHeight="1">
      <c r="A1046" s="96" t="s">
        <v>29</v>
      </c>
      <c r="B1046" s="271">
        <v>39</v>
      </c>
      <c r="D1046" s="96"/>
      <c r="E1046" s="96"/>
    </row>
    <row r="1047" spans="1:5" s="92" customFormat="1" ht="12.75" customHeight="1">
      <c r="A1047" s="96" t="s">
        <v>30</v>
      </c>
      <c r="B1047" s="271">
        <v>25</v>
      </c>
      <c r="D1047" s="96"/>
      <c r="E1047" s="96"/>
    </row>
    <row r="1048" spans="1:5" ht="12.75" customHeight="1">
      <c r="A1048" s="96" t="s">
        <v>31</v>
      </c>
      <c r="B1048" s="271">
        <v>47</v>
      </c>
      <c r="D1048" s="96"/>
      <c r="E1048" s="96"/>
    </row>
    <row r="1049" spans="1:5" ht="12.75" customHeight="1">
      <c r="A1049" s="96" t="s">
        <v>32</v>
      </c>
      <c r="B1049" s="271">
        <v>35</v>
      </c>
      <c r="D1049" s="96"/>
      <c r="E1049" s="96"/>
    </row>
    <row r="1050" spans="1:5" ht="5.0999999999999996" customHeight="1">
      <c r="A1050" s="96"/>
      <c r="B1050" s="271"/>
      <c r="D1050" s="96"/>
      <c r="E1050" s="96"/>
    </row>
    <row r="1051" spans="1:5" ht="12.75" customHeight="1">
      <c r="A1051" s="93" t="s">
        <v>167</v>
      </c>
      <c r="B1051" s="272">
        <v>60</v>
      </c>
      <c r="D1051" s="96"/>
      <c r="E1051" s="96"/>
    </row>
    <row r="1052" spans="1:5" ht="5.0999999999999996" customHeight="1">
      <c r="A1052" s="96"/>
      <c r="B1052" s="271"/>
      <c r="D1052" s="96"/>
      <c r="E1052" s="96"/>
    </row>
    <row r="1053" spans="1:5" ht="12.75" customHeight="1">
      <c r="A1053" s="96" t="s">
        <v>21</v>
      </c>
      <c r="B1053" s="271">
        <v>9</v>
      </c>
      <c r="D1053" s="96"/>
      <c r="E1053" s="96"/>
    </row>
    <row r="1054" spans="1:5" ht="12.75" customHeight="1">
      <c r="A1054" s="96" t="s">
        <v>22</v>
      </c>
      <c r="B1054" s="271">
        <v>2</v>
      </c>
      <c r="D1054" s="96"/>
      <c r="E1054" s="96"/>
    </row>
    <row r="1055" spans="1:5" ht="12.75" customHeight="1">
      <c r="A1055" s="96" t="s">
        <v>23</v>
      </c>
      <c r="B1055" s="271">
        <v>5</v>
      </c>
      <c r="D1055" s="96"/>
      <c r="E1055" s="96"/>
    </row>
    <row r="1056" spans="1:5" ht="12.75" customHeight="1">
      <c r="A1056" s="96" t="s">
        <v>24</v>
      </c>
      <c r="B1056" s="271">
        <v>5</v>
      </c>
      <c r="D1056" s="96"/>
      <c r="E1056" s="96"/>
    </row>
    <row r="1057" spans="1:5" ht="12.75" customHeight="1">
      <c r="A1057" s="96" t="s">
        <v>25</v>
      </c>
      <c r="B1057" s="271">
        <v>4</v>
      </c>
      <c r="D1057" s="96"/>
      <c r="E1057" s="96"/>
    </row>
    <row r="1058" spans="1:5" ht="12.75" customHeight="1">
      <c r="A1058" s="96" t="s">
        <v>26</v>
      </c>
      <c r="B1058" s="271">
        <v>4</v>
      </c>
      <c r="D1058" s="96"/>
      <c r="E1058" s="96"/>
    </row>
    <row r="1059" spans="1:5" ht="12.75" customHeight="1">
      <c r="A1059" s="96" t="s">
        <v>27</v>
      </c>
      <c r="B1059" s="271">
        <v>4</v>
      </c>
      <c r="D1059" s="96"/>
      <c r="E1059" s="96"/>
    </row>
    <row r="1060" spans="1:5" ht="12.75" customHeight="1">
      <c r="A1060" s="96" t="s">
        <v>28</v>
      </c>
      <c r="B1060" s="271">
        <v>6</v>
      </c>
      <c r="D1060" s="96"/>
      <c r="E1060" s="96"/>
    </row>
    <row r="1061" spans="1:5" ht="12.75" customHeight="1">
      <c r="A1061" s="96" t="s">
        <v>29</v>
      </c>
      <c r="B1061" s="271">
        <v>5</v>
      </c>
      <c r="D1061" s="96"/>
      <c r="E1061" s="96"/>
    </row>
    <row r="1062" spans="1:5" ht="12.75" customHeight="1">
      <c r="A1062" s="96" t="s">
        <v>30</v>
      </c>
      <c r="B1062" s="271">
        <v>5</v>
      </c>
      <c r="D1062" s="96"/>
      <c r="E1062" s="96"/>
    </row>
    <row r="1063" spans="1:5" ht="12.75" customHeight="1">
      <c r="A1063" s="96" t="s">
        <v>31</v>
      </c>
      <c r="B1063" s="271">
        <v>1</v>
      </c>
      <c r="D1063" s="96"/>
      <c r="E1063" s="96"/>
    </row>
    <row r="1064" spans="1:5" s="92" customFormat="1" ht="12.75" customHeight="1">
      <c r="A1064" s="96" t="s">
        <v>32</v>
      </c>
      <c r="B1064" s="271">
        <v>10</v>
      </c>
      <c r="D1064" s="96"/>
      <c r="E1064" s="96"/>
    </row>
    <row r="1065" spans="1:5" s="92" customFormat="1" ht="5.0999999999999996" customHeight="1">
      <c r="A1065" s="96"/>
      <c r="B1065" s="271"/>
      <c r="D1065" s="96"/>
      <c r="E1065" s="96"/>
    </row>
    <row r="1066" spans="1:5" ht="12.75" customHeight="1">
      <c r="A1066" s="93" t="s">
        <v>93</v>
      </c>
      <c r="B1066" s="272">
        <v>1194</v>
      </c>
      <c r="D1066" s="96"/>
      <c r="E1066" s="96"/>
    </row>
    <row r="1067" spans="1:5" ht="5.0999999999999996" customHeight="1">
      <c r="A1067" s="96"/>
      <c r="B1067" s="271"/>
      <c r="D1067" s="96"/>
      <c r="E1067" s="96"/>
    </row>
    <row r="1068" spans="1:5" ht="12.75" customHeight="1">
      <c r="A1068" s="96" t="s">
        <v>21</v>
      </c>
      <c r="B1068" s="271">
        <v>96</v>
      </c>
      <c r="D1068" s="96"/>
      <c r="E1068" s="96"/>
    </row>
    <row r="1069" spans="1:5" ht="12.75" customHeight="1">
      <c r="A1069" s="96" t="s">
        <v>22</v>
      </c>
      <c r="B1069" s="271">
        <v>96</v>
      </c>
      <c r="D1069" s="96"/>
      <c r="E1069" s="96"/>
    </row>
    <row r="1070" spans="1:5" ht="12.75" customHeight="1">
      <c r="A1070" s="96" t="s">
        <v>23</v>
      </c>
      <c r="B1070" s="271">
        <v>127</v>
      </c>
      <c r="D1070" s="96"/>
      <c r="E1070" s="96"/>
    </row>
    <row r="1071" spans="1:5" ht="12.75" customHeight="1">
      <c r="A1071" s="96" t="s">
        <v>24</v>
      </c>
      <c r="B1071" s="271">
        <v>108</v>
      </c>
      <c r="D1071" s="96"/>
      <c r="E1071" s="96"/>
    </row>
    <row r="1072" spans="1:5" ht="12.75" customHeight="1">
      <c r="A1072" s="96" t="s">
        <v>25</v>
      </c>
      <c r="B1072" s="271">
        <v>97</v>
      </c>
      <c r="D1072" s="96"/>
      <c r="E1072" s="96"/>
    </row>
    <row r="1073" spans="1:5" ht="12.75" customHeight="1">
      <c r="A1073" s="96" t="s">
        <v>26</v>
      </c>
      <c r="B1073" s="271">
        <v>91</v>
      </c>
      <c r="D1073" s="96"/>
      <c r="E1073" s="96"/>
    </row>
    <row r="1074" spans="1:5" ht="12.75" customHeight="1">
      <c r="A1074" s="96" t="s">
        <v>27</v>
      </c>
      <c r="B1074" s="271">
        <v>85</v>
      </c>
      <c r="D1074" s="96"/>
      <c r="E1074" s="96"/>
    </row>
    <row r="1075" spans="1:5" ht="12.75" customHeight="1">
      <c r="A1075" s="96" t="s">
        <v>28</v>
      </c>
      <c r="B1075" s="271">
        <v>86</v>
      </c>
      <c r="D1075" s="96"/>
      <c r="E1075" s="96"/>
    </row>
    <row r="1076" spans="1:5" ht="12.75" customHeight="1">
      <c r="A1076" s="96" t="s">
        <v>29</v>
      </c>
      <c r="B1076" s="271">
        <v>80</v>
      </c>
      <c r="D1076" s="96"/>
      <c r="E1076" s="96"/>
    </row>
    <row r="1077" spans="1:5" ht="12.75" customHeight="1">
      <c r="A1077" s="96" t="s">
        <v>30</v>
      </c>
      <c r="B1077" s="271">
        <v>104</v>
      </c>
      <c r="D1077" s="96"/>
      <c r="E1077" s="96"/>
    </row>
    <row r="1078" spans="1:5" ht="12.75" customHeight="1">
      <c r="A1078" s="96" t="s">
        <v>31</v>
      </c>
      <c r="B1078" s="271">
        <v>95</v>
      </c>
      <c r="D1078" s="96"/>
      <c r="E1078" s="96"/>
    </row>
    <row r="1079" spans="1:5" ht="12.75" customHeight="1">
      <c r="A1079" s="96" t="s">
        <v>32</v>
      </c>
      <c r="B1079" s="271">
        <v>129</v>
      </c>
      <c r="D1079" s="96"/>
      <c r="E1079" s="96"/>
    </row>
    <row r="1080" spans="1:5" ht="5.0999999999999996" customHeight="1">
      <c r="A1080" s="96"/>
      <c r="B1080" s="271"/>
      <c r="D1080" s="96"/>
      <c r="E1080" s="96"/>
    </row>
    <row r="1081" spans="1:5" ht="12.75" customHeight="1">
      <c r="A1081" s="93" t="s">
        <v>168</v>
      </c>
      <c r="B1081" s="272">
        <v>100</v>
      </c>
      <c r="D1081" s="96"/>
      <c r="E1081" s="96"/>
    </row>
    <row r="1082" spans="1:5" ht="5.0999999999999996" customHeight="1">
      <c r="A1082" s="96"/>
      <c r="B1082" s="271"/>
      <c r="D1082" s="96"/>
      <c r="E1082" s="96"/>
    </row>
    <row r="1083" spans="1:5" s="92" customFormat="1" ht="12.75" customHeight="1">
      <c r="A1083" s="96" t="s">
        <v>21</v>
      </c>
      <c r="B1083" s="271">
        <v>8</v>
      </c>
      <c r="D1083" s="96"/>
      <c r="E1083" s="96"/>
    </row>
    <row r="1084" spans="1:5" ht="12.75" customHeight="1">
      <c r="A1084" s="96" t="s">
        <v>22</v>
      </c>
      <c r="B1084" s="271">
        <v>7</v>
      </c>
      <c r="D1084" s="96"/>
      <c r="E1084" s="96"/>
    </row>
    <row r="1085" spans="1:5" ht="12.75" customHeight="1">
      <c r="A1085" s="96" t="s">
        <v>23</v>
      </c>
      <c r="B1085" s="271">
        <v>11</v>
      </c>
      <c r="D1085" s="96"/>
      <c r="E1085" s="96"/>
    </row>
    <row r="1086" spans="1:5" ht="12.75" customHeight="1">
      <c r="A1086" s="96" t="s">
        <v>24</v>
      </c>
      <c r="B1086" s="271">
        <v>5</v>
      </c>
      <c r="D1086" s="96"/>
      <c r="E1086" s="96"/>
    </row>
    <row r="1087" spans="1:5" ht="12.75" customHeight="1">
      <c r="A1087" s="96" t="s">
        <v>25</v>
      </c>
      <c r="B1087" s="271">
        <v>6</v>
      </c>
      <c r="D1087" s="96"/>
      <c r="E1087" s="96"/>
    </row>
    <row r="1088" spans="1:5" ht="12.75" customHeight="1">
      <c r="A1088" s="96" t="s">
        <v>26</v>
      </c>
      <c r="B1088" s="271">
        <v>9</v>
      </c>
      <c r="D1088" s="96"/>
      <c r="E1088" s="96"/>
    </row>
    <row r="1089" spans="1:5" ht="12.75" customHeight="1">
      <c r="A1089" s="96" t="s">
        <v>27</v>
      </c>
      <c r="B1089" s="271">
        <v>8</v>
      </c>
      <c r="D1089" s="96"/>
      <c r="E1089" s="96"/>
    </row>
    <row r="1090" spans="1:5" ht="12.75" customHeight="1">
      <c r="A1090" s="96" t="s">
        <v>28</v>
      </c>
      <c r="B1090" s="271">
        <v>8</v>
      </c>
      <c r="D1090" s="96"/>
      <c r="E1090" s="96"/>
    </row>
    <row r="1091" spans="1:5" ht="12.75" customHeight="1">
      <c r="A1091" s="96" t="s">
        <v>29</v>
      </c>
      <c r="B1091" s="271">
        <v>8</v>
      </c>
      <c r="D1091" s="96"/>
      <c r="E1091" s="96"/>
    </row>
    <row r="1092" spans="1:5" ht="12.75" customHeight="1">
      <c r="A1092" s="96" t="s">
        <v>30</v>
      </c>
      <c r="B1092" s="271">
        <v>6</v>
      </c>
      <c r="D1092" s="96"/>
      <c r="E1092" s="96"/>
    </row>
    <row r="1093" spans="1:5" ht="12.75" customHeight="1">
      <c r="A1093" s="96" t="s">
        <v>31</v>
      </c>
      <c r="B1093" s="271">
        <v>9</v>
      </c>
      <c r="D1093" s="96"/>
      <c r="E1093" s="96"/>
    </row>
    <row r="1094" spans="1:5" ht="12.75" customHeight="1">
      <c r="A1094" s="96" t="s">
        <v>32</v>
      </c>
      <c r="B1094" s="271">
        <v>15</v>
      </c>
      <c r="D1094" s="96"/>
      <c r="E1094" s="96"/>
    </row>
    <row r="1095" spans="1:5" ht="5.0999999999999996" customHeight="1">
      <c r="A1095" s="96"/>
      <c r="B1095" s="271"/>
      <c r="D1095" s="96"/>
      <c r="E1095" s="96"/>
    </row>
    <row r="1096" spans="1:5" ht="12.75" customHeight="1">
      <c r="A1096" s="93" t="s">
        <v>169</v>
      </c>
      <c r="B1096" s="272">
        <v>35</v>
      </c>
      <c r="D1096" s="96"/>
      <c r="E1096" s="96"/>
    </row>
    <row r="1097" spans="1:5" ht="5.0999999999999996" customHeight="1">
      <c r="A1097" s="96"/>
      <c r="B1097" s="271"/>
      <c r="D1097" s="96"/>
      <c r="E1097" s="96"/>
    </row>
    <row r="1098" spans="1:5" ht="12.75" customHeight="1">
      <c r="A1098" s="96" t="s">
        <v>21</v>
      </c>
      <c r="B1098" s="271">
        <v>3</v>
      </c>
      <c r="D1098" s="96"/>
      <c r="E1098" s="96"/>
    </row>
    <row r="1099" spans="1:5" ht="12.75" customHeight="1">
      <c r="A1099" s="96" t="s">
        <v>22</v>
      </c>
      <c r="B1099" s="271">
        <v>2</v>
      </c>
      <c r="D1099" s="96"/>
      <c r="E1099" s="96"/>
    </row>
    <row r="1100" spans="1:5" s="92" customFormat="1" ht="12.75" customHeight="1">
      <c r="A1100" s="96" t="s">
        <v>23</v>
      </c>
      <c r="B1100" s="271">
        <v>3</v>
      </c>
      <c r="D1100" s="96"/>
      <c r="E1100" s="96"/>
    </row>
    <row r="1101" spans="1:5" ht="12.75" customHeight="1">
      <c r="A1101" s="96" t="s">
        <v>24</v>
      </c>
      <c r="B1101" s="271">
        <v>3</v>
      </c>
      <c r="D1101" s="96"/>
      <c r="E1101" s="96"/>
    </row>
    <row r="1102" spans="1:5" ht="12.75" customHeight="1">
      <c r="A1102" s="96" t="s">
        <v>25</v>
      </c>
      <c r="B1102" s="271">
        <v>3</v>
      </c>
      <c r="D1102" s="96"/>
      <c r="E1102" s="96"/>
    </row>
    <row r="1103" spans="1:5" ht="12.75" customHeight="1">
      <c r="A1103" s="96" t="s">
        <v>26</v>
      </c>
      <c r="B1103" s="271">
        <v>3</v>
      </c>
      <c r="D1103" s="96"/>
      <c r="E1103" s="96"/>
    </row>
    <row r="1104" spans="1:5" ht="12.75" customHeight="1">
      <c r="A1104" s="96" t="s">
        <v>27</v>
      </c>
      <c r="B1104" s="271">
        <v>4</v>
      </c>
      <c r="D1104" s="96"/>
      <c r="E1104" s="96"/>
    </row>
    <row r="1105" spans="1:5" ht="12.75" customHeight="1">
      <c r="A1105" s="96" t="s">
        <v>28</v>
      </c>
      <c r="B1105" s="271">
        <v>3</v>
      </c>
      <c r="D1105" s="96"/>
      <c r="E1105" s="96"/>
    </row>
    <row r="1106" spans="1:5" ht="12.75" customHeight="1">
      <c r="A1106" s="96" t="s">
        <v>29</v>
      </c>
      <c r="B1106" s="271">
        <v>1</v>
      </c>
      <c r="D1106" s="96"/>
      <c r="E1106" s="96"/>
    </row>
    <row r="1107" spans="1:5" ht="12.75" customHeight="1">
      <c r="A1107" s="96" t="s">
        <v>30</v>
      </c>
      <c r="B1107" s="271">
        <v>1</v>
      </c>
      <c r="D1107" s="96"/>
      <c r="E1107" s="96"/>
    </row>
    <row r="1108" spans="1:5" ht="12.75" customHeight="1">
      <c r="A1108" s="96" t="s">
        <v>31</v>
      </c>
      <c r="B1108" s="271">
        <v>5</v>
      </c>
      <c r="D1108" s="96"/>
      <c r="E1108" s="96"/>
    </row>
    <row r="1109" spans="1:5" ht="12.75" customHeight="1">
      <c r="A1109" s="96" t="s">
        <v>32</v>
      </c>
      <c r="B1109" s="271">
        <v>4</v>
      </c>
      <c r="D1109" s="96"/>
      <c r="E1109" s="96"/>
    </row>
    <row r="1110" spans="1:5" ht="5.0999999999999996" customHeight="1">
      <c r="A1110" s="96"/>
      <c r="B1110" s="271"/>
      <c r="D1110" s="96"/>
      <c r="E1110" s="96"/>
    </row>
    <row r="1111" spans="1:5" ht="12.75" customHeight="1">
      <c r="A1111" s="93" t="s">
        <v>170</v>
      </c>
      <c r="B1111" s="272">
        <v>166</v>
      </c>
      <c r="D1111" s="96"/>
      <c r="E1111" s="96"/>
    </row>
    <row r="1112" spans="1:5" ht="5.0999999999999996" customHeight="1">
      <c r="A1112" s="96"/>
      <c r="B1112" s="271"/>
      <c r="D1112" s="96"/>
      <c r="E1112" s="96"/>
    </row>
    <row r="1113" spans="1:5" ht="12.75" customHeight="1">
      <c r="A1113" s="96" t="s">
        <v>21</v>
      </c>
      <c r="B1113" s="271">
        <v>14</v>
      </c>
      <c r="D1113" s="96"/>
      <c r="E1113" s="96"/>
    </row>
    <row r="1114" spans="1:5" ht="12.75" customHeight="1">
      <c r="A1114" s="96" t="s">
        <v>22</v>
      </c>
      <c r="B1114" s="271">
        <v>16</v>
      </c>
      <c r="D1114" s="96"/>
      <c r="E1114" s="96"/>
    </row>
    <row r="1115" spans="1:5" ht="12.75" customHeight="1">
      <c r="A1115" s="96" t="s">
        <v>23</v>
      </c>
      <c r="B1115" s="271">
        <v>20</v>
      </c>
      <c r="D1115" s="96"/>
      <c r="E1115" s="96"/>
    </row>
    <row r="1116" spans="1:5" ht="12.75" customHeight="1">
      <c r="A1116" s="96" t="s">
        <v>24</v>
      </c>
      <c r="B1116" s="271">
        <v>5</v>
      </c>
      <c r="D1116" s="96"/>
      <c r="E1116" s="96"/>
    </row>
    <row r="1117" spans="1:5" s="92" customFormat="1" ht="12.75" customHeight="1">
      <c r="A1117" s="96" t="s">
        <v>25</v>
      </c>
      <c r="B1117" s="271">
        <v>15</v>
      </c>
      <c r="D1117" s="96"/>
      <c r="E1117" s="96"/>
    </row>
    <row r="1118" spans="1:5" ht="12.75" customHeight="1">
      <c r="A1118" s="96" t="s">
        <v>26</v>
      </c>
      <c r="B1118" s="271">
        <v>15</v>
      </c>
      <c r="D1118" s="96"/>
      <c r="E1118" s="96"/>
    </row>
    <row r="1119" spans="1:5" ht="12.75" customHeight="1">
      <c r="A1119" s="96" t="s">
        <v>27</v>
      </c>
      <c r="B1119" s="271">
        <v>8</v>
      </c>
      <c r="D1119" s="96"/>
      <c r="E1119" s="96"/>
    </row>
    <row r="1120" spans="1:5" ht="12.75" customHeight="1">
      <c r="A1120" s="96" t="s">
        <v>28</v>
      </c>
      <c r="B1120" s="271">
        <v>11</v>
      </c>
      <c r="D1120" s="96"/>
      <c r="E1120" s="96"/>
    </row>
    <row r="1121" spans="1:5" ht="12.75" customHeight="1">
      <c r="A1121" s="96" t="s">
        <v>29</v>
      </c>
      <c r="B1121" s="271">
        <v>18</v>
      </c>
      <c r="D1121" s="96"/>
      <c r="E1121" s="96"/>
    </row>
    <row r="1122" spans="1:5" ht="12.75" customHeight="1">
      <c r="A1122" s="96" t="s">
        <v>30</v>
      </c>
      <c r="B1122" s="271">
        <v>14</v>
      </c>
      <c r="D1122" s="96"/>
      <c r="E1122" s="96"/>
    </row>
    <row r="1123" spans="1:5" ht="12.75" customHeight="1">
      <c r="A1123" s="96" t="s">
        <v>31</v>
      </c>
      <c r="B1123" s="271">
        <v>17</v>
      </c>
      <c r="D1123" s="96"/>
      <c r="E1123" s="96"/>
    </row>
    <row r="1124" spans="1:5" ht="12.75" customHeight="1">
      <c r="A1124" s="96" t="s">
        <v>32</v>
      </c>
      <c r="B1124" s="271">
        <v>13</v>
      </c>
      <c r="D1124" s="96"/>
      <c r="E1124" s="96"/>
    </row>
    <row r="1125" spans="1:5" ht="5.0999999999999996" customHeight="1">
      <c r="A1125" s="96"/>
      <c r="B1125" s="271"/>
      <c r="D1125" s="96"/>
      <c r="E1125" s="96"/>
    </row>
    <row r="1126" spans="1:5" ht="12.75" customHeight="1">
      <c r="A1126" s="93" t="s">
        <v>171</v>
      </c>
      <c r="B1126" s="272">
        <v>59</v>
      </c>
      <c r="D1126" s="96"/>
      <c r="E1126" s="96"/>
    </row>
    <row r="1127" spans="1:5" ht="5.0999999999999996" customHeight="1">
      <c r="A1127" s="96"/>
      <c r="B1127" s="271"/>
      <c r="D1127" s="96"/>
      <c r="E1127" s="96"/>
    </row>
    <row r="1128" spans="1:5" ht="12.75" customHeight="1">
      <c r="A1128" s="96" t="s">
        <v>21</v>
      </c>
      <c r="B1128" s="271">
        <v>8</v>
      </c>
      <c r="D1128" s="96"/>
      <c r="E1128" s="96"/>
    </row>
    <row r="1129" spans="1:5" ht="12.75" customHeight="1">
      <c r="A1129" s="96" t="s">
        <v>22</v>
      </c>
      <c r="B1129" s="271">
        <v>3</v>
      </c>
      <c r="D1129" s="96"/>
      <c r="E1129" s="96"/>
    </row>
    <row r="1130" spans="1:5" ht="12.75" customHeight="1">
      <c r="A1130" s="96" t="s">
        <v>23</v>
      </c>
      <c r="B1130" s="271">
        <v>8</v>
      </c>
      <c r="D1130" s="96"/>
      <c r="E1130" s="96"/>
    </row>
    <row r="1131" spans="1:5" ht="12.75" customHeight="1">
      <c r="A1131" s="96" t="s">
        <v>24</v>
      </c>
      <c r="B1131" s="271">
        <v>3</v>
      </c>
      <c r="D1131" s="96"/>
      <c r="E1131" s="96"/>
    </row>
    <row r="1132" spans="1:5" ht="12.75" customHeight="1">
      <c r="A1132" s="96" t="s">
        <v>25</v>
      </c>
      <c r="B1132" s="271">
        <v>4</v>
      </c>
      <c r="D1132" s="96"/>
      <c r="E1132" s="96"/>
    </row>
    <row r="1133" spans="1:5" ht="12.75" customHeight="1">
      <c r="A1133" s="96" t="s">
        <v>26</v>
      </c>
      <c r="B1133" s="271">
        <v>5</v>
      </c>
      <c r="D1133" s="96"/>
      <c r="E1133" s="96"/>
    </row>
    <row r="1134" spans="1:5" s="92" customFormat="1" ht="12.75" customHeight="1">
      <c r="A1134" s="96" t="s">
        <v>27</v>
      </c>
      <c r="B1134" s="271">
        <v>3</v>
      </c>
      <c r="D1134" s="96"/>
      <c r="E1134" s="96"/>
    </row>
    <row r="1135" spans="1:5" ht="12.75" customHeight="1">
      <c r="A1135" s="96" t="s">
        <v>28</v>
      </c>
      <c r="B1135" s="271">
        <v>5</v>
      </c>
      <c r="D1135" s="96"/>
      <c r="E1135" s="96"/>
    </row>
    <row r="1136" spans="1:5" ht="12.75" customHeight="1">
      <c r="A1136" s="96" t="s">
        <v>29</v>
      </c>
      <c r="B1136" s="271">
        <v>5</v>
      </c>
      <c r="D1136" s="96"/>
      <c r="E1136" s="96"/>
    </row>
    <row r="1137" spans="1:5" ht="12.75" customHeight="1">
      <c r="A1137" s="96" t="s">
        <v>30</v>
      </c>
      <c r="B1137" s="271">
        <v>2</v>
      </c>
      <c r="D1137" s="96"/>
      <c r="E1137" s="96"/>
    </row>
    <row r="1138" spans="1:5" ht="12.75" customHeight="1">
      <c r="A1138" s="96" t="s">
        <v>31</v>
      </c>
      <c r="B1138" s="271">
        <v>8</v>
      </c>
      <c r="D1138" s="96"/>
      <c r="E1138" s="96"/>
    </row>
    <row r="1139" spans="1:5" ht="12.75" customHeight="1">
      <c r="A1139" s="96" t="s">
        <v>32</v>
      </c>
      <c r="B1139" s="271">
        <v>5</v>
      </c>
      <c r="D1139" s="96"/>
      <c r="E1139" s="96"/>
    </row>
    <row r="1140" spans="1:5" ht="5.0999999999999996" customHeight="1">
      <c r="A1140" s="96"/>
      <c r="B1140" s="271"/>
      <c r="D1140" s="96"/>
      <c r="E1140" s="96"/>
    </row>
    <row r="1141" spans="1:5" ht="12.75" customHeight="1">
      <c r="A1141" s="93" t="s">
        <v>172</v>
      </c>
      <c r="B1141" s="272">
        <v>69</v>
      </c>
      <c r="D1141" s="96"/>
      <c r="E1141" s="96"/>
    </row>
    <row r="1142" spans="1:5" ht="5.0999999999999996" customHeight="1">
      <c r="A1142" s="96"/>
      <c r="B1142" s="271"/>
      <c r="D1142" s="96"/>
      <c r="E1142" s="96"/>
    </row>
    <row r="1143" spans="1:5" ht="12.75" customHeight="1">
      <c r="A1143" s="96" t="s">
        <v>21</v>
      </c>
      <c r="B1143" s="271">
        <v>4</v>
      </c>
      <c r="D1143" s="96"/>
      <c r="E1143" s="96"/>
    </row>
    <row r="1144" spans="1:5" ht="12.75" customHeight="1">
      <c r="A1144" s="96" t="s">
        <v>22</v>
      </c>
      <c r="B1144" s="271">
        <v>6</v>
      </c>
      <c r="D1144" s="96"/>
      <c r="E1144" s="96"/>
    </row>
    <row r="1145" spans="1:5" ht="12.75" customHeight="1">
      <c r="A1145" s="96" t="s">
        <v>23</v>
      </c>
      <c r="B1145" s="271">
        <v>7</v>
      </c>
      <c r="D1145" s="96"/>
      <c r="E1145" s="96"/>
    </row>
    <row r="1146" spans="1:5" ht="12.75" customHeight="1">
      <c r="A1146" s="96" t="s">
        <v>24</v>
      </c>
      <c r="B1146" s="271">
        <v>5</v>
      </c>
      <c r="D1146" s="96"/>
      <c r="E1146" s="96"/>
    </row>
    <row r="1147" spans="1:5" ht="12.75" customHeight="1">
      <c r="A1147" s="96" t="s">
        <v>25</v>
      </c>
      <c r="B1147" s="271">
        <v>2</v>
      </c>
      <c r="D1147" s="96"/>
      <c r="E1147" s="96"/>
    </row>
    <row r="1148" spans="1:5" ht="12.75" customHeight="1">
      <c r="A1148" s="96" t="s">
        <v>26</v>
      </c>
      <c r="B1148" s="271">
        <v>4</v>
      </c>
      <c r="D1148" s="96"/>
      <c r="E1148" s="96"/>
    </row>
    <row r="1149" spans="1:5" ht="12.75" customHeight="1">
      <c r="A1149" s="96" t="s">
        <v>27</v>
      </c>
      <c r="B1149" s="271">
        <v>5</v>
      </c>
      <c r="D1149" s="96"/>
      <c r="E1149" s="96"/>
    </row>
    <row r="1150" spans="1:5" ht="12.75" customHeight="1">
      <c r="A1150" s="96" t="s">
        <v>28</v>
      </c>
      <c r="B1150" s="271">
        <v>7</v>
      </c>
      <c r="D1150" s="96"/>
      <c r="E1150" s="96"/>
    </row>
    <row r="1151" spans="1:5" s="92" customFormat="1" ht="12.75" customHeight="1">
      <c r="A1151" s="96" t="s">
        <v>29</v>
      </c>
      <c r="B1151" s="271">
        <v>4</v>
      </c>
      <c r="D1151" s="96"/>
      <c r="E1151" s="96"/>
    </row>
    <row r="1152" spans="1:5" ht="12.75" customHeight="1">
      <c r="A1152" s="96" t="s">
        <v>30</v>
      </c>
      <c r="B1152" s="271">
        <v>5</v>
      </c>
      <c r="D1152" s="96"/>
      <c r="E1152" s="96"/>
    </row>
    <row r="1153" spans="1:5" ht="12.75" customHeight="1">
      <c r="A1153" s="96" t="s">
        <v>31</v>
      </c>
      <c r="B1153" s="271">
        <v>3</v>
      </c>
      <c r="D1153" s="96"/>
      <c r="E1153" s="96"/>
    </row>
    <row r="1154" spans="1:5" ht="12.75" customHeight="1">
      <c r="A1154" s="96" t="s">
        <v>32</v>
      </c>
      <c r="B1154" s="271">
        <v>17</v>
      </c>
      <c r="D1154" s="96"/>
      <c r="E1154" s="96"/>
    </row>
    <row r="1155" spans="1:5" ht="5.0999999999999996" customHeight="1">
      <c r="A1155" s="96"/>
      <c r="B1155" s="271"/>
      <c r="D1155" s="96"/>
      <c r="E1155" s="96"/>
    </row>
    <row r="1156" spans="1:5" ht="12.75" customHeight="1">
      <c r="A1156" s="93" t="s">
        <v>173</v>
      </c>
      <c r="B1156" s="272">
        <v>211</v>
      </c>
      <c r="D1156" s="96"/>
      <c r="E1156" s="96"/>
    </row>
    <row r="1157" spans="1:5" ht="5.0999999999999996" customHeight="1">
      <c r="A1157" s="96"/>
      <c r="B1157" s="271"/>
      <c r="D1157" s="96"/>
      <c r="E1157" s="96"/>
    </row>
    <row r="1158" spans="1:5" ht="12.75" customHeight="1">
      <c r="A1158" s="96" t="s">
        <v>21</v>
      </c>
      <c r="B1158" s="271">
        <v>19</v>
      </c>
      <c r="D1158" s="96"/>
      <c r="E1158" s="96"/>
    </row>
    <row r="1159" spans="1:5" ht="12.75" customHeight="1">
      <c r="A1159" s="96" t="s">
        <v>22</v>
      </c>
      <c r="B1159" s="271">
        <v>21</v>
      </c>
      <c r="D1159" s="96"/>
      <c r="E1159" s="96"/>
    </row>
    <row r="1160" spans="1:5" ht="12.75" customHeight="1">
      <c r="A1160" s="96" t="s">
        <v>23</v>
      </c>
      <c r="B1160" s="271">
        <v>30</v>
      </c>
      <c r="D1160" s="96"/>
      <c r="E1160" s="96"/>
    </row>
    <row r="1161" spans="1:5" ht="12.75" customHeight="1">
      <c r="A1161" s="96" t="s">
        <v>24</v>
      </c>
      <c r="B1161" s="271">
        <v>4</v>
      </c>
      <c r="D1161" s="96"/>
      <c r="E1161" s="96"/>
    </row>
    <row r="1162" spans="1:5" ht="12.75" customHeight="1">
      <c r="A1162" s="96" t="s">
        <v>25</v>
      </c>
      <c r="B1162" s="271">
        <v>22</v>
      </c>
      <c r="D1162" s="96"/>
      <c r="E1162" s="96"/>
    </row>
    <row r="1163" spans="1:5" ht="12.75" customHeight="1">
      <c r="A1163" s="96" t="s">
        <v>26</v>
      </c>
      <c r="B1163" s="271">
        <v>22</v>
      </c>
      <c r="D1163" s="96"/>
      <c r="E1163" s="96"/>
    </row>
    <row r="1164" spans="1:5" ht="12.75" customHeight="1">
      <c r="A1164" s="96" t="s">
        <v>27</v>
      </c>
      <c r="B1164" s="271">
        <v>23</v>
      </c>
      <c r="D1164" s="96"/>
      <c r="E1164" s="96"/>
    </row>
    <row r="1165" spans="1:5" ht="12.75" customHeight="1">
      <c r="A1165" s="96" t="s">
        <v>28</v>
      </c>
      <c r="B1165" s="271">
        <v>18</v>
      </c>
      <c r="D1165" s="96"/>
      <c r="E1165" s="96"/>
    </row>
    <row r="1166" spans="1:5" ht="12.75" customHeight="1">
      <c r="A1166" s="96" t="s">
        <v>29</v>
      </c>
      <c r="B1166" s="271">
        <v>2</v>
      </c>
      <c r="D1166" s="96"/>
      <c r="E1166" s="96"/>
    </row>
    <row r="1167" spans="1:5" ht="12.75" customHeight="1">
      <c r="A1167" s="96" t="s">
        <v>30</v>
      </c>
      <c r="B1167" s="271">
        <v>24</v>
      </c>
      <c r="D1167" s="96"/>
      <c r="E1167" s="96"/>
    </row>
    <row r="1168" spans="1:5" s="92" customFormat="1" ht="12.75" customHeight="1">
      <c r="A1168" s="96" t="s">
        <v>31</v>
      </c>
      <c r="B1168" s="271">
        <v>10</v>
      </c>
      <c r="D1168" s="96"/>
      <c r="E1168" s="96"/>
    </row>
    <row r="1169" spans="1:5" ht="12.75" customHeight="1">
      <c r="A1169" s="96" t="s">
        <v>32</v>
      </c>
      <c r="B1169" s="271">
        <v>16</v>
      </c>
      <c r="D1169" s="96"/>
      <c r="E1169" s="96"/>
    </row>
    <row r="1170" spans="1:5" ht="5.0999999999999996" customHeight="1">
      <c r="A1170" s="96"/>
      <c r="B1170" s="271"/>
      <c r="D1170" s="96"/>
      <c r="E1170" s="96"/>
    </row>
    <row r="1171" spans="1:5" ht="12.75" customHeight="1">
      <c r="A1171" s="93" t="s">
        <v>174</v>
      </c>
      <c r="B1171" s="272">
        <v>53</v>
      </c>
      <c r="D1171" s="96"/>
      <c r="E1171" s="96"/>
    </row>
    <row r="1172" spans="1:5" ht="5.0999999999999996" customHeight="1">
      <c r="A1172" s="96"/>
      <c r="B1172" s="271"/>
      <c r="D1172" s="96"/>
      <c r="E1172" s="96"/>
    </row>
    <row r="1173" spans="1:5" ht="12.75" customHeight="1">
      <c r="A1173" s="96" t="s">
        <v>21</v>
      </c>
      <c r="B1173" s="271">
        <v>6</v>
      </c>
      <c r="D1173" s="96"/>
      <c r="E1173" s="96"/>
    </row>
    <row r="1174" spans="1:5" ht="12.75" customHeight="1">
      <c r="A1174" s="96" t="s">
        <v>22</v>
      </c>
      <c r="B1174" s="271">
        <v>2</v>
      </c>
      <c r="D1174" s="96"/>
      <c r="E1174" s="96"/>
    </row>
    <row r="1175" spans="1:5" ht="12.75" customHeight="1">
      <c r="A1175" s="96" t="s">
        <v>23</v>
      </c>
      <c r="B1175" s="271">
        <v>4</v>
      </c>
      <c r="D1175" s="96"/>
      <c r="E1175" s="96"/>
    </row>
    <row r="1176" spans="1:5" ht="12.75" customHeight="1">
      <c r="A1176" s="96" t="s">
        <v>24</v>
      </c>
      <c r="B1176" s="271">
        <v>2</v>
      </c>
      <c r="D1176" s="96"/>
      <c r="E1176" s="96"/>
    </row>
    <row r="1177" spans="1:5" ht="12.75" customHeight="1">
      <c r="A1177" s="96" t="s">
        <v>25</v>
      </c>
      <c r="B1177" s="271">
        <v>2</v>
      </c>
      <c r="D1177" s="96"/>
      <c r="E1177" s="96"/>
    </row>
    <row r="1178" spans="1:5" ht="12.75" customHeight="1">
      <c r="A1178" s="96" t="s">
        <v>26</v>
      </c>
      <c r="B1178" s="271">
        <v>3</v>
      </c>
      <c r="D1178" s="96"/>
      <c r="E1178" s="96"/>
    </row>
    <row r="1179" spans="1:5" ht="12.75" customHeight="1">
      <c r="A1179" s="96" t="s">
        <v>27</v>
      </c>
      <c r="B1179" s="271">
        <v>7</v>
      </c>
      <c r="D1179" s="96"/>
      <c r="E1179" s="96"/>
    </row>
    <row r="1180" spans="1:5" ht="12.75" customHeight="1">
      <c r="A1180" s="96" t="s">
        <v>28</v>
      </c>
      <c r="B1180" s="271">
        <v>2</v>
      </c>
      <c r="D1180" s="96"/>
      <c r="E1180" s="96"/>
    </row>
    <row r="1181" spans="1:5" ht="12.75" customHeight="1">
      <c r="A1181" s="96" t="s">
        <v>29</v>
      </c>
      <c r="B1181" s="271">
        <v>9</v>
      </c>
      <c r="D1181" s="96"/>
      <c r="E1181" s="96"/>
    </row>
    <row r="1182" spans="1:5" ht="12.75" customHeight="1">
      <c r="A1182" s="96" t="s">
        <v>30</v>
      </c>
      <c r="B1182" s="271">
        <v>8</v>
      </c>
      <c r="D1182" s="96"/>
      <c r="E1182" s="96"/>
    </row>
    <row r="1183" spans="1:5" ht="12.75" customHeight="1">
      <c r="A1183" s="96" t="s">
        <v>31</v>
      </c>
      <c r="B1183" s="271">
        <v>2</v>
      </c>
      <c r="D1183" s="96"/>
      <c r="E1183" s="96"/>
    </row>
    <row r="1184" spans="1:5" ht="12.75" customHeight="1">
      <c r="A1184" s="96" t="s">
        <v>32</v>
      </c>
      <c r="B1184" s="271">
        <v>6</v>
      </c>
      <c r="D1184" s="96"/>
      <c r="E1184" s="96"/>
    </row>
    <row r="1185" spans="1:5" ht="5.0999999999999996" customHeight="1">
      <c r="A1185" s="96"/>
      <c r="B1185" s="271"/>
      <c r="D1185" s="96"/>
      <c r="E1185" s="96"/>
    </row>
    <row r="1186" spans="1:5" s="92" customFormat="1" ht="12.75" customHeight="1">
      <c r="A1186" s="93" t="s">
        <v>175</v>
      </c>
      <c r="B1186" s="272">
        <v>179</v>
      </c>
      <c r="D1186" s="96"/>
      <c r="E1186" s="96"/>
    </row>
    <row r="1187" spans="1:5" s="92" customFormat="1" ht="5.0999999999999996" customHeight="1">
      <c r="A1187" s="96"/>
      <c r="B1187" s="271"/>
      <c r="D1187" s="96"/>
      <c r="E1187" s="96"/>
    </row>
    <row r="1188" spans="1:5" ht="12.75" customHeight="1">
      <c r="A1188" s="96" t="s">
        <v>21</v>
      </c>
      <c r="B1188" s="271">
        <v>21</v>
      </c>
      <c r="D1188" s="96"/>
      <c r="E1188" s="96"/>
    </row>
    <row r="1189" spans="1:5" ht="12.75" customHeight="1">
      <c r="A1189" s="96" t="s">
        <v>22</v>
      </c>
      <c r="B1189" s="271">
        <v>9</v>
      </c>
      <c r="D1189" s="96"/>
      <c r="E1189" s="96"/>
    </row>
    <row r="1190" spans="1:5" ht="12.75" customHeight="1">
      <c r="A1190" s="96" t="s">
        <v>23</v>
      </c>
      <c r="B1190" s="271">
        <v>15</v>
      </c>
      <c r="D1190" s="96"/>
      <c r="E1190" s="96"/>
    </row>
    <row r="1191" spans="1:5" ht="12.75" customHeight="1">
      <c r="A1191" s="96" t="s">
        <v>24</v>
      </c>
      <c r="B1191" s="271">
        <v>15</v>
      </c>
      <c r="D1191" s="96"/>
      <c r="E1191" s="96"/>
    </row>
    <row r="1192" spans="1:5" ht="12.75" customHeight="1">
      <c r="A1192" s="96" t="s">
        <v>25</v>
      </c>
      <c r="B1192" s="271">
        <v>14</v>
      </c>
      <c r="D1192" s="96"/>
      <c r="E1192" s="96"/>
    </row>
    <row r="1193" spans="1:5" ht="12.75" customHeight="1">
      <c r="A1193" s="96" t="s">
        <v>26</v>
      </c>
      <c r="B1193" s="271">
        <v>10</v>
      </c>
      <c r="D1193" s="96"/>
      <c r="E1193" s="96"/>
    </row>
    <row r="1194" spans="1:5" ht="12.75" customHeight="1">
      <c r="A1194" s="96" t="s">
        <v>27</v>
      </c>
      <c r="B1194" s="271">
        <v>17</v>
      </c>
      <c r="D1194" s="96"/>
      <c r="E1194" s="96"/>
    </row>
    <row r="1195" spans="1:5" ht="12.75" customHeight="1">
      <c r="A1195" s="96" t="s">
        <v>28</v>
      </c>
      <c r="B1195" s="271">
        <v>10</v>
      </c>
      <c r="D1195" s="96"/>
      <c r="E1195" s="96"/>
    </row>
    <row r="1196" spans="1:5" ht="12.75" customHeight="1">
      <c r="A1196" s="96" t="s">
        <v>29</v>
      </c>
      <c r="B1196" s="271">
        <v>9</v>
      </c>
      <c r="D1196" s="96"/>
      <c r="E1196" s="96"/>
    </row>
    <row r="1197" spans="1:5" ht="12.75" customHeight="1">
      <c r="A1197" s="96" t="s">
        <v>30</v>
      </c>
      <c r="B1197" s="271">
        <v>12</v>
      </c>
      <c r="D1197" s="96"/>
      <c r="E1197" s="96"/>
    </row>
    <row r="1198" spans="1:5" ht="12.75" customHeight="1">
      <c r="A1198" s="96" t="s">
        <v>31</v>
      </c>
      <c r="B1198" s="271">
        <v>15</v>
      </c>
      <c r="D1198" s="96"/>
      <c r="E1198" s="96"/>
    </row>
    <row r="1199" spans="1:5" ht="12.75" customHeight="1">
      <c r="A1199" s="96" t="s">
        <v>32</v>
      </c>
      <c r="B1199" s="271">
        <v>32</v>
      </c>
      <c r="D1199" s="96"/>
      <c r="E1199" s="96"/>
    </row>
    <row r="1200" spans="1:5" ht="5.0999999999999996" customHeight="1">
      <c r="A1200" s="96"/>
      <c r="B1200" s="271"/>
      <c r="D1200" s="96"/>
      <c r="E1200" s="96"/>
    </row>
    <row r="1201" spans="1:5" ht="12.75" customHeight="1">
      <c r="A1201" s="93" t="s">
        <v>176</v>
      </c>
      <c r="B1201" s="272">
        <v>258</v>
      </c>
      <c r="D1201" s="96"/>
      <c r="E1201" s="96"/>
    </row>
    <row r="1202" spans="1:5" ht="5.0999999999999996" customHeight="1">
      <c r="A1202" s="96"/>
      <c r="B1202" s="271"/>
      <c r="D1202" s="96"/>
      <c r="E1202" s="96"/>
    </row>
    <row r="1203" spans="1:5" ht="12.75" customHeight="1">
      <c r="A1203" s="96" t="s">
        <v>21</v>
      </c>
      <c r="B1203" s="271">
        <v>24</v>
      </c>
      <c r="D1203" s="96"/>
      <c r="E1203" s="96"/>
    </row>
    <row r="1204" spans="1:5" s="92" customFormat="1" ht="12.75" customHeight="1">
      <c r="A1204" s="96" t="s">
        <v>22</v>
      </c>
      <c r="B1204" s="271">
        <v>14</v>
      </c>
      <c r="D1204" s="96"/>
      <c r="E1204" s="96"/>
    </row>
    <row r="1205" spans="1:5" ht="12.75" customHeight="1">
      <c r="A1205" s="96" t="s">
        <v>23</v>
      </c>
      <c r="B1205" s="271">
        <v>30</v>
      </c>
      <c r="D1205" s="96"/>
      <c r="E1205" s="96"/>
    </row>
    <row r="1206" spans="1:5" ht="12.75" customHeight="1">
      <c r="A1206" s="96" t="s">
        <v>24</v>
      </c>
      <c r="B1206" s="271">
        <v>24</v>
      </c>
      <c r="D1206" s="96"/>
      <c r="E1206" s="96"/>
    </row>
    <row r="1207" spans="1:5" ht="12.75" customHeight="1">
      <c r="A1207" s="96" t="s">
        <v>25</v>
      </c>
      <c r="B1207" s="271">
        <v>12</v>
      </c>
      <c r="D1207" s="96"/>
      <c r="E1207" s="96"/>
    </row>
    <row r="1208" spans="1:5" ht="12.75" customHeight="1">
      <c r="A1208" s="96" t="s">
        <v>26</v>
      </c>
      <c r="B1208" s="271">
        <v>20</v>
      </c>
      <c r="D1208" s="96"/>
      <c r="E1208" s="96"/>
    </row>
    <row r="1209" spans="1:5" ht="12.75" customHeight="1">
      <c r="A1209" s="96" t="s">
        <v>27</v>
      </c>
      <c r="B1209" s="271">
        <v>23</v>
      </c>
      <c r="D1209" s="96"/>
      <c r="E1209" s="96"/>
    </row>
    <row r="1210" spans="1:5" ht="12.75" customHeight="1">
      <c r="A1210" s="96" t="s">
        <v>28</v>
      </c>
      <c r="B1210" s="271">
        <v>28</v>
      </c>
      <c r="D1210" s="96"/>
      <c r="E1210" s="96"/>
    </row>
    <row r="1211" spans="1:5" ht="12.75" customHeight="1">
      <c r="A1211" s="96" t="s">
        <v>29</v>
      </c>
      <c r="B1211" s="271">
        <v>19</v>
      </c>
      <c r="D1211" s="96"/>
      <c r="E1211" s="96"/>
    </row>
    <row r="1212" spans="1:5" ht="12.75" customHeight="1">
      <c r="A1212" s="96" t="s">
        <v>30</v>
      </c>
      <c r="B1212" s="271">
        <v>15</v>
      </c>
      <c r="D1212" s="96"/>
      <c r="E1212" s="96"/>
    </row>
    <row r="1213" spans="1:5" ht="12.75" customHeight="1">
      <c r="A1213" s="96" t="s">
        <v>31</v>
      </c>
      <c r="B1213" s="271">
        <v>19</v>
      </c>
      <c r="D1213" s="96"/>
      <c r="E1213" s="96"/>
    </row>
    <row r="1214" spans="1:5" ht="12.75" customHeight="1">
      <c r="A1214" s="96" t="s">
        <v>32</v>
      </c>
      <c r="B1214" s="271">
        <v>30</v>
      </c>
      <c r="D1214" s="96"/>
      <c r="E1214" s="96"/>
    </row>
    <row r="1215" spans="1:5" ht="5.0999999999999996" customHeight="1">
      <c r="A1215" s="96"/>
      <c r="B1215" s="271"/>
      <c r="D1215" s="96"/>
      <c r="E1215" s="96"/>
    </row>
    <row r="1216" spans="1:5" ht="12.75" customHeight="1">
      <c r="A1216" s="93" t="s">
        <v>177</v>
      </c>
      <c r="B1216" s="272">
        <v>172</v>
      </c>
      <c r="D1216" s="96"/>
      <c r="E1216" s="96"/>
    </row>
    <row r="1217" spans="1:5" ht="5.0999999999999996" customHeight="1">
      <c r="A1217" s="96"/>
      <c r="B1217" s="271"/>
      <c r="D1217" s="96"/>
      <c r="E1217" s="96"/>
    </row>
    <row r="1218" spans="1:5" ht="12.75" customHeight="1">
      <c r="A1218" s="96" t="s">
        <v>21</v>
      </c>
      <c r="B1218" s="271">
        <v>20</v>
      </c>
      <c r="D1218" s="96"/>
      <c r="E1218" s="96"/>
    </row>
    <row r="1219" spans="1:5" ht="12.75" customHeight="1">
      <c r="A1219" s="96" t="s">
        <v>22</v>
      </c>
      <c r="B1219" s="271">
        <v>13</v>
      </c>
      <c r="D1219" s="96"/>
      <c r="E1219" s="96"/>
    </row>
    <row r="1220" spans="1:5" ht="12.75" customHeight="1">
      <c r="A1220" s="96" t="s">
        <v>23</v>
      </c>
      <c r="B1220" s="271">
        <v>15</v>
      </c>
      <c r="D1220" s="96"/>
      <c r="E1220" s="96"/>
    </row>
    <row r="1221" spans="1:5" s="92" customFormat="1" ht="12.75" customHeight="1">
      <c r="A1221" s="96" t="s">
        <v>24</v>
      </c>
      <c r="B1221" s="271">
        <v>10</v>
      </c>
      <c r="D1221" s="96"/>
      <c r="E1221" s="96"/>
    </row>
    <row r="1222" spans="1:5" ht="12.75" customHeight="1">
      <c r="A1222" s="96" t="s">
        <v>25</v>
      </c>
      <c r="B1222" s="271">
        <v>9</v>
      </c>
      <c r="D1222" s="96"/>
      <c r="E1222" s="96"/>
    </row>
    <row r="1223" spans="1:5" ht="12.75" customHeight="1">
      <c r="A1223" s="96" t="s">
        <v>26</v>
      </c>
      <c r="B1223" s="271">
        <v>18</v>
      </c>
      <c r="D1223" s="96"/>
      <c r="E1223" s="96"/>
    </row>
    <row r="1224" spans="1:5" ht="12.75" customHeight="1">
      <c r="A1224" s="96" t="s">
        <v>27</v>
      </c>
      <c r="B1224" s="271">
        <v>14</v>
      </c>
      <c r="D1224" s="96"/>
      <c r="E1224" s="96"/>
    </row>
    <row r="1225" spans="1:5" ht="12.75" customHeight="1">
      <c r="A1225" s="96" t="s">
        <v>28</v>
      </c>
      <c r="B1225" s="271">
        <v>15</v>
      </c>
      <c r="D1225" s="96"/>
      <c r="E1225" s="96"/>
    </row>
    <row r="1226" spans="1:5" ht="12.75" customHeight="1">
      <c r="A1226" s="96" t="s">
        <v>29</v>
      </c>
      <c r="B1226" s="271">
        <v>13</v>
      </c>
      <c r="D1226" s="96"/>
      <c r="E1226" s="96"/>
    </row>
    <row r="1227" spans="1:5" ht="12.75" customHeight="1">
      <c r="A1227" s="96" t="s">
        <v>30</v>
      </c>
      <c r="B1227" s="271">
        <v>11</v>
      </c>
      <c r="D1227" s="96"/>
      <c r="E1227" s="96"/>
    </row>
    <row r="1228" spans="1:5" ht="12.75" customHeight="1">
      <c r="A1228" s="96" t="s">
        <v>31</v>
      </c>
      <c r="B1228" s="271">
        <v>9</v>
      </c>
      <c r="D1228" s="96"/>
      <c r="E1228" s="96"/>
    </row>
    <row r="1229" spans="1:5" ht="12.75" customHeight="1">
      <c r="A1229" s="96" t="s">
        <v>32</v>
      </c>
      <c r="B1229" s="271">
        <v>25</v>
      </c>
      <c r="D1229" s="96"/>
      <c r="E1229" s="96"/>
    </row>
    <row r="1230" spans="1:5" ht="5.0999999999999996" customHeight="1">
      <c r="A1230" s="96"/>
      <c r="B1230" s="271"/>
      <c r="D1230" s="96"/>
      <c r="E1230" s="96"/>
    </row>
    <row r="1231" spans="1:5" ht="12.75" customHeight="1">
      <c r="A1231" s="93" t="s">
        <v>95</v>
      </c>
      <c r="B1231" s="272">
        <v>274</v>
      </c>
      <c r="D1231" s="96"/>
      <c r="E1231" s="96"/>
    </row>
    <row r="1232" spans="1:5" ht="5.0999999999999996" customHeight="1">
      <c r="A1232" s="96"/>
      <c r="B1232" s="271"/>
      <c r="D1232" s="96"/>
      <c r="E1232" s="96"/>
    </row>
    <row r="1233" spans="1:5" ht="12.75" customHeight="1">
      <c r="A1233" s="96" t="s">
        <v>21</v>
      </c>
      <c r="B1233" s="271">
        <v>30</v>
      </c>
      <c r="D1233" s="96"/>
      <c r="E1233" s="96"/>
    </row>
    <row r="1234" spans="1:5" ht="12.75" customHeight="1">
      <c r="A1234" s="96" t="s">
        <v>22</v>
      </c>
      <c r="B1234" s="271">
        <v>20</v>
      </c>
      <c r="D1234" s="96"/>
      <c r="E1234" s="96"/>
    </row>
    <row r="1235" spans="1:5" ht="12.75" customHeight="1">
      <c r="A1235" s="96" t="s">
        <v>23</v>
      </c>
      <c r="B1235" s="271">
        <v>27</v>
      </c>
      <c r="D1235" s="96"/>
      <c r="E1235" s="96"/>
    </row>
    <row r="1236" spans="1:5" ht="12.75" customHeight="1">
      <c r="A1236" s="96" t="s">
        <v>24</v>
      </c>
      <c r="B1236" s="271">
        <v>21</v>
      </c>
      <c r="D1236" s="96"/>
      <c r="E1236" s="96"/>
    </row>
    <row r="1237" spans="1:5" ht="12.75" customHeight="1">
      <c r="A1237" s="96" t="s">
        <v>25</v>
      </c>
      <c r="B1237" s="271">
        <v>23</v>
      </c>
      <c r="D1237" s="96"/>
      <c r="E1237" s="96"/>
    </row>
    <row r="1238" spans="1:5" s="92" customFormat="1" ht="12.75" customHeight="1">
      <c r="A1238" s="96" t="s">
        <v>26</v>
      </c>
      <c r="B1238" s="271">
        <v>22</v>
      </c>
      <c r="D1238" s="96"/>
      <c r="E1238" s="96"/>
    </row>
    <row r="1239" spans="1:5" ht="12.75" customHeight="1">
      <c r="A1239" s="96" t="s">
        <v>27</v>
      </c>
      <c r="B1239" s="271">
        <v>19</v>
      </c>
      <c r="D1239" s="96"/>
      <c r="E1239" s="96"/>
    </row>
    <row r="1240" spans="1:5" ht="12.75" customHeight="1">
      <c r="A1240" s="96" t="s">
        <v>28</v>
      </c>
      <c r="B1240" s="271">
        <v>16</v>
      </c>
      <c r="D1240" s="96"/>
      <c r="E1240" s="96"/>
    </row>
    <row r="1241" spans="1:5" ht="12.75" customHeight="1">
      <c r="A1241" s="96" t="s">
        <v>29</v>
      </c>
      <c r="B1241" s="271">
        <v>13</v>
      </c>
      <c r="D1241" s="96"/>
      <c r="E1241" s="96"/>
    </row>
    <row r="1242" spans="1:5" ht="12.75" customHeight="1">
      <c r="A1242" s="96" t="s">
        <v>30</v>
      </c>
      <c r="B1242" s="271">
        <v>21</v>
      </c>
      <c r="D1242" s="96"/>
      <c r="E1242" s="96"/>
    </row>
    <row r="1243" spans="1:5" ht="12.75" customHeight="1">
      <c r="A1243" s="96" t="s">
        <v>31</v>
      </c>
      <c r="B1243" s="271">
        <v>22</v>
      </c>
      <c r="D1243" s="96"/>
      <c r="E1243" s="96"/>
    </row>
    <row r="1244" spans="1:5" ht="12.75" customHeight="1">
      <c r="A1244" s="96" t="s">
        <v>32</v>
      </c>
      <c r="B1244" s="271">
        <v>40</v>
      </c>
      <c r="D1244" s="96"/>
      <c r="E1244" s="96"/>
    </row>
    <row r="1245" spans="1:5" ht="5.0999999999999996" customHeight="1">
      <c r="A1245" s="96"/>
      <c r="B1245" s="271"/>
      <c r="D1245" s="96"/>
      <c r="E1245" s="96"/>
    </row>
    <row r="1246" spans="1:5" ht="12.75" customHeight="1">
      <c r="A1246" s="93" t="s">
        <v>178</v>
      </c>
      <c r="B1246" s="272">
        <v>74</v>
      </c>
      <c r="D1246" s="96"/>
      <c r="E1246" s="96"/>
    </row>
    <row r="1247" spans="1:5" ht="5.0999999999999996" customHeight="1">
      <c r="A1247" s="96"/>
      <c r="B1247" s="271"/>
      <c r="D1247" s="96"/>
      <c r="E1247" s="96"/>
    </row>
    <row r="1248" spans="1:5" ht="12.75" customHeight="1">
      <c r="A1248" s="96" t="s">
        <v>21</v>
      </c>
      <c r="B1248" s="271">
        <v>12</v>
      </c>
      <c r="D1248" s="96"/>
      <c r="E1248" s="96"/>
    </row>
    <row r="1249" spans="1:5" ht="12.75" customHeight="1">
      <c r="A1249" s="96" t="s">
        <v>22</v>
      </c>
      <c r="B1249" s="271">
        <v>8</v>
      </c>
      <c r="D1249" s="96"/>
      <c r="E1249" s="96"/>
    </row>
    <row r="1250" spans="1:5" ht="12.75" customHeight="1">
      <c r="A1250" s="96" t="s">
        <v>23</v>
      </c>
      <c r="B1250" s="271">
        <v>2</v>
      </c>
      <c r="D1250" s="96"/>
      <c r="E1250" s="96"/>
    </row>
    <row r="1251" spans="1:5" ht="12.75" customHeight="1">
      <c r="A1251" s="96" t="s">
        <v>24</v>
      </c>
      <c r="B1251" s="271">
        <v>3</v>
      </c>
      <c r="D1251" s="96"/>
      <c r="E1251" s="96"/>
    </row>
    <row r="1252" spans="1:5" ht="12.75" customHeight="1">
      <c r="A1252" s="96" t="s">
        <v>25</v>
      </c>
      <c r="B1252" s="271">
        <v>9</v>
      </c>
      <c r="D1252" s="96"/>
      <c r="E1252" s="96"/>
    </row>
    <row r="1253" spans="1:5" ht="12.75" customHeight="1">
      <c r="A1253" s="96" t="s">
        <v>26</v>
      </c>
      <c r="B1253" s="271">
        <v>5</v>
      </c>
      <c r="D1253" s="96"/>
      <c r="E1253" s="96"/>
    </row>
    <row r="1254" spans="1:5" ht="12.75" customHeight="1">
      <c r="A1254" s="96" t="s">
        <v>27</v>
      </c>
      <c r="B1254" s="271">
        <v>4</v>
      </c>
      <c r="D1254" s="96"/>
      <c r="E1254" s="96"/>
    </row>
    <row r="1255" spans="1:5" s="92" customFormat="1" ht="12.75" customHeight="1">
      <c r="A1255" s="96" t="s">
        <v>28</v>
      </c>
      <c r="B1255" s="271">
        <v>9</v>
      </c>
      <c r="D1255" s="96"/>
      <c r="E1255" s="96"/>
    </row>
    <row r="1256" spans="1:5" ht="12.75" customHeight="1">
      <c r="A1256" s="96" t="s">
        <v>29</v>
      </c>
      <c r="B1256" s="271">
        <v>5</v>
      </c>
      <c r="D1256" s="96"/>
      <c r="E1256" s="96"/>
    </row>
    <row r="1257" spans="1:5" ht="12.75" customHeight="1">
      <c r="A1257" s="96" t="s">
        <v>30</v>
      </c>
      <c r="B1257" s="271">
        <v>1</v>
      </c>
      <c r="D1257" s="96"/>
      <c r="E1257" s="96"/>
    </row>
    <row r="1258" spans="1:5" ht="12.75" customHeight="1">
      <c r="A1258" s="96" t="s">
        <v>31</v>
      </c>
      <c r="B1258" s="271">
        <v>3</v>
      </c>
      <c r="D1258" s="96"/>
      <c r="E1258" s="96"/>
    </row>
    <row r="1259" spans="1:5" ht="12.75" customHeight="1">
      <c r="A1259" s="96" t="s">
        <v>32</v>
      </c>
      <c r="B1259" s="271">
        <v>13</v>
      </c>
      <c r="D1259" s="96"/>
      <c r="E1259" s="96"/>
    </row>
    <row r="1260" spans="1:5" ht="5.0999999999999996" customHeight="1">
      <c r="A1260" s="96"/>
      <c r="B1260" s="271"/>
      <c r="D1260" s="96"/>
      <c r="E1260" s="96"/>
    </row>
    <row r="1261" spans="1:5" ht="12.75" customHeight="1">
      <c r="A1261" s="93" t="s">
        <v>179</v>
      </c>
      <c r="B1261" s="272">
        <v>89</v>
      </c>
      <c r="D1261" s="96"/>
      <c r="E1261" s="96"/>
    </row>
    <row r="1262" spans="1:5" ht="5.0999999999999996" customHeight="1">
      <c r="A1262" s="96"/>
      <c r="B1262" s="271"/>
      <c r="D1262" s="96"/>
      <c r="E1262" s="96"/>
    </row>
    <row r="1263" spans="1:5" ht="12.75" customHeight="1">
      <c r="A1263" s="96" t="s">
        <v>21</v>
      </c>
      <c r="B1263" s="271">
        <v>16</v>
      </c>
      <c r="D1263" s="96"/>
      <c r="E1263" s="96"/>
    </row>
    <row r="1264" spans="1:5" ht="12.75" customHeight="1">
      <c r="A1264" s="96" t="s">
        <v>22</v>
      </c>
      <c r="B1264" s="271">
        <v>4</v>
      </c>
      <c r="D1264" s="96"/>
      <c r="E1264" s="96"/>
    </row>
    <row r="1265" spans="1:5" ht="12.75" customHeight="1">
      <c r="A1265" s="96" t="s">
        <v>23</v>
      </c>
      <c r="B1265" s="271">
        <v>9</v>
      </c>
      <c r="D1265" s="96"/>
      <c r="E1265" s="96"/>
    </row>
    <row r="1266" spans="1:5" ht="12.75" customHeight="1">
      <c r="A1266" s="96" t="s">
        <v>24</v>
      </c>
      <c r="B1266" s="271">
        <v>3</v>
      </c>
      <c r="D1266" s="96"/>
      <c r="E1266" s="96"/>
    </row>
    <row r="1267" spans="1:5" ht="12.75" customHeight="1">
      <c r="A1267" s="96" t="s">
        <v>25</v>
      </c>
      <c r="B1267" s="271">
        <v>3</v>
      </c>
      <c r="D1267" s="96"/>
      <c r="E1267" s="96"/>
    </row>
    <row r="1268" spans="1:5" ht="12.75" customHeight="1">
      <c r="A1268" s="96" t="s">
        <v>26</v>
      </c>
      <c r="B1268" s="271">
        <v>2</v>
      </c>
      <c r="D1268" s="96"/>
      <c r="E1268" s="96"/>
    </row>
    <row r="1269" spans="1:5" ht="12.75" customHeight="1">
      <c r="A1269" s="96" t="s">
        <v>27</v>
      </c>
      <c r="B1269" s="271">
        <v>6</v>
      </c>
      <c r="D1269" s="96"/>
      <c r="E1269" s="96"/>
    </row>
    <row r="1270" spans="1:5" ht="12.75" customHeight="1">
      <c r="A1270" s="96" t="s">
        <v>28</v>
      </c>
      <c r="B1270" s="271">
        <v>8</v>
      </c>
      <c r="D1270" s="96"/>
      <c r="E1270" s="96"/>
    </row>
    <row r="1271" spans="1:5" ht="12.75" customHeight="1">
      <c r="A1271" s="96" t="s">
        <v>29</v>
      </c>
      <c r="B1271" s="271">
        <v>8</v>
      </c>
      <c r="D1271" s="96"/>
      <c r="E1271" s="96"/>
    </row>
    <row r="1272" spans="1:5" s="92" customFormat="1" ht="12.75" customHeight="1">
      <c r="A1272" s="96" t="s">
        <v>30</v>
      </c>
      <c r="B1272" s="271">
        <v>9</v>
      </c>
      <c r="D1272" s="96"/>
      <c r="E1272" s="96"/>
    </row>
    <row r="1273" spans="1:5" ht="12.75" customHeight="1">
      <c r="A1273" s="96" t="s">
        <v>31</v>
      </c>
      <c r="B1273" s="271">
        <v>9</v>
      </c>
      <c r="D1273" s="96"/>
      <c r="E1273" s="96"/>
    </row>
    <row r="1274" spans="1:5" ht="12.75" customHeight="1">
      <c r="A1274" s="96" t="s">
        <v>32</v>
      </c>
      <c r="B1274" s="271">
        <v>12</v>
      </c>
      <c r="D1274" s="96"/>
      <c r="E1274" s="96"/>
    </row>
    <row r="1275" spans="1:5" ht="5.0999999999999996" customHeight="1">
      <c r="A1275" s="96"/>
      <c r="B1275" s="271"/>
      <c r="D1275" s="96"/>
      <c r="E1275" s="96"/>
    </row>
    <row r="1276" spans="1:5" ht="12.75" customHeight="1">
      <c r="A1276" s="93" t="s">
        <v>96</v>
      </c>
      <c r="B1276" s="272">
        <v>1031</v>
      </c>
      <c r="D1276" s="96"/>
      <c r="E1276" s="96"/>
    </row>
    <row r="1277" spans="1:5" ht="5.0999999999999996" customHeight="1">
      <c r="A1277" s="96"/>
      <c r="B1277" s="271"/>
      <c r="D1277" s="96"/>
      <c r="E1277" s="96"/>
    </row>
    <row r="1278" spans="1:5" ht="12.75" customHeight="1">
      <c r="A1278" s="96" t="s">
        <v>21</v>
      </c>
      <c r="B1278" s="271">
        <v>102</v>
      </c>
      <c r="D1278" s="96"/>
      <c r="E1278" s="96"/>
    </row>
    <row r="1279" spans="1:5" ht="12.75" customHeight="1">
      <c r="A1279" s="96" t="s">
        <v>22</v>
      </c>
      <c r="B1279" s="271">
        <v>89</v>
      </c>
      <c r="D1279" s="96"/>
      <c r="E1279" s="96"/>
    </row>
    <row r="1280" spans="1:5" ht="12.75" customHeight="1">
      <c r="A1280" s="96" t="s">
        <v>23</v>
      </c>
      <c r="B1280" s="271">
        <v>109</v>
      </c>
      <c r="D1280" s="96"/>
      <c r="E1280" s="96"/>
    </row>
    <row r="1281" spans="1:5" ht="12.75" customHeight="1">
      <c r="A1281" s="96" t="s">
        <v>24</v>
      </c>
      <c r="B1281" s="271">
        <v>80</v>
      </c>
      <c r="D1281" s="96"/>
      <c r="E1281" s="96"/>
    </row>
    <row r="1282" spans="1:5" ht="12.75" customHeight="1">
      <c r="A1282" s="96" t="s">
        <v>25</v>
      </c>
      <c r="B1282" s="271">
        <v>72</v>
      </c>
      <c r="D1282" s="96"/>
      <c r="E1282" s="96"/>
    </row>
    <row r="1283" spans="1:5" ht="12.75" customHeight="1">
      <c r="A1283" s="96" t="s">
        <v>26</v>
      </c>
      <c r="B1283" s="271">
        <v>72</v>
      </c>
      <c r="D1283" s="96"/>
      <c r="E1283" s="96"/>
    </row>
    <row r="1284" spans="1:5" ht="12.75" customHeight="1">
      <c r="A1284" s="96" t="s">
        <v>27</v>
      </c>
      <c r="B1284" s="271">
        <v>75</v>
      </c>
      <c r="D1284" s="96"/>
      <c r="E1284" s="96"/>
    </row>
    <row r="1285" spans="1:5" ht="12.75" customHeight="1">
      <c r="A1285" s="96" t="s">
        <v>28</v>
      </c>
      <c r="B1285" s="271">
        <v>65</v>
      </c>
      <c r="D1285" s="96"/>
      <c r="E1285" s="96"/>
    </row>
    <row r="1286" spans="1:5" ht="12.75" customHeight="1">
      <c r="A1286" s="96" t="s">
        <v>29</v>
      </c>
      <c r="B1286" s="271">
        <v>55</v>
      </c>
      <c r="D1286" s="96"/>
      <c r="E1286" s="96"/>
    </row>
    <row r="1287" spans="1:5" ht="12.75" customHeight="1">
      <c r="A1287" s="96" t="s">
        <v>30</v>
      </c>
      <c r="B1287" s="271">
        <v>70</v>
      </c>
      <c r="D1287" s="96"/>
      <c r="E1287" s="96"/>
    </row>
    <row r="1288" spans="1:5" ht="12.75" customHeight="1">
      <c r="A1288" s="96" t="s">
        <v>31</v>
      </c>
      <c r="B1288" s="271">
        <v>82</v>
      </c>
      <c r="D1288" s="96"/>
      <c r="E1288" s="96"/>
    </row>
    <row r="1289" spans="1:5" s="92" customFormat="1" ht="12.75" customHeight="1">
      <c r="A1289" s="96" t="s">
        <v>32</v>
      </c>
      <c r="B1289" s="271">
        <v>160</v>
      </c>
      <c r="D1289" s="96"/>
      <c r="E1289" s="96"/>
    </row>
    <row r="1290" spans="1:5" s="92" customFormat="1" ht="5.0999999999999996" customHeight="1">
      <c r="A1290" s="96"/>
      <c r="B1290" s="271"/>
      <c r="D1290" s="96"/>
      <c r="E1290" s="96"/>
    </row>
    <row r="1291" spans="1:5" ht="12.75" customHeight="1">
      <c r="A1291" s="93" t="s">
        <v>180</v>
      </c>
      <c r="B1291" s="272">
        <v>105</v>
      </c>
      <c r="D1291" s="96"/>
      <c r="E1291" s="96"/>
    </row>
    <row r="1292" spans="1:5" ht="5.0999999999999996" customHeight="1">
      <c r="A1292" s="96"/>
      <c r="B1292" s="271"/>
      <c r="D1292" s="96"/>
      <c r="E1292" s="96"/>
    </row>
    <row r="1293" spans="1:5" ht="12.75" customHeight="1">
      <c r="A1293" s="96" t="s">
        <v>21</v>
      </c>
      <c r="B1293" s="271">
        <v>9</v>
      </c>
      <c r="D1293" s="96"/>
      <c r="E1293" s="96"/>
    </row>
    <row r="1294" spans="1:5" ht="12.75" customHeight="1">
      <c r="A1294" s="96" t="s">
        <v>22</v>
      </c>
      <c r="B1294" s="271">
        <v>9</v>
      </c>
      <c r="D1294" s="96"/>
      <c r="E1294" s="96"/>
    </row>
    <row r="1295" spans="1:5" ht="12.75" customHeight="1">
      <c r="A1295" s="96" t="s">
        <v>23</v>
      </c>
      <c r="B1295" s="271">
        <v>11</v>
      </c>
      <c r="D1295" s="96"/>
      <c r="E1295" s="96"/>
    </row>
    <row r="1296" spans="1:5" ht="12.75" customHeight="1">
      <c r="A1296" s="96" t="s">
        <v>24</v>
      </c>
      <c r="B1296" s="271">
        <v>9</v>
      </c>
      <c r="D1296" s="96"/>
      <c r="E1296" s="96"/>
    </row>
    <row r="1297" spans="1:5" ht="12.75" customHeight="1">
      <c r="A1297" s="96" t="s">
        <v>25</v>
      </c>
      <c r="B1297" s="271">
        <v>6</v>
      </c>
      <c r="D1297" s="96"/>
      <c r="E1297" s="96"/>
    </row>
    <row r="1298" spans="1:5" ht="12.75" customHeight="1">
      <c r="A1298" s="96" t="s">
        <v>26</v>
      </c>
      <c r="B1298" s="271">
        <v>11</v>
      </c>
      <c r="D1298" s="96"/>
      <c r="E1298" s="96"/>
    </row>
    <row r="1299" spans="1:5" ht="12.75" customHeight="1">
      <c r="A1299" s="96" t="s">
        <v>27</v>
      </c>
      <c r="B1299" s="271">
        <v>2</v>
      </c>
      <c r="D1299" s="96"/>
      <c r="E1299" s="96"/>
    </row>
    <row r="1300" spans="1:5" ht="12.75" customHeight="1">
      <c r="A1300" s="96" t="s">
        <v>28</v>
      </c>
      <c r="B1300" s="271">
        <v>4</v>
      </c>
      <c r="D1300" s="96"/>
      <c r="E1300" s="96"/>
    </row>
    <row r="1301" spans="1:5" ht="12.75" customHeight="1">
      <c r="A1301" s="96" t="s">
        <v>29</v>
      </c>
      <c r="B1301" s="271">
        <v>7</v>
      </c>
      <c r="D1301" s="96"/>
      <c r="E1301" s="96"/>
    </row>
    <row r="1302" spans="1:5" ht="12.75" customHeight="1">
      <c r="A1302" s="96" t="s">
        <v>30</v>
      </c>
      <c r="B1302" s="271">
        <v>7</v>
      </c>
      <c r="D1302" s="96"/>
      <c r="E1302" s="96"/>
    </row>
    <row r="1303" spans="1:5" ht="12.75" customHeight="1">
      <c r="A1303" s="96" t="s">
        <v>31</v>
      </c>
      <c r="B1303" s="271">
        <v>14</v>
      </c>
      <c r="D1303" s="96"/>
      <c r="E1303" s="96"/>
    </row>
    <row r="1304" spans="1:5" ht="12.75" customHeight="1">
      <c r="A1304" s="96" t="s">
        <v>32</v>
      </c>
      <c r="B1304" s="271">
        <v>16</v>
      </c>
      <c r="D1304" s="96"/>
      <c r="E1304" s="96"/>
    </row>
    <row r="1305" spans="1:5" ht="5.0999999999999996" customHeight="1">
      <c r="A1305" s="96"/>
      <c r="B1305" s="271"/>
      <c r="D1305" s="96"/>
      <c r="E1305" s="96"/>
    </row>
    <row r="1306" spans="1:5" ht="12.75" customHeight="1">
      <c r="A1306" s="93" t="s">
        <v>181</v>
      </c>
      <c r="B1306" s="272">
        <v>433</v>
      </c>
      <c r="D1306" s="96"/>
      <c r="E1306" s="96"/>
    </row>
    <row r="1307" spans="1:5" ht="5.0999999999999996" customHeight="1">
      <c r="A1307" s="96"/>
      <c r="B1307" s="271"/>
      <c r="D1307" s="96"/>
      <c r="E1307" s="96"/>
    </row>
    <row r="1308" spans="1:5" s="92" customFormat="1" ht="12.75" customHeight="1">
      <c r="A1308" s="96" t="s">
        <v>21</v>
      </c>
      <c r="B1308" s="271">
        <v>44</v>
      </c>
      <c r="D1308" s="96"/>
      <c r="E1308" s="96"/>
    </row>
    <row r="1309" spans="1:5" ht="12.75" customHeight="1">
      <c r="A1309" s="96" t="s">
        <v>22</v>
      </c>
      <c r="B1309" s="271">
        <v>38</v>
      </c>
      <c r="D1309" s="96"/>
      <c r="E1309" s="96"/>
    </row>
    <row r="1310" spans="1:5" ht="12.75" customHeight="1">
      <c r="A1310" s="96" t="s">
        <v>23</v>
      </c>
      <c r="B1310" s="271">
        <v>29</v>
      </c>
      <c r="D1310" s="96"/>
      <c r="E1310" s="96"/>
    </row>
    <row r="1311" spans="1:5" ht="12.75" customHeight="1">
      <c r="A1311" s="96" t="s">
        <v>24</v>
      </c>
      <c r="B1311" s="271">
        <v>37</v>
      </c>
      <c r="D1311" s="96"/>
      <c r="E1311" s="96"/>
    </row>
    <row r="1312" spans="1:5" ht="12.75" customHeight="1">
      <c r="A1312" s="96" t="s">
        <v>25</v>
      </c>
      <c r="B1312" s="271">
        <v>31</v>
      </c>
      <c r="D1312" s="96"/>
      <c r="E1312" s="96"/>
    </row>
    <row r="1313" spans="1:5" ht="12.75" customHeight="1">
      <c r="A1313" s="96" t="s">
        <v>26</v>
      </c>
      <c r="B1313" s="271">
        <v>31</v>
      </c>
      <c r="D1313" s="96"/>
      <c r="E1313" s="96"/>
    </row>
    <row r="1314" spans="1:5" ht="12.75" customHeight="1">
      <c r="A1314" s="96" t="s">
        <v>27</v>
      </c>
      <c r="B1314" s="271">
        <v>37</v>
      </c>
      <c r="D1314" s="96"/>
      <c r="E1314" s="96"/>
    </row>
    <row r="1315" spans="1:5" ht="12.75" customHeight="1">
      <c r="A1315" s="96" t="s">
        <v>28</v>
      </c>
      <c r="B1315" s="271">
        <v>23</v>
      </c>
      <c r="D1315" s="96"/>
      <c r="E1315" s="96"/>
    </row>
    <row r="1316" spans="1:5" ht="12.75" customHeight="1">
      <c r="A1316" s="96" t="s">
        <v>29</v>
      </c>
      <c r="B1316" s="271">
        <v>28</v>
      </c>
      <c r="D1316" s="96"/>
      <c r="E1316" s="96"/>
    </row>
    <row r="1317" spans="1:5" ht="12.75" customHeight="1">
      <c r="A1317" s="96" t="s">
        <v>30</v>
      </c>
      <c r="B1317" s="271">
        <v>30</v>
      </c>
      <c r="D1317" s="96"/>
      <c r="E1317" s="96"/>
    </row>
    <row r="1318" spans="1:5" ht="12.75" customHeight="1">
      <c r="A1318" s="96" t="s">
        <v>31</v>
      </c>
      <c r="B1318" s="271">
        <v>36</v>
      </c>
      <c r="D1318" s="96"/>
      <c r="E1318" s="96"/>
    </row>
    <row r="1319" spans="1:5" ht="12.75" customHeight="1">
      <c r="A1319" s="96" t="s">
        <v>32</v>
      </c>
      <c r="B1319" s="271">
        <v>69</v>
      </c>
      <c r="D1319" s="96"/>
      <c r="E1319" s="96"/>
    </row>
    <row r="1320" spans="1:5" ht="5.0999999999999996" customHeight="1">
      <c r="A1320" s="96"/>
      <c r="B1320" s="271"/>
      <c r="D1320" s="96"/>
      <c r="E1320" s="96"/>
    </row>
    <row r="1321" spans="1:5" ht="12.75" customHeight="1">
      <c r="A1321" s="93" t="s">
        <v>182</v>
      </c>
      <c r="B1321" s="272">
        <v>141</v>
      </c>
      <c r="D1321" s="96"/>
      <c r="E1321" s="96"/>
    </row>
    <row r="1322" spans="1:5" ht="5.0999999999999996" customHeight="1">
      <c r="A1322" s="96"/>
      <c r="B1322" s="271"/>
      <c r="D1322" s="96"/>
      <c r="E1322" s="96"/>
    </row>
    <row r="1323" spans="1:5" ht="12.75" customHeight="1">
      <c r="A1323" s="96" t="s">
        <v>21</v>
      </c>
      <c r="B1323" s="271">
        <v>9</v>
      </c>
      <c r="D1323" s="96"/>
      <c r="E1323" s="96"/>
    </row>
    <row r="1324" spans="1:5" ht="12.75" customHeight="1">
      <c r="A1324" s="96" t="s">
        <v>22</v>
      </c>
      <c r="B1324" s="271">
        <v>15</v>
      </c>
      <c r="D1324" s="96"/>
      <c r="E1324" s="96"/>
    </row>
    <row r="1325" spans="1:5" s="92" customFormat="1" ht="12.75" customHeight="1">
      <c r="A1325" s="96" t="s">
        <v>23</v>
      </c>
      <c r="B1325" s="271">
        <v>16</v>
      </c>
      <c r="D1325" s="96"/>
      <c r="E1325" s="96"/>
    </row>
    <row r="1326" spans="1:5" ht="12.75" customHeight="1">
      <c r="A1326" s="96" t="s">
        <v>24</v>
      </c>
      <c r="B1326" s="271">
        <v>9</v>
      </c>
      <c r="D1326" s="96"/>
      <c r="E1326" s="96"/>
    </row>
    <row r="1327" spans="1:5" ht="12.75" customHeight="1">
      <c r="A1327" s="96" t="s">
        <v>25</v>
      </c>
      <c r="B1327" s="271">
        <v>6</v>
      </c>
      <c r="D1327" s="96"/>
      <c r="E1327" s="96"/>
    </row>
    <row r="1328" spans="1:5" ht="12.75" customHeight="1">
      <c r="A1328" s="96" t="s">
        <v>26</v>
      </c>
      <c r="B1328" s="271">
        <v>9</v>
      </c>
      <c r="D1328" s="96"/>
      <c r="E1328" s="96"/>
    </row>
    <row r="1329" spans="1:5" ht="12.75" customHeight="1">
      <c r="A1329" s="96" t="s">
        <v>27</v>
      </c>
      <c r="B1329" s="271">
        <v>7</v>
      </c>
      <c r="D1329" s="96"/>
      <c r="E1329" s="96"/>
    </row>
    <row r="1330" spans="1:5" ht="12.75" customHeight="1">
      <c r="A1330" s="96" t="s">
        <v>28</v>
      </c>
      <c r="B1330" s="271">
        <v>9</v>
      </c>
      <c r="D1330" s="96"/>
      <c r="E1330" s="96"/>
    </row>
    <row r="1331" spans="1:5" ht="12.75" customHeight="1">
      <c r="A1331" s="96" t="s">
        <v>29</v>
      </c>
      <c r="B1331" s="271">
        <v>14</v>
      </c>
      <c r="D1331" s="96"/>
      <c r="E1331" s="96"/>
    </row>
    <row r="1332" spans="1:5" ht="12.75" customHeight="1">
      <c r="A1332" s="96" t="s">
        <v>30</v>
      </c>
      <c r="B1332" s="271">
        <v>13</v>
      </c>
      <c r="D1332" s="96"/>
      <c r="E1332" s="96"/>
    </row>
    <row r="1333" spans="1:5" ht="12.75" customHeight="1">
      <c r="A1333" s="96" t="s">
        <v>31</v>
      </c>
      <c r="B1333" s="271">
        <v>19</v>
      </c>
      <c r="D1333" s="96"/>
      <c r="E1333" s="96"/>
    </row>
    <row r="1334" spans="1:5" ht="12.75" customHeight="1">
      <c r="A1334" s="96" t="s">
        <v>32</v>
      </c>
      <c r="B1334" s="271">
        <v>15</v>
      </c>
      <c r="D1334" s="96"/>
      <c r="E1334" s="96"/>
    </row>
    <row r="1335" spans="1:5" ht="5.0999999999999996" customHeight="1">
      <c r="A1335" s="96"/>
      <c r="B1335" s="271"/>
      <c r="D1335" s="96"/>
      <c r="E1335" s="96"/>
    </row>
    <row r="1336" spans="1:5" ht="12.75" customHeight="1">
      <c r="A1336" s="93" t="s">
        <v>183</v>
      </c>
      <c r="B1336" s="272">
        <v>218</v>
      </c>
      <c r="D1336" s="96"/>
      <c r="E1336" s="96"/>
    </row>
    <row r="1337" spans="1:5" ht="5.0999999999999996" customHeight="1">
      <c r="A1337" s="96"/>
      <c r="B1337" s="271"/>
      <c r="D1337" s="96"/>
      <c r="E1337" s="96"/>
    </row>
    <row r="1338" spans="1:5" ht="12.75" customHeight="1">
      <c r="A1338" s="96" t="s">
        <v>21</v>
      </c>
      <c r="B1338" s="271">
        <v>20</v>
      </c>
      <c r="D1338" s="96"/>
      <c r="E1338" s="96"/>
    </row>
    <row r="1339" spans="1:5" ht="12.75" customHeight="1">
      <c r="A1339" s="96" t="s">
        <v>22</v>
      </c>
      <c r="B1339" s="271">
        <v>16</v>
      </c>
      <c r="D1339" s="96"/>
      <c r="E1339" s="96"/>
    </row>
    <row r="1340" spans="1:5" ht="12.75" customHeight="1">
      <c r="A1340" s="96" t="s">
        <v>23</v>
      </c>
      <c r="B1340" s="271">
        <v>19</v>
      </c>
      <c r="D1340" s="96"/>
      <c r="E1340" s="96"/>
    </row>
    <row r="1341" spans="1:5" ht="12.75" customHeight="1">
      <c r="A1341" s="96" t="s">
        <v>24</v>
      </c>
      <c r="B1341" s="271">
        <v>13</v>
      </c>
      <c r="D1341" s="96"/>
      <c r="E1341" s="96"/>
    </row>
    <row r="1342" spans="1:5" s="92" customFormat="1" ht="12.75" customHeight="1">
      <c r="A1342" s="96" t="s">
        <v>25</v>
      </c>
      <c r="B1342" s="271">
        <v>13</v>
      </c>
      <c r="D1342" s="96"/>
      <c r="E1342" s="96"/>
    </row>
    <row r="1343" spans="1:5" ht="12.75" customHeight="1">
      <c r="A1343" s="96" t="s">
        <v>26</v>
      </c>
      <c r="B1343" s="271">
        <v>16</v>
      </c>
      <c r="D1343" s="96"/>
      <c r="E1343" s="96"/>
    </row>
    <row r="1344" spans="1:5" ht="12.75" customHeight="1">
      <c r="A1344" s="96" t="s">
        <v>27</v>
      </c>
      <c r="B1344" s="271">
        <v>25</v>
      </c>
      <c r="D1344" s="96"/>
      <c r="E1344" s="96"/>
    </row>
    <row r="1345" spans="1:5" ht="12.75" customHeight="1">
      <c r="A1345" s="96" t="s">
        <v>28</v>
      </c>
      <c r="B1345" s="271">
        <v>18</v>
      </c>
      <c r="D1345" s="96"/>
      <c r="E1345" s="96"/>
    </row>
    <row r="1346" spans="1:5" ht="12.75" customHeight="1">
      <c r="A1346" s="96" t="s">
        <v>29</v>
      </c>
      <c r="B1346" s="271">
        <v>14</v>
      </c>
      <c r="D1346" s="96"/>
      <c r="E1346" s="96"/>
    </row>
    <row r="1347" spans="1:5" ht="12.75" customHeight="1">
      <c r="A1347" s="96" t="s">
        <v>30</v>
      </c>
      <c r="B1347" s="271">
        <v>18</v>
      </c>
      <c r="D1347" s="96"/>
      <c r="E1347" s="96"/>
    </row>
    <row r="1348" spans="1:5" ht="12.75" customHeight="1">
      <c r="A1348" s="96" t="s">
        <v>31</v>
      </c>
      <c r="B1348" s="271">
        <v>19</v>
      </c>
      <c r="D1348" s="96"/>
      <c r="E1348" s="96"/>
    </row>
    <row r="1349" spans="1:5" ht="12.75" customHeight="1">
      <c r="A1349" s="96" t="s">
        <v>32</v>
      </c>
      <c r="B1349" s="271">
        <v>27</v>
      </c>
      <c r="D1349" s="96"/>
      <c r="E1349" s="96"/>
    </row>
    <row r="1350" spans="1:5" ht="5.0999999999999996" customHeight="1">
      <c r="A1350" s="96"/>
      <c r="B1350" s="271"/>
      <c r="D1350" s="96"/>
      <c r="E1350" s="96"/>
    </row>
    <row r="1351" spans="1:5" ht="12.75" customHeight="1">
      <c r="A1351" s="93" t="s">
        <v>184</v>
      </c>
      <c r="B1351" s="272">
        <v>194</v>
      </c>
      <c r="D1351" s="96"/>
      <c r="E1351" s="96"/>
    </row>
    <row r="1352" spans="1:5" ht="5.0999999999999996" customHeight="1">
      <c r="A1352" s="96"/>
      <c r="B1352" s="271"/>
      <c r="D1352" s="96"/>
      <c r="E1352" s="96"/>
    </row>
    <row r="1353" spans="1:5" ht="12.75" customHeight="1">
      <c r="A1353" s="96" t="s">
        <v>21</v>
      </c>
      <c r="B1353" s="271">
        <v>28</v>
      </c>
      <c r="D1353" s="96"/>
      <c r="E1353" s="96"/>
    </row>
    <row r="1354" spans="1:5" ht="12.75" customHeight="1">
      <c r="A1354" s="96" t="s">
        <v>22</v>
      </c>
      <c r="B1354" s="271">
        <v>22</v>
      </c>
      <c r="D1354" s="96"/>
      <c r="E1354" s="96"/>
    </row>
    <row r="1355" spans="1:5" ht="12.75" customHeight="1">
      <c r="A1355" s="96" t="s">
        <v>23</v>
      </c>
      <c r="B1355" s="271">
        <v>20</v>
      </c>
      <c r="D1355" s="96"/>
      <c r="E1355" s="96"/>
    </row>
    <row r="1356" spans="1:5" ht="12.75" customHeight="1">
      <c r="A1356" s="96" t="s">
        <v>24</v>
      </c>
      <c r="B1356" s="271">
        <v>8</v>
      </c>
      <c r="D1356" s="96"/>
      <c r="E1356" s="96"/>
    </row>
    <row r="1357" spans="1:5" ht="12.75" customHeight="1">
      <c r="A1357" s="96" t="s">
        <v>25</v>
      </c>
      <c r="B1357" s="271">
        <v>6</v>
      </c>
      <c r="D1357" s="96"/>
      <c r="E1357" s="96"/>
    </row>
    <row r="1358" spans="1:5" ht="12.75" customHeight="1">
      <c r="A1358" s="96" t="s">
        <v>26</v>
      </c>
      <c r="B1358" s="271">
        <v>8</v>
      </c>
      <c r="D1358" s="96"/>
      <c r="E1358" s="96"/>
    </row>
    <row r="1359" spans="1:5" s="92" customFormat="1" ht="12.75" customHeight="1">
      <c r="A1359" s="96" t="s">
        <v>27</v>
      </c>
      <c r="B1359" s="271">
        <v>18</v>
      </c>
      <c r="D1359" s="96"/>
      <c r="E1359" s="96"/>
    </row>
    <row r="1360" spans="1:5" ht="12.75" customHeight="1">
      <c r="A1360" s="96" t="s">
        <v>28</v>
      </c>
      <c r="B1360" s="271">
        <v>18</v>
      </c>
      <c r="D1360" s="96"/>
      <c r="E1360" s="96"/>
    </row>
    <row r="1361" spans="1:5" ht="12.75" customHeight="1">
      <c r="A1361" s="96" t="s">
        <v>29</v>
      </c>
      <c r="B1361" s="271">
        <v>22</v>
      </c>
      <c r="D1361" s="96"/>
      <c r="E1361" s="96"/>
    </row>
    <row r="1362" spans="1:5" ht="12.75" customHeight="1">
      <c r="A1362" s="96" t="s">
        <v>30</v>
      </c>
      <c r="B1362" s="271">
        <v>11</v>
      </c>
      <c r="D1362" s="96"/>
      <c r="E1362" s="96"/>
    </row>
    <row r="1363" spans="1:5" ht="12.75" customHeight="1">
      <c r="A1363" s="96" t="s">
        <v>31</v>
      </c>
      <c r="B1363" s="271">
        <v>7</v>
      </c>
      <c r="D1363" s="96"/>
      <c r="E1363" s="96"/>
    </row>
    <row r="1364" spans="1:5" ht="12.75" customHeight="1">
      <c r="A1364" s="96" t="s">
        <v>32</v>
      </c>
      <c r="B1364" s="271">
        <v>26</v>
      </c>
      <c r="D1364" s="96"/>
      <c r="E1364" s="96"/>
    </row>
    <row r="1365" spans="1:5" ht="5.0999999999999996" customHeight="1">
      <c r="A1365" s="96"/>
      <c r="B1365" s="271"/>
      <c r="D1365" s="96"/>
      <c r="E1365" s="96"/>
    </row>
    <row r="1366" spans="1:5" ht="12.75" customHeight="1">
      <c r="A1366" s="93" t="s">
        <v>271</v>
      </c>
      <c r="B1366" s="272">
        <v>86</v>
      </c>
      <c r="D1366" s="96"/>
      <c r="E1366" s="96"/>
    </row>
    <row r="1367" spans="1:5" ht="5.0999999999999996" customHeight="1">
      <c r="A1367" s="96"/>
      <c r="B1367" s="271"/>
      <c r="D1367" s="96"/>
      <c r="E1367" s="96"/>
    </row>
    <row r="1368" spans="1:5" ht="12.75" customHeight="1">
      <c r="A1368" s="96" t="s">
        <v>21</v>
      </c>
      <c r="B1368" s="271">
        <v>3</v>
      </c>
      <c r="D1368" s="96"/>
      <c r="E1368" s="96"/>
    </row>
    <row r="1369" spans="1:5" ht="12.75" customHeight="1">
      <c r="A1369" s="96" t="s">
        <v>22</v>
      </c>
      <c r="B1369" s="271">
        <v>6</v>
      </c>
      <c r="D1369" s="96"/>
      <c r="E1369" s="96"/>
    </row>
    <row r="1370" spans="1:5" ht="12.75" customHeight="1">
      <c r="A1370" s="96" t="s">
        <v>23</v>
      </c>
      <c r="B1370" s="271">
        <v>3</v>
      </c>
      <c r="D1370" s="96"/>
      <c r="E1370" s="96"/>
    </row>
    <row r="1371" spans="1:5" ht="12.75" customHeight="1">
      <c r="A1371" s="96" t="s">
        <v>24</v>
      </c>
      <c r="B1371" s="271">
        <v>5</v>
      </c>
      <c r="D1371" s="96"/>
      <c r="E1371" s="96"/>
    </row>
    <row r="1372" spans="1:5" ht="12.75" customHeight="1">
      <c r="A1372" s="96" t="s">
        <v>25</v>
      </c>
      <c r="B1372" s="271">
        <v>6</v>
      </c>
      <c r="D1372" s="96"/>
      <c r="E1372" s="96"/>
    </row>
    <row r="1373" spans="1:5" ht="12.75" customHeight="1">
      <c r="A1373" s="96" t="s">
        <v>26</v>
      </c>
      <c r="B1373" s="271">
        <v>6</v>
      </c>
      <c r="D1373" s="96"/>
      <c r="E1373" s="96"/>
    </row>
    <row r="1374" spans="1:5" ht="12.75" customHeight="1">
      <c r="A1374" s="96" t="s">
        <v>27</v>
      </c>
      <c r="B1374" s="271">
        <v>8</v>
      </c>
      <c r="D1374" s="96"/>
      <c r="E1374" s="96"/>
    </row>
    <row r="1375" spans="1:5" ht="12.75" customHeight="1">
      <c r="A1375" s="96" t="s">
        <v>28</v>
      </c>
      <c r="B1375" s="271">
        <v>7</v>
      </c>
      <c r="D1375" s="96"/>
      <c r="E1375" s="96"/>
    </row>
    <row r="1376" spans="1:5" s="92" customFormat="1" ht="12.75" customHeight="1">
      <c r="A1376" s="96" t="s">
        <v>29</v>
      </c>
      <c r="B1376" s="271">
        <v>15</v>
      </c>
      <c r="D1376" s="96"/>
      <c r="E1376" s="96"/>
    </row>
    <row r="1377" spans="1:5" ht="12.75" customHeight="1">
      <c r="A1377" s="96" t="s">
        <v>30</v>
      </c>
      <c r="B1377" s="271">
        <v>2</v>
      </c>
      <c r="D1377" s="96"/>
      <c r="E1377" s="96"/>
    </row>
    <row r="1378" spans="1:5" ht="12.75" customHeight="1">
      <c r="A1378" s="96" t="s">
        <v>31</v>
      </c>
      <c r="B1378" s="271">
        <v>9</v>
      </c>
      <c r="D1378" s="96"/>
      <c r="E1378" s="96"/>
    </row>
    <row r="1379" spans="1:5" ht="12.75" customHeight="1">
      <c r="A1379" s="96" t="s">
        <v>32</v>
      </c>
      <c r="B1379" s="271">
        <v>16</v>
      </c>
      <c r="D1379" s="96"/>
      <c r="E1379" s="96"/>
    </row>
    <row r="1380" spans="1:5" ht="5.0999999999999996" customHeight="1">
      <c r="A1380" s="96"/>
      <c r="B1380" s="271"/>
      <c r="D1380" s="96"/>
      <c r="E1380" s="96"/>
    </row>
    <row r="1381" spans="1:5" ht="12.75" customHeight="1">
      <c r="A1381" s="93" t="s">
        <v>185</v>
      </c>
      <c r="B1381" s="272">
        <v>10</v>
      </c>
      <c r="D1381" s="96"/>
      <c r="E1381" s="96"/>
    </row>
    <row r="1382" spans="1:5" ht="5.0999999999999996" customHeight="1">
      <c r="A1382" s="96"/>
      <c r="B1382" s="271"/>
      <c r="D1382" s="96"/>
      <c r="E1382" s="96"/>
    </row>
    <row r="1383" spans="1:5" ht="12.75" customHeight="1">
      <c r="A1383" s="96" t="s">
        <v>21</v>
      </c>
      <c r="B1383" s="271">
        <v>1</v>
      </c>
      <c r="D1383" s="96"/>
      <c r="E1383" s="96"/>
    </row>
    <row r="1384" spans="1:5" ht="12.75" customHeight="1">
      <c r="A1384" s="96" t="s">
        <v>22</v>
      </c>
      <c r="B1384" s="271">
        <v>2</v>
      </c>
      <c r="D1384" s="96"/>
      <c r="E1384" s="96"/>
    </row>
    <row r="1385" spans="1:5" ht="12.75" customHeight="1">
      <c r="A1385" s="96" t="s">
        <v>23</v>
      </c>
      <c r="B1385" s="271">
        <v>1</v>
      </c>
      <c r="D1385" s="96"/>
      <c r="E1385" s="96"/>
    </row>
    <row r="1386" spans="1:5" ht="12.75" customHeight="1">
      <c r="A1386" s="96" t="s">
        <v>24</v>
      </c>
      <c r="B1386" s="271">
        <v>1</v>
      </c>
      <c r="D1386" s="96"/>
      <c r="E1386" s="96"/>
    </row>
    <row r="1387" spans="1:5" ht="12.75" customHeight="1">
      <c r="A1387" s="96" t="s">
        <v>25</v>
      </c>
      <c r="B1387" s="271">
        <v>1</v>
      </c>
      <c r="D1387" s="96"/>
      <c r="E1387" s="96"/>
    </row>
    <row r="1388" spans="1:5" ht="12.75" customHeight="1">
      <c r="A1388" s="96" t="s">
        <v>26</v>
      </c>
      <c r="B1388" s="271">
        <v>0</v>
      </c>
      <c r="D1388" s="96"/>
      <c r="E1388" s="96"/>
    </row>
    <row r="1389" spans="1:5" ht="12.75" customHeight="1">
      <c r="A1389" s="96" t="s">
        <v>27</v>
      </c>
      <c r="B1389" s="271">
        <v>0</v>
      </c>
      <c r="D1389" s="96"/>
      <c r="E1389" s="96"/>
    </row>
    <row r="1390" spans="1:5" ht="12.75" customHeight="1">
      <c r="A1390" s="96" t="s">
        <v>28</v>
      </c>
      <c r="B1390" s="271">
        <v>2</v>
      </c>
      <c r="D1390" s="96"/>
      <c r="E1390" s="96"/>
    </row>
    <row r="1391" spans="1:5" ht="12.75" customHeight="1">
      <c r="A1391" s="96" t="s">
        <v>29</v>
      </c>
      <c r="B1391" s="271">
        <v>0</v>
      </c>
      <c r="D1391" s="96"/>
      <c r="E1391" s="96"/>
    </row>
    <row r="1392" spans="1:5" ht="12.75" customHeight="1">
      <c r="A1392" s="96" t="s">
        <v>30</v>
      </c>
      <c r="B1392" s="271">
        <v>0</v>
      </c>
      <c r="D1392" s="96"/>
      <c r="E1392" s="96"/>
    </row>
    <row r="1393" spans="1:5" ht="12.75" customHeight="1">
      <c r="A1393" s="96" t="s">
        <v>31</v>
      </c>
      <c r="B1393" s="271">
        <v>0</v>
      </c>
      <c r="D1393" s="96"/>
      <c r="E1393" s="96"/>
    </row>
    <row r="1394" spans="1:5" ht="12.75" customHeight="1">
      <c r="A1394" s="96" t="s">
        <v>32</v>
      </c>
      <c r="B1394" s="271">
        <v>2</v>
      </c>
      <c r="D1394" s="96"/>
      <c r="E1394" s="96"/>
    </row>
    <row r="1395" spans="1:5" ht="5.0999999999999996" customHeight="1">
      <c r="A1395" s="96"/>
      <c r="B1395" s="271"/>
      <c r="D1395" s="96"/>
      <c r="E1395" s="96"/>
    </row>
    <row r="1396" spans="1:5" ht="12.75" customHeight="1">
      <c r="A1396" s="93" t="s">
        <v>305</v>
      </c>
      <c r="B1396" s="272">
        <v>172</v>
      </c>
      <c r="D1396" s="96"/>
      <c r="E1396" s="96"/>
    </row>
    <row r="1397" spans="1:5" ht="5.0999999999999996" customHeight="1">
      <c r="A1397" s="96"/>
      <c r="B1397" s="271"/>
      <c r="D1397" s="96"/>
      <c r="E1397" s="96"/>
    </row>
    <row r="1398" spans="1:5" ht="12.75" customHeight="1">
      <c r="A1398" s="96" t="s">
        <v>21</v>
      </c>
      <c r="B1398" s="271">
        <v>17</v>
      </c>
      <c r="D1398" s="96"/>
      <c r="E1398" s="96"/>
    </row>
    <row r="1399" spans="1:5" ht="12.75" customHeight="1">
      <c r="A1399" s="96" t="s">
        <v>22</v>
      </c>
      <c r="B1399" s="271">
        <v>19</v>
      </c>
      <c r="D1399" s="96"/>
      <c r="E1399" s="96"/>
    </row>
    <row r="1400" spans="1:5" s="92" customFormat="1" ht="12.75" customHeight="1">
      <c r="A1400" s="96" t="s">
        <v>23</v>
      </c>
      <c r="B1400" s="271">
        <v>19</v>
      </c>
      <c r="D1400" s="96"/>
      <c r="E1400" s="96"/>
    </row>
    <row r="1401" spans="1:5" ht="12.75" customHeight="1">
      <c r="A1401" s="96" t="s">
        <v>24</v>
      </c>
      <c r="B1401" s="271">
        <v>15</v>
      </c>
      <c r="D1401" s="96"/>
      <c r="E1401" s="96"/>
    </row>
    <row r="1402" spans="1:5" ht="12.75" customHeight="1">
      <c r="A1402" s="96" t="s">
        <v>25</v>
      </c>
      <c r="B1402" s="271">
        <v>12</v>
      </c>
      <c r="D1402" s="96"/>
      <c r="E1402" s="96"/>
    </row>
    <row r="1403" spans="1:5" ht="12.75" customHeight="1">
      <c r="A1403" s="96" t="s">
        <v>26</v>
      </c>
      <c r="B1403" s="271">
        <v>10</v>
      </c>
      <c r="D1403" s="96"/>
      <c r="E1403" s="96"/>
    </row>
    <row r="1404" spans="1:5" ht="12.75" customHeight="1">
      <c r="A1404" s="96" t="s">
        <v>27</v>
      </c>
      <c r="B1404" s="271">
        <v>11</v>
      </c>
      <c r="D1404" s="96"/>
      <c r="E1404" s="96"/>
    </row>
    <row r="1405" spans="1:5" ht="12.75" customHeight="1">
      <c r="A1405" s="96" t="s">
        <v>28</v>
      </c>
      <c r="B1405" s="271">
        <v>14</v>
      </c>
      <c r="D1405" s="96"/>
      <c r="E1405" s="96"/>
    </row>
    <row r="1406" spans="1:5" ht="12.75" customHeight="1">
      <c r="A1406" s="96" t="s">
        <v>29</v>
      </c>
      <c r="B1406" s="271">
        <v>12</v>
      </c>
      <c r="D1406" s="96"/>
      <c r="E1406" s="96"/>
    </row>
    <row r="1407" spans="1:5" ht="12.75" customHeight="1">
      <c r="A1407" s="96" t="s">
        <v>30</v>
      </c>
      <c r="B1407" s="271">
        <v>8</v>
      </c>
      <c r="D1407" s="96"/>
      <c r="E1407" s="96"/>
    </row>
    <row r="1408" spans="1:5" ht="12.75" customHeight="1">
      <c r="A1408" s="96" t="s">
        <v>31</v>
      </c>
      <c r="B1408" s="271">
        <v>12</v>
      </c>
      <c r="D1408" s="96"/>
      <c r="E1408" s="96"/>
    </row>
    <row r="1409" spans="1:5" ht="12.75" customHeight="1">
      <c r="A1409" s="96" t="s">
        <v>32</v>
      </c>
      <c r="B1409" s="271">
        <v>23</v>
      </c>
      <c r="D1409" s="96"/>
      <c r="E1409" s="96"/>
    </row>
    <row r="1410" spans="1:5" ht="5.0999999999999996" customHeight="1">
      <c r="A1410" s="96"/>
      <c r="B1410" s="271"/>
      <c r="D1410" s="96"/>
      <c r="E1410" s="96"/>
    </row>
    <row r="1411" spans="1:5" ht="12.75" customHeight="1">
      <c r="A1411" s="93" t="s">
        <v>186</v>
      </c>
      <c r="B1411" s="272">
        <v>5</v>
      </c>
      <c r="D1411" s="96"/>
      <c r="E1411" s="96"/>
    </row>
    <row r="1412" spans="1:5" ht="5.0999999999999996" customHeight="1">
      <c r="A1412" s="93"/>
      <c r="B1412" s="272"/>
      <c r="D1412" s="96"/>
      <c r="E1412" s="96"/>
    </row>
    <row r="1413" spans="1:5" ht="12.75" customHeight="1">
      <c r="A1413" s="96" t="s">
        <v>21</v>
      </c>
      <c r="B1413" s="271">
        <v>0</v>
      </c>
      <c r="D1413" s="96"/>
      <c r="E1413" s="96"/>
    </row>
    <row r="1414" spans="1:5" ht="12.75" customHeight="1">
      <c r="A1414" s="96" t="s">
        <v>22</v>
      </c>
      <c r="B1414" s="271">
        <v>0</v>
      </c>
      <c r="D1414" s="96"/>
      <c r="E1414" s="96"/>
    </row>
    <row r="1415" spans="1:5" ht="12.75" customHeight="1">
      <c r="A1415" s="96" t="s">
        <v>23</v>
      </c>
      <c r="B1415" s="271">
        <v>0</v>
      </c>
      <c r="D1415" s="96"/>
      <c r="E1415" s="96"/>
    </row>
    <row r="1416" spans="1:5" ht="12.75" customHeight="1">
      <c r="A1416" s="96" t="s">
        <v>24</v>
      </c>
      <c r="B1416" s="271">
        <v>0</v>
      </c>
      <c r="D1416" s="96"/>
      <c r="E1416" s="96"/>
    </row>
    <row r="1417" spans="1:5" ht="12.75" customHeight="1">
      <c r="A1417" s="96" t="s">
        <v>25</v>
      </c>
      <c r="B1417" s="271">
        <v>3</v>
      </c>
      <c r="D1417" s="96"/>
      <c r="E1417" s="96"/>
    </row>
    <row r="1418" spans="1:5" ht="12.75" customHeight="1">
      <c r="A1418" s="96" t="s">
        <v>26</v>
      </c>
      <c r="B1418" s="271">
        <v>0</v>
      </c>
      <c r="D1418" s="96"/>
      <c r="E1418" s="96"/>
    </row>
    <row r="1419" spans="1:5" ht="12.75" customHeight="1">
      <c r="A1419" s="96" t="s">
        <v>27</v>
      </c>
      <c r="B1419" s="271">
        <v>0</v>
      </c>
      <c r="D1419" s="96"/>
      <c r="E1419" s="96"/>
    </row>
    <row r="1420" spans="1:5" ht="12.75" customHeight="1">
      <c r="A1420" s="96" t="s">
        <v>30</v>
      </c>
      <c r="B1420" s="271">
        <v>1</v>
      </c>
      <c r="D1420" s="96"/>
      <c r="E1420" s="96"/>
    </row>
    <row r="1421" spans="1:5" ht="12.75" customHeight="1">
      <c r="A1421" s="96" t="s">
        <v>31</v>
      </c>
      <c r="B1421" s="271">
        <v>0</v>
      </c>
      <c r="D1421" s="96"/>
      <c r="E1421" s="96"/>
    </row>
    <row r="1422" spans="1:5" ht="12.75" customHeight="1">
      <c r="A1422" s="96" t="s">
        <v>32</v>
      </c>
      <c r="B1422" s="271">
        <v>1</v>
      </c>
      <c r="D1422" s="96"/>
      <c r="E1422" s="96"/>
    </row>
    <row r="1423" spans="1:5" ht="5.0999999999999996" customHeight="1">
      <c r="A1423" s="96"/>
      <c r="B1423" s="271"/>
      <c r="D1423" s="96"/>
      <c r="E1423" s="96"/>
    </row>
    <row r="1424" spans="1:5" ht="12.75" customHeight="1">
      <c r="A1424" s="93" t="s">
        <v>187</v>
      </c>
      <c r="B1424" s="272">
        <v>19</v>
      </c>
      <c r="D1424" s="96"/>
      <c r="E1424" s="96"/>
    </row>
    <row r="1425" spans="1:5" ht="5.0999999999999996" customHeight="1">
      <c r="A1425" s="96"/>
      <c r="B1425" s="271"/>
      <c r="D1425" s="96"/>
      <c r="E1425" s="96"/>
    </row>
    <row r="1426" spans="1:5" s="92" customFormat="1" ht="12.75" customHeight="1">
      <c r="A1426" s="96" t="s">
        <v>21</v>
      </c>
      <c r="B1426" s="271">
        <v>2</v>
      </c>
      <c r="D1426" s="96"/>
      <c r="E1426" s="96"/>
    </row>
    <row r="1427" spans="1:5" ht="12.75" customHeight="1">
      <c r="A1427" s="96" t="s">
        <v>23</v>
      </c>
      <c r="B1427" s="271">
        <v>1</v>
      </c>
      <c r="D1427" s="96"/>
      <c r="E1427" s="96"/>
    </row>
    <row r="1428" spans="1:5" ht="12.75" customHeight="1">
      <c r="A1428" s="96" t="s">
        <v>24</v>
      </c>
      <c r="B1428" s="271">
        <v>3</v>
      </c>
      <c r="D1428" s="96"/>
      <c r="E1428" s="96"/>
    </row>
    <row r="1429" spans="1:5" ht="12.75" customHeight="1">
      <c r="A1429" s="96" t="s">
        <v>25</v>
      </c>
      <c r="B1429" s="271">
        <v>1</v>
      </c>
      <c r="D1429" s="96"/>
      <c r="E1429" s="96"/>
    </row>
    <row r="1430" spans="1:5" ht="12.75" customHeight="1">
      <c r="A1430" s="96" t="s">
        <v>26</v>
      </c>
      <c r="B1430" s="271">
        <v>1</v>
      </c>
      <c r="D1430" s="96"/>
      <c r="E1430" s="96"/>
    </row>
    <row r="1431" spans="1:5" ht="12.75" customHeight="1">
      <c r="A1431" s="96" t="s">
        <v>27</v>
      </c>
      <c r="B1431" s="271">
        <v>2</v>
      </c>
      <c r="D1431" s="96"/>
      <c r="E1431" s="96"/>
    </row>
    <row r="1432" spans="1:5" ht="12.75" customHeight="1">
      <c r="A1432" s="96" t="s">
        <v>28</v>
      </c>
      <c r="B1432" s="271">
        <v>2</v>
      </c>
      <c r="D1432" s="96"/>
      <c r="E1432" s="96"/>
    </row>
    <row r="1433" spans="1:5" ht="12.75" customHeight="1">
      <c r="A1433" s="96" t="s">
        <v>29</v>
      </c>
      <c r="B1433" s="271">
        <v>2</v>
      </c>
      <c r="D1433" s="96"/>
      <c r="E1433" s="96"/>
    </row>
    <row r="1434" spans="1:5" ht="12.75" customHeight="1">
      <c r="A1434" s="96" t="s">
        <v>31</v>
      </c>
      <c r="B1434" s="271">
        <v>4</v>
      </c>
      <c r="D1434" s="96"/>
      <c r="E1434" s="96"/>
    </row>
    <row r="1435" spans="1:5" ht="12.75" customHeight="1">
      <c r="A1435" s="96" t="s">
        <v>32</v>
      </c>
      <c r="B1435" s="271">
        <v>1</v>
      </c>
      <c r="D1435" s="96"/>
      <c r="E1435" s="96"/>
    </row>
    <row r="1436" spans="1:5" ht="5.0999999999999996" customHeight="1">
      <c r="A1436" s="96"/>
      <c r="B1436" s="271"/>
      <c r="D1436" s="96"/>
      <c r="E1436" s="96"/>
    </row>
    <row r="1437" spans="1:5" ht="12.75" customHeight="1">
      <c r="A1437" s="93" t="s">
        <v>272</v>
      </c>
      <c r="B1437" s="272">
        <v>47</v>
      </c>
      <c r="D1437" s="96"/>
      <c r="E1437" s="96"/>
    </row>
    <row r="1438" spans="1:5" ht="5.0999999999999996" customHeight="1">
      <c r="A1438" s="96"/>
      <c r="B1438" s="271"/>
      <c r="D1438" s="96"/>
      <c r="E1438" s="96"/>
    </row>
    <row r="1439" spans="1:5" ht="12.75" customHeight="1">
      <c r="A1439" s="96" t="s">
        <v>21</v>
      </c>
      <c r="B1439" s="271">
        <v>14</v>
      </c>
      <c r="D1439" s="96"/>
      <c r="E1439" s="96"/>
    </row>
    <row r="1440" spans="1:5" ht="12.75" customHeight="1">
      <c r="A1440" s="96" t="s">
        <v>22</v>
      </c>
      <c r="B1440" s="271">
        <v>6</v>
      </c>
      <c r="D1440" s="96"/>
      <c r="E1440" s="96"/>
    </row>
    <row r="1441" spans="1:5" ht="12.75" customHeight="1">
      <c r="A1441" s="96" t="s">
        <v>23</v>
      </c>
      <c r="B1441" s="271">
        <v>4</v>
      </c>
      <c r="D1441" s="96"/>
      <c r="E1441" s="96"/>
    </row>
    <row r="1442" spans="1:5" ht="12.75" customHeight="1">
      <c r="A1442" s="96" t="s">
        <v>24</v>
      </c>
      <c r="B1442" s="271">
        <v>2</v>
      </c>
      <c r="D1442" s="96"/>
      <c r="E1442" s="96"/>
    </row>
    <row r="1443" spans="1:5" s="92" customFormat="1" ht="12.75" customHeight="1">
      <c r="A1443" s="96" t="s">
        <v>25</v>
      </c>
      <c r="B1443" s="271">
        <v>2</v>
      </c>
      <c r="D1443" s="96"/>
      <c r="E1443" s="96"/>
    </row>
    <row r="1444" spans="1:5" ht="12.75" customHeight="1">
      <c r="A1444" s="96" t="s">
        <v>26</v>
      </c>
      <c r="B1444" s="271">
        <v>3</v>
      </c>
      <c r="D1444" s="96"/>
      <c r="E1444" s="96"/>
    </row>
    <row r="1445" spans="1:5" ht="12.75" customHeight="1">
      <c r="A1445" s="96" t="s">
        <v>27</v>
      </c>
      <c r="B1445" s="271">
        <v>1</v>
      </c>
      <c r="D1445" s="96"/>
      <c r="E1445" s="96"/>
    </row>
    <row r="1446" spans="1:5" ht="12.75" customHeight="1">
      <c r="A1446" s="96" t="s">
        <v>28</v>
      </c>
      <c r="B1446" s="271">
        <v>2</v>
      </c>
      <c r="D1446" s="96"/>
      <c r="E1446" s="96"/>
    </row>
    <row r="1447" spans="1:5" ht="12.75" customHeight="1">
      <c r="A1447" s="96" t="s">
        <v>29</v>
      </c>
      <c r="B1447" s="271">
        <v>2</v>
      </c>
      <c r="D1447" s="96"/>
      <c r="E1447" s="96"/>
    </row>
    <row r="1448" spans="1:5" ht="12.75" customHeight="1">
      <c r="A1448" s="96" t="s">
        <v>30</v>
      </c>
      <c r="B1448" s="271">
        <v>6</v>
      </c>
      <c r="D1448" s="96"/>
      <c r="E1448" s="96"/>
    </row>
    <row r="1449" spans="1:5" ht="12.75" customHeight="1">
      <c r="A1449" s="96" t="s">
        <v>31</v>
      </c>
      <c r="B1449" s="271">
        <v>3</v>
      </c>
      <c r="D1449" s="96"/>
      <c r="E1449" s="96"/>
    </row>
    <row r="1450" spans="1:5" ht="12.75" customHeight="1">
      <c r="A1450" s="96" t="s">
        <v>32</v>
      </c>
      <c r="B1450" s="271">
        <v>2</v>
      </c>
      <c r="D1450" s="96"/>
      <c r="E1450" s="96"/>
    </row>
    <row r="1451" spans="1:5" ht="5.0999999999999996" customHeight="1">
      <c r="A1451" s="96"/>
      <c r="B1451" s="271"/>
      <c r="D1451" s="96"/>
      <c r="E1451" s="96"/>
    </row>
    <row r="1452" spans="1:5" ht="12.75" customHeight="1">
      <c r="A1452" s="93" t="s">
        <v>188</v>
      </c>
      <c r="B1452" s="272">
        <v>62</v>
      </c>
      <c r="D1452" s="96"/>
      <c r="E1452" s="96"/>
    </row>
    <row r="1453" spans="1:5" ht="5.0999999999999996" customHeight="1">
      <c r="A1453" s="93"/>
      <c r="B1453" s="272"/>
      <c r="D1453" s="96"/>
      <c r="E1453" s="96"/>
    </row>
    <row r="1454" spans="1:5" ht="12.75" customHeight="1">
      <c r="A1454" s="96" t="s">
        <v>21</v>
      </c>
      <c r="B1454" s="271">
        <v>8</v>
      </c>
      <c r="D1454" s="96"/>
      <c r="E1454" s="96"/>
    </row>
    <row r="1455" spans="1:5" ht="12.75" customHeight="1">
      <c r="A1455" s="96" t="s">
        <v>22</v>
      </c>
      <c r="B1455" s="271">
        <v>10</v>
      </c>
      <c r="D1455" s="96"/>
      <c r="E1455" s="96"/>
    </row>
    <row r="1456" spans="1:5" ht="12.75" customHeight="1">
      <c r="A1456" s="96" t="s">
        <v>23</v>
      </c>
      <c r="B1456" s="271">
        <v>1</v>
      </c>
      <c r="D1456" s="96"/>
      <c r="E1456" s="96"/>
    </row>
    <row r="1457" spans="1:5" ht="12.75" customHeight="1">
      <c r="A1457" s="96" t="s">
        <v>24</v>
      </c>
      <c r="B1457" s="271">
        <v>3</v>
      </c>
      <c r="D1457" s="96"/>
      <c r="E1457" s="96"/>
    </row>
    <row r="1458" spans="1:5" ht="12.75" customHeight="1">
      <c r="A1458" s="96" t="s">
        <v>25</v>
      </c>
      <c r="B1458" s="271">
        <v>3</v>
      </c>
      <c r="D1458" s="96"/>
      <c r="E1458" s="96"/>
    </row>
    <row r="1459" spans="1:5" ht="12.75" customHeight="1">
      <c r="A1459" s="96" t="s">
        <v>26</v>
      </c>
      <c r="B1459" s="271">
        <v>4</v>
      </c>
      <c r="D1459" s="96"/>
      <c r="E1459" s="96"/>
    </row>
    <row r="1460" spans="1:5" s="92" customFormat="1" ht="12.75" customHeight="1">
      <c r="A1460" s="96" t="s">
        <v>27</v>
      </c>
      <c r="B1460" s="271">
        <v>11</v>
      </c>
      <c r="D1460" s="96"/>
      <c r="E1460" s="96"/>
    </row>
    <row r="1461" spans="1:5" ht="12.75" customHeight="1">
      <c r="A1461" s="96" t="s">
        <v>28</v>
      </c>
      <c r="B1461" s="271">
        <v>4</v>
      </c>
      <c r="D1461" s="96"/>
      <c r="E1461" s="96"/>
    </row>
    <row r="1462" spans="1:5" ht="12.75" customHeight="1">
      <c r="A1462" s="96" t="s">
        <v>29</v>
      </c>
      <c r="B1462" s="271">
        <v>3</v>
      </c>
      <c r="D1462" s="96"/>
      <c r="E1462" s="96"/>
    </row>
    <row r="1463" spans="1:5" ht="12.75" customHeight="1">
      <c r="A1463" s="96" t="s">
        <v>30</v>
      </c>
      <c r="B1463" s="271">
        <v>3</v>
      </c>
      <c r="D1463" s="96"/>
      <c r="E1463" s="96"/>
    </row>
    <row r="1464" spans="1:5" ht="12.75" customHeight="1">
      <c r="A1464" s="96" t="s">
        <v>31</v>
      </c>
      <c r="B1464" s="271">
        <v>5</v>
      </c>
      <c r="D1464" s="96"/>
      <c r="E1464" s="96"/>
    </row>
    <row r="1465" spans="1:5" ht="12.75" customHeight="1">
      <c r="A1465" s="96" t="s">
        <v>32</v>
      </c>
      <c r="B1465" s="271">
        <v>7</v>
      </c>
      <c r="D1465" s="96"/>
      <c r="E1465" s="96"/>
    </row>
    <row r="1466" spans="1:5" ht="5.0999999999999996" customHeight="1">
      <c r="A1466" s="96"/>
      <c r="B1466" s="271"/>
      <c r="D1466" s="96"/>
      <c r="E1466" s="96"/>
    </row>
    <row r="1467" spans="1:5" ht="12.75" customHeight="1">
      <c r="A1467" s="93" t="s">
        <v>189</v>
      </c>
      <c r="B1467" s="272">
        <v>11</v>
      </c>
      <c r="D1467" s="96"/>
      <c r="E1467" s="96"/>
    </row>
    <row r="1468" spans="1:5" ht="5.0999999999999996" customHeight="1">
      <c r="A1468" s="96"/>
      <c r="B1468" s="271"/>
      <c r="D1468" s="96"/>
      <c r="E1468" s="96"/>
    </row>
    <row r="1469" spans="1:5" ht="12.75" customHeight="1">
      <c r="A1469" s="96" t="s">
        <v>21</v>
      </c>
      <c r="B1469" s="271">
        <v>2</v>
      </c>
      <c r="D1469" s="96"/>
      <c r="E1469" s="96"/>
    </row>
    <row r="1470" spans="1:5" ht="12.75" customHeight="1">
      <c r="A1470" s="96" t="s">
        <v>22</v>
      </c>
      <c r="B1470" s="271">
        <v>1</v>
      </c>
      <c r="D1470" s="96"/>
      <c r="E1470" s="96"/>
    </row>
    <row r="1471" spans="1:5" ht="12.75" customHeight="1">
      <c r="A1471" s="96" t="s">
        <v>23</v>
      </c>
      <c r="B1471" s="271">
        <v>1</v>
      </c>
      <c r="D1471" s="96"/>
      <c r="E1471" s="96"/>
    </row>
    <row r="1472" spans="1:5" ht="12.75" customHeight="1">
      <c r="A1472" s="96" t="s">
        <v>24</v>
      </c>
      <c r="B1472" s="271">
        <v>2</v>
      </c>
      <c r="D1472" s="96"/>
      <c r="E1472" s="96"/>
    </row>
    <row r="1473" spans="1:5" ht="12.75" customHeight="1">
      <c r="A1473" s="96" t="s">
        <v>25</v>
      </c>
      <c r="B1473" s="271">
        <v>1</v>
      </c>
      <c r="D1473" s="96"/>
      <c r="E1473" s="96"/>
    </row>
    <row r="1474" spans="1:5" ht="12.75" customHeight="1">
      <c r="A1474" s="96" t="s">
        <v>26</v>
      </c>
      <c r="B1474" s="271">
        <v>1</v>
      </c>
      <c r="D1474" s="96"/>
      <c r="E1474" s="96"/>
    </row>
    <row r="1475" spans="1:5" ht="12.75" customHeight="1">
      <c r="A1475" s="96" t="s">
        <v>27</v>
      </c>
      <c r="B1475" s="271">
        <v>1</v>
      </c>
      <c r="D1475" s="96"/>
      <c r="E1475" s="96"/>
    </row>
    <row r="1476" spans="1:5" ht="12.75" customHeight="1">
      <c r="A1476" s="96" t="s">
        <v>28</v>
      </c>
      <c r="B1476" s="271">
        <v>0</v>
      </c>
      <c r="D1476" s="96"/>
      <c r="E1476" s="96"/>
    </row>
    <row r="1477" spans="1:5" ht="12.75" customHeight="1">
      <c r="A1477" s="96" t="s">
        <v>29</v>
      </c>
      <c r="B1477" s="271">
        <v>0</v>
      </c>
      <c r="D1477" s="96"/>
      <c r="E1477" s="96"/>
    </row>
    <row r="1478" spans="1:5" ht="12.75" customHeight="1">
      <c r="A1478" s="96" t="s">
        <v>30</v>
      </c>
      <c r="B1478" s="271">
        <v>0</v>
      </c>
      <c r="D1478" s="96"/>
      <c r="E1478" s="96"/>
    </row>
    <row r="1479" spans="1:5" ht="12.75" customHeight="1">
      <c r="A1479" s="96" t="s">
        <v>31</v>
      </c>
      <c r="B1479" s="271">
        <v>1</v>
      </c>
      <c r="D1479" s="96"/>
      <c r="E1479" s="96"/>
    </row>
    <row r="1480" spans="1:5" s="92" customFormat="1" ht="12.75" customHeight="1">
      <c r="A1480" s="96" t="s">
        <v>32</v>
      </c>
      <c r="B1480" s="271">
        <v>1</v>
      </c>
      <c r="D1480" s="96"/>
      <c r="E1480" s="96"/>
    </row>
    <row r="1481" spans="1:5" s="92" customFormat="1" ht="5.0999999999999996" customHeight="1">
      <c r="A1481" s="96"/>
      <c r="B1481" s="271"/>
      <c r="D1481" s="96"/>
      <c r="E1481" s="96"/>
    </row>
    <row r="1482" spans="1:5" ht="12.75" customHeight="1">
      <c r="A1482" s="93" t="s">
        <v>376</v>
      </c>
      <c r="B1482" s="272">
        <v>1186</v>
      </c>
      <c r="D1482" s="96"/>
      <c r="E1482" s="96"/>
    </row>
    <row r="1483" spans="1:5" ht="5.0999999999999996" customHeight="1">
      <c r="A1483" s="96"/>
      <c r="B1483" s="271"/>
      <c r="D1483" s="96"/>
      <c r="E1483" s="96"/>
    </row>
    <row r="1484" spans="1:5" ht="12.75" customHeight="1">
      <c r="A1484" s="96" t="s">
        <v>21</v>
      </c>
      <c r="B1484" s="271">
        <v>111</v>
      </c>
      <c r="D1484" s="96"/>
      <c r="E1484" s="96"/>
    </row>
    <row r="1485" spans="1:5" ht="12.75" customHeight="1">
      <c r="A1485" s="96" t="s">
        <v>22</v>
      </c>
      <c r="B1485" s="271">
        <v>98</v>
      </c>
      <c r="D1485" s="96"/>
      <c r="E1485" s="96"/>
    </row>
    <row r="1486" spans="1:5" ht="12.75" customHeight="1">
      <c r="A1486" s="96" t="s">
        <v>23</v>
      </c>
      <c r="B1486" s="271">
        <v>111</v>
      </c>
      <c r="D1486" s="96"/>
      <c r="E1486" s="96"/>
    </row>
    <row r="1487" spans="1:5" ht="12.75" customHeight="1">
      <c r="A1487" s="96" t="s">
        <v>24</v>
      </c>
      <c r="B1487" s="271">
        <v>87</v>
      </c>
      <c r="D1487" s="96"/>
      <c r="E1487" s="96"/>
    </row>
    <row r="1488" spans="1:5" ht="12.75" customHeight="1">
      <c r="A1488" s="96" t="s">
        <v>25</v>
      </c>
      <c r="B1488" s="271">
        <v>69</v>
      </c>
      <c r="D1488" s="96"/>
      <c r="E1488" s="96"/>
    </row>
    <row r="1489" spans="1:5" ht="12.75" customHeight="1">
      <c r="A1489" s="96" t="s">
        <v>26</v>
      </c>
      <c r="B1489" s="271">
        <v>76</v>
      </c>
      <c r="D1489" s="96"/>
      <c r="E1489" s="96"/>
    </row>
    <row r="1490" spans="1:5" ht="12.75" customHeight="1">
      <c r="A1490" s="96" t="s">
        <v>27</v>
      </c>
      <c r="B1490" s="271">
        <v>87</v>
      </c>
      <c r="D1490" s="96"/>
      <c r="E1490" s="96"/>
    </row>
    <row r="1491" spans="1:5" ht="12.75" customHeight="1">
      <c r="A1491" s="96" t="s">
        <v>28</v>
      </c>
      <c r="B1491" s="271">
        <v>81</v>
      </c>
      <c r="D1491" s="96"/>
      <c r="E1491" s="96"/>
    </row>
    <row r="1492" spans="1:5" ht="12.75" customHeight="1">
      <c r="A1492" s="96" t="s">
        <v>29</v>
      </c>
      <c r="B1492" s="271">
        <v>75</v>
      </c>
      <c r="D1492" s="96"/>
      <c r="E1492" s="96"/>
    </row>
    <row r="1493" spans="1:5" ht="12.75" customHeight="1">
      <c r="A1493" s="96" t="s">
        <v>30</v>
      </c>
      <c r="B1493" s="271">
        <v>81</v>
      </c>
      <c r="D1493" s="96"/>
      <c r="E1493" s="96"/>
    </row>
    <row r="1494" spans="1:5" ht="12.75" customHeight="1">
      <c r="A1494" s="96" t="s">
        <v>31</v>
      </c>
      <c r="B1494" s="271">
        <v>116</v>
      </c>
      <c r="D1494" s="96"/>
      <c r="E1494" s="96"/>
    </row>
    <row r="1495" spans="1:5" ht="12.75" customHeight="1">
      <c r="A1495" s="96" t="s">
        <v>32</v>
      </c>
      <c r="B1495" s="271">
        <v>194</v>
      </c>
      <c r="D1495" s="96"/>
      <c r="E1495" s="96"/>
    </row>
    <row r="1496" spans="1:5" ht="5.0999999999999996" customHeight="1">
      <c r="A1496" s="96"/>
      <c r="B1496" s="271"/>
      <c r="D1496" s="96"/>
      <c r="E1496" s="96"/>
    </row>
    <row r="1497" spans="1:5" ht="12.75" customHeight="1">
      <c r="A1497" s="93" t="s">
        <v>190</v>
      </c>
      <c r="B1497" s="272">
        <v>77</v>
      </c>
      <c r="D1497" s="96"/>
      <c r="E1497" s="96"/>
    </row>
    <row r="1498" spans="1:5" ht="5.0999999999999996" customHeight="1">
      <c r="A1498" s="96"/>
      <c r="B1498" s="271"/>
      <c r="D1498" s="96"/>
      <c r="E1498" s="96"/>
    </row>
    <row r="1499" spans="1:5" s="92" customFormat="1" ht="12.75" customHeight="1">
      <c r="A1499" s="96" t="s">
        <v>21</v>
      </c>
      <c r="B1499" s="271">
        <v>8</v>
      </c>
      <c r="D1499" s="96"/>
      <c r="E1499" s="96"/>
    </row>
    <row r="1500" spans="1:5" ht="12.75" customHeight="1">
      <c r="A1500" s="96" t="s">
        <v>22</v>
      </c>
      <c r="B1500" s="271">
        <v>7</v>
      </c>
      <c r="D1500" s="96"/>
      <c r="E1500" s="96"/>
    </row>
    <row r="1501" spans="1:5" ht="12.75" customHeight="1">
      <c r="A1501" s="96" t="s">
        <v>23</v>
      </c>
      <c r="B1501" s="271">
        <v>9</v>
      </c>
      <c r="D1501" s="96"/>
      <c r="E1501" s="96"/>
    </row>
    <row r="1502" spans="1:5" ht="12.75" customHeight="1">
      <c r="A1502" s="96" t="s">
        <v>24</v>
      </c>
      <c r="B1502" s="271">
        <v>7</v>
      </c>
      <c r="D1502" s="96"/>
      <c r="E1502" s="96"/>
    </row>
    <row r="1503" spans="1:5" ht="12.75" customHeight="1">
      <c r="A1503" s="96" t="s">
        <v>25</v>
      </c>
      <c r="B1503" s="271">
        <v>2</v>
      </c>
      <c r="D1503" s="96"/>
      <c r="E1503" s="96"/>
    </row>
    <row r="1504" spans="1:5" ht="12.75" customHeight="1">
      <c r="A1504" s="96" t="s">
        <v>26</v>
      </c>
      <c r="B1504" s="271">
        <v>7</v>
      </c>
      <c r="D1504" s="96"/>
      <c r="E1504" s="96"/>
    </row>
    <row r="1505" spans="1:5" ht="12.75" customHeight="1">
      <c r="A1505" s="96" t="s">
        <v>27</v>
      </c>
      <c r="B1505" s="271">
        <v>10</v>
      </c>
      <c r="D1505" s="96"/>
      <c r="E1505" s="96"/>
    </row>
    <row r="1506" spans="1:5" ht="12.75" customHeight="1">
      <c r="A1506" s="96" t="s">
        <v>28</v>
      </c>
      <c r="B1506" s="271">
        <v>4</v>
      </c>
      <c r="D1506" s="96"/>
      <c r="E1506" s="96"/>
    </row>
    <row r="1507" spans="1:5" ht="12.75" customHeight="1">
      <c r="A1507" s="96" t="s">
        <v>29</v>
      </c>
      <c r="B1507" s="271">
        <v>3</v>
      </c>
      <c r="D1507" s="96"/>
      <c r="E1507" s="96"/>
    </row>
    <row r="1508" spans="1:5" ht="12.75" customHeight="1">
      <c r="A1508" s="96" t="s">
        <v>30</v>
      </c>
      <c r="B1508" s="271">
        <v>6</v>
      </c>
      <c r="D1508" s="96"/>
      <c r="E1508" s="96"/>
    </row>
    <row r="1509" spans="1:5" ht="12.75" customHeight="1">
      <c r="A1509" s="96" t="s">
        <v>31</v>
      </c>
      <c r="B1509" s="271">
        <v>4</v>
      </c>
      <c r="D1509" s="96"/>
      <c r="E1509" s="96"/>
    </row>
    <row r="1510" spans="1:5" ht="12.75" customHeight="1">
      <c r="A1510" s="96" t="s">
        <v>32</v>
      </c>
      <c r="B1510" s="271">
        <v>10</v>
      </c>
      <c r="D1510" s="96"/>
      <c r="E1510" s="96"/>
    </row>
    <row r="1511" spans="1:5" ht="5.0999999999999996" customHeight="1">
      <c r="A1511" s="96"/>
      <c r="B1511" s="271"/>
      <c r="D1511" s="96"/>
      <c r="E1511" s="96"/>
    </row>
    <row r="1512" spans="1:5" ht="12.75" customHeight="1">
      <c r="A1512" s="93" t="s">
        <v>191</v>
      </c>
      <c r="B1512" s="272">
        <v>11</v>
      </c>
      <c r="D1512" s="96"/>
      <c r="E1512" s="96"/>
    </row>
    <row r="1513" spans="1:5" ht="5.0999999999999996" customHeight="1">
      <c r="A1513" s="96"/>
      <c r="B1513" s="271"/>
      <c r="D1513" s="96"/>
      <c r="E1513" s="96"/>
    </row>
    <row r="1514" spans="1:5" ht="12.75" customHeight="1">
      <c r="A1514" s="96" t="s">
        <v>21</v>
      </c>
      <c r="B1514" s="271"/>
      <c r="D1514" s="96"/>
      <c r="E1514" s="96"/>
    </row>
    <row r="1515" spans="1:5" ht="12.75" customHeight="1">
      <c r="A1515" s="96" t="s">
        <v>22</v>
      </c>
      <c r="B1515" s="271">
        <v>3</v>
      </c>
      <c r="D1515" s="96"/>
      <c r="E1515" s="96"/>
    </row>
    <row r="1516" spans="1:5" ht="12.75" customHeight="1">
      <c r="A1516" s="96" t="s">
        <v>23</v>
      </c>
      <c r="B1516" s="271">
        <v>1</v>
      </c>
      <c r="D1516" s="96"/>
      <c r="E1516" s="96"/>
    </row>
    <row r="1517" spans="1:5" s="92" customFormat="1" ht="12.75" customHeight="1">
      <c r="A1517" s="96" t="s">
        <v>24</v>
      </c>
      <c r="B1517" s="271">
        <v>1</v>
      </c>
      <c r="D1517" s="96"/>
      <c r="E1517" s="96"/>
    </row>
    <row r="1518" spans="1:5" s="92" customFormat="1" ht="12.75" customHeight="1">
      <c r="A1518" s="96" t="s">
        <v>25</v>
      </c>
      <c r="B1518" s="271"/>
      <c r="D1518" s="96"/>
      <c r="E1518" s="96"/>
    </row>
    <row r="1519" spans="1:5" s="92" customFormat="1" ht="12.75" customHeight="1">
      <c r="A1519" s="96" t="s">
        <v>26</v>
      </c>
      <c r="B1519" s="271"/>
      <c r="D1519" s="96"/>
      <c r="E1519" s="96"/>
    </row>
    <row r="1520" spans="1:5" ht="12.75" customHeight="1">
      <c r="A1520" s="96" t="s">
        <v>27</v>
      </c>
      <c r="B1520" s="271">
        <v>1</v>
      </c>
      <c r="D1520" s="96"/>
      <c r="E1520" s="96"/>
    </row>
    <row r="1521" spans="1:5" ht="12.75" customHeight="1">
      <c r="A1521" s="96" t="s">
        <v>28</v>
      </c>
      <c r="B1521" s="271"/>
      <c r="D1521" s="96"/>
      <c r="E1521" s="96"/>
    </row>
    <row r="1522" spans="1:5" ht="12.75" customHeight="1">
      <c r="A1522" s="96" t="s">
        <v>29</v>
      </c>
      <c r="B1522" s="271">
        <v>1</v>
      </c>
      <c r="D1522" s="96"/>
      <c r="E1522" s="96"/>
    </row>
    <row r="1523" spans="1:5" ht="12.75" customHeight="1">
      <c r="A1523" s="96" t="s">
        <v>30</v>
      </c>
      <c r="B1523" s="271"/>
      <c r="D1523" s="96"/>
      <c r="E1523" s="96"/>
    </row>
    <row r="1524" spans="1:5" ht="12.75" customHeight="1">
      <c r="A1524" s="96" t="s">
        <v>31</v>
      </c>
      <c r="B1524" s="271">
        <v>2</v>
      </c>
      <c r="D1524" s="96"/>
      <c r="E1524" s="96"/>
    </row>
    <row r="1525" spans="1:5" ht="12.75" customHeight="1">
      <c r="A1525" s="96" t="s">
        <v>32</v>
      </c>
      <c r="B1525" s="271">
        <v>2</v>
      </c>
      <c r="D1525" s="96"/>
      <c r="E1525" s="96"/>
    </row>
    <row r="1526" spans="1:5" ht="5.0999999999999996" customHeight="1">
      <c r="A1526" s="96"/>
      <c r="B1526" s="271"/>
      <c r="D1526" s="96"/>
      <c r="E1526" s="96"/>
    </row>
    <row r="1527" spans="1:5" ht="12.75" customHeight="1">
      <c r="A1527" s="93" t="s">
        <v>192</v>
      </c>
      <c r="B1527" s="272">
        <v>331</v>
      </c>
      <c r="D1527" s="96"/>
      <c r="E1527" s="96"/>
    </row>
    <row r="1528" spans="1:5" ht="5.0999999999999996" customHeight="1">
      <c r="A1528" s="96"/>
      <c r="B1528" s="271"/>
      <c r="D1528" s="96"/>
      <c r="E1528" s="96"/>
    </row>
    <row r="1529" spans="1:5" ht="12.75" customHeight="1">
      <c r="A1529" s="96" t="s">
        <v>21</v>
      </c>
      <c r="B1529" s="271">
        <v>27</v>
      </c>
      <c r="D1529" s="96"/>
      <c r="E1529" s="96"/>
    </row>
    <row r="1530" spans="1:5" ht="12.75" customHeight="1">
      <c r="A1530" s="96" t="s">
        <v>22</v>
      </c>
      <c r="B1530" s="271">
        <v>22</v>
      </c>
      <c r="D1530" s="96"/>
      <c r="E1530" s="96"/>
    </row>
    <row r="1531" spans="1:5" ht="12.75" customHeight="1">
      <c r="A1531" s="96" t="s">
        <v>23</v>
      </c>
      <c r="B1531" s="271">
        <v>29</v>
      </c>
      <c r="D1531" s="96"/>
      <c r="E1531" s="96"/>
    </row>
    <row r="1532" spans="1:5" ht="12.75" customHeight="1">
      <c r="A1532" s="96" t="s">
        <v>24</v>
      </c>
      <c r="B1532" s="271">
        <v>21</v>
      </c>
      <c r="D1532" s="96"/>
      <c r="E1532" s="96"/>
    </row>
    <row r="1533" spans="1:5" ht="12.75" customHeight="1">
      <c r="A1533" s="96" t="s">
        <v>25</v>
      </c>
      <c r="B1533" s="271">
        <v>18</v>
      </c>
      <c r="D1533" s="96"/>
      <c r="E1533" s="96"/>
    </row>
    <row r="1534" spans="1:5" ht="12.75" customHeight="1">
      <c r="A1534" s="96" t="s">
        <v>26</v>
      </c>
      <c r="B1534" s="271">
        <v>18</v>
      </c>
      <c r="D1534" s="96"/>
      <c r="E1534" s="96"/>
    </row>
    <row r="1535" spans="1:5" ht="12.75" customHeight="1">
      <c r="A1535" s="96" t="s">
        <v>27</v>
      </c>
      <c r="B1535" s="271">
        <v>20</v>
      </c>
      <c r="D1535" s="96"/>
      <c r="E1535" s="96"/>
    </row>
    <row r="1536" spans="1:5" ht="12.75" customHeight="1">
      <c r="A1536" s="96" t="s">
        <v>28</v>
      </c>
      <c r="B1536" s="271">
        <v>21</v>
      </c>
      <c r="D1536" s="96"/>
      <c r="E1536" s="96"/>
    </row>
    <row r="1537" spans="1:5" ht="12.75" customHeight="1">
      <c r="A1537" s="96" t="s">
        <v>29</v>
      </c>
      <c r="B1537" s="271">
        <v>32</v>
      </c>
      <c r="D1537" s="96"/>
      <c r="E1537" s="96"/>
    </row>
    <row r="1538" spans="1:5" s="92" customFormat="1" ht="12.75" customHeight="1">
      <c r="A1538" s="96" t="s">
        <v>30</v>
      </c>
      <c r="B1538" s="271">
        <v>27</v>
      </c>
      <c r="D1538" s="96"/>
      <c r="E1538" s="96"/>
    </row>
    <row r="1539" spans="1:5" ht="12.75" customHeight="1">
      <c r="A1539" s="96" t="s">
        <v>31</v>
      </c>
      <c r="B1539" s="271">
        <v>33</v>
      </c>
      <c r="D1539" s="96"/>
      <c r="E1539" s="96"/>
    </row>
    <row r="1540" spans="1:5" ht="12.75" customHeight="1">
      <c r="A1540" s="96" t="s">
        <v>32</v>
      </c>
      <c r="B1540" s="271">
        <v>63</v>
      </c>
      <c r="D1540" s="96"/>
      <c r="E1540" s="96"/>
    </row>
    <row r="1541" spans="1:5" ht="5.0999999999999996" customHeight="1">
      <c r="A1541" s="96"/>
      <c r="B1541" s="271"/>
      <c r="D1541" s="96"/>
      <c r="E1541" s="96"/>
    </row>
    <row r="1542" spans="1:5" ht="12.75" customHeight="1">
      <c r="A1542" s="93" t="s">
        <v>193</v>
      </c>
      <c r="B1542" s="272">
        <v>37</v>
      </c>
      <c r="D1542" s="96"/>
      <c r="E1542" s="96"/>
    </row>
    <row r="1543" spans="1:5" ht="5.0999999999999996" customHeight="1">
      <c r="A1543" s="96"/>
      <c r="B1543" s="271"/>
      <c r="D1543" s="96"/>
      <c r="E1543" s="96"/>
    </row>
    <row r="1544" spans="1:5" ht="12.75" customHeight="1">
      <c r="A1544" s="96" t="s">
        <v>21</v>
      </c>
      <c r="B1544" s="271">
        <v>6</v>
      </c>
      <c r="D1544" s="96"/>
      <c r="E1544" s="96"/>
    </row>
    <row r="1545" spans="1:5" ht="12.75" customHeight="1">
      <c r="A1545" s="96" t="s">
        <v>22</v>
      </c>
      <c r="B1545" s="271">
        <v>2</v>
      </c>
      <c r="D1545" s="96"/>
      <c r="E1545" s="96"/>
    </row>
    <row r="1546" spans="1:5" ht="12.75" customHeight="1">
      <c r="A1546" s="96" t="s">
        <v>23</v>
      </c>
      <c r="B1546" s="271">
        <v>5</v>
      </c>
      <c r="D1546" s="96"/>
      <c r="E1546" s="96"/>
    </row>
    <row r="1547" spans="1:5" ht="12.75" customHeight="1">
      <c r="A1547" s="96" t="s">
        <v>24</v>
      </c>
      <c r="B1547" s="271">
        <v>3</v>
      </c>
      <c r="D1547" s="96"/>
      <c r="E1547" s="96"/>
    </row>
    <row r="1548" spans="1:5" ht="12.75" customHeight="1">
      <c r="A1548" s="96" t="s">
        <v>26</v>
      </c>
      <c r="B1548" s="271">
        <v>2</v>
      </c>
      <c r="D1548" s="96"/>
      <c r="E1548" s="96"/>
    </row>
    <row r="1549" spans="1:5" ht="12.75" customHeight="1">
      <c r="A1549" s="96" t="s">
        <v>27</v>
      </c>
      <c r="B1549" s="271">
        <v>2</v>
      </c>
      <c r="D1549" s="96"/>
      <c r="E1549" s="96"/>
    </row>
    <row r="1550" spans="1:5" ht="12.75" customHeight="1">
      <c r="A1550" s="96" t="s">
        <v>28</v>
      </c>
      <c r="B1550" s="271">
        <v>3</v>
      </c>
      <c r="D1550" s="96"/>
      <c r="E1550" s="96"/>
    </row>
    <row r="1551" spans="1:5" ht="12.75" customHeight="1">
      <c r="A1551" s="96" t="s">
        <v>29</v>
      </c>
      <c r="B1551" s="271">
        <v>2</v>
      </c>
      <c r="D1551" s="96"/>
      <c r="E1551" s="96"/>
    </row>
    <row r="1552" spans="1:5" ht="12.75" customHeight="1">
      <c r="A1552" s="96" t="s">
        <v>30</v>
      </c>
      <c r="B1552" s="271">
        <v>1</v>
      </c>
      <c r="D1552" s="96"/>
      <c r="E1552" s="96"/>
    </row>
    <row r="1553" spans="1:5" ht="12.75" customHeight="1">
      <c r="A1553" s="96" t="s">
        <v>31</v>
      </c>
      <c r="B1553" s="271">
        <v>7</v>
      </c>
      <c r="D1553" s="96"/>
      <c r="E1553" s="96"/>
    </row>
    <row r="1554" spans="1:5" ht="12.75" customHeight="1">
      <c r="A1554" s="96" t="s">
        <v>32</v>
      </c>
      <c r="B1554" s="271">
        <v>4</v>
      </c>
      <c r="D1554" s="96"/>
      <c r="E1554" s="96"/>
    </row>
    <row r="1555" spans="1:5" ht="5.0999999999999996" customHeight="1">
      <c r="A1555" s="96"/>
      <c r="B1555" s="271"/>
      <c r="D1555" s="96"/>
      <c r="E1555" s="96"/>
    </row>
    <row r="1556" spans="1:5" s="92" customFormat="1" ht="12.75" customHeight="1">
      <c r="A1556" s="93" t="s">
        <v>194</v>
      </c>
      <c r="B1556" s="272">
        <v>108</v>
      </c>
      <c r="D1556" s="96"/>
      <c r="E1556" s="96"/>
    </row>
    <row r="1557" spans="1:5" s="92" customFormat="1" ht="5.0999999999999996" customHeight="1">
      <c r="A1557" s="96"/>
      <c r="B1557" s="271"/>
      <c r="D1557" s="96"/>
      <c r="E1557" s="96"/>
    </row>
    <row r="1558" spans="1:5" ht="12.75" customHeight="1">
      <c r="A1558" s="96" t="s">
        <v>21</v>
      </c>
      <c r="B1558" s="271">
        <v>7</v>
      </c>
      <c r="D1558" s="96"/>
      <c r="E1558" s="96"/>
    </row>
    <row r="1559" spans="1:5" ht="12.75" customHeight="1">
      <c r="A1559" s="96" t="s">
        <v>22</v>
      </c>
      <c r="B1559" s="271">
        <v>11</v>
      </c>
      <c r="D1559" s="96"/>
      <c r="E1559" s="96"/>
    </row>
    <row r="1560" spans="1:5" ht="12.75" customHeight="1">
      <c r="A1560" s="96" t="s">
        <v>23</v>
      </c>
      <c r="B1560" s="271">
        <v>8</v>
      </c>
      <c r="D1560" s="96"/>
      <c r="E1560" s="96"/>
    </row>
    <row r="1561" spans="1:5" ht="12.75" customHeight="1">
      <c r="A1561" s="96" t="s">
        <v>24</v>
      </c>
      <c r="B1561" s="271">
        <v>3</v>
      </c>
      <c r="D1561" s="96"/>
      <c r="E1561" s="96"/>
    </row>
    <row r="1562" spans="1:5" ht="12.75" customHeight="1">
      <c r="A1562" s="96" t="s">
        <v>25</v>
      </c>
      <c r="B1562" s="271">
        <v>7</v>
      </c>
      <c r="D1562" s="96"/>
      <c r="E1562" s="96"/>
    </row>
    <row r="1563" spans="1:5" ht="12.75" customHeight="1">
      <c r="A1563" s="96" t="s">
        <v>26</v>
      </c>
      <c r="B1563" s="271">
        <v>6</v>
      </c>
      <c r="D1563" s="96"/>
      <c r="E1563" s="96"/>
    </row>
    <row r="1564" spans="1:5" ht="12.75" customHeight="1">
      <c r="A1564" s="96" t="s">
        <v>27</v>
      </c>
      <c r="B1564" s="271">
        <v>13</v>
      </c>
      <c r="D1564" s="96"/>
      <c r="E1564" s="96"/>
    </row>
    <row r="1565" spans="1:5" ht="12.75" customHeight="1">
      <c r="A1565" s="96" t="s">
        <v>28</v>
      </c>
      <c r="B1565" s="271">
        <v>10</v>
      </c>
      <c r="D1565" s="96"/>
      <c r="E1565" s="96"/>
    </row>
    <row r="1566" spans="1:5" ht="12.75" customHeight="1">
      <c r="A1566" s="96" t="s">
        <v>29</v>
      </c>
      <c r="B1566" s="271">
        <v>4</v>
      </c>
      <c r="D1566" s="96"/>
      <c r="E1566" s="96"/>
    </row>
    <row r="1567" spans="1:5" ht="12.75" customHeight="1">
      <c r="A1567" s="96" t="s">
        <v>30</v>
      </c>
      <c r="B1567" s="271">
        <v>10</v>
      </c>
      <c r="D1567" s="96"/>
      <c r="E1567" s="96"/>
    </row>
    <row r="1568" spans="1:5" ht="12.75" customHeight="1">
      <c r="A1568" s="96" t="s">
        <v>31</v>
      </c>
      <c r="B1568" s="271">
        <v>9</v>
      </c>
      <c r="D1568" s="96"/>
      <c r="E1568" s="96"/>
    </row>
    <row r="1569" spans="1:5" ht="12.75" customHeight="1">
      <c r="A1569" s="96" t="s">
        <v>32</v>
      </c>
      <c r="B1569" s="271">
        <v>20</v>
      </c>
      <c r="D1569" s="96"/>
      <c r="E1569" s="96"/>
    </row>
    <row r="1570" spans="1:5" ht="5.0999999999999996" customHeight="1">
      <c r="A1570" s="96"/>
      <c r="B1570" s="271"/>
      <c r="D1570" s="96"/>
      <c r="E1570" s="96"/>
    </row>
    <row r="1571" spans="1:5" ht="12.75" customHeight="1">
      <c r="A1571" s="93" t="s">
        <v>100</v>
      </c>
      <c r="B1571" s="272">
        <v>4984</v>
      </c>
      <c r="D1571" s="96"/>
      <c r="E1571" s="96"/>
    </row>
    <row r="1572" spans="1:5" ht="5.0999999999999996" customHeight="1">
      <c r="A1572" s="96"/>
      <c r="B1572" s="271"/>
      <c r="D1572" s="96"/>
      <c r="E1572" s="96"/>
    </row>
    <row r="1573" spans="1:5" ht="12.75" customHeight="1">
      <c r="A1573" s="96" t="s">
        <v>21</v>
      </c>
      <c r="B1573" s="271">
        <v>410</v>
      </c>
      <c r="D1573" s="96"/>
      <c r="E1573" s="96"/>
    </row>
    <row r="1574" spans="1:5" s="92" customFormat="1" ht="12.75" customHeight="1">
      <c r="A1574" s="96" t="s">
        <v>22</v>
      </c>
      <c r="B1574" s="271">
        <v>345</v>
      </c>
      <c r="D1574" s="96"/>
      <c r="E1574" s="96"/>
    </row>
    <row r="1575" spans="1:5" ht="12.75" customHeight="1">
      <c r="A1575" s="96" t="s">
        <v>23</v>
      </c>
      <c r="B1575" s="271">
        <v>414</v>
      </c>
      <c r="D1575" s="96"/>
      <c r="E1575" s="96"/>
    </row>
    <row r="1576" spans="1:5" ht="12.75" customHeight="1">
      <c r="A1576" s="96" t="s">
        <v>24</v>
      </c>
      <c r="B1576" s="271">
        <v>351</v>
      </c>
      <c r="D1576" s="96"/>
      <c r="E1576" s="96"/>
    </row>
    <row r="1577" spans="1:5" ht="12.75" customHeight="1">
      <c r="A1577" s="96" t="s">
        <v>25</v>
      </c>
      <c r="B1577" s="271">
        <v>347</v>
      </c>
      <c r="D1577" s="96"/>
      <c r="E1577" s="96"/>
    </row>
    <row r="1578" spans="1:5" ht="12.75" customHeight="1">
      <c r="A1578" s="96" t="s">
        <v>26</v>
      </c>
      <c r="B1578" s="271">
        <v>384</v>
      </c>
      <c r="D1578" s="96"/>
      <c r="E1578" s="96"/>
    </row>
    <row r="1579" spans="1:5" ht="12.75" customHeight="1">
      <c r="A1579" s="96" t="s">
        <v>27</v>
      </c>
      <c r="B1579" s="271">
        <v>468</v>
      </c>
      <c r="D1579" s="96"/>
      <c r="E1579" s="96"/>
    </row>
    <row r="1580" spans="1:5" ht="12.75" customHeight="1">
      <c r="A1580" s="96" t="s">
        <v>28</v>
      </c>
      <c r="B1580" s="271">
        <v>433</v>
      </c>
      <c r="D1580" s="96"/>
      <c r="E1580" s="96"/>
    </row>
    <row r="1581" spans="1:5" ht="12.75" customHeight="1">
      <c r="A1581" s="96" t="s">
        <v>29</v>
      </c>
      <c r="B1581" s="271">
        <v>389</v>
      </c>
      <c r="D1581" s="96"/>
      <c r="E1581" s="96"/>
    </row>
    <row r="1582" spans="1:5" ht="12.75" customHeight="1">
      <c r="A1582" s="96" t="s">
        <v>30</v>
      </c>
      <c r="B1582" s="271">
        <v>403</v>
      </c>
      <c r="D1582" s="96"/>
      <c r="E1582" s="96"/>
    </row>
    <row r="1583" spans="1:5" ht="12.75" customHeight="1">
      <c r="A1583" s="96" t="s">
        <v>31</v>
      </c>
      <c r="B1583" s="271">
        <v>398</v>
      </c>
      <c r="D1583" s="96"/>
      <c r="E1583" s="96"/>
    </row>
    <row r="1584" spans="1:5" ht="12.75" customHeight="1">
      <c r="A1584" s="96" t="s">
        <v>32</v>
      </c>
      <c r="B1584" s="271">
        <v>642</v>
      </c>
      <c r="D1584" s="96"/>
      <c r="E1584" s="96"/>
    </row>
    <row r="1585" spans="1:5" ht="5.0999999999999996" customHeight="1">
      <c r="A1585" s="96"/>
      <c r="B1585" s="271"/>
      <c r="D1585" s="96"/>
      <c r="E1585" s="96"/>
    </row>
    <row r="1586" spans="1:5" ht="12.75" customHeight="1">
      <c r="A1586" s="93" t="s">
        <v>195</v>
      </c>
      <c r="B1586" s="272">
        <v>187</v>
      </c>
      <c r="D1586" s="96"/>
      <c r="E1586" s="96"/>
    </row>
    <row r="1587" spans="1:5" ht="5.0999999999999996" customHeight="1">
      <c r="A1587" s="96"/>
      <c r="B1587" s="271"/>
      <c r="D1587" s="96"/>
      <c r="E1587" s="96"/>
    </row>
    <row r="1588" spans="1:5" ht="12.75" customHeight="1">
      <c r="A1588" s="96" t="s">
        <v>21</v>
      </c>
      <c r="B1588" s="271">
        <v>10</v>
      </c>
      <c r="D1588" s="96"/>
      <c r="E1588" s="96"/>
    </row>
    <row r="1589" spans="1:5" ht="12.75" customHeight="1">
      <c r="A1589" s="96" t="s">
        <v>22</v>
      </c>
      <c r="B1589" s="271">
        <v>25</v>
      </c>
      <c r="D1589" s="96"/>
      <c r="E1589" s="96"/>
    </row>
    <row r="1590" spans="1:5" ht="12.75" customHeight="1">
      <c r="A1590" s="96" t="s">
        <v>23</v>
      </c>
      <c r="B1590" s="271">
        <v>19</v>
      </c>
      <c r="D1590" s="96"/>
      <c r="E1590" s="96"/>
    </row>
    <row r="1591" spans="1:5" s="92" customFormat="1" ht="12.75" customHeight="1">
      <c r="A1591" s="96" t="s">
        <v>24</v>
      </c>
      <c r="B1591" s="271">
        <v>15</v>
      </c>
      <c r="D1591" s="96"/>
      <c r="E1591" s="96"/>
    </row>
    <row r="1592" spans="1:5" ht="12.75" customHeight="1">
      <c r="A1592" s="96" t="s">
        <v>25</v>
      </c>
      <c r="B1592" s="271">
        <v>10</v>
      </c>
      <c r="D1592" s="96"/>
      <c r="E1592" s="96"/>
    </row>
    <row r="1593" spans="1:5" ht="12.75" customHeight="1">
      <c r="A1593" s="96" t="s">
        <v>26</v>
      </c>
      <c r="B1593" s="271">
        <v>17</v>
      </c>
      <c r="D1593" s="96"/>
      <c r="E1593" s="96"/>
    </row>
    <row r="1594" spans="1:5" ht="12.75" customHeight="1">
      <c r="A1594" s="96" t="s">
        <v>27</v>
      </c>
      <c r="B1594" s="271">
        <v>13</v>
      </c>
      <c r="D1594" s="96"/>
      <c r="E1594" s="96"/>
    </row>
    <row r="1595" spans="1:5" ht="12.75" customHeight="1">
      <c r="A1595" s="96" t="s">
        <v>28</v>
      </c>
      <c r="B1595" s="271">
        <v>10</v>
      </c>
      <c r="D1595" s="96"/>
      <c r="E1595" s="96"/>
    </row>
    <row r="1596" spans="1:5" ht="12.75" customHeight="1">
      <c r="A1596" s="96" t="s">
        <v>29</v>
      </c>
      <c r="B1596" s="271">
        <v>9</v>
      </c>
      <c r="D1596" s="96"/>
      <c r="E1596" s="96"/>
    </row>
    <row r="1597" spans="1:5" ht="12.75" customHeight="1">
      <c r="A1597" s="96" t="s">
        <v>30</v>
      </c>
      <c r="B1597" s="271">
        <v>12</v>
      </c>
      <c r="D1597" s="96"/>
      <c r="E1597" s="96"/>
    </row>
    <row r="1598" spans="1:5" ht="12.75" customHeight="1">
      <c r="A1598" s="96" t="s">
        <v>31</v>
      </c>
      <c r="B1598" s="271">
        <v>15</v>
      </c>
      <c r="D1598" s="96"/>
      <c r="E1598" s="96"/>
    </row>
    <row r="1599" spans="1:5" ht="12.75" customHeight="1">
      <c r="A1599" s="96" t="s">
        <v>32</v>
      </c>
      <c r="B1599" s="271">
        <v>32</v>
      </c>
      <c r="D1599" s="96"/>
      <c r="E1599" s="96"/>
    </row>
    <row r="1600" spans="1:5" ht="5.0999999999999996" customHeight="1">
      <c r="A1600" s="96"/>
      <c r="B1600" s="271"/>
      <c r="D1600" s="96"/>
      <c r="E1600" s="96"/>
    </row>
    <row r="1601" spans="1:5" ht="12.75" customHeight="1">
      <c r="A1601" s="93" t="s">
        <v>196</v>
      </c>
      <c r="B1601" s="272">
        <v>134</v>
      </c>
      <c r="D1601" s="96"/>
      <c r="E1601" s="96"/>
    </row>
    <row r="1602" spans="1:5" ht="5.0999999999999996" customHeight="1">
      <c r="A1602" s="96"/>
      <c r="B1602" s="271"/>
      <c r="D1602" s="96"/>
      <c r="E1602" s="96"/>
    </row>
    <row r="1603" spans="1:5" ht="12.75" customHeight="1">
      <c r="A1603" s="96" t="s">
        <v>21</v>
      </c>
      <c r="B1603" s="271">
        <v>6</v>
      </c>
      <c r="D1603" s="96"/>
      <c r="E1603" s="96"/>
    </row>
    <row r="1604" spans="1:5" ht="12.75" customHeight="1">
      <c r="A1604" s="96" t="s">
        <v>22</v>
      </c>
      <c r="B1604" s="271">
        <v>6</v>
      </c>
      <c r="D1604" s="96"/>
      <c r="E1604" s="96"/>
    </row>
    <row r="1605" spans="1:5" ht="12.75" customHeight="1">
      <c r="A1605" s="96" t="s">
        <v>23</v>
      </c>
      <c r="B1605" s="271">
        <v>12</v>
      </c>
      <c r="D1605" s="96"/>
      <c r="E1605" s="96"/>
    </row>
    <row r="1606" spans="1:5" ht="12.75" customHeight="1">
      <c r="A1606" s="96" t="s">
        <v>24</v>
      </c>
      <c r="B1606" s="271">
        <v>6</v>
      </c>
      <c r="D1606" s="96"/>
      <c r="E1606" s="96"/>
    </row>
    <row r="1607" spans="1:5" ht="12.75" customHeight="1">
      <c r="A1607" s="96" t="s">
        <v>25</v>
      </c>
      <c r="B1607" s="271">
        <v>12</v>
      </c>
      <c r="D1607" s="96"/>
      <c r="E1607" s="96"/>
    </row>
    <row r="1608" spans="1:5" s="92" customFormat="1" ht="12.75" customHeight="1">
      <c r="A1608" s="96" t="s">
        <v>26</v>
      </c>
      <c r="B1608" s="271">
        <v>7</v>
      </c>
      <c r="D1608" s="96"/>
      <c r="E1608" s="96"/>
    </row>
    <row r="1609" spans="1:5" ht="12.75" customHeight="1">
      <c r="A1609" s="96" t="s">
        <v>27</v>
      </c>
      <c r="B1609" s="271">
        <v>18</v>
      </c>
      <c r="D1609" s="96"/>
      <c r="E1609" s="96"/>
    </row>
    <row r="1610" spans="1:5" ht="12.75" customHeight="1">
      <c r="A1610" s="96" t="s">
        <v>28</v>
      </c>
      <c r="B1610" s="271">
        <v>9</v>
      </c>
      <c r="D1610" s="96"/>
      <c r="E1610" s="96"/>
    </row>
    <row r="1611" spans="1:5" ht="12.75" customHeight="1">
      <c r="A1611" s="96" t="s">
        <v>29</v>
      </c>
      <c r="B1611" s="271">
        <v>17</v>
      </c>
      <c r="D1611" s="96"/>
      <c r="E1611" s="96"/>
    </row>
    <row r="1612" spans="1:5" ht="12.75" customHeight="1">
      <c r="A1612" s="96" t="s">
        <v>30</v>
      </c>
      <c r="B1612" s="271">
        <v>10</v>
      </c>
      <c r="D1612" s="96"/>
      <c r="E1612" s="96"/>
    </row>
    <row r="1613" spans="1:5" ht="12.75" customHeight="1">
      <c r="A1613" s="96" t="s">
        <v>31</v>
      </c>
      <c r="B1613" s="271">
        <v>15</v>
      </c>
      <c r="D1613" s="96"/>
      <c r="E1613" s="96"/>
    </row>
    <row r="1614" spans="1:5" ht="12.75" customHeight="1">
      <c r="A1614" s="96" t="s">
        <v>32</v>
      </c>
      <c r="B1614" s="271">
        <v>16</v>
      </c>
      <c r="D1614" s="96"/>
      <c r="E1614" s="96"/>
    </row>
    <row r="1615" spans="1:5" ht="5.0999999999999996" customHeight="1">
      <c r="A1615" s="96"/>
      <c r="B1615" s="271"/>
      <c r="D1615" s="96"/>
      <c r="E1615" s="96"/>
    </row>
    <row r="1616" spans="1:5" ht="12.75" customHeight="1">
      <c r="A1616" s="93" t="s">
        <v>197</v>
      </c>
      <c r="B1616" s="272">
        <v>273</v>
      </c>
      <c r="D1616" s="96"/>
      <c r="E1616" s="96"/>
    </row>
    <row r="1617" spans="1:5" ht="5.0999999999999996" customHeight="1">
      <c r="A1617" s="96"/>
      <c r="B1617" s="271"/>
      <c r="D1617" s="96"/>
      <c r="E1617" s="96"/>
    </row>
    <row r="1618" spans="1:5" ht="12.75" customHeight="1">
      <c r="A1618" s="96" t="s">
        <v>21</v>
      </c>
      <c r="B1618" s="271">
        <v>15</v>
      </c>
      <c r="D1618" s="96"/>
      <c r="E1618" s="96"/>
    </row>
    <row r="1619" spans="1:5" ht="12.75" customHeight="1">
      <c r="A1619" s="96" t="s">
        <v>22</v>
      </c>
      <c r="B1619" s="271">
        <v>18</v>
      </c>
      <c r="D1619" s="96"/>
      <c r="E1619" s="96"/>
    </row>
    <row r="1620" spans="1:5" ht="12.75" customHeight="1">
      <c r="A1620" s="96" t="s">
        <v>23</v>
      </c>
      <c r="B1620" s="271">
        <v>10</v>
      </c>
      <c r="D1620" s="96"/>
      <c r="E1620" s="96"/>
    </row>
    <row r="1621" spans="1:5" ht="12.75" customHeight="1">
      <c r="A1621" s="96" t="s">
        <v>24</v>
      </c>
      <c r="B1621" s="271">
        <v>17</v>
      </c>
      <c r="D1621" s="96"/>
      <c r="E1621" s="96"/>
    </row>
    <row r="1622" spans="1:5" ht="12.75" customHeight="1">
      <c r="A1622" s="96" t="s">
        <v>25</v>
      </c>
      <c r="B1622" s="271">
        <v>14</v>
      </c>
      <c r="D1622" s="96"/>
      <c r="E1622" s="96"/>
    </row>
    <row r="1623" spans="1:5" ht="12.75" customHeight="1">
      <c r="A1623" s="96" t="s">
        <v>26</v>
      </c>
      <c r="B1623" s="271">
        <v>14</v>
      </c>
      <c r="D1623" s="96"/>
      <c r="E1623" s="96"/>
    </row>
    <row r="1624" spans="1:5" ht="12.75" customHeight="1">
      <c r="A1624" s="96" t="s">
        <v>27</v>
      </c>
      <c r="B1624" s="271">
        <v>16</v>
      </c>
      <c r="D1624" s="96"/>
      <c r="E1624" s="96"/>
    </row>
    <row r="1625" spans="1:5" s="92" customFormat="1" ht="12.75" customHeight="1">
      <c r="A1625" s="96" t="s">
        <v>28</v>
      </c>
      <c r="B1625" s="271">
        <v>35</v>
      </c>
      <c r="D1625" s="96"/>
      <c r="E1625" s="96"/>
    </row>
    <row r="1626" spans="1:5" ht="12.75" customHeight="1">
      <c r="A1626" s="96" t="s">
        <v>29</v>
      </c>
      <c r="B1626" s="271">
        <v>28</v>
      </c>
      <c r="D1626" s="96"/>
      <c r="E1626" s="96"/>
    </row>
    <row r="1627" spans="1:5" ht="12.75" customHeight="1">
      <c r="A1627" s="96" t="s">
        <v>30</v>
      </c>
      <c r="B1627" s="271">
        <v>22</v>
      </c>
      <c r="D1627" s="96"/>
      <c r="E1627" s="96"/>
    </row>
    <row r="1628" spans="1:5" ht="12.75" customHeight="1">
      <c r="A1628" s="96" t="s">
        <v>31</v>
      </c>
      <c r="B1628" s="271">
        <v>30</v>
      </c>
      <c r="D1628" s="96"/>
      <c r="E1628" s="96"/>
    </row>
    <row r="1629" spans="1:5" ht="12.75" customHeight="1">
      <c r="A1629" s="96" t="s">
        <v>32</v>
      </c>
      <c r="B1629" s="271">
        <v>54</v>
      </c>
      <c r="D1629" s="96"/>
      <c r="E1629" s="96"/>
    </row>
    <row r="1630" spans="1:5" ht="5.0999999999999996" customHeight="1">
      <c r="A1630" s="96"/>
      <c r="B1630" s="271"/>
      <c r="D1630" s="96"/>
      <c r="E1630" s="96"/>
    </row>
    <row r="1631" spans="1:5" ht="12.75" customHeight="1">
      <c r="A1631" s="93" t="s">
        <v>198</v>
      </c>
      <c r="B1631" s="272">
        <v>211</v>
      </c>
      <c r="D1631" s="96"/>
      <c r="E1631" s="96"/>
    </row>
    <row r="1632" spans="1:5" ht="5.0999999999999996" customHeight="1">
      <c r="A1632" s="96"/>
      <c r="B1632" s="271"/>
      <c r="D1632" s="96"/>
      <c r="E1632" s="96"/>
    </row>
    <row r="1633" spans="1:5" ht="12.75" customHeight="1">
      <c r="A1633" s="96" t="s">
        <v>21</v>
      </c>
      <c r="B1633" s="271">
        <v>16</v>
      </c>
      <c r="D1633" s="96"/>
      <c r="E1633" s="96"/>
    </row>
    <row r="1634" spans="1:5" ht="12.75" customHeight="1">
      <c r="A1634" s="96" t="s">
        <v>22</v>
      </c>
      <c r="B1634" s="271">
        <v>13</v>
      </c>
      <c r="D1634" s="96"/>
      <c r="E1634" s="96"/>
    </row>
    <row r="1635" spans="1:5" ht="12.75" customHeight="1">
      <c r="A1635" s="96" t="s">
        <v>23</v>
      </c>
      <c r="B1635" s="271">
        <v>16</v>
      </c>
      <c r="D1635" s="96"/>
      <c r="E1635" s="96"/>
    </row>
    <row r="1636" spans="1:5" ht="12.75" customHeight="1">
      <c r="A1636" s="96" t="s">
        <v>24</v>
      </c>
      <c r="B1636" s="271">
        <v>10</v>
      </c>
      <c r="D1636" s="96"/>
      <c r="E1636" s="96"/>
    </row>
    <row r="1637" spans="1:5" ht="12.75" customHeight="1">
      <c r="A1637" s="96" t="s">
        <v>25</v>
      </c>
      <c r="B1637" s="271">
        <v>15</v>
      </c>
      <c r="D1637" s="96"/>
      <c r="E1637" s="96"/>
    </row>
    <row r="1638" spans="1:5" ht="12.75" customHeight="1">
      <c r="A1638" s="96" t="s">
        <v>26</v>
      </c>
      <c r="B1638" s="271">
        <v>7</v>
      </c>
      <c r="D1638" s="96"/>
      <c r="E1638" s="96"/>
    </row>
    <row r="1639" spans="1:5" ht="12.75" customHeight="1">
      <c r="A1639" s="96" t="s">
        <v>27</v>
      </c>
      <c r="B1639" s="271">
        <v>26</v>
      </c>
      <c r="D1639" s="96"/>
      <c r="E1639" s="96"/>
    </row>
    <row r="1640" spans="1:5" ht="12.75" customHeight="1">
      <c r="A1640" s="96" t="s">
        <v>28</v>
      </c>
      <c r="B1640" s="271">
        <v>35</v>
      </c>
      <c r="D1640" s="96"/>
      <c r="E1640" s="96"/>
    </row>
    <row r="1641" spans="1:5" ht="12.75" customHeight="1">
      <c r="A1641" s="96" t="s">
        <v>29</v>
      </c>
      <c r="B1641" s="271">
        <v>17</v>
      </c>
      <c r="D1641" s="96"/>
      <c r="E1641" s="96"/>
    </row>
    <row r="1642" spans="1:5" s="92" customFormat="1" ht="12.75" customHeight="1">
      <c r="A1642" s="96" t="s">
        <v>30</v>
      </c>
      <c r="B1642" s="271">
        <v>17</v>
      </c>
      <c r="D1642" s="96"/>
      <c r="E1642" s="96"/>
    </row>
    <row r="1643" spans="1:5" ht="12.75" customHeight="1">
      <c r="A1643" s="96" t="s">
        <v>31</v>
      </c>
      <c r="B1643" s="271">
        <v>19</v>
      </c>
      <c r="D1643" s="96"/>
      <c r="E1643" s="96"/>
    </row>
    <row r="1644" spans="1:5" ht="12.75" customHeight="1">
      <c r="A1644" s="96" t="s">
        <v>32</v>
      </c>
      <c r="B1644" s="271">
        <v>20</v>
      </c>
      <c r="D1644" s="96"/>
      <c r="E1644" s="96"/>
    </row>
    <row r="1645" spans="1:5" ht="5.0999999999999996" customHeight="1">
      <c r="A1645" s="96"/>
      <c r="B1645" s="271"/>
      <c r="D1645" s="96"/>
      <c r="E1645" s="96"/>
    </row>
    <row r="1646" spans="1:5" ht="12.75" customHeight="1">
      <c r="A1646" s="93" t="s">
        <v>199</v>
      </c>
      <c r="B1646" s="272">
        <v>314</v>
      </c>
      <c r="D1646" s="96"/>
      <c r="E1646" s="96"/>
    </row>
    <row r="1647" spans="1:5" ht="5.0999999999999996" customHeight="1">
      <c r="A1647" s="96"/>
      <c r="B1647" s="271"/>
      <c r="D1647" s="96"/>
      <c r="E1647" s="96"/>
    </row>
    <row r="1648" spans="1:5" ht="12.75" customHeight="1">
      <c r="A1648" s="96" t="s">
        <v>21</v>
      </c>
      <c r="B1648" s="271">
        <v>24</v>
      </c>
      <c r="D1648" s="96"/>
      <c r="E1648" s="96"/>
    </row>
    <row r="1649" spans="1:5" ht="12.75" customHeight="1">
      <c r="A1649" s="96" t="s">
        <v>22</v>
      </c>
      <c r="B1649" s="271">
        <v>23</v>
      </c>
      <c r="D1649" s="96"/>
      <c r="E1649" s="96"/>
    </row>
    <row r="1650" spans="1:5" ht="12.75" customHeight="1">
      <c r="A1650" s="96" t="s">
        <v>23</v>
      </c>
      <c r="B1650" s="271">
        <v>23</v>
      </c>
      <c r="D1650" s="96"/>
      <c r="E1650" s="96"/>
    </row>
    <row r="1651" spans="1:5" ht="12.75" customHeight="1">
      <c r="A1651" s="96" t="s">
        <v>24</v>
      </c>
      <c r="B1651" s="271">
        <v>26</v>
      </c>
      <c r="D1651" s="96"/>
      <c r="E1651" s="96"/>
    </row>
    <row r="1652" spans="1:5" ht="12.75" customHeight="1">
      <c r="A1652" s="96" t="s">
        <v>25</v>
      </c>
      <c r="B1652" s="271">
        <v>23</v>
      </c>
      <c r="D1652" s="96"/>
      <c r="E1652" s="96"/>
    </row>
    <row r="1653" spans="1:5" ht="12.75" customHeight="1">
      <c r="A1653" s="96" t="s">
        <v>26</v>
      </c>
      <c r="B1653" s="271">
        <v>16</v>
      </c>
      <c r="D1653" s="96"/>
      <c r="E1653" s="96"/>
    </row>
    <row r="1654" spans="1:5" ht="12.75" customHeight="1">
      <c r="A1654" s="96" t="s">
        <v>27</v>
      </c>
      <c r="B1654" s="271">
        <v>20</v>
      </c>
      <c r="D1654" s="96"/>
      <c r="E1654" s="96"/>
    </row>
    <row r="1655" spans="1:5" ht="12.75" customHeight="1">
      <c r="A1655" s="96" t="s">
        <v>28</v>
      </c>
      <c r="B1655" s="271">
        <v>24</v>
      </c>
      <c r="D1655" s="96"/>
      <c r="E1655" s="96"/>
    </row>
    <row r="1656" spans="1:5" ht="12.75" customHeight="1">
      <c r="A1656" s="96" t="s">
        <v>29</v>
      </c>
      <c r="B1656" s="271">
        <v>23</v>
      </c>
      <c r="D1656" s="96"/>
      <c r="E1656" s="96"/>
    </row>
    <row r="1657" spans="1:5" ht="12.75" customHeight="1">
      <c r="A1657" s="96" t="s">
        <v>30</v>
      </c>
      <c r="B1657" s="271">
        <v>33</v>
      </c>
      <c r="D1657" s="96"/>
      <c r="E1657" s="96"/>
    </row>
    <row r="1658" spans="1:5" ht="12.75" customHeight="1">
      <c r="A1658" s="96" t="s">
        <v>31</v>
      </c>
      <c r="B1658" s="271">
        <v>38</v>
      </c>
      <c r="D1658" s="96"/>
      <c r="E1658" s="96"/>
    </row>
    <row r="1659" spans="1:5" s="92" customFormat="1" ht="12.75" customHeight="1">
      <c r="A1659" s="96" t="s">
        <v>32</v>
      </c>
      <c r="B1659" s="271">
        <v>41</v>
      </c>
      <c r="D1659" s="96"/>
      <c r="E1659" s="96"/>
    </row>
    <row r="1660" spans="1:5" s="92" customFormat="1" ht="5.0999999999999996" customHeight="1">
      <c r="A1660" s="96"/>
      <c r="B1660" s="271"/>
      <c r="D1660" s="96"/>
      <c r="E1660" s="96"/>
    </row>
    <row r="1661" spans="1:5" ht="12.75" customHeight="1">
      <c r="A1661" s="93" t="s">
        <v>200</v>
      </c>
      <c r="B1661" s="272">
        <v>390</v>
      </c>
      <c r="D1661" s="96"/>
      <c r="E1661" s="96"/>
    </row>
    <row r="1662" spans="1:5" ht="5.0999999999999996" customHeight="1">
      <c r="A1662" s="96"/>
      <c r="B1662" s="271"/>
      <c r="D1662" s="96"/>
      <c r="E1662" s="96"/>
    </row>
    <row r="1663" spans="1:5" ht="12.75" customHeight="1">
      <c r="A1663" s="96" t="s">
        <v>21</v>
      </c>
      <c r="B1663" s="271">
        <v>24</v>
      </c>
      <c r="D1663" s="96"/>
      <c r="E1663" s="96"/>
    </row>
    <row r="1664" spans="1:5" ht="12.75" customHeight="1">
      <c r="A1664" s="96" t="s">
        <v>22</v>
      </c>
      <c r="B1664" s="271">
        <v>29</v>
      </c>
      <c r="D1664" s="96"/>
      <c r="E1664" s="96"/>
    </row>
    <row r="1665" spans="1:5" ht="12.75" customHeight="1">
      <c r="A1665" s="96" t="s">
        <v>23</v>
      </c>
      <c r="B1665" s="271">
        <v>28</v>
      </c>
      <c r="D1665" s="96"/>
      <c r="E1665" s="96"/>
    </row>
    <row r="1666" spans="1:5" ht="12.75" customHeight="1">
      <c r="A1666" s="96" t="s">
        <v>24</v>
      </c>
      <c r="B1666" s="271">
        <v>28</v>
      </c>
      <c r="D1666" s="96"/>
      <c r="E1666" s="96"/>
    </row>
    <row r="1667" spans="1:5" ht="12.75" customHeight="1">
      <c r="A1667" s="96" t="s">
        <v>25</v>
      </c>
      <c r="B1667" s="271">
        <v>23</v>
      </c>
      <c r="D1667" s="96"/>
      <c r="E1667" s="96"/>
    </row>
    <row r="1668" spans="1:5" ht="12.75" customHeight="1">
      <c r="A1668" s="96" t="s">
        <v>26</v>
      </c>
      <c r="B1668" s="271">
        <v>21</v>
      </c>
      <c r="D1668" s="96"/>
      <c r="E1668" s="96"/>
    </row>
    <row r="1669" spans="1:5" ht="12.75" customHeight="1">
      <c r="A1669" s="96" t="s">
        <v>27</v>
      </c>
      <c r="B1669" s="271">
        <v>39</v>
      </c>
      <c r="D1669" s="96"/>
      <c r="E1669" s="96"/>
    </row>
    <row r="1670" spans="1:5" ht="12.75" customHeight="1">
      <c r="A1670" s="96" t="s">
        <v>28</v>
      </c>
      <c r="B1670" s="271">
        <v>31</v>
      </c>
      <c r="D1670" s="96"/>
      <c r="E1670" s="96"/>
    </row>
    <row r="1671" spans="1:5" ht="12.75" customHeight="1">
      <c r="A1671" s="96" t="s">
        <v>29</v>
      </c>
      <c r="B1671" s="271">
        <v>31</v>
      </c>
      <c r="D1671" s="96"/>
      <c r="E1671" s="96"/>
    </row>
    <row r="1672" spans="1:5" ht="12.75" customHeight="1">
      <c r="A1672" s="96" t="s">
        <v>30</v>
      </c>
      <c r="B1672" s="271">
        <v>29</v>
      </c>
      <c r="D1672" s="96"/>
      <c r="E1672" s="96"/>
    </row>
    <row r="1673" spans="1:5" ht="12.75" customHeight="1">
      <c r="A1673" s="96" t="s">
        <v>31</v>
      </c>
      <c r="B1673" s="271">
        <v>42</v>
      </c>
      <c r="D1673" s="96"/>
      <c r="E1673" s="96"/>
    </row>
    <row r="1674" spans="1:5" ht="12.75" customHeight="1">
      <c r="A1674" s="96" t="s">
        <v>32</v>
      </c>
      <c r="B1674" s="271">
        <v>65</v>
      </c>
      <c r="D1674" s="96"/>
      <c r="E1674" s="96"/>
    </row>
    <row r="1675" spans="1:5" ht="5.0999999999999996" customHeight="1">
      <c r="A1675" s="96"/>
      <c r="B1675" s="271"/>
      <c r="D1675" s="96"/>
      <c r="E1675" s="96"/>
    </row>
    <row r="1676" spans="1:5" ht="12.75" customHeight="1">
      <c r="A1676" s="93" t="s">
        <v>201</v>
      </c>
      <c r="B1676" s="272">
        <v>64</v>
      </c>
      <c r="D1676" s="96"/>
      <c r="E1676" s="96"/>
    </row>
    <row r="1677" spans="1:5" ht="5.0999999999999996" customHeight="1">
      <c r="A1677" s="96"/>
      <c r="B1677" s="271"/>
      <c r="D1677" s="96"/>
      <c r="E1677" s="96"/>
    </row>
    <row r="1678" spans="1:5" s="92" customFormat="1" ht="12.75" customHeight="1">
      <c r="A1678" s="96" t="s">
        <v>21</v>
      </c>
      <c r="B1678" s="271">
        <v>4</v>
      </c>
      <c r="D1678" s="96"/>
      <c r="E1678" s="96"/>
    </row>
    <row r="1679" spans="1:5" ht="12.75" customHeight="1">
      <c r="A1679" s="96" t="s">
        <v>22</v>
      </c>
      <c r="B1679" s="271">
        <v>4</v>
      </c>
      <c r="D1679" s="96"/>
      <c r="E1679" s="96"/>
    </row>
    <row r="1680" spans="1:5" ht="12.75" customHeight="1">
      <c r="A1680" s="96" t="s">
        <v>23</v>
      </c>
      <c r="B1680" s="271">
        <v>6</v>
      </c>
      <c r="D1680" s="96"/>
      <c r="E1680" s="96"/>
    </row>
    <row r="1681" spans="1:5" ht="12.75" customHeight="1">
      <c r="A1681" s="96" t="s">
        <v>24</v>
      </c>
      <c r="B1681" s="271">
        <v>5</v>
      </c>
      <c r="D1681" s="96"/>
      <c r="E1681" s="96"/>
    </row>
    <row r="1682" spans="1:5" ht="12.75" customHeight="1">
      <c r="A1682" s="96" t="s">
        <v>25</v>
      </c>
      <c r="B1682" s="271">
        <v>1</v>
      </c>
      <c r="D1682" s="96"/>
      <c r="E1682" s="96"/>
    </row>
    <row r="1683" spans="1:5" ht="12.75" customHeight="1">
      <c r="A1683" s="96" t="s">
        <v>26</v>
      </c>
      <c r="B1683" s="271">
        <v>4</v>
      </c>
      <c r="D1683" s="96"/>
      <c r="E1683" s="96"/>
    </row>
    <row r="1684" spans="1:5" ht="12.75" customHeight="1">
      <c r="A1684" s="96" t="s">
        <v>27</v>
      </c>
      <c r="B1684" s="271">
        <v>5</v>
      </c>
      <c r="D1684" s="96"/>
      <c r="E1684" s="96"/>
    </row>
    <row r="1685" spans="1:5" ht="12.75" customHeight="1">
      <c r="A1685" s="96" t="s">
        <v>28</v>
      </c>
      <c r="B1685" s="271">
        <v>8</v>
      </c>
      <c r="D1685" s="96"/>
      <c r="E1685" s="96"/>
    </row>
    <row r="1686" spans="1:5" ht="12.75" customHeight="1">
      <c r="A1686" s="96" t="s">
        <v>29</v>
      </c>
      <c r="B1686" s="271">
        <v>8</v>
      </c>
      <c r="D1686" s="96"/>
      <c r="E1686" s="96"/>
    </row>
    <row r="1687" spans="1:5" ht="12.75" customHeight="1">
      <c r="A1687" s="96" t="s">
        <v>30</v>
      </c>
      <c r="B1687" s="271">
        <v>6</v>
      </c>
      <c r="D1687" s="96"/>
      <c r="E1687" s="96"/>
    </row>
    <row r="1688" spans="1:5" ht="12.75" customHeight="1">
      <c r="A1688" s="96" t="s">
        <v>31</v>
      </c>
      <c r="B1688" s="271">
        <v>6</v>
      </c>
      <c r="D1688" s="96"/>
      <c r="E1688" s="96"/>
    </row>
    <row r="1689" spans="1:5" ht="12.75" customHeight="1">
      <c r="A1689" s="96" t="s">
        <v>32</v>
      </c>
      <c r="B1689" s="271">
        <v>7</v>
      </c>
      <c r="D1689" s="96"/>
      <c r="E1689" s="96"/>
    </row>
    <row r="1690" spans="1:5" ht="5.0999999999999996" customHeight="1">
      <c r="A1690" s="96"/>
      <c r="B1690" s="271"/>
      <c r="D1690" s="96"/>
      <c r="E1690" s="96"/>
    </row>
    <row r="1691" spans="1:5" ht="12.75" customHeight="1">
      <c r="A1691" s="93" t="s">
        <v>202</v>
      </c>
      <c r="B1691" s="272">
        <v>148</v>
      </c>
      <c r="D1691" s="96"/>
      <c r="E1691" s="96"/>
    </row>
    <row r="1692" spans="1:5" ht="5.0999999999999996" customHeight="1">
      <c r="A1692" s="96"/>
      <c r="B1692" s="271"/>
      <c r="D1692" s="96"/>
      <c r="E1692" s="96"/>
    </row>
    <row r="1693" spans="1:5" ht="12.75" customHeight="1">
      <c r="A1693" s="96" t="s">
        <v>21</v>
      </c>
      <c r="B1693" s="271">
        <v>9</v>
      </c>
      <c r="D1693" s="96"/>
      <c r="E1693" s="96"/>
    </row>
    <row r="1694" spans="1:5" ht="12.75" customHeight="1">
      <c r="A1694" s="96" t="s">
        <v>22</v>
      </c>
      <c r="B1694" s="271">
        <v>12</v>
      </c>
      <c r="D1694" s="96"/>
      <c r="E1694" s="96"/>
    </row>
    <row r="1695" spans="1:5" s="92" customFormat="1" ht="12.75" customHeight="1">
      <c r="A1695" s="96" t="s">
        <v>23</v>
      </c>
      <c r="B1695" s="271">
        <v>14</v>
      </c>
      <c r="D1695" s="96"/>
      <c r="E1695" s="96"/>
    </row>
    <row r="1696" spans="1:5" ht="12.75" customHeight="1">
      <c r="A1696" s="96" t="s">
        <v>24</v>
      </c>
      <c r="B1696" s="271">
        <v>8</v>
      </c>
      <c r="D1696" s="96"/>
      <c r="E1696" s="96"/>
    </row>
    <row r="1697" spans="1:5" ht="12.75" customHeight="1">
      <c r="A1697" s="96" t="s">
        <v>25</v>
      </c>
      <c r="B1697" s="271">
        <v>8</v>
      </c>
      <c r="D1697" s="96"/>
      <c r="E1697" s="96"/>
    </row>
    <row r="1698" spans="1:5" ht="12.75" customHeight="1">
      <c r="A1698" s="96" t="s">
        <v>26</v>
      </c>
      <c r="B1698" s="271">
        <v>17</v>
      </c>
      <c r="D1698" s="96"/>
      <c r="E1698" s="96"/>
    </row>
    <row r="1699" spans="1:5" ht="12.75" customHeight="1">
      <c r="A1699" s="96" t="s">
        <v>27</v>
      </c>
      <c r="B1699" s="271">
        <v>18</v>
      </c>
      <c r="D1699" s="96"/>
      <c r="E1699" s="96"/>
    </row>
    <row r="1700" spans="1:5" ht="12.75" customHeight="1">
      <c r="A1700" s="96" t="s">
        <v>28</v>
      </c>
      <c r="B1700" s="271">
        <v>14</v>
      </c>
      <c r="D1700" s="96"/>
      <c r="E1700" s="96"/>
    </row>
    <row r="1701" spans="1:5" ht="12.75" customHeight="1">
      <c r="A1701" s="96" t="s">
        <v>29</v>
      </c>
      <c r="B1701" s="271">
        <v>11</v>
      </c>
      <c r="D1701" s="96"/>
      <c r="E1701" s="96"/>
    </row>
    <row r="1702" spans="1:5" ht="12.75" customHeight="1">
      <c r="A1702" s="96" t="s">
        <v>30</v>
      </c>
      <c r="B1702" s="271">
        <v>11</v>
      </c>
      <c r="D1702" s="96"/>
      <c r="E1702" s="96"/>
    </row>
    <row r="1703" spans="1:5" ht="12.75" customHeight="1">
      <c r="A1703" s="96" t="s">
        <v>31</v>
      </c>
      <c r="B1703" s="271">
        <v>15</v>
      </c>
      <c r="D1703" s="96"/>
      <c r="E1703" s="96"/>
    </row>
    <row r="1704" spans="1:5" ht="12.75" customHeight="1">
      <c r="A1704" s="96" t="s">
        <v>32</v>
      </c>
      <c r="B1704" s="271">
        <v>11</v>
      </c>
      <c r="D1704" s="96"/>
      <c r="E1704" s="96"/>
    </row>
    <row r="1705" spans="1:5" ht="5.0999999999999996" customHeight="1">
      <c r="A1705" s="96"/>
      <c r="B1705" s="271"/>
      <c r="D1705" s="96"/>
      <c r="E1705" s="96"/>
    </row>
    <row r="1706" spans="1:5" ht="12.75" customHeight="1">
      <c r="A1706" s="93" t="s">
        <v>203</v>
      </c>
      <c r="B1706" s="272">
        <v>20</v>
      </c>
      <c r="D1706" s="96"/>
      <c r="E1706" s="96"/>
    </row>
    <row r="1707" spans="1:5" ht="5.0999999999999996" customHeight="1">
      <c r="A1707" s="96"/>
      <c r="B1707" s="271"/>
      <c r="D1707" s="96"/>
      <c r="E1707" s="96"/>
    </row>
    <row r="1708" spans="1:5" ht="12.75" customHeight="1">
      <c r="A1708" s="96" t="s">
        <v>21</v>
      </c>
      <c r="B1708" s="271">
        <v>2</v>
      </c>
      <c r="D1708" s="96"/>
      <c r="E1708" s="96"/>
    </row>
    <row r="1709" spans="1:5" ht="12.75" customHeight="1">
      <c r="A1709" s="96" t="s">
        <v>22</v>
      </c>
      <c r="B1709" s="271">
        <v>4</v>
      </c>
      <c r="D1709" s="96"/>
      <c r="E1709" s="96"/>
    </row>
    <row r="1710" spans="1:5" ht="12.75" customHeight="1">
      <c r="A1710" s="96" t="s">
        <v>23</v>
      </c>
      <c r="B1710" s="271">
        <v>1</v>
      </c>
      <c r="D1710" s="96"/>
      <c r="E1710" s="96"/>
    </row>
    <row r="1711" spans="1:5" ht="12.75" customHeight="1">
      <c r="A1711" s="96" t="s">
        <v>24</v>
      </c>
      <c r="B1711" s="271">
        <v>3</v>
      </c>
      <c r="D1711" s="96"/>
      <c r="E1711" s="96"/>
    </row>
    <row r="1712" spans="1:5" ht="12.75" customHeight="1">
      <c r="A1712" s="96" t="s">
        <v>25</v>
      </c>
      <c r="B1712" s="271"/>
      <c r="D1712" s="96"/>
      <c r="E1712" s="96"/>
    </row>
    <row r="1713" spans="1:5" s="92" customFormat="1" ht="12" customHeight="1">
      <c r="A1713" s="96" t="s">
        <v>26</v>
      </c>
      <c r="B1713" s="271">
        <v>3</v>
      </c>
      <c r="D1713" s="96"/>
      <c r="E1713" s="96"/>
    </row>
    <row r="1714" spans="1:5" s="92" customFormat="1" ht="12" customHeight="1">
      <c r="A1714" s="96" t="s">
        <v>27</v>
      </c>
      <c r="B1714" s="271"/>
      <c r="D1714" s="96"/>
      <c r="E1714" s="96"/>
    </row>
    <row r="1715" spans="1:5" ht="12.75" customHeight="1">
      <c r="A1715" s="96" t="s">
        <v>28</v>
      </c>
      <c r="B1715" s="271">
        <v>2</v>
      </c>
      <c r="D1715" s="96"/>
      <c r="E1715" s="96"/>
    </row>
    <row r="1716" spans="1:5" ht="12.75" customHeight="1">
      <c r="A1716" s="96" t="s">
        <v>29</v>
      </c>
      <c r="B1716" s="271">
        <v>3</v>
      </c>
      <c r="D1716" s="96"/>
      <c r="E1716" s="96"/>
    </row>
    <row r="1717" spans="1:5" ht="12.75" customHeight="1">
      <c r="A1717" s="96" t="s">
        <v>30</v>
      </c>
      <c r="B1717" s="271">
        <v>2</v>
      </c>
      <c r="D1717" s="96"/>
      <c r="E1717" s="96"/>
    </row>
    <row r="1718" spans="1:5" ht="12.75" customHeight="1">
      <c r="A1718" s="96" t="s">
        <v>31</v>
      </c>
      <c r="B1718" s="271"/>
      <c r="D1718" s="96"/>
      <c r="E1718" s="96"/>
    </row>
    <row r="1719" spans="1:5" ht="12.75" customHeight="1">
      <c r="A1719" s="96" t="s">
        <v>32</v>
      </c>
      <c r="B1719" s="271"/>
      <c r="D1719" s="96"/>
      <c r="E1719" s="96"/>
    </row>
    <row r="1720" spans="1:5" ht="5.0999999999999996" customHeight="1">
      <c r="A1720" s="96"/>
      <c r="B1720" s="271"/>
      <c r="D1720" s="96"/>
      <c r="E1720" s="96"/>
    </row>
    <row r="1721" spans="1:5" ht="12.75" customHeight="1">
      <c r="A1721" s="93" t="s">
        <v>204</v>
      </c>
      <c r="B1721" s="272">
        <v>79</v>
      </c>
      <c r="D1721" s="96"/>
      <c r="E1721" s="96"/>
    </row>
    <row r="1722" spans="1:5" ht="5.0999999999999996" customHeight="1">
      <c r="A1722" s="96"/>
      <c r="B1722" s="271"/>
      <c r="D1722" s="96"/>
      <c r="E1722" s="96"/>
    </row>
    <row r="1723" spans="1:5" ht="12.75" customHeight="1">
      <c r="A1723" s="96" t="s">
        <v>21</v>
      </c>
      <c r="B1723" s="271">
        <v>5</v>
      </c>
      <c r="D1723" s="96"/>
      <c r="E1723" s="96"/>
    </row>
    <row r="1724" spans="1:5" ht="12.75" customHeight="1">
      <c r="A1724" s="96" t="s">
        <v>22</v>
      </c>
      <c r="B1724" s="271">
        <v>4</v>
      </c>
      <c r="D1724" s="96"/>
      <c r="E1724" s="96"/>
    </row>
    <row r="1725" spans="1:5" ht="12.75" customHeight="1">
      <c r="A1725" s="96" t="s">
        <v>23</v>
      </c>
      <c r="B1725" s="271">
        <v>2</v>
      </c>
      <c r="D1725" s="96"/>
      <c r="E1725" s="96"/>
    </row>
    <row r="1726" spans="1:5" ht="12.75" customHeight="1">
      <c r="A1726" s="96" t="s">
        <v>24</v>
      </c>
      <c r="B1726" s="271">
        <v>2</v>
      </c>
      <c r="D1726" s="96"/>
      <c r="E1726" s="96"/>
    </row>
    <row r="1727" spans="1:5" ht="12.75" customHeight="1">
      <c r="A1727" s="96" t="s">
        <v>25</v>
      </c>
      <c r="B1727" s="271">
        <v>4</v>
      </c>
      <c r="D1727" s="96"/>
      <c r="E1727" s="96"/>
    </row>
    <row r="1728" spans="1:5" ht="12.75" customHeight="1">
      <c r="A1728" s="96" t="s">
        <v>26</v>
      </c>
      <c r="B1728" s="271">
        <v>6</v>
      </c>
      <c r="D1728" s="96"/>
      <c r="E1728" s="96"/>
    </row>
    <row r="1729" spans="1:5" ht="12.75" customHeight="1">
      <c r="A1729" s="96" t="s">
        <v>27</v>
      </c>
      <c r="B1729" s="271">
        <v>12</v>
      </c>
      <c r="D1729" s="96"/>
      <c r="E1729" s="96"/>
    </row>
    <row r="1730" spans="1:5" ht="12.75" customHeight="1">
      <c r="A1730" s="96" t="s">
        <v>28</v>
      </c>
      <c r="B1730" s="271">
        <v>13</v>
      </c>
      <c r="D1730" s="96"/>
      <c r="E1730" s="96"/>
    </row>
    <row r="1731" spans="1:5" ht="12.75" customHeight="1">
      <c r="A1731" s="96" t="s">
        <v>29</v>
      </c>
      <c r="B1731" s="271">
        <v>6</v>
      </c>
      <c r="D1731" s="96"/>
      <c r="E1731" s="96"/>
    </row>
    <row r="1732" spans="1:5" ht="12.75" customHeight="1">
      <c r="A1732" s="96" t="s">
        <v>30</v>
      </c>
      <c r="B1732" s="271">
        <v>5</v>
      </c>
      <c r="D1732" s="96"/>
      <c r="E1732" s="96"/>
    </row>
    <row r="1733" spans="1:5" s="92" customFormat="1" ht="12.75" customHeight="1">
      <c r="A1733" s="96" t="s">
        <v>31</v>
      </c>
      <c r="B1733" s="271">
        <v>5</v>
      </c>
      <c r="D1733" s="96"/>
      <c r="E1733" s="96"/>
    </row>
    <row r="1734" spans="1:5" ht="12.75" customHeight="1">
      <c r="A1734" s="96" t="s">
        <v>32</v>
      </c>
      <c r="B1734" s="271">
        <v>15</v>
      </c>
      <c r="D1734" s="96"/>
      <c r="E1734" s="96"/>
    </row>
    <row r="1735" spans="1:5" ht="5.0999999999999996" customHeight="1">
      <c r="A1735" s="93"/>
      <c r="B1735" s="272"/>
      <c r="D1735" s="96"/>
      <c r="E1735" s="96"/>
    </row>
    <row r="1736" spans="1:5" ht="12.75" customHeight="1">
      <c r="A1736" s="93" t="s">
        <v>205</v>
      </c>
      <c r="B1736" s="272">
        <v>371</v>
      </c>
      <c r="D1736" s="96"/>
      <c r="E1736" s="96"/>
    </row>
    <row r="1737" spans="1:5" ht="5.0999999999999996" customHeight="1">
      <c r="A1737" s="96"/>
      <c r="B1737" s="271"/>
      <c r="D1737" s="96"/>
      <c r="E1737" s="96"/>
    </row>
    <row r="1738" spans="1:5" ht="12.75" customHeight="1">
      <c r="A1738" s="96" t="s">
        <v>21</v>
      </c>
      <c r="B1738" s="271">
        <v>26</v>
      </c>
      <c r="D1738" s="96"/>
      <c r="E1738" s="96"/>
    </row>
    <row r="1739" spans="1:5" ht="12.75" customHeight="1">
      <c r="A1739" s="96" t="s">
        <v>22</v>
      </c>
      <c r="B1739" s="271">
        <v>20</v>
      </c>
      <c r="D1739" s="96"/>
      <c r="E1739" s="96"/>
    </row>
    <row r="1740" spans="1:5" ht="12.75" customHeight="1">
      <c r="A1740" s="96" t="s">
        <v>23</v>
      </c>
      <c r="B1740" s="271">
        <v>27</v>
      </c>
      <c r="D1740" s="96"/>
      <c r="E1740" s="96"/>
    </row>
    <row r="1741" spans="1:5" ht="12.75" customHeight="1">
      <c r="A1741" s="96" t="s">
        <v>24</v>
      </c>
      <c r="B1741" s="271">
        <v>21</v>
      </c>
      <c r="D1741" s="96"/>
      <c r="E1741" s="96"/>
    </row>
    <row r="1742" spans="1:5" ht="12.75" customHeight="1">
      <c r="A1742" s="96" t="s">
        <v>25</v>
      </c>
      <c r="B1742" s="271">
        <v>19</v>
      </c>
      <c r="D1742" s="96"/>
      <c r="E1742" s="96"/>
    </row>
    <row r="1743" spans="1:5" ht="12.75" customHeight="1">
      <c r="A1743" s="96" t="s">
        <v>26</v>
      </c>
      <c r="B1743" s="271">
        <v>22</v>
      </c>
      <c r="D1743" s="96"/>
      <c r="E1743" s="96"/>
    </row>
    <row r="1744" spans="1:5" ht="12.75" customHeight="1">
      <c r="A1744" s="96" t="s">
        <v>27</v>
      </c>
      <c r="B1744" s="271">
        <v>22</v>
      </c>
      <c r="D1744" s="96"/>
      <c r="E1744" s="96"/>
    </row>
    <row r="1745" spans="1:5" ht="12.75" customHeight="1">
      <c r="A1745" s="96" t="s">
        <v>28</v>
      </c>
      <c r="B1745" s="271">
        <v>49</v>
      </c>
      <c r="D1745" s="96"/>
      <c r="E1745" s="96"/>
    </row>
    <row r="1746" spans="1:5" ht="12.75" customHeight="1">
      <c r="A1746" s="96" t="s">
        <v>29</v>
      </c>
      <c r="B1746" s="271">
        <v>34</v>
      </c>
      <c r="D1746" s="96"/>
      <c r="E1746" s="96"/>
    </row>
    <row r="1747" spans="1:5" ht="12.75" customHeight="1">
      <c r="A1747" s="96" t="s">
        <v>30</v>
      </c>
      <c r="B1747" s="271">
        <v>32</v>
      </c>
      <c r="D1747" s="96"/>
      <c r="E1747" s="96"/>
    </row>
    <row r="1748" spans="1:5" ht="12.75" customHeight="1">
      <c r="A1748" s="96" t="s">
        <v>31</v>
      </c>
      <c r="B1748" s="271">
        <v>41</v>
      </c>
      <c r="D1748" s="96"/>
      <c r="E1748" s="96"/>
    </row>
    <row r="1749" spans="1:5" ht="12.75" customHeight="1">
      <c r="A1749" s="96" t="s">
        <v>32</v>
      </c>
      <c r="B1749" s="271">
        <v>58</v>
      </c>
      <c r="D1749" s="96"/>
      <c r="E1749" s="96"/>
    </row>
    <row r="1750" spans="1:5" ht="5.0999999999999996" customHeight="1">
      <c r="A1750" s="96"/>
      <c r="B1750" s="271"/>
      <c r="D1750" s="96"/>
      <c r="E1750" s="96"/>
    </row>
    <row r="1751" spans="1:5" s="92" customFormat="1" ht="12.75" customHeight="1">
      <c r="A1751" s="93" t="s">
        <v>206</v>
      </c>
      <c r="B1751" s="272">
        <v>209</v>
      </c>
      <c r="D1751" s="96"/>
      <c r="E1751" s="96"/>
    </row>
    <row r="1752" spans="1:5" s="92" customFormat="1" ht="5.0999999999999996" customHeight="1">
      <c r="A1752" s="93"/>
      <c r="B1752" s="272"/>
      <c r="D1752" s="96"/>
      <c r="E1752" s="96"/>
    </row>
    <row r="1753" spans="1:5" ht="12.75" customHeight="1">
      <c r="A1753" s="96" t="s">
        <v>21</v>
      </c>
      <c r="B1753" s="271">
        <v>15</v>
      </c>
      <c r="D1753" s="96"/>
      <c r="E1753" s="96"/>
    </row>
    <row r="1754" spans="1:5" ht="12.75" customHeight="1">
      <c r="A1754" s="96" t="s">
        <v>22</v>
      </c>
      <c r="B1754" s="271">
        <v>14</v>
      </c>
      <c r="D1754" s="96"/>
      <c r="E1754" s="96"/>
    </row>
    <row r="1755" spans="1:5" ht="12.75" customHeight="1">
      <c r="A1755" s="96" t="s">
        <v>23</v>
      </c>
      <c r="B1755" s="271">
        <v>17</v>
      </c>
      <c r="D1755" s="96"/>
      <c r="E1755" s="96"/>
    </row>
    <row r="1756" spans="1:5" ht="12.75" customHeight="1">
      <c r="A1756" s="96" t="s">
        <v>24</v>
      </c>
      <c r="B1756" s="271">
        <v>14</v>
      </c>
      <c r="D1756" s="96"/>
      <c r="E1756" s="96"/>
    </row>
    <row r="1757" spans="1:5" ht="12.75" customHeight="1">
      <c r="A1757" s="96" t="s">
        <v>25</v>
      </c>
      <c r="B1757" s="271">
        <v>11</v>
      </c>
      <c r="D1757" s="96"/>
      <c r="E1757" s="96"/>
    </row>
    <row r="1758" spans="1:5" ht="12.75" customHeight="1">
      <c r="A1758" s="96" t="s">
        <v>26</v>
      </c>
      <c r="B1758" s="271">
        <v>10</v>
      </c>
      <c r="D1758" s="96"/>
      <c r="E1758" s="96"/>
    </row>
    <row r="1759" spans="1:5" ht="12.75" customHeight="1">
      <c r="A1759" s="96" t="s">
        <v>27</v>
      </c>
      <c r="B1759" s="271">
        <v>13</v>
      </c>
      <c r="D1759" s="96"/>
      <c r="E1759" s="96"/>
    </row>
    <row r="1760" spans="1:5" ht="12.75" customHeight="1">
      <c r="A1760" s="96" t="s">
        <v>28</v>
      </c>
      <c r="B1760" s="271">
        <v>26</v>
      </c>
      <c r="D1760" s="96"/>
      <c r="E1760" s="96"/>
    </row>
    <row r="1761" spans="1:5" ht="12.75" customHeight="1">
      <c r="A1761" s="96" t="s">
        <v>29</v>
      </c>
      <c r="B1761" s="271">
        <v>14</v>
      </c>
      <c r="D1761" s="96"/>
      <c r="E1761" s="96"/>
    </row>
    <row r="1762" spans="1:5" ht="12.75" customHeight="1">
      <c r="A1762" s="96" t="s">
        <v>30</v>
      </c>
      <c r="B1762" s="271">
        <v>17</v>
      </c>
      <c r="D1762" s="96"/>
      <c r="E1762" s="96"/>
    </row>
    <row r="1763" spans="1:5" ht="12.75" customHeight="1">
      <c r="A1763" s="96" t="s">
        <v>31</v>
      </c>
      <c r="B1763" s="271">
        <v>23</v>
      </c>
      <c r="D1763" s="96"/>
      <c r="E1763" s="96"/>
    </row>
    <row r="1764" spans="1:5" ht="12.75" customHeight="1">
      <c r="A1764" s="96" t="s">
        <v>32</v>
      </c>
      <c r="B1764" s="271">
        <v>35</v>
      </c>
      <c r="D1764" s="96"/>
      <c r="E1764" s="96"/>
    </row>
    <row r="1765" spans="1:5" ht="5.0999999999999996" customHeight="1">
      <c r="A1765" s="96"/>
      <c r="B1765" s="271"/>
      <c r="D1765" s="96"/>
      <c r="E1765" s="96"/>
    </row>
    <row r="1766" spans="1:5" ht="12.75" customHeight="1">
      <c r="A1766" s="93" t="s">
        <v>207</v>
      </c>
      <c r="B1766" s="272">
        <v>87</v>
      </c>
      <c r="D1766" s="96"/>
      <c r="E1766" s="96"/>
    </row>
    <row r="1767" spans="1:5" ht="5.0999999999999996" customHeight="1">
      <c r="A1767" s="96"/>
      <c r="B1767" s="271"/>
      <c r="D1767" s="96"/>
      <c r="E1767" s="96"/>
    </row>
    <row r="1768" spans="1:5" ht="12.75" customHeight="1">
      <c r="A1768" s="96" t="s">
        <v>21</v>
      </c>
      <c r="B1768" s="271">
        <v>7</v>
      </c>
      <c r="D1768" s="96"/>
      <c r="E1768" s="96"/>
    </row>
    <row r="1769" spans="1:5" s="92" customFormat="1" ht="12.75" customHeight="1">
      <c r="A1769" s="96" t="s">
        <v>22</v>
      </c>
      <c r="B1769" s="271">
        <v>6</v>
      </c>
      <c r="D1769" s="96"/>
      <c r="E1769" s="96"/>
    </row>
    <row r="1770" spans="1:5" ht="12.75" customHeight="1">
      <c r="A1770" s="96" t="s">
        <v>23</v>
      </c>
      <c r="B1770" s="271">
        <v>8</v>
      </c>
      <c r="D1770" s="96"/>
      <c r="E1770" s="96"/>
    </row>
    <row r="1771" spans="1:5" ht="12.75" customHeight="1">
      <c r="A1771" s="96" t="s">
        <v>24</v>
      </c>
      <c r="B1771" s="271">
        <v>5</v>
      </c>
      <c r="D1771" s="96"/>
      <c r="E1771" s="96"/>
    </row>
    <row r="1772" spans="1:5" ht="12.75" customHeight="1">
      <c r="A1772" s="96" t="s">
        <v>25</v>
      </c>
      <c r="B1772" s="271">
        <v>2</v>
      </c>
      <c r="D1772" s="96"/>
      <c r="E1772" s="96"/>
    </row>
    <row r="1773" spans="1:5" ht="12.75" customHeight="1">
      <c r="A1773" s="96" t="s">
        <v>26</v>
      </c>
      <c r="B1773" s="271">
        <v>4</v>
      </c>
      <c r="D1773" s="96"/>
      <c r="E1773" s="96"/>
    </row>
    <row r="1774" spans="1:5" ht="12.75" customHeight="1">
      <c r="A1774" s="96" t="s">
        <v>27</v>
      </c>
      <c r="B1774" s="271">
        <v>9</v>
      </c>
      <c r="D1774" s="96"/>
      <c r="E1774" s="96"/>
    </row>
    <row r="1775" spans="1:5" ht="12.75" customHeight="1">
      <c r="A1775" s="96" t="s">
        <v>28</v>
      </c>
      <c r="B1775" s="271">
        <v>8</v>
      </c>
      <c r="D1775" s="96"/>
      <c r="E1775" s="96"/>
    </row>
    <row r="1776" spans="1:5" ht="12.75" customHeight="1">
      <c r="A1776" s="96" t="s">
        <v>29</v>
      </c>
      <c r="B1776" s="271">
        <v>3</v>
      </c>
      <c r="D1776" s="96"/>
      <c r="E1776" s="96"/>
    </row>
    <row r="1777" spans="1:5" ht="12.75" customHeight="1">
      <c r="A1777" s="96" t="s">
        <v>30</v>
      </c>
      <c r="B1777" s="271">
        <v>8</v>
      </c>
      <c r="D1777" s="96"/>
      <c r="E1777" s="96"/>
    </row>
    <row r="1778" spans="1:5" ht="12.75" customHeight="1">
      <c r="A1778" s="96" t="s">
        <v>31</v>
      </c>
      <c r="B1778" s="271">
        <v>11</v>
      </c>
      <c r="D1778" s="96"/>
      <c r="E1778" s="96"/>
    </row>
    <row r="1779" spans="1:5" ht="12.75" customHeight="1">
      <c r="A1779" s="96" t="s">
        <v>32</v>
      </c>
      <c r="B1779" s="271">
        <v>16</v>
      </c>
      <c r="D1779" s="96"/>
      <c r="E1779" s="96"/>
    </row>
    <row r="1780" spans="1:5" ht="5.0999999999999996" customHeight="1">
      <c r="A1780" s="96"/>
      <c r="B1780" s="271"/>
      <c r="D1780" s="96"/>
      <c r="E1780" s="96"/>
    </row>
    <row r="1781" spans="1:5" ht="12.75" customHeight="1">
      <c r="A1781" s="93" t="s">
        <v>208</v>
      </c>
      <c r="B1781" s="272">
        <v>735</v>
      </c>
      <c r="D1781" s="96"/>
      <c r="E1781" s="96"/>
    </row>
    <row r="1782" spans="1:5" ht="5.0999999999999996" customHeight="1">
      <c r="A1782" s="96"/>
      <c r="B1782" s="271"/>
      <c r="D1782" s="96"/>
      <c r="E1782" s="96"/>
    </row>
    <row r="1783" spans="1:5" ht="12.75" customHeight="1">
      <c r="A1783" s="96" t="s">
        <v>21</v>
      </c>
      <c r="B1783" s="271">
        <v>55</v>
      </c>
      <c r="D1783" s="96"/>
      <c r="E1783" s="96"/>
    </row>
    <row r="1784" spans="1:5" ht="12.75" customHeight="1">
      <c r="A1784" s="96" t="s">
        <v>22</v>
      </c>
      <c r="B1784" s="271">
        <v>57</v>
      </c>
      <c r="D1784" s="96"/>
      <c r="E1784" s="96"/>
    </row>
    <row r="1785" spans="1:5" ht="12.75" customHeight="1">
      <c r="A1785" s="96" t="s">
        <v>23</v>
      </c>
      <c r="B1785" s="271">
        <v>77</v>
      </c>
      <c r="D1785" s="96"/>
      <c r="E1785" s="96"/>
    </row>
    <row r="1786" spans="1:5" s="92" customFormat="1" ht="12.75" customHeight="1">
      <c r="A1786" s="96" t="s">
        <v>24</v>
      </c>
      <c r="B1786" s="271">
        <v>53</v>
      </c>
      <c r="D1786" s="96"/>
      <c r="E1786" s="96"/>
    </row>
    <row r="1787" spans="1:5" ht="12.75" customHeight="1">
      <c r="A1787" s="96" t="s">
        <v>25</v>
      </c>
      <c r="B1787" s="271">
        <v>46</v>
      </c>
      <c r="D1787" s="96"/>
      <c r="E1787" s="96"/>
    </row>
    <row r="1788" spans="1:5" ht="12.75" customHeight="1">
      <c r="A1788" s="96" t="s">
        <v>26</v>
      </c>
      <c r="B1788" s="271">
        <v>40</v>
      </c>
      <c r="D1788" s="96"/>
      <c r="E1788" s="96"/>
    </row>
    <row r="1789" spans="1:5" ht="12.75" customHeight="1">
      <c r="A1789" s="96" t="s">
        <v>27</v>
      </c>
      <c r="B1789" s="271">
        <v>60</v>
      </c>
      <c r="D1789" s="96"/>
      <c r="E1789" s="96"/>
    </row>
    <row r="1790" spans="1:5" ht="12.75" customHeight="1">
      <c r="A1790" s="96" t="s">
        <v>28</v>
      </c>
      <c r="B1790" s="271">
        <v>69</v>
      </c>
      <c r="D1790" s="96"/>
      <c r="E1790" s="96"/>
    </row>
    <row r="1791" spans="1:5" ht="12.75" customHeight="1">
      <c r="A1791" s="96" t="s">
        <v>29</v>
      </c>
      <c r="B1791" s="271">
        <v>47</v>
      </c>
      <c r="D1791" s="96"/>
      <c r="E1791" s="96"/>
    </row>
    <row r="1792" spans="1:5" ht="12.75" customHeight="1">
      <c r="A1792" s="96" t="s">
        <v>30</v>
      </c>
      <c r="B1792" s="271">
        <v>59</v>
      </c>
      <c r="D1792" s="96"/>
      <c r="E1792" s="96"/>
    </row>
    <row r="1793" spans="1:5" ht="12.75" customHeight="1">
      <c r="A1793" s="96" t="s">
        <v>31</v>
      </c>
      <c r="B1793" s="271">
        <v>68</v>
      </c>
      <c r="D1793" s="96"/>
      <c r="E1793" s="96"/>
    </row>
    <row r="1794" spans="1:5" ht="12.75" customHeight="1">
      <c r="A1794" s="96" t="s">
        <v>32</v>
      </c>
      <c r="B1794" s="271">
        <v>104</v>
      </c>
      <c r="D1794" s="96"/>
      <c r="E1794" s="96"/>
    </row>
    <row r="1795" spans="1:5" ht="5.0999999999999996" customHeight="1">
      <c r="A1795" s="96"/>
      <c r="B1795" s="271"/>
      <c r="D1795" s="96"/>
      <c r="E1795" s="96"/>
    </row>
    <row r="1796" spans="1:5" ht="12.75" customHeight="1">
      <c r="A1796" s="93" t="s">
        <v>209</v>
      </c>
      <c r="B1796" s="272">
        <v>65</v>
      </c>
      <c r="D1796" s="96"/>
      <c r="E1796" s="96"/>
    </row>
    <row r="1797" spans="1:5" ht="5.0999999999999996" customHeight="1">
      <c r="A1797" s="96"/>
      <c r="B1797" s="271"/>
      <c r="D1797" s="96"/>
      <c r="E1797" s="96"/>
    </row>
    <row r="1798" spans="1:5" ht="12.75" customHeight="1">
      <c r="A1798" s="96" t="s">
        <v>21</v>
      </c>
      <c r="B1798" s="271">
        <v>6</v>
      </c>
      <c r="D1798" s="96"/>
      <c r="E1798" s="96"/>
    </row>
    <row r="1799" spans="1:5" ht="12.75" customHeight="1">
      <c r="A1799" s="96" t="s">
        <v>22</v>
      </c>
      <c r="B1799" s="271">
        <v>4</v>
      </c>
      <c r="D1799" s="96"/>
      <c r="E1799" s="96"/>
    </row>
    <row r="1800" spans="1:5" ht="12.75" customHeight="1">
      <c r="A1800" s="96" t="s">
        <v>23</v>
      </c>
      <c r="B1800" s="271">
        <v>4</v>
      </c>
      <c r="D1800" s="96"/>
      <c r="E1800" s="96"/>
    </row>
    <row r="1801" spans="1:5" ht="12.75" customHeight="1">
      <c r="A1801" s="96" t="s">
        <v>24</v>
      </c>
      <c r="B1801" s="271">
        <v>3</v>
      </c>
      <c r="D1801" s="96"/>
      <c r="E1801" s="96"/>
    </row>
    <row r="1802" spans="1:5" ht="12.75" customHeight="1">
      <c r="A1802" s="96" t="s">
        <v>25</v>
      </c>
      <c r="B1802" s="271">
        <v>3</v>
      </c>
      <c r="D1802" s="96"/>
      <c r="E1802" s="96"/>
    </row>
    <row r="1803" spans="1:5" s="92" customFormat="1" ht="12.75" customHeight="1">
      <c r="A1803" s="96" t="s">
        <v>26</v>
      </c>
      <c r="B1803" s="271">
        <v>3</v>
      </c>
      <c r="D1803" s="96"/>
      <c r="E1803" s="96"/>
    </row>
    <row r="1804" spans="1:5" ht="12.75" customHeight="1">
      <c r="A1804" s="96" t="s">
        <v>27</v>
      </c>
      <c r="B1804" s="271">
        <v>9</v>
      </c>
      <c r="D1804" s="96"/>
      <c r="E1804" s="96"/>
    </row>
    <row r="1805" spans="1:5" ht="12.75" customHeight="1">
      <c r="A1805" s="96" t="s">
        <v>28</v>
      </c>
      <c r="B1805" s="271">
        <v>9</v>
      </c>
      <c r="D1805" s="96"/>
      <c r="E1805" s="96"/>
    </row>
    <row r="1806" spans="1:5" ht="12.75" customHeight="1">
      <c r="A1806" s="96" t="s">
        <v>29</v>
      </c>
      <c r="B1806" s="271">
        <v>7</v>
      </c>
      <c r="D1806" s="96"/>
      <c r="E1806" s="96"/>
    </row>
    <row r="1807" spans="1:5" ht="12.75" customHeight="1">
      <c r="A1807" s="96" t="s">
        <v>30</v>
      </c>
      <c r="B1807" s="271">
        <v>2</v>
      </c>
      <c r="D1807" s="96"/>
      <c r="E1807" s="96"/>
    </row>
    <row r="1808" spans="1:5" ht="12.75" customHeight="1">
      <c r="A1808" s="96" t="s">
        <v>31</v>
      </c>
      <c r="B1808" s="271">
        <v>2</v>
      </c>
      <c r="D1808" s="96"/>
      <c r="E1808" s="96"/>
    </row>
    <row r="1809" spans="1:5" ht="12.75" customHeight="1">
      <c r="A1809" s="96" t="s">
        <v>32</v>
      </c>
      <c r="B1809" s="271">
        <v>13</v>
      </c>
      <c r="D1809" s="96"/>
      <c r="E1809" s="96"/>
    </row>
    <row r="1810" spans="1:5" ht="5.0999999999999996" customHeight="1">
      <c r="A1810" s="96"/>
      <c r="B1810" s="271"/>
      <c r="D1810" s="96"/>
      <c r="E1810" s="96"/>
    </row>
    <row r="1811" spans="1:5" ht="12.75" customHeight="1">
      <c r="A1811" s="93" t="s">
        <v>210</v>
      </c>
      <c r="B1811" s="272">
        <v>97</v>
      </c>
      <c r="D1811" s="96"/>
      <c r="E1811" s="96"/>
    </row>
    <row r="1812" spans="1:5" ht="5.0999999999999996" customHeight="1">
      <c r="A1812" s="96"/>
      <c r="B1812" s="271"/>
      <c r="D1812" s="96"/>
      <c r="E1812" s="96"/>
    </row>
    <row r="1813" spans="1:5" ht="12.75" customHeight="1">
      <c r="A1813" s="96" t="s">
        <v>21</v>
      </c>
      <c r="B1813" s="271">
        <v>11</v>
      </c>
      <c r="D1813" s="96"/>
      <c r="E1813" s="96"/>
    </row>
    <row r="1814" spans="1:5" ht="12.75" customHeight="1">
      <c r="A1814" s="96" t="s">
        <v>22</v>
      </c>
      <c r="B1814" s="271">
        <v>8</v>
      </c>
      <c r="D1814" s="96"/>
      <c r="E1814" s="96"/>
    </row>
    <row r="1815" spans="1:5" ht="12.75" customHeight="1">
      <c r="A1815" s="96" t="s">
        <v>23</v>
      </c>
      <c r="B1815" s="271">
        <v>8</v>
      </c>
      <c r="D1815" s="96"/>
      <c r="E1815" s="96"/>
    </row>
    <row r="1816" spans="1:5" ht="12.75" customHeight="1">
      <c r="A1816" s="96" t="s">
        <v>24</v>
      </c>
      <c r="B1816" s="271">
        <v>6</v>
      </c>
      <c r="D1816" s="96"/>
      <c r="E1816" s="96"/>
    </row>
    <row r="1817" spans="1:5" ht="12.75" customHeight="1">
      <c r="A1817" s="96" t="s">
        <v>25</v>
      </c>
      <c r="B1817" s="271">
        <v>6</v>
      </c>
      <c r="D1817" s="96"/>
      <c r="E1817" s="96"/>
    </row>
    <row r="1818" spans="1:5" ht="12.75" customHeight="1">
      <c r="A1818" s="96" t="s">
        <v>26</v>
      </c>
      <c r="B1818" s="271">
        <v>8</v>
      </c>
      <c r="D1818" s="96"/>
      <c r="E1818" s="96"/>
    </row>
    <row r="1819" spans="1:5" ht="12.75" customHeight="1">
      <c r="A1819" s="96" t="s">
        <v>27</v>
      </c>
      <c r="B1819" s="271">
        <v>8</v>
      </c>
      <c r="D1819" s="96"/>
      <c r="E1819" s="96"/>
    </row>
    <row r="1820" spans="1:5" s="92" customFormat="1" ht="12.75" customHeight="1">
      <c r="A1820" s="96" t="s">
        <v>28</v>
      </c>
      <c r="B1820" s="271">
        <v>11</v>
      </c>
      <c r="D1820" s="96"/>
      <c r="E1820" s="96"/>
    </row>
    <row r="1821" spans="1:5" ht="12.75" customHeight="1">
      <c r="A1821" s="96" t="s">
        <v>29</v>
      </c>
      <c r="B1821" s="271">
        <v>9</v>
      </c>
      <c r="D1821" s="96"/>
      <c r="E1821" s="96"/>
    </row>
    <row r="1822" spans="1:5" ht="12.75" customHeight="1">
      <c r="A1822" s="96" t="s">
        <v>30</v>
      </c>
      <c r="B1822" s="271">
        <v>5</v>
      </c>
      <c r="D1822" s="96"/>
      <c r="E1822" s="96"/>
    </row>
    <row r="1823" spans="1:5" ht="12.75" customHeight="1">
      <c r="A1823" s="96" t="s">
        <v>31</v>
      </c>
      <c r="B1823" s="271">
        <v>8</v>
      </c>
      <c r="D1823" s="96"/>
      <c r="E1823" s="96"/>
    </row>
    <row r="1824" spans="1:5" ht="12.75" customHeight="1">
      <c r="A1824" s="96" t="s">
        <v>32</v>
      </c>
      <c r="B1824" s="271">
        <v>9</v>
      </c>
      <c r="D1824" s="96"/>
      <c r="E1824" s="96"/>
    </row>
    <row r="1825" spans="1:5" ht="5.0999999999999996" customHeight="1">
      <c r="A1825" s="96"/>
      <c r="B1825" s="271"/>
      <c r="D1825" s="96"/>
      <c r="E1825" s="96"/>
    </row>
    <row r="1826" spans="1:5" ht="12.75" customHeight="1">
      <c r="A1826" s="93" t="s">
        <v>104</v>
      </c>
      <c r="B1826" s="272">
        <v>85</v>
      </c>
      <c r="D1826" s="96"/>
      <c r="E1826" s="96"/>
    </row>
    <row r="1827" spans="1:5" ht="5.0999999999999996" customHeight="1">
      <c r="A1827" s="96"/>
      <c r="B1827" s="271"/>
      <c r="D1827" s="96"/>
      <c r="E1827" s="96"/>
    </row>
    <row r="1828" spans="1:5" ht="12.75" customHeight="1">
      <c r="A1828" s="96" t="s">
        <v>21</v>
      </c>
      <c r="B1828" s="271">
        <v>8</v>
      </c>
      <c r="D1828" s="96"/>
      <c r="E1828" s="96"/>
    </row>
    <row r="1829" spans="1:5" ht="12.75" customHeight="1">
      <c r="A1829" s="96" t="s">
        <v>22</v>
      </c>
      <c r="B1829" s="271">
        <v>5</v>
      </c>
      <c r="D1829" s="96"/>
      <c r="E1829" s="96"/>
    </row>
    <row r="1830" spans="1:5" ht="12.75" customHeight="1">
      <c r="A1830" s="96" t="s">
        <v>23</v>
      </c>
      <c r="B1830" s="271">
        <v>9</v>
      </c>
      <c r="D1830" s="96"/>
      <c r="E1830" s="96"/>
    </row>
    <row r="1831" spans="1:5" ht="12.75" customHeight="1">
      <c r="A1831" s="96" t="s">
        <v>24</v>
      </c>
      <c r="B1831" s="271">
        <v>5</v>
      </c>
      <c r="D1831" s="96"/>
      <c r="E1831" s="96"/>
    </row>
    <row r="1832" spans="1:5" ht="12.75" customHeight="1">
      <c r="A1832" s="96" t="s">
        <v>25</v>
      </c>
      <c r="B1832" s="271">
        <v>4</v>
      </c>
      <c r="D1832" s="96"/>
      <c r="E1832" s="96"/>
    </row>
    <row r="1833" spans="1:5" ht="12.75" customHeight="1">
      <c r="A1833" s="96" t="s">
        <v>26</v>
      </c>
      <c r="B1833" s="271">
        <v>12</v>
      </c>
      <c r="D1833" s="96"/>
      <c r="E1833" s="96"/>
    </row>
    <row r="1834" spans="1:5" ht="12.75" customHeight="1">
      <c r="A1834" s="96" t="s">
        <v>27</v>
      </c>
      <c r="B1834" s="271">
        <v>10</v>
      </c>
      <c r="D1834" s="96"/>
      <c r="E1834" s="96"/>
    </row>
    <row r="1835" spans="1:5" ht="12.75" customHeight="1">
      <c r="A1835" s="96" t="s">
        <v>28</v>
      </c>
      <c r="B1835" s="271">
        <v>4</v>
      </c>
      <c r="D1835" s="96"/>
      <c r="E1835" s="96"/>
    </row>
    <row r="1836" spans="1:5" ht="12.75" customHeight="1">
      <c r="A1836" s="96" t="s">
        <v>29</v>
      </c>
      <c r="B1836" s="271">
        <v>5</v>
      </c>
      <c r="D1836" s="96"/>
      <c r="E1836" s="96"/>
    </row>
    <row r="1837" spans="1:5" s="92" customFormat="1" ht="12.75" customHeight="1">
      <c r="A1837" s="96" t="s">
        <v>30</v>
      </c>
      <c r="B1837" s="271">
        <v>7</v>
      </c>
      <c r="D1837" s="96"/>
      <c r="E1837" s="96"/>
    </row>
    <row r="1838" spans="1:5" ht="12.75" customHeight="1">
      <c r="A1838" s="96" t="s">
        <v>31</v>
      </c>
      <c r="B1838" s="271">
        <v>5</v>
      </c>
      <c r="D1838" s="96"/>
      <c r="E1838" s="96"/>
    </row>
    <row r="1839" spans="1:5" ht="12.75" customHeight="1">
      <c r="A1839" s="96" t="s">
        <v>32</v>
      </c>
      <c r="B1839" s="271">
        <v>11</v>
      </c>
      <c r="D1839" s="96"/>
      <c r="E1839" s="96"/>
    </row>
    <row r="1840" spans="1:5" ht="5.0999999999999996" customHeight="1">
      <c r="A1840" s="96"/>
      <c r="B1840" s="271"/>
      <c r="D1840" s="96"/>
      <c r="E1840" s="96"/>
    </row>
    <row r="1841" spans="1:5" ht="12.75" customHeight="1">
      <c r="A1841" s="93" t="s">
        <v>211</v>
      </c>
      <c r="B1841" s="272">
        <v>90</v>
      </c>
      <c r="D1841" s="96"/>
      <c r="E1841" s="96"/>
    </row>
    <row r="1842" spans="1:5" ht="5.0999999999999996" customHeight="1">
      <c r="A1842" s="96"/>
      <c r="B1842" s="271"/>
      <c r="D1842" s="96"/>
      <c r="E1842" s="96"/>
    </row>
    <row r="1843" spans="1:5" ht="12.75" customHeight="1">
      <c r="A1843" s="96" t="s">
        <v>21</v>
      </c>
      <c r="B1843" s="271">
        <v>11</v>
      </c>
      <c r="D1843" s="96"/>
      <c r="E1843" s="96"/>
    </row>
    <row r="1844" spans="1:5" ht="12.75" customHeight="1">
      <c r="A1844" s="96" t="s">
        <v>22</v>
      </c>
      <c r="B1844" s="271">
        <v>10</v>
      </c>
      <c r="D1844" s="96"/>
      <c r="E1844" s="96"/>
    </row>
    <row r="1845" spans="1:5" ht="12.75" customHeight="1">
      <c r="A1845" s="96" t="s">
        <v>23</v>
      </c>
      <c r="B1845" s="271">
        <v>8</v>
      </c>
      <c r="D1845" s="96"/>
      <c r="E1845" s="96"/>
    </row>
    <row r="1846" spans="1:5" ht="12.75" customHeight="1">
      <c r="A1846" s="96" t="s">
        <v>24</v>
      </c>
      <c r="B1846" s="271">
        <v>6</v>
      </c>
      <c r="D1846" s="96"/>
      <c r="E1846" s="96"/>
    </row>
    <row r="1847" spans="1:5" ht="12.75" customHeight="1">
      <c r="A1847" s="96" t="s">
        <v>25</v>
      </c>
      <c r="B1847" s="271">
        <v>6</v>
      </c>
      <c r="D1847" s="96"/>
      <c r="E1847" s="96"/>
    </row>
    <row r="1848" spans="1:5" ht="12.75" customHeight="1">
      <c r="A1848" s="96" t="s">
        <v>26</v>
      </c>
      <c r="B1848" s="271">
        <v>7</v>
      </c>
      <c r="D1848" s="96"/>
      <c r="E1848" s="96"/>
    </row>
    <row r="1849" spans="1:5" ht="12.75" customHeight="1">
      <c r="A1849" s="96" t="s">
        <v>27</v>
      </c>
      <c r="B1849" s="271">
        <v>4</v>
      </c>
      <c r="D1849" s="96"/>
      <c r="E1849" s="96"/>
    </row>
    <row r="1850" spans="1:5" ht="12.75" customHeight="1">
      <c r="A1850" s="96" t="s">
        <v>28</v>
      </c>
      <c r="B1850" s="271">
        <v>6</v>
      </c>
      <c r="D1850" s="96"/>
      <c r="E1850" s="96"/>
    </row>
    <row r="1851" spans="1:5" ht="12.75" customHeight="1">
      <c r="A1851" s="96" t="s">
        <v>29</v>
      </c>
      <c r="B1851" s="271">
        <v>3</v>
      </c>
      <c r="D1851" s="96"/>
      <c r="E1851" s="96"/>
    </row>
    <row r="1852" spans="1:5" ht="12.75" customHeight="1">
      <c r="A1852" s="96" t="s">
        <v>30</v>
      </c>
      <c r="B1852" s="271">
        <v>6</v>
      </c>
      <c r="D1852" s="96"/>
      <c r="E1852" s="96"/>
    </row>
    <row r="1853" spans="1:5" ht="12.75" customHeight="1">
      <c r="A1853" s="96" t="s">
        <v>31</v>
      </c>
      <c r="B1853" s="271">
        <v>12</v>
      </c>
      <c r="D1853" s="96"/>
      <c r="E1853" s="96"/>
    </row>
    <row r="1854" spans="1:5" s="92" customFormat="1" ht="12.75" customHeight="1">
      <c r="A1854" s="96" t="s">
        <v>32</v>
      </c>
      <c r="B1854" s="271">
        <v>11</v>
      </c>
      <c r="D1854" s="96"/>
      <c r="E1854" s="96"/>
    </row>
    <row r="1855" spans="1:5" s="92" customFormat="1" ht="5.0999999999999996" customHeight="1">
      <c r="A1855" s="96"/>
      <c r="B1855" s="271"/>
      <c r="D1855" s="96"/>
      <c r="E1855" s="96"/>
    </row>
    <row r="1856" spans="1:5" ht="12.75" customHeight="1">
      <c r="A1856" s="93" t="s">
        <v>212</v>
      </c>
      <c r="B1856" s="272">
        <v>102</v>
      </c>
      <c r="D1856" s="96"/>
      <c r="E1856" s="96"/>
    </row>
    <row r="1857" spans="1:5" ht="5.0999999999999996" customHeight="1">
      <c r="A1857" s="96"/>
      <c r="B1857" s="271"/>
      <c r="D1857" s="96"/>
      <c r="E1857" s="96"/>
    </row>
    <row r="1858" spans="1:5" ht="12.75" customHeight="1">
      <c r="A1858" s="96" t="s">
        <v>21</v>
      </c>
      <c r="B1858" s="271">
        <v>9</v>
      </c>
      <c r="D1858" s="96"/>
      <c r="E1858" s="96"/>
    </row>
    <row r="1859" spans="1:5" ht="12.75" customHeight="1">
      <c r="A1859" s="96" t="s">
        <v>22</v>
      </c>
      <c r="B1859" s="271">
        <v>7</v>
      </c>
      <c r="D1859" s="96"/>
      <c r="E1859" s="96"/>
    </row>
    <row r="1860" spans="1:5" ht="12.75" customHeight="1">
      <c r="A1860" s="96" t="s">
        <v>23</v>
      </c>
      <c r="B1860" s="271">
        <v>10</v>
      </c>
      <c r="D1860" s="96"/>
      <c r="E1860" s="96"/>
    </row>
    <row r="1861" spans="1:5" ht="12.75" customHeight="1">
      <c r="A1861" s="96" t="s">
        <v>24</v>
      </c>
      <c r="B1861" s="271">
        <v>8</v>
      </c>
      <c r="D1861" s="96"/>
      <c r="E1861" s="96"/>
    </row>
    <row r="1862" spans="1:5" ht="12.75" customHeight="1">
      <c r="A1862" s="96" t="s">
        <v>25</v>
      </c>
      <c r="B1862" s="271">
        <v>8</v>
      </c>
      <c r="D1862" s="96"/>
      <c r="E1862" s="96"/>
    </row>
    <row r="1863" spans="1:5" ht="12.75" customHeight="1">
      <c r="A1863" s="96" t="s">
        <v>26</v>
      </c>
      <c r="B1863" s="271">
        <v>9</v>
      </c>
      <c r="D1863" s="96"/>
      <c r="E1863" s="96"/>
    </row>
    <row r="1864" spans="1:5" ht="12.75" customHeight="1">
      <c r="A1864" s="96" t="s">
        <v>27</v>
      </c>
      <c r="B1864" s="271">
        <v>10</v>
      </c>
      <c r="D1864" s="96"/>
      <c r="E1864" s="96"/>
    </row>
    <row r="1865" spans="1:5" ht="12.75" customHeight="1">
      <c r="A1865" s="96" t="s">
        <v>28</v>
      </c>
      <c r="B1865" s="271">
        <v>4</v>
      </c>
      <c r="D1865" s="96"/>
      <c r="E1865" s="96"/>
    </row>
    <row r="1866" spans="1:5" ht="12.75" customHeight="1">
      <c r="A1866" s="96" t="s">
        <v>29</v>
      </c>
      <c r="B1866" s="271">
        <v>6</v>
      </c>
      <c r="D1866" s="96"/>
      <c r="E1866" s="96"/>
    </row>
    <row r="1867" spans="1:5" ht="12.75" customHeight="1">
      <c r="A1867" s="96" t="s">
        <v>30</v>
      </c>
      <c r="B1867" s="271">
        <v>5</v>
      </c>
      <c r="D1867" s="96"/>
      <c r="E1867" s="96"/>
    </row>
    <row r="1868" spans="1:5" ht="12.75" customHeight="1">
      <c r="A1868" s="96" t="s">
        <v>31</v>
      </c>
      <c r="B1868" s="271">
        <v>12</v>
      </c>
      <c r="D1868" s="96"/>
      <c r="E1868" s="96"/>
    </row>
    <row r="1869" spans="1:5" ht="12.75" customHeight="1">
      <c r="A1869" s="96" t="s">
        <v>32</v>
      </c>
      <c r="B1869" s="271">
        <v>14</v>
      </c>
      <c r="D1869" s="96"/>
      <c r="E1869" s="96"/>
    </row>
    <row r="1870" spans="1:5" ht="5.0999999999999996" customHeight="1">
      <c r="A1870" s="96"/>
      <c r="B1870" s="271"/>
      <c r="D1870" s="96"/>
      <c r="E1870" s="96"/>
    </row>
    <row r="1871" spans="1:5" ht="12.75" customHeight="1">
      <c r="A1871" s="93" t="s">
        <v>213</v>
      </c>
      <c r="B1871" s="272">
        <v>191</v>
      </c>
      <c r="D1871" s="96"/>
      <c r="E1871" s="96"/>
    </row>
    <row r="1872" spans="1:5" ht="5.0999999999999996" customHeight="1">
      <c r="A1872" s="96"/>
      <c r="B1872" s="271"/>
      <c r="D1872" s="96"/>
      <c r="E1872" s="96"/>
    </row>
    <row r="1873" spans="1:5" s="92" customFormat="1" ht="12.75" customHeight="1">
      <c r="A1873" s="96" t="s">
        <v>21</v>
      </c>
      <c r="B1873" s="271">
        <v>17</v>
      </c>
      <c r="D1873" s="96"/>
      <c r="E1873" s="96"/>
    </row>
    <row r="1874" spans="1:5" ht="12.75" customHeight="1">
      <c r="A1874" s="96" t="s">
        <v>22</v>
      </c>
      <c r="B1874" s="271">
        <v>12</v>
      </c>
      <c r="D1874" s="96"/>
      <c r="E1874" s="96"/>
    </row>
    <row r="1875" spans="1:5" ht="12.75" customHeight="1">
      <c r="A1875" s="96" t="s">
        <v>23</v>
      </c>
      <c r="B1875" s="271">
        <v>13</v>
      </c>
      <c r="D1875" s="96"/>
      <c r="E1875" s="96"/>
    </row>
    <row r="1876" spans="1:5" ht="12.75" customHeight="1">
      <c r="A1876" s="96" t="s">
        <v>24</v>
      </c>
      <c r="B1876" s="271">
        <v>19</v>
      </c>
      <c r="D1876" s="96"/>
      <c r="E1876" s="96"/>
    </row>
    <row r="1877" spans="1:5" ht="12.75" customHeight="1">
      <c r="A1877" s="96" t="s">
        <v>25</v>
      </c>
      <c r="B1877" s="271">
        <v>15</v>
      </c>
      <c r="D1877" s="96"/>
      <c r="E1877" s="96"/>
    </row>
    <row r="1878" spans="1:5" ht="12.75" customHeight="1">
      <c r="A1878" s="96" t="s">
        <v>26</v>
      </c>
      <c r="B1878" s="271">
        <v>12</v>
      </c>
      <c r="D1878" s="96"/>
      <c r="E1878" s="96"/>
    </row>
    <row r="1879" spans="1:5" ht="12.75" customHeight="1">
      <c r="A1879" s="96" t="s">
        <v>27</v>
      </c>
      <c r="B1879" s="271">
        <v>17</v>
      </c>
      <c r="D1879" s="96"/>
      <c r="E1879" s="96"/>
    </row>
    <row r="1880" spans="1:5" ht="12.75" customHeight="1">
      <c r="A1880" s="96" t="s">
        <v>28</v>
      </c>
      <c r="B1880" s="271">
        <v>16</v>
      </c>
      <c r="D1880" s="96"/>
      <c r="E1880" s="96"/>
    </row>
    <row r="1881" spans="1:5" ht="12.75" customHeight="1">
      <c r="A1881" s="96" t="s">
        <v>29</v>
      </c>
      <c r="B1881" s="271">
        <v>13</v>
      </c>
      <c r="D1881" s="96"/>
      <c r="E1881" s="96"/>
    </row>
    <row r="1882" spans="1:5" ht="12.75" customHeight="1">
      <c r="A1882" s="96" t="s">
        <v>30</v>
      </c>
      <c r="B1882" s="271">
        <v>10</v>
      </c>
      <c r="D1882" s="96"/>
      <c r="E1882" s="96"/>
    </row>
    <row r="1883" spans="1:5" ht="12.75" customHeight="1">
      <c r="A1883" s="96" t="s">
        <v>31</v>
      </c>
      <c r="B1883" s="271">
        <v>18</v>
      </c>
      <c r="D1883" s="96"/>
      <c r="E1883" s="96"/>
    </row>
    <row r="1884" spans="1:5" ht="12.75" customHeight="1">
      <c r="A1884" s="96" t="s">
        <v>32</v>
      </c>
      <c r="B1884" s="271">
        <v>29</v>
      </c>
      <c r="D1884" s="96"/>
      <c r="E1884" s="96"/>
    </row>
    <row r="1885" spans="1:5" ht="5.0999999999999996" customHeight="1">
      <c r="A1885" s="96"/>
      <c r="B1885" s="271"/>
      <c r="D1885" s="96"/>
      <c r="E1885" s="96"/>
    </row>
    <row r="1886" spans="1:5" ht="12.75" customHeight="1">
      <c r="A1886" s="93" t="s">
        <v>452</v>
      </c>
      <c r="B1886" s="272">
        <v>163</v>
      </c>
      <c r="D1886" s="96"/>
      <c r="E1886" s="96"/>
    </row>
    <row r="1887" spans="1:5" ht="5.0999999999999996" customHeight="1">
      <c r="A1887" s="96"/>
      <c r="B1887" s="271"/>
      <c r="D1887" s="96"/>
      <c r="E1887" s="96"/>
    </row>
    <row r="1888" spans="1:5" ht="12.75" customHeight="1">
      <c r="A1888" s="96" t="s">
        <v>21</v>
      </c>
      <c r="B1888" s="271">
        <v>16</v>
      </c>
      <c r="D1888" s="96"/>
      <c r="E1888" s="96"/>
    </row>
    <row r="1889" spans="1:5" ht="12.75" customHeight="1">
      <c r="A1889" s="96" t="s">
        <v>22</v>
      </c>
      <c r="B1889" s="271">
        <v>17</v>
      </c>
      <c r="D1889" s="96"/>
      <c r="E1889" s="96"/>
    </row>
    <row r="1890" spans="1:5" s="92" customFormat="1" ht="12.75" customHeight="1">
      <c r="A1890" s="96" t="s">
        <v>23</v>
      </c>
      <c r="B1890" s="271">
        <v>13</v>
      </c>
      <c r="D1890" s="96"/>
      <c r="E1890" s="96"/>
    </row>
    <row r="1891" spans="1:5" ht="12.75" customHeight="1">
      <c r="A1891" s="96" t="s">
        <v>24</v>
      </c>
      <c r="B1891" s="271">
        <v>10</v>
      </c>
      <c r="D1891" s="96"/>
      <c r="E1891" s="96"/>
    </row>
    <row r="1892" spans="1:5" ht="12.75" customHeight="1">
      <c r="A1892" s="96" t="s">
        <v>25</v>
      </c>
      <c r="B1892" s="271">
        <v>15</v>
      </c>
      <c r="D1892" s="96"/>
      <c r="E1892" s="96"/>
    </row>
    <row r="1893" spans="1:5" ht="12.75" customHeight="1">
      <c r="A1893" s="96" t="s">
        <v>26</v>
      </c>
      <c r="B1893" s="271">
        <v>23</v>
      </c>
      <c r="D1893" s="96"/>
      <c r="E1893" s="96"/>
    </row>
    <row r="1894" spans="1:5" ht="12.75" customHeight="1">
      <c r="A1894" s="96" t="s">
        <v>27</v>
      </c>
      <c r="B1894" s="271">
        <v>17</v>
      </c>
      <c r="D1894" s="96"/>
      <c r="E1894" s="96"/>
    </row>
    <row r="1895" spans="1:5" ht="12.75" customHeight="1">
      <c r="A1895" s="96" t="s">
        <v>28</v>
      </c>
      <c r="B1895" s="271">
        <v>5</v>
      </c>
      <c r="D1895" s="96"/>
      <c r="E1895" s="96"/>
    </row>
    <row r="1896" spans="1:5" ht="12.75" customHeight="1">
      <c r="A1896" s="96" t="s">
        <v>29</v>
      </c>
      <c r="B1896" s="271">
        <v>11</v>
      </c>
      <c r="D1896" s="96"/>
      <c r="E1896" s="96"/>
    </row>
    <row r="1897" spans="1:5" ht="12.75" customHeight="1">
      <c r="A1897" s="96" t="s">
        <v>30</v>
      </c>
      <c r="B1897" s="271">
        <v>16</v>
      </c>
      <c r="D1897" s="96"/>
      <c r="E1897" s="96"/>
    </row>
    <row r="1898" spans="1:5" ht="12.75" customHeight="1">
      <c r="A1898" s="96" t="s">
        <v>31</v>
      </c>
      <c r="B1898" s="271">
        <v>16</v>
      </c>
      <c r="D1898" s="96"/>
      <c r="E1898" s="96"/>
    </row>
    <row r="1899" spans="1:5" ht="12.75" customHeight="1">
      <c r="A1899" s="96" t="s">
        <v>32</v>
      </c>
      <c r="B1899" s="271">
        <v>4</v>
      </c>
      <c r="D1899" s="96"/>
      <c r="E1899" s="96"/>
    </row>
    <row r="1900" spans="1:5" ht="5.0999999999999996" customHeight="1">
      <c r="A1900" s="96"/>
      <c r="B1900" s="271"/>
      <c r="D1900" s="96"/>
      <c r="E1900" s="96"/>
    </row>
    <row r="1901" spans="1:5" ht="12.75" customHeight="1">
      <c r="A1901" s="93" t="s">
        <v>214</v>
      </c>
      <c r="B1901" s="272">
        <v>42</v>
      </c>
      <c r="D1901" s="96"/>
      <c r="E1901" s="96"/>
    </row>
    <row r="1902" spans="1:5" ht="5.0999999999999996" customHeight="1">
      <c r="A1902" s="96"/>
      <c r="B1902" s="271"/>
      <c r="D1902" s="96"/>
      <c r="E1902" s="96"/>
    </row>
    <row r="1903" spans="1:5" ht="12.75" customHeight="1">
      <c r="A1903" s="96" t="s">
        <v>21</v>
      </c>
      <c r="B1903" s="271">
        <v>3</v>
      </c>
      <c r="D1903" s="96"/>
      <c r="E1903" s="96"/>
    </row>
    <row r="1904" spans="1:5" ht="12.75" customHeight="1">
      <c r="A1904" s="96" t="s">
        <v>22</v>
      </c>
      <c r="B1904" s="271">
        <v>2</v>
      </c>
      <c r="D1904" s="96"/>
      <c r="E1904" s="96"/>
    </row>
    <row r="1905" spans="1:5" ht="12.75" customHeight="1">
      <c r="A1905" s="96" t="s">
        <v>23</v>
      </c>
      <c r="B1905" s="271">
        <v>3</v>
      </c>
      <c r="D1905" s="96"/>
      <c r="E1905" s="96"/>
    </row>
    <row r="1906" spans="1:5" ht="12.75" customHeight="1">
      <c r="A1906" s="96" t="s">
        <v>24</v>
      </c>
      <c r="B1906" s="271">
        <v>4</v>
      </c>
      <c r="D1906" s="96"/>
      <c r="E1906" s="96"/>
    </row>
    <row r="1907" spans="1:5" s="92" customFormat="1" ht="12.75" customHeight="1">
      <c r="A1907" s="96" t="s">
        <v>25</v>
      </c>
      <c r="B1907" s="271">
        <v>4</v>
      </c>
      <c r="D1907" s="96"/>
      <c r="E1907" s="96"/>
    </row>
    <row r="1908" spans="1:5" ht="12.75" customHeight="1">
      <c r="A1908" s="96" t="s">
        <v>26</v>
      </c>
      <c r="B1908" s="271">
        <v>3</v>
      </c>
      <c r="D1908" s="96"/>
      <c r="E1908" s="96"/>
    </row>
    <row r="1909" spans="1:5" ht="12.75" customHeight="1">
      <c r="A1909" s="96" t="s">
        <v>27</v>
      </c>
      <c r="B1909" s="271">
        <v>4</v>
      </c>
      <c r="D1909" s="96"/>
      <c r="E1909" s="96"/>
    </row>
    <row r="1910" spans="1:5" ht="12.75" customHeight="1">
      <c r="A1910" s="96" t="s">
        <v>28</v>
      </c>
      <c r="B1910" s="271">
        <v>5</v>
      </c>
      <c r="D1910" s="96"/>
      <c r="E1910" s="96"/>
    </row>
    <row r="1911" spans="1:5" ht="12.75" customHeight="1">
      <c r="A1911" s="96" t="s">
        <v>29</v>
      </c>
      <c r="B1911" s="271">
        <v>2</v>
      </c>
      <c r="D1911" s="96"/>
      <c r="E1911" s="96"/>
    </row>
    <row r="1912" spans="1:5" ht="12.75" customHeight="1">
      <c r="A1912" s="96" t="s">
        <v>30</v>
      </c>
      <c r="B1912" s="271">
        <v>4</v>
      </c>
      <c r="D1912" s="96"/>
      <c r="E1912" s="96"/>
    </row>
    <row r="1913" spans="1:5" ht="12.75" customHeight="1">
      <c r="A1913" s="96" t="s">
        <v>31</v>
      </c>
      <c r="B1913" s="271">
        <v>4</v>
      </c>
      <c r="D1913" s="96"/>
      <c r="E1913" s="96"/>
    </row>
    <row r="1914" spans="1:5" ht="12.75" customHeight="1">
      <c r="A1914" s="96" t="s">
        <v>32</v>
      </c>
      <c r="B1914" s="271">
        <v>4</v>
      </c>
      <c r="D1914" s="96"/>
      <c r="E1914" s="96"/>
    </row>
    <row r="1915" spans="1:5" ht="5.0999999999999996" customHeight="1">
      <c r="A1915" s="96"/>
      <c r="B1915" s="271"/>
      <c r="D1915" s="96"/>
      <c r="E1915" s="96"/>
    </row>
    <row r="1916" spans="1:5" ht="12.75" customHeight="1">
      <c r="A1916" s="93" t="s">
        <v>215</v>
      </c>
      <c r="B1916" s="272">
        <v>11</v>
      </c>
      <c r="D1916" s="96"/>
      <c r="E1916" s="96"/>
    </row>
    <row r="1917" spans="1:5" ht="5.0999999999999996" customHeight="1">
      <c r="A1917" s="96"/>
      <c r="B1917" s="271"/>
      <c r="D1917" s="96"/>
      <c r="E1917" s="96"/>
    </row>
    <row r="1918" spans="1:5" ht="12.75" customHeight="1">
      <c r="A1918" s="96" t="s">
        <v>21</v>
      </c>
      <c r="B1918" s="271">
        <v>1</v>
      </c>
      <c r="D1918" s="96"/>
      <c r="E1918" s="96"/>
    </row>
    <row r="1919" spans="1:5" ht="12.75" customHeight="1">
      <c r="A1919" s="96" t="s">
        <v>22</v>
      </c>
      <c r="B1919" s="271">
        <v>3</v>
      </c>
      <c r="D1919" s="96"/>
      <c r="E1919" s="96"/>
    </row>
    <row r="1920" spans="1:5" ht="12.75" customHeight="1">
      <c r="A1920" s="96" t="s">
        <v>23</v>
      </c>
      <c r="B1920" s="271">
        <v>1</v>
      </c>
      <c r="D1920" s="96"/>
      <c r="E1920" s="96"/>
    </row>
    <row r="1921" spans="1:5" ht="12.75" customHeight="1">
      <c r="A1921" s="96" t="s">
        <v>24</v>
      </c>
      <c r="B1921" s="271">
        <v>0</v>
      </c>
      <c r="D1921" s="96"/>
      <c r="E1921" s="96"/>
    </row>
    <row r="1922" spans="1:5" ht="12.75" customHeight="1">
      <c r="A1922" s="96" t="s">
        <v>25</v>
      </c>
      <c r="B1922" s="271">
        <v>1</v>
      </c>
      <c r="D1922" s="96"/>
      <c r="E1922" s="96"/>
    </row>
    <row r="1923" spans="1:5" ht="12.75" customHeight="1">
      <c r="A1923" s="96" t="s">
        <v>26</v>
      </c>
      <c r="B1923" s="271">
        <v>1</v>
      </c>
      <c r="D1923" s="96"/>
      <c r="E1923" s="96"/>
    </row>
    <row r="1924" spans="1:5" ht="12.75" customHeight="1">
      <c r="A1924" s="96" t="s">
        <v>27</v>
      </c>
      <c r="B1924" s="271">
        <v>1</v>
      </c>
      <c r="D1924" s="96"/>
      <c r="E1924" s="96"/>
    </row>
    <row r="1925" spans="1:5" ht="12.75" customHeight="1">
      <c r="A1925" s="96" t="s">
        <v>28</v>
      </c>
      <c r="B1925" s="271">
        <v>0</v>
      </c>
      <c r="D1925" s="96"/>
      <c r="E1925" s="96"/>
    </row>
    <row r="1926" spans="1:5" ht="12.75" customHeight="1">
      <c r="A1926" s="96" t="s">
        <v>29</v>
      </c>
      <c r="B1926" s="271">
        <v>0</v>
      </c>
      <c r="D1926" s="96"/>
      <c r="E1926" s="96"/>
    </row>
    <row r="1927" spans="1:5" ht="12.75" customHeight="1">
      <c r="A1927" s="96" t="s">
        <v>30</v>
      </c>
      <c r="B1927" s="271">
        <v>0</v>
      </c>
      <c r="D1927" s="96"/>
      <c r="E1927" s="96"/>
    </row>
    <row r="1928" spans="1:5" ht="12.75" customHeight="1">
      <c r="A1928" s="96" t="s">
        <v>31</v>
      </c>
      <c r="B1928" s="271">
        <v>0</v>
      </c>
      <c r="D1928" s="96"/>
      <c r="E1928" s="96"/>
    </row>
    <row r="1929" spans="1:5" s="92" customFormat="1" ht="12.75" customHeight="1">
      <c r="A1929" s="96" t="s">
        <v>32</v>
      </c>
      <c r="B1929" s="271">
        <v>3</v>
      </c>
      <c r="D1929" s="96"/>
      <c r="E1929" s="96"/>
    </row>
    <row r="1930" spans="1:5" s="92" customFormat="1" ht="5.0999999999999996" customHeight="1">
      <c r="A1930" s="96"/>
      <c r="B1930" s="271"/>
      <c r="D1930" s="96"/>
      <c r="E1930" s="96"/>
    </row>
    <row r="1931" spans="1:5" ht="12.75" customHeight="1">
      <c r="A1931" s="93" t="s">
        <v>106</v>
      </c>
      <c r="B1931" s="272">
        <v>128</v>
      </c>
      <c r="D1931" s="96"/>
      <c r="E1931" s="96"/>
    </row>
    <row r="1932" spans="1:5" ht="5.0999999999999996" customHeight="1">
      <c r="A1932" s="96"/>
      <c r="B1932" s="271"/>
      <c r="D1932" s="96"/>
      <c r="E1932" s="96"/>
    </row>
    <row r="1933" spans="1:5" ht="12.75" customHeight="1">
      <c r="A1933" s="96" t="s">
        <v>21</v>
      </c>
      <c r="B1933" s="271">
        <v>16</v>
      </c>
      <c r="D1933" s="96"/>
      <c r="E1933" s="96"/>
    </row>
    <row r="1934" spans="1:5" ht="12.75" customHeight="1">
      <c r="A1934" s="96" t="s">
        <v>22</v>
      </c>
      <c r="B1934" s="271">
        <v>13</v>
      </c>
      <c r="D1934" s="96"/>
      <c r="E1934" s="96"/>
    </row>
    <row r="1935" spans="1:5" ht="12.75" customHeight="1">
      <c r="A1935" s="96" t="s">
        <v>23</v>
      </c>
      <c r="B1935" s="271">
        <v>7</v>
      </c>
      <c r="D1935" s="96"/>
      <c r="E1935" s="96"/>
    </row>
    <row r="1936" spans="1:5" ht="12.75" customHeight="1">
      <c r="A1936" s="96" t="s">
        <v>24</v>
      </c>
      <c r="B1936" s="271">
        <v>12</v>
      </c>
      <c r="D1936" s="96"/>
      <c r="E1936" s="96"/>
    </row>
    <row r="1937" spans="1:5" ht="12.75" customHeight="1">
      <c r="A1937" s="96" t="s">
        <v>25</v>
      </c>
      <c r="B1937" s="271">
        <v>8</v>
      </c>
      <c r="D1937" s="96"/>
      <c r="E1937" s="96"/>
    </row>
    <row r="1938" spans="1:5" ht="12.75" customHeight="1">
      <c r="A1938" s="96" t="s">
        <v>26</v>
      </c>
      <c r="B1938" s="271">
        <v>8</v>
      </c>
      <c r="D1938" s="96"/>
      <c r="E1938" s="96"/>
    </row>
    <row r="1939" spans="1:5" ht="12.75" customHeight="1">
      <c r="A1939" s="96" t="s">
        <v>27</v>
      </c>
      <c r="B1939" s="271">
        <v>8</v>
      </c>
      <c r="D1939" s="96"/>
      <c r="E1939" s="96"/>
    </row>
    <row r="1940" spans="1:5" ht="12.75" customHeight="1">
      <c r="A1940" s="96" t="s">
        <v>28</v>
      </c>
      <c r="B1940" s="271">
        <v>12</v>
      </c>
      <c r="D1940" s="96"/>
      <c r="E1940" s="96"/>
    </row>
    <row r="1941" spans="1:5" ht="12.75" customHeight="1">
      <c r="A1941" s="96" t="s">
        <v>29</v>
      </c>
      <c r="B1941" s="271">
        <v>10</v>
      </c>
      <c r="D1941" s="96"/>
      <c r="E1941" s="96"/>
    </row>
    <row r="1942" spans="1:5" ht="12.75" customHeight="1">
      <c r="A1942" s="96" t="s">
        <v>30</v>
      </c>
      <c r="B1942" s="271">
        <v>8</v>
      </c>
      <c r="D1942" s="96"/>
      <c r="E1942" s="96"/>
    </row>
    <row r="1943" spans="1:5" ht="12.75" customHeight="1">
      <c r="A1943" s="96" t="s">
        <v>31</v>
      </c>
      <c r="B1943" s="271">
        <v>11</v>
      </c>
      <c r="D1943" s="96"/>
      <c r="E1943" s="96"/>
    </row>
    <row r="1944" spans="1:5" ht="12.75" customHeight="1">
      <c r="A1944" s="96" t="s">
        <v>32</v>
      </c>
      <c r="B1944" s="271">
        <v>15</v>
      </c>
      <c r="D1944" s="96"/>
      <c r="E1944" s="96"/>
    </row>
    <row r="1945" spans="1:5" ht="5.0999999999999996" customHeight="1">
      <c r="A1945" s="96"/>
      <c r="B1945" s="271"/>
      <c r="D1945" s="96"/>
      <c r="E1945" s="96"/>
    </row>
    <row r="1946" spans="1:5" ht="12.75" customHeight="1">
      <c r="A1946" s="93" t="s">
        <v>216</v>
      </c>
      <c r="B1946" s="272">
        <v>5</v>
      </c>
      <c r="D1946" s="96"/>
      <c r="E1946" s="96"/>
    </row>
    <row r="1947" spans="1:5" ht="5.0999999999999996" customHeight="1">
      <c r="A1947" s="96"/>
      <c r="B1947" s="271"/>
      <c r="D1947" s="96"/>
      <c r="E1947" s="96"/>
    </row>
    <row r="1948" spans="1:5" s="92" customFormat="1" ht="12.75" customHeight="1">
      <c r="A1948" s="96" t="s">
        <v>21</v>
      </c>
      <c r="B1948" s="271">
        <v>1</v>
      </c>
      <c r="D1948" s="96"/>
      <c r="E1948" s="96"/>
    </row>
    <row r="1949" spans="1:5" s="92" customFormat="1" ht="12.75" customHeight="1">
      <c r="A1949" s="96" t="s">
        <v>22</v>
      </c>
      <c r="B1949" s="271">
        <v>0</v>
      </c>
      <c r="D1949" s="96"/>
      <c r="E1949" s="96"/>
    </row>
    <row r="1950" spans="1:5" s="92" customFormat="1" ht="12.75" customHeight="1">
      <c r="A1950" s="96" t="s">
        <v>23</v>
      </c>
      <c r="B1950" s="271">
        <v>0</v>
      </c>
      <c r="D1950" s="96"/>
      <c r="E1950" s="96"/>
    </row>
    <row r="1951" spans="1:5" ht="12.75" customHeight="1">
      <c r="A1951" s="96" t="s">
        <v>24</v>
      </c>
      <c r="B1951" s="271">
        <v>1</v>
      </c>
      <c r="D1951" s="96"/>
      <c r="E1951" s="96"/>
    </row>
    <row r="1952" spans="1:5" ht="12.75" customHeight="1">
      <c r="A1952" s="96" t="s">
        <v>25</v>
      </c>
      <c r="B1952" s="271">
        <v>0</v>
      </c>
      <c r="D1952" s="96"/>
      <c r="E1952" s="96"/>
    </row>
    <row r="1953" spans="1:5" ht="12.75" customHeight="1">
      <c r="A1953" s="96" t="s">
        <v>26</v>
      </c>
      <c r="B1953" s="271">
        <v>0</v>
      </c>
      <c r="D1953" s="96"/>
      <c r="E1953" s="96"/>
    </row>
    <row r="1954" spans="1:5" ht="12.75" customHeight="1">
      <c r="A1954" s="96" t="s">
        <v>27</v>
      </c>
      <c r="B1954" s="271">
        <v>0</v>
      </c>
      <c r="D1954" s="96"/>
      <c r="E1954" s="96"/>
    </row>
    <row r="1955" spans="1:5" ht="12.75" customHeight="1">
      <c r="A1955" s="96" t="s">
        <v>28</v>
      </c>
      <c r="B1955" s="271">
        <v>0</v>
      </c>
      <c r="D1955" s="96"/>
      <c r="E1955" s="96"/>
    </row>
    <row r="1956" spans="1:5" ht="12.75" customHeight="1">
      <c r="A1956" s="96" t="s">
        <v>29</v>
      </c>
      <c r="B1956" s="271">
        <v>1</v>
      </c>
      <c r="D1956" s="96"/>
      <c r="E1956" s="96"/>
    </row>
    <row r="1957" spans="1:5" ht="12.75" customHeight="1">
      <c r="A1957" s="96" t="s">
        <v>30</v>
      </c>
      <c r="B1957" s="271">
        <v>0</v>
      </c>
      <c r="D1957" s="96"/>
      <c r="E1957" s="96"/>
    </row>
    <row r="1958" spans="1:5" ht="12.75" customHeight="1">
      <c r="A1958" s="96" t="s">
        <v>31</v>
      </c>
      <c r="B1958" s="271">
        <v>2</v>
      </c>
      <c r="D1958" s="96"/>
      <c r="E1958" s="96"/>
    </row>
    <row r="1959" spans="1:5" ht="12.75" customHeight="1">
      <c r="A1959" s="96" t="s">
        <v>32</v>
      </c>
      <c r="B1959" s="271">
        <v>0</v>
      </c>
      <c r="D1959" s="96"/>
      <c r="E1959" s="96"/>
    </row>
    <row r="1960" spans="1:5" ht="5.0999999999999996" customHeight="1">
      <c r="A1960" s="93"/>
      <c r="B1960" s="272"/>
      <c r="D1960" s="96"/>
      <c r="E1960" s="96"/>
    </row>
    <row r="1961" spans="1:5" ht="12.75" customHeight="1">
      <c r="A1961" s="93" t="s">
        <v>217</v>
      </c>
      <c r="B1961" s="272">
        <v>5228</v>
      </c>
      <c r="D1961" s="96"/>
      <c r="E1961" s="96"/>
    </row>
    <row r="1962" spans="1:5" ht="5.0999999999999996" customHeight="1">
      <c r="A1962" s="96"/>
      <c r="B1962" s="271"/>
      <c r="D1962" s="96"/>
      <c r="E1962" s="96"/>
    </row>
    <row r="1963" spans="1:5" ht="12.75" customHeight="1">
      <c r="A1963" s="96" t="s">
        <v>21</v>
      </c>
      <c r="B1963" s="271">
        <v>457</v>
      </c>
      <c r="D1963" s="96"/>
      <c r="E1963" s="96"/>
    </row>
    <row r="1964" spans="1:5" ht="12.75" customHeight="1">
      <c r="A1964" s="96" t="s">
        <v>22</v>
      </c>
      <c r="B1964" s="271">
        <v>422</v>
      </c>
      <c r="D1964" s="96"/>
      <c r="E1964" s="96"/>
    </row>
    <row r="1965" spans="1:5" ht="12.75" customHeight="1">
      <c r="A1965" s="96" t="s">
        <v>23</v>
      </c>
      <c r="B1965" s="271">
        <v>486</v>
      </c>
      <c r="D1965" s="96"/>
      <c r="E1965" s="96"/>
    </row>
    <row r="1966" spans="1:5" ht="12.75" customHeight="1">
      <c r="A1966" s="96" t="s">
        <v>24</v>
      </c>
      <c r="B1966" s="271">
        <v>397</v>
      </c>
      <c r="D1966" s="96"/>
      <c r="E1966" s="96"/>
    </row>
    <row r="1967" spans="1:5" ht="12.75" customHeight="1">
      <c r="A1967" s="96" t="s">
        <v>25</v>
      </c>
      <c r="B1967" s="271">
        <v>392</v>
      </c>
      <c r="D1967" s="96"/>
      <c r="E1967" s="96"/>
    </row>
    <row r="1968" spans="1:5" ht="12.75" customHeight="1">
      <c r="A1968" s="96" t="s">
        <v>26</v>
      </c>
      <c r="B1968" s="271">
        <v>387</v>
      </c>
      <c r="D1968" s="96"/>
      <c r="E1968" s="96"/>
    </row>
    <row r="1969" spans="1:5" ht="12.75" customHeight="1">
      <c r="A1969" s="96" t="s">
        <v>27</v>
      </c>
      <c r="B1969" s="271">
        <v>422</v>
      </c>
      <c r="D1969" s="96"/>
      <c r="E1969" s="96"/>
    </row>
    <row r="1970" spans="1:5" ht="12.75" customHeight="1">
      <c r="A1970" s="96" t="s">
        <v>28</v>
      </c>
      <c r="B1970" s="271">
        <v>379</v>
      </c>
      <c r="D1970" s="96"/>
      <c r="E1970" s="96"/>
    </row>
    <row r="1971" spans="1:5" ht="12.75" customHeight="1">
      <c r="A1971" s="96" t="s">
        <v>29</v>
      </c>
      <c r="B1971" s="271">
        <v>383</v>
      </c>
      <c r="D1971" s="96"/>
      <c r="E1971" s="96"/>
    </row>
    <row r="1972" spans="1:5" ht="12.75" customHeight="1">
      <c r="A1972" s="96" t="s">
        <v>30</v>
      </c>
      <c r="B1972" s="271">
        <v>371</v>
      </c>
      <c r="D1972" s="96"/>
      <c r="E1972" s="96"/>
    </row>
    <row r="1973" spans="1:5" s="92" customFormat="1" ht="12.75" customHeight="1">
      <c r="A1973" s="96" t="s">
        <v>31</v>
      </c>
      <c r="B1973" s="271">
        <v>492</v>
      </c>
      <c r="D1973" s="96"/>
      <c r="E1973" s="96"/>
    </row>
    <row r="1974" spans="1:5" ht="12.75" customHeight="1">
      <c r="A1974" s="96" t="s">
        <v>32</v>
      </c>
      <c r="B1974" s="271">
        <v>640</v>
      </c>
      <c r="D1974" s="96"/>
      <c r="E1974" s="96"/>
    </row>
    <row r="1975" spans="1:5" ht="5.0999999999999996" customHeight="1">
      <c r="A1975" s="96"/>
      <c r="B1975" s="271"/>
      <c r="D1975" s="96"/>
      <c r="E1975" s="96"/>
    </row>
    <row r="1976" spans="1:5" ht="12.75" customHeight="1">
      <c r="A1976" s="93" t="s">
        <v>218</v>
      </c>
      <c r="B1976" s="272">
        <v>1989</v>
      </c>
      <c r="D1976" s="96"/>
      <c r="E1976" s="96"/>
    </row>
    <row r="1977" spans="1:5" ht="5.0999999999999996" customHeight="1">
      <c r="A1977" s="96"/>
      <c r="B1977" s="271"/>
      <c r="D1977" s="96"/>
      <c r="E1977" s="96"/>
    </row>
    <row r="1978" spans="1:5" ht="12.75" customHeight="1">
      <c r="A1978" s="96" t="s">
        <v>21</v>
      </c>
      <c r="B1978" s="271">
        <v>165</v>
      </c>
      <c r="D1978" s="96"/>
      <c r="E1978" s="96"/>
    </row>
    <row r="1979" spans="1:5" ht="12.75" customHeight="1">
      <c r="A1979" s="96" t="s">
        <v>22</v>
      </c>
      <c r="B1979" s="271">
        <v>130</v>
      </c>
      <c r="D1979" s="96"/>
      <c r="E1979" s="96"/>
    </row>
    <row r="1980" spans="1:5" ht="12.75" customHeight="1">
      <c r="A1980" s="96" t="s">
        <v>23</v>
      </c>
      <c r="B1980" s="271">
        <v>185</v>
      </c>
      <c r="D1980" s="96"/>
      <c r="E1980" s="96"/>
    </row>
    <row r="1981" spans="1:5" ht="12.75" customHeight="1">
      <c r="A1981" s="96" t="s">
        <v>24</v>
      </c>
      <c r="B1981" s="271">
        <v>128</v>
      </c>
      <c r="D1981" s="96"/>
      <c r="E1981" s="96"/>
    </row>
    <row r="1982" spans="1:5" ht="12.75" customHeight="1">
      <c r="A1982" s="96" t="s">
        <v>25</v>
      </c>
      <c r="B1982" s="271">
        <v>133</v>
      </c>
      <c r="D1982" s="96"/>
      <c r="E1982" s="96"/>
    </row>
    <row r="1983" spans="1:5" ht="12.75" customHeight="1">
      <c r="A1983" s="96" t="s">
        <v>26</v>
      </c>
      <c r="B1983" s="271">
        <v>130</v>
      </c>
      <c r="D1983" s="96"/>
      <c r="E1983" s="96"/>
    </row>
    <row r="1984" spans="1:5" ht="12.75" customHeight="1">
      <c r="A1984" s="96" t="s">
        <v>27</v>
      </c>
      <c r="B1984" s="271">
        <v>158</v>
      </c>
      <c r="D1984" s="96"/>
      <c r="E1984" s="96"/>
    </row>
    <row r="1985" spans="1:5" ht="12.75" customHeight="1">
      <c r="A1985" s="96" t="s">
        <v>28</v>
      </c>
      <c r="B1985" s="271">
        <v>170</v>
      </c>
      <c r="D1985" s="96"/>
      <c r="E1985" s="96"/>
    </row>
    <row r="1986" spans="1:5" ht="12.75" customHeight="1">
      <c r="A1986" s="96" t="s">
        <v>29</v>
      </c>
      <c r="B1986" s="271">
        <v>125</v>
      </c>
      <c r="D1986" s="96"/>
      <c r="E1986" s="96"/>
    </row>
    <row r="1987" spans="1:5" ht="12.75" customHeight="1">
      <c r="A1987" s="96" t="s">
        <v>30</v>
      </c>
      <c r="B1987" s="271">
        <v>153</v>
      </c>
      <c r="D1987" s="96"/>
      <c r="E1987" s="96"/>
    </row>
    <row r="1988" spans="1:5" ht="12.75" customHeight="1">
      <c r="A1988" s="96" t="s">
        <v>31</v>
      </c>
      <c r="B1988" s="271">
        <v>192</v>
      </c>
      <c r="D1988" s="96"/>
      <c r="E1988" s="96"/>
    </row>
    <row r="1989" spans="1:5" ht="12.75" customHeight="1">
      <c r="A1989" s="96" t="s">
        <v>32</v>
      </c>
      <c r="B1989" s="271">
        <v>320</v>
      </c>
      <c r="D1989" s="96"/>
      <c r="E1989" s="96"/>
    </row>
    <row r="1990" spans="1:5" ht="5.0999999999999996" customHeight="1">
      <c r="A1990" s="96"/>
      <c r="B1990" s="271"/>
      <c r="D1990" s="96"/>
      <c r="E1990" s="96"/>
    </row>
    <row r="1991" spans="1:5" s="92" customFormat="1" ht="12.75" customHeight="1">
      <c r="A1991" s="93" t="s">
        <v>219</v>
      </c>
      <c r="B1991" s="272">
        <v>1409</v>
      </c>
      <c r="D1991" s="96"/>
      <c r="E1991" s="96"/>
    </row>
    <row r="1992" spans="1:5" s="92" customFormat="1" ht="5.0999999999999996" customHeight="1">
      <c r="A1992" s="96"/>
      <c r="B1992" s="271"/>
      <c r="D1992" s="96"/>
      <c r="E1992" s="96"/>
    </row>
    <row r="1993" spans="1:5" ht="12.75" customHeight="1">
      <c r="A1993" s="96" t="s">
        <v>21</v>
      </c>
      <c r="B1993" s="271">
        <v>116</v>
      </c>
      <c r="D1993" s="96"/>
      <c r="E1993" s="96"/>
    </row>
    <row r="1994" spans="1:5" ht="12.75" customHeight="1">
      <c r="A1994" s="96" t="s">
        <v>22</v>
      </c>
      <c r="B1994" s="271">
        <v>121</v>
      </c>
      <c r="D1994" s="96"/>
      <c r="E1994" s="96"/>
    </row>
    <row r="1995" spans="1:5" ht="12.75" customHeight="1">
      <c r="A1995" s="96" t="s">
        <v>23</v>
      </c>
      <c r="B1995" s="271">
        <v>117</v>
      </c>
      <c r="D1995" s="96"/>
      <c r="E1995" s="96"/>
    </row>
    <row r="1996" spans="1:5" ht="12.75" customHeight="1">
      <c r="A1996" s="96" t="s">
        <v>24</v>
      </c>
      <c r="B1996" s="271">
        <v>96</v>
      </c>
      <c r="D1996" s="96"/>
      <c r="E1996" s="96"/>
    </row>
    <row r="1997" spans="1:5" ht="12.75" customHeight="1">
      <c r="A1997" s="96" t="s">
        <v>25</v>
      </c>
      <c r="B1997" s="271">
        <v>104</v>
      </c>
      <c r="D1997" s="96"/>
      <c r="E1997" s="96"/>
    </row>
    <row r="1998" spans="1:5" ht="12.75" customHeight="1">
      <c r="A1998" s="96" t="s">
        <v>26</v>
      </c>
      <c r="B1998" s="271">
        <v>113</v>
      </c>
      <c r="D1998" s="96"/>
      <c r="E1998" s="96"/>
    </row>
    <row r="1999" spans="1:5" ht="12.75" customHeight="1">
      <c r="A1999" s="96" t="s">
        <v>27</v>
      </c>
      <c r="B1999" s="271">
        <v>101</v>
      </c>
      <c r="D1999" s="96"/>
      <c r="E1999" s="96"/>
    </row>
    <row r="2000" spans="1:5" ht="12.75" customHeight="1">
      <c r="A2000" s="96" t="s">
        <v>28</v>
      </c>
      <c r="B2000" s="271">
        <v>99</v>
      </c>
      <c r="D2000" s="96"/>
      <c r="E2000" s="96"/>
    </row>
    <row r="2001" spans="1:5" ht="12.75" customHeight="1">
      <c r="A2001" s="96" t="s">
        <v>29</v>
      </c>
      <c r="B2001" s="271">
        <v>100</v>
      </c>
      <c r="D2001" s="96"/>
      <c r="E2001" s="96"/>
    </row>
    <row r="2002" spans="1:5" ht="12.75" customHeight="1">
      <c r="A2002" s="96" t="s">
        <v>30</v>
      </c>
      <c r="B2002" s="271">
        <v>105</v>
      </c>
      <c r="D2002" s="96"/>
      <c r="E2002" s="96"/>
    </row>
    <row r="2003" spans="1:5" ht="12.75" customHeight="1">
      <c r="A2003" s="96" t="s">
        <v>31</v>
      </c>
      <c r="B2003" s="271">
        <v>121</v>
      </c>
      <c r="D2003" s="96"/>
      <c r="E2003" s="96"/>
    </row>
    <row r="2004" spans="1:5" ht="12.75" customHeight="1">
      <c r="A2004" s="96" t="s">
        <v>32</v>
      </c>
      <c r="B2004" s="271">
        <v>216</v>
      </c>
      <c r="D2004" s="96"/>
      <c r="E2004" s="96"/>
    </row>
    <row r="2005" spans="1:5" ht="5.0999999999999996" customHeight="1">
      <c r="A2005" s="96"/>
      <c r="B2005" s="271"/>
      <c r="D2005" s="96"/>
      <c r="E2005" s="96"/>
    </row>
    <row r="2006" spans="1:5" ht="12.75" customHeight="1">
      <c r="A2006" s="93" t="s">
        <v>220</v>
      </c>
      <c r="B2006" s="272">
        <v>616</v>
      </c>
      <c r="D2006" s="96"/>
      <c r="E2006" s="96"/>
    </row>
    <row r="2007" spans="1:5" ht="5.0999999999999996" customHeight="1">
      <c r="A2007" s="96"/>
      <c r="B2007" s="271"/>
      <c r="D2007" s="96"/>
      <c r="E2007" s="96"/>
    </row>
    <row r="2008" spans="1:5" ht="12.75" customHeight="1">
      <c r="A2008" s="96" t="s">
        <v>21</v>
      </c>
      <c r="B2008" s="271">
        <v>48</v>
      </c>
      <c r="D2008" s="96"/>
      <c r="E2008" s="96"/>
    </row>
    <row r="2009" spans="1:5" s="92" customFormat="1" ht="12.75" customHeight="1">
      <c r="A2009" s="96" t="s">
        <v>22</v>
      </c>
      <c r="B2009" s="271">
        <v>48</v>
      </c>
      <c r="D2009" s="96"/>
      <c r="E2009" s="96"/>
    </row>
    <row r="2010" spans="1:5" ht="12.75" customHeight="1">
      <c r="A2010" s="96" t="s">
        <v>23</v>
      </c>
      <c r="B2010" s="271">
        <v>54</v>
      </c>
      <c r="D2010" s="96"/>
      <c r="E2010" s="96"/>
    </row>
    <row r="2011" spans="1:5" ht="12.75" customHeight="1">
      <c r="A2011" s="96" t="s">
        <v>24</v>
      </c>
      <c r="B2011" s="271">
        <v>54</v>
      </c>
      <c r="D2011" s="96"/>
      <c r="E2011" s="96"/>
    </row>
    <row r="2012" spans="1:5" ht="12.75" customHeight="1">
      <c r="A2012" s="96" t="s">
        <v>25</v>
      </c>
      <c r="B2012" s="271">
        <v>34</v>
      </c>
      <c r="D2012" s="96"/>
      <c r="E2012" s="96"/>
    </row>
    <row r="2013" spans="1:5" ht="12.75" customHeight="1">
      <c r="A2013" s="96" t="s">
        <v>26</v>
      </c>
      <c r="B2013" s="271">
        <v>47</v>
      </c>
      <c r="D2013" s="96"/>
      <c r="E2013" s="96"/>
    </row>
    <row r="2014" spans="1:5" ht="12.75" customHeight="1">
      <c r="A2014" s="96" t="s">
        <v>27</v>
      </c>
      <c r="B2014" s="271">
        <v>56</v>
      </c>
      <c r="D2014" s="96"/>
      <c r="E2014" s="96"/>
    </row>
    <row r="2015" spans="1:5" ht="12.75" customHeight="1">
      <c r="A2015" s="96" t="s">
        <v>28</v>
      </c>
      <c r="B2015" s="271">
        <v>50</v>
      </c>
      <c r="D2015" s="96"/>
      <c r="E2015" s="96"/>
    </row>
    <row r="2016" spans="1:5" ht="12.75" customHeight="1">
      <c r="A2016" s="96" t="s">
        <v>29</v>
      </c>
      <c r="B2016" s="271">
        <v>42</v>
      </c>
      <c r="D2016" s="96"/>
      <c r="E2016" s="96"/>
    </row>
    <row r="2017" spans="1:5" ht="12.75" customHeight="1">
      <c r="A2017" s="96" t="s">
        <v>30</v>
      </c>
      <c r="B2017" s="271">
        <v>40</v>
      </c>
      <c r="D2017" s="96"/>
      <c r="E2017" s="96"/>
    </row>
    <row r="2018" spans="1:5" ht="12.75" customHeight="1">
      <c r="A2018" s="96" t="s">
        <v>31</v>
      </c>
      <c r="B2018" s="271">
        <v>47</v>
      </c>
      <c r="D2018" s="96"/>
      <c r="E2018" s="96"/>
    </row>
    <row r="2019" spans="1:5" ht="12.75" customHeight="1">
      <c r="A2019" s="96" t="s">
        <v>32</v>
      </c>
      <c r="B2019" s="271">
        <v>96</v>
      </c>
      <c r="D2019" s="96"/>
      <c r="E2019" s="96"/>
    </row>
    <row r="2020" spans="1:5" ht="5.0999999999999996" customHeight="1">
      <c r="A2020" s="96"/>
      <c r="B2020" s="271"/>
      <c r="D2020" s="96"/>
      <c r="E2020" s="96"/>
    </row>
    <row r="2021" spans="1:5" ht="12.75" customHeight="1">
      <c r="A2021" s="93" t="s">
        <v>221</v>
      </c>
      <c r="B2021" s="272">
        <v>203</v>
      </c>
      <c r="D2021" s="96"/>
      <c r="E2021" s="96"/>
    </row>
    <row r="2022" spans="1:5" ht="5.0999999999999996" customHeight="1">
      <c r="A2022" s="96"/>
      <c r="B2022" s="271"/>
      <c r="D2022" s="96"/>
      <c r="E2022" s="96"/>
    </row>
    <row r="2023" spans="1:5" ht="12.75" customHeight="1">
      <c r="A2023" s="96" t="s">
        <v>21</v>
      </c>
      <c r="B2023" s="271">
        <v>19</v>
      </c>
      <c r="D2023" s="96"/>
      <c r="E2023" s="96"/>
    </row>
    <row r="2024" spans="1:5" ht="12.75" customHeight="1">
      <c r="A2024" s="96" t="s">
        <v>22</v>
      </c>
      <c r="B2024" s="271">
        <v>13</v>
      </c>
      <c r="D2024" s="96"/>
      <c r="E2024" s="96"/>
    </row>
    <row r="2025" spans="1:5" ht="12.75" customHeight="1">
      <c r="A2025" s="96" t="s">
        <v>23</v>
      </c>
      <c r="B2025" s="271">
        <v>17</v>
      </c>
      <c r="D2025" s="96"/>
      <c r="E2025" s="96"/>
    </row>
    <row r="2026" spans="1:5" s="92" customFormat="1" ht="12.75" customHeight="1">
      <c r="A2026" s="96" t="s">
        <v>24</v>
      </c>
      <c r="B2026" s="271">
        <v>18</v>
      </c>
      <c r="D2026" s="96"/>
      <c r="E2026" s="96"/>
    </row>
    <row r="2027" spans="1:5" ht="12.75" customHeight="1">
      <c r="A2027" s="96" t="s">
        <v>25</v>
      </c>
      <c r="B2027" s="271">
        <v>13</v>
      </c>
      <c r="D2027" s="96"/>
      <c r="E2027" s="96"/>
    </row>
    <row r="2028" spans="1:5" ht="12.75" customHeight="1">
      <c r="A2028" s="96" t="s">
        <v>26</v>
      </c>
      <c r="B2028" s="271">
        <v>8</v>
      </c>
      <c r="D2028" s="96"/>
      <c r="E2028" s="96"/>
    </row>
    <row r="2029" spans="1:5" ht="12.75" customHeight="1">
      <c r="A2029" s="96" t="s">
        <v>27</v>
      </c>
      <c r="B2029" s="271">
        <v>10</v>
      </c>
      <c r="D2029" s="96"/>
      <c r="E2029" s="96"/>
    </row>
    <row r="2030" spans="1:5" ht="12.75" customHeight="1">
      <c r="A2030" s="96" t="s">
        <v>28</v>
      </c>
      <c r="B2030" s="271">
        <v>15</v>
      </c>
      <c r="D2030" s="96"/>
      <c r="E2030" s="96"/>
    </row>
    <row r="2031" spans="1:5" ht="12.75" customHeight="1">
      <c r="A2031" s="96" t="s">
        <v>29</v>
      </c>
      <c r="B2031" s="271">
        <v>8</v>
      </c>
      <c r="D2031" s="96"/>
      <c r="E2031" s="96"/>
    </row>
    <row r="2032" spans="1:5" ht="12.75" customHeight="1">
      <c r="A2032" s="96" t="s">
        <v>30</v>
      </c>
      <c r="B2032" s="271">
        <v>13</v>
      </c>
      <c r="D2032" s="96"/>
      <c r="E2032" s="96"/>
    </row>
    <row r="2033" spans="1:5" ht="12.75" customHeight="1">
      <c r="A2033" s="96" t="s">
        <v>31</v>
      </c>
      <c r="B2033" s="271">
        <v>18</v>
      </c>
      <c r="D2033" s="96"/>
      <c r="E2033" s="96"/>
    </row>
    <row r="2034" spans="1:5" ht="12.75" customHeight="1">
      <c r="A2034" s="96" t="s">
        <v>32</v>
      </c>
      <c r="B2034" s="271">
        <v>51</v>
      </c>
      <c r="D2034" s="96"/>
      <c r="E2034" s="96"/>
    </row>
    <row r="2035" spans="1:5" ht="5.0999999999999996" customHeight="1">
      <c r="A2035" s="96"/>
      <c r="B2035" s="271"/>
      <c r="D2035" s="96"/>
      <c r="E2035" s="96"/>
    </row>
    <row r="2036" spans="1:5" ht="12.75" customHeight="1">
      <c r="A2036" s="93" t="s">
        <v>222</v>
      </c>
      <c r="B2036" s="272">
        <v>380</v>
      </c>
      <c r="D2036" s="96"/>
      <c r="E2036" s="96"/>
    </row>
    <row r="2037" spans="1:5" ht="5.0999999999999996" customHeight="1">
      <c r="A2037" s="96"/>
      <c r="B2037" s="271"/>
      <c r="D2037" s="96"/>
      <c r="E2037" s="96"/>
    </row>
    <row r="2038" spans="1:5" ht="12.75" customHeight="1">
      <c r="A2038" s="96" t="s">
        <v>21</v>
      </c>
      <c r="B2038" s="271">
        <v>18</v>
      </c>
      <c r="D2038" s="96"/>
      <c r="E2038" s="96"/>
    </row>
    <row r="2039" spans="1:5" ht="12.75" customHeight="1">
      <c r="A2039" s="96" t="s">
        <v>22</v>
      </c>
      <c r="B2039" s="271">
        <v>35</v>
      </c>
      <c r="D2039" s="96"/>
      <c r="E2039" s="96"/>
    </row>
    <row r="2040" spans="1:5" ht="12.75" customHeight="1">
      <c r="A2040" s="96" t="s">
        <v>23</v>
      </c>
      <c r="B2040" s="271">
        <v>38</v>
      </c>
      <c r="D2040" s="96"/>
      <c r="E2040" s="96"/>
    </row>
    <row r="2041" spans="1:5" ht="12.75" customHeight="1">
      <c r="A2041" s="96" t="s">
        <v>24</v>
      </c>
      <c r="B2041" s="271">
        <v>23</v>
      </c>
      <c r="D2041" s="96"/>
      <c r="E2041" s="96"/>
    </row>
    <row r="2042" spans="1:5" ht="12.75" customHeight="1">
      <c r="A2042" s="96" t="s">
        <v>25</v>
      </c>
      <c r="B2042" s="271">
        <v>22</v>
      </c>
      <c r="D2042" s="96"/>
      <c r="E2042" s="96"/>
    </row>
    <row r="2043" spans="1:5" s="92" customFormat="1" ht="12.75" customHeight="1">
      <c r="A2043" s="96" t="s">
        <v>26</v>
      </c>
      <c r="B2043" s="271">
        <v>31</v>
      </c>
      <c r="D2043" s="96"/>
      <c r="E2043" s="96"/>
    </row>
    <row r="2044" spans="1:5" ht="12.75" customHeight="1">
      <c r="A2044" s="96" t="s">
        <v>27</v>
      </c>
      <c r="B2044" s="271">
        <v>26</v>
      </c>
      <c r="D2044" s="96"/>
      <c r="E2044" s="96"/>
    </row>
    <row r="2045" spans="1:5" ht="12.75" customHeight="1">
      <c r="A2045" s="96" t="s">
        <v>28</v>
      </c>
      <c r="B2045" s="271">
        <v>34</v>
      </c>
      <c r="D2045" s="96"/>
      <c r="E2045" s="96"/>
    </row>
    <row r="2046" spans="1:5" ht="12.75" customHeight="1">
      <c r="A2046" s="96" t="s">
        <v>29</v>
      </c>
      <c r="B2046" s="271">
        <v>24</v>
      </c>
      <c r="D2046" s="96"/>
      <c r="E2046" s="96"/>
    </row>
    <row r="2047" spans="1:5" ht="12.75" customHeight="1">
      <c r="A2047" s="96" t="s">
        <v>30</v>
      </c>
      <c r="B2047" s="271">
        <v>32</v>
      </c>
      <c r="D2047" s="96"/>
      <c r="E2047" s="96"/>
    </row>
    <row r="2048" spans="1:5" ht="12.75" customHeight="1">
      <c r="A2048" s="96" t="s">
        <v>31</v>
      </c>
      <c r="B2048" s="271">
        <v>40</v>
      </c>
      <c r="D2048" s="96"/>
      <c r="E2048" s="96"/>
    </row>
    <row r="2049" spans="1:5" ht="12.75" customHeight="1">
      <c r="A2049" s="96" t="s">
        <v>32</v>
      </c>
      <c r="B2049" s="271">
        <v>57</v>
      </c>
      <c r="D2049" s="96"/>
      <c r="E2049" s="96"/>
    </row>
    <row r="2050" spans="1:5" ht="5.0999999999999996" customHeight="1">
      <c r="A2050" s="99"/>
      <c r="B2050" s="273"/>
    </row>
    <row r="2051" spans="1:5" ht="5.0999999999999996" customHeight="1">
      <c r="A2051" s="91"/>
      <c r="B2051" s="269"/>
    </row>
    <row r="2052" spans="1:5">
      <c r="A2052" s="102" t="s">
        <v>586</v>
      </c>
      <c r="B2052" s="102"/>
    </row>
    <row r="2053" spans="1:5">
      <c r="A2053" s="446" t="s">
        <v>231</v>
      </c>
      <c r="B2053" s="446"/>
    </row>
    <row r="2054" spans="1:5">
      <c r="A2054" s="91"/>
      <c r="B2054" s="269"/>
    </row>
    <row r="2055" spans="1:5">
      <c r="A2055" s="91"/>
      <c r="B2055" s="269"/>
    </row>
    <row r="2056" spans="1:5">
      <c r="A2056" s="91"/>
      <c r="B2056" s="269"/>
    </row>
    <row r="2057" spans="1:5">
      <c r="A2057" s="91"/>
      <c r="B2057" s="269"/>
    </row>
    <row r="2058" spans="1:5">
      <c r="A2058" s="91"/>
      <c r="B2058" s="269"/>
    </row>
    <row r="2059" spans="1:5">
      <c r="B2059" s="269"/>
    </row>
  </sheetData>
  <mergeCells count="4">
    <mergeCell ref="A2:B2"/>
    <mergeCell ref="A3:B3"/>
    <mergeCell ref="A4:B4"/>
    <mergeCell ref="A2053:B2053"/>
  </mergeCells>
  <phoneticPr fontId="2" type="noConversion"/>
  <printOptions horizontalCentered="1"/>
  <pageMargins left="0.78740157480314965" right="0.78740157480314965" top="0.3" bottom="0.25" header="0" footer="0"/>
  <pageSetup scale="95" orientation="portrait" r:id="rId1"/>
  <headerFooter alignWithMargins="0"/>
  <rowBreaks count="6" manualBreakCount="6">
    <brk id="66" max="1" man="1"/>
    <brk id="126" max="1" man="1"/>
    <brk id="186" max="1" man="1"/>
    <brk id="246" max="1" man="1"/>
    <brk id="306" max="1" man="1"/>
    <brk id="365" max="1" man="1"/>
  </row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413"/>
  <sheetViews>
    <sheetView workbookViewId="0">
      <selection activeCell="A4" sqref="A4:K4"/>
    </sheetView>
  </sheetViews>
  <sheetFormatPr baseColWidth="10" defaultColWidth="11.42578125" defaultRowHeight="12.75"/>
  <cols>
    <col min="1" max="1" width="18.7109375" style="332" customWidth="1"/>
    <col min="2" max="16384" width="11.42578125" style="330"/>
  </cols>
  <sheetData>
    <row r="1" spans="1:11">
      <c r="A1" s="328"/>
      <c r="B1" s="329"/>
      <c r="C1" s="329"/>
      <c r="D1" s="329"/>
      <c r="E1" s="329"/>
      <c r="F1" s="329"/>
      <c r="G1" s="329"/>
      <c r="H1" s="329"/>
      <c r="I1" s="329"/>
      <c r="J1" s="329"/>
      <c r="K1" s="329"/>
    </row>
    <row r="2" spans="1:11">
      <c r="A2" s="453" t="s">
        <v>302</v>
      </c>
      <c r="B2" s="453"/>
      <c r="C2" s="453"/>
      <c r="D2" s="453"/>
      <c r="E2" s="453"/>
      <c r="F2" s="453"/>
      <c r="G2" s="453"/>
      <c r="H2" s="453"/>
      <c r="I2" s="453"/>
      <c r="J2" s="453"/>
      <c r="K2" s="453"/>
    </row>
    <row r="3" spans="1:11">
      <c r="A3" s="454" t="s">
        <v>17</v>
      </c>
      <c r="B3" s="454"/>
      <c r="C3" s="454"/>
      <c r="D3" s="454"/>
      <c r="E3" s="454"/>
      <c r="F3" s="454"/>
      <c r="G3" s="454"/>
      <c r="H3" s="454"/>
      <c r="I3" s="454"/>
      <c r="J3" s="454"/>
      <c r="K3" s="454"/>
    </row>
    <row r="4" spans="1:11">
      <c r="A4" s="454" t="s">
        <v>489</v>
      </c>
      <c r="B4" s="454"/>
      <c r="C4" s="454"/>
      <c r="D4" s="454"/>
      <c r="E4" s="454"/>
      <c r="F4" s="454"/>
      <c r="G4" s="454"/>
      <c r="H4" s="454"/>
      <c r="I4" s="454"/>
      <c r="J4" s="454"/>
      <c r="K4" s="454"/>
    </row>
    <row r="6" spans="1:11" ht="24.75" customHeight="1">
      <c r="A6" s="458" t="s">
        <v>307</v>
      </c>
      <c r="B6" s="456"/>
      <c r="C6" s="455" t="s">
        <v>308</v>
      </c>
      <c r="D6" s="455"/>
      <c r="E6" s="455"/>
      <c r="F6" s="455"/>
      <c r="G6" s="455"/>
      <c r="H6" s="455"/>
      <c r="I6" s="455"/>
      <c r="J6" s="455"/>
      <c r="K6" s="455"/>
    </row>
    <row r="7" spans="1:11" ht="14.25" customHeight="1">
      <c r="A7" s="459"/>
      <c r="B7" s="457"/>
      <c r="C7" s="331" t="s">
        <v>63</v>
      </c>
      <c r="D7" s="331" t="s">
        <v>64</v>
      </c>
      <c r="E7" s="331" t="s">
        <v>65</v>
      </c>
      <c r="F7" s="331" t="s">
        <v>66</v>
      </c>
      <c r="G7" s="331" t="s">
        <v>67</v>
      </c>
      <c r="H7" s="331" t="s">
        <v>68</v>
      </c>
      <c r="I7" s="331" t="s">
        <v>69</v>
      </c>
      <c r="J7" s="331" t="s">
        <v>293</v>
      </c>
      <c r="K7" s="331" t="s">
        <v>33</v>
      </c>
    </row>
    <row r="8" spans="1:11" ht="5.0999999999999996" customHeight="1"/>
    <row r="9" spans="1:11">
      <c r="A9" s="292" t="s">
        <v>585</v>
      </c>
      <c r="B9" s="333">
        <v>43797</v>
      </c>
      <c r="C9" s="333">
        <v>455</v>
      </c>
      <c r="D9" s="333">
        <v>5393</v>
      </c>
      <c r="E9" s="333">
        <v>9218</v>
      </c>
      <c r="F9" s="333">
        <v>8072</v>
      </c>
      <c r="G9" s="333">
        <v>6210</v>
      </c>
      <c r="H9" s="333">
        <v>4716</v>
      </c>
      <c r="I9" s="333">
        <v>3310</v>
      </c>
      <c r="J9" s="333">
        <v>6061</v>
      </c>
      <c r="K9" s="333">
        <v>362</v>
      </c>
    </row>
    <row r="10" spans="1:11" ht="5.0999999999999996" customHeight="1">
      <c r="B10" s="334"/>
      <c r="C10" s="334"/>
      <c r="D10" s="334"/>
      <c r="E10" s="334"/>
      <c r="F10" s="334"/>
      <c r="G10" s="334"/>
      <c r="H10" s="334"/>
      <c r="I10" s="334"/>
      <c r="J10" s="334"/>
      <c r="K10" s="334"/>
    </row>
    <row r="11" spans="1:11">
      <c r="A11" s="332" t="s">
        <v>62</v>
      </c>
      <c r="B11" s="334">
        <v>12</v>
      </c>
      <c r="C11" s="334">
        <v>3</v>
      </c>
      <c r="D11" s="334">
        <v>5</v>
      </c>
      <c r="E11" s="334">
        <v>1</v>
      </c>
      <c r="F11" s="334">
        <v>1</v>
      </c>
      <c r="G11" s="334">
        <v>0</v>
      </c>
      <c r="H11" s="334">
        <v>1</v>
      </c>
      <c r="I11" s="334">
        <v>0</v>
      </c>
      <c r="J11" s="334">
        <v>1</v>
      </c>
      <c r="K11" s="334">
        <v>0</v>
      </c>
    </row>
    <row r="12" spans="1:11">
      <c r="A12" s="332" t="s">
        <v>63</v>
      </c>
      <c r="B12" s="334">
        <v>2543</v>
      </c>
      <c r="C12" s="334">
        <v>173</v>
      </c>
      <c r="D12" s="334">
        <v>1117</v>
      </c>
      <c r="E12" s="334">
        <v>699</v>
      </c>
      <c r="F12" s="334">
        <v>298</v>
      </c>
      <c r="G12" s="334">
        <v>131</v>
      </c>
      <c r="H12" s="334">
        <v>52</v>
      </c>
      <c r="I12" s="334">
        <v>34</v>
      </c>
      <c r="J12" s="334">
        <v>37</v>
      </c>
      <c r="K12" s="334">
        <v>2</v>
      </c>
    </row>
    <row r="13" spans="1:11">
      <c r="A13" s="332" t="s">
        <v>64</v>
      </c>
      <c r="B13" s="334">
        <v>9273</v>
      </c>
      <c r="C13" s="334">
        <v>187</v>
      </c>
      <c r="D13" s="334">
        <v>2753</v>
      </c>
      <c r="E13" s="334">
        <v>3379</v>
      </c>
      <c r="F13" s="334">
        <v>1559</v>
      </c>
      <c r="G13" s="334">
        <v>665</v>
      </c>
      <c r="H13" s="334">
        <v>318</v>
      </c>
      <c r="I13" s="334">
        <v>201</v>
      </c>
      <c r="J13" s="334">
        <v>207</v>
      </c>
      <c r="K13" s="334">
        <v>4</v>
      </c>
    </row>
    <row r="14" spans="1:11">
      <c r="A14" s="332" t="s">
        <v>65</v>
      </c>
      <c r="B14" s="334">
        <v>9827</v>
      </c>
      <c r="C14" s="334">
        <v>54</v>
      </c>
      <c r="D14" s="334">
        <v>974</v>
      </c>
      <c r="E14" s="334">
        <v>3471</v>
      </c>
      <c r="F14" s="334">
        <v>2702</v>
      </c>
      <c r="G14" s="334">
        <v>1253</v>
      </c>
      <c r="H14" s="334">
        <v>630</v>
      </c>
      <c r="I14" s="334">
        <v>332</v>
      </c>
      <c r="J14" s="334">
        <v>404</v>
      </c>
      <c r="K14" s="334">
        <v>7</v>
      </c>
    </row>
    <row r="15" spans="1:11">
      <c r="A15" s="332" t="s">
        <v>66</v>
      </c>
      <c r="B15" s="334">
        <v>7464</v>
      </c>
      <c r="C15" s="334">
        <v>24</v>
      </c>
      <c r="D15" s="334">
        <v>318</v>
      </c>
      <c r="E15" s="334">
        <v>1033</v>
      </c>
      <c r="F15" s="334">
        <v>2157</v>
      </c>
      <c r="G15" s="334">
        <v>1934</v>
      </c>
      <c r="H15" s="334">
        <v>949</v>
      </c>
      <c r="I15" s="334">
        <v>489</v>
      </c>
      <c r="J15" s="334">
        <v>556</v>
      </c>
      <c r="K15" s="334">
        <v>4</v>
      </c>
    </row>
    <row r="16" spans="1:11">
      <c r="A16" s="332" t="s">
        <v>67</v>
      </c>
      <c r="B16" s="334">
        <v>5164</v>
      </c>
      <c r="C16" s="334">
        <v>7</v>
      </c>
      <c r="D16" s="334">
        <v>114</v>
      </c>
      <c r="E16" s="334">
        <v>356</v>
      </c>
      <c r="F16" s="334">
        <v>792</v>
      </c>
      <c r="G16" s="334">
        <v>1387</v>
      </c>
      <c r="H16" s="334">
        <v>1216</v>
      </c>
      <c r="I16" s="334">
        <v>644</v>
      </c>
      <c r="J16" s="334">
        <v>646</v>
      </c>
      <c r="K16" s="334">
        <v>2</v>
      </c>
    </row>
    <row r="17" spans="1:11">
      <c r="A17" s="332" t="s">
        <v>68</v>
      </c>
      <c r="B17" s="334">
        <v>3659</v>
      </c>
      <c r="C17" s="334">
        <v>3</v>
      </c>
      <c r="D17" s="334">
        <v>54</v>
      </c>
      <c r="E17" s="334">
        <v>141</v>
      </c>
      <c r="F17" s="334">
        <v>338</v>
      </c>
      <c r="G17" s="334">
        <v>487</v>
      </c>
      <c r="H17" s="334">
        <v>952</v>
      </c>
      <c r="I17" s="334">
        <v>781</v>
      </c>
      <c r="J17" s="334">
        <v>902</v>
      </c>
      <c r="K17" s="334">
        <v>1</v>
      </c>
    </row>
    <row r="18" spans="1:11">
      <c r="A18" s="332" t="s">
        <v>69</v>
      </c>
      <c r="B18" s="334">
        <v>2370</v>
      </c>
      <c r="C18" s="334">
        <v>3</v>
      </c>
      <c r="D18" s="334">
        <v>21</v>
      </c>
      <c r="E18" s="334">
        <v>58</v>
      </c>
      <c r="F18" s="334">
        <v>121</v>
      </c>
      <c r="G18" s="334">
        <v>218</v>
      </c>
      <c r="H18" s="334">
        <v>349</v>
      </c>
      <c r="I18" s="334">
        <v>532</v>
      </c>
      <c r="J18" s="334">
        <v>1067</v>
      </c>
      <c r="K18" s="334">
        <v>1</v>
      </c>
    </row>
    <row r="19" spans="1:11">
      <c r="A19" s="332" t="s">
        <v>293</v>
      </c>
      <c r="B19" s="334">
        <v>3025</v>
      </c>
      <c r="C19" s="334">
        <v>1</v>
      </c>
      <c r="D19" s="334">
        <v>20</v>
      </c>
      <c r="E19" s="334">
        <v>49</v>
      </c>
      <c r="F19" s="334">
        <v>82</v>
      </c>
      <c r="G19" s="334">
        <v>122</v>
      </c>
      <c r="H19" s="334">
        <v>239</v>
      </c>
      <c r="I19" s="334">
        <v>288</v>
      </c>
      <c r="J19" s="334">
        <v>2221</v>
      </c>
      <c r="K19" s="334">
        <v>3</v>
      </c>
    </row>
    <row r="20" spans="1:11">
      <c r="A20" s="332" t="s">
        <v>33</v>
      </c>
      <c r="B20" s="334">
        <v>460</v>
      </c>
      <c r="C20" s="334">
        <v>0</v>
      </c>
      <c r="D20" s="334">
        <v>17</v>
      </c>
      <c r="E20" s="334">
        <v>31</v>
      </c>
      <c r="F20" s="334">
        <v>22</v>
      </c>
      <c r="G20" s="334">
        <v>13</v>
      </c>
      <c r="H20" s="334">
        <v>10</v>
      </c>
      <c r="I20" s="334">
        <v>9</v>
      </c>
      <c r="J20" s="334">
        <v>20</v>
      </c>
      <c r="K20" s="334">
        <v>338</v>
      </c>
    </row>
    <row r="21" spans="1:11" ht="5.0999999999999996" customHeight="1">
      <c r="B21" s="334"/>
      <c r="C21" s="334"/>
      <c r="D21" s="334"/>
      <c r="E21" s="334"/>
      <c r="F21" s="334"/>
      <c r="G21" s="334"/>
      <c r="H21" s="334"/>
      <c r="I21" s="334"/>
      <c r="J21" s="334"/>
      <c r="K21" s="334"/>
    </row>
    <row r="22" spans="1:11">
      <c r="A22" s="335" t="s">
        <v>76</v>
      </c>
      <c r="B22" s="333">
        <v>5785</v>
      </c>
      <c r="C22" s="333">
        <v>42</v>
      </c>
      <c r="D22" s="333">
        <v>591</v>
      </c>
      <c r="E22" s="333">
        <v>1433</v>
      </c>
      <c r="F22" s="333">
        <v>1213</v>
      </c>
      <c r="G22" s="333">
        <v>804</v>
      </c>
      <c r="H22" s="333">
        <v>539</v>
      </c>
      <c r="I22" s="333">
        <v>352</v>
      </c>
      <c r="J22" s="333">
        <v>715</v>
      </c>
      <c r="K22" s="333">
        <v>96</v>
      </c>
    </row>
    <row r="23" spans="1:11" ht="5.0999999999999996" customHeight="1">
      <c r="B23" s="334"/>
      <c r="C23" s="334"/>
      <c r="D23" s="334"/>
      <c r="E23" s="334"/>
      <c r="F23" s="334"/>
      <c r="G23" s="334"/>
      <c r="H23" s="334"/>
      <c r="I23" s="334"/>
      <c r="J23" s="334"/>
      <c r="K23" s="334"/>
    </row>
    <row r="24" spans="1:11">
      <c r="A24" s="332" t="s">
        <v>63</v>
      </c>
      <c r="B24" s="334">
        <v>208</v>
      </c>
      <c r="C24" s="334">
        <v>13</v>
      </c>
      <c r="D24" s="334">
        <v>85</v>
      </c>
      <c r="E24" s="334">
        <v>56</v>
      </c>
      <c r="F24" s="334">
        <v>25</v>
      </c>
      <c r="G24" s="334">
        <v>13</v>
      </c>
      <c r="H24" s="334">
        <v>8</v>
      </c>
      <c r="I24" s="334">
        <v>2</v>
      </c>
      <c r="J24" s="334">
        <v>6</v>
      </c>
      <c r="K24" s="334">
        <v>0</v>
      </c>
    </row>
    <row r="25" spans="1:11">
      <c r="A25" s="332" t="s">
        <v>64</v>
      </c>
      <c r="B25" s="334">
        <v>1178</v>
      </c>
      <c r="C25" s="334">
        <v>21</v>
      </c>
      <c r="D25" s="334">
        <v>314</v>
      </c>
      <c r="E25" s="334">
        <v>463</v>
      </c>
      <c r="F25" s="334">
        <v>216</v>
      </c>
      <c r="G25" s="334">
        <v>85</v>
      </c>
      <c r="H25" s="334">
        <v>35</v>
      </c>
      <c r="I25" s="334">
        <v>23</v>
      </c>
      <c r="J25" s="334">
        <v>20</v>
      </c>
      <c r="K25" s="334">
        <v>1</v>
      </c>
    </row>
    <row r="26" spans="1:11">
      <c r="A26" s="332" t="s">
        <v>65</v>
      </c>
      <c r="B26" s="334">
        <v>1574</v>
      </c>
      <c r="C26" s="334">
        <v>3</v>
      </c>
      <c r="D26" s="334">
        <v>118</v>
      </c>
      <c r="E26" s="334">
        <v>653</v>
      </c>
      <c r="F26" s="334">
        <v>460</v>
      </c>
      <c r="G26" s="334">
        <v>179</v>
      </c>
      <c r="H26" s="334">
        <v>70</v>
      </c>
      <c r="I26" s="334">
        <v>36</v>
      </c>
      <c r="J26" s="334">
        <v>54</v>
      </c>
      <c r="K26" s="334">
        <v>1</v>
      </c>
    </row>
    <row r="27" spans="1:11">
      <c r="A27" s="332" t="s">
        <v>66</v>
      </c>
      <c r="B27" s="334">
        <v>1080</v>
      </c>
      <c r="C27" s="334">
        <v>4</v>
      </c>
      <c r="D27" s="334">
        <v>40</v>
      </c>
      <c r="E27" s="334">
        <v>177</v>
      </c>
      <c r="F27" s="334">
        <v>335</v>
      </c>
      <c r="G27" s="334">
        <v>267</v>
      </c>
      <c r="H27" s="334">
        <v>119</v>
      </c>
      <c r="I27" s="334">
        <v>67</v>
      </c>
      <c r="J27" s="334">
        <v>69</v>
      </c>
      <c r="K27" s="334">
        <v>2</v>
      </c>
    </row>
    <row r="28" spans="1:11">
      <c r="A28" s="332" t="s">
        <v>67</v>
      </c>
      <c r="B28" s="334">
        <v>632</v>
      </c>
      <c r="C28" s="334">
        <v>1</v>
      </c>
      <c r="D28" s="334">
        <v>15</v>
      </c>
      <c r="E28" s="334">
        <v>45</v>
      </c>
      <c r="F28" s="334">
        <v>109</v>
      </c>
      <c r="G28" s="334">
        <v>166</v>
      </c>
      <c r="H28" s="334">
        <v>143</v>
      </c>
      <c r="I28" s="334">
        <v>72</v>
      </c>
      <c r="J28" s="334">
        <v>80</v>
      </c>
      <c r="K28" s="334">
        <v>1</v>
      </c>
    </row>
    <row r="29" spans="1:11">
      <c r="A29" s="332" t="s">
        <v>68</v>
      </c>
      <c r="B29" s="334">
        <v>402</v>
      </c>
      <c r="C29" s="334">
        <v>0</v>
      </c>
      <c r="D29" s="334">
        <v>8</v>
      </c>
      <c r="E29" s="334">
        <v>20</v>
      </c>
      <c r="F29" s="334">
        <v>41</v>
      </c>
      <c r="G29" s="334">
        <v>49</v>
      </c>
      <c r="H29" s="334">
        <v>107</v>
      </c>
      <c r="I29" s="334">
        <v>72</v>
      </c>
      <c r="J29" s="334">
        <v>105</v>
      </c>
      <c r="K29" s="334">
        <v>0</v>
      </c>
    </row>
    <row r="30" spans="1:11">
      <c r="A30" s="332" t="s">
        <v>69</v>
      </c>
      <c r="B30" s="334">
        <v>237</v>
      </c>
      <c r="C30" s="334">
        <v>0</v>
      </c>
      <c r="D30" s="334">
        <v>6</v>
      </c>
      <c r="E30" s="334">
        <v>6</v>
      </c>
      <c r="F30" s="334">
        <v>13</v>
      </c>
      <c r="G30" s="334">
        <v>27</v>
      </c>
      <c r="H30" s="334">
        <v>33</v>
      </c>
      <c r="I30" s="334">
        <v>49</v>
      </c>
      <c r="J30" s="334">
        <v>103</v>
      </c>
      <c r="K30" s="334">
        <v>0</v>
      </c>
    </row>
    <row r="31" spans="1:11">
      <c r="A31" s="332" t="s">
        <v>293</v>
      </c>
      <c r="B31" s="334">
        <v>361</v>
      </c>
      <c r="C31" s="334">
        <v>0</v>
      </c>
      <c r="D31" s="334">
        <v>4</v>
      </c>
      <c r="E31" s="334">
        <v>5</v>
      </c>
      <c r="F31" s="334">
        <v>8</v>
      </c>
      <c r="G31" s="334">
        <v>15</v>
      </c>
      <c r="H31" s="334">
        <v>24</v>
      </c>
      <c r="I31" s="334">
        <v>28</v>
      </c>
      <c r="J31" s="334">
        <v>275</v>
      </c>
      <c r="K31" s="334">
        <v>2</v>
      </c>
    </row>
    <row r="32" spans="1:11">
      <c r="A32" s="332" t="s">
        <v>33</v>
      </c>
      <c r="B32" s="334">
        <v>113</v>
      </c>
      <c r="C32" s="334">
        <v>0</v>
      </c>
      <c r="D32" s="334">
        <v>1</v>
      </c>
      <c r="E32" s="334">
        <v>8</v>
      </c>
      <c r="F32" s="334">
        <v>6</v>
      </c>
      <c r="G32" s="334">
        <v>3</v>
      </c>
      <c r="H32" s="334">
        <v>0</v>
      </c>
      <c r="I32" s="334">
        <v>3</v>
      </c>
      <c r="J32" s="334">
        <v>3</v>
      </c>
      <c r="K32" s="334">
        <v>89</v>
      </c>
    </row>
    <row r="33" spans="1:12" ht="5.0999999999999996" customHeight="1">
      <c r="B33" s="334"/>
      <c r="C33" s="334"/>
      <c r="D33" s="334"/>
      <c r="E33" s="334"/>
      <c r="F33" s="334"/>
      <c r="G33" s="334"/>
      <c r="H33" s="334"/>
      <c r="I33" s="334"/>
      <c r="J33" s="334"/>
      <c r="K33" s="334"/>
    </row>
    <row r="34" spans="1:12">
      <c r="A34" s="335" t="s">
        <v>77</v>
      </c>
      <c r="B34" s="333">
        <v>423</v>
      </c>
      <c r="C34" s="333">
        <v>7</v>
      </c>
      <c r="D34" s="333">
        <v>60</v>
      </c>
      <c r="E34" s="333">
        <v>88</v>
      </c>
      <c r="F34" s="333">
        <v>79</v>
      </c>
      <c r="G34" s="333">
        <v>57</v>
      </c>
      <c r="H34" s="333">
        <v>48</v>
      </c>
      <c r="I34" s="333">
        <v>33</v>
      </c>
      <c r="J34" s="333">
        <v>48</v>
      </c>
      <c r="K34" s="333">
        <v>3</v>
      </c>
      <c r="L34" s="336"/>
    </row>
    <row r="35" spans="1:12" ht="5.0999999999999996" customHeight="1">
      <c r="B35" s="334"/>
      <c r="C35" s="334"/>
      <c r="D35" s="334"/>
      <c r="E35" s="334"/>
      <c r="F35" s="334"/>
      <c r="G35" s="334"/>
      <c r="H35" s="334"/>
      <c r="I35" s="334"/>
      <c r="J35" s="334"/>
      <c r="K35" s="334"/>
    </row>
    <row r="36" spans="1:12">
      <c r="A36" s="332" t="s">
        <v>63</v>
      </c>
      <c r="B36" s="334">
        <v>42</v>
      </c>
      <c r="C36" s="334">
        <v>5</v>
      </c>
      <c r="D36" s="334">
        <v>13</v>
      </c>
      <c r="E36" s="334">
        <v>15</v>
      </c>
      <c r="F36" s="334">
        <v>7</v>
      </c>
      <c r="G36" s="334">
        <v>1</v>
      </c>
      <c r="H36" s="334">
        <v>1</v>
      </c>
      <c r="I36" s="334">
        <v>0</v>
      </c>
      <c r="J36" s="334">
        <v>0</v>
      </c>
      <c r="K36" s="334">
        <v>0</v>
      </c>
    </row>
    <row r="37" spans="1:12">
      <c r="A37" s="332" t="s">
        <v>64</v>
      </c>
      <c r="B37" s="334">
        <v>93</v>
      </c>
      <c r="C37" s="334">
        <v>1</v>
      </c>
      <c r="D37" s="334">
        <v>28</v>
      </c>
      <c r="E37" s="334">
        <v>27</v>
      </c>
      <c r="F37" s="334">
        <v>28</v>
      </c>
      <c r="G37" s="334">
        <v>3</v>
      </c>
      <c r="H37" s="334">
        <v>4</v>
      </c>
      <c r="I37" s="334">
        <v>0</v>
      </c>
      <c r="J37" s="334">
        <v>2</v>
      </c>
      <c r="K37" s="334">
        <v>0</v>
      </c>
    </row>
    <row r="38" spans="1:12">
      <c r="A38" s="332" t="s">
        <v>65</v>
      </c>
      <c r="B38" s="334">
        <v>95</v>
      </c>
      <c r="C38" s="334">
        <v>1</v>
      </c>
      <c r="D38" s="334">
        <v>12</v>
      </c>
      <c r="E38" s="334">
        <v>34</v>
      </c>
      <c r="F38" s="334">
        <v>20</v>
      </c>
      <c r="G38" s="334">
        <v>15</v>
      </c>
      <c r="H38" s="334">
        <v>6</v>
      </c>
      <c r="I38" s="334">
        <v>3</v>
      </c>
      <c r="J38" s="334">
        <v>4</v>
      </c>
      <c r="K38" s="334">
        <v>0</v>
      </c>
    </row>
    <row r="39" spans="1:12">
      <c r="A39" s="332" t="s">
        <v>66</v>
      </c>
      <c r="B39" s="334">
        <v>62</v>
      </c>
      <c r="C39" s="334">
        <v>0</v>
      </c>
      <c r="D39" s="334">
        <v>5</v>
      </c>
      <c r="E39" s="334">
        <v>8</v>
      </c>
      <c r="F39" s="334">
        <v>12</v>
      </c>
      <c r="G39" s="334">
        <v>19</v>
      </c>
      <c r="H39" s="334">
        <v>9</v>
      </c>
      <c r="I39" s="334">
        <v>4</v>
      </c>
      <c r="J39" s="334">
        <v>5</v>
      </c>
      <c r="K39" s="334">
        <v>0</v>
      </c>
    </row>
    <row r="40" spans="1:12">
      <c r="A40" s="332" t="s">
        <v>67</v>
      </c>
      <c r="B40" s="334">
        <v>47</v>
      </c>
      <c r="C40" s="334">
        <v>0</v>
      </c>
      <c r="D40" s="334">
        <v>2</v>
      </c>
      <c r="E40" s="334">
        <v>2</v>
      </c>
      <c r="F40" s="334">
        <v>4</v>
      </c>
      <c r="G40" s="334">
        <v>12</v>
      </c>
      <c r="H40" s="334">
        <v>15</v>
      </c>
      <c r="I40" s="334">
        <v>8</v>
      </c>
      <c r="J40" s="334">
        <v>4</v>
      </c>
      <c r="K40" s="334">
        <v>0</v>
      </c>
    </row>
    <row r="41" spans="1:12">
      <c r="A41" s="332" t="s">
        <v>68</v>
      </c>
      <c r="B41" s="334">
        <v>41</v>
      </c>
      <c r="C41" s="334">
        <v>0</v>
      </c>
      <c r="D41" s="334">
        <v>0</v>
      </c>
      <c r="E41" s="334">
        <v>1</v>
      </c>
      <c r="F41" s="334">
        <v>6</v>
      </c>
      <c r="G41" s="334">
        <v>5</v>
      </c>
      <c r="H41" s="334">
        <v>11</v>
      </c>
      <c r="I41" s="334">
        <v>10</v>
      </c>
      <c r="J41" s="334">
        <v>8</v>
      </c>
      <c r="K41" s="334">
        <v>0</v>
      </c>
    </row>
    <row r="42" spans="1:12">
      <c r="A42" s="332" t="s">
        <v>69</v>
      </c>
      <c r="B42" s="334">
        <v>11</v>
      </c>
      <c r="C42" s="334">
        <v>0</v>
      </c>
      <c r="D42" s="334">
        <v>0</v>
      </c>
      <c r="E42" s="334">
        <v>0</v>
      </c>
      <c r="F42" s="334">
        <v>0</v>
      </c>
      <c r="G42" s="334">
        <v>0</v>
      </c>
      <c r="H42" s="334">
        <v>0</v>
      </c>
      <c r="I42" s="334">
        <v>5</v>
      </c>
      <c r="J42" s="334">
        <v>6</v>
      </c>
      <c r="K42" s="334">
        <v>0</v>
      </c>
    </row>
    <row r="43" spans="1:12">
      <c r="A43" s="332" t="s">
        <v>293</v>
      </c>
      <c r="B43" s="334">
        <v>22</v>
      </c>
      <c r="C43" s="334">
        <v>0</v>
      </c>
      <c r="D43" s="334">
        <v>0</v>
      </c>
      <c r="E43" s="334">
        <v>0</v>
      </c>
      <c r="F43" s="334">
        <v>0</v>
      </c>
      <c r="G43" s="334">
        <v>1</v>
      </c>
      <c r="H43" s="334">
        <v>1</v>
      </c>
      <c r="I43" s="334">
        <v>1</v>
      </c>
      <c r="J43" s="334">
        <v>19</v>
      </c>
      <c r="K43" s="334">
        <v>0</v>
      </c>
    </row>
    <row r="44" spans="1:12">
      <c r="A44" s="332" t="s">
        <v>33</v>
      </c>
      <c r="B44" s="334">
        <v>10</v>
      </c>
      <c r="C44" s="334">
        <v>0</v>
      </c>
      <c r="D44" s="334">
        <v>0</v>
      </c>
      <c r="E44" s="334">
        <v>1</v>
      </c>
      <c r="F44" s="334">
        <v>2</v>
      </c>
      <c r="G44" s="334">
        <v>1</v>
      </c>
      <c r="H44" s="334">
        <v>1</v>
      </c>
      <c r="I44" s="334">
        <v>2</v>
      </c>
      <c r="J44" s="334">
        <v>0</v>
      </c>
      <c r="K44" s="334">
        <v>3</v>
      </c>
    </row>
    <row r="45" spans="1:12" ht="5.0999999999999996" customHeight="1">
      <c r="B45" s="334"/>
      <c r="C45" s="334"/>
      <c r="D45" s="334"/>
      <c r="E45" s="334"/>
      <c r="F45" s="334"/>
      <c r="G45" s="334"/>
      <c r="H45" s="334"/>
      <c r="I45" s="334"/>
      <c r="J45" s="334"/>
      <c r="K45" s="334"/>
    </row>
    <row r="46" spans="1:12">
      <c r="A46" s="335" t="s">
        <v>78</v>
      </c>
      <c r="B46" s="333">
        <v>202</v>
      </c>
      <c r="C46" s="333">
        <v>3</v>
      </c>
      <c r="D46" s="333">
        <v>37</v>
      </c>
      <c r="E46" s="333">
        <v>41</v>
      </c>
      <c r="F46" s="333">
        <v>30</v>
      </c>
      <c r="G46" s="333">
        <v>30</v>
      </c>
      <c r="H46" s="333">
        <v>21</v>
      </c>
      <c r="I46" s="333">
        <v>9</v>
      </c>
      <c r="J46" s="333">
        <v>31</v>
      </c>
      <c r="K46" s="333">
        <v>0</v>
      </c>
    </row>
    <row r="47" spans="1:12" ht="5.0999999999999996" customHeight="1">
      <c r="B47" s="334"/>
      <c r="C47" s="334"/>
      <c r="D47" s="334"/>
      <c r="E47" s="334"/>
      <c r="F47" s="334"/>
      <c r="G47" s="334"/>
      <c r="H47" s="334"/>
      <c r="I47" s="334"/>
      <c r="J47" s="334"/>
      <c r="K47" s="334"/>
    </row>
    <row r="48" spans="1:12">
      <c r="A48" s="332" t="s">
        <v>62</v>
      </c>
      <c r="B48" s="334">
        <v>2</v>
      </c>
      <c r="C48" s="334">
        <v>0</v>
      </c>
      <c r="D48" s="334">
        <v>0</v>
      </c>
      <c r="E48" s="334">
        <v>0</v>
      </c>
      <c r="F48" s="334">
        <v>0</v>
      </c>
      <c r="G48" s="334">
        <v>0</v>
      </c>
      <c r="H48" s="334">
        <v>1</v>
      </c>
      <c r="I48" s="334">
        <v>0</v>
      </c>
      <c r="J48" s="334">
        <v>1</v>
      </c>
      <c r="K48" s="334">
        <v>0</v>
      </c>
    </row>
    <row r="49" spans="1:11">
      <c r="A49" s="332" t="s">
        <v>63</v>
      </c>
      <c r="B49" s="334">
        <v>12</v>
      </c>
      <c r="C49" s="334">
        <v>1</v>
      </c>
      <c r="D49" s="334">
        <v>6</v>
      </c>
      <c r="E49" s="334">
        <v>5</v>
      </c>
      <c r="F49" s="334">
        <v>0</v>
      </c>
      <c r="G49" s="334">
        <v>0</v>
      </c>
      <c r="H49" s="334">
        <v>0</v>
      </c>
      <c r="I49" s="334">
        <v>0</v>
      </c>
      <c r="J49" s="334">
        <v>0</v>
      </c>
      <c r="K49" s="334">
        <v>0</v>
      </c>
    </row>
    <row r="50" spans="1:11">
      <c r="A50" s="332" t="s">
        <v>64</v>
      </c>
      <c r="B50" s="334">
        <v>58</v>
      </c>
      <c r="C50" s="334">
        <v>1</v>
      </c>
      <c r="D50" s="334">
        <v>18</v>
      </c>
      <c r="E50" s="334">
        <v>16</v>
      </c>
      <c r="F50" s="334">
        <v>12</v>
      </c>
      <c r="G50" s="334">
        <v>5</v>
      </c>
      <c r="H50" s="334">
        <v>3</v>
      </c>
      <c r="I50" s="334">
        <v>0</v>
      </c>
      <c r="J50" s="334">
        <v>3</v>
      </c>
      <c r="K50" s="334">
        <v>0</v>
      </c>
    </row>
    <row r="51" spans="1:11">
      <c r="A51" s="332" t="s">
        <v>65</v>
      </c>
      <c r="B51" s="334">
        <v>43</v>
      </c>
      <c r="C51" s="334">
        <v>1</v>
      </c>
      <c r="D51" s="334">
        <v>10</v>
      </c>
      <c r="E51" s="334">
        <v>12</v>
      </c>
      <c r="F51" s="334">
        <v>5</v>
      </c>
      <c r="G51" s="334">
        <v>10</v>
      </c>
      <c r="H51" s="334">
        <v>4</v>
      </c>
      <c r="I51" s="334">
        <v>1</v>
      </c>
      <c r="J51" s="334">
        <v>0</v>
      </c>
      <c r="K51" s="334">
        <v>0</v>
      </c>
    </row>
    <row r="52" spans="1:11">
      <c r="A52" s="332" t="s">
        <v>66</v>
      </c>
      <c r="B52" s="334">
        <v>24</v>
      </c>
      <c r="C52" s="334">
        <v>0</v>
      </c>
      <c r="D52" s="334">
        <v>2</v>
      </c>
      <c r="E52" s="334">
        <v>3</v>
      </c>
      <c r="F52" s="334">
        <v>7</v>
      </c>
      <c r="G52" s="334">
        <v>2</v>
      </c>
      <c r="H52" s="334">
        <v>7</v>
      </c>
      <c r="I52" s="334">
        <v>2</v>
      </c>
      <c r="J52" s="334">
        <v>1</v>
      </c>
      <c r="K52" s="334">
        <v>0</v>
      </c>
    </row>
    <row r="53" spans="1:11">
      <c r="A53" s="332" t="s">
        <v>67</v>
      </c>
      <c r="B53" s="334">
        <v>23</v>
      </c>
      <c r="C53" s="334">
        <v>0</v>
      </c>
      <c r="D53" s="334">
        <v>0</v>
      </c>
      <c r="E53" s="334">
        <v>1</v>
      </c>
      <c r="F53" s="334">
        <v>3</v>
      </c>
      <c r="G53" s="334">
        <v>9</v>
      </c>
      <c r="H53" s="334">
        <v>4</v>
      </c>
      <c r="I53" s="334">
        <v>3</v>
      </c>
      <c r="J53" s="334">
        <v>3</v>
      </c>
      <c r="K53" s="334">
        <v>0</v>
      </c>
    </row>
    <row r="54" spans="1:11">
      <c r="A54" s="332" t="s">
        <v>68</v>
      </c>
      <c r="B54" s="334">
        <v>17</v>
      </c>
      <c r="C54" s="334">
        <v>0</v>
      </c>
      <c r="D54" s="334">
        <v>1</v>
      </c>
      <c r="E54" s="334">
        <v>3</v>
      </c>
      <c r="F54" s="334">
        <v>2</v>
      </c>
      <c r="G54" s="334">
        <v>2</v>
      </c>
      <c r="H54" s="334">
        <v>2</v>
      </c>
      <c r="I54" s="334">
        <v>1</v>
      </c>
      <c r="J54" s="334">
        <v>6</v>
      </c>
      <c r="K54" s="334">
        <v>0</v>
      </c>
    </row>
    <row r="55" spans="1:11">
      <c r="A55" s="332" t="s">
        <v>69</v>
      </c>
      <c r="B55" s="334">
        <v>7</v>
      </c>
      <c r="C55" s="334">
        <v>0</v>
      </c>
      <c r="D55" s="334">
        <v>0</v>
      </c>
      <c r="E55" s="334">
        <v>0</v>
      </c>
      <c r="F55" s="334">
        <v>1</v>
      </c>
      <c r="G55" s="334">
        <v>2</v>
      </c>
      <c r="H55" s="334">
        <v>0</v>
      </c>
      <c r="I55" s="334">
        <v>1</v>
      </c>
      <c r="J55" s="334">
        <v>3</v>
      </c>
      <c r="K55" s="334">
        <v>0</v>
      </c>
    </row>
    <row r="56" spans="1:11">
      <c r="A56" s="332" t="s">
        <v>293</v>
      </c>
      <c r="B56" s="334">
        <v>16</v>
      </c>
      <c r="C56" s="334">
        <v>0</v>
      </c>
      <c r="D56" s="334">
        <v>0</v>
      </c>
      <c r="E56" s="334">
        <v>1</v>
      </c>
      <c r="F56" s="334">
        <v>0</v>
      </c>
      <c r="G56" s="334">
        <v>0</v>
      </c>
      <c r="H56" s="334">
        <v>0</v>
      </c>
      <c r="I56" s="334">
        <v>1</v>
      </c>
      <c r="J56" s="334">
        <v>14</v>
      </c>
      <c r="K56" s="334">
        <v>0</v>
      </c>
    </row>
    <row r="57" spans="1:11" ht="5.0999999999999996" customHeight="1">
      <c r="B57" s="334"/>
      <c r="C57" s="334"/>
      <c r="D57" s="334"/>
      <c r="E57" s="334"/>
      <c r="F57" s="334"/>
      <c r="G57" s="334"/>
      <c r="H57" s="334"/>
      <c r="I57" s="334"/>
      <c r="J57" s="334"/>
      <c r="K57" s="334"/>
    </row>
    <row r="58" spans="1:11">
      <c r="A58" s="335" t="s">
        <v>79</v>
      </c>
      <c r="B58" s="333">
        <v>558</v>
      </c>
      <c r="C58" s="333">
        <v>12</v>
      </c>
      <c r="D58" s="333">
        <v>73</v>
      </c>
      <c r="E58" s="333">
        <v>105</v>
      </c>
      <c r="F58" s="333">
        <v>87</v>
      </c>
      <c r="G58" s="333">
        <v>74</v>
      </c>
      <c r="H58" s="333">
        <v>58</v>
      </c>
      <c r="I58" s="333">
        <v>47</v>
      </c>
      <c r="J58" s="333">
        <v>99</v>
      </c>
      <c r="K58" s="333">
        <v>3</v>
      </c>
    </row>
    <row r="59" spans="1:11" ht="5.0999999999999996" customHeight="1">
      <c r="B59" s="334"/>
      <c r="C59" s="334"/>
      <c r="D59" s="334"/>
      <c r="E59" s="334"/>
      <c r="F59" s="334"/>
      <c r="G59" s="334"/>
      <c r="H59" s="334"/>
      <c r="I59" s="334"/>
      <c r="J59" s="334"/>
      <c r="K59" s="334"/>
    </row>
    <row r="60" spans="1:11">
      <c r="A60" s="332" t="s">
        <v>62</v>
      </c>
      <c r="B60" s="334">
        <v>1</v>
      </c>
      <c r="C60" s="334">
        <v>0</v>
      </c>
      <c r="D60" s="334">
        <v>1</v>
      </c>
      <c r="E60" s="334">
        <v>0</v>
      </c>
      <c r="F60" s="334">
        <v>0</v>
      </c>
      <c r="G60" s="334">
        <v>0</v>
      </c>
      <c r="H60" s="334">
        <v>0</v>
      </c>
      <c r="I60" s="334">
        <v>0</v>
      </c>
      <c r="J60" s="334">
        <v>0</v>
      </c>
      <c r="K60" s="334">
        <v>0</v>
      </c>
    </row>
    <row r="61" spans="1:11">
      <c r="A61" s="332" t="s">
        <v>63</v>
      </c>
      <c r="B61" s="334">
        <v>57</v>
      </c>
      <c r="C61" s="334">
        <v>9</v>
      </c>
      <c r="D61" s="334">
        <v>24</v>
      </c>
      <c r="E61" s="334">
        <v>17</v>
      </c>
      <c r="F61" s="334">
        <v>5</v>
      </c>
      <c r="G61" s="334">
        <v>1</v>
      </c>
      <c r="H61" s="334">
        <v>0</v>
      </c>
      <c r="I61" s="334">
        <v>0</v>
      </c>
      <c r="J61" s="334">
        <v>1</v>
      </c>
      <c r="K61" s="334">
        <v>0</v>
      </c>
    </row>
    <row r="62" spans="1:11">
      <c r="A62" s="332" t="s">
        <v>64</v>
      </c>
      <c r="B62" s="334">
        <v>112</v>
      </c>
      <c r="C62" s="334">
        <v>2</v>
      </c>
      <c r="D62" s="334">
        <v>34</v>
      </c>
      <c r="E62" s="334">
        <v>42</v>
      </c>
      <c r="F62" s="334">
        <v>19</v>
      </c>
      <c r="G62" s="334">
        <v>8</v>
      </c>
      <c r="H62" s="334">
        <v>3</v>
      </c>
      <c r="I62" s="334">
        <v>2</v>
      </c>
      <c r="J62" s="334">
        <v>2</v>
      </c>
      <c r="K62" s="334">
        <v>0</v>
      </c>
    </row>
    <row r="63" spans="1:11">
      <c r="A63" s="332" t="s">
        <v>65</v>
      </c>
      <c r="B63" s="334">
        <v>107</v>
      </c>
      <c r="C63" s="334">
        <v>1</v>
      </c>
      <c r="D63" s="334">
        <v>7</v>
      </c>
      <c r="E63" s="334">
        <v>33</v>
      </c>
      <c r="F63" s="334">
        <v>26</v>
      </c>
      <c r="G63" s="334">
        <v>16</v>
      </c>
      <c r="H63" s="334">
        <v>12</v>
      </c>
      <c r="I63" s="334">
        <v>4</v>
      </c>
      <c r="J63" s="334">
        <v>8</v>
      </c>
      <c r="K63" s="334">
        <v>0</v>
      </c>
    </row>
    <row r="64" spans="1:11">
      <c r="A64" s="332" t="s">
        <v>66</v>
      </c>
      <c r="B64" s="334">
        <v>78</v>
      </c>
      <c r="C64" s="334">
        <v>0</v>
      </c>
      <c r="D64" s="334">
        <v>5</v>
      </c>
      <c r="E64" s="334">
        <v>8</v>
      </c>
      <c r="F64" s="334">
        <v>22</v>
      </c>
      <c r="G64" s="334">
        <v>22</v>
      </c>
      <c r="H64" s="334">
        <v>10</v>
      </c>
      <c r="I64" s="334">
        <v>6</v>
      </c>
      <c r="J64" s="334">
        <v>5</v>
      </c>
      <c r="K64" s="334">
        <v>0</v>
      </c>
    </row>
    <row r="65" spans="1:11">
      <c r="A65" s="332" t="s">
        <v>67</v>
      </c>
      <c r="B65" s="334">
        <v>60</v>
      </c>
      <c r="C65" s="334">
        <v>0</v>
      </c>
      <c r="D65" s="334">
        <v>0</v>
      </c>
      <c r="E65" s="334">
        <v>2</v>
      </c>
      <c r="F65" s="334">
        <v>8</v>
      </c>
      <c r="G65" s="334">
        <v>18</v>
      </c>
      <c r="H65" s="334">
        <v>16</v>
      </c>
      <c r="I65" s="334">
        <v>7</v>
      </c>
      <c r="J65" s="334">
        <v>9</v>
      </c>
      <c r="K65" s="334">
        <v>0</v>
      </c>
    </row>
    <row r="66" spans="1:11">
      <c r="A66" s="332" t="s">
        <v>68</v>
      </c>
      <c r="B66" s="334">
        <v>48</v>
      </c>
      <c r="C66" s="334">
        <v>0</v>
      </c>
      <c r="D66" s="334">
        <v>1</v>
      </c>
      <c r="E66" s="334">
        <v>0</v>
      </c>
      <c r="F66" s="334">
        <v>3</v>
      </c>
      <c r="G66" s="334">
        <v>7</v>
      </c>
      <c r="H66" s="334">
        <v>13</v>
      </c>
      <c r="I66" s="334">
        <v>13</v>
      </c>
      <c r="J66" s="334">
        <v>11</v>
      </c>
      <c r="K66" s="334">
        <v>0</v>
      </c>
    </row>
    <row r="67" spans="1:11">
      <c r="A67" s="332" t="s">
        <v>69</v>
      </c>
      <c r="B67" s="334">
        <v>39</v>
      </c>
      <c r="C67" s="334">
        <v>0</v>
      </c>
      <c r="D67" s="334">
        <v>0</v>
      </c>
      <c r="E67" s="334">
        <v>1</v>
      </c>
      <c r="F67" s="334">
        <v>3</v>
      </c>
      <c r="G67" s="334">
        <v>0</v>
      </c>
      <c r="H67" s="334">
        <v>4</v>
      </c>
      <c r="I67" s="334">
        <v>9</v>
      </c>
      <c r="J67" s="334">
        <v>22</v>
      </c>
      <c r="K67" s="334">
        <v>0</v>
      </c>
    </row>
    <row r="68" spans="1:11">
      <c r="A68" s="332" t="s">
        <v>293</v>
      </c>
      <c r="B68" s="334">
        <v>53</v>
      </c>
      <c r="C68" s="334">
        <v>0</v>
      </c>
      <c r="D68" s="334">
        <v>0</v>
      </c>
      <c r="E68" s="334">
        <v>2</v>
      </c>
      <c r="F68" s="334">
        <v>1</v>
      </c>
      <c r="G68" s="334">
        <v>2</v>
      </c>
      <c r="H68" s="334">
        <v>0</v>
      </c>
      <c r="I68" s="334">
        <v>6</v>
      </c>
      <c r="J68" s="334">
        <v>41</v>
      </c>
      <c r="K68" s="334">
        <v>1</v>
      </c>
    </row>
    <row r="69" spans="1:11">
      <c r="A69" s="332" t="s">
        <v>33</v>
      </c>
      <c r="B69" s="334">
        <v>3</v>
      </c>
      <c r="C69" s="334">
        <v>0</v>
      </c>
      <c r="D69" s="334">
        <v>1</v>
      </c>
      <c r="E69" s="334">
        <v>0</v>
      </c>
      <c r="F69" s="334">
        <v>0</v>
      </c>
      <c r="G69" s="334">
        <v>0</v>
      </c>
      <c r="H69" s="334">
        <v>0</v>
      </c>
      <c r="I69" s="334">
        <v>0</v>
      </c>
      <c r="J69" s="334">
        <v>0</v>
      </c>
      <c r="K69" s="334">
        <v>2</v>
      </c>
    </row>
    <row r="70" spans="1:11" ht="5.0999999999999996" customHeight="1">
      <c r="B70" s="334"/>
      <c r="C70" s="334"/>
      <c r="D70" s="334"/>
      <c r="E70" s="334"/>
      <c r="F70" s="334"/>
      <c r="G70" s="334"/>
      <c r="H70" s="334"/>
      <c r="I70" s="334"/>
      <c r="J70" s="334"/>
      <c r="K70" s="334"/>
    </row>
    <row r="71" spans="1:11">
      <c r="A71" s="335" t="s">
        <v>80</v>
      </c>
      <c r="B71" s="333">
        <v>104</v>
      </c>
      <c r="C71" s="333">
        <v>0</v>
      </c>
      <c r="D71" s="333">
        <v>5</v>
      </c>
      <c r="E71" s="333">
        <v>23</v>
      </c>
      <c r="F71" s="333">
        <v>10</v>
      </c>
      <c r="G71" s="333">
        <v>12</v>
      </c>
      <c r="H71" s="333">
        <v>15</v>
      </c>
      <c r="I71" s="333">
        <v>8</v>
      </c>
      <c r="J71" s="333">
        <v>25</v>
      </c>
      <c r="K71" s="333">
        <v>6</v>
      </c>
    </row>
    <row r="72" spans="1:11" ht="5.0999999999999996" customHeight="1">
      <c r="B72" s="334"/>
      <c r="C72" s="334"/>
      <c r="D72" s="334"/>
      <c r="E72" s="334"/>
      <c r="F72" s="334"/>
      <c r="G72" s="334"/>
      <c r="H72" s="334"/>
      <c r="I72" s="334"/>
      <c r="J72" s="334"/>
      <c r="K72" s="334"/>
    </row>
    <row r="73" spans="1:11">
      <c r="A73" s="332" t="s">
        <v>63</v>
      </c>
      <c r="B73" s="334">
        <v>5</v>
      </c>
      <c r="C73" s="334">
        <v>0</v>
      </c>
      <c r="D73" s="334">
        <v>1</v>
      </c>
      <c r="E73" s="334">
        <v>3</v>
      </c>
      <c r="F73" s="334">
        <v>1</v>
      </c>
      <c r="G73" s="334">
        <v>0</v>
      </c>
      <c r="H73" s="334">
        <v>0</v>
      </c>
      <c r="I73" s="334">
        <v>0</v>
      </c>
      <c r="J73" s="334">
        <v>0</v>
      </c>
      <c r="K73" s="334">
        <v>0</v>
      </c>
    </row>
    <row r="74" spans="1:11">
      <c r="A74" s="332" t="s">
        <v>64</v>
      </c>
      <c r="B74" s="334">
        <v>18</v>
      </c>
      <c r="C74" s="334">
        <v>0</v>
      </c>
      <c r="D74" s="334">
        <v>2</v>
      </c>
      <c r="E74" s="334">
        <v>9</v>
      </c>
      <c r="F74" s="334">
        <v>4</v>
      </c>
      <c r="G74" s="334">
        <v>3</v>
      </c>
      <c r="H74" s="334">
        <v>0</v>
      </c>
      <c r="I74" s="334">
        <v>0</v>
      </c>
      <c r="J74" s="334">
        <v>0</v>
      </c>
      <c r="K74" s="334">
        <v>0</v>
      </c>
    </row>
    <row r="75" spans="1:11">
      <c r="A75" s="332" t="s">
        <v>65</v>
      </c>
      <c r="B75" s="334">
        <v>19</v>
      </c>
      <c r="C75" s="334">
        <v>0</v>
      </c>
      <c r="D75" s="334">
        <v>2</v>
      </c>
      <c r="E75" s="334">
        <v>6</v>
      </c>
      <c r="F75" s="334">
        <v>3</v>
      </c>
      <c r="G75" s="334">
        <v>4</v>
      </c>
      <c r="H75" s="334">
        <v>1</v>
      </c>
      <c r="I75" s="334">
        <v>1</v>
      </c>
      <c r="J75" s="334">
        <v>2</v>
      </c>
      <c r="K75" s="334">
        <v>0</v>
      </c>
    </row>
    <row r="76" spans="1:11">
      <c r="A76" s="332" t="s">
        <v>66</v>
      </c>
      <c r="B76" s="334">
        <v>13</v>
      </c>
      <c r="C76" s="334">
        <v>0</v>
      </c>
      <c r="D76" s="334">
        <v>0</v>
      </c>
      <c r="E76" s="334">
        <v>3</v>
      </c>
      <c r="F76" s="334">
        <v>2</v>
      </c>
      <c r="G76" s="334">
        <v>3</v>
      </c>
      <c r="H76" s="334">
        <v>3</v>
      </c>
      <c r="I76" s="334">
        <v>2</v>
      </c>
      <c r="J76" s="334">
        <v>0</v>
      </c>
      <c r="K76" s="334">
        <v>0</v>
      </c>
    </row>
    <row r="77" spans="1:11">
      <c r="A77" s="332" t="s">
        <v>67</v>
      </c>
      <c r="B77" s="334">
        <v>11</v>
      </c>
      <c r="C77" s="334">
        <v>0</v>
      </c>
      <c r="D77" s="334">
        <v>0</v>
      </c>
      <c r="E77" s="334">
        <v>2</v>
      </c>
      <c r="F77" s="334">
        <v>0</v>
      </c>
      <c r="G77" s="334">
        <v>2</v>
      </c>
      <c r="H77" s="334">
        <v>4</v>
      </c>
      <c r="I77" s="334">
        <v>1</v>
      </c>
      <c r="J77" s="334">
        <v>2</v>
      </c>
      <c r="K77" s="334">
        <v>0</v>
      </c>
    </row>
    <row r="78" spans="1:11">
      <c r="A78" s="332" t="s">
        <v>68</v>
      </c>
      <c r="B78" s="334">
        <v>14</v>
      </c>
      <c r="C78" s="334">
        <v>0</v>
      </c>
      <c r="D78" s="334">
        <v>0</v>
      </c>
      <c r="E78" s="334">
        <v>0</v>
      </c>
      <c r="F78" s="334">
        <v>0</v>
      </c>
      <c r="G78" s="334">
        <v>0</v>
      </c>
      <c r="H78" s="334">
        <v>6</v>
      </c>
      <c r="I78" s="334">
        <v>2</v>
      </c>
      <c r="J78" s="334">
        <v>6</v>
      </c>
      <c r="K78" s="334">
        <v>0</v>
      </c>
    </row>
    <row r="79" spans="1:11">
      <c r="A79" s="332" t="s">
        <v>69</v>
      </c>
      <c r="B79" s="334">
        <v>10</v>
      </c>
      <c r="C79" s="334">
        <v>0</v>
      </c>
      <c r="D79" s="334">
        <v>0</v>
      </c>
      <c r="E79" s="334">
        <v>0</v>
      </c>
      <c r="F79" s="334">
        <v>0</v>
      </c>
      <c r="G79" s="334">
        <v>0</v>
      </c>
      <c r="H79" s="334">
        <v>1</v>
      </c>
      <c r="I79" s="334">
        <v>2</v>
      </c>
      <c r="J79" s="334">
        <v>7</v>
      </c>
      <c r="K79" s="334">
        <v>0</v>
      </c>
    </row>
    <row r="80" spans="1:11">
      <c r="A80" s="332" t="s">
        <v>293</v>
      </c>
      <c r="B80" s="334">
        <v>8</v>
      </c>
      <c r="C80" s="334">
        <v>0</v>
      </c>
      <c r="D80" s="334">
        <v>0</v>
      </c>
      <c r="E80" s="334">
        <v>0</v>
      </c>
      <c r="F80" s="334">
        <v>0</v>
      </c>
      <c r="G80" s="334">
        <v>0</v>
      </c>
      <c r="H80" s="334">
        <v>0</v>
      </c>
      <c r="I80" s="334">
        <v>0</v>
      </c>
      <c r="J80" s="334">
        <v>8</v>
      </c>
      <c r="K80" s="334">
        <v>0</v>
      </c>
    </row>
    <row r="81" spans="1:11">
      <c r="A81" s="332" t="s">
        <v>33</v>
      </c>
      <c r="B81" s="334">
        <v>6</v>
      </c>
      <c r="C81" s="334">
        <v>0</v>
      </c>
      <c r="D81" s="334">
        <v>0</v>
      </c>
      <c r="E81" s="334">
        <v>0</v>
      </c>
      <c r="F81" s="334">
        <v>0</v>
      </c>
      <c r="G81" s="334">
        <v>0</v>
      </c>
      <c r="H81" s="334">
        <v>0</v>
      </c>
      <c r="I81" s="334">
        <v>0</v>
      </c>
      <c r="J81" s="334">
        <v>0</v>
      </c>
      <c r="K81" s="334">
        <v>6</v>
      </c>
    </row>
    <row r="82" spans="1:11" ht="5.0999999999999996" customHeight="1">
      <c r="B82" s="334"/>
      <c r="C82" s="334"/>
      <c r="D82" s="334"/>
      <c r="E82" s="334"/>
      <c r="F82" s="334"/>
      <c r="G82" s="334"/>
      <c r="H82" s="334"/>
      <c r="I82" s="334"/>
      <c r="J82" s="334"/>
      <c r="K82" s="334"/>
    </row>
    <row r="83" spans="1:11">
      <c r="A83" s="335" t="s">
        <v>81</v>
      </c>
      <c r="B83" s="333">
        <v>1502</v>
      </c>
      <c r="C83" s="333">
        <v>28</v>
      </c>
      <c r="D83" s="333">
        <v>203</v>
      </c>
      <c r="E83" s="333">
        <v>274</v>
      </c>
      <c r="F83" s="333">
        <v>267</v>
      </c>
      <c r="G83" s="333">
        <v>175</v>
      </c>
      <c r="H83" s="333">
        <v>182</v>
      </c>
      <c r="I83" s="333">
        <v>141</v>
      </c>
      <c r="J83" s="333">
        <v>223</v>
      </c>
      <c r="K83" s="333">
        <v>9</v>
      </c>
    </row>
    <row r="84" spans="1:11" ht="5.0999999999999996" customHeight="1">
      <c r="B84" s="334"/>
      <c r="C84" s="334"/>
      <c r="D84" s="334"/>
      <c r="E84" s="334"/>
      <c r="F84" s="334"/>
      <c r="G84" s="334"/>
      <c r="H84" s="334"/>
      <c r="I84" s="334"/>
      <c r="J84" s="334"/>
      <c r="K84" s="334"/>
    </row>
    <row r="85" spans="1:11">
      <c r="A85" s="332" t="s">
        <v>63</v>
      </c>
      <c r="B85" s="334">
        <v>99</v>
      </c>
      <c r="C85" s="334">
        <v>6</v>
      </c>
      <c r="D85" s="334">
        <v>51</v>
      </c>
      <c r="E85" s="334">
        <v>24</v>
      </c>
      <c r="F85" s="334">
        <v>13</v>
      </c>
      <c r="G85" s="334">
        <v>4</v>
      </c>
      <c r="H85" s="334">
        <v>0</v>
      </c>
      <c r="I85" s="334">
        <v>0</v>
      </c>
      <c r="J85" s="334">
        <v>1</v>
      </c>
      <c r="K85" s="334">
        <v>0</v>
      </c>
    </row>
    <row r="86" spans="1:11">
      <c r="A86" s="332" t="s">
        <v>64</v>
      </c>
      <c r="B86" s="334">
        <v>329</v>
      </c>
      <c r="C86" s="334">
        <v>11</v>
      </c>
      <c r="D86" s="334">
        <v>88</v>
      </c>
      <c r="E86" s="334">
        <v>115</v>
      </c>
      <c r="F86" s="334">
        <v>50</v>
      </c>
      <c r="G86" s="334">
        <v>24</v>
      </c>
      <c r="H86" s="334">
        <v>19</v>
      </c>
      <c r="I86" s="334">
        <v>9</v>
      </c>
      <c r="J86" s="334">
        <v>13</v>
      </c>
      <c r="K86" s="334">
        <v>0</v>
      </c>
    </row>
    <row r="87" spans="1:11">
      <c r="A87" s="332" t="s">
        <v>65</v>
      </c>
      <c r="B87" s="334">
        <v>301</v>
      </c>
      <c r="C87" s="334">
        <v>6</v>
      </c>
      <c r="D87" s="334">
        <v>39</v>
      </c>
      <c r="E87" s="334">
        <v>82</v>
      </c>
      <c r="F87" s="334">
        <v>84</v>
      </c>
      <c r="G87" s="334">
        <v>39</v>
      </c>
      <c r="H87" s="334">
        <v>26</v>
      </c>
      <c r="I87" s="334">
        <v>15</v>
      </c>
      <c r="J87" s="334">
        <v>10</v>
      </c>
      <c r="K87" s="334">
        <v>0</v>
      </c>
    </row>
    <row r="88" spans="1:11">
      <c r="A88" s="332" t="s">
        <v>66</v>
      </c>
      <c r="B88" s="334">
        <v>226</v>
      </c>
      <c r="C88" s="334">
        <v>2</v>
      </c>
      <c r="D88" s="334">
        <v>13</v>
      </c>
      <c r="E88" s="334">
        <v>29</v>
      </c>
      <c r="F88" s="334">
        <v>65</v>
      </c>
      <c r="G88" s="334">
        <v>49</v>
      </c>
      <c r="H88" s="334">
        <v>26</v>
      </c>
      <c r="I88" s="334">
        <v>24</v>
      </c>
      <c r="J88" s="334">
        <v>18</v>
      </c>
      <c r="K88" s="334">
        <v>0</v>
      </c>
    </row>
    <row r="89" spans="1:11">
      <c r="A89" s="332" t="s">
        <v>67</v>
      </c>
      <c r="B89" s="334">
        <v>187</v>
      </c>
      <c r="C89" s="334">
        <v>1</v>
      </c>
      <c r="D89" s="334">
        <v>7</v>
      </c>
      <c r="E89" s="334">
        <v>14</v>
      </c>
      <c r="F89" s="334">
        <v>32</v>
      </c>
      <c r="G89" s="334">
        <v>36</v>
      </c>
      <c r="H89" s="334">
        <v>50</v>
      </c>
      <c r="I89" s="334">
        <v>21</v>
      </c>
      <c r="J89" s="334">
        <v>26</v>
      </c>
      <c r="K89" s="334">
        <v>0</v>
      </c>
    </row>
    <row r="90" spans="1:11">
      <c r="A90" s="332" t="s">
        <v>68</v>
      </c>
      <c r="B90" s="334">
        <v>141</v>
      </c>
      <c r="C90" s="334">
        <v>1</v>
      </c>
      <c r="D90" s="334">
        <v>3</v>
      </c>
      <c r="E90" s="334">
        <v>4</v>
      </c>
      <c r="F90" s="334">
        <v>14</v>
      </c>
      <c r="G90" s="334">
        <v>13</v>
      </c>
      <c r="H90" s="334">
        <v>42</v>
      </c>
      <c r="I90" s="334">
        <v>37</v>
      </c>
      <c r="J90" s="334">
        <v>27</v>
      </c>
      <c r="K90" s="334">
        <v>0</v>
      </c>
    </row>
    <row r="91" spans="1:11">
      <c r="A91" s="332" t="s">
        <v>69</v>
      </c>
      <c r="B91" s="334">
        <v>86</v>
      </c>
      <c r="C91" s="334">
        <v>1</v>
      </c>
      <c r="D91" s="334">
        <v>2</v>
      </c>
      <c r="E91" s="334">
        <v>2</v>
      </c>
      <c r="F91" s="334">
        <v>3</v>
      </c>
      <c r="G91" s="334">
        <v>6</v>
      </c>
      <c r="H91" s="334">
        <v>9</v>
      </c>
      <c r="I91" s="334">
        <v>22</v>
      </c>
      <c r="J91" s="334">
        <v>41</v>
      </c>
      <c r="K91" s="334">
        <v>0</v>
      </c>
    </row>
    <row r="92" spans="1:11">
      <c r="A92" s="332" t="s">
        <v>293</v>
      </c>
      <c r="B92" s="334">
        <v>117</v>
      </c>
      <c r="C92" s="334">
        <v>0</v>
      </c>
      <c r="D92" s="334">
        <v>0</v>
      </c>
      <c r="E92" s="334">
        <v>2</v>
      </c>
      <c r="F92" s="334">
        <v>3</v>
      </c>
      <c r="G92" s="334">
        <v>3</v>
      </c>
      <c r="H92" s="334">
        <v>10</v>
      </c>
      <c r="I92" s="334">
        <v>13</v>
      </c>
      <c r="J92" s="334">
        <v>86</v>
      </c>
      <c r="K92" s="334">
        <v>0</v>
      </c>
    </row>
    <row r="93" spans="1:11">
      <c r="A93" s="332" t="s">
        <v>33</v>
      </c>
      <c r="B93" s="334">
        <v>16</v>
      </c>
      <c r="C93" s="334">
        <v>0</v>
      </c>
      <c r="D93" s="334">
        <v>0</v>
      </c>
      <c r="E93" s="334">
        <v>2</v>
      </c>
      <c r="F93" s="334">
        <v>3</v>
      </c>
      <c r="G93" s="334">
        <v>1</v>
      </c>
      <c r="H93" s="334">
        <v>0</v>
      </c>
      <c r="I93" s="334">
        <v>0</v>
      </c>
      <c r="J93" s="334">
        <v>1</v>
      </c>
      <c r="K93" s="334">
        <v>9</v>
      </c>
    </row>
    <row r="94" spans="1:11" ht="5.0999999999999996" customHeight="1">
      <c r="B94" s="334"/>
      <c r="C94" s="334"/>
      <c r="D94" s="334"/>
      <c r="E94" s="334"/>
      <c r="F94" s="334"/>
      <c r="G94" s="334"/>
      <c r="H94" s="334"/>
      <c r="I94" s="334"/>
      <c r="J94" s="334"/>
      <c r="K94" s="334"/>
    </row>
    <row r="95" spans="1:11">
      <c r="A95" s="335" t="s">
        <v>82</v>
      </c>
      <c r="B95" s="333">
        <v>44</v>
      </c>
      <c r="C95" s="333">
        <v>1</v>
      </c>
      <c r="D95" s="333">
        <v>5</v>
      </c>
      <c r="E95" s="333">
        <v>7</v>
      </c>
      <c r="F95" s="333">
        <v>3</v>
      </c>
      <c r="G95" s="333">
        <v>7</v>
      </c>
      <c r="H95" s="333">
        <v>4</v>
      </c>
      <c r="I95" s="333">
        <v>4</v>
      </c>
      <c r="J95" s="333">
        <v>10</v>
      </c>
      <c r="K95" s="333">
        <v>3</v>
      </c>
    </row>
    <row r="96" spans="1:11" ht="5.0999999999999996" customHeight="1">
      <c r="B96" s="334"/>
      <c r="C96" s="334"/>
      <c r="D96" s="334"/>
      <c r="E96" s="334"/>
      <c r="F96" s="334"/>
      <c r="G96" s="334"/>
      <c r="H96" s="334"/>
      <c r="I96" s="334"/>
      <c r="J96" s="334"/>
      <c r="K96" s="334"/>
    </row>
    <row r="97" spans="1:11">
      <c r="A97" s="332" t="s">
        <v>63</v>
      </c>
      <c r="B97" s="334">
        <v>2</v>
      </c>
      <c r="C97" s="334">
        <v>0</v>
      </c>
      <c r="D97" s="334">
        <v>1</v>
      </c>
      <c r="E97" s="334">
        <v>1</v>
      </c>
      <c r="F97" s="334">
        <v>0</v>
      </c>
      <c r="G97" s="334">
        <v>0</v>
      </c>
      <c r="H97" s="334">
        <v>0</v>
      </c>
      <c r="I97" s="334">
        <v>0</v>
      </c>
      <c r="J97" s="334">
        <v>0</v>
      </c>
      <c r="K97" s="334">
        <v>0</v>
      </c>
    </row>
    <row r="98" spans="1:11">
      <c r="A98" s="332" t="s">
        <v>64</v>
      </c>
      <c r="B98" s="334">
        <v>8</v>
      </c>
      <c r="C98" s="334">
        <v>1</v>
      </c>
      <c r="D98" s="334">
        <v>3</v>
      </c>
      <c r="E98" s="334">
        <v>2</v>
      </c>
      <c r="F98" s="334">
        <v>2</v>
      </c>
      <c r="G98" s="334">
        <v>0</v>
      </c>
      <c r="H98" s="334">
        <v>0</v>
      </c>
      <c r="I98" s="334">
        <v>0</v>
      </c>
      <c r="J98" s="334">
        <v>0</v>
      </c>
      <c r="K98" s="334">
        <v>0</v>
      </c>
    </row>
    <row r="99" spans="1:11">
      <c r="A99" s="332" t="s">
        <v>65</v>
      </c>
      <c r="B99" s="334">
        <v>8</v>
      </c>
      <c r="C99" s="334">
        <v>0</v>
      </c>
      <c r="D99" s="334">
        <v>1</v>
      </c>
      <c r="E99" s="334">
        <v>3</v>
      </c>
      <c r="F99" s="334">
        <v>0</v>
      </c>
      <c r="G99" s="334">
        <v>2</v>
      </c>
      <c r="H99" s="334">
        <v>2</v>
      </c>
      <c r="I99" s="334">
        <v>0</v>
      </c>
      <c r="J99" s="334">
        <v>0</v>
      </c>
      <c r="K99" s="334">
        <v>0</v>
      </c>
    </row>
    <row r="100" spans="1:11">
      <c r="A100" s="332" t="s">
        <v>66</v>
      </c>
      <c r="B100" s="334">
        <v>4</v>
      </c>
      <c r="C100" s="334">
        <v>0</v>
      </c>
      <c r="D100" s="334">
        <v>0</v>
      </c>
      <c r="E100" s="334">
        <v>1</v>
      </c>
      <c r="F100" s="334">
        <v>0</v>
      </c>
      <c r="G100" s="334">
        <v>2</v>
      </c>
      <c r="H100" s="334">
        <v>0</v>
      </c>
      <c r="I100" s="334">
        <v>0</v>
      </c>
      <c r="J100" s="334">
        <v>1</v>
      </c>
      <c r="K100" s="334">
        <v>0</v>
      </c>
    </row>
    <row r="101" spans="1:11">
      <c r="A101" s="332" t="s">
        <v>67</v>
      </c>
      <c r="B101" s="334">
        <v>5</v>
      </c>
      <c r="C101" s="334">
        <v>0</v>
      </c>
      <c r="D101" s="334">
        <v>0</v>
      </c>
      <c r="E101" s="334">
        <v>0</v>
      </c>
      <c r="F101" s="334">
        <v>0</v>
      </c>
      <c r="G101" s="334">
        <v>2</v>
      </c>
      <c r="H101" s="334">
        <v>1</v>
      </c>
      <c r="I101" s="334">
        <v>1</v>
      </c>
      <c r="J101" s="334">
        <v>1</v>
      </c>
      <c r="K101" s="334">
        <v>0</v>
      </c>
    </row>
    <row r="102" spans="1:11">
      <c r="A102" s="332" t="s">
        <v>68</v>
      </c>
      <c r="B102" s="334">
        <v>5</v>
      </c>
      <c r="C102" s="334">
        <v>0</v>
      </c>
      <c r="D102" s="334">
        <v>0</v>
      </c>
      <c r="E102" s="334">
        <v>0</v>
      </c>
      <c r="F102" s="334">
        <v>0</v>
      </c>
      <c r="G102" s="334">
        <v>0</v>
      </c>
      <c r="H102" s="334">
        <v>0</v>
      </c>
      <c r="I102" s="334">
        <v>1</v>
      </c>
      <c r="J102" s="334">
        <v>4</v>
      </c>
      <c r="K102" s="334">
        <v>0</v>
      </c>
    </row>
    <row r="103" spans="1:11">
      <c r="A103" s="332" t="s">
        <v>69</v>
      </c>
      <c r="B103" s="334">
        <v>2</v>
      </c>
      <c r="C103" s="334">
        <v>0</v>
      </c>
      <c r="D103" s="334">
        <v>0</v>
      </c>
      <c r="E103" s="334">
        <v>0</v>
      </c>
      <c r="F103" s="334">
        <v>0</v>
      </c>
      <c r="G103" s="334">
        <v>1</v>
      </c>
      <c r="H103" s="334">
        <v>0</v>
      </c>
      <c r="I103" s="334">
        <v>0</v>
      </c>
      <c r="J103" s="334">
        <v>1</v>
      </c>
      <c r="K103" s="334">
        <v>0</v>
      </c>
    </row>
    <row r="104" spans="1:11">
      <c r="A104" s="332" t="s">
        <v>293</v>
      </c>
      <c r="B104" s="334">
        <v>7</v>
      </c>
      <c r="C104" s="334">
        <v>0</v>
      </c>
      <c r="D104" s="334">
        <v>0</v>
      </c>
      <c r="E104" s="334">
        <v>0</v>
      </c>
      <c r="F104" s="334">
        <v>1</v>
      </c>
      <c r="G104" s="334">
        <v>0</v>
      </c>
      <c r="H104" s="334">
        <v>1</v>
      </c>
      <c r="I104" s="334">
        <v>2</v>
      </c>
      <c r="J104" s="334">
        <v>3</v>
      </c>
      <c r="K104" s="334">
        <v>0</v>
      </c>
    </row>
    <row r="105" spans="1:11">
      <c r="A105" s="332" t="s">
        <v>33</v>
      </c>
      <c r="B105" s="334">
        <v>3</v>
      </c>
      <c r="C105" s="334">
        <v>0</v>
      </c>
      <c r="D105" s="334">
        <v>0</v>
      </c>
      <c r="E105" s="334">
        <v>0</v>
      </c>
      <c r="F105" s="334">
        <v>0</v>
      </c>
      <c r="G105" s="334">
        <v>0</v>
      </c>
      <c r="H105" s="334">
        <v>0</v>
      </c>
      <c r="I105" s="334">
        <v>0</v>
      </c>
      <c r="J105" s="334">
        <v>0</v>
      </c>
      <c r="K105" s="334">
        <v>3</v>
      </c>
    </row>
    <row r="106" spans="1:11" ht="5.0999999999999996" customHeight="1">
      <c r="B106" s="334"/>
      <c r="C106" s="334"/>
      <c r="D106" s="334"/>
      <c r="E106" s="334"/>
      <c r="F106" s="334"/>
      <c r="G106" s="334"/>
      <c r="H106" s="334"/>
      <c r="I106" s="334"/>
      <c r="J106" s="334"/>
      <c r="K106" s="334"/>
    </row>
    <row r="107" spans="1:11">
      <c r="A107" s="335" t="s">
        <v>83</v>
      </c>
      <c r="B107" s="333">
        <v>217</v>
      </c>
      <c r="C107" s="333">
        <v>1</v>
      </c>
      <c r="D107" s="333">
        <v>18</v>
      </c>
      <c r="E107" s="333">
        <v>34</v>
      </c>
      <c r="F107" s="333">
        <v>49</v>
      </c>
      <c r="G107" s="333">
        <v>33</v>
      </c>
      <c r="H107" s="333">
        <v>27</v>
      </c>
      <c r="I107" s="333">
        <v>18</v>
      </c>
      <c r="J107" s="333">
        <v>37</v>
      </c>
      <c r="K107" s="333">
        <v>0</v>
      </c>
    </row>
    <row r="108" spans="1:11" ht="5.0999999999999996" customHeight="1">
      <c r="B108" s="334"/>
      <c r="C108" s="334"/>
      <c r="D108" s="334"/>
      <c r="E108" s="334"/>
      <c r="F108" s="334"/>
      <c r="G108" s="334"/>
      <c r="H108" s="334"/>
      <c r="I108" s="334"/>
      <c r="J108" s="334"/>
      <c r="K108" s="334"/>
    </row>
    <row r="109" spans="1:11">
      <c r="A109" s="332" t="s">
        <v>63</v>
      </c>
      <c r="B109" s="334">
        <v>9</v>
      </c>
      <c r="C109" s="334">
        <v>1</v>
      </c>
      <c r="D109" s="334">
        <v>4</v>
      </c>
      <c r="E109" s="334">
        <v>3</v>
      </c>
      <c r="F109" s="334">
        <v>1</v>
      </c>
      <c r="G109" s="334">
        <v>0</v>
      </c>
      <c r="H109" s="334">
        <v>0</v>
      </c>
      <c r="I109" s="334">
        <v>0</v>
      </c>
      <c r="J109" s="334">
        <v>0</v>
      </c>
      <c r="K109" s="334">
        <v>0</v>
      </c>
    </row>
    <row r="110" spans="1:11">
      <c r="A110" s="332" t="s">
        <v>64</v>
      </c>
      <c r="B110" s="334">
        <v>36</v>
      </c>
      <c r="C110" s="334">
        <v>0</v>
      </c>
      <c r="D110" s="334">
        <v>11</v>
      </c>
      <c r="E110" s="334">
        <v>10</v>
      </c>
      <c r="F110" s="334">
        <v>6</v>
      </c>
      <c r="G110" s="334">
        <v>5</v>
      </c>
      <c r="H110" s="334">
        <v>2</v>
      </c>
      <c r="I110" s="334">
        <v>1</v>
      </c>
      <c r="J110" s="334">
        <v>1</v>
      </c>
      <c r="K110" s="334">
        <v>0</v>
      </c>
    </row>
    <row r="111" spans="1:11">
      <c r="A111" s="332" t="s">
        <v>65</v>
      </c>
      <c r="B111" s="334">
        <v>41</v>
      </c>
      <c r="C111" s="334">
        <v>0</v>
      </c>
      <c r="D111" s="334">
        <v>2</v>
      </c>
      <c r="E111" s="334">
        <v>10</v>
      </c>
      <c r="F111" s="334">
        <v>16</v>
      </c>
      <c r="G111" s="334">
        <v>5</v>
      </c>
      <c r="H111" s="334">
        <v>6</v>
      </c>
      <c r="I111" s="334">
        <v>0</v>
      </c>
      <c r="J111" s="334">
        <v>2</v>
      </c>
      <c r="K111" s="334">
        <v>0</v>
      </c>
    </row>
    <row r="112" spans="1:11">
      <c r="A112" s="332" t="s">
        <v>66</v>
      </c>
      <c r="B112" s="334">
        <v>39</v>
      </c>
      <c r="C112" s="334">
        <v>0</v>
      </c>
      <c r="D112" s="334">
        <v>0</v>
      </c>
      <c r="E112" s="334">
        <v>6</v>
      </c>
      <c r="F112" s="334">
        <v>14</v>
      </c>
      <c r="G112" s="334">
        <v>12</v>
      </c>
      <c r="H112" s="334">
        <v>3</v>
      </c>
      <c r="I112" s="334">
        <v>4</v>
      </c>
      <c r="J112" s="334">
        <v>0</v>
      </c>
      <c r="K112" s="334">
        <v>0</v>
      </c>
    </row>
    <row r="113" spans="1:11">
      <c r="A113" s="332" t="s">
        <v>67</v>
      </c>
      <c r="B113" s="334">
        <v>34</v>
      </c>
      <c r="C113" s="334">
        <v>0</v>
      </c>
      <c r="D113" s="334">
        <v>0</v>
      </c>
      <c r="E113" s="334">
        <v>4</v>
      </c>
      <c r="F113" s="334">
        <v>10</v>
      </c>
      <c r="G113" s="334">
        <v>7</v>
      </c>
      <c r="H113" s="334">
        <v>5</v>
      </c>
      <c r="I113" s="334">
        <v>5</v>
      </c>
      <c r="J113" s="334">
        <v>3</v>
      </c>
      <c r="K113" s="334">
        <v>0</v>
      </c>
    </row>
    <row r="114" spans="1:11">
      <c r="A114" s="332" t="s">
        <v>68</v>
      </c>
      <c r="B114" s="334">
        <v>16</v>
      </c>
      <c r="C114" s="334">
        <v>0</v>
      </c>
      <c r="D114" s="334">
        <v>1</v>
      </c>
      <c r="E114" s="334">
        <v>0</v>
      </c>
      <c r="F114" s="334">
        <v>1</v>
      </c>
      <c r="G114" s="334">
        <v>1</v>
      </c>
      <c r="H114" s="334">
        <v>5</v>
      </c>
      <c r="I114" s="334">
        <v>5</v>
      </c>
      <c r="J114" s="334">
        <v>3</v>
      </c>
      <c r="K114" s="334">
        <v>0</v>
      </c>
    </row>
    <row r="115" spans="1:11">
      <c r="A115" s="332" t="s">
        <v>69</v>
      </c>
      <c r="B115" s="334">
        <v>19</v>
      </c>
      <c r="C115" s="334">
        <v>0</v>
      </c>
      <c r="D115" s="334">
        <v>0</v>
      </c>
      <c r="E115" s="334">
        <v>0</v>
      </c>
      <c r="F115" s="334">
        <v>1</v>
      </c>
      <c r="G115" s="334">
        <v>2</v>
      </c>
      <c r="H115" s="334">
        <v>3</v>
      </c>
      <c r="I115" s="334">
        <v>2</v>
      </c>
      <c r="J115" s="334">
        <v>11</v>
      </c>
      <c r="K115" s="334">
        <v>0</v>
      </c>
    </row>
    <row r="116" spans="1:11">
      <c r="A116" s="332" t="s">
        <v>293</v>
      </c>
      <c r="B116" s="334">
        <v>23</v>
      </c>
      <c r="C116" s="334">
        <v>0</v>
      </c>
      <c r="D116" s="334">
        <v>0</v>
      </c>
      <c r="E116" s="334">
        <v>1</v>
      </c>
      <c r="F116" s="334">
        <v>0</v>
      </c>
      <c r="G116" s="334">
        <v>1</v>
      </c>
      <c r="H116" s="334">
        <v>3</v>
      </c>
      <c r="I116" s="334">
        <v>1</v>
      </c>
      <c r="J116" s="334">
        <v>17</v>
      </c>
      <c r="K116" s="334">
        <v>0</v>
      </c>
    </row>
    <row r="117" spans="1:11" ht="5.0999999999999996" customHeight="1">
      <c r="B117" s="334"/>
      <c r="C117" s="334"/>
      <c r="D117" s="334"/>
      <c r="E117" s="334"/>
      <c r="F117" s="334"/>
      <c r="G117" s="334"/>
      <c r="H117" s="334"/>
      <c r="I117" s="334"/>
      <c r="J117" s="334"/>
      <c r="K117" s="334"/>
    </row>
    <row r="118" spans="1:11">
      <c r="A118" s="335" t="s">
        <v>84</v>
      </c>
      <c r="B118" s="333">
        <v>1151</v>
      </c>
      <c r="C118" s="333">
        <v>17</v>
      </c>
      <c r="D118" s="333">
        <v>168</v>
      </c>
      <c r="E118" s="333">
        <v>232</v>
      </c>
      <c r="F118" s="333">
        <v>218</v>
      </c>
      <c r="G118" s="333">
        <v>195</v>
      </c>
      <c r="H118" s="333">
        <v>115</v>
      </c>
      <c r="I118" s="333">
        <v>68</v>
      </c>
      <c r="J118" s="333">
        <v>133</v>
      </c>
      <c r="K118" s="333">
        <v>5</v>
      </c>
    </row>
    <row r="119" spans="1:11" ht="5.0999999999999996" customHeight="1">
      <c r="B119" s="334"/>
      <c r="C119" s="334"/>
      <c r="D119" s="334"/>
      <c r="E119" s="334"/>
      <c r="F119" s="334"/>
      <c r="G119" s="334"/>
      <c r="H119" s="334"/>
      <c r="I119" s="334"/>
      <c r="J119" s="334"/>
      <c r="K119" s="334"/>
    </row>
    <row r="120" spans="1:11">
      <c r="A120" s="332" t="s">
        <v>63</v>
      </c>
      <c r="B120" s="334">
        <v>87</v>
      </c>
      <c r="C120" s="334">
        <v>8</v>
      </c>
      <c r="D120" s="334">
        <v>42</v>
      </c>
      <c r="E120" s="334">
        <v>19</v>
      </c>
      <c r="F120" s="334">
        <v>8</v>
      </c>
      <c r="G120" s="334">
        <v>5</v>
      </c>
      <c r="H120" s="334">
        <v>3</v>
      </c>
      <c r="I120" s="334">
        <v>1</v>
      </c>
      <c r="J120" s="334">
        <v>1</v>
      </c>
      <c r="K120" s="334">
        <v>0</v>
      </c>
    </row>
    <row r="121" spans="1:11">
      <c r="A121" s="332" t="s">
        <v>64</v>
      </c>
      <c r="B121" s="334">
        <v>275</v>
      </c>
      <c r="C121" s="334">
        <v>3</v>
      </c>
      <c r="D121" s="334">
        <v>80</v>
      </c>
      <c r="E121" s="334">
        <v>100</v>
      </c>
      <c r="F121" s="334">
        <v>49</v>
      </c>
      <c r="G121" s="334">
        <v>20</v>
      </c>
      <c r="H121" s="334">
        <v>11</v>
      </c>
      <c r="I121" s="334">
        <v>7</v>
      </c>
      <c r="J121" s="334">
        <v>5</v>
      </c>
      <c r="K121" s="334">
        <v>0</v>
      </c>
    </row>
    <row r="122" spans="1:11">
      <c r="A122" s="332" t="s">
        <v>65</v>
      </c>
      <c r="B122" s="334">
        <v>234</v>
      </c>
      <c r="C122" s="334">
        <v>5</v>
      </c>
      <c r="D122" s="334">
        <v>32</v>
      </c>
      <c r="E122" s="334">
        <v>71</v>
      </c>
      <c r="F122" s="334">
        <v>64</v>
      </c>
      <c r="G122" s="334">
        <v>33</v>
      </c>
      <c r="H122" s="334">
        <v>15</v>
      </c>
      <c r="I122" s="334">
        <v>5</v>
      </c>
      <c r="J122" s="334">
        <v>9</v>
      </c>
      <c r="K122" s="334">
        <v>0</v>
      </c>
    </row>
    <row r="123" spans="1:11">
      <c r="A123" s="332" t="s">
        <v>66</v>
      </c>
      <c r="B123" s="334">
        <v>210</v>
      </c>
      <c r="C123" s="334">
        <v>0</v>
      </c>
      <c r="D123" s="334">
        <v>7</v>
      </c>
      <c r="E123" s="334">
        <v>28</v>
      </c>
      <c r="F123" s="334">
        <v>53</v>
      </c>
      <c r="G123" s="334">
        <v>73</v>
      </c>
      <c r="H123" s="334">
        <v>27</v>
      </c>
      <c r="I123" s="334">
        <v>10</v>
      </c>
      <c r="J123" s="334">
        <v>12</v>
      </c>
      <c r="K123" s="334">
        <v>0</v>
      </c>
    </row>
    <row r="124" spans="1:11">
      <c r="A124" s="332" t="s">
        <v>67</v>
      </c>
      <c r="B124" s="334">
        <v>146</v>
      </c>
      <c r="C124" s="334">
        <v>1</v>
      </c>
      <c r="D124" s="334">
        <v>4</v>
      </c>
      <c r="E124" s="334">
        <v>8</v>
      </c>
      <c r="F124" s="334">
        <v>30</v>
      </c>
      <c r="G124" s="334">
        <v>45</v>
      </c>
      <c r="H124" s="334">
        <v>23</v>
      </c>
      <c r="I124" s="334">
        <v>16</v>
      </c>
      <c r="J124" s="334">
        <v>19</v>
      </c>
      <c r="K124" s="334">
        <v>0</v>
      </c>
    </row>
    <row r="125" spans="1:11">
      <c r="A125" s="332" t="s">
        <v>68</v>
      </c>
      <c r="B125" s="334">
        <v>73</v>
      </c>
      <c r="C125" s="334">
        <v>0</v>
      </c>
      <c r="D125" s="334">
        <v>1</v>
      </c>
      <c r="E125" s="334">
        <v>2</v>
      </c>
      <c r="F125" s="334">
        <v>5</v>
      </c>
      <c r="G125" s="334">
        <v>9</v>
      </c>
      <c r="H125" s="334">
        <v>24</v>
      </c>
      <c r="I125" s="334">
        <v>18</v>
      </c>
      <c r="J125" s="334">
        <v>14</v>
      </c>
      <c r="K125" s="334">
        <v>0</v>
      </c>
    </row>
    <row r="126" spans="1:11">
      <c r="A126" s="332" t="s">
        <v>69</v>
      </c>
      <c r="B126" s="334">
        <v>37</v>
      </c>
      <c r="C126" s="334">
        <v>0</v>
      </c>
      <c r="D126" s="334">
        <v>0</v>
      </c>
      <c r="E126" s="334">
        <v>1</v>
      </c>
      <c r="F126" s="334">
        <v>2</v>
      </c>
      <c r="G126" s="334">
        <v>6</v>
      </c>
      <c r="H126" s="334">
        <v>8</v>
      </c>
      <c r="I126" s="334">
        <v>6</v>
      </c>
      <c r="J126" s="334">
        <v>14</v>
      </c>
      <c r="K126" s="334">
        <v>0</v>
      </c>
    </row>
    <row r="127" spans="1:11">
      <c r="A127" s="332" t="s">
        <v>293</v>
      </c>
      <c r="B127" s="334">
        <v>79</v>
      </c>
      <c r="C127" s="334">
        <v>0</v>
      </c>
      <c r="D127" s="334">
        <v>1</v>
      </c>
      <c r="E127" s="334">
        <v>1</v>
      </c>
      <c r="F127" s="334">
        <v>6</v>
      </c>
      <c r="G127" s="334">
        <v>4</v>
      </c>
      <c r="H127" s="334">
        <v>4</v>
      </c>
      <c r="I127" s="334">
        <v>4</v>
      </c>
      <c r="J127" s="334">
        <v>59</v>
      </c>
      <c r="K127" s="334">
        <v>0</v>
      </c>
    </row>
    <row r="128" spans="1:11">
      <c r="A128" s="332" t="s">
        <v>33</v>
      </c>
      <c r="B128" s="334">
        <v>10</v>
      </c>
      <c r="C128" s="334">
        <v>0</v>
      </c>
      <c r="D128" s="334">
        <v>1</v>
      </c>
      <c r="E128" s="334">
        <v>2</v>
      </c>
      <c r="F128" s="334">
        <v>1</v>
      </c>
      <c r="G128" s="334">
        <v>0</v>
      </c>
      <c r="H128" s="334">
        <v>0</v>
      </c>
      <c r="I128" s="334">
        <v>1</v>
      </c>
      <c r="J128" s="334">
        <v>0</v>
      </c>
      <c r="K128" s="334">
        <v>5</v>
      </c>
    </row>
    <row r="129" spans="1:11" ht="5.0999999999999996" customHeight="1">
      <c r="B129" s="334"/>
      <c r="C129" s="334"/>
      <c r="D129" s="334"/>
      <c r="E129" s="334"/>
      <c r="F129" s="334"/>
      <c r="G129" s="334"/>
      <c r="H129" s="334"/>
      <c r="I129" s="334"/>
      <c r="J129" s="334"/>
      <c r="K129" s="334"/>
    </row>
    <row r="130" spans="1:11">
      <c r="A130" s="335" t="s">
        <v>85</v>
      </c>
      <c r="B130" s="333">
        <v>86</v>
      </c>
      <c r="C130" s="333">
        <v>2</v>
      </c>
      <c r="D130" s="333">
        <v>16</v>
      </c>
      <c r="E130" s="333">
        <v>17</v>
      </c>
      <c r="F130" s="333">
        <v>10</v>
      </c>
      <c r="G130" s="333">
        <v>9</v>
      </c>
      <c r="H130" s="333">
        <v>8</v>
      </c>
      <c r="I130" s="333">
        <v>3</v>
      </c>
      <c r="J130" s="333">
        <v>21</v>
      </c>
      <c r="K130" s="333">
        <v>0</v>
      </c>
    </row>
    <row r="131" spans="1:11" ht="5.0999999999999996" customHeight="1">
      <c r="B131" s="334"/>
      <c r="C131" s="334"/>
      <c r="D131" s="334"/>
      <c r="E131" s="334"/>
      <c r="F131" s="334"/>
      <c r="G131" s="334"/>
      <c r="H131" s="334"/>
      <c r="I131" s="334"/>
      <c r="J131" s="334"/>
      <c r="K131" s="334"/>
    </row>
    <row r="132" spans="1:11">
      <c r="A132" s="332" t="s">
        <v>63</v>
      </c>
      <c r="B132" s="334">
        <v>5</v>
      </c>
      <c r="C132" s="334">
        <v>0</v>
      </c>
      <c r="D132" s="334">
        <v>3</v>
      </c>
      <c r="E132" s="334">
        <v>2</v>
      </c>
      <c r="F132" s="334">
        <v>0</v>
      </c>
      <c r="G132" s="334">
        <v>0</v>
      </c>
      <c r="H132" s="334">
        <v>0</v>
      </c>
      <c r="I132" s="334">
        <v>0</v>
      </c>
      <c r="J132" s="334">
        <v>0</v>
      </c>
      <c r="K132" s="334">
        <v>0</v>
      </c>
    </row>
    <row r="133" spans="1:11">
      <c r="A133" s="332" t="s">
        <v>64</v>
      </c>
      <c r="B133" s="334">
        <v>21</v>
      </c>
      <c r="C133" s="334">
        <v>2</v>
      </c>
      <c r="D133" s="334">
        <v>10</v>
      </c>
      <c r="E133" s="334">
        <v>5</v>
      </c>
      <c r="F133" s="334">
        <v>1</v>
      </c>
      <c r="G133" s="334">
        <v>1</v>
      </c>
      <c r="H133" s="334">
        <v>1</v>
      </c>
      <c r="I133" s="334">
        <v>0</v>
      </c>
      <c r="J133" s="334">
        <v>1</v>
      </c>
      <c r="K133" s="334">
        <v>0</v>
      </c>
    </row>
    <row r="134" spans="1:11">
      <c r="A134" s="332" t="s">
        <v>65</v>
      </c>
      <c r="B134" s="334">
        <v>15</v>
      </c>
      <c r="C134" s="334">
        <v>0</v>
      </c>
      <c r="D134" s="334">
        <v>1</v>
      </c>
      <c r="E134" s="334">
        <v>8</v>
      </c>
      <c r="F134" s="334">
        <v>2</v>
      </c>
      <c r="G134" s="334">
        <v>2</v>
      </c>
      <c r="H134" s="334">
        <v>1</v>
      </c>
      <c r="I134" s="334">
        <v>0</v>
      </c>
      <c r="J134" s="334">
        <v>1</v>
      </c>
      <c r="K134" s="334">
        <v>0</v>
      </c>
    </row>
    <row r="135" spans="1:11">
      <c r="A135" s="332" t="s">
        <v>66</v>
      </c>
      <c r="B135" s="334">
        <v>9</v>
      </c>
      <c r="C135" s="334">
        <v>0</v>
      </c>
      <c r="D135" s="334">
        <v>1</v>
      </c>
      <c r="E135" s="334">
        <v>1</v>
      </c>
      <c r="F135" s="334">
        <v>3</v>
      </c>
      <c r="G135" s="334">
        <v>2</v>
      </c>
      <c r="H135" s="334">
        <v>1</v>
      </c>
      <c r="I135" s="334">
        <v>0</v>
      </c>
      <c r="J135" s="334">
        <v>1</v>
      </c>
      <c r="K135" s="334">
        <v>0</v>
      </c>
    </row>
    <row r="136" spans="1:11">
      <c r="A136" s="332" t="s">
        <v>67</v>
      </c>
      <c r="B136" s="334">
        <v>10</v>
      </c>
      <c r="C136" s="334">
        <v>0</v>
      </c>
      <c r="D136" s="334">
        <v>1</v>
      </c>
      <c r="E136" s="334">
        <v>0</v>
      </c>
      <c r="F136" s="334">
        <v>3</v>
      </c>
      <c r="G136" s="334">
        <v>1</v>
      </c>
      <c r="H136" s="334">
        <v>3</v>
      </c>
      <c r="I136" s="334">
        <v>1</v>
      </c>
      <c r="J136" s="334">
        <v>1</v>
      </c>
      <c r="K136" s="334">
        <v>0</v>
      </c>
    </row>
    <row r="137" spans="1:11">
      <c r="A137" s="332" t="s">
        <v>68</v>
      </c>
      <c r="B137" s="334">
        <v>6</v>
      </c>
      <c r="C137" s="334">
        <v>0</v>
      </c>
      <c r="D137" s="334">
        <v>0</v>
      </c>
      <c r="E137" s="334">
        <v>1</v>
      </c>
      <c r="F137" s="334">
        <v>0</v>
      </c>
      <c r="G137" s="334">
        <v>0</v>
      </c>
      <c r="H137" s="334">
        <v>2</v>
      </c>
      <c r="I137" s="334">
        <v>1</v>
      </c>
      <c r="J137" s="334">
        <v>2</v>
      </c>
      <c r="K137" s="334">
        <v>0</v>
      </c>
    </row>
    <row r="138" spans="1:11">
      <c r="A138" s="332" t="s">
        <v>69</v>
      </c>
      <c r="B138" s="334">
        <v>5</v>
      </c>
      <c r="C138" s="334">
        <v>0</v>
      </c>
      <c r="D138" s="334">
        <v>0</v>
      </c>
      <c r="E138" s="334">
        <v>0</v>
      </c>
      <c r="F138" s="334">
        <v>0</v>
      </c>
      <c r="G138" s="334">
        <v>2</v>
      </c>
      <c r="H138" s="334">
        <v>0</v>
      </c>
      <c r="I138" s="334">
        <v>1</v>
      </c>
      <c r="J138" s="334">
        <v>2</v>
      </c>
      <c r="K138" s="334">
        <v>0</v>
      </c>
    </row>
    <row r="139" spans="1:11">
      <c r="A139" s="332" t="s">
        <v>293</v>
      </c>
      <c r="B139" s="334">
        <v>14</v>
      </c>
      <c r="C139" s="334">
        <v>0</v>
      </c>
      <c r="D139" s="334">
        <v>0</v>
      </c>
      <c r="E139" s="334">
        <v>0</v>
      </c>
      <c r="F139" s="334">
        <v>1</v>
      </c>
      <c r="G139" s="334">
        <v>0</v>
      </c>
      <c r="H139" s="334">
        <v>0</v>
      </c>
      <c r="I139" s="334">
        <v>0</v>
      </c>
      <c r="J139" s="334">
        <v>13</v>
      </c>
      <c r="K139" s="334">
        <v>0</v>
      </c>
    </row>
    <row r="140" spans="1:11">
      <c r="A140" s="332" t="s">
        <v>33</v>
      </c>
      <c r="B140" s="334">
        <v>1</v>
      </c>
      <c r="C140" s="334">
        <v>0</v>
      </c>
      <c r="D140" s="334">
        <v>0</v>
      </c>
      <c r="E140" s="334">
        <v>0</v>
      </c>
      <c r="F140" s="334">
        <v>0</v>
      </c>
      <c r="G140" s="334">
        <v>1</v>
      </c>
      <c r="H140" s="334">
        <v>0</v>
      </c>
      <c r="I140" s="334">
        <v>0</v>
      </c>
      <c r="J140" s="334">
        <v>0</v>
      </c>
      <c r="K140" s="334">
        <v>0</v>
      </c>
    </row>
    <row r="141" spans="1:11" ht="5.0999999999999996" customHeight="1">
      <c r="B141" s="334"/>
      <c r="C141" s="334"/>
      <c r="D141" s="334"/>
      <c r="E141" s="334"/>
      <c r="F141" s="334"/>
      <c r="G141" s="334"/>
      <c r="H141" s="334"/>
      <c r="I141" s="334"/>
      <c r="J141" s="334"/>
      <c r="K141" s="334"/>
    </row>
    <row r="142" spans="1:11">
      <c r="A142" s="335" t="s">
        <v>86</v>
      </c>
      <c r="B142" s="333">
        <v>2989</v>
      </c>
      <c r="C142" s="333">
        <v>11</v>
      </c>
      <c r="D142" s="333">
        <v>254</v>
      </c>
      <c r="E142" s="333">
        <v>870</v>
      </c>
      <c r="F142" s="333">
        <v>786</v>
      </c>
      <c r="G142" s="333">
        <v>476</v>
      </c>
      <c r="H142" s="333">
        <v>269</v>
      </c>
      <c r="I142" s="333">
        <v>155</v>
      </c>
      <c r="J142" s="333">
        <v>165</v>
      </c>
      <c r="K142" s="333">
        <v>3</v>
      </c>
    </row>
    <row r="143" spans="1:11" ht="5.0999999999999996" customHeight="1">
      <c r="B143" s="334"/>
      <c r="C143" s="334"/>
      <c r="D143" s="334"/>
      <c r="E143" s="334"/>
      <c r="F143" s="334"/>
      <c r="G143" s="334"/>
      <c r="H143" s="334"/>
      <c r="I143" s="334"/>
      <c r="J143" s="334"/>
      <c r="K143" s="334"/>
    </row>
    <row r="144" spans="1:11">
      <c r="A144" s="332" t="s">
        <v>62</v>
      </c>
      <c r="B144" s="334">
        <v>1</v>
      </c>
      <c r="C144" s="334">
        <v>0</v>
      </c>
      <c r="D144" s="334">
        <v>1</v>
      </c>
      <c r="E144" s="334">
        <v>0</v>
      </c>
      <c r="F144" s="334">
        <v>0</v>
      </c>
      <c r="G144" s="334">
        <v>0</v>
      </c>
      <c r="H144" s="334">
        <v>0</v>
      </c>
      <c r="I144" s="334">
        <v>0</v>
      </c>
      <c r="J144" s="334">
        <v>0</v>
      </c>
      <c r="K144" s="334">
        <v>0</v>
      </c>
    </row>
    <row r="145" spans="1:11">
      <c r="A145" s="332" t="s">
        <v>63</v>
      </c>
      <c r="B145" s="334">
        <v>67</v>
      </c>
      <c r="C145" s="334">
        <v>4</v>
      </c>
      <c r="D145" s="334">
        <v>30</v>
      </c>
      <c r="E145" s="334">
        <v>17</v>
      </c>
      <c r="F145" s="334">
        <v>8</v>
      </c>
      <c r="G145" s="334">
        <v>5</v>
      </c>
      <c r="H145" s="334">
        <v>1</v>
      </c>
      <c r="I145" s="334">
        <v>0</v>
      </c>
      <c r="J145" s="334">
        <v>1</v>
      </c>
      <c r="K145" s="334">
        <v>1</v>
      </c>
    </row>
    <row r="146" spans="1:11">
      <c r="A146" s="332" t="s">
        <v>64</v>
      </c>
      <c r="B146" s="334">
        <v>467</v>
      </c>
      <c r="C146" s="334">
        <v>5</v>
      </c>
      <c r="D146" s="334">
        <v>148</v>
      </c>
      <c r="E146" s="334">
        <v>193</v>
      </c>
      <c r="F146" s="334">
        <v>62</v>
      </c>
      <c r="G146" s="334">
        <v>33</v>
      </c>
      <c r="H146" s="334">
        <v>11</v>
      </c>
      <c r="I146" s="334">
        <v>9</v>
      </c>
      <c r="J146" s="334">
        <v>6</v>
      </c>
      <c r="K146" s="334">
        <v>0</v>
      </c>
    </row>
    <row r="147" spans="1:11">
      <c r="A147" s="332" t="s">
        <v>65</v>
      </c>
      <c r="B147" s="334">
        <v>1030</v>
      </c>
      <c r="C147" s="334">
        <v>0</v>
      </c>
      <c r="D147" s="334">
        <v>49</v>
      </c>
      <c r="E147" s="334">
        <v>510</v>
      </c>
      <c r="F147" s="334">
        <v>323</v>
      </c>
      <c r="G147" s="334">
        <v>85</v>
      </c>
      <c r="H147" s="334">
        <v>46</v>
      </c>
      <c r="I147" s="334">
        <v>10</v>
      </c>
      <c r="J147" s="334">
        <v>7</v>
      </c>
      <c r="K147" s="334">
        <v>0</v>
      </c>
    </row>
    <row r="148" spans="1:11">
      <c r="A148" s="332" t="s">
        <v>66</v>
      </c>
      <c r="B148" s="334">
        <v>688</v>
      </c>
      <c r="C148" s="334">
        <v>1</v>
      </c>
      <c r="D148" s="334">
        <v>13</v>
      </c>
      <c r="E148" s="334">
        <v>105</v>
      </c>
      <c r="F148" s="334">
        <v>303</v>
      </c>
      <c r="G148" s="334">
        <v>171</v>
      </c>
      <c r="H148" s="334">
        <v>57</v>
      </c>
      <c r="I148" s="334">
        <v>23</v>
      </c>
      <c r="J148" s="334">
        <v>15</v>
      </c>
      <c r="K148" s="334">
        <v>0</v>
      </c>
    </row>
    <row r="149" spans="1:11">
      <c r="A149" s="332" t="s">
        <v>67</v>
      </c>
      <c r="B149" s="334">
        <v>340</v>
      </c>
      <c r="C149" s="334">
        <v>0</v>
      </c>
      <c r="D149" s="334">
        <v>2</v>
      </c>
      <c r="E149" s="334">
        <v>23</v>
      </c>
      <c r="F149" s="334">
        <v>60</v>
      </c>
      <c r="G149" s="334">
        <v>138</v>
      </c>
      <c r="H149" s="334">
        <v>71</v>
      </c>
      <c r="I149" s="334">
        <v>28</v>
      </c>
      <c r="J149" s="334">
        <v>18</v>
      </c>
      <c r="K149" s="334">
        <v>0</v>
      </c>
    </row>
    <row r="150" spans="1:11">
      <c r="A150" s="332" t="s">
        <v>68</v>
      </c>
      <c r="B150" s="334">
        <v>181</v>
      </c>
      <c r="C150" s="334">
        <v>0</v>
      </c>
      <c r="D150" s="334">
        <v>4</v>
      </c>
      <c r="E150" s="334">
        <v>9</v>
      </c>
      <c r="F150" s="334">
        <v>22</v>
      </c>
      <c r="G150" s="334">
        <v>27</v>
      </c>
      <c r="H150" s="334">
        <v>55</v>
      </c>
      <c r="I150" s="334">
        <v>42</v>
      </c>
      <c r="J150" s="334">
        <v>22</v>
      </c>
      <c r="K150" s="334">
        <v>0</v>
      </c>
    </row>
    <row r="151" spans="1:11">
      <c r="A151" s="332" t="s">
        <v>69</v>
      </c>
      <c r="B151" s="334">
        <v>99</v>
      </c>
      <c r="C151" s="334">
        <v>1</v>
      </c>
      <c r="D151" s="334">
        <v>1</v>
      </c>
      <c r="E151" s="334">
        <v>6</v>
      </c>
      <c r="F151" s="334">
        <v>4</v>
      </c>
      <c r="G151" s="334">
        <v>5</v>
      </c>
      <c r="H151" s="334">
        <v>18</v>
      </c>
      <c r="I151" s="334">
        <v>33</v>
      </c>
      <c r="J151" s="334">
        <v>31</v>
      </c>
      <c r="K151" s="334">
        <v>0</v>
      </c>
    </row>
    <row r="152" spans="1:11">
      <c r="A152" s="332" t="s">
        <v>293</v>
      </c>
      <c r="B152" s="334">
        <v>98</v>
      </c>
      <c r="C152" s="334">
        <v>0</v>
      </c>
      <c r="D152" s="334">
        <v>1</v>
      </c>
      <c r="E152" s="334">
        <v>1</v>
      </c>
      <c r="F152" s="334">
        <v>2</v>
      </c>
      <c r="G152" s="334">
        <v>10</v>
      </c>
      <c r="H152" s="334">
        <v>9</v>
      </c>
      <c r="I152" s="334">
        <v>10</v>
      </c>
      <c r="J152" s="334">
        <v>65</v>
      </c>
      <c r="K152" s="334">
        <v>0</v>
      </c>
    </row>
    <row r="153" spans="1:11">
      <c r="A153" s="332" t="s">
        <v>33</v>
      </c>
      <c r="B153" s="334">
        <v>18</v>
      </c>
      <c r="C153" s="334">
        <v>0</v>
      </c>
      <c r="D153" s="334">
        <v>5</v>
      </c>
      <c r="E153" s="334">
        <v>6</v>
      </c>
      <c r="F153" s="334">
        <v>2</v>
      </c>
      <c r="G153" s="334">
        <v>2</v>
      </c>
      <c r="H153" s="334">
        <v>1</v>
      </c>
      <c r="I153" s="334">
        <v>0</v>
      </c>
      <c r="J153" s="334">
        <v>0</v>
      </c>
      <c r="K153" s="334">
        <v>2</v>
      </c>
    </row>
    <row r="154" spans="1:11" ht="5.0999999999999996" customHeight="1">
      <c r="B154" s="334"/>
      <c r="C154" s="334"/>
      <c r="D154" s="334"/>
      <c r="E154" s="334"/>
      <c r="F154" s="334"/>
      <c r="G154" s="334"/>
      <c r="H154" s="334"/>
      <c r="I154" s="334"/>
      <c r="J154" s="334"/>
      <c r="K154" s="334"/>
    </row>
    <row r="155" spans="1:11">
      <c r="A155" s="335" t="s">
        <v>87</v>
      </c>
      <c r="B155" s="333">
        <v>1024</v>
      </c>
      <c r="C155" s="333">
        <v>7</v>
      </c>
      <c r="D155" s="333">
        <v>146</v>
      </c>
      <c r="E155" s="333">
        <v>234</v>
      </c>
      <c r="F155" s="333">
        <v>176</v>
      </c>
      <c r="G155" s="333">
        <v>137</v>
      </c>
      <c r="H155" s="333">
        <v>99</v>
      </c>
      <c r="I155" s="333">
        <v>79</v>
      </c>
      <c r="J155" s="333">
        <v>138</v>
      </c>
      <c r="K155" s="333">
        <v>8</v>
      </c>
    </row>
    <row r="156" spans="1:11" ht="5.0999999999999996" customHeight="1">
      <c r="B156" s="334"/>
      <c r="C156" s="334"/>
      <c r="D156" s="334"/>
      <c r="E156" s="334"/>
      <c r="F156" s="334"/>
      <c r="G156" s="334"/>
      <c r="H156" s="334"/>
      <c r="I156" s="334"/>
      <c r="J156" s="334"/>
      <c r="K156" s="334"/>
    </row>
    <row r="157" spans="1:11">
      <c r="A157" s="332" t="s">
        <v>63</v>
      </c>
      <c r="B157" s="334">
        <v>57</v>
      </c>
      <c r="C157" s="334">
        <v>1</v>
      </c>
      <c r="D157" s="334">
        <v>28</v>
      </c>
      <c r="E157" s="334">
        <v>17</v>
      </c>
      <c r="F157" s="334">
        <v>9</v>
      </c>
      <c r="G157" s="334">
        <v>2</v>
      </c>
      <c r="H157" s="334">
        <v>0</v>
      </c>
      <c r="I157" s="334">
        <v>0</v>
      </c>
      <c r="J157" s="334">
        <v>0</v>
      </c>
      <c r="K157" s="334">
        <v>0</v>
      </c>
    </row>
    <row r="158" spans="1:11">
      <c r="A158" s="332" t="s">
        <v>64</v>
      </c>
      <c r="B158" s="334">
        <v>219</v>
      </c>
      <c r="C158" s="334">
        <v>5</v>
      </c>
      <c r="D158" s="334">
        <v>74</v>
      </c>
      <c r="E158" s="334">
        <v>88</v>
      </c>
      <c r="F158" s="334">
        <v>31</v>
      </c>
      <c r="G158" s="334">
        <v>6</v>
      </c>
      <c r="H158" s="334">
        <v>7</v>
      </c>
      <c r="I158" s="334">
        <v>3</v>
      </c>
      <c r="J158" s="334">
        <v>5</v>
      </c>
      <c r="K158" s="334">
        <v>0</v>
      </c>
    </row>
    <row r="159" spans="1:11">
      <c r="A159" s="332" t="s">
        <v>65</v>
      </c>
      <c r="B159" s="334">
        <v>217</v>
      </c>
      <c r="C159" s="334">
        <v>1</v>
      </c>
      <c r="D159" s="334">
        <v>32</v>
      </c>
      <c r="E159" s="334">
        <v>83</v>
      </c>
      <c r="F159" s="334">
        <v>55</v>
      </c>
      <c r="G159" s="334">
        <v>21</v>
      </c>
      <c r="H159" s="334">
        <v>10</v>
      </c>
      <c r="I159" s="334">
        <v>7</v>
      </c>
      <c r="J159" s="334">
        <v>8</v>
      </c>
      <c r="K159" s="334">
        <v>0</v>
      </c>
    </row>
    <row r="160" spans="1:11">
      <c r="A160" s="332" t="s">
        <v>66</v>
      </c>
      <c r="B160" s="334">
        <v>171</v>
      </c>
      <c r="C160" s="334">
        <v>0</v>
      </c>
      <c r="D160" s="334">
        <v>6</v>
      </c>
      <c r="E160" s="334">
        <v>29</v>
      </c>
      <c r="F160" s="334">
        <v>44</v>
      </c>
      <c r="G160" s="334">
        <v>55</v>
      </c>
      <c r="H160" s="334">
        <v>18</v>
      </c>
      <c r="I160" s="334">
        <v>11</v>
      </c>
      <c r="J160" s="334">
        <v>8</v>
      </c>
      <c r="K160" s="334">
        <v>0</v>
      </c>
    </row>
    <row r="161" spans="1:11">
      <c r="A161" s="332" t="s">
        <v>67</v>
      </c>
      <c r="B161" s="334">
        <v>122</v>
      </c>
      <c r="C161" s="334">
        <v>0</v>
      </c>
      <c r="D161" s="334">
        <v>3</v>
      </c>
      <c r="E161" s="334">
        <v>10</v>
      </c>
      <c r="F161" s="334">
        <v>22</v>
      </c>
      <c r="G161" s="334">
        <v>32</v>
      </c>
      <c r="H161" s="334">
        <v>20</v>
      </c>
      <c r="I161" s="334">
        <v>18</v>
      </c>
      <c r="J161" s="334">
        <v>17</v>
      </c>
      <c r="K161" s="334">
        <v>0</v>
      </c>
    </row>
    <row r="162" spans="1:11">
      <c r="A162" s="332" t="s">
        <v>68</v>
      </c>
      <c r="B162" s="334">
        <v>81</v>
      </c>
      <c r="C162" s="334">
        <v>0</v>
      </c>
      <c r="D162" s="334">
        <v>2</v>
      </c>
      <c r="E162" s="334">
        <v>3</v>
      </c>
      <c r="F162" s="334">
        <v>9</v>
      </c>
      <c r="G162" s="334">
        <v>8</v>
      </c>
      <c r="H162" s="334">
        <v>23</v>
      </c>
      <c r="I162" s="334">
        <v>21</v>
      </c>
      <c r="J162" s="334">
        <v>15</v>
      </c>
      <c r="K162" s="334">
        <v>0</v>
      </c>
    </row>
    <row r="163" spans="1:11">
      <c r="A163" s="332" t="s">
        <v>69</v>
      </c>
      <c r="B163" s="334">
        <v>68</v>
      </c>
      <c r="C163" s="334">
        <v>0</v>
      </c>
      <c r="D163" s="334">
        <v>0</v>
      </c>
      <c r="E163" s="334">
        <v>2</v>
      </c>
      <c r="F163" s="334">
        <v>4</v>
      </c>
      <c r="G163" s="334">
        <v>11</v>
      </c>
      <c r="H163" s="334">
        <v>13</v>
      </c>
      <c r="I163" s="334">
        <v>11</v>
      </c>
      <c r="J163" s="334">
        <v>27</v>
      </c>
      <c r="K163" s="334">
        <v>0</v>
      </c>
    </row>
    <row r="164" spans="1:11">
      <c r="A164" s="332" t="s">
        <v>293</v>
      </c>
      <c r="B164" s="334">
        <v>77</v>
      </c>
      <c r="C164" s="334">
        <v>0</v>
      </c>
      <c r="D164" s="334">
        <v>1</v>
      </c>
      <c r="E164" s="334">
        <v>1</v>
      </c>
      <c r="F164" s="334">
        <v>1</v>
      </c>
      <c r="G164" s="334">
        <v>0</v>
      </c>
      <c r="H164" s="334">
        <v>8</v>
      </c>
      <c r="I164" s="334">
        <v>8</v>
      </c>
      <c r="J164" s="334">
        <v>58</v>
      </c>
      <c r="K164" s="334">
        <v>0</v>
      </c>
    </row>
    <row r="165" spans="1:11">
      <c r="A165" s="332" t="s">
        <v>33</v>
      </c>
      <c r="B165" s="334">
        <v>12</v>
      </c>
      <c r="C165" s="334">
        <v>0</v>
      </c>
      <c r="D165" s="334">
        <v>0</v>
      </c>
      <c r="E165" s="334">
        <v>1</v>
      </c>
      <c r="F165" s="334">
        <v>1</v>
      </c>
      <c r="G165" s="334">
        <v>2</v>
      </c>
      <c r="H165" s="334">
        <v>0</v>
      </c>
      <c r="I165" s="334">
        <v>0</v>
      </c>
      <c r="J165" s="334">
        <v>0</v>
      </c>
      <c r="K165" s="334">
        <v>8</v>
      </c>
    </row>
    <row r="166" spans="1:11" ht="5.0999999999999996" customHeight="1">
      <c r="B166" s="334"/>
      <c r="C166" s="334"/>
      <c r="D166" s="334"/>
      <c r="E166" s="334"/>
      <c r="F166" s="334"/>
      <c r="G166" s="334"/>
      <c r="H166" s="334"/>
      <c r="I166" s="334"/>
      <c r="J166" s="334"/>
      <c r="K166" s="334"/>
    </row>
    <row r="167" spans="1:11">
      <c r="A167" s="335" t="s">
        <v>88</v>
      </c>
      <c r="B167" s="333">
        <v>1942</v>
      </c>
      <c r="C167" s="333">
        <v>24</v>
      </c>
      <c r="D167" s="333">
        <v>247</v>
      </c>
      <c r="E167" s="333">
        <v>361</v>
      </c>
      <c r="F167" s="333">
        <v>340</v>
      </c>
      <c r="G167" s="333">
        <v>244</v>
      </c>
      <c r="H167" s="333">
        <v>235</v>
      </c>
      <c r="I167" s="333">
        <v>149</v>
      </c>
      <c r="J167" s="333">
        <v>312</v>
      </c>
      <c r="K167" s="333">
        <v>30</v>
      </c>
    </row>
    <row r="168" spans="1:11" ht="5.0999999999999996" customHeight="1">
      <c r="B168" s="334"/>
      <c r="C168" s="334"/>
      <c r="D168" s="334"/>
      <c r="E168" s="334"/>
      <c r="F168" s="334"/>
      <c r="G168" s="334"/>
      <c r="H168" s="334"/>
      <c r="I168" s="334"/>
      <c r="J168" s="334"/>
      <c r="K168" s="334"/>
    </row>
    <row r="169" spans="1:11">
      <c r="A169" s="332" t="s">
        <v>63</v>
      </c>
      <c r="B169" s="334">
        <v>155</v>
      </c>
      <c r="C169" s="334">
        <v>12</v>
      </c>
      <c r="D169" s="334">
        <v>61</v>
      </c>
      <c r="E169" s="334">
        <v>40</v>
      </c>
      <c r="F169" s="334">
        <v>23</v>
      </c>
      <c r="G169" s="334">
        <v>8</v>
      </c>
      <c r="H169" s="334">
        <v>3</v>
      </c>
      <c r="I169" s="334">
        <v>3</v>
      </c>
      <c r="J169" s="334">
        <v>5</v>
      </c>
      <c r="K169" s="334">
        <v>0</v>
      </c>
    </row>
    <row r="170" spans="1:11">
      <c r="A170" s="332" t="s">
        <v>64</v>
      </c>
      <c r="B170" s="334">
        <v>437</v>
      </c>
      <c r="C170" s="334">
        <v>8</v>
      </c>
      <c r="D170" s="334">
        <v>120</v>
      </c>
      <c r="E170" s="334">
        <v>147</v>
      </c>
      <c r="F170" s="334">
        <v>80</v>
      </c>
      <c r="G170" s="334">
        <v>37</v>
      </c>
      <c r="H170" s="334">
        <v>20</v>
      </c>
      <c r="I170" s="334">
        <v>10</v>
      </c>
      <c r="J170" s="334">
        <v>15</v>
      </c>
      <c r="K170" s="334">
        <v>0</v>
      </c>
    </row>
    <row r="171" spans="1:11">
      <c r="A171" s="332" t="s">
        <v>65</v>
      </c>
      <c r="B171" s="334">
        <v>383</v>
      </c>
      <c r="C171" s="334">
        <v>1</v>
      </c>
      <c r="D171" s="334">
        <v>40</v>
      </c>
      <c r="E171" s="334">
        <v>110</v>
      </c>
      <c r="F171" s="334">
        <v>102</v>
      </c>
      <c r="G171" s="334">
        <v>46</v>
      </c>
      <c r="H171" s="334">
        <v>35</v>
      </c>
      <c r="I171" s="334">
        <v>27</v>
      </c>
      <c r="J171" s="334">
        <v>20</v>
      </c>
      <c r="K171" s="334">
        <v>2</v>
      </c>
    </row>
    <row r="172" spans="1:11">
      <c r="A172" s="332" t="s">
        <v>66</v>
      </c>
      <c r="B172" s="334">
        <v>290</v>
      </c>
      <c r="C172" s="334">
        <v>3</v>
      </c>
      <c r="D172" s="334">
        <v>16</v>
      </c>
      <c r="E172" s="334">
        <v>27</v>
      </c>
      <c r="F172" s="334">
        <v>75</v>
      </c>
      <c r="G172" s="334">
        <v>73</v>
      </c>
      <c r="H172" s="334">
        <v>39</v>
      </c>
      <c r="I172" s="334">
        <v>24</v>
      </c>
      <c r="J172" s="334">
        <v>33</v>
      </c>
      <c r="K172" s="334">
        <v>0</v>
      </c>
    </row>
    <row r="173" spans="1:11">
      <c r="A173" s="332" t="s">
        <v>67</v>
      </c>
      <c r="B173" s="334">
        <v>203</v>
      </c>
      <c r="C173" s="334">
        <v>0</v>
      </c>
      <c r="D173" s="334">
        <v>3</v>
      </c>
      <c r="E173" s="334">
        <v>15</v>
      </c>
      <c r="F173" s="334">
        <v>33</v>
      </c>
      <c r="G173" s="334">
        <v>44</v>
      </c>
      <c r="H173" s="334">
        <v>60</v>
      </c>
      <c r="I173" s="334">
        <v>23</v>
      </c>
      <c r="J173" s="334">
        <v>25</v>
      </c>
      <c r="K173" s="334">
        <v>0</v>
      </c>
    </row>
    <row r="174" spans="1:11">
      <c r="A174" s="332" t="s">
        <v>68</v>
      </c>
      <c r="B174" s="334">
        <v>188</v>
      </c>
      <c r="C174" s="334">
        <v>0</v>
      </c>
      <c r="D174" s="334">
        <v>3</v>
      </c>
      <c r="E174" s="334">
        <v>12</v>
      </c>
      <c r="F174" s="334">
        <v>17</v>
      </c>
      <c r="G174" s="334">
        <v>24</v>
      </c>
      <c r="H174" s="334">
        <v>49</v>
      </c>
      <c r="I174" s="334">
        <v>32</v>
      </c>
      <c r="J174" s="334">
        <v>51</v>
      </c>
      <c r="K174" s="334">
        <v>0</v>
      </c>
    </row>
    <row r="175" spans="1:11">
      <c r="A175" s="332" t="s">
        <v>69</v>
      </c>
      <c r="B175" s="334">
        <v>114</v>
      </c>
      <c r="C175" s="334">
        <v>0</v>
      </c>
      <c r="D175" s="334">
        <v>1</v>
      </c>
      <c r="E175" s="334">
        <v>5</v>
      </c>
      <c r="F175" s="334">
        <v>6</v>
      </c>
      <c r="G175" s="334">
        <v>7</v>
      </c>
      <c r="H175" s="334">
        <v>16</v>
      </c>
      <c r="I175" s="334">
        <v>23</v>
      </c>
      <c r="J175" s="334">
        <v>55</v>
      </c>
      <c r="K175" s="334">
        <v>1</v>
      </c>
    </row>
    <row r="176" spans="1:11">
      <c r="A176" s="332" t="s">
        <v>293</v>
      </c>
      <c r="B176" s="334">
        <v>139</v>
      </c>
      <c r="C176" s="334">
        <v>0</v>
      </c>
      <c r="D176" s="334">
        <v>1</v>
      </c>
      <c r="E176" s="334">
        <v>5</v>
      </c>
      <c r="F176" s="334">
        <v>4</v>
      </c>
      <c r="G176" s="334">
        <v>5</v>
      </c>
      <c r="H176" s="334">
        <v>12</v>
      </c>
      <c r="I176" s="334">
        <v>7</v>
      </c>
      <c r="J176" s="334">
        <v>105</v>
      </c>
      <c r="K176" s="334">
        <v>0</v>
      </c>
    </row>
    <row r="177" spans="1:11">
      <c r="A177" s="332" t="s">
        <v>33</v>
      </c>
      <c r="B177" s="334">
        <v>33</v>
      </c>
      <c r="C177" s="334">
        <v>0</v>
      </c>
      <c r="D177" s="334">
        <v>2</v>
      </c>
      <c r="E177" s="334">
        <v>0</v>
      </c>
      <c r="F177" s="334">
        <v>0</v>
      </c>
      <c r="G177" s="334">
        <v>0</v>
      </c>
      <c r="H177" s="334">
        <v>1</v>
      </c>
      <c r="I177" s="334">
        <v>0</v>
      </c>
      <c r="J177" s="334">
        <v>3</v>
      </c>
      <c r="K177" s="334">
        <v>27</v>
      </c>
    </row>
    <row r="178" spans="1:11" ht="5.0999999999999996" customHeight="1">
      <c r="B178" s="334"/>
      <c r="C178" s="334"/>
      <c r="D178" s="334"/>
      <c r="E178" s="334"/>
      <c r="F178" s="334"/>
      <c r="G178" s="334"/>
      <c r="H178" s="334"/>
      <c r="I178" s="334"/>
      <c r="J178" s="334"/>
      <c r="K178" s="334"/>
    </row>
    <row r="179" spans="1:11">
      <c r="A179" s="335" t="s">
        <v>89</v>
      </c>
      <c r="B179" s="333">
        <v>540</v>
      </c>
      <c r="C179" s="333">
        <v>4</v>
      </c>
      <c r="D179" s="333">
        <v>53</v>
      </c>
      <c r="E179" s="333">
        <v>93</v>
      </c>
      <c r="F179" s="333">
        <v>89</v>
      </c>
      <c r="G179" s="333">
        <v>85</v>
      </c>
      <c r="H179" s="333">
        <v>76</v>
      </c>
      <c r="I179" s="333">
        <v>52</v>
      </c>
      <c r="J179" s="333">
        <v>87</v>
      </c>
      <c r="K179" s="333">
        <v>1</v>
      </c>
    </row>
    <row r="180" spans="1:11" ht="5.0999999999999996" customHeight="1">
      <c r="B180" s="334"/>
      <c r="C180" s="334"/>
      <c r="D180" s="334"/>
      <c r="E180" s="334"/>
      <c r="F180" s="334"/>
      <c r="G180" s="334"/>
      <c r="H180" s="334"/>
      <c r="I180" s="334"/>
      <c r="J180" s="334"/>
      <c r="K180" s="334"/>
    </row>
    <row r="181" spans="1:11">
      <c r="A181" s="332" t="s">
        <v>63</v>
      </c>
      <c r="B181" s="334">
        <v>41</v>
      </c>
      <c r="C181" s="334">
        <v>1</v>
      </c>
      <c r="D181" s="334">
        <v>16</v>
      </c>
      <c r="E181" s="334">
        <v>12</v>
      </c>
      <c r="F181" s="334">
        <v>7</v>
      </c>
      <c r="G181" s="334">
        <v>1</v>
      </c>
      <c r="H181" s="334">
        <v>3</v>
      </c>
      <c r="I181" s="334">
        <v>1</v>
      </c>
      <c r="J181" s="334">
        <v>0</v>
      </c>
      <c r="K181" s="334">
        <v>0</v>
      </c>
    </row>
    <row r="182" spans="1:11">
      <c r="A182" s="332" t="s">
        <v>64</v>
      </c>
      <c r="B182" s="334">
        <v>110</v>
      </c>
      <c r="C182" s="334">
        <v>2</v>
      </c>
      <c r="D182" s="334">
        <v>16</v>
      </c>
      <c r="E182" s="334">
        <v>40</v>
      </c>
      <c r="F182" s="334">
        <v>17</v>
      </c>
      <c r="G182" s="334">
        <v>13</v>
      </c>
      <c r="H182" s="334">
        <v>9</v>
      </c>
      <c r="I182" s="334">
        <v>6</v>
      </c>
      <c r="J182" s="334">
        <v>6</v>
      </c>
      <c r="K182" s="334">
        <v>1</v>
      </c>
    </row>
    <row r="183" spans="1:11">
      <c r="A183" s="332" t="s">
        <v>65</v>
      </c>
      <c r="B183" s="334">
        <v>95</v>
      </c>
      <c r="C183" s="334">
        <v>1</v>
      </c>
      <c r="D183" s="334">
        <v>7</v>
      </c>
      <c r="E183" s="334">
        <v>20</v>
      </c>
      <c r="F183" s="334">
        <v>25</v>
      </c>
      <c r="G183" s="334">
        <v>19</v>
      </c>
      <c r="H183" s="334">
        <v>10</v>
      </c>
      <c r="I183" s="334">
        <v>5</v>
      </c>
      <c r="J183" s="334">
        <v>8</v>
      </c>
      <c r="K183" s="334">
        <v>0</v>
      </c>
    </row>
    <row r="184" spans="1:11">
      <c r="A184" s="332" t="s">
        <v>66</v>
      </c>
      <c r="B184" s="334">
        <v>95</v>
      </c>
      <c r="C184" s="334">
        <v>0</v>
      </c>
      <c r="D184" s="334">
        <v>8</v>
      </c>
      <c r="E184" s="334">
        <v>13</v>
      </c>
      <c r="F184" s="334">
        <v>20</v>
      </c>
      <c r="G184" s="334">
        <v>22</v>
      </c>
      <c r="H184" s="334">
        <v>14</v>
      </c>
      <c r="I184" s="334">
        <v>9</v>
      </c>
      <c r="J184" s="334">
        <v>9</v>
      </c>
      <c r="K184" s="334">
        <v>0</v>
      </c>
    </row>
    <row r="185" spans="1:11">
      <c r="A185" s="332" t="s">
        <v>67</v>
      </c>
      <c r="B185" s="334">
        <v>67</v>
      </c>
      <c r="C185" s="334">
        <v>0</v>
      </c>
      <c r="D185" s="334">
        <v>4</v>
      </c>
      <c r="E185" s="334">
        <v>4</v>
      </c>
      <c r="F185" s="334">
        <v>7</v>
      </c>
      <c r="G185" s="334">
        <v>16</v>
      </c>
      <c r="H185" s="334">
        <v>19</v>
      </c>
      <c r="I185" s="334">
        <v>5</v>
      </c>
      <c r="J185" s="334">
        <v>12</v>
      </c>
      <c r="K185" s="334">
        <v>0</v>
      </c>
    </row>
    <row r="186" spans="1:11">
      <c r="A186" s="332" t="s">
        <v>68</v>
      </c>
      <c r="B186" s="334">
        <v>49</v>
      </c>
      <c r="C186" s="334">
        <v>0</v>
      </c>
      <c r="D186" s="334">
        <v>1</v>
      </c>
      <c r="E186" s="334">
        <v>1</v>
      </c>
      <c r="F186" s="334">
        <v>10</v>
      </c>
      <c r="G186" s="334">
        <v>9</v>
      </c>
      <c r="H186" s="334">
        <v>11</v>
      </c>
      <c r="I186" s="334">
        <v>10</v>
      </c>
      <c r="J186" s="334">
        <v>7</v>
      </c>
      <c r="K186" s="334">
        <v>0</v>
      </c>
    </row>
    <row r="187" spans="1:11">
      <c r="A187" s="332" t="s">
        <v>69</v>
      </c>
      <c r="B187" s="334">
        <v>36</v>
      </c>
      <c r="C187" s="334">
        <v>0</v>
      </c>
      <c r="D187" s="334">
        <v>0</v>
      </c>
      <c r="E187" s="334">
        <v>1</v>
      </c>
      <c r="F187" s="334">
        <v>2</v>
      </c>
      <c r="G187" s="334">
        <v>3</v>
      </c>
      <c r="H187" s="334">
        <v>4</v>
      </c>
      <c r="I187" s="334">
        <v>11</v>
      </c>
      <c r="J187" s="334">
        <v>15</v>
      </c>
      <c r="K187" s="334">
        <v>0</v>
      </c>
    </row>
    <row r="188" spans="1:11">
      <c r="A188" s="332" t="s">
        <v>293</v>
      </c>
      <c r="B188" s="334">
        <v>46</v>
      </c>
      <c r="C188" s="334">
        <v>0</v>
      </c>
      <c r="D188" s="334">
        <v>1</v>
      </c>
      <c r="E188" s="334">
        <v>1</v>
      </c>
      <c r="F188" s="334">
        <v>1</v>
      </c>
      <c r="G188" s="334">
        <v>2</v>
      </c>
      <c r="H188" s="334">
        <v>6</v>
      </c>
      <c r="I188" s="334">
        <v>5</v>
      </c>
      <c r="J188" s="334">
        <v>30</v>
      </c>
      <c r="K188" s="334">
        <v>0</v>
      </c>
    </row>
    <row r="189" spans="1:11">
      <c r="A189" s="332" t="s">
        <v>33</v>
      </c>
      <c r="B189" s="334">
        <v>1</v>
      </c>
      <c r="C189" s="334">
        <v>0</v>
      </c>
      <c r="D189" s="334">
        <v>0</v>
      </c>
      <c r="E189" s="334">
        <v>1</v>
      </c>
      <c r="F189" s="334">
        <v>0</v>
      </c>
      <c r="G189" s="334">
        <v>0</v>
      </c>
      <c r="H189" s="334">
        <v>0</v>
      </c>
      <c r="I189" s="334">
        <v>0</v>
      </c>
      <c r="J189" s="334">
        <v>0</v>
      </c>
      <c r="K189" s="334">
        <v>0</v>
      </c>
    </row>
    <row r="190" spans="1:11" ht="5.0999999999999996" customHeight="1">
      <c r="B190" s="334"/>
      <c r="C190" s="334"/>
      <c r="D190" s="334"/>
      <c r="E190" s="334"/>
      <c r="F190" s="334"/>
      <c r="G190" s="334"/>
      <c r="H190" s="334"/>
      <c r="I190" s="334"/>
      <c r="J190" s="334"/>
      <c r="K190" s="334"/>
    </row>
    <row r="191" spans="1:11">
      <c r="A191" s="335" t="s">
        <v>369</v>
      </c>
      <c r="B191" s="333">
        <v>369</v>
      </c>
      <c r="C191" s="333">
        <v>4</v>
      </c>
      <c r="D191" s="333">
        <v>37</v>
      </c>
      <c r="E191" s="333">
        <v>57</v>
      </c>
      <c r="F191" s="333">
        <v>58</v>
      </c>
      <c r="G191" s="333">
        <v>62</v>
      </c>
      <c r="H191" s="333">
        <v>46</v>
      </c>
      <c r="I191" s="333">
        <v>34</v>
      </c>
      <c r="J191" s="333">
        <v>66</v>
      </c>
      <c r="K191" s="333">
        <v>5</v>
      </c>
    </row>
    <row r="192" spans="1:11" ht="5.0999999999999996" customHeight="1">
      <c r="B192" s="334"/>
      <c r="C192" s="334"/>
      <c r="D192" s="334"/>
      <c r="E192" s="334"/>
      <c r="F192" s="334"/>
      <c r="G192" s="334"/>
      <c r="H192" s="334"/>
      <c r="I192" s="334"/>
      <c r="J192" s="334"/>
      <c r="K192" s="334"/>
    </row>
    <row r="193" spans="1:11">
      <c r="A193" s="332" t="s">
        <v>62</v>
      </c>
      <c r="B193" s="334">
        <v>1</v>
      </c>
      <c r="C193" s="334">
        <v>0</v>
      </c>
      <c r="D193" s="334">
        <v>0</v>
      </c>
      <c r="E193" s="334">
        <v>1</v>
      </c>
      <c r="F193" s="334">
        <v>0</v>
      </c>
      <c r="G193" s="334">
        <v>0</v>
      </c>
      <c r="H193" s="334">
        <v>0</v>
      </c>
      <c r="I193" s="334">
        <v>0</v>
      </c>
      <c r="J193" s="334">
        <v>0</v>
      </c>
      <c r="K193" s="334">
        <v>0</v>
      </c>
    </row>
    <row r="194" spans="1:11">
      <c r="A194" s="332" t="s">
        <v>63</v>
      </c>
      <c r="B194" s="334">
        <v>32</v>
      </c>
      <c r="C194" s="334">
        <v>1</v>
      </c>
      <c r="D194" s="334">
        <v>11</v>
      </c>
      <c r="E194" s="334">
        <v>9</v>
      </c>
      <c r="F194" s="334">
        <v>6</v>
      </c>
      <c r="G194" s="334">
        <v>5</v>
      </c>
      <c r="H194" s="334">
        <v>0</v>
      </c>
      <c r="I194" s="334">
        <v>0</v>
      </c>
      <c r="J194" s="334">
        <v>0</v>
      </c>
      <c r="K194" s="334">
        <v>0</v>
      </c>
    </row>
    <row r="195" spans="1:11">
      <c r="A195" s="332" t="s">
        <v>64</v>
      </c>
      <c r="B195" s="334">
        <v>66</v>
      </c>
      <c r="C195" s="334">
        <v>2</v>
      </c>
      <c r="D195" s="334">
        <v>14</v>
      </c>
      <c r="E195" s="334">
        <v>25</v>
      </c>
      <c r="F195" s="334">
        <v>9</v>
      </c>
      <c r="G195" s="334">
        <v>9</v>
      </c>
      <c r="H195" s="334">
        <v>4</v>
      </c>
      <c r="I195" s="334">
        <v>2</v>
      </c>
      <c r="J195" s="334">
        <v>1</v>
      </c>
      <c r="K195" s="334">
        <v>0</v>
      </c>
    </row>
    <row r="196" spans="1:11">
      <c r="A196" s="332" t="s">
        <v>65</v>
      </c>
      <c r="B196" s="334">
        <v>49</v>
      </c>
      <c r="C196" s="334">
        <v>0</v>
      </c>
      <c r="D196" s="334">
        <v>7</v>
      </c>
      <c r="E196" s="334">
        <v>12</v>
      </c>
      <c r="F196" s="334">
        <v>12</v>
      </c>
      <c r="G196" s="334">
        <v>9</v>
      </c>
      <c r="H196" s="334">
        <v>4</v>
      </c>
      <c r="I196" s="334">
        <v>2</v>
      </c>
      <c r="J196" s="334">
        <v>3</v>
      </c>
      <c r="K196" s="334">
        <v>0</v>
      </c>
    </row>
    <row r="197" spans="1:11">
      <c r="A197" s="332" t="s">
        <v>66</v>
      </c>
      <c r="B197" s="334">
        <v>56</v>
      </c>
      <c r="C197" s="334">
        <v>0</v>
      </c>
      <c r="D197" s="334">
        <v>2</v>
      </c>
      <c r="E197" s="334">
        <v>6</v>
      </c>
      <c r="F197" s="334">
        <v>16</v>
      </c>
      <c r="G197" s="334">
        <v>13</v>
      </c>
      <c r="H197" s="334">
        <v>9</v>
      </c>
      <c r="I197" s="334">
        <v>5</v>
      </c>
      <c r="J197" s="334">
        <v>5</v>
      </c>
      <c r="K197" s="334">
        <v>0</v>
      </c>
    </row>
    <row r="198" spans="1:11">
      <c r="A198" s="332" t="s">
        <v>67</v>
      </c>
      <c r="B198" s="334">
        <v>55</v>
      </c>
      <c r="C198" s="334">
        <v>0</v>
      </c>
      <c r="D198" s="334">
        <v>1</v>
      </c>
      <c r="E198" s="334">
        <v>2</v>
      </c>
      <c r="F198" s="334">
        <v>8</v>
      </c>
      <c r="G198" s="334">
        <v>18</v>
      </c>
      <c r="H198" s="334">
        <v>9</v>
      </c>
      <c r="I198" s="334">
        <v>9</v>
      </c>
      <c r="J198" s="334">
        <v>8</v>
      </c>
      <c r="K198" s="334">
        <v>0</v>
      </c>
    </row>
    <row r="199" spans="1:11">
      <c r="A199" s="332" t="s">
        <v>68</v>
      </c>
      <c r="B199" s="334">
        <v>35</v>
      </c>
      <c r="C199" s="334">
        <v>0</v>
      </c>
      <c r="D199" s="334">
        <v>0</v>
      </c>
      <c r="E199" s="334">
        <v>0</v>
      </c>
      <c r="F199" s="334">
        <v>3</v>
      </c>
      <c r="G199" s="334">
        <v>3</v>
      </c>
      <c r="H199" s="334">
        <v>14</v>
      </c>
      <c r="I199" s="334">
        <v>7</v>
      </c>
      <c r="J199" s="334">
        <v>8</v>
      </c>
      <c r="K199" s="334">
        <v>0</v>
      </c>
    </row>
    <row r="200" spans="1:11">
      <c r="A200" s="332" t="s">
        <v>69</v>
      </c>
      <c r="B200" s="334">
        <v>28</v>
      </c>
      <c r="C200" s="334">
        <v>0</v>
      </c>
      <c r="D200" s="334">
        <v>0</v>
      </c>
      <c r="E200" s="334">
        <v>1</v>
      </c>
      <c r="F200" s="334">
        <v>1</v>
      </c>
      <c r="G200" s="334">
        <v>3</v>
      </c>
      <c r="H200" s="334">
        <v>3</v>
      </c>
      <c r="I200" s="334">
        <v>9</v>
      </c>
      <c r="J200" s="334">
        <v>11</v>
      </c>
      <c r="K200" s="334">
        <v>0</v>
      </c>
    </row>
    <row r="201" spans="1:11">
      <c r="A201" s="332" t="s">
        <v>293</v>
      </c>
      <c r="B201" s="334">
        <v>38</v>
      </c>
      <c r="C201" s="334">
        <v>1</v>
      </c>
      <c r="D201" s="334">
        <v>1</v>
      </c>
      <c r="E201" s="334">
        <v>0</v>
      </c>
      <c r="F201" s="334">
        <v>2</v>
      </c>
      <c r="G201" s="334">
        <v>2</v>
      </c>
      <c r="H201" s="334">
        <v>3</v>
      </c>
      <c r="I201" s="334">
        <v>0</v>
      </c>
      <c r="J201" s="334">
        <v>29</v>
      </c>
      <c r="K201" s="334">
        <v>0</v>
      </c>
    </row>
    <row r="202" spans="1:11">
      <c r="A202" s="332" t="s">
        <v>33</v>
      </c>
      <c r="B202" s="334">
        <v>9</v>
      </c>
      <c r="C202" s="334">
        <v>0</v>
      </c>
      <c r="D202" s="334">
        <v>1</v>
      </c>
      <c r="E202" s="334">
        <v>1</v>
      </c>
      <c r="F202" s="334">
        <v>1</v>
      </c>
      <c r="G202" s="334">
        <v>0</v>
      </c>
      <c r="H202" s="334">
        <v>0</v>
      </c>
      <c r="I202" s="334">
        <v>0</v>
      </c>
      <c r="J202" s="334">
        <v>1</v>
      </c>
      <c r="K202" s="334">
        <v>5</v>
      </c>
    </row>
    <row r="203" spans="1:11" ht="5.0999999999999996" customHeight="1">
      <c r="B203" s="334"/>
      <c r="C203" s="334"/>
      <c r="D203" s="334"/>
      <c r="E203" s="334"/>
      <c r="F203" s="334"/>
      <c r="G203" s="334"/>
      <c r="H203" s="334"/>
      <c r="I203" s="334"/>
      <c r="J203" s="334"/>
      <c r="K203" s="334"/>
    </row>
    <row r="204" spans="1:11">
      <c r="A204" s="335" t="s">
        <v>91</v>
      </c>
      <c r="B204" s="333">
        <v>35</v>
      </c>
      <c r="C204" s="333">
        <v>1</v>
      </c>
      <c r="D204" s="333">
        <v>4</v>
      </c>
      <c r="E204" s="333">
        <v>9</v>
      </c>
      <c r="F204" s="333">
        <v>6</v>
      </c>
      <c r="G204" s="333">
        <v>5</v>
      </c>
      <c r="H204" s="333">
        <v>3</v>
      </c>
      <c r="I204" s="333">
        <v>2</v>
      </c>
      <c r="J204" s="333">
        <v>5</v>
      </c>
      <c r="K204" s="333">
        <v>0</v>
      </c>
    </row>
    <row r="205" spans="1:11" ht="5.0999999999999996" customHeight="1">
      <c r="B205" s="334"/>
      <c r="C205" s="334"/>
      <c r="D205" s="334"/>
      <c r="E205" s="334"/>
      <c r="F205" s="334"/>
      <c r="G205" s="334"/>
      <c r="H205" s="334"/>
      <c r="I205" s="334"/>
      <c r="J205" s="334"/>
      <c r="K205" s="334"/>
    </row>
    <row r="206" spans="1:11">
      <c r="A206" s="332" t="s">
        <v>63</v>
      </c>
      <c r="B206" s="334">
        <v>2</v>
      </c>
      <c r="C206" s="334">
        <v>0</v>
      </c>
      <c r="D206" s="334">
        <v>1</v>
      </c>
      <c r="E206" s="334">
        <v>1</v>
      </c>
      <c r="F206" s="334">
        <v>0</v>
      </c>
      <c r="G206" s="334">
        <v>0</v>
      </c>
      <c r="H206" s="334">
        <v>0</v>
      </c>
      <c r="I206" s="334">
        <v>0</v>
      </c>
      <c r="J206" s="334">
        <v>0</v>
      </c>
      <c r="K206" s="334">
        <v>0</v>
      </c>
    </row>
    <row r="207" spans="1:11">
      <c r="A207" s="332" t="s">
        <v>64</v>
      </c>
      <c r="B207" s="334">
        <v>9</v>
      </c>
      <c r="C207" s="334">
        <v>1</v>
      </c>
      <c r="D207" s="334">
        <v>2</v>
      </c>
      <c r="E207" s="334">
        <v>3</v>
      </c>
      <c r="F207" s="334">
        <v>2</v>
      </c>
      <c r="G207" s="334">
        <v>0</v>
      </c>
      <c r="H207" s="334">
        <v>1</v>
      </c>
      <c r="I207" s="334">
        <v>0</v>
      </c>
      <c r="J207" s="334">
        <v>0</v>
      </c>
      <c r="K207" s="334">
        <v>0</v>
      </c>
    </row>
    <row r="208" spans="1:11">
      <c r="A208" s="332" t="s">
        <v>65</v>
      </c>
      <c r="B208" s="334">
        <v>8</v>
      </c>
      <c r="C208" s="334">
        <v>0</v>
      </c>
      <c r="D208" s="334">
        <v>1</v>
      </c>
      <c r="E208" s="334">
        <v>4</v>
      </c>
      <c r="F208" s="334">
        <v>3</v>
      </c>
      <c r="G208" s="334">
        <v>0</v>
      </c>
      <c r="H208" s="334">
        <v>0</v>
      </c>
      <c r="I208" s="334">
        <v>0</v>
      </c>
      <c r="J208" s="334">
        <v>0</v>
      </c>
      <c r="K208" s="334">
        <v>0</v>
      </c>
    </row>
    <row r="209" spans="1:11">
      <c r="A209" s="332" t="s">
        <v>66</v>
      </c>
      <c r="B209" s="334">
        <v>1</v>
      </c>
      <c r="C209" s="334">
        <v>0</v>
      </c>
      <c r="D209" s="334">
        <v>0</v>
      </c>
      <c r="E209" s="334">
        <v>0</v>
      </c>
      <c r="F209" s="334">
        <v>0</v>
      </c>
      <c r="G209" s="334">
        <v>1</v>
      </c>
      <c r="H209" s="334">
        <v>0</v>
      </c>
      <c r="I209" s="334">
        <v>0</v>
      </c>
      <c r="J209" s="334">
        <v>0</v>
      </c>
      <c r="K209" s="334">
        <v>0</v>
      </c>
    </row>
    <row r="210" spans="1:11">
      <c r="A210" s="332" t="s">
        <v>67</v>
      </c>
      <c r="B210" s="334">
        <v>7</v>
      </c>
      <c r="C210" s="334">
        <v>0</v>
      </c>
      <c r="D210" s="334">
        <v>0</v>
      </c>
      <c r="E210" s="334">
        <v>1</v>
      </c>
      <c r="F210" s="334">
        <v>0</v>
      </c>
      <c r="G210" s="334">
        <v>4</v>
      </c>
      <c r="H210" s="334">
        <v>0</v>
      </c>
      <c r="I210" s="334">
        <v>1</v>
      </c>
      <c r="J210" s="334">
        <v>1</v>
      </c>
      <c r="K210" s="334">
        <v>0</v>
      </c>
    </row>
    <row r="211" spans="1:11">
      <c r="A211" s="332" t="s">
        <v>68</v>
      </c>
      <c r="B211" s="334">
        <v>5</v>
      </c>
      <c r="C211" s="334">
        <v>0</v>
      </c>
      <c r="D211" s="334">
        <v>0</v>
      </c>
      <c r="E211" s="334">
        <v>0</v>
      </c>
      <c r="F211" s="334">
        <v>1</v>
      </c>
      <c r="G211" s="334">
        <v>0</v>
      </c>
      <c r="H211" s="334">
        <v>2</v>
      </c>
      <c r="I211" s="334">
        <v>1</v>
      </c>
      <c r="J211" s="334">
        <v>1</v>
      </c>
      <c r="K211" s="334">
        <v>0</v>
      </c>
    </row>
    <row r="212" spans="1:11">
      <c r="A212" s="332" t="s">
        <v>69</v>
      </c>
      <c r="B212" s="334">
        <v>2</v>
      </c>
      <c r="C212" s="334">
        <v>0</v>
      </c>
      <c r="D212" s="334">
        <v>0</v>
      </c>
      <c r="E212" s="334">
        <v>0</v>
      </c>
      <c r="F212" s="334">
        <v>0</v>
      </c>
      <c r="G212" s="334">
        <v>0</v>
      </c>
      <c r="H212" s="334">
        <v>0</v>
      </c>
      <c r="I212" s="334">
        <v>0</v>
      </c>
      <c r="J212" s="334">
        <v>2</v>
      </c>
      <c r="K212" s="334">
        <v>0</v>
      </c>
    </row>
    <row r="213" spans="1:11">
      <c r="A213" s="332" t="s">
        <v>293</v>
      </c>
      <c r="B213" s="334">
        <v>1</v>
      </c>
      <c r="C213" s="334">
        <v>0</v>
      </c>
      <c r="D213" s="334">
        <v>0</v>
      </c>
      <c r="E213" s="334">
        <v>0</v>
      </c>
      <c r="F213" s="334">
        <v>0</v>
      </c>
      <c r="G213" s="334">
        <v>0</v>
      </c>
      <c r="H213" s="334">
        <v>0</v>
      </c>
      <c r="I213" s="334">
        <v>0</v>
      </c>
      <c r="J213" s="334">
        <v>1</v>
      </c>
      <c r="K213" s="334">
        <v>0</v>
      </c>
    </row>
    <row r="214" spans="1:11" ht="5.0999999999999996" customHeight="1">
      <c r="B214" s="334"/>
      <c r="C214" s="334"/>
      <c r="D214" s="334"/>
      <c r="E214" s="334"/>
      <c r="F214" s="334"/>
      <c r="G214" s="334"/>
      <c r="H214" s="334"/>
      <c r="I214" s="334"/>
      <c r="J214" s="334"/>
      <c r="K214" s="334"/>
    </row>
    <row r="215" spans="1:11">
      <c r="A215" s="335" t="s">
        <v>92</v>
      </c>
      <c r="B215" s="333">
        <v>599</v>
      </c>
      <c r="C215" s="333">
        <v>9</v>
      </c>
      <c r="D215" s="333">
        <v>86</v>
      </c>
      <c r="E215" s="333">
        <v>90</v>
      </c>
      <c r="F215" s="333">
        <v>101</v>
      </c>
      <c r="G215" s="333">
        <v>80</v>
      </c>
      <c r="H215" s="333">
        <v>64</v>
      </c>
      <c r="I215" s="333">
        <v>62</v>
      </c>
      <c r="J215" s="333">
        <v>103</v>
      </c>
      <c r="K215" s="333">
        <v>4</v>
      </c>
    </row>
    <row r="216" spans="1:11" ht="5.0999999999999996" customHeight="1">
      <c r="B216" s="334"/>
      <c r="C216" s="334"/>
      <c r="D216" s="334"/>
      <c r="E216" s="334"/>
      <c r="F216" s="334"/>
      <c r="G216" s="334"/>
      <c r="H216" s="334"/>
      <c r="I216" s="334"/>
      <c r="J216" s="334"/>
      <c r="K216" s="334"/>
    </row>
    <row r="217" spans="1:11">
      <c r="A217" s="332" t="s">
        <v>63</v>
      </c>
      <c r="B217" s="334">
        <v>53</v>
      </c>
      <c r="C217" s="334">
        <v>4</v>
      </c>
      <c r="D217" s="334">
        <v>32</v>
      </c>
      <c r="E217" s="334">
        <v>12</v>
      </c>
      <c r="F217" s="334">
        <v>1</v>
      </c>
      <c r="G217" s="334">
        <v>2</v>
      </c>
      <c r="H217" s="334">
        <v>0</v>
      </c>
      <c r="I217" s="334">
        <v>0</v>
      </c>
      <c r="J217" s="334">
        <v>2</v>
      </c>
      <c r="K217" s="334">
        <v>0</v>
      </c>
    </row>
    <row r="218" spans="1:11">
      <c r="A218" s="332" t="s">
        <v>64</v>
      </c>
      <c r="B218" s="334">
        <v>101</v>
      </c>
      <c r="C218" s="334">
        <v>3</v>
      </c>
      <c r="D218" s="334">
        <v>35</v>
      </c>
      <c r="E218" s="334">
        <v>29</v>
      </c>
      <c r="F218" s="334">
        <v>19</v>
      </c>
      <c r="G218" s="334">
        <v>7</v>
      </c>
      <c r="H218" s="334">
        <v>4</v>
      </c>
      <c r="I218" s="334">
        <v>4</v>
      </c>
      <c r="J218" s="334">
        <v>0</v>
      </c>
      <c r="K218" s="334">
        <v>0</v>
      </c>
    </row>
    <row r="219" spans="1:11">
      <c r="A219" s="332" t="s">
        <v>65</v>
      </c>
      <c r="B219" s="334">
        <v>102</v>
      </c>
      <c r="C219" s="334">
        <v>2</v>
      </c>
      <c r="D219" s="334">
        <v>14</v>
      </c>
      <c r="E219" s="334">
        <v>31</v>
      </c>
      <c r="F219" s="334">
        <v>27</v>
      </c>
      <c r="G219" s="334">
        <v>11</v>
      </c>
      <c r="H219" s="334">
        <v>6</v>
      </c>
      <c r="I219" s="334">
        <v>1</v>
      </c>
      <c r="J219" s="334">
        <v>10</v>
      </c>
      <c r="K219" s="334">
        <v>0</v>
      </c>
    </row>
    <row r="220" spans="1:11">
      <c r="A220" s="332" t="s">
        <v>66</v>
      </c>
      <c r="B220" s="334">
        <v>119</v>
      </c>
      <c r="C220" s="334">
        <v>0</v>
      </c>
      <c r="D220" s="334">
        <v>3</v>
      </c>
      <c r="E220" s="334">
        <v>13</v>
      </c>
      <c r="F220" s="334">
        <v>33</v>
      </c>
      <c r="G220" s="334">
        <v>31</v>
      </c>
      <c r="H220" s="334">
        <v>16</v>
      </c>
      <c r="I220" s="334">
        <v>12</v>
      </c>
      <c r="J220" s="334">
        <v>11</v>
      </c>
      <c r="K220" s="334">
        <v>0</v>
      </c>
    </row>
    <row r="221" spans="1:11">
      <c r="A221" s="332" t="s">
        <v>67</v>
      </c>
      <c r="B221" s="334">
        <v>75</v>
      </c>
      <c r="C221" s="334">
        <v>0</v>
      </c>
      <c r="D221" s="334">
        <v>2</v>
      </c>
      <c r="E221" s="334">
        <v>3</v>
      </c>
      <c r="F221" s="334">
        <v>7</v>
      </c>
      <c r="G221" s="334">
        <v>15</v>
      </c>
      <c r="H221" s="334">
        <v>23</v>
      </c>
      <c r="I221" s="334">
        <v>15</v>
      </c>
      <c r="J221" s="334">
        <v>9</v>
      </c>
      <c r="K221" s="334">
        <v>1</v>
      </c>
    </row>
    <row r="222" spans="1:11">
      <c r="A222" s="332" t="s">
        <v>68</v>
      </c>
      <c r="B222" s="334">
        <v>66</v>
      </c>
      <c r="C222" s="334">
        <v>0</v>
      </c>
      <c r="D222" s="334">
        <v>0</v>
      </c>
      <c r="E222" s="334">
        <v>2</v>
      </c>
      <c r="F222" s="334">
        <v>6</v>
      </c>
      <c r="G222" s="334">
        <v>10</v>
      </c>
      <c r="H222" s="334">
        <v>10</v>
      </c>
      <c r="I222" s="334">
        <v>20</v>
      </c>
      <c r="J222" s="334">
        <v>18</v>
      </c>
      <c r="K222" s="334">
        <v>0</v>
      </c>
    </row>
    <row r="223" spans="1:11">
      <c r="A223" s="332" t="s">
        <v>69</v>
      </c>
      <c r="B223" s="334">
        <v>29</v>
      </c>
      <c r="C223" s="334">
        <v>0</v>
      </c>
      <c r="D223" s="334">
        <v>0</v>
      </c>
      <c r="E223" s="334">
        <v>0</v>
      </c>
      <c r="F223" s="334">
        <v>5</v>
      </c>
      <c r="G223" s="334">
        <v>0</v>
      </c>
      <c r="H223" s="334">
        <v>2</v>
      </c>
      <c r="I223" s="334">
        <v>6</v>
      </c>
      <c r="J223" s="334">
        <v>16</v>
      </c>
      <c r="K223" s="334">
        <v>0</v>
      </c>
    </row>
    <row r="224" spans="1:11">
      <c r="A224" s="332" t="s">
        <v>293</v>
      </c>
      <c r="B224" s="334">
        <v>51</v>
      </c>
      <c r="C224" s="334">
        <v>0</v>
      </c>
      <c r="D224" s="334">
        <v>0</v>
      </c>
      <c r="E224" s="334">
        <v>0</v>
      </c>
      <c r="F224" s="334">
        <v>3</v>
      </c>
      <c r="G224" s="334">
        <v>4</v>
      </c>
      <c r="H224" s="334">
        <v>3</v>
      </c>
      <c r="I224" s="334">
        <v>4</v>
      </c>
      <c r="J224" s="334">
        <v>37</v>
      </c>
      <c r="K224" s="334">
        <v>0</v>
      </c>
    </row>
    <row r="225" spans="1:11">
      <c r="A225" s="332" t="s">
        <v>33</v>
      </c>
      <c r="B225" s="334">
        <v>3</v>
      </c>
      <c r="C225" s="334">
        <v>0</v>
      </c>
      <c r="D225" s="334">
        <v>0</v>
      </c>
      <c r="E225" s="334">
        <v>0</v>
      </c>
      <c r="F225" s="334">
        <v>0</v>
      </c>
      <c r="G225" s="334">
        <v>0</v>
      </c>
      <c r="H225" s="334">
        <v>0</v>
      </c>
      <c r="I225" s="334">
        <v>0</v>
      </c>
      <c r="J225" s="334">
        <v>0</v>
      </c>
      <c r="K225" s="334">
        <v>3</v>
      </c>
    </row>
    <row r="226" spans="1:11" ht="5.0999999999999996" customHeight="1">
      <c r="B226" s="334"/>
      <c r="C226" s="334"/>
      <c r="D226" s="334"/>
      <c r="E226" s="334"/>
      <c r="F226" s="334"/>
      <c r="G226" s="334"/>
      <c r="H226" s="334"/>
      <c r="I226" s="334"/>
      <c r="J226" s="334"/>
      <c r="K226" s="334"/>
    </row>
    <row r="227" spans="1:11">
      <c r="A227" s="335" t="s">
        <v>93</v>
      </c>
      <c r="B227" s="333">
        <v>1887</v>
      </c>
      <c r="C227" s="333">
        <v>13</v>
      </c>
      <c r="D227" s="333">
        <v>265</v>
      </c>
      <c r="E227" s="333">
        <v>355</v>
      </c>
      <c r="F227" s="333">
        <v>319</v>
      </c>
      <c r="G227" s="333">
        <v>244</v>
      </c>
      <c r="H227" s="333">
        <v>187</v>
      </c>
      <c r="I227" s="333">
        <v>175</v>
      </c>
      <c r="J227" s="333">
        <v>285</v>
      </c>
      <c r="K227" s="333">
        <v>44</v>
      </c>
    </row>
    <row r="228" spans="1:11" ht="5.0999999999999996" customHeight="1">
      <c r="B228" s="334"/>
      <c r="C228" s="334"/>
      <c r="D228" s="334"/>
      <c r="E228" s="334"/>
      <c r="F228" s="334"/>
      <c r="G228" s="334"/>
      <c r="H228" s="334"/>
      <c r="I228" s="334"/>
      <c r="J228" s="334"/>
      <c r="K228" s="334"/>
    </row>
    <row r="229" spans="1:11">
      <c r="A229" s="332" t="s">
        <v>62</v>
      </c>
      <c r="B229" s="334">
        <v>3</v>
      </c>
      <c r="C229" s="334">
        <v>1</v>
      </c>
      <c r="D229" s="334">
        <v>2</v>
      </c>
      <c r="E229" s="334">
        <v>0</v>
      </c>
      <c r="F229" s="334">
        <v>0</v>
      </c>
      <c r="G229" s="334">
        <v>0</v>
      </c>
      <c r="H229" s="334">
        <v>0</v>
      </c>
      <c r="I229" s="334">
        <v>0</v>
      </c>
      <c r="J229" s="334">
        <v>0</v>
      </c>
      <c r="K229" s="334">
        <v>0</v>
      </c>
    </row>
    <row r="230" spans="1:11">
      <c r="A230" s="332" t="s">
        <v>63</v>
      </c>
      <c r="B230" s="334">
        <v>78</v>
      </c>
      <c r="C230" s="334">
        <v>6</v>
      </c>
      <c r="D230" s="334">
        <v>43</v>
      </c>
      <c r="E230" s="334">
        <v>19</v>
      </c>
      <c r="F230" s="334">
        <v>2</v>
      </c>
      <c r="G230" s="334">
        <v>3</v>
      </c>
      <c r="H230" s="334">
        <v>1</v>
      </c>
      <c r="I230" s="334">
        <v>1</v>
      </c>
      <c r="J230" s="334">
        <v>3</v>
      </c>
      <c r="K230" s="334">
        <v>0</v>
      </c>
    </row>
    <row r="231" spans="1:11">
      <c r="A231" s="332" t="s">
        <v>64</v>
      </c>
      <c r="B231" s="334">
        <v>387</v>
      </c>
      <c r="C231" s="334">
        <v>2</v>
      </c>
      <c r="D231" s="334">
        <v>125</v>
      </c>
      <c r="E231" s="334">
        <v>119</v>
      </c>
      <c r="F231" s="334">
        <v>59</v>
      </c>
      <c r="G231" s="334">
        <v>37</v>
      </c>
      <c r="H231" s="334">
        <v>12</v>
      </c>
      <c r="I231" s="334">
        <v>17</v>
      </c>
      <c r="J231" s="334">
        <v>16</v>
      </c>
      <c r="K231" s="334">
        <v>0</v>
      </c>
    </row>
    <row r="232" spans="1:11">
      <c r="A232" s="332" t="s">
        <v>65</v>
      </c>
      <c r="B232" s="334">
        <v>415</v>
      </c>
      <c r="C232" s="334">
        <v>1</v>
      </c>
      <c r="D232" s="334">
        <v>59</v>
      </c>
      <c r="E232" s="334">
        <v>141</v>
      </c>
      <c r="F232" s="334">
        <v>97</v>
      </c>
      <c r="G232" s="334">
        <v>45</v>
      </c>
      <c r="H232" s="334">
        <v>20</v>
      </c>
      <c r="I232" s="334">
        <v>16</v>
      </c>
      <c r="J232" s="334">
        <v>36</v>
      </c>
      <c r="K232" s="334">
        <v>0</v>
      </c>
    </row>
    <row r="233" spans="1:11">
      <c r="A233" s="332" t="s">
        <v>66</v>
      </c>
      <c r="B233" s="334">
        <v>285</v>
      </c>
      <c r="C233" s="334">
        <v>1</v>
      </c>
      <c r="D233" s="334">
        <v>17</v>
      </c>
      <c r="E233" s="334">
        <v>38</v>
      </c>
      <c r="F233" s="334">
        <v>88</v>
      </c>
      <c r="G233" s="334">
        <v>58</v>
      </c>
      <c r="H233" s="334">
        <v>36</v>
      </c>
      <c r="I233" s="334">
        <v>24</v>
      </c>
      <c r="J233" s="334">
        <v>23</v>
      </c>
      <c r="K233" s="334">
        <v>0</v>
      </c>
    </row>
    <row r="234" spans="1:11">
      <c r="A234" s="332" t="s">
        <v>67</v>
      </c>
      <c r="B234" s="334">
        <v>256</v>
      </c>
      <c r="C234" s="334">
        <v>1</v>
      </c>
      <c r="D234" s="334">
        <v>9</v>
      </c>
      <c r="E234" s="334">
        <v>21</v>
      </c>
      <c r="F234" s="334">
        <v>46</v>
      </c>
      <c r="G234" s="334">
        <v>60</v>
      </c>
      <c r="H234" s="334">
        <v>51</v>
      </c>
      <c r="I234" s="334">
        <v>36</v>
      </c>
      <c r="J234" s="334">
        <v>32</v>
      </c>
      <c r="K234" s="334">
        <v>0</v>
      </c>
    </row>
    <row r="235" spans="1:11">
      <c r="A235" s="332" t="s">
        <v>68</v>
      </c>
      <c r="B235" s="334">
        <v>169</v>
      </c>
      <c r="C235" s="334">
        <v>1</v>
      </c>
      <c r="D235" s="334">
        <v>4</v>
      </c>
      <c r="E235" s="334">
        <v>7</v>
      </c>
      <c r="F235" s="334">
        <v>15</v>
      </c>
      <c r="G235" s="334">
        <v>27</v>
      </c>
      <c r="H235" s="334">
        <v>40</v>
      </c>
      <c r="I235" s="334">
        <v>34</v>
      </c>
      <c r="J235" s="334">
        <v>41</v>
      </c>
      <c r="K235" s="334">
        <v>0</v>
      </c>
    </row>
    <row r="236" spans="1:11">
      <c r="A236" s="332" t="s">
        <v>69</v>
      </c>
      <c r="B236" s="334">
        <v>118</v>
      </c>
      <c r="C236" s="334">
        <v>0</v>
      </c>
      <c r="D236" s="334">
        <v>4</v>
      </c>
      <c r="E236" s="334">
        <v>3</v>
      </c>
      <c r="F236" s="334">
        <v>8</v>
      </c>
      <c r="G236" s="334">
        <v>8</v>
      </c>
      <c r="H236" s="334">
        <v>15</v>
      </c>
      <c r="I236" s="334">
        <v>28</v>
      </c>
      <c r="J236" s="334">
        <v>52</v>
      </c>
      <c r="K236" s="334">
        <v>0</v>
      </c>
    </row>
    <row r="237" spans="1:11">
      <c r="A237" s="332" t="s">
        <v>293</v>
      </c>
      <c r="B237" s="334">
        <v>131</v>
      </c>
      <c r="C237" s="334">
        <v>0</v>
      </c>
      <c r="D237" s="334">
        <v>2</v>
      </c>
      <c r="E237" s="334">
        <v>7</v>
      </c>
      <c r="F237" s="334">
        <v>4</v>
      </c>
      <c r="G237" s="334">
        <v>6</v>
      </c>
      <c r="H237" s="334">
        <v>12</v>
      </c>
      <c r="I237" s="334">
        <v>19</v>
      </c>
      <c r="J237" s="334">
        <v>81</v>
      </c>
      <c r="K237" s="334">
        <v>0</v>
      </c>
    </row>
    <row r="238" spans="1:11">
      <c r="A238" s="332" t="s">
        <v>33</v>
      </c>
      <c r="B238" s="334">
        <v>45</v>
      </c>
      <c r="C238" s="334">
        <v>0</v>
      </c>
      <c r="D238" s="334">
        <v>0</v>
      </c>
      <c r="E238" s="334">
        <v>0</v>
      </c>
      <c r="F238" s="334">
        <v>0</v>
      </c>
      <c r="G238" s="334">
        <v>0</v>
      </c>
      <c r="H238" s="334">
        <v>0</v>
      </c>
      <c r="I238" s="334">
        <v>0</v>
      </c>
      <c r="J238" s="334">
        <v>1</v>
      </c>
      <c r="K238" s="334">
        <v>44</v>
      </c>
    </row>
    <row r="239" spans="1:11" ht="5.0999999999999996" customHeight="1">
      <c r="B239" s="334"/>
      <c r="C239" s="334"/>
      <c r="D239" s="334"/>
      <c r="E239" s="334"/>
      <c r="F239" s="334"/>
      <c r="G239" s="334"/>
      <c r="H239" s="334"/>
      <c r="I239" s="334"/>
      <c r="J239" s="334"/>
      <c r="K239" s="334"/>
    </row>
    <row r="240" spans="1:11">
      <c r="A240" s="335" t="s">
        <v>224</v>
      </c>
      <c r="B240" s="333">
        <v>609</v>
      </c>
      <c r="C240" s="333">
        <v>9</v>
      </c>
      <c r="D240" s="333">
        <v>69</v>
      </c>
      <c r="E240" s="333">
        <v>98</v>
      </c>
      <c r="F240" s="333">
        <v>108</v>
      </c>
      <c r="G240" s="333">
        <v>92</v>
      </c>
      <c r="H240" s="333">
        <v>78</v>
      </c>
      <c r="I240" s="333">
        <v>56</v>
      </c>
      <c r="J240" s="333">
        <v>97</v>
      </c>
      <c r="K240" s="333">
        <v>2</v>
      </c>
    </row>
    <row r="241" spans="1:11" ht="5.0999999999999996" customHeight="1">
      <c r="B241" s="334"/>
      <c r="C241" s="334"/>
      <c r="D241" s="334"/>
      <c r="E241" s="334"/>
      <c r="F241" s="334"/>
      <c r="G241" s="334"/>
      <c r="H241" s="334"/>
      <c r="I241" s="334"/>
      <c r="J241" s="334"/>
      <c r="K241" s="334"/>
    </row>
    <row r="242" spans="1:11">
      <c r="A242" s="332" t="s">
        <v>63</v>
      </c>
      <c r="B242" s="334">
        <v>40</v>
      </c>
      <c r="C242" s="334">
        <v>2</v>
      </c>
      <c r="D242" s="334">
        <v>22</v>
      </c>
      <c r="E242" s="334">
        <v>6</v>
      </c>
      <c r="F242" s="334">
        <v>6</v>
      </c>
      <c r="G242" s="334">
        <v>2</v>
      </c>
      <c r="H242" s="334">
        <v>0</v>
      </c>
      <c r="I242" s="334">
        <v>2</v>
      </c>
      <c r="J242" s="334">
        <v>0</v>
      </c>
      <c r="K242" s="334">
        <v>0</v>
      </c>
    </row>
    <row r="243" spans="1:11">
      <c r="A243" s="332" t="s">
        <v>64</v>
      </c>
      <c r="B243" s="334">
        <v>131</v>
      </c>
      <c r="C243" s="334">
        <v>5</v>
      </c>
      <c r="D243" s="334">
        <v>30</v>
      </c>
      <c r="E243" s="334">
        <v>44</v>
      </c>
      <c r="F243" s="334">
        <v>27</v>
      </c>
      <c r="G243" s="334">
        <v>8</v>
      </c>
      <c r="H243" s="334">
        <v>8</v>
      </c>
      <c r="I243" s="334">
        <v>4</v>
      </c>
      <c r="J243" s="334">
        <v>5</v>
      </c>
      <c r="K243" s="334">
        <v>0</v>
      </c>
    </row>
    <row r="244" spans="1:11">
      <c r="A244" s="332" t="s">
        <v>65</v>
      </c>
      <c r="B244" s="334">
        <v>114</v>
      </c>
      <c r="C244" s="334">
        <v>1</v>
      </c>
      <c r="D244" s="334">
        <v>11</v>
      </c>
      <c r="E244" s="334">
        <v>23</v>
      </c>
      <c r="F244" s="334">
        <v>31</v>
      </c>
      <c r="G244" s="334">
        <v>21</v>
      </c>
      <c r="H244" s="334">
        <v>14</v>
      </c>
      <c r="I244" s="334">
        <v>4</v>
      </c>
      <c r="J244" s="334">
        <v>9</v>
      </c>
      <c r="K244" s="334">
        <v>0</v>
      </c>
    </row>
    <row r="245" spans="1:11">
      <c r="A245" s="332" t="s">
        <v>66</v>
      </c>
      <c r="B245" s="334">
        <v>95</v>
      </c>
      <c r="C245" s="334">
        <v>1</v>
      </c>
      <c r="D245" s="334">
        <v>1</v>
      </c>
      <c r="E245" s="334">
        <v>16</v>
      </c>
      <c r="F245" s="334">
        <v>21</v>
      </c>
      <c r="G245" s="334">
        <v>27</v>
      </c>
      <c r="H245" s="334">
        <v>14</v>
      </c>
      <c r="I245" s="334">
        <v>8</v>
      </c>
      <c r="J245" s="334">
        <v>7</v>
      </c>
      <c r="K245" s="334">
        <v>0</v>
      </c>
    </row>
    <row r="246" spans="1:11">
      <c r="A246" s="332" t="s">
        <v>67</v>
      </c>
      <c r="B246" s="334">
        <v>69</v>
      </c>
      <c r="C246" s="334">
        <v>0</v>
      </c>
      <c r="D246" s="334">
        <v>3</v>
      </c>
      <c r="E246" s="334">
        <v>4</v>
      </c>
      <c r="F246" s="334">
        <v>10</v>
      </c>
      <c r="G246" s="334">
        <v>19</v>
      </c>
      <c r="H246" s="334">
        <v>17</v>
      </c>
      <c r="I246" s="334">
        <v>9</v>
      </c>
      <c r="J246" s="334">
        <v>7</v>
      </c>
      <c r="K246" s="334">
        <v>0</v>
      </c>
    </row>
    <row r="247" spans="1:11">
      <c r="A247" s="332" t="s">
        <v>68</v>
      </c>
      <c r="B247" s="334">
        <v>53</v>
      </c>
      <c r="C247" s="334">
        <v>0</v>
      </c>
      <c r="D247" s="334">
        <v>1</v>
      </c>
      <c r="E247" s="334">
        <v>2</v>
      </c>
      <c r="F247" s="334">
        <v>10</v>
      </c>
      <c r="G247" s="334">
        <v>6</v>
      </c>
      <c r="H247" s="334">
        <v>10</v>
      </c>
      <c r="I247" s="334">
        <v>13</v>
      </c>
      <c r="J247" s="334">
        <v>11</v>
      </c>
      <c r="K247" s="334">
        <v>0</v>
      </c>
    </row>
    <row r="248" spans="1:11">
      <c r="A248" s="332" t="s">
        <v>69</v>
      </c>
      <c r="B248" s="334">
        <v>39</v>
      </c>
      <c r="C248" s="334">
        <v>0</v>
      </c>
      <c r="D248" s="334">
        <v>0</v>
      </c>
      <c r="E248" s="334">
        <v>2</v>
      </c>
      <c r="F248" s="334">
        <v>1</v>
      </c>
      <c r="G248" s="334">
        <v>5</v>
      </c>
      <c r="H248" s="334">
        <v>5</v>
      </c>
      <c r="I248" s="334">
        <v>8</v>
      </c>
      <c r="J248" s="334">
        <v>18</v>
      </c>
      <c r="K248" s="334">
        <v>0</v>
      </c>
    </row>
    <row r="249" spans="1:11">
      <c r="A249" s="332" t="s">
        <v>293</v>
      </c>
      <c r="B249" s="334">
        <v>64</v>
      </c>
      <c r="C249" s="334">
        <v>0</v>
      </c>
      <c r="D249" s="334">
        <v>1</v>
      </c>
      <c r="E249" s="334">
        <v>0</v>
      </c>
      <c r="F249" s="334">
        <v>2</v>
      </c>
      <c r="G249" s="334">
        <v>4</v>
      </c>
      <c r="H249" s="334">
        <v>10</v>
      </c>
      <c r="I249" s="334">
        <v>8</v>
      </c>
      <c r="J249" s="334">
        <v>39</v>
      </c>
      <c r="K249" s="334">
        <v>0</v>
      </c>
    </row>
    <row r="250" spans="1:11">
      <c r="A250" s="332" t="s">
        <v>33</v>
      </c>
      <c r="B250" s="334">
        <v>4</v>
      </c>
      <c r="C250" s="334">
        <v>0</v>
      </c>
      <c r="D250" s="334">
        <v>0</v>
      </c>
      <c r="E250" s="334">
        <v>1</v>
      </c>
      <c r="F250" s="334">
        <v>0</v>
      </c>
      <c r="G250" s="334">
        <v>0</v>
      </c>
      <c r="H250" s="334">
        <v>0</v>
      </c>
      <c r="I250" s="334">
        <v>0</v>
      </c>
      <c r="J250" s="334">
        <v>1</v>
      </c>
      <c r="K250" s="334">
        <v>2</v>
      </c>
    </row>
    <row r="251" spans="1:11" ht="5.0999999999999996" customHeight="1">
      <c r="B251" s="334"/>
      <c r="C251" s="334"/>
      <c r="D251" s="334"/>
      <c r="E251" s="334"/>
      <c r="F251" s="334"/>
      <c r="G251" s="334"/>
      <c r="H251" s="334"/>
      <c r="I251" s="334"/>
      <c r="J251" s="334"/>
      <c r="K251" s="334"/>
    </row>
    <row r="252" spans="1:11">
      <c r="A252" s="335" t="s">
        <v>95</v>
      </c>
      <c r="B252" s="333">
        <v>437</v>
      </c>
      <c r="C252" s="333">
        <v>5</v>
      </c>
      <c r="D252" s="333">
        <v>34</v>
      </c>
      <c r="E252" s="333">
        <v>86</v>
      </c>
      <c r="F252" s="333">
        <v>90</v>
      </c>
      <c r="G252" s="333">
        <v>73</v>
      </c>
      <c r="H252" s="333">
        <v>40</v>
      </c>
      <c r="I252" s="333">
        <v>39</v>
      </c>
      <c r="J252" s="333">
        <v>58</v>
      </c>
      <c r="K252" s="333">
        <v>12</v>
      </c>
    </row>
    <row r="253" spans="1:11" ht="5.0999999999999996" customHeight="1">
      <c r="B253" s="334"/>
      <c r="C253" s="334"/>
      <c r="D253" s="334"/>
      <c r="E253" s="334"/>
      <c r="F253" s="334"/>
      <c r="G253" s="334"/>
      <c r="H253" s="334"/>
      <c r="I253" s="334"/>
      <c r="J253" s="334"/>
      <c r="K253" s="334"/>
    </row>
    <row r="254" spans="1:11">
      <c r="A254" s="332" t="s">
        <v>63</v>
      </c>
      <c r="B254" s="334">
        <v>27</v>
      </c>
      <c r="C254" s="334">
        <v>1</v>
      </c>
      <c r="D254" s="334">
        <v>5</v>
      </c>
      <c r="E254" s="334">
        <v>13</v>
      </c>
      <c r="F254" s="334">
        <v>6</v>
      </c>
      <c r="G254" s="334">
        <v>2</v>
      </c>
      <c r="H254" s="334">
        <v>0</v>
      </c>
      <c r="I254" s="334">
        <v>0</v>
      </c>
      <c r="J254" s="334">
        <v>0</v>
      </c>
      <c r="K254" s="334">
        <v>0</v>
      </c>
    </row>
    <row r="255" spans="1:11">
      <c r="A255" s="332" t="s">
        <v>64</v>
      </c>
      <c r="B255" s="334">
        <v>84</v>
      </c>
      <c r="C255" s="334">
        <v>2</v>
      </c>
      <c r="D255" s="334">
        <v>20</v>
      </c>
      <c r="E255" s="334">
        <v>28</v>
      </c>
      <c r="F255" s="334">
        <v>19</v>
      </c>
      <c r="G255" s="334">
        <v>8</v>
      </c>
      <c r="H255" s="334">
        <v>2</v>
      </c>
      <c r="I255" s="334">
        <v>1</v>
      </c>
      <c r="J255" s="334">
        <v>4</v>
      </c>
      <c r="K255" s="334">
        <v>0</v>
      </c>
    </row>
    <row r="256" spans="1:11">
      <c r="A256" s="332" t="s">
        <v>65</v>
      </c>
      <c r="B256" s="334">
        <v>93</v>
      </c>
      <c r="C256" s="334">
        <v>1</v>
      </c>
      <c r="D256" s="334">
        <v>5</v>
      </c>
      <c r="E256" s="334">
        <v>32</v>
      </c>
      <c r="F256" s="334">
        <v>28</v>
      </c>
      <c r="G256" s="334">
        <v>13</v>
      </c>
      <c r="H256" s="334">
        <v>4</v>
      </c>
      <c r="I256" s="334">
        <v>5</v>
      </c>
      <c r="J256" s="334">
        <v>5</v>
      </c>
      <c r="K256" s="334">
        <v>0</v>
      </c>
    </row>
    <row r="257" spans="1:11">
      <c r="A257" s="332" t="s">
        <v>66</v>
      </c>
      <c r="B257" s="334">
        <v>76</v>
      </c>
      <c r="C257" s="334">
        <v>0</v>
      </c>
      <c r="D257" s="334">
        <v>1</v>
      </c>
      <c r="E257" s="334">
        <v>5</v>
      </c>
      <c r="F257" s="334">
        <v>27</v>
      </c>
      <c r="G257" s="334">
        <v>26</v>
      </c>
      <c r="H257" s="334">
        <v>8</v>
      </c>
      <c r="I257" s="334">
        <v>4</v>
      </c>
      <c r="J257" s="334">
        <v>4</v>
      </c>
      <c r="K257" s="334">
        <v>1</v>
      </c>
    </row>
    <row r="258" spans="1:11">
      <c r="A258" s="332" t="s">
        <v>67</v>
      </c>
      <c r="B258" s="334">
        <v>54</v>
      </c>
      <c r="C258" s="334">
        <v>1</v>
      </c>
      <c r="D258" s="334">
        <v>1</v>
      </c>
      <c r="E258" s="334">
        <v>1</v>
      </c>
      <c r="F258" s="334">
        <v>5</v>
      </c>
      <c r="G258" s="334">
        <v>18</v>
      </c>
      <c r="H258" s="334">
        <v>13</v>
      </c>
      <c r="I258" s="334">
        <v>8</v>
      </c>
      <c r="J258" s="334">
        <v>7</v>
      </c>
      <c r="K258" s="334">
        <v>0</v>
      </c>
    </row>
    <row r="259" spans="1:11">
      <c r="A259" s="332" t="s">
        <v>68</v>
      </c>
      <c r="B259" s="334">
        <v>30</v>
      </c>
      <c r="C259" s="334">
        <v>0</v>
      </c>
      <c r="D259" s="334">
        <v>0</v>
      </c>
      <c r="E259" s="334">
        <v>4</v>
      </c>
      <c r="F259" s="334">
        <v>2</v>
      </c>
      <c r="G259" s="334">
        <v>2</v>
      </c>
      <c r="H259" s="334">
        <v>5</v>
      </c>
      <c r="I259" s="334">
        <v>10</v>
      </c>
      <c r="J259" s="334">
        <v>7</v>
      </c>
      <c r="K259" s="334">
        <v>0</v>
      </c>
    </row>
    <row r="260" spans="1:11">
      <c r="A260" s="332" t="s">
        <v>69</v>
      </c>
      <c r="B260" s="334">
        <v>25</v>
      </c>
      <c r="C260" s="334">
        <v>0</v>
      </c>
      <c r="D260" s="334">
        <v>0</v>
      </c>
      <c r="E260" s="334">
        <v>0</v>
      </c>
      <c r="F260" s="334">
        <v>1</v>
      </c>
      <c r="G260" s="334">
        <v>1</v>
      </c>
      <c r="H260" s="334">
        <v>6</v>
      </c>
      <c r="I260" s="334">
        <v>8</v>
      </c>
      <c r="J260" s="334">
        <v>9</v>
      </c>
      <c r="K260" s="334">
        <v>0</v>
      </c>
    </row>
    <row r="261" spans="1:11">
      <c r="A261" s="332" t="s">
        <v>293</v>
      </c>
      <c r="B261" s="334">
        <v>30</v>
      </c>
      <c r="C261" s="334">
        <v>0</v>
      </c>
      <c r="D261" s="334">
        <v>2</v>
      </c>
      <c r="E261" s="334">
        <v>0</v>
      </c>
      <c r="F261" s="334">
        <v>1</v>
      </c>
      <c r="G261" s="334">
        <v>2</v>
      </c>
      <c r="H261" s="334">
        <v>1</v>
      </c>
      <c r="I261" s="334">
        <v>3</v>
      </c>
      <c r="J261" s="334">
        <v>21</v>
      </c>
      <c r="K261" s="334">
        <v>0</v>
      </c>
    </row>
    <row r="262" spans="1:11">
      <c r="A262" s="332" t="s">
        <v>33</v>
      </c>
      <c r="B262" s="334">
        <v>18</v>
      </c>
      <c r="C262" s="334">
        <v>0</v>
      </c>
      <c r="D262" s="334">
        <v>0</v>
      </c>
      <c r="E262" s="334">
        <v>3</v>
      </c>
      <c r="F262" s="334">
        <v>1</v>
      </c>
      <c r="G262" s="334">
        <v>1</v>
      </c>
      <c r="H262" s="334">
        <v>1</v>
      </c>
      <c r="I262" s="334">
        <v>0</v>
      </c>
      <c r="J262" s="334">
        <v>1</v>
      </c>
      <c r="K262" s="334">
        <v>11</v>
      </c>
    </row>
    <row r="263" spans="1:11" ht="5.0999999999999996" customHeight="1">
      <c r="B263" s="334"/>
      <c r="C263" s="334"/>
      <c r="D263" s="334"/>
      <c r="E263" s="334"/>
      <c r="F263" s="334"/>
      <c r="G263" s="334"/>
      <c r="H263" s="334"/>
      <c r="I263" s="334"/>
      <c r="J263" s="334"/>
      <c r="K263" s="334"/>
    </row>
    <row r="264" spans="1:11">
      <c r="A264" s="335" t="s">
        <v>96</v>
      </c>
      <c r="B264" s="333">
        <v>2218</v>
      </c>
      <c r="C264" s="333">
        <v>23</v>
      </c>
      <c r="D264" s="333">
        <v>313</v>
      </c>
      <c r="E264" s="333">
        <v>456</v>
      </c>
      <c r="F264" s="333">
        <v>374</v>
      </c>
      <c r="G264" s="333">
        <v>301</v>
      </c>
      <c r="H264" s="333">
        <v>238</v>
      </c>
      <c r="I264" s="333">
        <v>155</v>
      </c>
      <c r="J264" s="333">
        <v>353</v>
      </c>
      <c r="K264" s="333">
        <v>5</v>
      </c>
    </row>
    <row r="265" spans="1:11" ht="5.0999999999999996" customHeight="1">
      <c r="B265" s="334"/>
      <c r="C265" s="334"/>
      <c r="D265" s="334"/>
      <c r="E265" s="334"/>
      <c r="F265" s="334"/>
      <c r="G265" s="334"/>
      <c r="H265" s="334"/>
      <c r="I265" s="334"/>
      <c r="J265" s="334"/>
      <c r="K265" s="334"/>
    </row>
    <row r="266" spans="1:11">
      <c r="A266" s="332" t="s">
        <v>63</v>
      </c>
      <c r="B266" s="334">
        <v>148</v>
      </c>
      <c r="C266" s="334">
        <v>4</v>
      </c>
      <c r="D266" s="334">
        <v>70</v>
      </c>
      <c r="E266" s="334">
        <v>43</v>
      </c>
      <c r="F266" s="334">
        <v>21</v>
      </c>
      <c r="G266" s="334">
        <v>5</v>
      </c>
      <c r="H266" s="334">
        <v>3</v>
      </c>
      <c r="I266" s="334">
        <v>0</v>
      </c>
      <c r="J266" s="334">
        <v>2</v>
      </c>
      <c r="K266" s="334">
        <v>0</v>
      </c>
    </row>
    <row r="267" spans="1:11">
      <c r="A267" s="332" t="s">
        <v>64</v>
      </c>
      <c r="B267" s="334">
        <v>497</v>
      </c>
      <c r="C267" s="334">
        <v>14</v>
      </c>
      <c r="D267" s="334">
        <v>161</v>
      </c>
      <c r="E267" s="334">
        <v>185</v>
      </c>
      <c r="F267" s="334">
        <v>77</v>
      </c>
      <c r="G267" s="334">
        <v>38</v>
      </c>
      <c r="H267" s="334">
        <v>10</v>
      </c>
      <c r="I267" s="334">
        <v>7</v>
      </c>
      <c r="J267" s="334">
        <v>5</v>
      </c>
      <c r="K267" s="334">
        <v>0</v>
      </c>
    </row>
    <row r="268" spans="1:11">
      <c r="A268" s="332" t="s">
        <v>65</v>
      </c>
      <c r="B268" s="334">
        <v>473</v>
      </c>
      <c r="C268" s="334">
        <v>4</v>
      </c>
      <c r="D268" s="334">
        <v>56</v>
      </c>
      <c r="E268" s="334">
        <v>155</v>
      </c>
      <c r="F268" s="334">
        <v>139</v>
      </c>
      <c r="G268" s="334">
        <v>60</v>
      </c>
      <c r="H268" s="334">
        <v>30</v>
      </c>
      <c r="I268" s="334">
        <v>14</v>
      </c>
      <c r="J268" s="334">
        <v>15</v>
      </c>
      <c r="K268" s="334">
        <v>0</v>
      </c>
    </row>
    <row r="269" spans="1:11">
      <c r="A269" s="332" t="s">
        <v>66</v>
      </c>
      <c r="B269" s="334">
        <v>341</v>
      </c>
      <c r="C269" s="334">
        <v>1</v>
      </c>
      <c r="D269" s="334">
        <v>17</v>
      </c>
      <c r="E269" s="334">
        <v>49</v>
      </c>
      <c r="F269" s="334">
        <v>84</v>
      </c>
      <c r="G269" s="334">
        <v>96</v>
      </c>
      <c r="H269" s="334">
        <v>42</v>
      </c>
      <c r="I269" s="334">
        <v>21</v>
      </c>
      <c r="J269" s="334">
        <v>31</v>
      </c>
      <c r="K269" s="334">
        <v>0</v>
      </c>
    </row>
    <row r="270" spans="1:11">
      <c r="A270" s="332" t="s">
        <v>67</v>
      </c>
      <c r="B270" s="334">
        <v>259</v>
      </c>
      <c r="C270" s="334">
        <v>0</v>
      </c>
      <c r="D270" s="334">
        <v>8</v>
      </c>
      <c r="E270" s="334">
        <v>16</v>
      </c>
      <c r="F270" s="334">
        <v>30</v>
      </c>
      <c r="G270" s="334">
        <v>66</v>
      </c>
      <c r="H270" s="334">
        <v>73</v>
      </c>
      <c r="I270" s="334">
        <v>35</v>
      </c>
      <c r="J270" s="334">
        <v>31</v>
      </c>
      <c r="K270" s="334">
        <v>0</v>
      </c>
    </row>
    <row r="271" spans="1:11">
      <c r="A271" s="332" t="s">
        <v>68</v>
      </c>
      <c r="B271" s="334">
        <v>167</v>
      </c>
      <c r="C271" s="334">
        <v>0</v>
      </c>
      <c r="D271" s="334">
        <v>0</v>
      </c>
      <c r="E271" s="334">
        <v>4</v>
      </c>
      <c r="F271" s="334">
        <v>13</v>
      </c>
      <c r="G271" s="334">
        <v>20</v>
      </c>
      <c r="H271" s="334">
        <v>42</v>
      </c>
      <c r="I271" s="334">
        <v>37</v>
      </c>
      <c r="J271" s="334">
        <v>51</v>
      </c>
      <c r="K271" s="334">
        <v>0</v>
      </c>
    </row>
    <row r="272" spans="1:11">
      <c r="A272" s="332" t="s">
        <v>69</v>
      </c>
      <c r="B272" s="334">
        <v>116</v>
      </c>
      <c r="C272" s="334">
        <v>0</v>
      </c>
      <c r="D272" s="334">
        <v>0</v>
      </c>
      <c r="E272" s="334">
        <v>1</v>
      </c>
      <c r="F272" s="334">
        <v>4</v>
      </c>
      <c r="G272" s="334">
        <v>11</v>
      </c>
      <c r="H272" s="334">
        <v>19</v>
      </c>
      <c r="I272" s="334">
        <v>27</v>
      </c>
      <c r="J272" s="334">
        <v>54</v>
      </c>
      <c r="K272" s="334">
        <v>0</v>
      </c>
    </row>
    <row r="273" spans="1:11">
      <c r="A273" s="332" t="s">
        <v>293</v>
      </c>
      <c r="B273" s="334">
        <v>206</v>
      </c>
      <c r="C273" s="334">
        <v>0</v>
      </c>
      <c r="D273" s="334">
        <v>0</v>
      </c>
      <c r="E273" s="334">
        <v>2</v>
      </c>
      <c r="F273" s="334">
        <v>5</v>
      </c>
      <c r="G273" s="334">
        <v>5</v>
      </c>
      <c r="H273" s="334">
        <v>18</v>
      </c>
      <c r="I273" s="334">
        <v>14</v>
      </c>
      <c r="J273" s="334">
        <v>162</v>
      </c>
      <c r="K273" s="334">
        <v>0</v>
      </c>
    </row>
    <row r="274" spans="1:11">
      <c r="A274" s="332" t="s">
        <v>33</v>
      </c>
      <c r="B274" s="334">
        <v>11</v>
      </c>
      <c r="C274" s="334">
        <v>0</v>
      </c>
      <c r="D274" s="334">
        <v>1</v>
      </c>
      <c r="E274" s="334">
        <v>1</v>
      </c>
      <c r="F274" s="334">
        <v>1</v>
      </c>
      <c r="G274" s="334">
        <v>0</v>
      </c>
      <c r="H274" s="334">
        <v>1</v>
      </c>
      <c r="I274" s="334">
        <v>0</v>
      </c>
      <c r="J274" s="334">
        <v>2</v>
      </c>
      <c r="K274" s="334">
        <v>5</v>
      </c>
    </row>
    <row r="275" spans="1:11" ht="5.0999999999999996" customHeight="1">
      <c r="B275" s="334"/>
      <c r="C275" s="334"/>
      <c r="D275" s="334"/>
      <c r="E275" s="334"/>
      <c r="F275" s="334"/>
      <c r="G275" s="334"/>
      <c r="H275" s="334"/>
      <c r="I275" s="334"/>
      <c r="J275" s="334"/>
      <c r="K275" s="334"/>
    </row>
    <row r="276" spans="1:11">
      <c r="A276" s="335" t="s">
        <v>97</v>
      </c>
      <c r="B276" s="333">
        <v>316</v>
      </c>
      <c r="C276" s="333">
        <v>1</v>
      </c>
      <c r="D276" s="333">
        <v>32</v>
      </c>
      <c r="E276" s="333">
        <v>60</v>
      </c>
      <c r="F276" s="333">
        <v>63</v>
      </c>
      <c r="G276" s="333">
        <v>36</v>
      </c>
      <c r="H276" s="333">
        <v>36</v>
      </c>
      <c r="I276" s="333">
        <v>14</v>
      </c>
      <c r="J276" s="333">
        <v>54</v>
      </c>
      <c r="K276" s="333">
        <v>20</v>
      </c>
    </row>
    <row r="277" spans="1:11" ht="5.0999999999999996" customHeight="1">
      <c r="B277" s="334"/>
      <c r="C277" s="334"/>
      <c r="D277" s="334"/>
      <c r="E277" s="334"/>
      <c r="F277" s="334"/>
      <c r="G277" s="334"/>
      <c r="H277" s="334"/>
      <c r="I277" s="334"/>
      <c r="J277" s="334"/>
      <c r="K277" s="334"/>
    </row>
    <row r="278" spans="1:11">
      <c r="A278" s="332" t="s">
        <v>63</v>
      </c>
      <c r="B278" s="334">
        <v>22</v>
      </c>
      <c r="C278" s="334">
        <v>0</v>
      </c>
      <c r="D278" s="334">
        <v>11</v>
      </c>
      <c r="E278" s="334">
        <v>7</v>
      </c>
      <c r="F278" s="334">
        <v>3</v>
      </c>
      <c r="G278" s="334">
        <v>0</v>
      </c>
      <c r="H278" s="334">
        <v>1</v>
      </c>
      <c r="I278" s="334">
        <v>0</v>
      </c>
      <c r="J278" s="334">
        <v>0</v>
      </c>
      <c r="K278" s="334">
        <v>0</v>
      </c>
    </row>
    <row r="279" spans="1:11">
      <c r="A279" s="332" t="s">
        <v>64</v>
      </c>
      <c r="B279" s="334">
        <v>61</v>
      </c>
      <c r="C279" s="334">
        <v>1</v>
      </c>
      <c r="D279" s="334">
        <v>17</v>
      </c>
      <c r="E279" s="334">
        <v>24</v>
      </c>
      <c r="F279" s="334">
        <v>13</v>
      </c>
      <c r="G279" s="334">
        <v>4</v>
      </c>
      <c r="H279" s="334">
        <v>0</v>
      </c>
      <c r="I279" s="334">
        <v>1</v>
      </c>
      <c r="J279" s="334">
        <v>1</v>
      </c>
      <c r="K279" s="334">
        <v>0</v>
      </c>
    </row>
    <row r="280" spans="1:11">
      <c r="A280" s="332" t="s">
        <v>65</v>
      </c>
      <c r="B280" s="334">
        <v>66</v>
      </c>
      <c r="C280" s="334">
        <v>0</v>
      </c>
      <c r="D280" s="334">
        <v>3</v>
      </c>
      <c r="E280" s="334">
        <v>22</v>
      </c>
      <c r="F280" s="334">
        <v>25</v>
      </c>
      <c r="G280" s="334">
        <v>6</v>
      </c>
      <c r="H280" s="334">
        <v>7</v>
      </c>
      <c r="I280" s="334">
        <v>1</v>
      </c>
      <c r="J280" s="334">
        <v>2</v>
      </c>
      <c r="K280" s="334">
        <v>0</v>
      </c>
    </row>
    <row r="281" spans="1:11">
      <c r="A281" s="332" t="s">
        <v>66</v>
      </c>
      <c r="B281" s="334">
        <v>48</v>
      </c>
      <c r="C281" s="334">
        <v>0</v>
      </c>
      <c r="D281" s="334">
        <v>0</v>
      </c>
      <c r="E281" s="334">
        <v>2</v>
      </c>
      <c r="F281" s="334">
        <v>16</v>
      </c>
      <c r="G281" s="334">
        <v>17</v>
      </c>
      <c r="H281" s="334">
        <v>11</v>
      </c>
      <c r="I281" s="334">
        <v>1</v>
      </c>
      <c r="J281" s="334">
        <v>1</v>
      </c>
      <c r="K281" s="334">
        <v>0</v>
      </c>
    </row>
    <row r="282" spans="1:11">
      <c r="A282" s="332" t="s">
        <v>67</v>
      </c>
      <c r="B282" s="334">
        <v>31</v>
      </c>
      <c r="C282" s="334">
        <v>0</v>
      </c>
      <c r="D282" s="334">
        <v>1</v>
      </c>
      <c r="E282" s="334">
        <v>2</v>
      </c>
      <c r="F282" s="334">
        <v>5</v>
      </c>
      <c r="G282" s="334">
        <v>5</v>
      </c>
      <c r="H282" s="334">
        <v>7</v>
      </c>
      <c r="I282" s="334">
        <v>1</v>
      </c>
      <c r="J282" s="334">
        <v>10</v>
      </c>
      <c r="K282" s="334">
        <v>0</v>
      </c>
    </row>
    <row r="283" spans="1:11">
      <c r="A283" s="332" t="s">
        <v>68</v>
      </c>
      <c r="B283" s="334">
        <v>28</v>
      </c>
      <c r="C283" s="334">
        <v>0</v>
      </c>
      <c r="D283" s="334">
        <v>0</v>
      </c>
      <c r="E283" s="334">
        <v>1</v>
      </c>
      <c r="F283" s="334">
        <v>1</v>
      </c>
      <c r="G283" s="334">
        <v>3</v>
      </c>
      <c r="H283" s="334">
        <v>7</v>
      </c>
      <c r="I283" s="334">
        <v>3</v>
      </c>
      <c r="J283" s="334">
        <v>13</v>
      </c>
      <c r="K283" s="334">
        <v>0</v>
      </c>
    </row>
    <row r="284" spans="1:11">
      <c r="A284" s="332" t="s">
        <v>69</v>
      </c>
      <c r="B284" s="334">
        <v>14</v>
      </c>
      <c r="C284" s="334">
        <v>0</v>
      </c>
      <c r="D284" s="334">
        <v>0</v>
      </c>
      <c r="E284" s="334">
        <v>0</v>
      </c>
      <c r="F284" s="334">
        <v>0</v>
      </c>
      <c r="G284" s="334">
        <v>1</v>
      </c>
      <c r="H284" s="334">
        <v>3</v>
      </c>
      <c r="I284" s="334">
        <v>6</v>
      </c>
      <c r="J284" s="334">
        <v>4</v>
      </c>
      <c r="K284" s="334">
        <v>0</v>
      </c>
    </row>
    <row r="285" spans="1:11">
      <c r="A285" s="332" t="s">
        <v>293</v>
      </c>
      <c r="B285" s="334">
        <v>24</v>
      </c>
      <c r="C285" s="334">
        <v>0</v>
      </c>
      <c r="D285" s="334">
        <v>0</v>
      </c>
      <c r="E285" s="334">
        <v>2</v>
      </c>
      <c r="F285" s="334">
        <v>0</v>
      </c>
      <c r="G285" s="334">
        <v>0</v>
      </c>
      <c r="H285" s="334">
        <v>0</v>
      </c>
      <c r="I285" s="334">
        <v>1</v>
      </c>
      <c r="J285" s="334">
        <v>21</v>
      </c>
      <c r="K285" s="334">
        <v>0</v>
      </c>
    </row>
    <row r="286" spans="1:11">
      <c r="A286" s="332" t="s">
        <v>33</v>
      </c>
      <c r="B286" s="334">
        <v>22</v>
      </c>
      <c r="C286" s="334">
        <v>0</v>
      </c>
      <c r="D286" s="334">
        <v>0</v>
      </c>
      <c r="E286" s="334">
        <v>0</v>
      </c>
      <c r="F286" s="334">
        <v>0</v>
      </c>
      <c r="G286" s="334">
        <v>0</v>
      </c>
      <c r="H286" s="334">
        <v>0</v>
      </c>
      <c r="I286" s="334">
        <v>0</v>
      </c>
      <c r="J286" s="334">
        <v>2</v>
      </c>
      <c r="K286" s="334">
        <v>20</v>
      </c>
    </row>
    <row r="287" spans="1:11" ht="5.0999999999999996" customHeight="1">
      <c r="B287" s="334"/>
      <c r="C287" s="334"/>
      <c r="D287" s="334"/>
      <c r="E287" s="334"/>
      <c r="F287" s="334"/>
      <c r="G287" s="334"/>
      <c r="H287" s="334"/>
      <c r="I287" s="334"/>
      <c r="J287" s="334"/>
      <c r="K287" s="334"/>
    </row>
    <row r="288" spans="1:11">
      <c r="A288" s="335" t="s">
        <v>98</v>
      </c>
      <c r="B288" s="333">
        <v>1274</v>
      </c>
      <c r="C288" s="333">
        <v>12</v>
      </c>
      <c r="D288" s="333">
        <v>189</v>
      </c>
      <c r="E288" s="333">
        <v>262</v>
      </c>
      <c r="F288" s="333">
        <v>195</v>
      </c>
      <c r="G288" s="333">
        <v>192</v>
      </c>
      <c r="H288" s="333">
        <v>146</v>
      </c>
      <c r="I288" s="333">
        <v>98</v>
      </c>
      <c r="J288" s="333">
        <v>180</v>
      </c>
      <c r="K288" s="333">
        <v>0</v>
      </c>
    </row>
    <row r="289" spans="1:11" ht="5.0999999999999996" customHeight="1">
      <c r="B289" s="334"/>
      <c r="C289" s="334"/>
      <c r="D289" s="334"/>
      <c r="E289" s="334"/>
      <c r="F289" s="334"/>
      <c r="G289" s="334"/>
      <c r="H289" s="334"/>
      <c r="I289" s="334"/>
      <c r="J289" s="334"/>
      <c r="K289" s="334"/>
    </row>
    <row r="290" spans="1:11">
      <c r="A290" s="332" t="s">
        <v>63</v>
      </c>
      <c r="B290" s="334">
        <v>65</v>
      </c>
      <c r="C290" s="334">
        <v>4</v>
      </c>
      <c r="D290" s="334">
        <v>28</v>
      </c>
      <c r="E290" s="334">
        <v>18</v>
      </c>
      <c r="F290" s="334">
        <v>7</v>
      </c>
      <c r="G290" s="334">
        <v>5</v>
      </c>
      <c r="H290" s="334">
        <v>3</v>
      </c>
      <c r="I290" s="334">
        <v>0</v>
      </c>
      <c r="J290" s="334">
        <v>0</v>
      </c>
      <c r="K290" s="334">
        <v>0</v>
      </c>
    </row>
    <row r="291" spans="1:11">
      <c r="A291" s="332" t="s">
        <v>64</v>
      </c>
      <c r="B291" s="334">
        <v>288</v>
      </c>
      <c r="C291" s="334">
        <v>5</v>
      </c>
      <c r="D291" s="334">
        <v>100</v>
      </c>
      <c r="E291" s="334">
        <v>105</v>
      </c>
      <c r="F291" s="334">
        <v>37</v>
      </c>
      <c r="G291" s="334">
        <v>19</v>
      </c>
      <c r="H291" s="334">
        <v>11</v>
      </c>
      <c r="I291" s="334">
        <v>5</v>
      </c>
      <c r="J291" s="334">
        <v>6</v>
      </c>
      <c r="K291" s="334">
        <v>0</v>
      </c>
    </row>
    <row r="292" spans="1:11">
      <c r="A292" s="332" t="s">
        <v>65</v>
      </c>
      <c r="B292" s="334">
        <v>288</v>
      </c>
      <c r="C292" s="334">
        <v>2</v>
      </c>
      <c r="D292" s="334">
        <v>36</v>
      </c>
      <c r="E292" s="334">
        <v>96</v>
      </c>
      <c r="F292" s="334">
        <v>68</v>
      </c>
      <c r="G292" s="334">
        <v>38</v>
      </c>
      <c r="H292" s="334">
        <v>23</v>
      </c>
      <c r="I292" s="334">
        <v>9</v>
      </c>
      <c r="J292" s="334">
        <v>16</v>
      </c>
      <c r="K292" s="334">
        <v>0</v>
      </c>
    </row>
    <row r="293" spans="1:11">
      <c r="A293" s="332" t="s">
        <v>66</v>
      </c>
      <c r="B293" s="334">
        <v>209</v>
      </c>
      <c r="C293" s="334">
        <v>1</v>
      </c>
      <c r="D293" s="334">
        <v>15</v>
      </c>
      <c r="E293" s="334">
        <v>24</v>
      </c>
      <c r="F293" s="334">
        <v>54</v>
      </c>
      <c r="G293" s="334">
        <v>59</v>
      </c>
      <c r="H293" s="334">
        <v>24</v>
      </c>
      <c r="I293" s="334">
        <v>16</v>
      </c>
      <c r="J293" s="334">
        <v>16</v>
      </c>
      <c r="K293" s="334">
        <v>0</v>
      </c>
    </row>
    <row r="294" spans="1:11">
      <c r="A294" s="332" t="s">
        <v>67</v>
      </c>
      <c r="B294" s="334">
        <v>155</v>
      </c>
      <c r="C294" s="334">
        <v>0</v>
      </c>
      <c r="D294" s="334">
        <v>2</v>
      </c>
      <c r="E294" s="334">
        <v>10</v>
      </c>
      <c r="F294" s="334">
        <v>17</v>
      </c>
      <c r="G294" s="334">
        <v>47</v>
      </c>
      <c r="H294" s="334">
        <v>42</v>
      </c>
      <c r="I294" s="334">
        <v>20</v>
      </c>
      <c r="J294" s="334">
        <v>17</v>
      </c>
      <c r="K294" s="334">
        <v>0</v>
      </c>
    </row>
    <row r="295" spans="1:11">
      <c r="A295" s="332" t="s">
        <v>68</v>
      </c>
      <c r="B295" s="334">
        <v>114</v>
      </c>
      <c r="C295" s="334">
        <v>0</v>
      </c>
      <c r="D295" s="334">
        <v>4</v>
      </c>
      <c r="E295" s="334">
        <v>5</v>
      </c>
      <c r="F295" s="334">
        <v>6</v>
      </c>
      <c r="G295" s="334">
        <v>13</v>
      </c>
      <c r="H295" s="334">
        <v>25</v>
      </c>
      <c r="I295" s="334">
        <v>28</v>
      </c>
      <c r="J295" s="334">
        <v>33</v>
      </c>
      <c r="K295" s="334">
        <v>0</v>
      </c>
    </row>
    <row r="296" spans="1:11">
      <c r="A296" s="332" t="s">
        <v>69</v>
      </c>
      <c r="B296" s="334">
        <v>67</v>
      </c>
      <c r="C296" s="334">
        <v>0</v>
      </c>
      <c r="D296" s="334">
        <v>2</v>
      </c>
      <c r="E296" s="334">
        <v>0</v>
      </c>
      <c r="F296" s="334">
        <v>3</v>
      </c>
      <c r="G296" s="334">
        <v>6</v>
      </c>
      <c r="H296" s="334">
        <v>12</v>
      </c>
      <c r="I296" s="334">
        <v>12</v>
      </c>
      <c r="J296" s="334">
        <v>32</v>
      </c>
      <c r="K296" s="334">
        <v>0</v>
      </c>
    </row>
    <row r="297" spans="1:11">
      <c r="A297" s="332" t="s">
        <v>293</v>
      </c>
      <c r="B297" s="334">
        <v>85</v>
      </c>
      <c r="C297" s="334">
        <v>0</v>
      </c>
      <c r="D297" s="334">
        <v>1</v>
      </c>
      <c r="E297" s="334">
        <v>4</v>
      </c>
      <c r="F297" s="334">
        <v>3</v>
      </c>
      <c r="G297" s="334">
        <v>4</v>
      </c>
      <c r="H297" s="334">
        <v>6</v>
      </c>
      <c r="I297" s="334">
        <v>8</v>
      </c>
      <c r="J297" s="334">
        <v>59</v>
      </c>
      <c r="K297" s="334">
        <v>0</v>
      </c>
    </row>
    <row r="298" spans="1:11">
      <c r="A298" s="332" t="s">
        <v>33</v>
      </c>
      <c r="B298" s="334">
        <v>3</v>
      </c>
      <c r="C298" s="334">
        <v>0</v>
      </c>
      <c r="D298" s="334">
        <v>1</v>
      </c>
      <c r="E298" s="334">
        <v>0</v>
      </c>
      <c r="F298" s="334">
        <v>0</v>
      </c>
      <c r="G298" s="334">
        <v>1</v>
      </c>
      <c r="H298" s="334">
        <v>0</v>
      </c>
      <c r="I298" s="334">
        <v>0</v>
      </c>
      <c r="J298" s="334">
        <v>1</v>
      </c>
      <c r="K298" s="334">
        <v>0</v>
      </c>
    </row>
    <row r="299" spans="1:11" ht="5.0999999999999996" customHeight="1">
      <c r="B299" s="334"/>
      <c r="C299" s="334"/>
      <c r="D299" s="334"/>
      <c r="E299" s="334"/>
      <c r="F299" s="334"/>
      <c r="G299" s="334"/>
      <c r="H299" s="334"/>
      <c r="I299" s="334"/>
      <c r="J299" s="334"/>
      <c r="K299" s="334"/>
    </row>
    <row r="300" spans="1:11">
      <c r="A300" s="335" t="s">
        <v>99</v>
      </c>
      <c r="B300" s="333">
        <v>476</v>
      </c>
      <c r="C300" s="333">
        <v>6</v>
      </c>
      <c r="D300" s="333">
        <v>65</v>
      </c>
      <c r="E300" s="333">
        <v>92</v>
      </c>
      <c r="F300" s="333">
        <v>80</v>
      </c>
      <c r="G300" s="333">
        <v>66</v>
      </c>
      <c r="H300" s="333">
        <v>51</v>
      </c>
      <c r="I300" s="333">
        <v>36</v>
      </c>
      <c r="J300" s="333">
        <v>79</v>
      </c>
      <c r="K300" s="333">
        <v>1</v>
      </c>
    </row>
    <row r="301" spans="1:11" ht="5.0999999999999996" customHeight="1">
      <c r="B301" s="334"/>
      <c r="C301" s="334"/>
      <c r="D301" s="334"/>
      <c r="E301" s="334"/>
      <c r="F301" s="334"/>
      <c r="G301" s="334"/>
      <c r="H301" s="334"/>
      <c r="I301" s="334"/>
      <c r="J301" s="334"/>
      <c r="K301" s="334"/>
    </row>
    <row r="302" spans="1:11">
      <c r="A302" s="332" t="s">
        <v>62</v>
      </c>
      <c r="B302" s="334">
        <v>1</v>
      </c>
      <c r="C302" s="334">
        <v>1</v>
      </c>
      <c r="D302" s="334">
        <v>0</v>
      </c>
      <c r="E302" s="334">
        <v>0</v>
      </c>
      <c r="F302" s="334">
        <v>0</v>
      </c>
      <c r="G302" s="334">
        <v>0</v>
      </c>
      <c r="H302" s="334">
        <v>0</v>
      </c>
      <c r="I302" s="334">
        <v>0</v>
      </c>
      <c r="J302" s="334">
        <v>0</v>
      </c>
      <c r="K302" s="334">
        <v>0</v>
      </c>
    </row>
    <row r="303" spans="1:11">
      <c r="A303" s="332" t="s">
        <v>63</v>
      </c>
      <c r="B303" s="334">
        <v>34</v>
      </c>
      <c r="C303" s="334">
        <v>1</v>
      </c>
      <c r="D303" s="334">
        <v>20</v>
      </c>
      <c r="E303" s="334">
        <v>8</v>
      </c>
      <c r="F303" s="334">
        <v>4</v>
      </c>
      <c r="G303" s="334">
        <v>1</v>
      </c>
      <c r="H303" s="334">
        <v>0</v>
      </c>
      <c r="I303" s="334">
        <v>0</v>
      </c>
      <c r="J303" s="334">
        <v>0</v>
      </c>
      <c r="K303" s="334">
        <v>0</v>
      </c>
    </row>
    <row r="304" spans="1:11">
      <c r="A304" s="332" t="s">
        <v>64</v>
      </c>
      <c r="B304" s="334">
        <v>108</v>
      </c>
      <c r="C304" s="334">
        <v>3</v>
      </c>
      <c r="D304" s="334">
        <v>29</v>
      </c>
      <c r="E304" s="334">
        <v>44</v>
      </c>
      <c r="F304" s="334">
        <v>14</v>
      </c>
      <c r="G304" s="334">
        <v>11</v>
      </c>
      <c r="H304" s="334">
        <v>3</v>
      </c>
      <c r="I304" s="334">
        <v>1</v>
      </c>
      <c r="J304" s="334">
        <v>3</v>
      </c>
      <c r="K304" s="334">
        <v>0</v>
      </c>
    </row>
    <row r="305" spans="1:11">
      <c r="A305" s="332" t="s">
        <v>65</v>
      </c>
      <c r="B305" s="334">
        <v>90</v>
      </c>
      <c r="C305" s="334">
        <v>0</v>
      </c>
      <c r="D305" s="334">
        <v>10</v>
      </c>
      <c r="E305" s="334">
        <v>29</v>
      </c>
      <c r="F305" s="334">
        <v>23</v>
      </c>
      <c r="G305" s="334">
        <v>12</v>
      </c>
      <c r="H305" s="334">
        <v>8</v>
      </c>
      <c r="I305" s="334">
        <v>4</v>
      </c>
      <c r="J305" s="334">
        <v>4</v>
      </c>
      <c r="K305" s="334">
        <v>0</v>
      </c>
    </row>
    <row r="306" spans="1:11">
      <c r="A306" s="332" t="s">
        <v>66</v>
      </c>
      <c r="B306" s="334">
        <v>81</v>
      </c>
      <c r="C306" s="334">
        <v>1</v>
      </c>
      <c r="D306" s="334">
        <v>3</v>
      </c>
      <c r="E306" s="334">
        <v>8</v>
      </c>
      <c r="F306" s="334">
        <v>24</v>
      </c>
      <c r="G306" s="334">
        <v>21</v>
      </c>
      <c r="H306" s="334">
        <v>12</v>
      </c>
      <c r="I306" s="334">
        <v>4</v>
      </c>
      <c r="J306" s="334">
        <v>8</v>
      </c>
      <c r="K306" s="334">
        <v>0</v>
      </c>
    </row>
    <row r="307" spans="1:11">
      <c r="A307" s="332" t="s">
        <v>67</v>
      </c>
      <c r="B307" s="334">
        <v>48</v>
      </c>
      <c r="C307" s="334">
        <v>0</v>
      </c>
      <c r="D307" s="334">
        <v>2</v>
      </c>
      <c r="E307" s="334">
        <v>2</v>
      </c>
      <c r="F307" s="334">
        <v>6</v>
      </c>
      <c r="G307" s="334">
        <v>14</v>
      </c>
      <c r="H307" s="334">
        <v>13</v>
      </c>
      <c r="I307" s="334">
        <v>7</v>
      </c>
      <c r="J307" s="334">
        <v>4</v>
      </c>
      <c r="K307" s="334">
        <v>0</v>
      </c>
    </row>
    <row r="308" spans="1:11">
      <c r="A308" s="332" t="s">
        <v>68</v>
      </c>
      <c r="B308" s="334">
        <v>43</v>
      </c>
      <c r="C308" s="334">
        <v>0</v>
      </c>
      <c r="D308" s="334">
        <v>1</v>
      </c>
      <c r="E308" s="334">
        <v>0</v>
      </c>
      <c r="F308" s="334">
        <v>9</v>
      </c>
      <c r="G308" s="334">
        <v>6</v>
      </c>
      <c r="H308" s="334">
        <v>8</v>
      </c>
      <c r="I308" s="334">
        <v>9</v>
      </c>
      <c r="J308" s="334">
        <v>10</v>
      </c>
      <c r="K308" s="334">
        <v>0</v>
      </c>
    </row>
    <row r="309" spans="1:11">
      <c r="A309" s="332" t="s">
        <v>69</v>
      </c>
      <c r="B309" s="334">
        <v>34</v>
      </c>
      <c r="C309" s="334">
        <v>0</v>
      </c>
      <c r="D309" s="334">
        <v>0</v>
      </c>
      <c r="E309" s="334">
        <v>0</v>
      </c>
      <c r="F309" s="334">
        <v>0</v>
      </c>
      <c r="G309" s="334">
        <v>1</v>
      </c>
      <c r="H309" s="334">
        <v>5</v>
      </c>
      <c r="I309" s="334">
        <v>10</v>
      </c>
      <c r="J309" s="334">
        <v>18</v>
      </c>
      <c r="K309" s="334">
        <v>0</v>
      </c>
    </row>
    <row r="310" spans="1:11">
      <c r="A310" s="332" t="s">
        <v>293</v>
      </c>
      <c r="B310" s="334">
        <v>36</v>
      </c>
      <c r="C310" s="334">
        <v>0</v>
      </c>
      <c r="D310" s="334">
        <v>0</v>
      </c>
      <c r="E310" s="334">
        <v>1</v>
      </c>
      <c r="F310" s="334">
        <v>0</v>
      </c>
      <c r="G310" s="334">
        <v>0</v>
      </c>
      <c r="H310" s="334">
        <v>2</v>
      </c>
      <c r="I310" s="334">
        <v>1</v>
      </c>
      <c r="J310" s="334">
        <v>32</v>
      </c>
      <c r="K310" s="334">
        <v>0</v>
      </c>
    </row>
    <row r="311" spans="1:11">
      <c r="A311" s="332" t="s">
        <v>33</v>
      </c>
      <c r="B311" s="334">
        <v>1</v>
      </c>
      <c r="C311" s="334">
        <v>0</v>
      </c>
      <c r="D311" s="334">
        <v>0</v>
      </c>
      <c r="E311" s="334">
        <v>0</v>
      </c>
      <c r="F311" s="334">
        <v>0</v>
      </c>
      <c r="G311" s="334">
        <v>0</v>
      </c>
      <c r="H311" s="334">
        <v>0</v>
      </c>
      <c r="I311" s="334">
        <v>0</v>
      </c>
      <c r="J311" s="334">
        <v>0</v>
      </c>
      <c r="K311" s="334">
        <v>1</v>
      </c>
    </row>
    <row r="312" spans="1:11" ht="5.0999999999999996" customHeight="1">
      <c r="B312" s="334"/>
      <c r="C312" s="334"/>
      <c r="D312" s="334"/>
      <c r="E312" s="334"/>
      <c r="F312" s="334"/>
      <c r="G312" s="334"/>
      <c r="H312" s="334"/>
      <c r="I312" s="334"/>
      <c r="J312" s="334"/>
      <c r="K312" s="334"/>
    </row>
    <row r="313" spans="1:11">
      <c r="A313" s="335" t="s">
        <v>100</v>
      </c>
      <c r="B313" s="333">
        <v>6557</v>
      </c>
      <c r="C313" s="333">
        <v>82</v>
      </c>
      <c r="D313" s="333">
        <v>806</v>
      </c>
      <c r="E313" s="333">
        <v>1257</v>
      </c>
      <c r="F313" s="333">
        <v>1088</v>
      </c>
      <c r="G313" s="333">
        <v>983</v>
      </c>
      <c r="H313" s="333">
        <v>803</v>
      </c>
      <c r="I313" s="333">
        <v>571</v>
      </c>
      <c r="J313" s="333">
        <v>957</v>
      </c>
      <c r="K313" s="333">
        <v>10</v>
      </c>
    </row>
    <row r="314" spans="1:11" ht="5.0999999999999996" customHeight="1">
      <c r="B314" s="334"/>
      <c r="C314" s="334"/>
      <c r="D314" s="334"/>
      <c r="E314" s="334"/>
      <c r="F314" s="334"/>
      <c r="G314" s="334"/>
      <c r="H314" s="334"/>
      <c r="I314" s="334"/>
      <c r="J314" s="334"/>
      <c r="K314" s="334"/>
    </row>
    <row r="315" spans="1:11">
      <c r="A315" s="332" t="s">
        <v>63</v>
      </c>
      <c r="B315" s="334">
        <v>461</v>
      </c>
      <c r="C315" s="334">
        <v>36</v>
      </c>
      <c r="D315" s="334">
        <v>194</v>
      </c>
      <c r="E315" s="334">
        <v>117</v>
      </c>
      <c r="F315" s="334">
        <v>52</v>
      </c>
      <c r="G315" s="334">
        <v>34</v>
      </c>
      <c r="H315" s="334">
        <v>11</v>
      </c>
      <c r="I315" s="334">
        <v>10</v>
      </c>
      <c r="J315" s="334">
        <v>7</v>
      </c>
      <c r="K315" s="334">
        <v>0</v>
      </c>
    </row>
    <row r="316" spans="1:11">
      <c r="A316" s="332" t="s">
        <v>64</v>
      </c>
      <c r="B316" s="334">
        <v>1394</v>
      </c>
      <c r="C316" s="334">
        <v>33</v>
      </c>
      <c r="D316" s="334">
        <v>426</v>
      </c>
      <c r="E316" s="334">
        <v>477</v>
      </c>
      <c r="F316" s="334">
        <v>222</v>
      </c>
      <c r="G316" s="334">
        <v>103</v>
      </c>
      <c r="H316" s="334">
        <v>64</v>
      </c>
      <c r="I316" s="334">
        <v>38</v>
      </c>
      <c r="J316" s="334">
        <v>31</v>
      </c>
      <c r="K316" s="334">
        <v>0</v>
      </c>
    </row>
    <row r="317" spans="1:11">
      <c r="A317" s="332" t="s">
        <v>65</v>
      </c>
      <c r="B317" s="334">
        <v>1320</v>
      </c>
      <c r="C317" s="334">
        <v>11</v>
      </c>
      <c r="D317" s="334">
        <v>121</v>
      </c>
      <c r="E317" s="334">
        <v>410</v>
      </c>
      <c r="F317" s="334">
        <v>347</v>
      </c>
      <c r="G317" s="334">
        <v>192</v>
      </c>
      <c r="H317" s="334">
        <v>111</v>
      </c>
      <c r="I317" s="334">
        <v>52</v>
      </c>
      <c r="J317" s="334">
        <v>76</v>
      </c>
      <c r="K317" s="334">
        <v>0</v>
      </c>
    </row>
    <row r="318" spans="1:11">
      <c r="A318" s="332" t="s">
        <v>66</v>
      </c>
      <c r="B318" s="334">
        <v>1096</v>
      </c>
      <c r="C318" s="334">
        <v>1</v>
      </c>
      <c r="D318" s="334">
        <v>39</v>
      </c>
      <c r="E318" s="334">
        <v>162</v>
      </c>
      <c r="F318" s="334">
        <v>259</v>
      </c>
      <c r="G318" s="334">
        <v>275</v>
      </c>
      <c r="H318" s="334">
        <v>164</v>
      </c>
      <c r="I318" s="334">
        <v>87</v>
      </c>
      <c r="J318" s="334">
        <v>109</v>
      </c>
      <c r="K318" s="334">
        <v>0</v>
      </c>
    </row>
    <row r="319" spans="1:11">
      <c r="A319" s="332" t="s">
        <v>67</v>
      </c>
      <c r="B319" s="334">
        <v>838</v>
      </c>
      <c r="C319" s="334">
        <v>0</v>
      </c>
      <c r="D319" s="334">
        <v>12</v>
      </c>
      <c r="E319" s="334">
        <v>55</v>
      </c>
      <c r="F319" s="334">
        <v>120</v>
      </c>
      <c r="G319" s="334">
        <v>224</v>
      </c>
      <c r="H319" s="334">
        <v>191</v>
      </c>
      <c r="I319" s="334">
        <v>107</v>
      </c>
      <c r="J319" s="334">
        <v>129</v>
      </c>
      <c r="K319" s="334">
        <v>0</v>
      </c>
    </row>
    <row r="320" spans="1:11">
      <c r="A320" s="332" t="s">
        <v>68</v>
      </c>
      <c r="B320" s="334">
        <v>629</v>
      </c>
      <c r="C320" s="334">
        <v>0</v>
      </c>
      <c r="D320" s="334">
        <v>6</v>
      </c>
      <c r="E320" s="334">
        <v>22</v>
      </c>
      <c r="F320" s="334">
        <v>54</v>
      </c>
      <c r="G320" s="334">
        <v>95</v>
      </c>
      <c r="H320" s="334">
        <v>162</v>
      </c>
      <c r="I320" s="334">
        <v>134</v>
      </c>
      <c r="J320" s="334">
        <v>156</v>
      </c>
      <c r="K320" s="334">
        <v>0</v>
      </c>
    </row>
    <row r="321" spans="1:11">
      <c r="A321" s="332" t="s">
        <v>69</v>
      </c>
      <c r="B321" s="334">
        <v>403</v>
      </c>
      <c r="C321" s="334">
        <v>1</v>
      </c>
      <c r="D321" s="334">
        <v>4</v>
      </c>
      <c r="E321" s="334">
        <v>11</v>
      </c>
      <c r="F321" s="334">
        <v>24</v>
      </c>
      <c r="G321" s="334">
        <v>39</v>
      </c>
      <c r="H321" s="334">
        <v>59</v>
      </c>
      <c r="I321" s="334">
        <v>91</v>
      </c>
      <c r="J321" s="334">
        <v>174</v>
      </c>
      <c r="K321" s="334">
        <v>0</v>
      </c>
    </row>
    <row r="322" spans="1:11">
      <c r="A322" s="332" t="s">
        <v>293</v>
      </c>
      <c r="B322" s="334">
        <v>398</v>
      </c>
      <c r="C322" s="334">
        <v>0</v>
      </c>
      <c r="D322" s="334">
        <v>2</v>
      </c>
      <c r="E322" s="334">
        <v>0</v>
      </c>
      <c r="F322" s="334">
        <v>10</v>
      </c>
      <c r="G322" s="334">
        <v>20</v>
      </c>
      <c r="H322" s="334">
        <v>40</v>
      </c>
      <c r="I322" s="334">
        <v>52</v>
      </c>
      <c r="J322" s="334">
        <v>274</v>
      </c>
      <c r="K322" s="334">
        <v>0</v>
      </c>
    </row>
    <row r="323" spans="1:11">
      <c r="A323" s="332" t="s">
        <v>33</v>
      </c>
      <c r="B323" s="334">
        <v>18</v>
      </c>
      <c r="C323" s="334">
        <v>0</v>
      </c>
      <c r="D323" s="334">
        <v>2</v>
      </c>
      <c r="E323" s="334">
        <v>3</v>
      </c>
      <c r="F323" s="334">
        <v>0</v>
      </c>
      <c r="G323" s="334">
        <v>1</v>
      </c>
      <c r="H323" s="334">
        <v>1</v>
      </c>
      <c r="I323" s="334">
        <v>0</v>
      </c>
      <c r="J323" s="334">
        <v>1</v>
      </c>
      <c r="K323" s="334">
        <v>10</v>
      </c>
    </row>
    <row r="324" spans="1:11" ht="5.0999999999999996" customHeight="1">
      <c r="B324" s="334"/>
      <c r="C324" s="334"/>
      <c r="D324" s="334"/>
      <c r="E324" s="334"/>
      <c r="F324" s="334"/>
      <c r="G324" s="334"/>
      <c r="H324" s="334"/>
      <c r="I324" s="334"/>
      <c r="J324" s="334"/>
      <c r="K324" s="334"/>
    </row>
    <row r="325" spans="1:11">
      <c r="A325" s="335" t="s">
        <v>101</v>
      </c>
      <c r="B325" s="333">
        <v>247</v>
      </c>
      <c r="C325" s="333">
        <v>3</v>
      </c>
      <c r="D325" s="333">
        <v>29</v>
      </c>
      <c r="E325" s="333">
        <v>38</v>
      </c>
      <c r="F325" s="333">
        <v>36</v>
      </c>
      <c r="G325" s="333">
        <v>34</v>
      </c>
      <c r="H325" s="333">
        <v>39</v>
      </c>
      <c r="I325" s="333">
        <v>26</v>
      </c>
      <c r="J325" s="333">
        <v>34</v>
      </c>
      <c r="K325" s="333">
        <v>8</v>
      </c>
    </row>
    <row r="326" spans="1:11" ht="5.0999999999999996" customHeight="1">
      <c r="B326" s="334"/>
      <c r="C326" s="334"/>
      <c r="D326" s="334"/>
      <c r="E326" s="334"/>
      <c r="F326" s="334"/>
      <c r="G326" s="334"/>
      <c r="H326" s="334"/>
      <c r="I326" s="334"/>
      <c r="J326" s="334"/>
      <c r="K326" s="334"/>
    </row>
    <row r="327" spans="1:11">
      <c r="A327" s="332" t="s">
        <v>63</v>
      </c>
      <c r="B327" s="334">
        <v>11</v>
      </c>
      <c r="C327" s="334">
        <v>2</v>
      </c>
      <c r="D327" s="334">
        <v>5</v>
      </c>
      <c r="E327" s="334">
        <v>2</v>
      </c>
      <c r="F327" s="334">
        <v>1</v>
      </c>
      <c r="G327" s="334">
        <v>1</v>
      </c>
      <c r="H327" s="334">
        <v>0</v>
      </c>
      <c r="I327" s="334">
        <v>0</v>
      </c>
      <c r="J327" s="334">
        <v>0</v>
      </c>
      <c r="K327" s="334">
        <v>0</v>
      </c>
    </row>
    <row r="328" spans="1:11">
      <c r="A328" s="332" t="s">
        <v>64</v>
      </c>
      <c r="B328" s="334">
        <v>61</v>
      </c>
      <c r="C328" s="334">
        <v>0</v>
      </c>
      <c r="D328" s="334">
        <v>12</v>
      </c>
      <c r="E328" s="334">
        <v>19</v>
      </c>
      <c r="F328" s="334">
        <v>9</v>
      </c>
      <c r="G328" s="334">
        <v>10</v>
      </c>
      <c r="H328" s="334">
        <v>5</v>
      </c>
      <c r="I328" s="334">
        <v>3</v>
      </c>
      <c r="J328" s="334">
        <v>3</v>
      </c>
      <c r="K328" s="334">
        <v>0</v>
      </c>
    </row>
    <row r="329" spans="1:11">
      <c r="A329" s="332" t="s">
        <v>65</v>
      </c>
      <c r="B329" s="334">
        <v>46</v>
      </c>
      <c r="C329" s="334">
        <v>1</v>
      </c>
      <c r="D329" s="334">
        <v>7</v>
      </c>
      <c r="E329" s="334">
        <v>7</v>
      </c>
      <c r="F329" s="334">
        <v>8</v>
      </c>
      <c r="G329" s="334">
        <v>7</v>
      </c>
      <c r="H329" s="334">
        <v>8</v>
      </c>
      <c r="I329" s="334">
        <v>4</v>
      </c>
      <c r="J329" s="334">
        <v>4</v>
      </c>
      <c r="K329" s="334">
        <v>0</v>
      </c>
    </row>
    <row r="330" spans="1:11">
      <c r="A330" s="332" t="s">
        <v>66</v>
      </c>
      <c r="B330" s="334">
        <v>40</v>
      </c>
      <c r="C330" s="334">
        <v>0</v>
      </c>
      <c r="D330" s="334">
        <v>2</v>
      </c>
      <c r="E330" s="334">
        <v>7</v>
      </c>
      <c r="F330" s="334">
        <v>9</v>
      </c>
      <c r="G330" s="334">
        <v>6</v>
      </c>
      <c r="H330" s="334">
        <v>6</v>
      </c>
      <c r="I330" s="334">
        <v>6</v>
      </c>
      <c r="J330" s="334">
        <v>4</v>
      </c>
      <c r="K330" s="334">
        <v>0</v>
      </c>
    </row>
    <row r="331" spans="1:11">
      <c r="A331" s="332" t="s">
        <v>67</v>
      </c>
      <c r="B331" s="334">
        <v>31</v>
      </c>
      <c r="C331" s="334">
        <v>0</v>
      </c>
      <c r="D331" s="334">
        <v>2</v>
      </c>
      <c r="E331" s="334">
        <v>1</v>
      </c>
      <c r="F331" s="334">
        <v>6</v>
      </c>
      <c r="G331" s="334">
        <v>6</v>
      </c>
      <c r="H331" s="334">
        <v>8</v>
      </c>
      <c r="I331" s="334">
        <v>6</v>
      </c>
      <c r="J331" s="334">
        <v>2</v>
      </c>
      <c r="K331" s="334">
        <v>0</v>
      </c>
    </row>
    <row r="332" spans="1:11">
      <c r="A332" s="332" t="s">
        <v>68</v>
      </c>
      <c r="B332" s="334">
        <v>19</v>
      </c>
      <c r="C332" s="334">
        <v>0</v>
      </c>
      <c r="D332" s="334">
        <v>1</v>
      </c>
      <c r="E332" s="334">
        <v>2</v>
      </c>
      <c r="F332" s="334">
        <v>1</v>
      </c>
      <c r="G332" s="334">
        <v>2</v>
      </c>
      <c r="H332" s="334">
        <v>6</v>
      </c>
      <c r="I332" s="334">
        <v>3</v>
      </c>
      <c r="J332" s="334">
        <v>4</v>
      </c>
      <c r="K332" s="334">
        <v>0</v>
      </c>
    </row>
    <row r="333" spans="1:11">
      <c r="A333" s="332" t="s">
        <v>69</v>
      </c>
      <c r="B333" s="334">
        <v>15</v>
      </c>
      <c r="C333" s="334">
        <v>0</v>
      </c>
      <c r="D333" s="334">
        <v>0</v>
      </c>
      <c r="E333" s="334">
        <v>0</v>
      </c>
      <c r="F333" s="334">
        <v>0</v>
      </c>
      <c r="G333" s="334">
        <v>2</v>
      </c>
      <c r="H333" s="334">
        <v>4</v>
      </c>
      <c r="I333" s="334">
        <v>4</v>
      </c>
      <c r="J333" s="334">
        <v>5</v>
      </c>
      <c r="K333" s="334">
        <v>0</v>
      </c>
    </row>
    <row r="334" spans="1:11">
      <c r="A334" s="332" t="s">
        <v>293</v>
      </c>
      <c r="B334" s="334">
        <v>15</v>
      </c>
      <c r="C334" s="334">
        <v>0</v>
      </c>
      <c r="D334" s="334">
        <v>0</v>
      </c>
      <c r="E334" s="334">
        <v>0</v>
      </c>
      <c r="F334" s="334">
        <v>1</v>
      </c>
      <c r="G334" s="334">
        <v>0</v>
      </c>
      <c r="H334" s="334">
        <v>2</v>
      </c>
      <c r="I334" s="334">
        <v>0</v>
      </c>
      <c r="J334" s="334">
        <v>12</v>
      </c>
      <c r="K334" s="334">
        <v>0</v>
      </c>
    </row>
    <row r="335" spans="1:11">
      <c r="A335" s="332" t="s">
        <v>33</v>
      </c>
      <c r="B335" s="334">
        <v>9</v>
      </c>
      <c r="C335" s="334">
        <v>0</v>
      </c>
      <c r="D335" s="334">
        <v>0</v>
      </c>
      <c r="E335" s="334">
        <v>0</v>
      </c>
      <c r="F335" s="334">
        <v>1</v>
      </c>
      <c r="G335" s="334">
        <v>0</v>
      </c>
      <c r="H335" s="334">
        <v>0</v>
      </c>
      <c r="I335" s="334">
        <v>0</v>
      </c>
      <c r="J335" s="334">
        <v>0</v>
      </c>
      <c r="K335" s="334">
        <v>8</v>
      </c>
    </row>
    <row r="336" spans="1:11" ht="5.0999999999999996" customHeight="1">
      <c r="B336" s="334"/>
      <c r="C336" s="334"/>
      <c r="D336" s="334"/>
      <c r="E336" s="334"/>
      <c r="F336" s="334"/>
      <c r="G336" s="334"/>
      <c r="H336" s="334"/>
      <c r="I336" s="334"/>
      <c r="J336" s="334"/>
      <c r="K336" s="334"/>
    </row>
    <row r="337" spans="1:11">
      <c r="A337" s="335" t="s">
        <v>102</v>
      </c>
      <c r="B337" s="333">
        <v>667</v>
      </c>
      <c r="C337" s="333">
        <v>5</v>
      </c>
      <c r="D337" s="333">
        <v>76</v>
      </c>
      <c r="E337" s="333">
        <v>115</v>
      </c>
      <c r="F337" s="333">
        <v>122</v>
      </c>
      <c r="G337" s="333">
        <v>110</v>
      </c>
      <c r="H337" s="333">
        <v>67</v>
      </c>
      <c r="I337" s="333">
        <v>48</v>
      </c>
      <c r="J337" s="333">
        <v>106</v>
      </c>
      <c r="K337" s="333">
        <v>18</v>
      </c>
    </row>
    <row r="338" spans="1:11" ht="5.0999999999999996" customHeight="1">
      <c r="B338" s="334"/>
      <c r="C338" s="334"/>
      <c r="D338" s="334"/>
      <c r="E338" s="334"/>
      <c r="F338" s="334"/>
      <c r="G338" s="334"/>
      <c r="H338" s="334"/>
      <c r="I338" s="334"/>
      <c r="J338" s="334"/>
      <c r="K338" s="334"/>
    </row>
    <row r="339" spans="1:11">
      <c r="A339" s="332" t="s">
        <v>62</v>
      </c>
      <c r="B339" s="334">
        <v>1</v>
      </c>
      <c r="C339" s="334">
        <v>0</v>
      </c>
      <c r="D339" s="334">
        <v>1</v>
      </c>
      <c r="E339" s="334">
        <v>0</v>
      </c>
      <c r="F339" s="334">
        <v>0</v>
      </c>
      <c r="G339" s="334">
        <v>0</v>
      </c>
      <c r="H339" s="334">
        <v>0</v>
      </c>
      <c r="I339" s="334">
        <v>0</v>
      </c>
      <c r="J339" s="334">
        <v>0</v>
      </c>
      <c r="K339" s="334">
        <v>0</v>
      </c>
    </row>
    <row r="340" spans="1:11">
      <c r="A340" s="332" t="s">
        <v>63</v>
      </c>
      <c r="B340" s="334">
        <v>48</v>
      </c>
      <c r="C340" s="334">
        <v>3</v>
      </c>
      <c r="D340" s="334">
        <v>18</v>
      </c>
      <c r="E340" s="334">
        <v>8</v>
      </c>
      <c r="F340" s="334">
        <v>10</v>
      </c>
      <c r="G340" s="334">
        <v>3</v>
      </c>
      <c r="H340" s="334">
        <v>3</v>
      </c>
      <c r="I340" s="334">
        <v>2</v>
      </c>
      <c r="J340" s="334">
        <v>1</v>
      </c>
      <c r="K340" s="334">
        <v>0</v>
      </c>
    </row>
    <row r="341" spans="1:11">
      <c r="A341" s="332" t="s">
        <v>64</v>
      </c>
      <c r="B341" s="334">
        <v>152</v>
      </c>
      <c r="C341" s="334">
        <v>2</v>
      </c>
      <c r="D341" s="334">
        <v>36</v>
      </c>
      <c r="E341" s="334">
        <v>53</v>
      </c>
      <c r="F341" s="334">
        <v>31</v>
      </c>
      <c r="G341" s="334">
        <v>13</v>
      </c>
      <c r="H341" s="334">
        <v>7</v>
      </c>
      <c r="I341" s="334">
        <v>5</v>
      </c>
      <c r="J341" s="334">
        <v>5</v>
      </c>
      <c r="K341" s="334">
        <v>0</v>
      </c>
    </row>
    <row r="342" spans="1:11">
      <c r="A342" s="332" t="s">
        <v>65</v>
      </c>
      <c r="B342" s="334">
        <v>126</v>
      </c>
      <c r="C342" s="334">
        <v>0</v>
      </c>
      <c r="D342" s="334">
        <v>12</v>
      </c>
      <c r="E342" s="334">
        <v>34</v>
      </c>
      <c r="F342" s="334">
        <v>35</v>
      </c>
      <c r="G342" s="334">
        <v>25</v>
      </c>
      <c r="H342" s="334">
        <v>5</v>
      </c>
      <c r="I342" s="334">
        <v>7</v>
      </c>
      <c r="J342" s="334">
        <v>8</v>
      </c>
      <c r="K342" s="334">
        <v>0</v>
      </c>
    </row>
    <row r="343" spans="1:11">
      <c r="A343" s="332" t="s">
        <v>66</v>
      </c>
      <c r="B343" s="334">
        <v>106</v>
      </c>
      <c r="C343" s="334">
        <v>0</v>
      </c>
      <c r="D343" s="334">
        <v>7</v>
      </c>
      <c r="E343" s="334">
        <v>11</v>
      </c>
      <c r="F343" s="334">
        <v>23</v>
      </c>
      <c r="G343" s="334">
        <v>32</v>
      </c>
      <c r="H343" s="334">
        <v>17</v>
      </c>
      <c r="I343" s="334">
        <v>4</v>
      </c>
      <c r="J343" s="334">
        <v>12</v>
      </c>
      <c r="K343" s="334">
        <v>0</v>
      </c>
    </row>
    <row r="344" spans="1:11">
      <c r="A344" s="332" t="s">
        <v>67</v>
      </c>
      <c r="B344" s="334">
        <v>80</v>
      </c>
      <c r="C344" s="334">
        <v>0</v>
      </c>
      <c r="D344" s="334">
        <v>0</v>
      </c>
      <c r="E344" s="334">
        <v>7</v>
      </c>
      <c r="F344" s="334">
        <v>9</v>
      </c>
      <c r="G344" s="334">
        <v>22</v>
      </c>
      <c r="H344" s="334">
        <v>15</v>
      </c>
      <c r="I344" s="334">
        <v>13</v>
      </c>
      <c r="J344" s="334">
        <v>14</v>
      </c>
      <c r="K344" s="334">
        <v>0</v>
      </c>
    </row>
    <row r="345" spans="1:11">
      <c r="A345" s="332" t="s">
        <v>68</v>
      </c>
      <c r="B345" s="334">
        <v>57</v>
      </c>
      <c r="C345" s="334">
        <v>0</v>
      </c>
      <c r="D345" s="334">
        <v>1</v>
      </c>
      <c r="E345" s="334">
        <v>0</v>
      </c>
      <c r="F345" s="334">
        <v>8</v>
      </c>
      <c r="G345" s="334">
        <v>9</v>
      </c>
      <c r="H345" s="334">
        <v>9</v>
      </c>
      <c r="I345" s="334">
        <v>7</v>
      </c>
      <c r="J345" s="334">
        <v>23</v>
      </c>
      <c r="K345" s="334">
        <v>0</v>
      </c>
    </row>
    <row r="346" spans="1:11">
      <c r="A346" s="332" t="s">
        <v>69</v>
      </c>
      <c r="B346" s="334">
        <v>29</v>
      </c>
      <c r="C346" s="334">
        <v>0</v>
      </c>
      <c r="D346" s="334">
        <v>0</v>
      </c>
      <c r="E346" s="334">
        <v>1</v>
      </c>
      <c r="F346" s="334">
        <v>4</v>
      </c>
      <c r="G346" s="334">
        <v>2</v>
      </c>
      <c r="H346" s="334">
        <v>4</v>
      </c>
      <c r="I346" s="334">
        <v>4</v>
      </c>
      <c r="J346" s="334">
        <v>14</v>
      </c>
      <c r="K346" s="334">
        <v>0</v>
      </c>
    </row>
    <row r="347" spans="1:11">
      <c r="A347" s="332" t="s">
        <v>293</v>
      </c>
      <c r="B347" s="334">
        <v>50</v>
      </c>
      <c r="C347" s="334">
        <v>0</v>
      </c>
      <c r="D347" s="334">
        <v>1</v>
      </c>
      <c r="E347" s="334">
        <v>1</v>
      </c>
      <c r="F347" s="334">
        <v>2</v>
      </c>
      <c r="G347" s="334">
        <v>4</v>
      </c>
      <c r="H347" s="334">
        <v>7</v>
      </c>
      <c r="I347" s="334">
        <v>6</v>
      </c>
      <c r="J347" s="334">
        <v>29</v>
      </c>
      <c r="K347" s="334">
        <v>0</v>
      </c>
    </row>
    <row r="348" spans="1:11">
      <c r="A348" s="332" t="s">
        <v>33</v>
      </c>
      <c r="B348" s="334">
        <v>18</v>
      </c>
      <c r="C348" s="334">
        <v>0</v>
      </c>
      <c r="D348" s="334">
        <v>0</v>
      </c>
      <c r="E348" s="334">
        <v>0</v>
      </c>
      <c r="F348" s="334">
        <v>0</v>
      </c>
      <c r="G348" s="334">
        <v>0</v>
      </c>
      <c r="H348" s="334">
        <v>0</v>
      </c>
      <c r="I348" s="334">
        <v>0</v>
      </c>
      <c r="J348" s="334">
        <v>0</v>
      </c>
      <c r="K348" s="334">
        <v>18</v>
      </c>
    </row>
    <row r="349" spans="1:11" ht="5.0999999999999996" customHeight="1">
      <c r="B349" s="334"/>
      <c r="C349" s="334"/>
      <c r="D349" s="334"/>
      <c r="E349" s="334"/>
      <c r="F349" s="334"/>
      <c r="G349" s="334"/>
      <c r="H349" s="334"/>
      <c r="I349" s="334"/>
      <c r="J349" s="334"/>
      <c r="K349" s="334"/>
    </row>
    <row r="350" spans="1:11">
      <c r="A350" s="335" t="s">
        <v>103</v>
      </c>
      <c r="B350" s="333">
        <v>897</v>
      </c>
      <c r="C350" s="333">
        <v>12</v>
      </c>
      <c r="D350" s="333">
        <v>102</v>
      </c>
      <c r="E350" s="333">
        <v>143</v>
      </c>
      <c r="F350" s="333">
        <v>140</v>
      </c>
      <c r="G350" s="333">
        <v>134</v>
      </c>
      <c r="H350" s="333">
        <v>106</v>
      </c>
      <c r="I350" s="333">
        <v>90</v>
      </c>
      <c r="J350" s="333">
        <v>162</v>
      </c>
      <c r="K350" s="333">
        <v>8</v>
      </c>
    </row>
    <row r="351" spans="1:11" ht="5.0999999999999996" customHeight="1">
      <c r="B351" s="334"/>
      <c r="C351" s="334"/>
      <c r="D351" s="334"/>
      <c r="E351" s="334"/>
      <c r="F351" s="334"/>
      <c r="G351" s="334"/>
      <c r="H351" s="334"/>
      <c r="I351" s="334"/>
      <c r="J351" s="334"/>
      <c r="K351" s="334"/>
    </row>
    <row r="352" spans="1:11">
      <c r="A352" s="332" t="s">
        <v>63</v>
      </c>
      <c r="B352" s="334">
        <v>72</v>
      </c>
      <c r="C352" s="334">
        <v>5</v>
      </c>
      <c r="D352" s="334">
        <v>28</v>
      </c>
      <c r="E352" s="334">
        <v>21</v>
      </c>
      <c r="F352" s="334">
        <v>7</v>
      </c>
      <c r="G352" s="334">
        <v>3</v>
      </c>
      <c r="H352" s="334">
        <v>1</v>
      </c>
      <c r="I352" s="334">
        <v>3</v>
      </c>
      <c r="J352" s="334">
        <v>4</v>
      </c>
      <c r="K352" s="334">
        <v>0</v>
      </c>
    </row>
    <row r="353" spans="1:11">
      <c r="A353" s="332" t="s">
        <v>64</v>
      </c>
      <c r="B353" s="334">
        <v>162</v>
      </c>
      <c r="C353" s="334">
        <v>5</v>
      </c>
      <c r="D353" s="334">
        <v>49</v>
      </c>
      <c r="E353" s="334">
        <v>45</v>
      </c>
      <c r="F353" s="334">
        <v>28</v>
      </c>
      <c r="G353" s="334">
        <v>12</v>
      </c>
      <c r="H353" s="334">
        <v>6</v>
      </c>
      <c r="I353" s="334">
        <v>9</v>
      </c>
      <c r="J353" s="334">
        <v>6</v>
      </c>
      <c r="K353" s="334">
        <v>2</v>
      </c>
    </row>
    <row r="354" spans="1:11">
      <c r="A354" s="332" t="s">
        <v>65</v>
      </c>
      <c r="B354" s="334">
        <v>159</v>
      </c>
      <c r="C354" s="334">
        <v>0</v>
      </c>
      <c r="D354" s="334">
        <v>17</v>
      </c>
      <c r="E354" s="334">
        <v>43</v>
      </c>
      <c r="F354" s="334">
        <v>38</v>
      </c>
      <c r="G354" s="334">
        <v>33</v>
      </c>
      <c r="H354" s="334">
        <v>12</v>
      </c>
      <c r="I354" s="334">
        <v>9</v>
      </c>
      <c r="J354" s="334">
        <v>7</v>
      </c>
      <c r="K354" s="334">
        <v>0</v>
      </c>
    </row>
    <row r="355" spans="1:11">
      <c r="A355" s="332" t="s">
        <v>66</v>
      </c>
      <c r="B355" s="334">
        <v>154</v>
      </c>
      <c r="C355" s="334">
        <v>1</v>
      </c>
      <c r="D355" s="334">
        <v>2</v>
      </c>
      <c r="E355" s="334">
        <v>16</v>
      </c>
      <c r="F355" s="334">
        <v>43</v>
      </c>
      <c r="G355" s="334">
        <v>39</v>
      </c>
      <c r="H355" s="334">
        <v>28</v>
      </c>
      <c r="I355" s="334">
        <v>11</v>
      </c>
      <c r="J355" s="334">
        <v>14</v>
      </c>
      <c r="K355" s="334">
        <v>0</v>
      </c>
    </row>
    <row r="356" spans="1:11">
      <c r="A356" s="332" t="s">
        <v>67</v>
      </c>
      <c r="B356" s="334">
        <v>115</v>
      </c>
      <c r="C356" s="334">
        <v>1</v>
      </c>
      <c r="D356" s="334">
        <v>5</v>
      </c>
      <c r="E356" s="334">
        <v>10</v>
      </c>
      <c r="F356" s="334">
        <v>12</v>
      </c>
      <c r="G356" s="334">
        <v>30</v>
      </c>
      <c r="H356" s="334">
        <v>24</v>
      </c>
      <c r="I356" s="334">
        <v>11</v>
      </c>
      <c r="J356" s="334">
        <v>22</v>
      </c>
      <c r="K356" s="334">
        <v>0</v>
      </c>
    </row>
    <row r="357" spans="1:11">
      <c r="A357" s="332" t="s">
        <v>68</v>
      </c>
      <c r="B357" s="334">
        <v>99</v>
      </c>
      <c r="C357" s="334">
        <v>0</v>
      </c>
      <c r="D357" s="334">
        <v>1</v>
      </c>
      <c r="E357" s="334">
        <v>5</v>
      </c>
      <c r="F357" s="334">
        <v>9</v>
      </c>
      <c r="G357" s="334">
        <v>8</v>
      </c>
      <c r="H357" s="334">
        <v>25</v>
      </c>
      <c r="I357" s="334">
        <v>25</v>
      </c>
      <c r="J357" s="334">
        <v>26</v>
      </c>
      <c r="K357" s="334">
        <v>0</v>
      </c>
    </row>
    <row r="358" spans="1:11">
      <c r="A358" s="332" t="s">
        <v>69</v>
      </c>
      <c r="B358" s="334">
        <v>50</v>
      </c>
      <c r="C358" s="334">
        <v>0</v>
      </c>
      <c r="D358" s="334">
        <v>0</v>
      </c>
      <c r="E358" s="334">
        <v>1</v>
      </c>
      <c r="F358" s="334">
        <v>3</v>
      </c>
      <c r="G358" s="334">
        <v>4</v>
      </c>
      <c r="H358" s="334">
        <v>3</v>
      </c>
      <c r="I358" s="334">
        <v>12</v>
      </c>
      <c r="J358" s="334">
        <v>27</v>
      </c>
      <c r="K358" s="334">
        <v>0</v>
      </c>
    </row>
    <row r="359" spans="1:11">
      <c r="A359" s="332" t="s">
        <v>293</v>
      </c>
      <c r="B359" s="334">
        <v>77</v>
      </c>
      <c r="C359" s="334">
        <v>0</v>
      </c>
      <c r="D359" s="334">
        <v>0</v>
      </c>
      <c r="E359" s="334">
        <v>2</v>
      </c>
      <c r="F359" s="334">
        <v>0</v>
      </c>
      <c r="G359" s="334">
        <v>5</v>
      </c>
      <c r="H359" s="334">
        <v>6</v>
      </c>
      <c r="I359" s="334">
        <v>9</v>
      </c>
      <c r="J359" s="334">
        <v>55</v>
      </c>
      <c r="K359" s="334">
        <v>0</v>
      </c>
    </row>
    <row r="360" spans="1:11">
      <c r="A360" s="332" t="s">
        <v>33</v>
      </c>
      <c r="B360" s="334">
        <v>9</v>
      </c>
      <c r="C360" s="334">
        <v>0</v>
      </c>
      <c r="D360" s="334">
        <v>0</v>
      </c>
      <c r="E360" s="334">
        <v>0</v>
      </c>
      <c r="F360" s="334">
        <v>0</v>
      </c>
      <c r="G360" s="334">
        <v>0</v>
      </c>
      <c r="H360" s="334">
        <v>1</v>
      </c>
      <c r="I360" s="334">
        <v>1</v>
      </c>
      <c r="J360" s="334">
        <v>1</v>
      </c>
      <c r="K360" s="334">
        <v>6</v>
      </c>
    </row>
    <row r="361" spans="1:11" ht="5.0999999999999996" customHeight="1">
      <c r="B361" s="334"/>
      <c r="C361" s="334"/>
      <c r="D361" s="334"/>
      <c r="E361" s="334"/>
      <c r="F361" s="334"/>
      <c r="G361" s="334"/>
      <c r="H361" s="334"/>
      <c r="I361" s="334"/>
      <c r="J361" s="334"/>
      <c r="K361" s="334"/>
    </row>
    <row r="362" spans="1:11">
      <c r="A362" s="335" t="s">
        <v>104</v>
      </c>
      <c r="B362" s="333">
        <v>468</v>
      </c>
      <c r="C362" s="333">
        <v>4</v>
      </c>
      <c r="D362" s="333">
        <v>69</v>
      </c>
      <c r="E362" s="333">
        <v>107</v>
      </c>
      <c r="F362" s="333">
        <v>73</v>
      </c>
      <c r="G362" s="333">
        <v>56</v>
      </c>
      <c r="H362" s="333">
        <v>37</v>
      </c>
      <c r="I362" s="333">
        <v>41</v>
      </c>
      <c r="J362" s="333">
        <v>73</v>
      </c>
      <c r="K362" s="333">
        <v>8</v>
      </c>
    </row>
    <row r="363" spans="1:11" ht="5.0999999999999996" customHeight="1">
      <c r="B363" s="334"/>
      <c r="C363" s="334"/>
      <c r="D363" s="334"/>
      <c r="E363" s="334"/>
      <c r="F363" s="334"/>
      <c r="G363" s="334"/>
      <c r="H363" s="334"/>
      <c r="I363" s="334"/>
      <c r="J363" s="334"/>
      <c r="K363" s="334"/>
    </row>
    <row r="364" spans="1:11">
      <c r="A364" s="332" t="s">
        <v>63</v>
      </c>
      <c r="B364" s="334">
        <v>47</v>
      </c>
      <c r="C364" s="334">
        <v>0</v>
      </c>
      <c r="D364" s="334">
        <v>20</v>
      </c>
      <c r="E364" s="334">
        <v>19</v>
      </c>
      <c r="F364" s="334">
        <v>4</v>
      </c>
      <c r="G364" s="334">
        <v>1</v>
      </c>
      <c r="H364" s="334">
        <v>2</v>
      </c>
      <c r="I364" s="334">
        <v>1</v>
      </c>
      <c r="J364" s="334">
        <v>0</v>
      </c>
      <c r="K364" s="334">
        <v>0</v>
      </c>
    </row>
    <row r="365" spans="1:11">
      <c r="A365" s="332" t="s">
        <v>64</v>
      </c>
      <c r="B365" s="334">
        <v>102</v>
      </c>
      <c r="C365" s="334">
        <v>2</v>
      </c>
      <c r="D365" s="334">
        <v>28</v>
      </c>
      <c r="E365" s="334">
        <v>42</v>
      </c>
      <c r="F365" s="334">
        <v>18</v>
      </c>
      <c r="G365" s="334">
        <v>7</v>
      </c>
      <c r="H365" s="334">
        <v>3</v>
      </c>
      <c r="I365" s="334">
        <v>0</v>
      </c>
      <c r="J365" s="334">
        <v>2</v>
      </c>
      <c r="K365" s="334">
        <v>0</v>
      </c>
    </row>
    <row r="366" spans="1:11">
      <c r="A366" s="332" t="s">
        <v>65</v>
      </c>
      <c r="B366" s="334">
        <v>102</v>
      </c>
      <c r="C366" s="334">
        <v>2</v>
      </c>
      <c r="D366" s="334">
        <v>14</v>
      </c>
      <c r="E366" s="334">
        <v>28</v>
      </c>
      <c r="F366" s="334">
        <v>27</v>
      </c>
      <c r="G366" s="334">
        <v>16</v>
      </c>
      <c r="H366" s="334">
        <v>5</v>
      </c>
      <c r="I366" s="334">
        <v>5</v>
      </c>
      <c r="J366" s="334">
        <v>5</v>
      </c>
      <c r="K366" s="334">
        <v>0</v>
      </c>
    </row>
    <row r="367" spans="1:11">
      <c r="A367" s="332" t="s">
        <v>66</v>
      </c>
      <c r="B367" s="334">
        <v>57</v>
      </c>
      <c r="C367" s="334">
        <v>0</v>
      </c>
      <c r="D367" s="334">
        <v>4</v>
      </c>
      <c r="E367" s="334">
        <v>8</v>
      </c>
      <c r="F367" s="334">
        <v>13</v>
      </c>
      <c r="G367" s="334">
        <v>13</v>
      </c>
      <c r="H367" s="334">
        <v>7</v>
      </c>
      <c r="I367" s="334">
        <v>5</v>
      </c>
      <c r="J367" s="334">
        <v>7</v>
      </c>
      <c r="K367" s="334">
        <v>0</v>
      </c>
    </row>
    <row r="368" spans="1:11">
      <c r="A368" s="332" t="s">
        <v>67</v>
      </c>
      <c r="B368" s="334">
        <v>49</v>
      </c>
      <c r="C368" s="334">
        <v>0</v>
      </c>
      <c r="D368" s="334">
        <v>1</v>
      </c>
      <c r="E368" s="334">
        <v>7</v>
      </c>
      <c r="F368" s="334">
        <v>7</v>
      </c>
      <c r="G368" s="334">
        <v>11</v>
      </c>
      <c r="H368" s="334">
        <v>7</v>
      </c>
      <c r="I368" s="334">
        <v>8</v>
      </c>
      <c r="J368" s="334">
        <v>8</v>
      </c>
      <c r="K368" s="334">
        <v>0</v>
      </c>
    </row>
    <row r="369" spans="1:11">
      <c r="A369" s="332" t="s">
        <v>68</v>
      </c>
      <c r="B369" s="334">
        <v>41</v>
      </c>
      <c r="C369" s="334">
        <v>0</v>
      </c>
      <c r="D369" s="334">
        <v>1</v>
      </c>
      <c r="E369" s="334">
        <v>2</v>
      </c>
      <c r="F369" s="334">
        <v>2</v>
      </c>
      <c r="G369" s="334">
        <v>4</v>
      </c>
      <c r="H369" s="334">
        <v>9</v>
      </c>
      <c r="I369" s="334">
        <v>13</v>
      </c>
      <c r="J369" s="334">
        <v>10</v>
      </c>
      <c r="K369" s="334">
        <v>0</v>
      </c>
    </row>
    <row r="370" spans="1:11">
      <c r="A370" s="332" t="s">
        <v>69</v>
      </c>
      <c r="B370" s="334">
        <v>26</v>
      </c>
      <c r="C370" s="334">
        <v>0</v>
      </c>
      <c r="D370" s="334">
        <v>0</v>
      </c>
      <c r="E370" s="334">
        <v>1</v>
      </c>
      <c r="F370" s="334">
        <v>1</v>
      </c>
      <c r="G370" s="334">
        <v>3</v>
      </c>
      <c r="H370" s="334">
        <v>3</v>
      </c>
      <c r="I370" s="334">
        <v>8</v>
      </c>
      <c r="J370" s="334">
        <v>10</v>
      </c>
      <c r="K370" s="334">
        <v>0</v>
      </c>
    </row>
    <row r="371" spans="1:11">
      <c r="A371" s="332" t="s">
        <v>293</v>
      </c>
      <c r="B371" s="334">
        <v>34</v>
      </c>
      <c r="C371" s="334">
        <v>0</v>
      </c>
      <c r="D371" s="334">
        <v>0</v>
      </c>
      <c r="E371" s="334">
        <v>0</v>
      </c>
      <c r="F371" s="334">
        <v>1</v>
      </c>
      <c r="G371" s="334">
        <v>1</v>
      </c>
      <c r="H371" s="334">
        <v>1</v>
      </c>
      <c r="I371" s="334">
        <v>1</v>
      </c>
      <c r="J371" s="334">
        <v>30</v>
      </c>
      <c r="K371" s="334">
        <v>0</v>
      </c>
    </row>
    <row r="372" spans="1:11">
      <c r="A372" s="332" t="s">
        <v>33</v>
      </c>
      <c r="B372" s="334">
        <v>10</v>
      </c>
      <c r="C372" s="334">
        <v>0</v>
      </c>
      <c r="D372" s="334">
        <v>1</v>
      </c>
      <c r="E372" s="334">
        <v>0</v>
      </c>
      <c r="F372" s="334">
        <v>0</v>
      </c>
      <c r="G372" s="334">
        <v>0</v>
      </c>
      <c r="H372" s="334">
        <v>0</v>
      </c>
      <c r="I372" s="334">
        <v>0</v>
      </c>
      <c r="J372" s="334">
        <v>1</v>
      </c>
      <c r="K372" s="334">
        <v>8</v>
      </c>
    </row>
    <row r="373" spans="1:11" ht="5.0999999999999996" customHeight="1">
      <c r="B373" s="334"/>
      <c r="C373" s="334"/>
      <c r="D373" s="334"/>
      <c r="E373" s="334"/>
      <c r="F373" s="334"/>
      <c r="G373" s="334"/>
      <c r="H373" s="334"/>
      <c r="I373" s="334"/>
      <c r="J373" s="334"/>
      <c r="K373" s="334"/>
    </row>
    <row r="374" spans="1:11">
      <c r="A374" s="335" t="s">
        <v>105</v>
      </c>
      <c r="B374" s="333">
        <v>216</v>
      </c>
      <c r="C374" s="333">
        <v>1</v>
      </c>
      <c r="D374" s="333">
        <v>28</v>
      </c>
      <c r="E374" s="333">
        <v>44</v>
      </c>
      <c r="F374" s="333">
        <v>36</v>
      </c>
      <c r="G374" s="333">
        <v>31</v>
      </c>
      <c r="H374" s="333">
        <v>18</v>
      </c>
      <c r="I374" s="333">
        <v>20</v>
      </c>
      <c r="J374" s="333">
        <v>27</v>
      </c>
      <c r="K374" s="333">
        <v>11</v>
      </c>
    </row>
    <row r="375" spans="1:11" ht="5.0999999999999996" customHeight="1">
      <c r="B375" s="334"/>
      <c r="C375" s="334"/>
      <c r="D375" s="334"/>
      <c r="E375" s="334"/>
      <c r="F375" s="334"/>
      <c r="G375" s="334"/>
      <c r="H375" s="334"/>
      <c r="I375" s="334"/>
      <c r="J375" s="334"/>
      <c r="K375" s="334"/>
    </row>
    <row r="376" spans="1:11">
      <c r="A376" s="332" t="s">
        <v>62</v>
      </c>
      <c r="B376" s="334">
        <v>1</v>
      </c>
      <c r="C376" s="334">
        <v>0</v>
      </c>
      <c r="D376" s="334">
        <v>0</v>
      </c>
      <c r="E376" s="334">
        <v>0</v>
      </c>
      <c r="F376" s="334">
        <v>1</v>
      </c>
      <c r="G376" s="334">
        <v>0</v>
      </c>
      <c r="H376" s="334">
        <v>0</v>
      </c>
      <c r="I376" s="334">
        <v>0</v>
      </c>
      <c r="J376" s="334">
        <v>0</v>
      </c>
      <c r="K376" s="334">
        <v>0</v>
      </c>
    </row>
    <row r="377" spans="1:11">
      <c r="A377" s="332" t="s">
        <v>63</v>
      </c>
      <c r="B377" s="334">
        <v>17</v>
      </c>
      <c r="C377" s="334">
        <v>1</v>
      </c>
      <c r="D377" s="334">
        <v>7</v>
      </c>
      <c r="E377" s="334">
        <v>6</v>
      </c>
      <c r="F377" s="334">
        <v>2</v>
      </c>
      <c r="G377" s="334">
        <v>0</v>
      </c>
      <c r="H377" s="334">
        <v>1</v>
      </c>
      <c r="I377" s="334">
        <v>0</v>
      </c>
      <c r="J377" s="334">
        <v>0</v>
      </c>
      <c r="K377" s="334">
        <v>0</v>
      </c>
    </row>
    <row r="378" spans="1:11">
      <c r="A378" s="332" t="s">
        <v>64</v>
      </c>
      <c r="B378" s="334">
        <v>47</v>
      </c>
      <c r="C378" s="334">
        <v>0</v>
      </c>
      <c r="D378" s="334">
        <v>13</v>
      </c>
      <c r="E378" s="334">
        <v>20</v>
      </c>
      <c r="F378" s="334">
        <v>8</v>
      </c>
      <c r="G378" s="334">
        <v>3</v>
      </c>
      <c r="H378" s="334">
        <v>1</v>
      </c>
      <c r="I378" s="334">
        <v>1</v>
      </c>
      <c r="J378" s="334">
        <v>1</v>
      </c>
      <c r="K378" s="334">
        <v>0</v>
      </c>
    </row>
    <row r="379" spans="1:11">
      <c r="A379" s="332" t="s">
        <v>65</v>
      </c>
      <c r="B379" s="334">
        <v>44</v>
      </c>
      <c r="C379" s="334">
        <v>0</v>
      </c>
      <c r="D379" s="334">
        <v>6</v>
      </c>
      <c r="E379" s="334">
        <v>15</v>
      </c>
      <c r="F379" s="334">
        <v>9</v>
      </c>
      <c r="G379" s="334">
        <v>7</v>
      </c>
      <c r="H379" s="334">
        <v>3</v>
      </c>
      <c r="I379" s="334">
        <v>3</v>
      </c>
      <c r="J379" s="334">
        <v>1</v>
      </c>
      <c r="K379" s="334">
        <v>0</v>
      </c>
    </row>
    <row r="380" spans="1:11">
      <c r="A380" s="332" t="s">
        <v>66</v>
      </c>
      <c r="B380" s="334">
        <v>30</v>
      </c>
      <c r="C380" s="334">
        <v>0</v>
      </c>
      <c r="D380" s="334">
        <v>0</v>
      </c>
      <c r="E380" s="334">
        <v>3</v>
      </c>
      <c r="F380" s="334">
        <v>6</v>
      </c>
      <c r="G380" s="334">
        <v>10</v>
      </c>
      <c r="H380" s="334">
        <v>2</v>
      </c>
      <c r="I380" s="334">
        <v>4</v>
      </c>
      <c r="J380" s="334">
        <v>5</v>
      </c>
      <c r="K380" s="334">
        <v>0</v>
      </c>
    </row>
    <row r="381" spans="1:11">
      <c r="A381" s="332" t="s">
        <v>67</v>
      </c>
      <c r="B381" s="334">
        <v>20</v>
      </c>
      <c r="C381" s="334">
        <v>0</v>
      </c>
      <c r="D381" s="334">
        <v>0</v>
      </c>
      <c r="E381" s="334">
        <v>0</v>
      </c>
      <c r="F381" s="334">
        <v>3</v>
      </c>
      <c r="G381" s="334">
        <v>7</v>
      </c>
      <c r="H381" s="334">
        <v>3</v>
      </c>
      <c r="I381" s="334">
        <v>4</v>
      </c>
      <c r="J381" s="334">
        <v>3</v>
      </c>
      <c r="K381" s="334">
        <v>0</v>
      </c>
    </row>
    <row r="382" spans="1:11">
      <c r="A382" s="332" t="s">
        <v>68</v>
      </c>
      <c r="B382" s="334">
        <v>22</v>
      </c>
      <c r="C382" s="334">
        <v>0</v>
      </c>
      <c r="D382" s="334">
        <v>1</v>
      </c>
      <c r="E382" s="334">
        <v>0</v>
      </c>
      <c r="F382" s="334">
        <v>5</v>
      </c>
      <c r="G382" s="334">
        <v>4</v>
      </c>
      <c r="H382" s="334">
        <v>5</v>
      </c>
      <c r="I382" s="334">
        <v>6</v>
      </c>
      <c r="J382" s="334">
        <v>1</v>
      </c>
      <c r="K382" s="334">
        <v>0</v>
      </c>
    </row>
    <row r="383" spans="1:11">
      <c r="A383" s="332" t="s">
        <v>69</v>
      </c>
      <c r="B383" s="334">
        <v>8</v>
      </c>
      <c r="C383" s="334">
        <v>0</v>
      </c>
      <c r="D383" s="334">
        <v>1</v>
      </c>
      <c r="E383" s="334">
        <v>0</v>
      </c>
      <c r="F383" s="334">
        <v>0</v>
      </c>
      <c r="G383" s="334">
        <v>0</v>
      </c>
      <c r="H383" s="334">
        <v>2</v>
      </c>
      <c r="I383" s="334">
        <v>1</v>
      </c>
      <c r="J383" s="334">
        <v>4</v>
      </c>
      <c r="K383" s="334">
        <v>0</v>
      </c>
    </row>
    <row r="384" spans="1:11">
      <c r="A384" s="332" t="s">
        <v>293</v>
      </c>
      <c r="B384" s="334">
        <v>16</v>
      </c>
      <c r="C384" s="334">
        <v>0</v>
      </c>
      <c r="D384" s="334">
        <v>0</v>
      </c>
      <c r="E384" s="334">
        <v>0</v>
      </c>
      <c r="F384" s="334">
        <v>2</v>
      </c>
      <c r="G384" s="334">
        <v>0</v>
      </c>
      <c r="H384" s="334">
        <v>1</v>
      </c>
      <c r="I384" s="334">
        <v>1</v>
      </c>
      <c r="J384" s="334">
        <v>12</v>
      </c>
      <c r="K384" s="334">
        <v>0</v>
      </c>
    </row>
    <row r="385" spans="1:11">
      <c r="A385" s="332" t="s">
        <v>33</v>
      </c>
      <c r="B385" s="334">
        <v>11</v>
      </c>
      <c r="C385" s="334">
        <v>0</v>
      </c>
      <c r="D385" s="334">
        <v>0</v>
      </c>
      <c r="E385" s="334">
        <v>0</v>
      </c>
      <c r="F385" s="334">
        <v>0</v>
      </c>
      <c r="G385" s="334">
        <v>0</v>
      </c>
      <c r="H385" s="334">
        <v>0</v>
      </c>
      <c r="I385" s="334">
        <v>0</v>
      </c>
      <c r="J385" s="334">
        <v>0</v>
      </c>
      <c r="K385" s="334">
        <v>11</v>
      </c>
    </row>
    <row r="386" spans="1:11" ht="5.0999999999999996" customHeight="1">
      <c r="B386" s="334"/>
      <c r="C386" s="334"/>
      <c r="D386" s="334"/>
      <c r="E386" s="334"/>
      <c r="F386" s="334"/>
      <c r="G386" s="334"/>
      <c r="H386" s="334"/>
      <c r="I386" s="334"/>
      <c r="J386" s="334"/>
      <c r="K386" s="334"/>
    </row>
    <row r="387" spans="1:11">
      <c r="A387" s="335" t="s">
        <v>106</v>
      </c>
      <c r="B387" s="333">
        <v>133</v>
      </c>
      <c r="C387" s="333">
        <v>2</v>
      </c>
      <c r="D387" s="333">
        <v>14</v>
      </c>
      <c r="E387" s="333">
        <v>21</v>
      </c>
      <c r="F387" s="333">
        <v>19</v>
      </c>
      <c r="G387" s="333">
        <v>16</v>
      </c>
      <c r="H387" s="333">
        <v>20</v>
      </c>
      <c r="I387" s="333">
        <v>12</v>
      </c>
      <c r="J387" s="333">
        <v>29</v>
      </c>
      <c r="K387" s="333">
        <v>0</v>
      </c>
    </row>
    <row r="388" spans="1:11" ht="5.0999999999999996" customHeight="1">
      <c r="B388" s="334"/>
      <c r="C388" s="334"/>
      <c r="D388" s="334"/>
      <c r="E388" s="334"/>
      <c r="F388" s="334"/>
      <c r="G388" s="334"/>
      <c r="H388" s="334"/>
      <c r="I388" s="334"/>
      <c r="J388" s="334"/>
      <c r="K388" s="334"/>
    </row>
    <row r="389" spans="1:11">
      <c r="A389" s="332" t="s">
        <v>63</v>
      </c>
      <c r="B389" s="334">
        <v>6</v>
      </c>
      <c r="C389" s="334">
        <v>0</v>
      </c>
      <c r="D389" s="334">
        <v>2</v>
      </c>
      <c r="E389" s="334">
        <v>3</v>
      </c>
      <c r="F389" s="334">
        <v>1</v>
      </c>
      <c r="G389" s="334">
        <v>0</v>
      </c>
      <c r="H389" s="334">
        <v>0</v>
      </c>
      <c r="I389" s="334">
        <v>0</v>
      </c>
      <c r="J389" s="334">
        <v>0</v>
      </c>
      <c r="K389" s="334">
        <v>0</v>
      </c>
    </row>
    <row r="390" spans="1:11">
      <c r="A390" s="332" t="s">
        <v>64</v>
      </c>
      <c r="B390" s="334">
        <v>32</v>
      </c>
      <c r="C390" s="334">
        <v>2</v>
      </c>
      <c r="D390" s="334">
        <v>11</v>
      </c>
      <c r="E390" s="334">
        <v>8</v>
      </c>
      <c r="F390" s="334">
        <v>8</v>
      </c>
      <c r="G390" s="334">
        <v>1</v>
      </c>
      <c r="H390" s="334">
        <v>1</v>
      </c>
      <c r="I390" s="334">
        <v>0</v>
      </c>
      <c r="J390" s="334">
        <v>1</v>
      </c>
      <c r="K390" s="334">
        <v>0</v>
      </c>
    </row>
    <row r="391" spans="1:11">
      <c r="A391" s="332" t="s">
        <v>65</v>
      </c>
      <c r="B391" s="334">
        <v>18</v>
      </c>
      <c r="C391" s="334">
        <v>0</v>
      </c>
      <c r="D391" s="334">
        <v>1</v>
      </c>
      <c r="E391" s="334">
        <v>6</v>
      </c>
      <c r="F391" s="334">
        <v>2</v>
      </c>
      <c r="G391" s="334">
        <v>2</v>
      </c>
      <c r="H391" s="334">
        <v>2</v>
      </c>
      <c r="I391" s="334">
        <v>1</v>
      </c>
      <c r="J391" s="334">
        <v>4</v>
      </c>
      <c r="K391" s="334">
        <v>0</v>
      </c>
    </row>
    <row r="392" spans="1:11">
      <c r="A392" s="332" t="s">
        <v>66</v>
      </c>
      <c r="B392" s="334">
        <v>18</v>
      </c>
      <c r="C392" s="334">
        <v>0</v>
      </c>
      <c r="D392" s="334">
        <v>0</v>
      </c>
      <c r="E392" s="334">
        <v>2</v>
      </c>
      <c r="F392" s="334">
        <v>2</v>
      </c>
      <c r="G392" s="334">
        <v>7</v>
      </c>
      <c r="H392" s="334">
        <v>3</v>
      </c>
      <c r="I392" s="334">
        <v>3</v>
      </c>
      <c r="J392" s="334">
        <v>1</v>
      </c>
      <c r="K392" s="334">
        <v>0</v>
      </c>
    </row>
    <row r="393" spans="1:11">
      <c r="A393" s="332" t="s">
        <v>67</v>
      </c>
      <c r="B393" s="334">
        <v>22</v>
      </c>
      <c r="C393" s="334">
        <v>0</v>
      </c>
      <c r="D393" s="334">
        <v>0</v>
      </c>
      <c r="E393" s="334">
        <v>2</v>
      </c>
      <c r="F393" s="334">
        <v>4</v>
      </c>
      <c r="G393" s="334">
        <v>6</v>
      </c>
      <c r="H393" s="334">
        <v>6</v>
      </c>
      <c r="I393" s="334">
        <v>1</v>
      </c>
      <c r="J393" s="334">
        <v>3</v>
      </c>
      <c r="K393" s="334">
        <v>0</v>
      </c>
    </row>
    <row r="394" spans="1:11">
      <c r="A394" s="332" t="s">
        <v>68</v>
      </c>
      <c r="B394" s="334">
        <v>10</v>
      </c>
      <c r="C394" s="334">
        <v>0</v>
      </c>
      <c r="D394" s="334">
        <v>0</v>
      </c>
      <c r="E394" s="334">
        <v>0</v>
      </c>
      <c r="F394" s="334">
        <v>1</v>
      </c>
      <c r="G394" s="334">
        <v>0</v>
      </c>
      <c r="H394" s="334">
        <v>3</v>
      </c>
      <c r="I394" s="334">
        <v>4</v>
      </c>
      <c r="J394" s="334">
        <v>2</v>
      </c>
      <c r="K394" s="334">
        <v>0</v>
      </c>
    </row>
    <row r="395" spans="1:11">
      <c r="A395" s="332" t="s">
        <v>69</v>
      </c>
      <c r="B395" s="334">
        <v>8</v>
      </c>
      <c r="C395" s="334">
        <v>0</v>
      </c>
      <c r="D395" s="334">
        <v>0</v>
      </c>
      <c r="E395" s="334">
        <v>0</v>
      </c>
      <c r="F395" s="334">
        <v>0</v>
      </c>
      <c r="G395" s="334">
        <v>0</v>
      </c>
      <c r="H395" s="334">
        <v>3</v>
      </c>
      <c r="I395" s="334">
        <v>2</v>
      </c>
      <c r="J395" s="334">
        <v>3</v>
      </c>
      <c r="K395" s="334">
        <v>0</v>
      </c>
    </row>
    <row r="396" spans="1:11">
      <c r="A396" s="332" t="s">
        <v>293</v>
      </c>
      <c r="B396" s="334">
        <v>19</v>
      </c>
      <c r="C396" s="334">
        <v>0</v>
      </c>
      <c r="D396" s="334">
        <v>0</v>
      </c>
      <c r="E396" s="334">
        <v>0</v>
      </c>
      <c r="F396" s="334">
        <v>1</v>
      </c>
      <c r="G396" s="334">
        <v>0</v>
      </c>
      <c r="H396" s="334">
        <v>2</v>
      </c>
      <c r="I396" s="334">
        <v>1</v>
      </c>
      <c r="J396" s="334">
        <v>15</v>
      </c>
      <c r="K396" s="334">
        <v>0</v>
      </c>
    </row>
    <row r="397" spans="1:11" ht="5.0999999999999996" customHeight="1">
      <c r="B397" s="334"/>
      <c r="C397" s="334"/>
      <c r="D397" s="334"/>
      <c r="E397" s="334"/>
      <c r="F397" s="334"/>
      <c r="G397" s="334"/>
      <c r="H397" s="334"/>
      <c r="I397" s="334"/>
      <c r="J397" s="334"/>
      <c r="K397" s="334"/>
    </row>
    <row r="398" spans="1:11">
      <c r="A398" s="335" t="s">
        <v>107</v>
      </c>
      <c r="B398" s="333">
        <v>9825</v>
      </c>
      <c r="C398" s="333">
        <v>104</v>
      </c>
      <c r="D398" s="333">
        <v>1299</v>
      </c>
      <c r="E398" s="333">
        <v>2116</v>
      </c>
      <c r="F398" s="333">
        <v>1807</v>
      </c>
      <c r="G398" s="333">
        <v>1357</v>
      </c>
      <c r="H398" s="333">
        <v>1041</v>
      </c>
      <c r="I398" s="333">
        <v>713</v>
      </c>
      <c r="J398" s="333">
        <v>1349</v>
      </c>
      <c r="K398" s="333">
        <v>39</v>
      </c>
    </row>
    <row r="399" spans="1:11" ht="5.0999999999999996" customHeight="1">
      <c r="B399" s="334"/>
      <c r="C399" s="334"/>
      <c r="D399" s="334"/>
      <c r="E399" s="334"/>
      <c r="F399" s="334"/>
      <c r="G399" s="334"/>
      <c r="H399" s="334"/>
      <c r="I399" s="334"/>
      <c r="J399" s="334"/>
      <c r="K399" s="334"/>
    </row>
    <row r="400" spans="1:11">
      <c r="A400" s="332" t="s">
        <v>62</v>
      </c>
      <c r="B400" s="334">
        <v>1</v>
      </c>
      <c r="C400" s="334">
        <v>1</v>
      </c>
      <c r="D400" s="334">
        <v>0</v>
      </c>
      <c r="E400" s="334">
        <v>0</v>
      </c>
      <c r="F400" s="334">
        <v>0</v>
      </c>
      <c r="G400" s="334">
        <v>0</v>
      </c>
      <c r="H400" s="334">
        <v>0</v>
      </c>
      <c r="I400" s="334">
        <v>0</v>
      </c>
      <c r="J400" s="334">
        <v>0</v>
      </c>
      <c r="K400" s="334">
        <v>0</v>
      </c>
    </row>
    <row r="401" spans="1:11">
      <c r="A401" s="332" t="s">
        <v>63</v>
      </c>
      <c r="B401" s="334">
        <v>534</v>
      </c>
      <c r="C401" s="334">
        <v>42</v>
      </c>
      <c r="D401" s="334">
        <v>235</v>
      </c>
      <c r="E401" s="334">
        <v>156</v>
      </c>
      <c r="F401" s="334">
        <v>58</v>
      </c>
      <c r="G401" s="334">
        <v>24</v>
      </c>
      <c r="H401" s="334">
        <v>7</v>
      </c>
      <c r="I401" s="334">
        <v>8</v>
      </c>
      <c r="J401" s="334">
        <v>3</v>
      </c>
      <c r="K401" s="334">
        <v>1</v>
      </c>
    </row>
    <row r="402" spans="1:11">
      <c r="A402" s="332" t="s">
        <v>64</v>
      </c>
      <c r="B402" s="334">
        <v>2230</v>
      </c>
      <c r="C402" s="334">
        <v>43</v>
      </c>
      <c r="D402" s="334">
        <v>699</v>
      </c>
      <c r="E402" s="334">
        <v>852</v>
      </c>
      <c r="F402" s="334">
        <v>382</v>
      </c>
      <c r="G402" s="334">
        <v>132</v>
      </c>
      <c r="H402" s="334">
        <v>51</v>
      </c>
      <c r="I402" s="334">
        <v>33</v>
      </c>
      <c r="J402" s="334">
        <v>38</v>
      </c>
      <c r="K402" s="334">
        <v>0</v>
      </c>
    </row>
    <row r="403" spans="1:11">
      <c r="A403" s="332" t="s">
        <v>65</v>
      </c>
      <c r="B403" s="334">
        <v>2152</v>
      </c>
      <c r="C403" s="334">
        <v>9</v>
      </c>
      <c r="D403" s="334">
        <v>242</v>
      </c>
      <c r="E403" s="334">
        <v>748</v>
      </c>
      <c r="F403" s="334">
        <v>598</v>
      </c>
      <c r="G403" s="334">
        <v>280</v>
      </c>
      <c r="H403" s="334">
        <v>124</v>
      </c>
      <c r="I403" s="334">
        <v>81</v>
      </c>
      <c r="J403" s="334">
        <v>66</v>
      </c>
      <c r="K403" s="334">
        <v>4</v>
      </c>
    </row>
    <row r="404" spans="1:11">
      <c r="A404" s="337" t="s">
        <v>66</v>
      </c>
      <c r="B404" s="338">
        <v>1663</v>
      </c>
      <c r="C404" s="338">
        <v>7</v>
      </c>
      <c r="D404" s="338">
        <v>89</v>
      </c>
      <c r="E404" s="338">
        <v>225</v>
      </c>
      <c r="F404" s="338">
        <v>484</v>
      </c>
      <c r="G404" s="338">
        <v>431</v>
      </c>
      <c r="H404" s="338">
        <v>217</v>
      </c>
      <c r="I404" s="338">
        <v>88</v>
      </c>
      <c r="J404" s="338">
        <v>121</v>
      </c>
      <c r="K404" s="338">
        <v>1</v>
      </c>
    </row>
    <row r="405" spans="1:11">
      <c r="A405" s="337" t="s">
        <v>67</v>
      </c>
      <c r="B405" s="338">
        <v>1113</v>
      </c>
      <c r="C405" s="338">
        <v>1</v>
      </c>
      <c r="D405" s="338">
        <v>24</v>
      </c>
      <c r="E405" s="338">
        <v>82</v>
      </c>
      <c r="F405" s="338">
        <v>176</v>
      </c>
      <c r="G405" s="338">
        <v>287</v>
      </c>
      <c r="H405" s="338">
        <v>280</v>
      </c>
      <c r="I405" s="338">
        <v>144</v>
      </c>
      <c r="J405" s="338">
        <v>119</v>
      </c>
      <c r="K405" s="338">
        <v>0</v>
      </c>
    </row>
    <row r="406" spans="1:11">
      <c r="A406" s="337" t="s">
        <v>68</v>
      </c>
      <c r="B406" s="338">
        <v>810</v>
      </c>
      <c r="C406" s="338">
        <v>1</v>
      </c>
      <c r="D406" s="338">
        <v>8</v>
      </c>
      <c r="E406" s="338">
        <v>29</v>
      </c>
      <c r="F406" s="338">
        <v>62</v>
      </c>
      <c r="G406" s="338">
        <v>121</v>
      </c>
      <c r="H406" s="338">
        <v>220</v>
      </c>
      <c r="I406" s="338">
        <v>162</v>
      </c>
      <c r="J406" s="338">
        <v>206</v>
      </c>
      <c r="K406" s="338">
        <v>1</v>
      </c>
    </row>
    <row r="407" spans="1:11">
      <c r="A407" s="337" t="s">
        <v>69</v>
      </c>
      <c r="B407" s="338">
        <v>589</v>
      </c>
      <c r="C407" s="338">
        <v>0</v>
      </c>
      <c r="D407" s="338">
        <v>0</v>
      </c>
      <c r="E407" s="338">
        <v>13</v>
      </c>
      <c r="F407" s="338">
        <v>27</v>
      </c>
      <c r="G407" s="338">
        <v>60</v>
      </c>
      <c r="H407" s="338">
        <v>92</v>
      </c>
      <c r="I407" s="338">
        <v>121</v>
      </c>
      <c r="J407" s="338">
        <v>276</v>
      </c>
      <c r="K407" s="338">
        <v>0</v>
      </c>
    </row>
    <row r="408" spans="1:11">
      <c r="A408" s="337" t="s">
        <v>293</v>
      </c>
      <c r="B408" s="338">
        <v>690</v>
      </c>
      <c r="C408" s="338">
        <v>0</v>
      </c>
      <c r="D408" s="338">
        <v>1</v>
      </c>
      <c r="E408" s="338">
        <v>10</v>
      </c>
      <c r="F408" s="338">
        <v>17</v>
      </c>
      <c r="G408" s="338">
        <v>22</v>
      </c>
      <c r="H408" s="338">
        <v>47</v>
      </c>
      <c r="I408" s="338">
        <v>74</v>
      </c>
      <c r="J408" s="338">
        <v>519</v>
      </c>
      <c r="K408" s="338">
        <v>0</v>
      </c>
    </row>
    <row r="409" spans="1:11">
      <c r="A409" s="337" t="s">
        <v>33</v>
      </c>
      <c r="B409" s="338">
        <v>43</v>
      </c>
      <c r="C409" s="338">
        <v>0</v>
      </c>
      <c r="D409" s="338">
        <v>1</v>
      </c>
      <c r="E409" s="338">
        <v>1</v>
      </c>
      <c r="F409" s="338">
        <v>3</v>
      </c>
      <c r="G409" s="338">
        <v>0</v>
      </c>
      <c r="H409" s="338">
        <v>3</v>
      </c>
      <c r="I409" s="338">
        <v>2</v>
      </c>
      <c r="J409" s="338">
        <v>1</v>
      </c>
      <c r="K409" s="338">
        <v>32</v>
      </c>
    </row>
    <row r="410" spans="1:11" ht="5.0999999999999996" customHeight="1">
      <c r="A410" s="339"/>
      <c r="B410" s="340"/>
      <c r="C410" s="340"/>
      <c r="D410" s="340"/>
      <c r="E410" s="340"/>
      <c r="F410" s="340"/>
      <c r="G410" s="340"/>
      <c r="H410" s="340"/>
      <c r="I410" s="340"/>
      <c r="J410" s="340"/>
      <c r="K410" s="340"/>
    </row>
    <row r="411" spans="1:11" ht="5.0999999999999996" customHeight="1"/>
    <row r="412" spans="1:11" ht="19.5" customHeight="1">
      <c r="A412" s="327" t="s">
        <v>586</v>
      </c>
      <c r="B412" s="327"/>
    </row>
    <row r="413" spans="1:11" ht="14.25" customHeight="1">
      <c r="A413" s="452" t="s">
        <v>231</v>
      </c>
      <c r="B413" s="452"/>
    </row>
  </sheetData>
  <mergeCells count="7">
    <mergeCell ref="A413:B413"/>
    <mergeCell ref="A2:K2"/>
    <mergeCell ref="A3:K3"/>
    <mergeCell ref="A4:K4"/>
    <mergeCell ref="C6:K6"/>
    <mergeCell ref="B6:B7"/>
    <mergeCell ref="A6:A7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2:D46"/>
  <sheetViews>
    <sheetView showGridLines="0" workbookViewId="0">
      <selection activeCell="E5" sqref="E5"/>
    </sheetView>
  </sheetViews>
  <sheetFormatPr baseColWidth="10" defaultColWidth="11.42578125" defaultRowHeight="12.75" customHeight="1"/>
  <cols>
    <col min="1" max="1" width="27.5703125" style="100" customWidth="1"/>
    <col min="2" max="2" width="12.28515625" style="100" customWidth="1"/>
    <col min="3" max="3" width="12.85546875" style="91" customWidth="1"/>
    <col min="4" max="4" width="11.5703125" style="91" customWidth="1"/>
    <col min="5" max="16384" width="11.42578125" style="91"/>
  </cols>
  <sheetData>
    <row r="2" spans="1:4" s="92" customFormat="1" ht="11.25" customHeight="1">
      <c r="A2" s="444" t="s">
        <v>306</v>
      </c>
      <c r="B2" s="444"/>
      <c r="C2" s="444"/>
      <c r="D2" s="444"/>
    </row>
    <row r="3" spans="1:4" ht="11.25" customHeight="1">
      <c r="A3" s="445" t="s">
        <v>17</v>
      </c>
      <c r="B3" s="445"/>
      <c r="C3" s="445"/>
      <c r="D3" s="445"/>
    </row>
    <row r="4" spans="1:4" ht="11.25" customHeight="1">
      <c r="A4" s="445" t="s">
        <v>491</v>
      </c>
      <c r="B4" s="445"/>
      <c r="C4" s="445"/>
      <c r="D4" s="445"/>
    </row>
    <row r="5" spans="1:4" ht="11.25" customHeight="1"/>
    <row r="6" spans="1:4" s="92" customFormat="1" ht="12.75" customHeight="1">
      <c r="A6" s="460" t="s">
        <v>288</v>
      </c>
      <c r="B6" s="462"/>
      <c r="C6" s="451" t="s">
        <v>295</v>
      </c>
      <c r="D6" s="451"/>
    </row>
    <row r="7" spans="1:4" s="92" customFormat="1" ht="12.75" customHeight="1">
      <c r="A7" s="461"/>
      <c r="B7" s="463"/>
      <c r="C7" s="118" t="s">
        <v>296</v>
      </c>
      <c r="D7" s="118" t="s">
        <v>297</v>
      </c>
    </row>
    <row r="8" spans="1:4" s="92" customFormat="1" ht="4.5" customHeight="1">
      <c r="A8" s="119"/>
      <c r="B8" s="119"/>
      <c r="C8" s="119"/>
      <c r="D8" s="119"/>
    </row>
    <row r="9" spans="1:4" s="92" customFormat="1" ht="12.75" customHeight="1">
      <c r="A9" s="292" t="s">
        <v>585</v>
      </c>
      <c r="B9" s="120">
        <f>SUM(B11:B42)</f>
        <v>43797</v>
      </c>
      <c r="C9" s="120">
        <f>SUM(C11:C42)</f>
        <v>39993</v>
      </c>
      <c r="D9" s="120">
        <f>SUM(D11:D42)</f>
        <v>3804</v>
      </c>
    </row>
    <row r="10" spans="1:4" ht="4.5" customHeight="1">
      <c r="A10" s="96"/>
      <c r="B10" s="121"/>
      <c r="C10" s="108"/>
      <c r="D10" s="108"/>
    </row>
    <row r="11" spans="1:4" ht="12.75" customHeight="1">
      <c r="A11" s="96" t="s">
        <v>76</v>
      </c>
      <c r="B11" s="121">
        <f>+C11+D11</f>
        <v>5785</v>
      </c>
      <c r="C11" s="108">
        <v>5046</v>
      </c>
      <c r="D11" s="108">
        <v>739</v>
      </c>
    </row>
    <row r="12" spans="1:4" ht="12.75" customHeight="1">
      <c r="A12" s="96" t="s">
        <v>77</v>
      </c>
      <c r="B12" s="121">
        <f t="shared" ref="B12:B42" si="0">+C12+D12</f>
        <v>423</v>
      </c>
      <c r="C12" s="108">
        <v>405</v>
      </c>
      <c r="D12" s="108">
        <v>18</v>
      </c>
    </row>
    <row r="13" spans="1:4" ht="12.75" customHeight="1">
      <c r="A13" s="96" t="s">
        <v>78</v>
      </c>
      <c r="B13" s="121">
        <f t="shared" si="0"/>
        <v>202</v>
      </c>
      <c r="C13" s="108">
        <v>200</v>
      </c>
      <c r="D13" s="108">
        <v>2</v>
      </c>
    </row>
    <row r="14" spans="1:4" ht="12.75" customHeight="1">
      <c r="A14" s="96" t="s">
        <v>79</v>
      </c>
      <c r="B14" s="121">
        <f t="shared" si="0"/>
        <v>558</v>
      </c>
      <c r="C14" s="108">
        <v>549</v>
      </c>
      <c r="D14" s="108">
        <v>9</v>
      </c>
    </row>
    <row r="15" spans="1:4" ht="12.75" customHeight="1">
      <c r="A15" s="96" t="s">
        <v>80</v>
      </c>
      <c r="B15" s="121">
        <f t="shared" si="0"/>
        <v>104</v>
      </c>
      <c r="C15" s="108">
        <v>94</v>
      </c>
      <c r="D15" s="108">
        <v>10</v>
      </c>
    </row>
    <row r="16" spans="1:4" ht="12.75" customHeight="1">
      <c r="A16" s="96" t="s">
        <v>81</v>
      </c>
      <c r="B16" s="121">
        <f t="shared" si="0"/>
        <v>1502</v>
      </c>
      <c r="C16" s="108">
        <v>1314</v>
      </c>
      <c r="D16" s="108">
        <v>188</v>
      </c>
    </row>
    <row r="17" spans="1:4" ht="12.75" customHeight="1">
      <c r="A17" s="96" t="s">
        <v>289</v>
      </c>
      <c r="B17" s="121">
        <f t="shared" si="0"/>
        <v>44</v>
      </c>
      <c r="C17" s="108">
        <v>35</v>
      </c>
      <c r="D17" s="108">
        <v>9</v>
      </c>
    </row>
    <row r="18" spans="1:4" ht="12.75" customHeight="1">
      <c r="A18" s="96" t="s">
        <v>83</v>
      </c>
      <c r="B18" s="121">
        <f t="shared" si="0"/>
        <v>217</v>
      </c>
      <c r="C18" s="108">
        <v>209</v>
      </c>
      <c r="D18" s="108">
        <v>8</v>
      </c>
    </row>
    <row r="19" spans="1:4" ht="12.75" customHeight="1">
      <c r="A19" s="96" t="s">
        <v>84</v>
      </c>
      <c r="B19" s="121">
        <f t="shared" si="0"/>
        <v>1151</v>
      </c>
      <c r="C19" s="108">
        <v>998</v>
      </c>
      <c r="D19" s="108">
        <v>153</v>
      </c>
    </row>
    <row r="20" spans="1:4" ht="12.75" customHeight="1">
      <c r="A20" s="96" t="s">
        <v>85</v>
      </c>
      <c r="B20" s="121">
        <f t="shared" si="0"/>
        <v>86</v>
      </c>
      <c r="C20" s="108">
        <v>85</v>
      </c>
      <c r="D20" s="108">
        <v>1</v>
      </c>
    </row>
    <row r="21" spans="1:4" ht="12.75" customHeight="1">
      <c r="A21" s="96" t="s">
        <v>86</v>
      </c>
      <c r="B21" s="121">
        <f t="shared" si="0"/>
        <v>2989</v>
      </c>
      <c r="C21" s="108">
        <v>2813</v>
      </c>
      <c r="D21" s="108">
        <v>176</v>
      </c>
    </row>
    <row r="22" spans="1:4" ht="12.75" customHeight="1">
      <c r="A22" s="96" t="s">
        <v>87</v>
      </c>
      <c r="B22" s="121">
        <f t="shared" si="0"/>
        <v>1024</v>
      </c>
      <c r="C22" s="108">
        <v>947</v>
      </c>
      <c r="D22" s="108">
        <v>77</v>
      </c>
    </row>
    <row r="23" spans="1:4" ht="12.75" customHeight="1">
      <c r="A23" s="96" t="s">
        <v>88</v>
      </c>
      <c r="B23" s="121">
        <f t="shared" si="0"/>
        <v>1942</v>
      </c>
      <c r="C23" s="108">
        <v>1637</v>
      </c>
      <c r="D23" s="108">
        <v>305</v>
      </c>
    </row>
    <row r="24" spans="1:4" ht="12.75" customHeight="1">
      <c r="A24" s="96" t="s">
        <v>89</v>
      </c>
      <c r="B24" s="121">
        <f t="shared" si="0"/>
        <v>540</v>
      </c>
      <c r="C24" s="108">
        <v>490</v>
      </c>
      <c r="D24" s="108">
        <v>50</v>
      </c>
    </row>
    <row r="25" spans="1:4" ht="12.75" customHeight="1">
      <c r="A25" s="96" t="s">
        <v>90</v>
      </c>
      <c r="B25" s="121">
        <f t="shared" si="0"/>
        <v>369</v>
      </c>
      <c r="C25" s="108">
        <v>351</v>
      </c>
      <c r="D25" s="108">
        <v>18</v>
      </c>
    </row>
    <row r="26" spans="1:4" ht="12.75" customHeight="1">
      <c r="A26" s="96" t="s">
        <v>91</v>
      </c>
      <c r="B26" s="121">
        <f t="shared" si="0"/>
        <v>35</v>
      </c>
      <c r="C26" s="108">
        <v>35</v>
      </c>
      <c r="D26" s="108">
        <v>0</v>
      </c>
    </row>
    <row r="27" spans="1:4" ht="12.75" customHeight="1">
      <c r="A27" s="96" t="s">
        <v>92</v>
      </c>
      <c r="B27" s="121">
        <f t="shared" si="0"/>
        <v>599</v>
      </c>
      <c r="C27" s="108">
        <v>569</v>
      </c>
      <c r="D27" s="108">
        <v>30</v>
      </c>
    </row>
    <row r="28" spans="1:4" ht="12.75" customHeight="1">
      <c r="A28" s="96" t="s">
        <v>93</v>
      </c>
      <c r="B28" s="121">
        <f t="shared" si="0"/>
        <v>1887</v>
      </c>
      <c r="C28" s="108">
        <v>1764</v>
      </c>
      <c r="D28" s="108">
        <v>123</v>
      </c>
    </row>
    <row r="29" spans="1:4" ht="12.75" customHeight="1">
      <c r="A29" s="96" t="s">
        <v>224</v>
      </c>
      <c r="B29" s="121">
        <f t="shared" si="0"/>
        <v>609</v>
      </c>
      <c r="C29" s="108">
        <v>531</v>
      </c>
      <c r="D29" s="108">
        <v>78</v>
      </c>
    </row>
    <row r="30" spans="1:4" ht="12.75" customHeight="1">
      <c r="A30" s="96" t="s">
        <v>95</v>
      </c>
      <c r="B30" s="121">
        <f t="shared" si="0"/>
        <v>437</v>
      </c>
      <c r="C30" s="108">
        <v>400</v>
      </c>
      <c r="D30" s="108">
        <v>37</v>
      </c>
    </row>
    <row r="31" spans="1:4" ht="12.75" customHeight="1">
      <c r="A31" s="96" t="s">
        <v>96</v>
      </c>
      <c r="B31" s="121">
        <f t="shared" si="0"/>
        <v>2218</v>
      </c>
      <c r="C31" s="108">
        <v>2117</v>
      </c>
      <c r="D31" s="108">
        <v>101</v>
      </c>
    </row>
    <row r="32" spans="1:4" ht="12.75" customHeight="1">
      <c r="A32" s="96" t="s">
        <v>97</v>
      </c>
      <c r="B32" s="121">
        <f t="shared" si="0"/>
        <v>316</v>
      </c>
      <c r="C32" s="108">
        <v>282</v>
      </c>
      <c r="D32" s="108">
        <v>34</v>
      </c>
    </row>
    <row r="33" spans="1:4" ht="12.75" customHeight="1">
      <c r="A33" s="96" t="s">
        <v>98</v>
      </c>
      <c r="B33" s="121">
        <f t="shared" si="0"/>
        <v>1274</v>
      </c>
      <c r="C33" s="108">
        <v>1206</v>
      </c>
      <c r="D33" s="108">
        <v>68</v>
      </c>
    </row>
    <row r="34" spans="1:4" ht="12.75" customHeight="1">
      <c r="A34" s="96" t="s">
        <v>99</v>
      </c>
      <c r="B34" s="121">
        <f t="shared" si="0"/>
        <v>476</v>
      </c>
      <c r="C34" s="108">
        <v>406</v>
      </c>
      <c r="D34" s="108">
        <v>70</v>
      </c>
    </row>
    <row r="35" spans="1:4" ht="12.75" customHeight="1">
      <c r="A35" s="96" t="s">
        <v>100</v>
      </c>
      <c r="B35" s="121">
        <f t="shared" si="0"/>
        <v>6557</v>
      </c>
      <c r="C35" s="108">
        <v>5817</v>
      </c>
      <c r="D35" s="108">
        <v>740</v>
      </c>
    </row>
    <row r="36" spans="1:4" ht="12.75" customHeight="1">
      <c r="A36" s="96" t="s">
        <v>101</v>
      </c>
      <c r="B36" s="121">
        <f t="shared" si="0"/>
        <v>247</v>
      </c>
      <c r="C36" s="108">
        <v>226</v>
      </c>
      <c r="D36" s="108">
        <v>21</v>
      </c>
    </row>
    <row r="37" spans="1:4" ht="12.75" customHeight="1">
      <c r="A37" s="96" t="s">
        <v>102</v>
      </c>
      <c r="B37" s="121">
        <f t="shared" si="0"/>
        <v>667</v>
      </c>
      <c r="C37" s="108">
        <v>619</v>
      </c>
      <c r="D37" s="108">
        <v>48</v>
      </c>
    </row>
    <row r="38" spans="1:4" ht="12.75" customHeight="1">
      <c r="A38" s="96" t="s">
        <v>103</v>
      </c>
      <c r="B38" s="121">
        <f t="shared" si="0"/>
        <v>897</v>
      </c>
      <c r="C38" s="108">
        <v>824</v>
      </c>
      <c r="D38" s="108">
        <v>73</v>
      </c>
    </row>
    <row r="39" spans="1:4" ht="12.75" customHeight="1">
      <c r="A39" s="96" t="s">
        <v>104</v>
      </c>
      <c r="B39" s="121">
        <f t="shared" si="0"/>
        <v>468</v>
      </c>
      <c r="C39" s="108">
        <v>415</v>
      </c>
      <c r="D39" s="108">
        <v>53</v>
      </c>
    </row>
    <row r="40" spans="1:4" ht="12.75" customHeight="1">
      <c r="A40" s="96" t="s">
        <v>105</v>
      </c>
      <c r="B40" s="121">
        <f t="shared" si="0"/>
        <v>216</v>
      </c>
      <c r="C40" s="108">
        <v>199</v>
      </c>
      <c r="D40" s="108">
        <v>17</v>
      </c>
    </row>
    <row r="41" spans="1:4" ht="12.75" customHeight="1">
      <c r="A41" s="96" t="s">
        <v>106</v>
      </c>
      <c r="B41" s="121">
        <f t="shared" si="0"/>
        <v>133</v>
      </c>
      <c r="C41" s="108">
        <v>131</v>
      </c>
      <c r="D41" s="108">
        <v>2</v>
      </c>
    </row>
    <row r="42" spans="1:4" ht="12.75" customHeight="1">
      <c r="A42" s="96" t="s">
        <v>107</v>
      </c>
      <c r="B42" s="121">
        <f t="shared" si="0"/>
        <v>9825</v>
      </c>
      <c r="C42" s="108">
        <v>9279</v>
      </c>
      <c r="D42" s="108">
        <v>546</v>
      </c>
    </row>
    <row r="43" spans="1:4" ht="4.5" customHeight="1">
      <c r="A43" s="98"/>
      <c r="B43" s="98"/>
      <c r="C43" s="99"/>
      <c r="D43" s="99"/>
    </row>
    <row r="44" spans="1:4" ht="4.5" customHeight="1"/>
    <row r="45" spans="1:4" ht="11.25" customHeight="1">
      <c r="A45" s="101" t="s">
        <v>586</v>
      </c>
      <c r="B45" s="101"/>
      <c r="C45" s="101"/>
    </row>
    <row r="46" spans="1:4" ht="11.25" customHeight="1">
      <c r="A46" s="439" t="s">
        <v>231</v>
      </c>
      <c r="B46" s="439"/>
      <c r="C46" s="439"/>
    </row>
  </sheetData>
  <mergeCells count="7">
    <mergeCell ref="A46:C46"/>
    <mergeCell ref="A6:A7"/>
    <mergeCell ref="C6:D6"/>
    <mergeCell ref="A2:D2"/>
    <mergeCell ref="A3:D3"/>
    <mergeCell ref="B6:B7"/>
    <mergeCell ref="A4:D4"/>
  </mergeCells>
  <phoneticPr fontId="2" type="noConversion"/>
  <printOptions horizontalCentered="1"/>
  <pageMargins left="0.78740157480314965" right="0.78740157480314965" top="0.98425196850393704" bottom="0.98425196850393704" header="0" footer="0"/>
  <pageSetup orientation="portrait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2:D491"/>
  <sheetViews>
    <sheetView zoomScale="110" zoomScaleNormal="110" workbookViewId="0">
      <selection activeCell="G27" sqref="G27"/>
    </sheetView>
  </sheetViews>
  <sheetFormatPr baseColWidth="10" defaultColWidth="11.42578125" defaultRowHeight="12.75"/>
  <cols>
    <col min="1" max="1" width="23.7109375" style="290" customWidth="1"/>
    <col min="2" max="2" width="16.7109375" style="290" customWidth="1"/>
    <col min="3" max="3" width="16.42578125" style="290" customWidth="1"/>
    <col min="4" max="4" width="16.28515625" style="290" customWidth="1"/>
    <col min="5" max="16384" width="11.42578125" style="290"/>
  </cols>
  <sheetData>
    <row r="2" spans="1:4">
      <c r="A2" s="453" t="s">
        <v>309</v>
      </c>
      <c r="B2" s="453"/>
      <c r="C2" s="453"/>
      <c r="D2" s="453"/>
    </row>
    <row r="3" spans="1:4">
      <c r="A3" s="454" t="s">
        <v>17</v>
      </c>
      <c r="B3" s="454"/>
      <c r="C3" s="454"/>
      <c r="D3" s="454"/>
    </row>
    <row r="4" spans="1:4">
      <c r="A4" s="454" t="s">
        <v>492</v>
      </c>
      <c r="B4" s="454"/>
      <c r="C4" s="454"/>
      <c r="D4" s="454"/>
    </row>
    <row r="6" spans="1:4">
      <c r="A6" s="458" t="s">
        <v>307</v>
      </c>
      <c r="B6" s="465"/>
      <c r="C6" s="455" t="s">
        <v>295</v>
      </c>
      <c r="D6" s="455"/>
    </row>
    <row r="7" spans="1:4">
      <c r="A7" s="459"/>
      <c r="B7" s="466" t="s">
        <v>61</v>
      </c>
      <c r="C7" s="321" t="s">
        <v>490</v>
      </c>
      <c r="D7" s="321" t="s">
        <v>616</v>
      </c>
    </row>
    <row r="8" spans="1:4" ht="5.0999999999999996" customHeight="1">
      <c r="B8" s="320"/>
      <c r="C8" s="320"/>
      <c r="D8" s="320"/>
    </row>
    <row r="9" spans="1:4">
      <c r="A9" s="292" t="s">
        <v>585</v>
      </c>
      <c r="B9" s="296">
        <v>43797</v>
      </c>
      <c r="C9" s="296">
        <v>39993</v>
      </c>
      <c r="D9" s="296">
        <v>3804</v>
      </c>
    </row>
    <row r="10" spans="1:4" ht="5.0999999999999996" customHeight="1">
      <c r="B10" s="298"/>
      <c r="C10" s="298"/>
      <c r="D10" s="298"/>
    </row>
    <row r="11" spans="1:4">
      <c r="A11" s="290" t="s">
        <v>62</v>
      </c>
      <c r="B11" s="298">
        <v>12</v>
      </c>
      <c r="C11" s="298">
        <v>12</v>
      </c>
      <c r="D11" s="298">
        <v>0</v>
      </c>
    </row>
    <row r="12" spans="1:4">
      <c r="A12" s="290" t="s">
        <v>63</v>
      </c>
      <c r="B12" s="298">
        <v>2543</v>
      </c>
      <c r="C12" s="298">
        <v>2500</v>
      </c>
      <c r="D12" s="298">
        <v>43</v>
      </c>
    </row>
    <row r="13" spans="1:4">
      <c r="A13" s="290" t="s">
        <v>64</v>
      </c>
      <c r="B13" s="298">
        <v>9273</v>
      </c>
      <c r="C13" s="298">
        <v>8805</v>
      </c>
      <c r="D13" s="298">
        <v>468</v>
      </c>
    </row>
    <row r="14" spans="1:4">
      <c r="A14" s="290" t="s">
        <v>65</v>
      </c>
      <c r="B14" s="298">
        <v>9827</v>
      </c>
      <c r="C14" s="298">
        <v>9016</v>
      </c>
      <c r="D14" s="298">
        <v>811</v>
      </c>
    </row>
    <row r="15" spans="1:4">
      <c r="A15" s="290" t="s">
        <v>66</v>
      </c>
      <c r="B15" s="298">
        <v>7464</v>
      </c>
      <c r="C15" s="298">
        <v>6934</v>
      </c>
      <c r="D15" s="298">
        <v>530</v>
      </c>
    </row>
    <row r="16" spans="1:4">
      <c r="A16" s="290" t="s">
        <v>67</v>
      </c>
      <c r="B16" s="298">
        <v>5164</v>
      </c>
      <c r="C16" s="298">
        <v>4784</v>
      </c>
      <c r="D16" s="298">
        <v>380</v>
      </c>
    </row>
    <row r="17" spans="1:4">
      <c r="A17" s="290" t="s">
        <v>68</v>
      </c>
      <c r="B17" s="298">
        <v>3659</v>
      </c>
      <c r="C17" s="298">
        <v>3308</v>
      </c>
      <c r="D17" s="298">
        <v>351</v>
      </c>
    </row>
    <row r="18" spans="1:4">
      <c r="A18" s="290" t="s">
        <v>69</v>
      </c>
      <c r="B18" s="298">
        <v>2370</v>
      </c>
      <c r="C18" s="298">
        <v>2096</v>
      </c>
      <c r="D18" s="298">
        <v>274</v>
      </c>
    </row>
    <row r="19" spans="1:4">
      <c r="A19" s="290" t="s">
        <v>293</v>
      </c>
      <c r="B19" s="298">
        <v>3025</v>
      </c>
      <c r="C19" s="298">
        <v>2458</v>
      </c>
      <c r="D19" s="298">
        <v>567</v>
      </c>
    </row>
    <row r="20" spans="1:4">
      <c r="A20" s="290" t="s">
        <v>33</v>
      </c>
      <c r="B20" s="298">
        <v>460</v>
      </c>
      <c r="C20" s="298">
        <v>80</v>
      </c>
      <c r="D20" s="298">
        <v>380</v>
      </c>
    </row>
    <row r="21" spans="1:4" ht="5.0999999999999996" customHeight="1">
      <c r="B21" s="298"/>
      <c r="C21" s="298"/>
      <c r="D21" s="298"/>
    </row>
    <row r="22" spans="1:4">
      <c r="A22" s="292" t="s">
        <v>76</v>
      </c>
      <c r="B22" s="296">
        <v>5785</v>
      </c>
      <c r="C22" s="296">
        <v>5046</v>
      </c>
      <c r="D22" s="296">
        <v>739</v>
      </c>
    </row>
    <row r="23" spans="1:4" ht="5.0999999999999996" customHeight="1">
      <c r="B23" s="298"/>
      <c r="C23" s="298"/>
      <c r="D23" s="298"/>
    </row>
    <row r="24" spans="1:4">
      <c r="A24" s="290" t="s">
        <v>63</v>
      </c>
      <c r="B24" s="298">
        <v>208</v>
      </c>
      <c r="C24" s="298">
        <v>207</v>
      </c>
      <c r="D24" s="298">
        <v>1</v>
      </c>
    </row>
    <row r="25" spans="1:4">
      <c r="A25" s="290" t="s">
        <v>64</v>
      </c>
      <c r="B25" s="298">
        <v>1178</v>
      </c>
      <c r="C25" s="298">
        <v>1078</v>
      </c>
      <c r="D25" s="298">
        <v>100</v>
      </c>
    </row>
    <row r="26" spans="1:4">
      <c r="A26" s="290" t="s">
        <v>65</v>
      </c>
      <c r="B26" s="298">
        <v>1574</v>
      </c>
      <c r="C26" s="298">
        <v>1300</v>
      </c>
      <c r="D26" s="298">
        <v>274</v>
      </c>
    </row>
    <row r="27" spans="1:4">
      <c r="A27" s="290" t="s">
        <v>66</v>
      </c>
      <c r="B27" s="298">
        <v>1080</v>
      </c>
      <c r="C27" s="298">
        <v>981</v>
      </c>
      <c r="D27" s="298">
        <v>99</v>
      </c>
    </row>
    <row r="28" spans="1:4">
      <c r="A28" s="290" t="s">
        <v>67</v>
      </c>
      <c r="B28" s="298">
        <v>632</v>
      </c>
      <c r="C28" s="298">
        <v>592</v>
      </c>
      <c r="D28" s="298">
        <v>40</v>
      </c>
    </row>
    <row r="29" spans="1:4">
      <c r="A29" s="290" t="s">
        <v>68</v>
      </c>
      <c r="B29" s="298">
        <v>402</v>
      </c>
      <c r="C29" s="298">
        <v>364</v>
      </c>
      <c r="D29" s="298">
        <v>38</v>
      </c>
    </row>
    <row r="30" spans="1:4">
      <c r="A30" s="290" t="s">
        <v>69</v>
      </c>
      <c r="B30" s="298">
        <v>237</v>
      </c>
      <c r="C30" s="298">
        <v>213</v>
      </c>
      <c r="D30" s="298">
        <v>24</v>
      </c>
    </row>
    <row r="31" spans="1:4">
      <c r="A31" s="290" t="s">
        <v>293</v>
      </c>
      <c r="B31" s="298">
        <v>361</v>
      </c>
      <c r="C31" s="298">
        <v>303</v>
      </c>
      <c r="D31" s="298">
        <v>58</v>
      </c>
    </row>
    <row r="32" spans="1:4">
      <c r="A32" s="290" t="s">
        <v>33</v>
      </c>
      <c r="B32" s="298">
        <v>113</v>
      </c>
      <c r="C32" s="298">
        <v>8</v>
      </c>
      <c r="D32" s="298">
        <v>105</v>
      </c>
    </row>
    <row r="33" spans="1:4" ht="5.0999999999999996" customHeight="1">
      <c r="B33" s="298"/>
      <c r="C33" s="298"/>
      <c r="D33" s="298"/>
    </row>
    <row r="34" spans="1:4">
      <c r="A34" s="292" t="s">
        <v>77</v>
      </c>
      <c r="B34" s="296">
        <v>423</v>
      </c>
      <c r="C34" s="296">
        <v>405</v>
      </c>
      <c r="D34" s="296">
        <v>18</v>
      </c>
    </row>
    <row r="35" spans="1:4" ht="5.0999999999999996" customHeight="1">
      <c r="B35" s="298"/>
      <c r="C35" s="298"/>
      <c r="D35" s="298"/>
    </row>
    <row r="36" spans="1:4">
      <c r="A36" s="290" t="s">
        <v>63</v>
      </c>
      <c r="B36" s="298">
        <v>42</v>
      </c>
      <c r="C36" s="298">
        <v>41</v>
      </c>
      <c r="D36" s="298">
        <v>1</v>
      </c>
    </row>
    <row r="37" spans="1:4">
      <c r="A37" s="290" t="s">
        <v>64</v>
      </c>
      <c r="B37" s="298">
        <v>93</v>
      </c>
      <c r="C37" s="298">
        <v>93</v>
      </c>
      <c r="D37" s="298">
        <v>0</v>
      </c>
    </row>
    <row r="38" spans="1:4">
      <c r="A38" s="290" t="s">
        <v>65</v>
      </c>
      <c r="B38" s="298">
        <v>95</v>
      </c>
      <c r="C38" s="298">
        <v>94</v>
      </c>
      <c r="D38" s="298">
        <v>1</v>
      </c>
    </row>
    <row r="39" spans="1:4">
      <c r="A39" s="290" t="s">
        <v>66</v>
      </c>
      <c r="B39" s="298">
        <v>62</v>
      </c>
      <c r="C39" s="298">
        <v>60</v>
      </c>
      <c r="D39" s="298">
        <v>2</v>
      </c>
    </row>
    <row r="40" spans="1:4">
      <c r="A40" s="290" t="s">
        <v>67</v>
      </c>
      <c r="B40" s="298">
        <v>47</v>
      </c>
      <c r="C40" s="298">
        <v>43</v>
      </c>
      <c r="D40" s="298">
        <v>4</v>
      </c>
    </row>
    <row r="41" spans="1:4">
      <c r="A41" s="290" t="s">
        <v>68</v>
      </c>
      <c r="B41" s="298">
        <v>41</v>
      </c>
      <c r="C41" s="298">
        <v>39</v>
      </c>
      <c r="D41" s="298">
        <v>2</v>
      </c>
    </row>
    <row r="42" spans="1:4">
      <c r="A42" s="290" t="s">
        <v>69</v>
      </c>
      <c r="B42" s="298">
        <v>11</v>
      </c>
      <c r="C42" s="298">
        <v>9</v>
      </c>
      <c r="D42" s="298">
        <v>2</v>
      </c>
    </row>
    <row r="43" spans="1:4">
      <c r="A43" s="290" t="s">
        <v>293</v>
      </c>
      <c r="B43" s="298">
        <v>22</v>
      </c>
      <c r="C43" s="298">
        <v>18</v>
      </c>
      <c r="D43" s="298">
        <v>4</v>
      </c>
    </row>
    <row r="44" spans="1:4">
      <c r="A44" s="290" t="s">
        <v>33</v>
      </c>
      <c r="B44" s="298">
        <v>10</v>
      </c>
      <c r="C44" s="298">
        <v>8</v>
      </c>
      <c r="D44" s="298">
        <v>2</v>
      </c>
    </row>
    <row r="45" spans="1:4" ht="5.0999999999999996" customHeight="1">
      <c r="B45" s="298"/>
      <c r="C45" s="298"/>
      <c r="D45" s="298"/>
    </row>
    <row r="46" spans="1:4">
      <c r="A46" s="292" t="s">
        <v>78</v>
      </c>
      <c r="B46" s="296">
        <v>202</v>
      </c>
      <c r="C46" s="296">
        <v>200</v>
      </c>
      <c r="D46" s="296">
        <v>2</v>
      </c>
    </row>
    <row r="47" spans="1:4" ht="5.0999999999999996" customHeight="1">
      <c r="B47" s="298"/>
      <c r="C47" s="298"/>
      <c r="D47" s="298"/>
    </row>
    <row r="48" spans="1:4">
      <c r="A48" s="290" t="s">
        <v>62</v>
      </c>
      <c r="B48" s="298">
        <v>2</v>
      </c>
      <c r="C48" s="298">
        <v>2</v>
      </c>
      <c r="D48" s="298">
        <v>0</v>
      </c>
    </row>
    <row r="49" spans="1:4">
      <c r="A49" s="290" t="s">
        <v>63</v>
      </c>
      <c r="B49" s="298">
        <v>12</v>
      </c>
      <c r="C49" s="298">
        <v>12</v>
      </c>
      <c r="D49" s="298">
        <v>0</v>
      </c>
    </row>
    <row r="50" spans="1:4">
      <c r="A50" s="290" t="s">
        <v>64</v>
      </c>
      <c r="B50" s="298">
        <v>58</v>
      </c>
      <c r="C50" s="298">
        <v>58</v>
      </c>
      <c r="D50" s="298">
        <v>0</v>
      </c>
    </row>
    <row r="51" spans="1:4">
      <c r="A51" s="290" t="s">
        <v>65</v>
      </c>
      <c r="B51" s="298">
        <v>43</v>
      </c>
      <c r="C51" s="298">
        <v>42</v>
      </c>
      <c r="D51" s="298">
        <v>1</v>
      </c>
    </row>
    <row r="52" spans="1:4">
      <c r="A52" s="290" t="s">
        <v>66</v>
      </c>
      <c r="B52" s="298">
        <v>24</v>
      </c>
      <c r="C52" s="298">
        <v>24</v>
      </c>
      <c r="D52" s="298">
        <v>0</v>
      </c>
    </row>
    <row r="53" spans="1:4">
      <c r="A53" s="290" t="s">
        <v>67</v>
      </c>
      <c r="B53" s="298">
        <v>23</v>
      </c>
      <c r="C53" s="298">
        <v>23</v>
      </c>
      <c r="D53" s="298">
        <v>0</v>
      </c>
    </row>
    <row r="54" spans="1:4">
      <c r="A54" s="290" t="s">
        <v>68</v>
      </c>
      <c r="B54" s="298">
        <v>17</v>
      </c>
      <c r="C54" s="298">
        <v>17</v>
      </c>
      <c r="D54" s="298">
        <v>0</v>
      </c>
    </row>
    <row r="55" spans="1:4">
      <c r="A55" s="290" t="s">
        <v>69</v>
      </c>
      <c r="B55" s="298">
        <v>7</v>
      </c>
      <c r="C55" s="298">
        <v>7</v>
      </c>
      <c r="D55" s="298">
        <v>0</v>
      </c>
    </row>
    <row r="56" spans="1:4">
      <c r="A56" s="290" t="s">
        <v>293</v>
      </c>
      <c r="B56" s="298">
        <v>16</v>
      </c>
      <c r="C56" s="298">
        <v>15</v>
      </c>
      <c r="D56" s="298">
        <v>1</v>
      </c>
    </row>
    <row r="57" spans="1:4" ht="5.0999999999999996" customHeight="1">
      <c r="B57" s="298"/>
      <c r="C57" s="298"/>
      <c r="D57" s="298"/>
    </row>
    <row r="58" spans="1:4">
      <c r="A58" s="292" t="s">
        <v>79</v>
      </c>
      <c r="B58" s="296">
        <v>558</v>
      </c>
      <c r="C58" s="296">
        <v>549</v>
      </c>
      <c r="D58" s="296">
        <v>9</v>
      </c>
    </row>
    <row r="59" spans="1:4" ht="5.0999999999999996" customHeight="1">
      <c r="B59" s="298"/>
      <c r="C59" s="298"/>
      <c r="D59" s="298"/>
    </row>
    <row r="60" spans="1:4">
      <c r="A60" s="290" t="s">
        <v>62</v>
      </c>
      <c r="B60" s="298">
        <v>1</v>
      </c>
      <c r="C60" s="298">
        <v>1</v>
      </c>
      <c r="D60" s="298">
        <v>0</v>
      </c>
    </row>
    <row r="61" spans="1:4">
      <c r="A61" s="290" t="s">
        <v>63</v>
      </c>
      <c r="B61" s="298">
        <v>57</v>
      </c>
      <c r="C61" s="298">
        <v>56</v>
      </c>
      <c r="D61" s="298">
        <v>1</v>
      </c>
    </row>
    <row r="62" spans="1:4">
      <c r="A62" s="290" t="s">
        <v>64</v>
      </c>
      <c r="B62" s="298">
        <v>112</v>
      </c>
      <c r="C62" s="298">
        <v>112</v>
      </c>
      <c r="D62" s="298">
        <v>0</v>
      </c>
    </row>
    <row r="63" spans="1:4">
      <c r="A63" s="290" t="s">
        <v>65</v>
      </c>
      <c r="B63" s="298">
        <v>107</v>
      </c>
      <c r="C63" s="298">
        <v>107</v>
      </c>
      <c r="D63" s="298">
        <v>0</v>
      </c>
    </row>
    <row r="64" spans="1:4">
      <c r="A64" s="290" t="s">
        <v>66</v>
      </c>
      <c r="B64" s="298">
        <v>78</v>
      </c>
      <c r="C64" s="298">
        <v>78</v>
      </c>
      <c r="D64" s="298">
        <v>0</v>
      </c>
    </row>
    <row r="65" spans="1:4">
      <c r="A65" s="290" t="s">
        <v>67</v>
      </c>
      <c r="B65" s="298">
        <v>60</v>
      </c>
      <c r="C65" s="298">
        <v>59</v>
      </c>
      <c r="D65" s="298">
        <v>1</v>
      </c>
    </row>
    <row r="66" spans="1:4">
      <c r="A66" s="290" t="s">
        <v>68</v>
      </c>
      <c r="B66" s="298">
        <v>48</v>
      </c>
      <c r="C66" s="298">
        <v>47</v>
      </c>
      <c r="D66" s="298">
        <v>1</v>
      </c>
    </row>
    <row r="67" spans="1:4">
      <c r="A67" s="290" t="s">
        <v>69</v>
      </c>
      <c r="B67" s="298">
        <v>39</v>
      </c>
      <c r="C67" s="298">
        <v>35</v>
      </c>
      <c r="D67" s="298">
        <v>4</v>
      </c>
    </row>
    <row r="68" spans="1:4">
      <c r="A68" s="290" t="s">
        <v>293</v>
      </c>
      <c r="B68" s="298">
        <v>53</v>
      </c>
      <c r="C68" s="298">
        <v>52</v>
      </c>
      <c r="D68" s="298">
        <v>1</v>
      </c>
    </row>
    <row r="69" spans="1:4">
      <c r="A69" s="290" t="s">
        <v>33</v>
      </c>
      <c r="B69" s="298">
        <v>3</v>
      </c>
      <c r="C69" s="298">
        <v>2</v>
      </c>
      <c r="D69" s="298">
        <v>1</v>
      </c>
    </row>
    <row r="70" spans="1:4" ht="5.0999999999999996" customHeight="1">
      <c r="B70" s="298"/>
      <c r="C70" s="298"/>
      <c r="D70" s="298"/>
    </row>
    <row r="71" spans="1:4">
      <c r="A71" s="292" t="s">
        <v>80</v>
      </c>
      <c r="B71" s="296">
        <v>104</v>
      </c>
      <c r="C71" s="296">
        <v>94</v>
      </c>
      <c r="D71" s="296">
        <v>10</v>
      </c>
    </row>
    <row r="72" spans="1:4" ht="5.0999999999999996" customHeight="1">
      <c r="B72" s="298"/>
      <c r="C72" s="298"/>
      <c r="D72" s="298"/>
    </row>
    <row r="73" spans="1:4">
      <c r="A73" s="290" t="s">
        <v>63</v>
      </c>
      <c r="B73" s="298">
        <v>5</v>
      </c>
      <c r="C73" s="298">
        <v>5</v>
      </c>
      <c r="D73" s="298">
        <v>0</v>
      </c>
    </row>
    <row r="74" spans="1:4">
      <c r="A74" s="290" t="s">
        <v>64</v>
      </c>
      <c r="B74" s="298">
        <v>18</v>
      </c>
      <c r="C74" s="298">
        <v>18</v>
      </c>
      <c r="D74" s="298">
        <v>0</v>
      </c>
    </row>
    <row r="75" spans="1:4">
      <c r="A75" s="290" t="s">
        <v>65</v>
      </c>
      <c r="B75" s="298">
        <v>19</v>
      </c>
      <c r="C75" s="298">
        <v>17</v>
      </c>
      <c r="D75" s="298">
        <v>2</v>
      </c>
    </row>
    <row r="76" spans="1:4">
      <c r="A76" s="290" t="s">
        <v>66</v>
      </c>
      <c r="B76" s="298">
        <v>13</v>
      </c>
      <c r="C76" s="298">
        <v>13</v>
      </c>
      <c r="D76" s="298">
        <v>0</v>
      </c>
    </row>
    <row r="77" spans="1:4">
      <c r="A77" s="290" t="s">
        <v>67</v>
      </c>
      <c r="B77" s="298">
        <v>11</v>
      </c>
      <c r="C77" s="298">
        <v>11</v>
      </c>
      <c r="D77" s="298">
        <v>0</v>
      </c>
    </row>
    <row r="78" spans="1:4">
      <c r="A78" s="290" t="s">
        <v>68</v>
      </c>
      <c r="B78" s="298">
        <v>14</v>
      </c>
      <c r="C78" s="298">
        <v>13</v>
      </c>
      <c r="D78" s="298">
        <v>1</v>
      </c>
    </row>
    <row r="79" spans="1:4">
      <c r="A79" s="290" t="s">
        <v>69</v>
      </c>
      <c r="B79" s="298">
        <v>10</v>
      </c>
      <c r="C79" s="298">
        <v>10</v>
      </c>
      <c r="D79" s="298">
        <v>0</v>
      </c>
    </row>
    <row r="80" spans="1:4">
      <c r="A80" s="290" t="s">
        <v>293</v>
      </c>
      <c r="B80" s="298">
        <v>8</v>
      </c>
      <c r="C80" s="298">
        <v>7</v>
      </c>
      <c r="D80" s="298">
        <v>1</v>
      </c>
    </row>
    <row r="81" spans="1:4">
      <c r="A81" s="290" t="s">
        <v>33</v>
      </c>
      <c r="B81" s="298">
        <v>6</v>
      </c>
      <c r="C81" s="298">
        <v>0</v>
      </c>
      <c r="D81" s="298">
        <v>6</v>
      </c>
    </row>
    <row r="82" spans="1:4" ht="5.0999999999999996" customHeight="1">
      <c r="B82" s="298"/>
      <c r="C82" s="298"/>
      <c r="D82" s="298"/>
    </row>
    <row r="83" spans="1:4">
      <c r="A83" s="292" t="s">
        <v>81</v>
      </c>
      <c r="B83" s="296">
        <v>1502</v>
      </c>
      <c r="C83" s="296">
        <v>1314</v>
      </c>
      <c r="D83" s="296">
        <v>188</v>
      </c>
    </row>
    <row r="84" spans="1:4" ht="5.0999999999999996" customHeight="1">
      <c r="B84" s="298"/>
      <c r="C84" s="298"/>
      <c r="D84" s="298"/>
    </row>
    <row r="85" spans="1:4">
      <c r="A85" s="290" t="s">
        <v>63</v>
      </c>
      <c r="B85" s="298">
        <v>99</v>
      </c>
      <c r="C85" s="298">
        <v>97</v>
      </c>
      <c r="D85" s="298">
        <v>2</v>
      </c>
    </row>
    <row r="86" spans="1:4">
      <c r="A86" s="290" t="s">
        <v>64</v>
      </c>
      <c r="B86" s="298">
        <v>329</v>
      </c>
      <c r="C86" s="298">
        <v>308</v>
      </c>
      <c r="D86" s="298">
        <v>21</v>
      </c>
    </row>
    <row r="87" spans="1:4">
      <c r="A87" s="290" t="s">
        <v>65</v>
      </c>
      <c r="B87" s="298">
        <v>301</v>
      </c>
      <c r="C87" s="298">
        <v>274</v>
      </c>
      <c r="D87" s="298">
        <v>27</v>
      </c>
    </row>
    <row r="88" spans="1:4">
      <c r="A88" s="290" t="s">
        <v>66</v>
      </c>
      <c r="B88" s="298">
        <v>226</v>
      </c>
      <c r="C88" s="298">
        <v>205</v>
      </c>
      <c r="D88" s="298">
        <v>21</v>
      </c>
    </row>
    <row r="89" spans="1:4">
      <c r="A89" s="290" t="s">
        <v>67</v>
      </c>
      <c r="B89" s="298">
        <v>187</v>
      </c>
      <c r="C89" s="298">
        <v>162</v>
      </c>
      <c r="D89" s="298">
        <v>25</v>
      </c>
    </row>
    <row r="90" spans="1:4">
      <c r="A90" s="290" t="s">
        <v>68</v>
      </c>
      <c r="B90" s="298">
        <v>141</v>
      </c>
      <c r="C90" s="298">
        <v>127</v>
      </c>
      <c r="D90" s="298">
        <v>14</v>
      </c>
    </row>
    <row r="91" spans="1:4">
      <c r="A91" s="290" t="s">
        <v>69</v>
      </c>
      <c r="B91" s="298">
        <v>86</v>
      </c>
      <c r="C91" s="298">
        <v>67</v>
      </c>
      <c r="D91" s="298">
        <v>19</v>
      </c>
    </row>
    <row r="92" spans="1:4">
      <c r="A92" s="290" t="s">
        <v>293</v>
      </c>
      <c r="B92" s="298">
        <v>117</v>
      </c>
      <c r="C92" s="298">
        <v>73</v>
      </c>
      <c r="D92" s="298">
        <v>44</v>
      </c>
    </row>
    <row r="93" spans="1:4">
      <c r="A93" s="290" t="s">
        <v>33</v>
      </c>
      <c r="B93" s="298">
        <v>16</v>
      </c>
      <c r="C93" s="298">
        <v>1</v>
      </c>
      <c r="D93" s="298">
        <v>15</v>
      </c>
    </row>
    <row r="94" spans="1:4" ht="5.0999999999999996" customHeight="1">
      <c r="B94" s="298"/>
      <c r="C94" s="298"/>
      <c r="D94" s="298"/>
    </row>
    <row r="95" spans="1:4">
      <c r="A95" s="292" t="s">
        <v>82</v>
      </c>
      <c r="B95" s="296">
        <v>44</v>
      </c>
      <c r="C95" s="296">
        <v>35</v>
      </c>
      <c r="D95" s="296">
        <v>9</v>
      </c>
    </row>
    <row r="96" spans="1:4" ht="5.0999999999999996" customHeight="1">
      <c r="B96" s="298"/>
      <c r="C96" s="298"/>
      <c r="D96" s="298"/>
    </row>
    <row r="97" spans="1:4">
      <c r="A97" s="290" t="s">
        <v>63</v>
      </c>
      <c r="B97" s="298">
        <v>2</v>
      </c>
      <c r="C97" s="298">
        <v>2</v>
      </c>
      <c r="D97" s="298">
        <v>0</v>
      </c>
    </row>
    <row r="98" spans="1:4">
      <c r="A98" s="290" t="s">
        <v>64</v>
      </c>
      <c r="B98" s="298">
        <v>8</v>
      </c>
      <c r="C98" s="298">
        <v>8</v>
      </c>
      <c r="D98" s="298">
        <v>0</v>
      </c>
    </row>
    <row r="99" spans="1:4">
      <c r="A99" s="290" t="s">
        <v>65</v>
      </c>
      <c r="B99" s="298">
        <v>8</v>
      </c>
      <c r="C99" s="298">
        <v>7</v>
      </c>
      <c r="D99" s="298">
        <v>1</v>
      </c>
    </row>
    <row r="100" spans="1:4">
      <c r="A100" s="290" t="s">
        <v>66</v>
      </c>
      <c r="B100" s="298">
        <v>4</v>
      </c>
      <c r="C100" s="298">
        <v>3</v>
      </c>
      <c r="D100" s="298">
        <v>1</v>
      </c>
    </row>
    <row r="101" spans="1:4">
      <c r="A101" s="290" t="s">
        <v>67</v>
      </c>
      <c r="B101" s="298">
        <v>5</v>
      </c>
      <c r="C101" s="298">
        <v>3</v>
      </c>
      <c r="D101" s="298">
        <v>2</v>
      </c>
    </row>
    <row r="102" spans="1:4">
      <c r="A102" s="290" t="s">
        <v>68</v>
      </c>
      <c r="B102" s="298">
        <v>5</v>
      </c>
      <c r="C102" s="298">
        <v>5</v>
      </c>
      <c r="D102" s="298">
        <v>0</v>
      </c>
    </row>
    <row r="103" spans="1:4">
      <c r="A103" s="290" t="s">
        <v>69</v>
      </c>
      <c r="B103" s="298">
        <v>2</v>
      </c>
      <c r="C103" s="298">
        <v>2</v>
      </c>
      <c r="D103" s="298">
        <v>0</v>
      </c>
    </row>
    <row r="104" spans="1:4">
      <c r="A104" s="290" t="s">
        <v>293</v>
      </c>
      <c r="B104" s="298">
        <v>7</v>
      </c>
      <c r="C104" s="298">
        <v>5</v>
      </c>
      <c r="D104" s="298">
        <v>2</v>
      </c>
    </row>
    <row r="105" spans="1:4">
      <c r="A105" s="290" t="s">
        <v>33</v>
      </c>
      <c r="B105" s="298">
        <v>3</v>
      </c>
      <c r="C105" s="298">
        <v>0</v>
      </c>
      <c r="D105" s="298">
        <v>3</v>
      </c>
    </row>
    <row r="106" spans="1:4" ht="5.0999999999999996" customHeight="1">
      <c r="B106" s="298"/>
      <c r="C106" s="298"/>
      <c r="D106" s="298"/>
    </row>
    <row r="107" spans="1:4">
      <c r="A107" s="292" t="s">
        <v>83</v>
      </c>
      <c r="B107" s="296">
        <v>217</v>
      </c>
      <c r="C107" s="296">
        <v>209</v>
      </c>
      <c r="D107" s="296">
        <v>8</v>
      </c>
    </row>
    <row r="108" spans="1:4" ht="5.0999999999999996" customHeight="1">
      <c r="B108" s="298"/>
      <c r="C108" s="298"/>
      <c r="D108" s="298"/>
    </row>
    <row r="109" spans="1:4">
      <c r="A109" s="290" t="s">
        <v>63</v>
      </c>
      <c r="B109" s="298">
        <v>9</v>
      </c>
      <c r="C109" s="298">
        <v>9</v>
      </c>
      <c r="D109" s="298">
        <v>0</v>
      </c>
    </row>
    <row r="110" spans="1:4">
      <c r="A110" s="290" t="s">
        <v>64</v>
      </c>
      <c r="B110" s="298">
        <v>36</v>
      </c>
      <c r="C110" s="298">
        <v>36</v>
      </c>
      <c r="D110" s="298">
        <v>0</v>
      </c>
    </row>
    <row r="111" spans="1:4">
      <c r="A111" s="290" t="s">
        <v>65</v>
      </c>
      <c r="B111" s="298">
        <v>41</v>
      </c>
      <c r="C111" s="298">
        <v>41</v>
      </c>
      <c r="D111" s="298">
        <v>0</v>
      </c>
    </row>
    <row r="112" spans="1:4">
      <c r="A112" s="290" t="s">
        <v>66</v>
      </c>
      <c r="B112" s="298">
        <v>39</v>
      </c>
      <c r="C112" s="298">
        <v>37</v>
      </c>
      <c r="D112" s="298">
        <v>2</v>
      </c>
    </row>
    <row r="113" spans="1:4">
      <c r="A113" s="290" t="s">
        <v>67</v>
      </c>
      <c r="B113" s="298">
        <v>34</v>
      </c>
      <c r="C113" s="298">
        <v>33</v>
      </c>
      <c r="D113" s="298">
        <v>1</v>
      </c>
    </row>
    <row r="114" spans="1:4">
      <c r="A114" s="290" t="s">
        <v>68</v>
      </c>
      <c r="B114" s="298">
        <v>16</v>
      </c>
      <c r="C114" s="298">
        <v>15</v>
      </c>
      <c r="D114" s="298">
        <v>1</v>
      </c>
    </row>
    <row r="115" spans="1:4">
      <c r="A115" s="290" t="s">
        <v>69</v>
      </c>
      <c r="B115" s="298">
        <v>19</v>
      </c>
      <c r="C115" s="298">
        <v>17</v>
      </c>
      <c r="D115" s="298">
        <v>2</v>
      </c>
    </row>
    <row r="116" spans="1:4">
      <c r="A116" s="290" t="s">
        <v>293</v>
      </c>
      <c r="B116" s="298">
        <v>23</v>
      </c>
      <c r="C116" s="298">
        <v>21</v>
      </c>
      <c r="D116" s="298">
        <v>2</v>
      </c>
    </row>
    <row r="117" spans="1:4" ht="5.0999999999999996" customHeight="1">
      <c r="B117" s="298"/>
      <c r="C117" s="298"/>
      <c r="D117" s="298"/>
    </row>
    <row r="118" spans="1:4">
      <c r="A118" s="292" t="s">
        <v>84</v>
      </c>
      <c r="B118" s="296">
        <v>1151</v>
      </c>
      <c r="C118" s="296">
        <v>998</v>
      </c>
      <c r="D118" s="296">
        <v>153</v>
      </c>
    </row>
    <row r="119" spans="1:4" ht="5.0999999999999996" customHeight="1">
      <c r="B119" s="298"/>
      <c r="C119" s="298"/>
      <c r="D119" s="298"/>
    </row>
    <row r="120" spans="1:4">
      <c r="A120" s="290" t="s">
        <v>63</v>
      </c>
      <c r="B120" s="298">
        <v>87</v>
      </c>
      <c r="C120" s="298">
        <v>80</v>
      </c>
      <c r="D120" s="298">
        <v>7</v>
      </c>
    </row>
    <row r="121" spans="1:4">
      <c r="A121" s="290" t="s">
        <v>64</v>
      </c>
      <c r="B121" s="298">
        <v>275</v>
      </c>
      <c r="C121" s="298">
        <v>245</v>
      </c>
      <c r="D121" s="298">
        <v>30</v>
      </c>
    </row>
    <row r="122" spans="1:4">
      <c r="A122" s="290" t="s">
        <v>65</v>
      </c>
      <c r="B122" s="298">
        <v>234</v>
      </c>
      <c r="C122" s="298">
        <v>208</v>
      </c>
      <c r="D122" s="298">
        <v>26</v>
      </c>
    </row>
    <row r="123" spans="1:4">
      <c r="A123" s="290" t="s">
        <v>66</v>
      </c>
      <c r="B123" s="298">
        <v>210</v>
      </c>
      <c r="C123" s="298">
        <v>185</v>
      </c>
      <c r="D123" s="298">
        <v>25</v>
      </c>
    </row>
    <row r="124" spans="1:4">
      <c r="A124" s="290" t="s">
        <v>67</v>
      </c>
      <c r="B124" s="298">
        <v>146</v>
      </c>
      <c r="C124" s="298">
        <v>131</v>
      </c>
      <c r="D124" s="298">
        <v>15</v>
      </c>
    </row>
    <row r="125" spans="1:4">
      <c r="A125" s="290" t="s">
        <v>68</v>
      </c>
      <c r="B125" s="298">
        <v>73</v>
      </c>
      <c r="C125" s="298">
        <v>60</v>
      </c>
      <c r="D125" s="298">
        <v>13</v>
      </c>
    </row>
    <row r="126" spans="1:4">
      <c r="A126" s="290" t="s">
        <v>69</v>
      </c>
      <c r="B126" s="298">
        <v>37</v>
      </c>
      <c r="C126" s="298">
        <v>28</v>
      </c>
      <c r="D126" s="298">
        <v>9</v>
      </c>
    </row>
    <row r="127" spans="1:4">
      <c r="A127" s="290" t="s">
        <v>293</v>
      </c>
      <c r="B127" s="298">
        <v>79</v>
      </c>
      <c r="C127" s="298">
        <v>58</v>
      </c>
      <c r="D127" s="298">
        <v>21</v>
      </c>
    </row>
    <row r="128" spans="1:4">
      <c r="A128" s="290" t="s">
        <v>33</v>
      </c>
      <c r="B128" s="298">
        <v>10</v>
      </c>
      <c r="C128" s="298">
        <v>3</v>
      </c>
      <c r="D128" s="298">
        <v>7</v>
      </c>
    </row>
    <row r="129" spans="1:4" ht="5.0999999999999996" customHeight="1">
      <c r="B129" s="298"/>
      <c r="C129" s="298"/>
      <c r="D129" s="298"/>
    </row>
    <row r="130" spans="1:4">
      <c r="A130" s="292" t="s">
        <v>85</v>
      </c>
      <c r="B130" s="296">
        <v>86</v>
      </c>
      <c r="C130" s="296">
        <v>85</v>
      </c>
      <c r="D130" s="296">
        <v>1</v>
      </c>
    </row>
    <row r="131" spans="1:4" ht="5.0999999999999996" customHeight="1">
      <c r="B131" s="298"/>
      <c r="C131" s="298"/>
      <c r="D131" s="298"/>
    </row>
    <row r="132" spans="1:4">
      <c r="A132" s="290" t="s">
        <v>63</v>
      </c>
      <c r="B132" s="298">
        <v>5</v>
      </c>
      <c r="C132" s="298">
        <v>5</v>
      </c>
      <c r="D132" s="298">
        <v>0</v>
      </c>
    </row>
    <row r="133" spans="1:4">
      <c r="A133" s="290" t="s">
        <v>64</v>
      </c>
      <c r="B133" s="298">
        <v>21</v>
      </c>
      <c r="C133" s="298">
        <v>21</v>
      </c>
      <c r="D133" s="298">
        <v>0</v>
      </c>
    </row>
    <row r="134" spans="1:4">
      <c r="A134" s="290" t="s">
        <v>65</v>
      </c>
      <c r="B134" s="298">
        <v>15</v>
      </c>
      <c r="C134" s="298">
        <v>15</v>
      </c>
      <c r="D134" s="298">
        <v>0</v>
      </c>
    </row>
    <row r="135" spans="1:4">
      <c r="A135" s="290" t="s">
        <v>66</v>
      </c>
      <c r="B135" s="298">
        <v>9</v>
      </c>
      <c r="C135" s="298">
        <v>9</v>
      </c>
      <c r="D135" s="298">
        <v>0</v>
      </c>
    </row>
    <row r="136" spans="1:4">
      <c r="A136" s="290" t="s">
        <v>67</v>
      </c>
      <c r="B136" s="298">
        <v>10</v>
      </c>
      <c r="C136" s="298">
        <v>10</v>
      </c>
      <c r="D136" s="298">
        <v>0</v>
      </c>
    </row>
    <row r="137" spans="1:4">
      <c r="A137" s="290" t="s">
        <v>68</v>
      </c>
      <c r="B137" s="298">
        <v>6</v>
      </c>
      <c r="C137" s="298">
        <v>5</v>
      </c>
      <c r="D137" s="298">
        <v>1</v>
      </c>
    </row>
    <row r="138" spans="1:4">
      <c r="A138" s="290" t="s">
        <v>69</v>
      </c>
      <c r="B138" s="298">
        <v>5</v>
      </c>
      <c r="C138" s="298">
        <v>5</v>
      </c>
      <c r="D138" s="298">
        <v>0</v>
      </c>
    </row>
    <row r="139" spans="1:4">
      <c r="A139" s="290" t="s">
        <v>293</v>
      </c>
      <c r="B139" s="298">
        <v>14</v>
      </c>
      <c r="C139" s="298">
        <v>14</v>
      </c>
      <c r="D139" s="298">
        <v>0</v>
      </c>
    </row>
    <row r="140" spans="1:4">
      <c r="A140" s="290" t="s">
        <v>33</v>
      </c>
      <c r="B140" s="298">
        <v>1</v>
      </c>
      <c r="C140" s="298">
        <v>1</v>
      </c>
      <c r="D140" s="298">
        <v>0</v>
      </c>
    </row>
    <row r="141" spans="1:4" ht="5.0999999999999996" customHeight="1">
      <c r="B141" s="298"/>
      <c r="C141" s="298"/>
      <c r="D141" s="298"/>
    </row>
    <row r="142" spans="1:4">
      <c r="A142" s="292" t="s">
        <v>86</v>
      </c>
      <c r="B142" s="296">
        <v>2989</v>
      </c>
      <c r="C142" s="296">
        <v>2813</v>
      </c>
      <c r="D142" s="296">
        <v>176</v>
      </c>
    </row>
    <row r="143" spans="1:4" ht="5.0999999999999996" customHeight="1">
      <c r="B143" s="298"/>
      <c r="C143" s="298"/>
      <c r="D143" s="298"/>
    </row>
    <row r="144" spans="1:4">
      <c r="A144" s="290" t="s">
        <v>62</v>
      </c>
      <c r="B144" s="298">
        <v>1</v>
      </c>
      <c r="C144" s="298">
        <v>1</v>
      </c>
      <c r="D144" s="298">
        <v>0</v>
      </c>
    </row>
    <row r="145" spans="1:4">
      <c r="A145" s="290" t="s">
        <v>63</v>
      </c>
      <c r="B145" s="298">
        <v>67</v>
      </c>
      <c r="C145" s="298">
        <v>67</v>
      </c>
      <c r="D145" s="298">
        <v>0</v>
      </c>
    </row>
    <row r="146" spans="1:4">
      <c r="A146" s="290" t="s">
        <v>64</v>
      </c>
      <c r="B146" s="298">
        <v>467</v>
      </c>
      <c r="C146" s="298">
        <v>443</v>
      </c>
      <c r="D146" s="298">
        <v>24</v>
      </c>
    </row>
    <row r="147" spans="1:4">
      <c r="A147" s="290" t="s">
        <v>65</v>
      </c>
      <c r="B147" s="298">
        <v>1030</v>
      </c>
      <c r="C147" s="298">
        <v>971</v>
      </c>
      <c r="D147" s="298">
        <v>59</v>
      </c>
    </row>
    <row r="148" spans="1:4">
      <c r="A148" s="290" t="s">
        <v>66</v>
      </c>
      <c r="B148" s="298">
        <v>688</v>
      </c>
      <c r="C148" s="298">
        <v>635</v>
      </c>
      <c r="D148" s="298">
        <v>53</v>
      </c>
    </row>
    <row r="149" spans="1:4">
      <c r="A149" s="290" t="s">
        <v>67</v>
      </c>
      <c r="B149" s="298">
        <v>340</v>
      </c>
      <c r="C149" s="298">
        <v>319</v>
      </c>
      <c r="D149" s="298">
        <v>21</v>
      </c>
    </row>
    <row r="150" spans="1:4">
      <c r="A150" s="290" t="s">
        <v>68</v>
      </c>
      <c r="B150" s="298">
        <v>181</v>
      </c>
      <c r="C150" s="298">
        <v>176</v>
      </c>
      <c r="D150" s="298">
        <v>5</v>
      </c>
    </row>
    <row r="151" spans="1:4">
      <c r="A151" s="290" t="s">
        <v>69</v>
      </c>
      <c r="B151" s="298">
        <v>99</v>
      </c>
      <c r="C151" s="298">
        <v>95</v>
      </c>
      <c r="D151" s="298">
        <v>4</v>
      </c>
    </row>
    <row r="152" spans="1:4">
      <c r="A152" s="290" t="s">
        <v>293</v>
      </c>
      <c r="B152" s="298">
        <v>98</v>
      </c>
      <c r="C152" s="298">
        <v>91</v>
      </c>
      <c r="D152" s="298">
        <v>7</v>
      </c>
    </row>
    <row r="153" spans="1:4">
      <c r="A153" s="290" t="s">
        <v>33</v>
      </c>
      <c r="B153" s="298">
        <v>18</v>
      </c>
      <c r="C153" s="298">
        <v>15</v>
      </c>
      <c r="D153" s="298">
        <v>3</v>
      </c>
    </row>
    <row r="154" spans="1:4" ht="5.0999999999999996" customHeight="1">
      <c r="B154" s="298"/>
      <c r="C154" s="298"/>
      <c r="D154" s="298"/>
    </row>
    <row r="155" spans="1:4">
      <c r="A155" s="292" t="s">
        <v>87</v>
      </c>
      <c r="B155" s="296">
        <v>1024</v>
      </c>
      <c r="C155" s="296">
        <v>947</v>
      </c>
      <c r="D155" s="296">
        <v>77</v>
      </c>
    </row>
    <row r="156" spans="1:4" ht="5.0999999999999996" customHeight="1">
      <c r="B156" s="298"/>
      <c r="C156" s="298"/>
      <c r="D156" s="298"/>
    </row>
    <row r="157" spans="1:4">
      <c r="A157" s="290" t="s">
        <v>63</v>
      </c>
      <c r="B157" s="298">
        <v>57</v>
      </c>
      <c r="C157" s="298">
        <v>57</v>
      </c>
      <c r="D157" s="298">
        <v>0</v>
      </c>
    </row>
    <row r="158" spans="1:4">
      <c r="A158" s="290" t="s">
        <v>64</v>
      </c>
      <c r="B158" s="298">
        <v>219</v>
      </c>
      <c r="C158" s="298">
        <v>210</v>
      </c>
      <c r="D158" s="298">
        <v>9</v>
      </c>
    </row>
    <row r="159" spans="1:4">
      <c r="A159" s="290" t="s">
        <v>65</v>
      </c>
      <c r="B159" s="298">
        <v>217</v>
      </c>
      <c r="C159" s="298">
        <v>199</v>
      </c>
      <c r="D159" s="298">
        <v>18</v>
      </c>
    </row>
    <row r="160" spans="1:4">
      <c r="A160" s="290" t="s">
        <v>66</v>
      </c>
      <c r="B160" s="298">
        <v>171</v>
      </c>
      <c r="C160" s="298">
        <v>159</v>
      </c>
      <c r="D160" s="298">
        <v>12</v>
      </c>
    </row>
    <row r="161" spans="1:4">
      <c r="A161" s="290" t="s">
        <v>67</v>
      </c>
      <c r="B161" s="298">
        <v>122</v>
      </c>
      <c r="C161" s="298">
        <v>115</v>
      </c>
      <c r="D161" s="298">
        <v>7</v>
      </c>
    </row>
    <row r="162" spans="1:4">
      <c r="A162" s="290" t="s">
        <v>68</v>
      </c>
      <c r="B162" s="298">
        <v>81</v>
      </c>
      <c r="C162" s="298">
        <v>74</v>
      </c>
      <c r="D162" s="298">
        <v>7</v>
      </c>
    </row>
    <row r="163" spans="1:4">
      <c r="A163" s="290" t="s">
        <v>69</v>
      </c>
      <c r="B163" s="298">
        <v>68</v>
      </c>
      <c r="C163" s="298">
        <v>65</v>
      </c>
      <c r="D163" s="298">
        <v>3</v>
      </c>
    </row>
    <row r="164" spans="1:4">
      <c r="A164" s="290" t="s">
        <v>293</v>
      </c>
      <c r="B164" s="298">
        <v>77</v>
      </c>
      <c r="C164" s="298">
        <v>67</v>
      </c>
      <c r="D164" s="298">
        <v>10</v>
      </c>
    </row>
    <row r="165" spans="1:4">
      <c r="A165" s="290" t="s">
        <v>33</v>
      </c>
      <c r="B165" s="298">
        <v>12</v>
      </c>
      <c r="C165" s="298">
        <v>1</v>
      </c>
      <c r="D165" s="298">
        <v>11</v>
      </c>
    </row>
    <row r="166" spans="1:4" ht="5.0999999999999996" customHeight="1">
      <c r="B166" s="298"/>
      <c r="C166" s="298"/>
      <c r="D166" s="298"/>
    </row>
    <row r="167" spans="1:4">
      <c r="A167" s="292" t="s">
        <v>88</v>
      </c>
      <c r="B167" s="296">
        <v>1942</v>
      </c>
      <c r="C167" s="296">
        <v>1637</v>
      </c>
      <c r="D167" s="296">
        <v>305</v>
      </c>
    </row>
    <row r="168" spans="1:4" ht="5.0999999999999996" customHeight="1">
      <c r="B168" s="298"/>
      <c r="C168" s="298"/>
      <c r="D168" s="298"/>
    </row>
    <row r="169" spans="1:4">
      <c r="A169" s="290" t="s">
        <v>63</v>
      </c>
      <c r="B169" s="298">
        <v>155</v>
      </c>
      <c r="C169" s="298">
        <v>153</v>
      </c>
      <c r="D169" s="298">
        <v>2</v>
      </c>
    </row>
    <row r="170" spans="1:4">
      <c r="A170" s="290" t="s">
        <v>64</v>
      </c>
      <c r="B170" s="298">
        <v>437</v>
      </c>
      <c r="C170" s="298">
        <v>399</v>
      </c>
      <c r="D170" s="298">
        <v>38</v>
      </c>
    </row>
    <row r="171" spans="1:4">
      <c r="A171" s="290" t="s">
        <v>65</v>
      </c>
      <c r="B171" s="298">
        <v>383</v>
      </c>
      <c r="C171" s="298">
        <v>335</v>
      </c>
      <c r="D171" s="298">
        <v>48</v>
      </c>
    </row>
    <row r="172" spans="1:4">
      <c r="A172" s="290" t="s">
        <v>66</v>
      </c>
      <c r="B172" s="298">
        <v>290</v>
      </c>
      <c r="C172" s="298">
        <v>247</v>
      </c>
      <c r="D172" s="298">
        <v>43</v>
      </c>
    </row>
    <row r="173" spans="1:4">
      <c r="A173" s="290" t="s">
        <v>67</v>
      </c>
      <c r="B173" s="298">
        <v>203</v>
      </c>
      <c r="C173" s="298">
        <v>163</v>
      </c>
      <c r="D173" s="298">
        <v>40</v>
      </c>
    </row>
    <row r="174" spans="1:4">
      <c r="A174" s="290" t="s">
        <v>68</v>
      </c>
      <c r="B174" s="298">
        <v>188</v>
      </c>
      <c r="C174" s="298">
        <v>141</v>
      </c>
      <c r="D174" s="298">
        <v>47</v>
      </c>
    </row>
    <row r="175" spans="1:4">
      <c r="A175" s="290" t="s">
        <v>69</v>
      </c>
      <c r="B175" s="298">
        <v>114</v>
      </c>
      <c r="C175" s="298">
        <v>90</v>
      </c>
      <c r="D175" s="298">
        <v>24</v>
      </c>
    </row>
    <row r="176" spans="1:4">
      <c r="A176" s="290" t="s">
        <v>293</v>
      </c>
      <c r="B176" s="298">
        <v>139</v>
      </c>
      <c r="C176" s="298">
        <v>99</v>
      </c>
      <c r="D176" s="298">
        <v>40</v>
      </c>
    </row>
    <row r="177" spans="1:4">
      <c r="A177" s="290" t="s">
        <v>33</v>
      </c>
      <c r="B177" s="298">
        <v>33</v>
      </c>
      <c r="C177" s="298">
        <v>10</v>
      </c>
      <c r="D177" s="298">
        <v>23</v>
      </c>
    </row>
    <row r="178" spans="1:4" ht="5.0999999999999996" customHeight="1">
      <c r="B178" s="298"/>
      <c r="C178" s="298"/>
      <c r="D178" s="298"/>
    </row>
    <row r="179" spans="1:4">
      <c r="A179" s="292" t="s">
        <v>89</v>
      </c>
      <c r="B179" s="296">
        <v>540</v>
      </c>
      <c r="C179" s="296">
        <v>490</v>
      </c>
      <c r="D179" s="296">
        <v>50</v>
      </c>
    </row>
    <row r="180" spans="1:4" ht="5.0999999999999996" customHeight="1">
      <c r="B180" s="298"/>
      <c r="C180" s="298"/>
      <c r="D180" s="298"/>
    </row>
    <row r="181" spans="1:4">
      <c r="A181" s="290" t="s">
        <v>63</v>
      </c>
      <c r="B181" s="298">
        <v>41</v>
      </c>
      <c r="C181" s="298">
        <v>39</v>
      </c>
      <c r="D181" s="298">
        <v>2</v>
      </c>
    </row>
    <row r="182" spans="1:4">
      <c r="A182" s="290" t="s">
        <v>64</v>
      </c>
      <c r="B182" s="298">
        <v>110</v>
      </c>
      <c r="C182" s="298">
        <v>108</v>
      </c>
      <c r="D182" s="298">
        <v>2</v>
      </c>
    </row>
    <row r="183" spans="1:4">
      <c r="A183" s="290" t="s">
        <v>65</v>
      </c>
      <c r="B183" s="298">
        <v>95</v>
      </c>
      <c r="C183" s="298">
        <v>94</v>
      </c>
      <c r="D183" s="298">
        <v>1</v>
      </c>
    </row>
    <row r="184" spans="1:4">
      <c r="A184" s="290" t="s">
        <v>66</v>
      </c>
      <c r="B184" s="298">
        <v>95</v>
      </c>
      <c r="C184" s="298">
        <v>90</v>
      </c>
      <c r="D184" s="298">
        <v>5</v>
      </c>
    </row>
    <row r="185" spans="1:4">
      <c r="A185" s="290" t="s">
        <v>67</v>
      </c>
      <c r="B185" s="298">
        <v>67</v>
      </c>
      <c r="C185" s="298">
        <v>56</v>
      </c>
      <c r="D185" s="298">
        <v>11</v>
      </c>
    </row>
    <row r="186" spans="1:4">
      <c r="A186" s="290" t="s">
        <v>68</v>
      </c>
      <c r="B186" s="298">
        <v>49</v>
      </c>
      <c r="C186" s="298">
        <v>42</v>
      </c>
      <c r="D186" s="298">
        <v>7</v>
      </c>
    </row>
    <row r="187" spans="1:4">
      <c r="A187" s="290" t="s">
        <v>69</v>
      </c>
      <c r="B187" s="298">
        <v>36</v>
      </c>
      <c r="C187" s="298">
        <v>31</v>
      </c>
      <c r="D187" s="298">
        <v>5</v>
      </c>
    </row>
    <row r="188" spans="1:4">
      <c r="A188" s="290" t="s">
        <v>293</v>
      </c>
      <c r="B188" s="298">
        <v>46</v>
      </c>
      <c r="C188" s="298">
        <v>30</v>
      </c>
      <c r="D188" s="298">
        <v>16</v>
      </c>
    </row>
    <row r="189" spans="1:4">
      <c r="A189" s="290" t="s">
        <v>33</v>
      </c>
      <c r="B189" s="298">
        <v>1</v>
      </c>
      <c r="C189" s="298">
        <v>0</v>
      </c>
      <c r="D189" s="298">
        <v>1</v>
      </c>
    </row>
    <row r="190" spans="1:4" ht="5.0999999999999996" customHeight="1">
      <c r="B190" s="298"/>
      <c r="C190" s="298"/>
      <c r="D190" s="298"/>
    </row>
    <row r="191" spans="1:4">
      <c r="A191" s="292" t="s">
        <v>369</v>
      </c>
      <c r="B191" s="296">
        <v>369</v>
      </c>
      <c r="C191" s="296">
        <v>351</v>
      </c>
      <c r="D191" s="296">
        <v>18</v>
      </c>
    </row>
    <row r="192" spans="1:4" ht="5.0999999999999996" customHeight="1">
      <c r="B192" s="298"/>
      <c r="C192" s="298"/>
      <c r="D192" s="298"/>
    </row>
    <row r="193" spans="1:4">
      <c r="A193" s="290" t="s">
        <v>62</v>
      </c>
      <c r="B193" s="298">
        <v>1</v>
      </c>
      <c r="C193" s="298">
        <v>1</v>
      </c>
      <c r="D193" s="298">
        <v>0</v>
      </c>
    </row>
    <row r="194" spans="1:4">
      <c r="A194" s="290" t="s">
        <v>63</v>
      </c>
      <c r="B194" s="298">
        <v>32</v>
      </c>
      <c r="C194" s="298">
        <v>31</v>
      </c>
      <c r="D194" s="298">
        <v>1</v>
      </c>
    </row>
    <row r="195" spans="1:4">
      <c r="A195" s="290" t="s">
        <v>64</v>
      </c>
      <c r="B195" s="298">
        <v>66</v>
      </c>
      <c r="C195" s="298">
        <v>64</v>
      </c>
      <c r="D195" s="298">
        <v>2</v>
      </c>
    </row>
    <row r="196" spans="1:4">
      <c r="A196" s="290" t="s">
        <v>65</v>
      </c>
      <c r="B196" s="298">
        <v>49</v>
      </c>
      <c r="C196" s="298">
        <v>48</v>
      </c>
      <c r="D196" s="298">
        <v>1</v>
      </c>
    </row>
    <row r="197" spans="1:4">
      <c r="A197" s="290" t="s">
        <v>66</v>
      </c>
      <c r="B197" s="298">
        <v>56</v>
      </c>
      <c r="C197" s="298">
        <v>55</v>
      </c>
      <c r="D197" s="298">
        <v>1</v>
      </c>
    </row>
    <row r="198" spans="1:4">
      <c r="A198" s="290" t="s">
        <v>67</v>
      </c>
      <c r="B198" s="298">
        <v>55</v>
      </c>
      <c r="C198" s="298">
        <v>55</v>
      </c>
      <c r="D198" s="298">
        <v>0</v>
      </c>
    </row>
    <row r="199" spans="1:4">
      <c r="A199" s="290" t="s">
        <v>68</v>
      </c>
      <c r="B199" s="298">
        <v>35</v>
      </c>
      <c r="C199" s="298">
        <v>35</v>
      </c>
      <c r="D199" s="298">
        <v>0</v>
      </c>
    </row>
    <row r="200" spans="1:4">
      <c r="A200" s="290" t="s">
        <v>69</v>
      </c>
      <c r="B200" s="298">
        <v>28</v>
      </c>
      <c r="C200" s="298">
        <v>27</v>
      </c>
      <c r="D200" s="298">
        <v>1</v>
      </c>
    </row>
    <row r="201" spans="1:4">
      <c r="A201" s="290" t="s">
        <v>293</v>
      </c>
      <c r="B201" s="298">
        <v>38</v>
      </c>
      <c r="C201" s="298">
        <v>32</v>
      </c>
      <c r="D201" s="298">
        <v>6</v>
      </c>
    </row>
    <row r="202" spans="1:4">
      <c r="A202" s="290" t="s">
        <v>33</v>
      </c>
      <c r="B202" s="298">
        <v>9</v>
      </c>
      <c r="C202" s="298">
        <v>3</v>
      </c>
      <c r="D202" s="298">
        <v>6</v>
      </c>
    </row>
    <row r="203" spans="1:4" ht="5.0999999999999996" customHeight="1">
      <c r="B203" s="298"/>
      <c r="C203" s="298"/>
      <c r="D203" s="298"/>
    </row>
    <row r="204" spans="1:4">
      <c r="A204" s="292" t="s">
        <v>91</v>
      </c>
      <c r="B204" s="296">
        <v>35</v>
      </c>
      <c r="C204" s="296">
        <v>35</v>
      </c>
      <c r="D204" s="296">
        <v>0</v>
      </c>
    </row>
    <row r="205" spans="1:4" ht="5.0999999999999996" customHeight="1">
      <c r="B205" s="298"/>
      <c r="C205" s="298"/>
      <c r="D205" s="298"/>
    </row>
    <row r="206" spans="1:4">
      <c r="A206" s="290" t="s">
        <v>63</v>
      </c>
      <c r="B206" s="298">
        <v>2</v>
      </c>
      <c r="C206" s="298">
        <v>2</v>
      </c>
      <c r="D206" s="298">
        <v>0</v>
      </c>
    </row>
    <row r="207" spans="1:4">
      <c r="A207" s="290" t="s">
        <v>64</v>
      </c>
      <c r="B207" s="298">
        <v>9</v>
      </c>
      <c r="C207" s="298">
        <v>9</v>
      </c>
      <c r="D207" s="298">
        <v>0</v>
      </c>
    </row>
    <row r="208" spans="1:4">
      <c r="A208" s="290" t="s">
        <v>65</v>
      </c>
      <c r="B208" s="298">
        <v>8</v>
      </c>
      <c r="C208" s="298">
        <v>8</v>
      </c>
      <c r="D208" s="298">
        <v>0</v>
      </c>
    </row>
    <row r="209" spans="1:4">
      <c r="A209" s="290" t="s">
        <v>66</v>
      </c>
      <c r="B209" s="298">
        <v>1</v>
      </c>
      <c r="C209" s="298">
        <v>1</v>
      </c>
      <c r="D209" s="298">
        <v>0</v>
      </c>
    </row>
    <row r="210" spans="1:4">
      <c r="A210" s="290" t="s">
        <v>67</v>
      </c>
      <c r="B210" s="298">
        <v>7</v>
      </c>
      <c r="C210" s="298">
        <v>7</v>
      </c>
      <c r="D210" s="298">
        <v>0</v>
      </c>
    </row>
    <row r="211" spans="1:4">
      <c r="A211" s="290" t="s">
        <v>68</v>
      </c>
      <c r="B211" s="298">
        <v>5</v>
      </c>
      <c r="C211" s="298">
        <v>5</v>
      </c>
      <c r="D211" s="298">
        <v>0</v>
      </c>
    </row>
    <row r="212" spans="1:4">
      <c r="A212" s="290" t="s">
        <v>69</v>
      </c>
      <c r="B212" s="298">
        <v>2</v>
      </c>
      <c r="C212" s="298">
        <v>2</v>
      </c>
      <c r="D212" s="298">
        <v>0</v>
      </c>
    </row>
    <row r="213" spans="1:4">
      <c r="A213" s="290" t="s">
        <v>293</v>
      </c>
      <c r="B213" s="298">
        <v>1</v>
      </c>
      <c r="C213" s="298">
        <v>1</v>
      </c>
      <c r="D213" s="298">
        <v>0</v>
      </c>
    </row>
    <row r="214" spans="1:4" ht="5.0999999999999996" customHeight="1">
      <c r="B214" s="298"/>
      <c r="C214" s="298"/>
      <c r="D214" s="298"/>
    </row>
    <row r="215" spans="1:4">
      <c r="A215" s="292" t="s">
        <v>92</v>
      </c>
      <c r="B215" s="296">
        <v>599</v>
      </c>
      <c r="C215" s="296">
        <v>569</v>
      </c>
      <c r="D215" s="296">
        <v>30</v>
      </c>
    </row>
    <row r="216" spans="1:4" ht="5.0999999999999996" customHeight="1">
      <c r="B216" s="298"/>
      <c r="C216" s="298"/>
      <c r="D216" s="298"/>
    </row>
    <row r="217" spans="1:4">
      <c r="A217" s="290" t="s">
        <v>63</v>
      </c>
      <c r="B217" s="298">
        <v>53</v>
      </c>
      <c r="C217" s="298">
        <v>53</v>
      </c>
      <c r="D217" s="298">
        <v>0</v>
      </c>
    </row>
    <row r="218" spans="1:4">
      <c r="A218" s="290" t="s">
        <v>64</v>
      </c>
      <c r="B218" s="298">
        <v>101</v>
      </c>
      <c r="C218" s="298">
        <v>101</v>
      </c>
      <c r="D218" s="298">
        <v>0</v>
      </c>
    </row>
    <row r="219" spans="1:4">
      <c r="A219" s="290" t="s">
        <v>65</v>
      </c>
      <c r="B219" s="298">
        <v>102</v>
      </c>
      <c r="C219" s="298">
        <v>98</v>
      </c>
      <c r="D219" s="298">
        <v>4</v>
      </c>
    </row>
    <row r="220" spans="1:4">
      <c r="A220" s="290" t="s">
        <v>66</v>
      </c>
      <c r="B220" s="298">
        <v>119</v>
      </c>
      <c r="C220" s="298">
        <v>116</v>
      </c>
      <c r="D220" s="298">
        <v>3</v>
      </c>
    </row>
    <row r="221" spans="1:4">
      <c r="A221" s="290" t="s">
        <v>67</v>
      </c>
      <c r="B221" s="298">
        <v>75</v>
      </c>
      <c r="C221" s="298">
        <v>70</v>
      </c>
      <c r="D221" s="298">
        <v>5</v>
      </c>
    </row>
    <row r="222" spans="1:4">
      <c r="A222" s="290" t="s">
        <v>68</v>
      </c>
      <c r="B222" s="298">
        <v>66</v>
      </c>
      <c r="C222" s="298">
        <v>62</v>
      </c>
      <c r="D222" s="298">
        <v>4</v>
      </c>
    </row>
    <row r="223" spans="1:4">
      <c r="A223" s="290" t="s">
        <v>69</v>
      </c>
      <c r="B223" s="298">
        <v>29</v>
      </c>
      <c r="C223" s="298">
        <v>28</v>
      </c>
      <c r="D223" s="298">
        <v>1</v>
      </c>
    </row>
    <row r="224" spans="1:4">
      <c r="A224" s="290" t="s">
        <v>293</v>
      </c>
      <c r="B224" s="298">
        <v>51</v>
      </c>
      <c r="C224" s="298">
        <v>41</v>
      </c>
      <c r="D224" s="298">
        <v>10</v>
      </c>
    </row>
    <row r="225" spans="1:4">
      <c r="A225" s="290" t="s">
        <v>33</v>
      </c>
      <c r="B225" s="298">
        <v>3</v>
      </c>
      <c r="C225" s="298">
        <v>0</v>
      </c>
      <c r="D225" s="298">
        <v>3</v>
      </c>
    </row>
    <row r="226" spans="1:4" ht="5.0999999999999996" customHeight="1">
      <c r="B226" s="298"/>
      <c r="C226" s="298"/>
      <c r="D226" s="298"/>
    </row>
    <row r="227" spans="1:4">
      <c r="A227" s="292" t="s">
        <v>93</v>
      </c>
      <c r="B227" s="296">
        <v>1887</v>
      </c>
      <c r="C227" s="296">
        <v>1764</v>
      </c>
      <c r="D227" s="296">
        <v>123</v>
      </c>
    </row>
    <row r="228" spans="1:4" ht="5.0999999999999996" customHeight="1">
      <c r="B228" s="298"/>
      <c r="C228" s="298"/>
      <c r="D228" s="298"/>
    </row>
    <row r="229" spans="1:4">
      <c r="A229" s="290" t="s">
        <v>62</v>
      </c>
      <c r="B229" s="298">
        <v>3</v>
      </c>
      <c r="C229" s="298">
        <v>3</v>
      </c>
      <c r="D229" s="298">
        <v>0</v>
      </c>
    </row>
    <row r="230" spans="1:4">
      <c r="A230" s="290" t="s">
        <v>63</v>
      </c>
      <c r="B230" s="298">
        <v>78</v>
      </c>
      <c r="C230" s="298">
        <v>77</v>
      </c>
      <c r="D230" s="298">
        <v>1</v>
      </c>
    </row>
    <row r="231" spans="1:4">
      <c r="A231" s="290" t="s">
        <v>64</v>
      </c>
      <c r="B231" s="298">
        <v>387</v>
      </c>
      <c r="C231" s="298">
        <v>376</v>
      </c>
      <c r="D231" s="298">
        <v>11</v>
      </c>
    </row>
    <row r="232" spans="1:4">
      <c r="A232" s="290" t="s">
        <v>65</v>
      </c>
      <c r="B232" s="298">
        <v>415</v>
      </c>
      <c r="C232" s="298">
        <v>406</v>
      </c>
      <c r="D232" s="298">
        <v>9</v>
      </c>
    </row>
    <row r="233" spans="1:4">
      <c r="A233" s="290" t="s">
        <v>66</v>
      </c>
      <c r="B233" s="298">
        <v>285</v>
      </c>
      <c r="C233" s="298">
        <v>275</v>
      </c>
      <c r="D233" s="298">
        <v>10</v>
      </c>
    </row>
    <row r="234" spans="1:4">
      <c r="A234" s="290" t="s">
        <v>67</v>
      </c>
      <c r="B234" s="298">
        <v>256</v>
      </c>
      <c r="C234" s="298">
        <v>244</v>
      </c>
      <c r="D234" s="298">
        <v>12</v>
      </c>
    </row>
    <row r="235" spans="1:4">
      <c r="A235" s="290" t="s">
        <v>68</v>
      </c>
      <c r="B235" s="298">
        <v>169</v>
      </c>
      <c r="C235" s="298">
        <v>158</v>
      </c>
      <c r="D235" s="298">
        <v>11</v>
      </c>
    </row>
    <row r="236" spans="1:4">
      <c r="A236" s="290" t="s">
        <v>69</v>
      </c>
      <c r="B236" s="298">
        <v>118</v>
      </c>
      <c r="C236" s="298">
        <v>110</v>
      </c>
      <c r="D236" s="298">
        <v>8</v>
      </c>
    </row>
    <row r="237" spans="1:4">
      <c r="A237" s="290" t="s">
        <v>293</v>
      </c>
      <c r="B237" s="298">
        <v>131</v>
      </c>
      <c r="C237" s="298">
        <v>114</v>
      </c>
      <c r="D237" s="298">
        <v>17</v>
      </c>
    </row>
    <row r="238" spans="1:4">
      <c r="A238" s="290" t="s">
        <v>33</v>
      </c>
      <c r="B238" s="298">
        <v>45</v>
      </c>
      <c r="C238" s="298">
        <v>1</v>
      </c>
      <c r="D238" s="298">
        <v>44</v>
      </c>
    </row>
    <row r="239" spans="1:4" ht="5.0999999999999996" customHeight="1">
      <c r="B239" s="298"/>
      <c r="C239" s="298"/>
      <c r="D239" s="298"/>
    </row>
    <row r="240" spans="1:4">
      <c r="A240" s="292" t="s">
        <v>224</v>
      </c>
      <c r="B240" s="296">
        <v>609</v>
      </c>
      <c r="C240" s="296">
        <v>531</v>
      </c>
      <c r="D240" s="296">
        <v>78</v>
      </c>
    </row>
    <row r="241" spans="1:4" ht="5.0999999999999996" customHeight="1">
      <c r="B241" s="298"/>
      <c r="C241" s="298"/>
      <c r="D241" s="298"/>
    </row>
    <row r="242" spans="1:4">
      <c r="A242" s="290" t="s">
        <v>63</v>
      </c>
      <c r="B242" s="298">
        <v>40</v>
      </c>
      <c r="C242" s="298">
        <v>38</v>
      </c>
      <c r="D242" s="298">
        <v>2</v>
      </c>
    </row>
    <row r="243" spans="1:4">
      <c r="A243" s="290" t="s">
        <v>64</v>
      </c>
      <c r="B243" s="298">
        <v>131</v>
      </c>
      <c r="C243" s="298">
        <v>120</v>
      </c>
      <c r="D243" s="298">
        <v>11</v>
      </c>
    </row>
    <row r="244" spans="1:4">
      <c r="A244" s="290" t="s">
        <v>65</v>
      </c>
      <c r="B244" s="298">
        <v>114</v>
      </c>
      <c r="C244" s="298">
        <v>106</v>
      </c>
      <c r="D244" s="298">
        <v>8</v>
      </c>
    </row>
    <row r="245" spans="1:4">
      <c r="A245" s="290" t="s">
        <v>66</v>
      </c>
      <c r="B245" s="298">
        <v>95</v>
      </c>
      <c r="C245" s="298">
        <v>87</v>
      </c>
      <c r="D245" s="298">
        <v>8</v>
      </c>
    </row>
    <row r="246" spans="1:4">
      <c r="A246" s="290" t="s">
        <v>67</v>
      </c>
      <c r="B246" s="298">
        <v>69</v>
      </c>
      <c r="C246" s="298">
        <v>62</v>
      </c>
      <c r="D246" s="298">
        <v>7</v>
      </c>
    </row>
    <row r="247" spans="1:4">
      <c r="A247" s="290" t="s">
        <v>68</v>
      </c>
      <c r="B247" s="298">
        <v>53</v>
      </c>
      <c r="C247" s="298">
        <v>40</v>
      </c>
      <c r="D247" s="298">
        <v>13</v>
      </c>
    </row>
    <row r="248" spans="1:4">
      <c r="A248" s="290" t="s">
        <v>69</v>
      </c>
      <c r="B248" s="298">
        <v>39</v>
      </c>
      <c r="C248" s="298">
        <v>33</v>
      </c>
      <c r="D248" s="298">
        <v>6</v>
      </c>
    </row>
    <row r="249" spans="1:4">
      <c r="A249" s="290" t="s">
        <v>293</v>
      </c>
      <c r="B249" s="298">
        <v>64</v>
      </c>
      <c r="C249" s="298">
        <v>45</v>
      </c>
      <c r="D249" s="298">
        <v>19</v>
      </c>
    </row>
    <row r="250" spans="1:4">
      <c r="A250" s="290" t="s">
        <v>33</v>
      </c>
      <c r="B250" s="298">
        <v>4</v>
      </c>
      <c r="C250" s="298">
        <v>0</v>
      </c>
      <c r="D250" s="298">
        <v>4</v>
      </c>
    </row>
    <row r="251" spans="1:4" ht="5.0999999999999996" customHeight="1">
      <c r="B251" s="298"/>
      <c r="C251" s="298"/>
      <c r="D251" s="298"/>
    </row>
    <row r="252" spans="1:4">
      <c r="A252" s="292" t="s">
        <v>95</v>
      </c>
      <c r="B252" s="296">
        <v>437</v>
      </c>
      <c r="C252" s="296">
        <v>400</v>
      </c>
      <c r="D252" s="296">
        <v>37</v>
      </c>
    </row>
    <row r="253" spans="1:4" ht="5.0999999999999996" customHeight="1">
      <c r="B253" s="298"/>
      <c r="C253" s="298"/>
      <c r="D253" s="298"/>
    </row>
    <row r="254" spans="1:4">
      <c r="A254" s="290" t="s">
        <v>63</v>
      </c>
      <c r="B254" s="298">
        <v>27</v>
      </c>
      <c r="C254" s="298">
        <v>26</v>
      </c>
      <c r="D254" s="298">
        <v>1</v>
      </c>
    </row>
    <row r="255" spans="1:4">
      <c r="A255" s="290" t="s">
        <v>64</v>
      </c>
      <c r="B255" s="298">
        <v>84</v>
      </c>
      <c r="C255" s="298">
        <v>80</v>
      </c>
      <c r="D255" s="298">
        <v>4</v>
      </c>
    </row>
    <row r="256" spans="1:4">
      <c r="A256" s="290" t="s">
        <v>65</v>
      </c>
      <c r="B256" s="298">
        <v>93</v>
      </c>
      <c r="C256" s="298">
        <v>89</v>
      </c>
      <c r="D256" s="298">
        <v>4</v>
      </c>
    </row>
    <row r="257" spans="1:4">
      <c r="A257" s="290" t="s">
        <v>66</v>
      </c>
      <c r="B257" s="298">
        <v>76</v>
      </c>
      <c r="C257" s="298">
        <v>67</v>
      </c>
      <c r="D257" s="298">
        <v>9</v>
      </c>
    </row>
    <row r="258" spans="1:4">
      <c r="A258" s="290" t="s">
        <v>67</v>
      </c>
      <c r="B258" s="298">
        <v>54</v>
      </c>
      <c r="C258" s="298">
        <v>50</v>
      </c>
      <c r="D258" s="298">
        <v>4</v>
      </c>
    </row>
    <row r="259" spans="1:4">
      <c r="A259" s="290" t="s">
        <v>68</v>
      </c>
      <c r="B259" s="298">
        <v>30</v>
      </c>
      <c r="C259" s="298">
        <v>29</v>
      </c>
      <c r="D259" s="298">
        <v>1</v>
      </c>
    </row>
    <row r="260" spans="1:4">
      <c r="A260" s="290" t="s">
        <v>69</v>
      </c>
      <c r="B260" s="298">
        <v>25</v>
      </c>
      <c r="C260" s="298">
        <v>24</v>
      </c>
      <c r="D260" s="298">
        <v>1</v>
      </c>
    </row>
    <row r="261" spans="1:4">
      <c r="A261" s="290" t="s">
        <v>293</v>
      </c>
      <c r="B261" s="298">
        <v>30</v>
      </c>
      <c r="C261" s="298">
        <v>28</v>
      </c>
      <c r="D261" s="298">
        <v>2</v>
      </c>
    </row>
    <row r="262" spans="1:4">
      <c r="A262" s="290" t="s">
        <v>33</v>
      </c>
      <c r="B262" s="298">
        <v>18</v>
      </c>
      <c r="C262" s="298">
        <v>7</v>
      </c>
      <c r="D262" s="298">
        <v>11</v>
      </c>
    </row>
    <row r="263" spans="1:4" ht="5.0999999999999996" customHeight="1">
      <c r="B263" s="298"/>
      <c r="C263" s="298"/>
      <c r="D263" s="298"/>
    </row>
    <row r="264" spans="1:4">
      <c r="A264" s="292" t="s">
        <v>96</v>
      </c>
      <c r="B264" s="296">
        <v>2218</v>
      </c>
      <c r="C264" s="296">
        <v>2117</v>
      </c>
      <c r="D264" s="296">
        <v>101</v>
      </c>
    </row>
    <row r="265" spans="1:4" ht="5.0999999999999996" customHeight="1">
      <c r="B265" s="298"/>
      <c r="C265" s="298"/>
      <c r="D265" s="298"/>
    </row>
    <row r="266" spans="1:4">
      <c r="A266" s="290" t="s">
        <v>63</v>
      </c>
      <c r="B266" s="298">
        <v>148</v>
      </c>
      <c r="C266" s="298">
        <v>144</v>
      </c>
      <c r="D266" s="298">
        <v>4</v>
      </c>
    </row>
    <row r="267" spans="1:4">
      <c r="A267" s="290" t="s">
        <v>64</v>
      </c>
      <c r="B267" s="298">
        <v>497</v>
      </c>
      <c r="C267" s="298">
        <v>480</v>
      </c>
      <c r="D267" s="298">
        <v>17</v>
      </c>
    </row>
    <row r="268" spans="1:4">
      <c r="A268" s="290" t="s">
        <v>65</v>
      </c>
      <c r="B268" s="298">
        <v>473</v>
      </c>
      <c r="C268" s="298">
        <v>452</v>
      </c>
      <c r="D268" s="298">
        <v>21</v>
      </c>
    </row>
    <row r="269" spans="1:4">
      <c r="A269" s="290" t="s">
        <v>66</v>
      </c>
      <c r="B269" s="298">
        <v>341</v>
      </c>
      <c r="C269" s="298">
        <v>333</v>
      </c>
      <c r="D269" s="298">
        <v>8</v>
      </c>
    </row>
    <row r="270" spans="1:4">
      <c r="A270" s="290" t="s">
        <v>67</v>
      </c>
      <c r="B270" s="298">
        <v>259</v>
      </c>
      <c r="C270" s="298">
        <v>249</v>
      </c>
      <c r="D270" s="298">
        <v>10</v>
      </c>
    </row>
    <row r="271" spans="1:4">
      <c r="A271" s="290" t="s">
        <v>68</v>
      </c>
      <c r="B271" s="298">
        <v>167</v>
      </c>
      <c r="C271" s="298">
        <v>163</v>
      </c>
      <c r="D271" s="298">
        <v>4</v>
      </c>
    </row>
    <row r="272" spans="1:4">
      <c r="A272" s="290" t="s">
        <v>69</v>
      </c>
      <c r="B272" s="298">
        <v>116</v>
      </c>
      <c r="C272" s="298">
        <v>112</v>
      </c>
      <c r="D272" s="298">
        <v>4</v>
      </c>
    </row>
    <row r="273" spans="1:4">
      <c r="A273" s="290" t="s">
        <v>293</v>
      </c>
      <c r="B273" s="298">
        <v>206</v>
      </c>
      <c r="C273" s="298">
        <v>180</v>
      </c>
      <c r="D273" s="298">
        <v>26</v>
      </c>
    </row>
    <row r="274" spans="1:4">
      <c r="A274" s="290" t="s">
        <v>33</v>
      </c>
      <c r="B274" s="298">
        <v>11</v>
      </c>
      <c r="C274" s="298">
        <v>4</v>
      </c>
      <c r="D274" s="298">
        <v>7</v>
      </c>
    </row>
    <row r="275" spans="1:4" ht="5.0999999999999996" customHeight="1">
      <c r="B275" s="298"/>
      <c r="C275" s="298"/>
      <c r="D275" s="298"/>
    </row>
    <row r="276" spans="1:4">
      <c r="A276" s="292" t="s">
        <v>97</v>
      </c>
      <c r="B276" s="296">
        <v>316</v>
      </c>
      <c r="C276" s="296">
        <v>282</v>
      </c>
      <c r="D276" s="296">
        <v>34</v>
      </c>
    </row>
    <row r="277" spans="1:4" ht="5.0999999999999996" customHeight="1">
      <c r="B277" s="298"/>
      <c r="C277" s="298"/>
      <c r="D277" s="298"/>
    </row>
    <row r="278" spans="1:4">
      <c r="A278" s="290" t="s">
        <v>63</v>
      </c>
      <c r="B278" s="298">
        <v>22</v>
      </c>
      <c r="C278" s="298">
        <v>22</v>
      </c>
      <c r="D278" s="298">
        <v>0</v>
      </c>
    </row>
    <row r="279" spans="1:4">
      <c r="A279" s="290" t="s">
        <v>64</v>
      </c>
      <c r="B279" s="298">
        <v>61</v>
      </c>
      <c r="C279" s="298">
        <v>61</v>
      </c>
      <c r="D279" s="298">
        <v>0</v>
      </c>
    </row>
    <row r="280" spans="1:4">
      <c r="A280" s="290" t="s">
        <v>65</v>
      </c>
      <c r="B280" s="298">
        <v>66</v>
      </c>
      <c r="C280" s="298">
        <v>65</v>
      </c>
      <c r="D280" s="298">
        <v>1</v>
      </c>
    </row>
    <row r="281" spans="1:4">
      <c r="A281" s="290" t="s">
        <v>66</v>
      </c>
      <c r="B281" s="298">
        <v>48</v>
      </c>
      <c r="C281" s="298">
        <v>45</v>
      </c>
      <c r="D281" s="298">
        <v>3</v>
      </c>
    </row>
    <row r="282" spans="1:4">
      <c r="A282" s="290" t="s">
        <v>67</v>
      </c>
      <c r="B282" s="298">
        <v>31</v>
      </c>
      <c r="C282" s="298">
        <v>30</v>
      </c>
      <c r="D282" s="298">
        <v>1</v>
      </c>
    </row>
    <row r="283" spans="1:4">
      <c r="A283" s="290" t="s">
        <v>68</v>
      </c>
      <c r="B283" s="298">
        <v>28</v>
      </c>
      <c r="C283" s="298">
        <v>25</v>
      </c>
      <c r="D283" s="298">
        <v>3</v>
      </c>
    </row>
    <row r="284" spans="1:4">
      <c r="A284" s="290" t="s">
        <v>69</v>
      </c>
      <c r="B284" s="298">
        <v>14</v>
      </c>
      <c r="C284" s="298">
        <v>14</v>
      </c>
      <c r="D284" s="298">
        <v>0</v>
      </c>
    </row>
    <row r="285" spans="1:4">
      <c r="A285" s="290" t="s">
        <v>293</v>
      </c>
      <c r="B285" s="298">
        <v>24</v>
      </c>
      <c r="C285" s="298">
        <v>20</v>
      </c>
      <c r="D285" s="298">
        <v>4</v>
      </c>
    </row>
    <row r="286" spans="1:4">
      <c r="A286" s="290" t="s">
        <v>33</v>
      </c>
      <c r="B286" s="298">
        <v>22</v>
      </c>
      <c r="C286" s="298">
        <v>0</v>
      </c>
      <c r="D286" s="298">
        <v>22</v>
      </c>
    </row>
    <row r="287" spans="1:4" ht="5.0999999999999996" customHeight="1">
      <c r="B287" s="298"/>
      <c r="C287" s="298"/>
      <c r="D287" s="298"/>
    </row>
    <row r="288" spans="1:4">
      <c r="A288" s="292" t="s">
        <v>98</v>
      </c>
      <c r="B288" s="296">
        <v>1274</v>
      </c>
      <c r="C288" s="296">
        <v>1206</v>
      </c>
      <c r="D288" s="296">
        <v>68</v>
      </c>
    </row>
    <row r="289" spans="1:4" ht="5.0999999999999996" customHeight="1">
      <c r="B289" s="298"/>
      <c r="C289" s="298"/>
      <c r="D289" s="298"/>
    </row>
    <row r="290" spans="1:4">
      <c r="A290" s="290" t="s">
        <v>63</v>
      </c>
      <c r="B290" s="298">
        <v>65</v>
      </c>
      <c r="C290" s="298">
        <v>65</v>
      </c>
      <c r="D290" s="298">
        <v>0</v>
      </c>
    </row>
    <row r="291" spans="1:4">
      <c r="A291" s="290" t="s">
        <v>64</v>
      </c>
      <c r="B291" s="298">
        <v>288</v>
      </c>
      <c r="C291" s="298">
        <v>279</v>
      </c>
      <c r="D291" s="298">
        <v>9</v>
      </c>
    </row>
    <row r="292" spans="1:4">
      <c r="A292" s="290" t="s">
        <v>65</v>
      </c>
      <c r="B292" s="298">
        <v>288</v>
      </c>
      <c r="C292" s="298">
        <v>272</v>
      </c>
      <c r="D292" s="298">
        <v>16</v>
      </c>
    </row>
    <row r="293" spans="1:4">
      <c r="A293" s="290" t="s">
        <v>66</v>
      </c>
      <c r="B293" s="298">
        <v>209</v>
      </c>
      <c r="C293" s="298">
        <v>196</v>
      </c>
      <c r="D293" s="298">
        <v>13</v>
      </c>
    </row>
    <row r="294" spans="1:4">
      <c r="A294" s="290" t="s">
        <v>67</v>
      </c>
      <c r="B294" s="298">
        <v>155</v>
      </c>
      <c r="C294" s="298">
        <v>151</v>
      </c>
      <c r="D294" s="298">
        <v>4</v>
      </c>
    </row>
    <row r="295" spans="1:4">
      <c r="A295" s="290" t="s">
        <v>68</v>
      </c>
      <c r="B295" s="298">
        <v>114</v>
      </c>
      <c r="C295" s="298">
        <v>103</v>
      </c>
      <c r="D295" s="298">
        <v>11</v>
      </c>
    </row>
    <row r="296" spans="1:4">
      <c r="A296" s="290" t="s">
        <v>69</v>
      </c>
      <c r="B296" s="298">
        <v>67</v>
      </c>
      <c r="C296" s="298">
        <v>65</v>
      </c>
      <c r="D296" s="298">
        <v>2</v>
      </c>
    </row>
    <row r="297" spans="1:4">
      <c r="A297" s="290" t="s">
        <v>293</v>
      </c>
      <c r="B297" s="298">
        <v>85</v>
      </c>
      <c r="C297" s="298">
        <v>75</v>
      </c>
      <c r="D297" s="298">
        <v>10</v>
      </c>
    </row>
    <row r="298" spans="1:4">
      <c r="A298" s="290" t="s">
        <v>33</v>
      </c>
      <c r="B298" s="298">
        <v>3</v>
      </c>
      <c r="C298" s="298">
        <v>0</v>
      </c>
      <c r="D298" s="298">
        <v>3</v>
      </c>
    </row>
    <row r="299" spans="1:4" ht="5.0999999999999996" customHeight="1">
      <c r="B299" s="298"/>
      <c r="C299" s="298"/>
      <c r="D299" s="298"/>
    </row>
    <row r="300" spans="1:4">
      <c r="A300" s="292" t="s">
        <v>99</v>
      </c>
      <c r="B300" s="296">
        <v>476</v>
      </c>
      <c r="C300" s="296">
        <v>406</v>
      </c>
      <c r="D300" s="296">
        <v>70</v>
      </c>
    </row>
    <row r="301" spans="1:4" ht="5.0999999999999996" customHeight="1">
      <c r="B301" s="298"/>
      <c r="C301" s="298"/>
      <c r="D301" s="298"/>
    </row>
    <row r="302" spans="1:4">
      <c r="A302" s="290" t="s">
        <v>62</v>
      </c>
      <c r="B302" s="298">
        <v>1</v>
      </c>
      <c r="C302" s="298">
        <v>1</v>
      </c>
      <c r="D302" s="298">
        <v>0</v>
      </c>
    </row>
    <row r="303" spans="1:4">
      <c r="A303" s="290" t="s">
        <v>63</v>
      </c>
      <c r="B303" s="298">
        <v>34</v>
      </c>
      <c r="C303" s="298">
        <v>34</v>
      </c>
      <c r="D303" s="298">
        <v>0</v>
      </c>
    </row>
    <row r="304" spans="1:4">
      <c r="A304" s="290" t="s">
        <v>64</v>
      </c>
      <c r="B304" s="298">
        <v>108</v>
      </c>
      <c r="C304" s="298">
        <v>105</v>
      </c>
      <c r="D304" s="298">
        <v>3</v>
      </c>
    </row>
    <row r="305" spans="1:4">
      <c r="A305" s="290" t="s">
        <v>65</v>
      </c>
      <c r="B305" s="298">
        <v>90</v>
      </c>
      <c r="C305" s="298">
        <v>80</v>
      </c>
      <c r="D305" s="298">
        <v>10</v>
      </c>
    </row>
    <row r="306" spans="1:4">
      <c r="A306" s="290" t="s">
        <v>66</v>
      </c>
      <c r="B306" s="298">
        <v>81</v>
      </c>
      <c r="C306" s="298">
        <v>71</v>
      </c>
      <c r="D306" s="298">
        <v>10</v>
      </c>
    </row>
    <row r="307" spans="1:4">
      <c r="A307" s="290" t="s">
        <v>67</v>
      </c>
      <c r="B307" s="298">
        <v>48</v>
      </c>
      <c r="C307" s="298">
        <v>35</v>
      </c>
      <c r="D307" s="298">
        <v>13</v>
      </c>
    </row>
    <row r="308" spans="1:4">
      <c r="A308" s="290" t="s">
        <v>68</v>
      </c>
      <c r="B308" s="298">
        <v>43</v>
      </c>
      <c r="C308" s="298">
        <v>35</v>
      </c>
      <c r="D308" s="298">
        <v>8</v>
      </c>
    </row>
    <row r="309" spans="1:4">
      <c r="A309" s="290" t="s">
        <v>69</v>
      </c>
      <c r="B309" s="298">
        <v>34</v>
      </c>
      <c r="C309" s="298">
        <v>21</v>
      </c>
      <c r="D309" s="298">
        <v>13</v>
      </c>
    </row>
    <row r="310" spans="1:4">
      <c r="A310" s="290" t="s">
        <v>293</v>
      </c>
      <c r="B310" s="298">
        <v>36</v>
      </c>
      <c r="C310" s="298">
        <v>23</v>
      </c>
      <c r="D310" s="298">
        <v>13</v>
      </c>
    </row>
    <row r="311" spans="1:4">
      <c r="A311" s="290" t="s">
        <v>33</v>
      </c>
      <c r="B311" s="298">
        <v>1</v>
      </c>
      <c r="C311" s="298">
        <v>1</v>
      </c>
      <c r="D311" s="298">
        <v>0</v>
      </c>
    </row>
    <row r="312" spans="1:4" ht="5.0999999999999996" customHeight="1">
      <c r="B312" s="298"/>
      <c r="C312" s="298"/>
      <c r="D312" s="298"/>
    </row>
    <row r="313" spans="1:4">
      <c r="A313" s="292" t="s">
        <v>100</v>
      </c>
      <c r="B313" s="296">
        <v>6557</v>
      </c>
      <c r="C313" s="296">
        <v>5817</v>
      </c>
      <c r="D313" s="296">
        <v>740</v>
      </c>
    </row>
    <row r="314" spans="1:4" ht="5.0999999999999996" customHeight="1">
      <c r="B314" s="298"/>
      <c r="C314" s="298"/>
      <c r="D314" s="298"/>
    </row>
    <row r="315" spans="1:4">
      <c r="A315" s="290" t="s">
        <v>63</v>
      </c>
      <c r="B315" s="298">
        <v>461</v>
      </c>
      <c r="C315" s="298">
        <v>452</v>
      </c>
      <c r="D315" s="298">
        <v>9</v>
      </c>
    </row>
    <row r="316" spans="1:4">
      <c r="A316" s="290" t="s">
        <v>64</v>
      </c>
      <c r="B316" s="298">
        <v>1394</v>
      </c>
      <c r="C316" s="298">
        <v>1274</v>
      </c>
      <c r="D316" s="298">
        <v>120</v>
      </c>
    </row>
    <row r="317" spans="1:4">
      <c r="A317" s="290" t="s">
        <v>65</v>
      </c>
      <c r="B317" s="298">
        <v>1320</v>
      </c>
      <c r="C317" s="298">
        <v>1161</v>
      </c>
      <c r="D317" s="298">
        <v>159</v>
      </c>
    </row>
    <row r="318" spans="1:4">
      <c r="A318" s="290" t="s">
        <v>66</v>
      </c>
      <c r="B318" s="298">
        <v>1096</v>
      </c>
      <c r="C318" s="298">
        <v>980</v>
      </c>
      <c r="D318" s="298">
        <v>116</v>
      </c>
    </row>
    <row r="319" spans="1:4">
      <c r="A319" s="290" t="s">
        <v>67</v>
      </c>
      <c r="B319" s="298">
        <v>838</v>
      </c>
      <c r="C319" s="298">
        <v>749</v>
      </c>
      <c r="D319" s="298">
        <v>89</v>
      </c>
    </row>
    <row r="320" spans="1:4">
      <c r="A320" s="290" t="s">
        <v>68</v>
      </c>
      <c r="B320" s="298">
        <v>629</v>
      </c>
      <c r="C320" s="298">
        <v>559</v>
      </c>
      <c r="D320" s="298">
        <v>70</v>
      </c>
    </row>
    <row r="321" spans="1:4">
      <c r="A321" s="290" t="s">
        <v>69</v>
      </c>
      <c r="B321" s="298">
        <v>403</v>
      </c>
      <c r="C321" s="298">
        <v>335</v>
      </c>
      <c r="D321" s="298">
        <v>68</v>
      </c>
    </row>
    <row r="322" spans="1:4">
      <c r="A322" s="290" t="s">
        <v>293</v>
      </c>
      <c r="B322" s="298">
        <v>398</v>
      </c>
      <c r="C322" s="298">
        <v>301</v>
      </c>
      <c r="D322" s="298">
        <v>97</v>
      </c>
    </row>
    <row r="323" spans="1:4">
      <c r="A323" s="290" t="s">
        <v>33</v>
      </c>
      <c r="B323" s="298">
        <v>18</v>
      </c>
      <c r="C323" s="298">
        <v>6</v>
      </c>
      <c r="D323" s="298">
        <v>12</v>
      </c>
    </row>
    <row r="324" spans="1:4" ht="5.0999999999999996" customHeight="1">
      <c r="B324" s="298"/>
      <c r="C324" s="298"/>
      <c r="D324" s="298"/>
    </row>
    <row r="325" spans="1:4">
      <c r="A325" s="292" t="s">
        <v>101</v>
      </c>
      <c r="B325" s="296">
        <v>247</v>
      </c>
      <c r="C325" s="296">
        <v>226</v>
      </c>
      <c r="D325" s="296">
        <v>21</v>
      </c>
    </row>
    <row r="326" spans="1:4" ht="5.0999999999999996" customHeight="1">
      <c r="B326" s="298"/>
      <c r="C326" s="298"/>
      <c r="D326" s="298"/>
    </row>
    <row r="327" spans="1:4">
      <c r="A327" s="290" t="s">
        <v>63</v>
      </c>
      <c r="B327" s="298">
        <v>11</v>
      </c>
      <c r="C327" s="298">
        <v>11</v>
      </c>
      <c r="D327" s="298">
        <v>0</v>
      </c>
    </row>
    <row r="328" spans="1:4">
      <c r="A328" s="290" t="s">
        <v>64</v>
      </c>
      <c r="B328" s="298">
        <v>61</v>
      </c>
      <c r="C328" s="298">
        <v>60</v>
      </c>
      <c r="D328" s="298">
        <v>1</v>
      </c>
    </row>
    <row r="329" spans="1:4">
      <c r="A329" s="290" t="s">
        <v>65</v>
      </c>
      <c r="B329" s="298">
        <v>46</v>
      </c>
      <c r="C329" s="298">
        <v>43</v>
      </c>
      <c r="D329" s="298">
        <v>3</v>
      </c>
    </row>
    <row r="330" spans="1:4">
      <c r="A330" s="290" t="s">
        <v>66</v>
      </c>
      <c r="B330" s="298">
        <v>40</v>
      </c>
      <c r="C330" s="298">
        <v>38</v>
      </c>
      <c r="D330" s="298">
        <v>2</v>
      </c>
    </row>
    <row r="331" spans="1:4">
      <c r="A331" s="290" t="s">
        <v>67</v>
      </c>
      <c r="B331" s="298">
        <v>31</v>
      </c>
      <c r="C331" s="298">
        <v>29</v>
      </c>
      <c r="D331" s="298">
        <v>2</v>
      </c>
    </row>
    <row r="332" spans="1:4">
      <c r="A332" s="290" t="s">
        <v>68</v>
      </c>
      <c r="B332" s="298">
        <v>19</v>
      </c>
      <c r="C332" s="298">
        <v>18</v>
      </c>
      <c r="D332" s="298">
        <v>1</v>
      </c>
    </row>
    <row r="333" spans="1:4">
      <c r="A333" s="290" t="s">
        <v>69</v>
      </c>
      <c r="B333" s="298">
        <v>15</v>
      </c>
      <c r="C333" s="298">
        <v>14</v>
      </c>
      <c r="D333" s="298">
        <v>1</v>
      </c>
    </row>
    <row r="334" spans="1:4">
      <c r="A334" s="290" t="s">
        <v>293</v>
      </c>
      <c r="B334" s="298">
        <v>15</v>
      </c>
      <c r="C334" s="298">
        <v>12</v>
      </c>
      <c r="D334" s="298">
        <v>3</v>
      </c>
    </row>
    <row r="335" spans="1:4">
      <c r="A335" s="290" t="s">
        <v>33</v>
      </c>
      <c r="B335" s="298">
        <v>9</v>
      </c>
      <c r="C335" s="298">
        <v>1</v>
      </c>
      <c r="D335" s="298">
        <v>8</v>
      </c>
    </row>
    <row r="336" spans="1:4" ht="5.0999999999999996" customHeight="1">
      <c r="B336" s="298"/>
      <c r="C336" s="298"/>
      <c r="D336" s="298"/>
    </row>
    <row r="337" spans="1:4">
      <c r="A337" s="292" t="s">
        <v>102</v>
      </c>
      <c r="B337" s="296">
        <v>667</v>
      </c>
      <c r="C337" s="296">
        <v>619</v>
      </c>
      <c r="D337" s="296">
        <v>48</v>
      </c>
    </row>
    <row r="338" spans="1:4" ht="5.0999999999999996" customHeight="1">
      <c r="B338" s="298"/>
      <c r="C338" s="298"/>
      <c r="D338" s="298"/>
    </row>
    <row r="339" spans="1:4">
      <c r="A339" s="290" t="s">
        <v>62</v>
      </c>
      <c r="B339" s="298">
        <v>1</v>
      </c>
      <c r="C339" s="298">
        <v>1</v>
      </c>
      <c r="D339" s="298">
        <v>0</v>
      </c>
    </row>
    <row r="340" spans="1:4">
      <c r="A340" s="290" t="s">
        <v>63</v>
      </c>
      <c r="B340" s="298">
        <v>48</v>
      </c>
      <c r="C340" s="298">
        <v>47</v>
      </c>
      <c r="D340" s="298">
        <v>1</v>
      </c>
    </row>
    <row r="341" spans="1:4">
      <c r="A341" s="290" t="s">
        <v>64</v>
      </c>
      <c r="B341" s="298">
        <v>152</v>
      </c>
      <c r="C341" s="298">
        <v>146</v>
      </c>
      <c r="D341" s="298">
        <v>6</v>
      </c>
    </row>
    <row r="342" spans="1:4">
      <c r="A342" s="290" t="s">
        <v>65</v>
      </c>
      <c r="B342" s="298">
        <v>126</v>
      </c>
      <c r="C342" s="298">
        <v>119</v>
      </c>
      <c r="D342" s="298">
        <v>7</v>
      </c>
    </row>
    <row r="343" spans="1:4">
      <c r="A343" s="290" t="s">
        <v>66</v>
      </c>
      <c r="B343" s="298">
        <v>106</v>
      </c>
      <c r="C343" s="298">
        <v>101</v>
      </c>
      <c r="D343" s="298">
        <v>5</v>
      </c>
    </row>
    <row r="344" spans="1:4">
      <c r="A344" s="290" t="s">
        <v>67</v>
      </c>
      <c r="B344" s="298">
        <v>80</v>
      </c>
      <c r="C344" s="298">
        <v>78</v>
      </c>
      <c r="D344" s="298">
        <v>2</v>
      </c>
    </row>
    <row r="345" spans="1:4">
      <c r="A345" s="290" t="s">
        <v>68</v>
      </c>
      <c r="B345" s="298">
        <v>57</v>
      </c>
      <c r="C345" s="298">
        <v>54</v>
      </c>
      <c r="D345" s="298">
        <v>3</v>
      </c>
    </row>
    <row r="346" spans="1:4">
      <c r="A346" s="290" t="s">
        <v>69</v>
      </c>
      <c r="B346" s="298">
        <v>29</v>
      </c>
      <c r="C346" s="298">
        <v>25</v>
      </c>
      <c r="D346" s="298">
        <v>4</v>
      </c>
    </row>
    <row r="347" spans="1:4">
      <c r="A347" s="290" t="s">
        <v>293</v>
      </c>
      <c r="B347" s="298">
        <v>50</v>
      </c>
      <c r="C347" s="298">
        <v>48</v>
      </c>
      <c r="D347" s="298">
        <v>2</v>
      </c>
    </row>
    <row r="348" spans="1:4">
      <c r="A348" s="290" t="s">
        <v>33</v>
      </c>
      <c r="B348" s="298">
        <v>18</v>
      </c>
      <c r="C348" s="298">
        <v>0</v>
      </c>
      <c r="D348" s="298">
        <v>18</v>
      </c>
    </row>
    <row r="349" spans="1:4" ht="5.0999999999999996" customHeight="1">
      <c r="B349" s="298"/>
      <c r="C349" s="298"/>
      <c r="D349" s="298"/>
    </row>
    <row r="350" spans="1:4">
      <c r="A350" s="292" t="s">
        <v>103</v>
      </c>
      <c r="B350" s="296">
        <v>897</v>
      </c>
      <c r="C350" s="296">
        <v>824</v>
      </c>
      <c r="D350" s="296">
        <v>73</v>
      </c>
    </row>
    <row r="351" spans="1:4" ht="5.0999999999999996" customHeight="1">
      <c r="B351" s="298"/>
      <c r="C351" s="298"/>
      <c r="D351" s="298"/>
    </row>
    <row r="352" spans="1:4">
      <c r="A352" s="290" t="s">
        <v>63</v>
      </c>
      <c r="B352" s="298">
        <v>72</v>
      </c>
      <c r="C352" s="298">
        <v>72</v>
      </c>
      <c r="D352" s="298">
        <v>0</v>
      </c>
    </row>
    <row r="353" spans="1:4">
      <c r="A353" s="290" t="s">
        <v>64</v>
      </c>
      <c r="B353" s="298">
        <v>162</v>
      </c>
      <c r="C353" s="298">
        <v>160</v>
      </c>
      <c r="D353" s="298">
        <v>2</v>
      </c>
    </row>
    <row r="354" spans="1:4">
      <c r="A354" s="290" t="s">
        <v>65</v>
      </c>
      <c r="B354" s="298">
        <v>159</v>
      </c>
      <c r="C354" s="298">
        <v>151</v>
      </c>
      <c r="D354" s="298">
        <v>8</v>
      </c>
    </row>
    <row r="355" spans="1:4">
      <c r="A355" s="290" t="s">
        <v>66</v>
      </c>
      <c r="B355" s="298">
        <v>154</v>
      </c>
      <c r="C355" s="298">
        <v>146</v>
      </c>
      <c r="D355" s="298">
        <v>8</v>
      </c>
    </row>
    <row r="356" spans="1:4">
      <c r="A356" s="290" t="s">
        <v>67</v>
      </c>
      <c r="B356" s="298">
        <v>115</v>
      </c>
      <c r="C356" s="298">
        <v>104</v>
      </c>
      <c r="D356" s="298">
        <v>11</v>
      </c>
    </row>
    <row r="357" spans="1:4">
      <c r="A357" s="290" t="s">
        <v>68</v>
      </c>
      <c r="B357" s="298">
        <v>99</v>
      </c>
      <c r="C357" s="298">
        <v>85</v>
      </c>
      <c r="D357" s="298">
        <v>14</v>
      </c>
    </row>
    <row r="358" spans="1:4">
      <c r="A358" s="290" t="s">
        <v>69</v>
      </c>
      <c r="B358" s="298">
        <v>50</v>
      </c>
      <c r="C358" s="298">
        <v>43</v>
      </c>
      <c r="D358" s="298">
        <v>7</v>
      </c>
    </row>
    <row r="359" spans="1:4">
      <c r="A359" s="290" t="s">
        <v>293</v>
      </c>
      <c r="B359" s="298">
        <v>77</v>
      </c>
      <c r="C359" s="298">
        <v>62</v>
      </c>
      <c r="D359" s="298">
        <v>15</v>
      </c>
    </row>
    <row r="360" spans="1:4">
      <c r="A360" s="290" t="s">
        <v>33</v>
      </c>
      <c r="B360" s="298">
        <v>9</v>
      </c>
      <c r="C360" s="298">
        <v>1</v>
      </c>
      <c r="D360" s="298">
        <v>8</v>
      </c>
    </row>
    <row r="361" spans="1:4" ht="5.0999999999999996" customHeight="1">
      <c r="B361" s="298"/>
      <c r="C361" s="298"/>
      <c r="D361" s="298"/>
    </row>
    <row r="362" spans="1:4">
      <c r="A362" s="292" t="s">
        <v>104</v>
      </c>
      <c r="B362" s="296">
        <v>468</v>
      </c>
      <c r="C362" s="296">
        <v>415</v>
      </c>
      <c r="D362" s="296">
        <v>53</v>
      </c>
    </row>
    <row r="363" spans="1:4" ht="5.0999999999999996" customHeight="1">
      <c r="B363" s="298"/>
      <c r="C363" s="298"/>
      <c r="D363" s="298"/>
    </row>
    <row r="364" spans="1:4">
      <c r="A364" s="290" t="s">
        <v>63</v>
      </c>
      <c r="B364" s="298">
        <v>47</v>
      </c>
      <c r="C364" s="298">
        <v>44</v>
      </c>
      <c r="D364" s="298">
        <v>3</v>
      </c>
    </row>
    <row r="365" spans="1:4">
      <c r="A365" s="290" t="s">
        <v>64</v>
      </c>
      <c r="B365" s="298">
        <v>102</v>
      </c>
      <c r="C365" s="298">
        <v>97</v>
      </c>
      <c r="D365" s="298">
        <v>5</v>
      </c>
    </row>
    <row r="366" spans="1:4">
      <c r="A366" s="290" t="s">
        <v>65</v>
      </c>
      <c r="B366" s="298">
        <v>102</v>
      </c>
      <c r="C366" s="298">
        <v>95</v>
      </c>
      <c r="D366" s="298">
        <v>7</v>
      </c>
    </row>
    <row r="367" spans="1:4">
      <c r="A367" s="290" t="s">
        <v>66</v>
      </c>
      <c r="B367" s="298">
        <v>57</v>
      </c>
      <c r="C367" s="298">
        <v>54</v>
      </c>
      <c r="D367" s="298">
        <v>3</v>
      </c>
    </row>
    <row r="368" spans="1:4">
      <c r="A368" s="290" t="s">
        <v>67</v>
      </c>
      <c r="B368" s="298">
        <v>49</v>
      </c>
      <c r="C368" s="298">
        <v>45</v>
      </c>
      <c r="D368" s="298">
        <v>4</v>
      </c>
    </row>
    <row r="369" spans="1:4">
      <c r="A369" s="290" t="s">
        <v>68</v>
      </c>
      <c r="B369" s="298">
        <v>41</v>
      </c>
      <c r="C369" s="298">
        <v>34</v>
      </c>
      <c r="D369" s="298">
        <v>7</v>
      </c>
    </row>
    <row r="370" spans="1:4">
      <c r="A370" s="290" t="s">
        <v>69</v>
      </c>
      <c r="B370" s="298">
        <v>26</v>
      </c>
      <c r="C370" s="298">
        <v>22</v>
      </c>
      <c r="D370" s="298">
        <v>4</v>
      </c>
    </row>
    <row r="371" spans="1:4">
      <c r="A371" s="290" t="s">
        <v>293</v>
      </c>
      <c r="B371" s="298">
        <v>34</v>
      </c>
      <c r="C371" s="298">
        <v>24</v>
      </c>
      <c r="D371" s="298">
        <v>10</v>
      </c>
    </row>
    <row r="372" spans="1:4">
      <c r="A372" s="290" t="s">
        <v>33</v>
      </c>
      <c r="B372" s="298">
        <v>10</v>
      </c>
      <c r="C372" s="298">
        <v>0</v>
      </c>
      <c r="D372" s="298">
        <v>10</v>
      </c>
    </row>
    <row r="373" spans="1:4" ht="5.0999999999999996" customHeight="1">
      <c r="B373" s="298"/>
      <c r="C373" s="298"/>
      <c r="D373" s="298"/>
    </row>
    <row r="374" spans="1:4">
      <c r="A374" s="292" t="s">
        <v>105</v>
      </c>
      <c r="B374" s="296">
        <v>216</v>
      </c>
      <c r="C374" s="296">
        <v>199</v>
      </c>
      <c r="D374" s="296">
        <v>17</v>
      </c>
    </row>
    <row r="375" spans="1:4" ht="5.0999999999999996" customHeight="1">
      <c r="B375" s="298"/>
      <c r="C375" s="298"/>
      <c r="D375" s="298"/>
    </row>
    <row r="376" spans="1:4">
      <c r="A376" s="290" t="s">
        <v>62</v>
      </c>
      <c r="B376" s="298">
        <v>1</v>
      </c>
      <c r="C376" s="298">
        <v>1</v>
      </c>
      <c r="D376" s="298">
        <v>0</v>
      </c>
    </row>
    <row r="377" spans="1:4">
      <c r="A377" s="290" t="s">
        <v>63</v>
      </c>
      <c r="B377" s="298">
        <v>17</v>
      </c>
      <c r="C377" s="298">
        <v>17</v>
      </c>
      <c r="D377" s="298">
        <v>0</v>
      </c>
    </row>
    <row r="378" spans="1:4">
      <c r="A378" s="290" t="s">
        <v>64</v>
      </c>
      <c r="B378" s="298">
        <v>47</v>
      </c>
      <c r="C378" s="298">
        <v>45</v>
      </c>
      <c r="D378" s="298">
        <v>2</v>
      </c>
    </row>
    <row r="379" spans="1:4">
      <c r="A379" s="290" t="s">
        <v>65</v>
      </c>
      <c r="B379" s="298">
        <v>44</v>
      </c>
      <c r="C379" s="298">
        <v>42</v>
      </c>
      <c r="D379" s="298">
        <v>2</v>
      </c>
    </row>
    <row r="380" spans="1:4">
      <c r="A380" s="290" t="s">
        <v>66</v>
      </c>
      <c r="B380" s="298">
        <v>30</v>
      </c>
      <c r="C380" s="298">
        <v>30</v>
      </c>
      <c r="D380" s="298">
        <v>0</v>
      </c>
    </row>
    <row r="381" spans="1:4">
      <c r="A381" s="290" t="s">
        <v>67</v>
      </c>
      <c r="B381" s="298">
        <v>20</v>
      </c>
      <c r="C381" s="298">
        <v>20</v>
      </c>
      <c r="D381" s="298">
        <v>0</v>
      </c>
    </row>
    <row r="382" spans="1:4">
      <c r="A382" s="290" t="s">
        <v>68</v>
      </c>
      <c r="B382" s="298">
        <v>22</v>
      </c>
      <c r="C382" s="298">
        <v>22</v>
      </c>
      <c r="D382" s="298">
        <v>0</v>
      </c>
    </row>
    <row r="383" spans="1:4">
      <c r="A383" s="290" t="s">
        <v>69</v>
      </c>
      <c r="B383" s="298">
        <v>8</v>
      </c>
      <c r="C383" s="298">
        <v>8</v>
      </c>
      <c r="D383" s="298">
        <v>0</v>
      </c>
    </row>
    <row r="384" spans="1:4">
      <c r="A384" s="290" t="s">
        <v>293</v>
      </c>
      <c r="B384" s="298">
        <v>16</v>
      </c>
      <c r="C384" s="298">
        <v>14</v>
      </c>
      <c r="D384" s="298">
        <v>2</v>
      </c>
    </row>
    <row r="385" spans="1:4">
      <c r="A385" s="290" t="s">
        <v>33</v>
      </c>
      <c r="B385" s="298">
        <v>11</v>
      </c>
      <c r="C385" s="298">
        <v>0</v>
      </c>
      <c r="D385" s="298">
        <v>11</v>
      </c>
    </row>
    <row r="386" spans="1:4" ht="5.0999999999999996" customHeight="1">
      <c r="B386" s="298"/>
      <c r="C386" s="298"/>
      <c r="D386" s="298"/>
    </row>
    <row r="387" spans="1:4">
      <c r="A387" s="292" t="s">
        <v>106</v>
      </c>
      <c r="B387" s="296">
        <v>133</v>
      </c>
      <c r="C387" s="296">
        <v>131</v>
      </c>
      <c r="D387" s="296">
        <v>2</v>
      </c>
    </row>
    <row r="388" spans="1:4" ht="5.0999999999999996" customHeight="1">
      <c r="B388" s="298"/>
      <c r="C388" s="298"/>
      <c r="D388" s="298"/>
    </row>
    <row r="389" spans="1:4">
      <c r="A389" s="290" t="s">
        <v>63</v>
      </c>
      <c r="B389" s="298">
        <v>6</v>
      </c>
      <c r="C389" s="298">
        <v>6</v>
      </c>
      <c r="D389" s="298">
        <v>0</v>
      </c>
    </row>
    <row r="390" spans="1:4">
      <c r="A390" s="290" t="s">
        <v>64</v>
      </c>
      <c r="B390" s="298">
        <v>32</v>
      </c>
      <c r="C390" s="298">
        <v>32</v>
      </c>
      <c r="D390" s="298">
        <v>0</v>
      </c>
    </row>
    <row r="391" spans="1:4">
      <c r="A391" s="290" t="s">
        <v>65</v>
      </c>
      <c r="B391" s="298">
        <v>18</v>
      </c>
      <c r="C391" s="298">
        <v>18</v>
      </c>
      <c r="D391" s="298">
        <v>0</v>
      </c>
    </row>
    <row r="392" spans="1:4">
      <c r="A392" s="290" t="s">
        <v>66</v>
      </c>
      <c r="B392" s="298">
        <v>18</v>
      </c>
      <c r="C392" s="298">
        <v>18</v>
      </c>
      <c r="D392" s="298">
        <v>0</v>
      </c>
    </row>
    <row r="393" spans="1:4">
      <c r="A393" s="290" t="s">
        <v>67</v>
      </c>
      <c r="B393" s="298">
        <v>22</v>
      </c>
      <c r="C393" s="298">
        <v>22</v>
      </c>
      <c r="D393" s="298">
        <v>0</v>
      </c>
    </row>
    <row r="394" spans="1:4">
      <c r="A394" s="290" t="s">
        <v>68</v>
      </c>
      <c r="B394" s="298">
        <v>10</v>
      </c>
      <c r="C394" s="298">
        <v>10</v>
      </c>
      <c r="D394" s="298">
        <v>0</v>
      </c>
    </row>
    <row r="395" spans="1:4">
      <c r="A395" s="290" t="s">
        <v>69</v>
      </c>
      <c r="B395" s="298">
        <v>8</v>
      </c>
      <c r="C395" s="298">
        <v>8</v>
      </c>
      <c r="D395" s="298">
        <v>0</v>
      </c>
    </row>
    <row r="396" spans="1:4">
      <c r="A396" s="290" t="s">
        <v>293</v>
      </c>
      <c r="B396" s="298">
        <v>19</v>
      </c>
      <c r="C396" s="298">
        <v>17</v>
      </c>
      <c r="D396" s="298">
        <v>2</v>
      </c>
    </row>
    <row r="397" spans="1:4" ht="5.0999999999999996" customHeight="1">
      <c r="B397" s="298"/>
      <c r="C397" s="298"/>
      <c r="D397" s="298"/>
    </row>
    <row r="398" spans="1:4">
      <c r="A398" s="292" t="s">
        <v>107</v>
      </c>
      <c r="B398" s="296">
        <v>9825</v>
      </c>
      <c r="C398" s="296">
        <v>9279</v>
      </c>
      <c r="D398" s="296">
        <v>546</v>
      </c>
    </row>
    <row r="399" spans="1:4" ht="5.0999999999999996" customHeight="1">
      <c r="B399" s="298"/>
      <c r="C399" s="298"/>
      <c r="D399" s="298"/>
    </row>
    <row r="400" spans="1:4">
      <c r="A400" s="290" t="s">
        <v>62</v>
      </c>
      <c r="B400" s="298">
        <v>1</v>
      </c>
      <c r="C400" s="298">
        <v>1</v>
      </c>
      <c r="D400" s="298">
        <v>0</v>
      </c>
    </row>
    <row r="401" spans="1:4">
      <c r="A401" s="290" t="s">
        <v>63</v>
      </c>
      <c r="B401" s="298">
        <v>534</v>
      </c>
      <c r="C401" s="298">
        <v>529</v>
      </c>
      <c r="D401" s="298">
        <v>5</v>
      </c>
    </row>
    <row r="402" spans="1:4">
      <c r="A402" s="290" t="s">
        <v>64</v>
      </c>
      <c r="B402" s="298">
        <v>2230</v>
      </c>
      <c r="C402" s="298">
        <v>2179</v>
      </c>
      <c r="D402" s="298">
        <v>51</v>
      </c>
    </row>
    <row r="403" spans="1:4">
      <c r="A403" s="290" t="s">
        <v>65</v>
      </c>
      <c r="B403" s="298">
        <v>2152</v>
      </c>
      <c r="C403" s="298">
        <v>2059</v>
      </c>
      <c r="D403" s="298">
        <v>93</v>
      </c>
    </row>
    <row r="404" spans="1:4">
      <c r="A404" s="290" t="s">
        <v>66</v>
      </c>
      <c r="B404" s="298">
        <v>1663</v>
      </c>
      <c r="C404" s="298">
        <v>1595</v>
      </c>
      <c r="D404" s="298">
        <v>68</v>
      </c>
    </row>
    <row r="405" spans="1:4">
      <c r="A405" s="290" t="s">
        <v>67</v>
      </c>
      <c r="B405" s="298">
        <v>1113</v>
      </c>
      <c r="C405" s="298">
        <v>1064</v>
      </c>
      <c r="D405" s="298">
        <v>49</v>
      </c>
    </row>
    <row r="406" spans="1:4">
      <c r="A406" s="290" t="s">
        <v>68</v>
      </c>
      <c r="B406" s="298">
        <v>810</v>
      </c>
      <c r="C406" s="298">
        <v>746</v>
      </c>
      <c r="D406" s="298">
        <v>64</v>
      </c>
    </row>
    <row r="407" spans="1:4">
      <c r="A407" s="324" t="s">
        <v>69</v>
      </c>
      <c r="B407" s="325">
        <v>589</v>
      </c>
      <c r="C407" s="325">
        <v>531</v>
      </c>
      <c r="D407" s="325">
        <v>58</v>
      </c>
    </row>
    <row r="408" spans="1:4">
      <c r="A408" s="324" t="s">
        <v>293</v>
      </c>
      <c r="B408" s="325">
        <v>690</v>
      </c>
      <c r="C408" s="325">
        <v>568</v>
      </c>
      <c r="D408" s="325">
        <v>122</v>
      </c>
    </row>
    <row r="409" spans="1:4">
      <c r="A409" s="324" t="s">
        <v>33</v>
      </c>
      <c r="B409" s="325">
        <v>43</v>
      </c>
      <c r="C409" s="325">
        <v>7</v>
      </c>
      <c r="D409" s="325">
        <v>36</v>
      </c>
    </row>
    <row r="410" spans="1:4" ht="5.0999999999999996" customHeight="1">
      <c r="A410" s="299"/>
      <c r="B410" s="326"/>
      <c r="C410" s="326"/>
      <c r="D410" s="326"/>
    </row>
    <row r="411" spans="1:4" ht="5.0999999999999996" customHeight="1">
      <c r="B411" s="297"/>
      <c r="C411" s="297"/>
      <c r="D411" s="297"/>
    </row>
    <row r="412" spans="1:4">
      <c r="A412" s="327" t="s">
        <v>586</v>
      </c>
      <c r="B412" s="327"/>
      <c r="C412" s="297"/>
      <c r="D412" s="297"/>
    </row>
    <row r="413" spans="1:4">
      <c r="A413" s="464" t="s">
        <v>231</v>
      </c>
      <c r="B413" s="464"/>
      <c r="C413" s="297"/>
      <c r="D413" s="297"/>
    </row>
    <row r="414" spans="1:4">
      <c r="B414" s="297"/>
      <c r="C414" s="297"/>
      <c r="D414" s="297"/>
    </row>
    <row r="415" spans="1:4">
      <c r="B415" s="297"/>
      <c r="C415" s="297"/>
      <c r="D415" s="297"/>
    </row>
    <row r="416" spans="1:4">
      <c r="B416" s="297"/>
      <c r="C416" s="297"/>
      <c r="D416" s="297"/>
    </row>
    <row r="417" spans="2:4">
      <c r="B417" s="297"/>
      <c r="C417" s="297"/>
      <c r="D417" s="297"/>
    </row>
    <row r="418" spans="2:4">
      <c r="B418" s="297"/>
      <c r="C418" s="297"/>
      <c r="D418" s="297"/>
    </row>
    <row r="419" spans="2:4">
      <c r="B419" s="297"/>
      <c r="C419" s="297"/>
      <c r="D419" s="297"/>
    </row>
    <row r="420" spans="2:4">
      <c r="B420" s="297"/>
      <c r="C420" s="297"/>
      <c r="D420" s="297"/>
    </row>
    <row r="421" spans="2:4">
      <c r="B421" s="297"/>
      <c r="C421" s="297"/>
      <c r="D421" s="297"/>
    </row>
    <row r="422" spans="2:4">
      <c r="B422" s="297"/>
      <c r="C422" s="297"/>
      <c r="D422" s="297"/>
    </row>
    <row r="423" spans="2:4">
      <c r="B423" s="297"/>
      <c r="C423" s="297"/>
      <c r="D423" s="297"/>
    </row>
    <row r="424" spans="2:4">
      <c r="B424" s="297"/>
      <c r="C424" s="297"/>
      <c r="D424" s="297"/>
    </row>
    <row r="425" spans="2:4">
      <c r="B425" s="297"/>
      <c r="C425" s="297"/>
      <c r="D425" s="297"/>
    </row>
    <row r="426" spans="2:4">
      <c r="B426" s="297"/>
      <c r="C426" s="297"/>
      <c r="D426" s="297"/>
    </row>
    <row r="427" spans="2:4">
      <c r="B427" s="297"/>
      <c r="C427" s="297"/>
      <c r="D427" s="297"/>
    </row>
    <row r="428" spans="2:4">
      <c r="B428" s="297"/>
      <c r="C428" s="297"/>
      <c r="D428" s="297"/>
    </row>
    <row r="429" spans="2:4">
      <c r="B429" s="297"/>
      <c r="C429" s="297"/>
      <c r="D429" s="297"/>
    </row>
    <row r="430" spans="2:4">
      <c r="B430" s="297"/>
      <c r="C430" s="297"/>
      <c r="D430" s="297"/>
    </row>
    <row r="431" spans="2:4">
      <c r="B431" s="297"/>
      <c r="C431" s="297"/>
      <c r="D431" s="297"/>
    </row>
    <row r="432" spans="2:4">
      <c r="B432" s="297"/>
      <c r="C432" s="297"/>
      <c r="D432" s="297"/>
    </row>
    <row r="433" spans="2:4">
      <c r="B433" s="297"/>
      <c r="C433" s="297"/>
      <c r="D433" s="297"/>
    </row>
    <row r="434" spans="2:4">
      <c r="B434" s="297"/>
      <c r="C434" s="297"/>
      <c r="D434" s="297"/>
    </row>
    <row r="435" spans="2:4">
      <c r="B435" s="297"/>
      <c r="C435" s="297"/>
      <c r="D435" s="297"/>
    </row>
    <row r="436" spans="2:4">
      <c r="B436" s="297"/>
      <c r="C436" s="297"/>
      <c r="D436" s="297"/>
    </row>
    <row r="437" spans="2:4">
      <c r="B437" s="297"/>
      <c r="C437" s="297"/>
      <c r="D437" s="297"/>
    </row>
    <row r="438" spans="2:4">
      <c r="B438" s="297"/>
      <c r="C438" s="297"/>
      <c r="D438" s="297"/>
    </row>
    <row r="439" spans="2:4">
      <c r="B439" s="297"/>
      <c r="C439" s="297"/>
      <c r="D439" s="297"/>
    </row>
    <row r="440" spans="2:4">
      <c r="B440" s="297"/>
      <c r="C440" s="297"/>
      <c r="D440" s="297"/>
    </row>
    <row r="441" spans="2:4">
      <c r="B441" s="297"/>
      <c r="C441" s="297"/>
      <c r="D441" s="297"/>
    </row>
    <row r="442" spans="2:4">
      <c r="B442" s="297"/>
      <c r="C442" s="297"/>
      <c r="D442" s="297"/>
    </row>
    <row r="443" spans="2:4">
      <c r="B443" s="297"/>
      <c r="C443" s="297"/>
      <c r="D443" s="297"/>
    </row>
    <row r="444" spans="2:4">
      <c r="B444" s="297"/>
      <c r="C444" s="297"/>
      <c r="D444" s="297"/>
    </row>
    <row r="445" spans="2:4">
      <c r="B445" s="297"/>
      <c r="C445" s="297"/>
      <c r="D445" s="297"/>
    </row>
    <row r="446" spans="2:4">
      <c r="B446" s="297"/>
      <c r="C446" s="297"/>
      <c r="D446" s="297"/>
    </row>
    <row r="447" spans="2:4">
      <c r="B447" s="297"/>
      <c r="C447" s="297"/>
      <c r="D447" s="297"/>
    </row>
    <row r="448" spans="2:4">
      <c r="B448" s="297"/>
      <c r="C448" s="297"/>
      <c r="D448" s="297"/>
    </row>
    <row r="449" spans="2:4">
      <c r="B449" s="297"/>
      <c r="C449" s="297"/>
      <c r="D449" s="297"/>
    </row>
    <row r="450" spans="2:4">
      <c r="B450" s="297"/>
      <c r="C450" s="297"/>
      <c r="D450" s="297"/>
    </row>
    <row r="451" spans="2:4">
      <c r="B451" s="297"/>
      <c r="C451" s="297"/>
      <c r="D451" s="297"/>
    </row>
    <row r="452" spans="2:4">
      <c r="B452" s="297"/>
      <c r="C452" s="297"/>
      <c r="D452" s="297"/>
    </row>
    <row r="453" spans="2:4">
      <c r="B453" s="297"/>
      <c r="C453" s="297"/>
      <c r="D453" s="297"/>
    </row>
    <row r="454" spans="2:4">
      <c r="B454" s="297"/>
      <c r="C454" s="297"/>
      <c r="D454" s="297"/>
    </row>
    <row r="455" spans="2:4">
      <c r="B455" s="297"/>
      <c r="C455" s="297"/>
      <c r="D455" s="297"/>
    </row>
    <row r="456" spans="2:4">
      <c r="B456" s="297"/>
      <c r="C456" s="297"/>
      <c r="D456" s="297"/>
    </row>
    <row r="457" spans="2:4">
      <c r="B457" s="297"/>
      <c r="C457" s="297"/>
      <c r="D457" s="297"/>
    </row>
    <row r="458" spans="2:4">
      <c r="B458" s="297"/>
      <c r="C458" s="297"/>
      <c r="D458" s="297"/>
    </row>
    <row r="459" spans="2:4">
      <c r="B459" s="297"/>
      <c r="C459" s="297"/>
      <c r="D459" s="297"/>
    </row>
    <row r="460" spans="2:4">
      <c r="B460" s="297"/>
      <c r="C460" s="297"/>
      <c r="D460" s="297"/>
    </row>
    <row r="461" spans="2:4">
      <c r="B461" s="297"/>
      <c r="C461" s="297"/>
      <c r="D461" s="297"/>
    </row>
    <row r="462" spans="2:4">
      <c r="B462" s="297"/>
      <c r="C462" s="297"/>
      <c r="D462" s="297"/>
    </row>
    <row r="463" spans="2:4">
      <c r="B463" s="297"/>
      <c r="C463" s="297"/>
      <c r="D463" s="297"/>
    </row>
    <row r="464" spans="2:4">
      <c r="B464" s="297"/>
      <c r="C464" s="297"/>
      <c r="D464" s="297"/>
    </row>
    <row r="465" spans="2:4">
      <c r="B465" s="297"/>
      <c r="C465" s="297"/>
      <c r="D465" s="297"/>
    </row>
    <row r="466" spans="2:4">
      <c r="B466" s="297"/>
      <c r="C466" s="297"/>
      <c r="D466" s="297"/>
    </row>
    <row r="467" spans="2:4">
      <c r="B467" s="297"/>
      <c r="C467" s="297"/>
      <c r="D467" s="297"/>
    </row>
    <row r="468" spans="2:4">
      <c r="B468" s="297"/>
      <c r="C468" s="297"/>
      <c r="D468" s="297"/>
    </row>
    <row r="469" spans="2:4">
      <c r="B469" s="297"/>
      <c r="C469" s="297"/>
      <c r="D469" s="297"/>
    </row>
    <row r="470" spans="2:4">
      <c r="B470" s="297"/>
      <c r="C470" s="297"/>
      <c r="D470" s="297"/>
    </row>
    <row r="471" spans="2:4">
      <c r="B471" s="297"/>
      <c r="C471" s="297"/>
      <c r="D471" s="297"/>
    </row>
    <row r="472" spans="2:4">
      <c r="B472" s="297"/>
      <c r="C472" s="297"/>
      <c r="D472" s="297"/>
    </row>
    <row r="473" spans="2:4">
      <c r="B473" s="297"/>
      <c r="C473" s="297"/>
      <c r="D473" s="297"/>
    </row>
    <row r="474" spans="2:4">
      <c r="B474" s="297"/>
      <c r="C474" s="297"/>
      <c r="D474" s="297"/>
    </row>
    <row r="475" spans="2:4">
      <c r="B475" s="297"/>
      <c r="C475" s="297"/>
      <c r="D475" s="297"/>
    </row>
    <row r="476" spans="2:4">
      <c r="B476" s="297"/>
      <c r="C476" s="297"/>
      <c r="D476" s="297"/>
    </row>
    <row r="477" spans="2:4">
      <c r="B477" s="297"/>
      <c r="C477" s="297"/>
      <c r="D477" s="297"/>
    </row>
    <row r="478" spans="2:4">
      <c r="B478" s="297"/>
      <c r="C478" s="297"/>
      <c r="D478" s="297"/>
    </row>
    <row r="479" spans="2:4">
      <c r="B479" s="297"/>
      <c r="C479" s="297"/>
      <c r="D479" s="297"/>
    </row>
    <row r="480" spans="2:4">
      <c r="B480" s="297"/>
      <c r="C480" s="297"/>
      <c r="D480" s="297"/>
    </row>
    <row r="481" spans="2:4">
      <c r="B481" s="297"/>
      <c r="C481" s="297"/>
      <c r="D481" s="297"/>
    </row>
    <row r="482" spans="2:4">
      <c r="B482" s="297"/>
      <c r="C482" s="297"/>
      <c r="D482" s="297"/>
    </row>
    <row r="483" spans="2:4">
      <c r="B483" s="297"/>
      <c r="C483" s="297"/>
      <c r="D483" s="297"/>
    </row>
    <row r="484" spans="2:4">
      <c r="B484" s="297"/>
      <c r="C484" s="297"/>
      <c r="D484" s="297"/>
    </row>
    <row r="485" spans="2:4">
      <c r="B485" s="297"/>
      <c r="C485" s="297"/>
      <c r="D485" s="297"/>
    </row>
    <row r="486" spans="2:4">
      <c r="B486" s="297"/>
      <c r="C486" s="297"/>
      <c r="D486" s="297"/>
    </row>
    <row r="487" spans="2:4">
      <c r="B487" s="297"/>
      <c r="C487" s="297"/>
      <c r="D487" s="297"/>
    </row>
    <row r="488" spans="2:4">
      <c r="B488" s="297"/>
      <c r="C488" s="297"/>
      <c r="D488" s="297"/>
    </row>
    <row r="489" spans="2:4">
      <c r="B489" s="297"/>
      <c r="C489" s="297"/>
      <c r="D489" s="297"/>
    </row>
    <row r="490" spans="2:4">
      <c r="B490" s="297"/>
      <c r="C490" s="297"/>
      <c r="D490" s="297"/>
    </row>
    <row r="491" spans="2:4">
      <c r="B491" s="297"/>
      <c r="C491" s="297"/>
      <c r="D491" s="297"/>
    </row>
  </sheetData>
  <mergeCells count="7">
    <mergeCell ref="A413:B413"/>
    <mergeCell ref="A2:D2"/>
    <mergeCell ref="A3:D3"/>
    <mergeCell ref="A4:D4"/>
    <mergeCell ref="C6:D6"/>
    <mergeCell ref="A6:A7"/>
    <mergeCell ref="B6:B7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54"/>
  <dimension ref="A1:B21"/>
  <sheetViews>
    <sheetView workbookViewId="0">
      <selection sqref="A1:IV65536"/>
    </sheetView>
  </sheetViews>
  <sheetFormatPr baseColWidth="10" defaultColWidth="11.42578125" defaultRowHeight="12.75"/>
  <cols>
    <col min="1" max="1" width="100.28515625" style="5" customWidth="1"/>
    <col min="2" max="16384" width="11.42578125" style="5"/>
  </cols>
  <sheetData>
    <row r="1" spans="1:2" s="13" customFormat="1" ht="21" customHeight="1">
      <c r="A1" s="25" t="s">
        <v>4</v>
      </c>
    </row>
    <row r="2" spans="1:2" s="171" customFormat="1" ht="31.5" customHeight="1">
      <c r="A2" s="15" t="s">
        <v>529</v>
      </c>
      <c r="B2" s="170"/>
    </row>
    <row r="3" spans="1:2" s="171" customFormat="1" ht="31.5" customHeight="1">
      <c r="A3" s="15" t="s">
        <v>539</v>
      </c>
      <c r="B3" s="170"/>
    </row>
    <row r="4" spans="1:2" s="171" customFormat="1" ht="31.5" customHeight="1">
      <c r="A4" s="15" t="s">
        <v>540</v>
      </c>
      <c r="B4" s="170"/>
    </row>
    <row r="5" spans="1:2" s="171" customFormat="1" ht="31.5" customHeight="1">
      <c r="A5" s="15" t="s">
        <v>541</v>
      </c>
      <c r="B5" s="170"/>
    </row>
    <row r="6" spans="1:2" s="171" customFormat="1" ht="31.5" customHeight="1">
      <c r="A6" s="15" t="s">
        <v>542</v>
      </c>
      <c r="B6" s="170"/>
    </row>
    <row r="7" spans="1:2" s="171" customFormat="1" ht="31.5" customHeight="1">
      <c r="A7" s="15" t="s">
        <v>543</v>
      </c>
      <c r="B7" s="170"/>
    </row>
    <row r="8" spans="1:2" s="171" customFormat="1" ht="31.5" customHeight="1">
      <c r="A8" s="15" t="s">
        <v>544</v>
      </c>
      <c r="B8" s="170"/>
    </row>
    <row r="9" spans="1:2" s="171" customFormat="1" ht="31.5" customHeight="1">
      <c r="A9" s="15" t="s">
        <v>545</v>
      </c>
      <c r="B9" s="170"/>
    </row>
    <row r="10" spans="1:2" s="14" customFormat="1" ht="21" customHeight="1">
      <c r="A10" s="10" t="s">
        <v>0</v>
      </c>
    </row>
    <row r="11" spans="1:2" ht="39.75" customHeight="1"/>
    <row r="12" spans="1:2" ht="65.099999999999994" customHeight="1"/>
    <row r="13" spans="1:2" ht="65.099999999999994" customHeight="1"/>
    <row r="14" spans="1:2" ht="65.099999999999994" customHeight="1"/>
    <row r="15" spans="1:2" ht="65.099999999999994" customHeight="1"/>
    <row r="16" spans="1:2" ht="65.099999999999994" customHeight="1"/>
    <row r="17" ht="65.099999999999994" customHeight="1"/>
    <row r="18" ht="65.099999999999994" customHeight="1"/>
    <row r="19" ht="65.099999999999994" customHeight="1"/>
    <row r="20" ht="65.099999999999994" customHeight="1"/>
    <row r="21" ht="65.099999999999994" customHeight="1"/>
  </sheetData>
  <phoneticPr fontId="2" type="noConversion"/>
  <hyperlinks>
    <hyperlink ref="A10" location="Indice!A1" display="VOLVER AL ÍNDICE"/>
    <hyperlink ref="A2" location="'4.1'!A1" display="4.1 Divorcios registrados, según mes, 2009"/>
    <hyperlink ref="A3" location="'4.3'!A1" display="4.3 Divorcios registrados, según provincia de registro, 2009"/>
    <hyperlink ref="A4" location="'4.4'!A1" display="4.4 Divorcios registrados, según provincia y municipio de registro, 2009"/>
    <hyperlink ref="A5" location="'4.5'!A1" display="4.5 Divorcios registrados, según causa de divorcio, 2009"/>
    <hyperlink ref="A6" location="'4.6'!A1" display="4.6 Divorcios registrados por causa, según provincia de registro, 2009"/>
    <hyperlink ref="A7" location="'4.7'!A1" display="4.7 Divorcios por nacionalidad del divorciado, según nacionalidad de la divorciada, 2009"/>
    <hyperlink ref="A8" location="'4.9'!A1" display="4.9 Divorcios registrados, según provincia de residencia de los divorciados, 2009"/>
    <hyperlink ref="A9" location="'4.10'!A1" display="4.10 Divorcios registrados, según provincia, municipio y mes, 2009"/>
  </hyperlinks>
  <printOptions horizontalCentered="1"/>
  <pageMargins left="0.52" right="0.78740157480314965" top="0.98425196850393704" bottom="0.98425196850393704" header="0" footer="0"/>
  <pageSetup orientation="portrait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sheetPr codeName="Hoja12"/>
  <dimension ref="B1:L29"/>
  <sheetViews>
    <sheetView showGridLines="0" workbookViewId="0">
      <selection activeCell="F23" sqref="F23"/>
    </sheetView>
  </sheetViews>
  <sheetFormatPr baseColWidth="10" defaultColWidth="11.42578125" defaultRowHeight="12.75"/>
  <cols>
    <col min="1" max="1" width="11.42578125" style="125"/>
    <col min="2" max="2" width="21" style="147" customWidth="1"/>
    <col min="3" max="3" width="22.85546875" style="122" customWidth="1"/>
    <col min="4" max="5" width="11.42578125" style="122"/>
    <col min="6" max="16384" width="11.42578125" style="125"/>
  </cols>
  <sheetData>
    <row r="1" spans="2:5" s="122" customFormat="1" ht="12.75" customHeight="1">
      <c r="B1" s="123"/>
    </row>
    <row r="2" spans="2:5" s="122" customFormat="1" ht="11.25" customHeight="1">
      <c r="B2" s="468" t="s">
        <v>310</v>
      </c>
      <c r="C2" s="468"/>
    </row>
    <row r="3" spans="2:5" s="122" customFormat="1" ht="11.25" customHeight="1">
      <c r="B3" s="469" t="s">
        <v>17</v>
      </c>
      <c r="C3" s="469"/>
    </row>
    <row r="4" spans="2:5" s="122" customFormat="1" ht="11.25" customHeight="1">
      <c r="B4" s="467" t="s">
        <v>531</v>
      </c>
      <c r="C4" s="467"/>
    </row>
    <row r="5" spans="2:5">
      <c r="B5" s="123"/>
      <c r="C5" s="126"/>
    </row>
    <row r="6" spans="2:5" ht="15" customHeight="1">
      <c r="B6" s="127" t="s">
        <v>311</v>
      </c>
      <c r="C6" s="128" t="s">
        <v>312</v>
      </c>
      <c r="D6" s="129"/>
    </row>
    <row r="7" spans="2:5" ht="4.3499999999999996" customHeight="1">
      <c r="B7" s="130"/>
      <c r="C7" s="129"/>
    </row>
    <row r="8" spans="2:5" s="131" customFormat="1" ht="12.75" customHeight="1">
      <c r="B8" s="292" t="s">
        <v>585</v>
      </c>
      <c r="C8" s="132">
        <f>SUM(C10:C21)</f>
        <v>17674</v>
      </c>
      <c r="D8" s="133"/>
      <c r="E8" s="133" t="s">
        <v>501</v>
      </c>
    </row>
    <row r="9" spans="2:5" s="134" customFormat="1" ht="4.3499999999999996" customHeight="1">
      <c r="B9" s="135"/>
      <c r="C9" s="136"/>
      <c r="D9" s="137"/>
      <c r="E9" s="137" t="s">
        <v>530</v>
      </c>
    </row>
    <row r="10" spans="2:5" s="134" customFormat="1">
      <c r="B10" s="135" t="s">
        <v>21</v>
      </c>
      <c r="C10" s="136">
        <v>1254</v>
      </c>
      <c r="D10" s="137"/>
      <c r="E10" s="137"/>
    </row>
    <row r="11" spans="2:5" s="134" customFormat="1">
      <c r="B11" s="135" t="s">
        <v>22</v>
      </c>
      <c r="C11" s="136">
        <v>1325</v>
      </c>
      <c r="D11" s="137"/>
      <c r="E11" s="137"/>
    </row>
    <row r="12" spans="2:5" s="134" customFormat="1">
      <c r="B12" s="135" t="s">
        <v>23</v>
      </c>
      <c r="C12" s="136">
        <v>1452</v>
      </c>
      <c r="D12" s="137"/>
      <c r="E12" s="137"/>
    </row>
    <row r="13" spans="2:5" s="134" customFormat="1">
      <c r="B13" s="135" t="s">
        <v>24</v>
      </c>
      <c r="C13" s="136">
        <v>1407</v>
      </c>
      <c r="D13" s="137"/>
      <c r="E13" s="137"/>
    </row>
    <row r="14" spans="2:5" s="134" customFormat="1">
      <c r="B14" s="135" t="s">
        <v>25</v>
      </c>
      <c r="C14" s="136">
        <v>1406</v>
      </c>
      <c r="D14" s="137"/>
      <c r="E14" s="137"/>
    </row>
    <row r="15" spans="2:5" s="134" customFormat="1">
      <c r="B15" s="135" t="s">
        <v>26</v>
      </c>
      <c r="C15" s="136">
        <v>1500</v>
      </c>
      <c r="D15" s="137"/>
      <c r="E15" s="137"/>
    </row>
    <row r="16" spans="2:5" s="134" customFormat="1">
      <c r="B16" s="135" t="s">
        <v>27</v>
      </c>
      <c r="C16" s="136">
        <v>1623</v>
      </c>
      <c r="D16" s="137"/>
      <c r="E16" s="137"/>
    </row>
    <row r="17" spans="2:12" s="134" customFormat="1">
      <c r="B17" s="135" t="s">
        <v>28</v>
      </c>
      <c r="C17" s="136">
        <v>1661</v>
      </c>
      <c r="D17" s="137"/>
      <c r="E17" s="137"/>
    </row>
    <row r="18" spans="2:12" s="134" customFormat="1">
      <c r="B18" s="135" t="s">
        <v>29</v>
      </c>
      <c r="C18" s="136">
        <v>1528</v>
      </c>
      <c r="D18" s="137"/>
      <c r="E18" s="137"/>
    </row>
    <row r="19" spans="2:12" s="134" customFormat="1">
      <c r="B19" s="135" t="s">
        <v>30</v>
      </c>
      <c r="C19" s="136">
        <v>1493</v>
      </c>
      <c r="D19" s="137"/>
      <c r="E19" s="137"/>
    </row>
    <row r="20" spans="2:12" s="134" customFormat="1">
      <c r="B20" s="135" t="s">
        <v>31</v>
      </c>
      <c r="C20" s="136">
        <v>1593</v>
      </c>
      <c r="D20" s="137"/>
      <c r="E20" s="137"/>
    </row>
    <row r="21" spans="2:12" s="134" customFormat="1">
      <c r="B21" s="135" t="s">
        <v>32</v>
      </c>
      <c r="C21" s="136">
        <v>1432</v>
      </c>
      <c r="D21" s="137"/>
      <c r="E21" s="137"/>
      <c r="F21" s="137"/>
      <c r="G21" s="137"/>
      <c r="H21" s="137"/>
      <c r="I21" s="137"/>
      <c r="J21" s="137"/>
      <c r="K21" s="137"/>
      <c r="L21" s="137"/>
    </row>
    <row r="22" spans="2:12" s="138" customFormat="1" ht="4.5" customHeight="1">
      <c r="B22" s="139"/>
      <c r="C22" s="140"/>
    </row>
    <row r="23" spans="2:12" s="138" customFormat="1" ht="4.5" customHeight="1">
      <c r="B23" s="141"/>
    </row>
    <row r="24" spans="2:12" s="142" customFormat="1" ht="18" customHeight="1">
      <c r="B24" s="470" t="s">
        <v>71</v>
      </c>
      <c r="C24" s="470"/>
    </row>
    <row r="25" spans="2:12" s="122" customFormat="1" ht="11.25" customHeight="1">
      <c r="B25" s="143" t="s">
        <v>231</v>
      </c>
      <c r="C25" s="144"/>
      <c r="D25" s="144"/>
      <c r="E25" s="144"/>
      <c r="F25" s="144"/>
      <c r="G25" s="144"/>
      <c r="H25" s="144"/>
      <c r="I25" s="144"/>
      <c r="J25" s="144"/>
    </row>
    <row r="26" spans="2:12" s="122" customFormat="1" ht="13.5">
      <c r="B26" s="145"/>
      <c r="C26" s="146"/>
      <c r="D26" s="146"/>
      <c r="E26" s="146"/>
      <c r="F26" s="146"/>
      <c r="G26" s="146"/>
      <c r="H26" s="146"/>
      <c r="I26" s="146"/>
      <c r="J26" s="146"/>
    </row>
    <row r="27" spans="2:12" s="122" customFormat="1" ht="13.5">
      <c r="B27" s="145"/>
      <c r="C27" s="138"/>
      <c r="D27" s="138"/>
      <c r="E27" s="138"/>
      <c r="F27" s="138"/>
      <c r="G27" s="138"/>
      <c r="H27" s="138"/>
      <c r="I27" s="138"/>
      <c r="J27" s="138"/>
    </row>
    <row r="28" spans="2:12" s="122" customFormat="1">
      <c r="B28" s="123"/>
    </row>
    <row r="29" spans="2:12" s="122" customFormat="1">
      <c r="B29" s="123"/>
    </row>
  </sheetData>
  <mergeCells count="4">
    <mergeCell ref="B4:C4"/>
    <mergeCell ref="B2:C2"/>
    <mergeCell ref="B3:C3"/>
    <mergeCell ref="B24:C24"/>
  </mergeCells>
  <phoneticPr fontId="2" type="noConversion"/>
  <printOptions horizontalCentered="1"/>
  <pageMargins left="0.78740157480314965" right="0.78740157480314965" top="0.98425196850393704" bottom="0.98425196850393704" header="0.62" footer="0.84"/>
  <pageSetup orientation="portrait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sheetPr codeName="Hoja14"/>
  <dimension ref="A2:L45"/>
  <sheetViews>
    <sheetView showGridLines="0" workbookViewId="0">
      <selection activeCell="E26" sqref="E26"/>
    </sheetView>
  </sheetViews>
  <sheetFormatPr baseColWidth="10" defaultColWidth="11.42578125" defaultRowHeight="12.75"/>
  <cols>
    <col min="1" max="1" width="29.140625" style="123" customWidth="1"/>
    <col min="2" max="2" width="18.42578125" style="122" customWidth="1"/>
    <col min="3" max="16384" width="11.42578125" style="122"/>
  </cols>
  <sheetData>
    <row r="2" spans="1:12" ht="11.25" customHeight="1">
      <c r="A2" s="468" t="s">
        <v>313</v>
      </c>
      <c r="B2" s="468"/>
      <c r="C2" s="129"/>
      <c r="D2" s="129"/>
      <c r="E2" s="129"/>
      <c r="F2" s="129"/>
      <c r="G2" s="129"/>
      <c r="H2" s="129"/>
      <c r="I2" s="129"/>
      <c r="J2" s="129"/>
      <c r="K2" s="129"/>
    </row>
    <row r="3" spans="1:12" ht="11.25" customHeight="1">
      <c r="A3" s="469" t="s">
        <v>17</v>
      </c>
      <c r="B3" s="469"/>
      <c r="C3" s="129"/>
      <c r="D3" s="129"/>
      <c r="E3" s="129"/>
      <c r="F3" s="129"/>
      <c r="G3" s="129"/>
      <c r="H3" s="129"/>
      <c r="I3" s="129"/>
      <c r="J3" s="129"/>
      <c r="K3" s="129"/>
    </row>
    <row r="4" spans="1:12" ht="11.25" customHeight="1">
      <c r="A4" s="469" t="s">
        <v>532</v>
      </c>
      <c r="B4" s="469"/>
      <c r="C4" s="129"/>
      <c r="D4" s="129"/>
      <c r="E4" s="129"/>
      <c r="F4" s="129"/>
      <c r="G4" s="129"/>
      <c r="H4" s="129"/>
      <c r="I4" s="129"/>
      <c r="J4" s="129"/>
      <c r="K4" s="129"/>
    </row>
    <row r="5" spans="1:12" ht="11.25" customHeight="1"/>
    <row r="6" spans="1:12" ht="21.75" customHeight="1">
      <c r="A6" s="154" t="s">
        <v>74</v>
      </c>
      <c r="B6" s="155" t="s">
        <v>312</v>
      </c>
      <c r="C6" s="129"/>
      <c r="D6" s="129"/>
      <c r="E6" s="129"/>
      <c r="F6" s="129"/>
      <c r="G6" s="129"/>
      <c r="H6" s="129"/>
      <c r="I6" s="129"/>
      <c r="J6" s="129"/>
      <c r="K6" s="129"/>
      <c r="L6" s="129"/>
    </row>
    <row r="7" spans="1:12" ht="4.5" customHeight="1">
      <c r="A7" s="130"/>
      <c r="B7" s="124"/>
      <c r="C7" s="129"/>
      <c r="D7" s="129"/>
      <c r="E7" s="129"/>
      <c r="F7" s="129"/>
      <c r="G7" s="129"/>
      <c r="H7" s="129"/>
      <c r="I7" s="129"/>
      <c r="J7" s="129"/>
      <c r="K7" s="129"/>
      <c r="L7" s="129"/>
    </row>
    <row r="8" spans="1:12" ht="13.5">
      <c r="A8" s="292" t="s">
        <v>585</v>
      </c>
      <c r="B8" s="156">
        <f>SUM(B10:B41)</f>
        <v>17674</v>
      </c>
    </row>
    <row r="9" spans="1:12" ht="4.5" customHeight="1">
      <c r="B9" s="157"/>
    </row>
    <row r="10" spans="1:12" ht="12.75" customHeight="1">
      <c r="A10" s="151" t="s">
        <v>76</v>
      </c>
      <c r="B10" s="274">
        <v>4026</v>
      </c>
      <c r="D10" s="122" t="s">
        <v>501</v>
      </c>
    </row>
    <row r="11" spans="1:12" ht="12.75" customHeight="1">
      <c r="A11" s="151" t="s">
        <v>77</v>
      </c>
      <c r="B11" s="274">
        <v>242</v>
      </c>
    </row>
    <row r="12" spans="1:12" ht="12.75" customHeight="1">
      <c r="A12" s="151" t="s">
        <v>78</v>
      </c>
      <c r="B12" s="274">
        <v>62</v>
      </c>
    </row>
    <row r="13" spans="1:12" ht="12.75" customHeight="1">
      <c r="A13" s="151" t="s">
        <v>79</v>
      </c>
      <c r="B13" s="274">
        <v>251</v>
      </c>
    </row>
    <row r="14" spans="1:12" ht="12.75" customHeight="1">
      <c r="A14" s="151" t="s">
        <v>80</v>
      </c>
      <c r="B14" s="274">
        <v>66</v>
      </c>
    </row>
    <row r="15" spans="1:12" ht="12.75" customHeight="1">
      <c r="A15" s="151" t="s">
        <v>81</v>
      </c>
      <c r="B15" s="274">
        <v>784</v>
      </c>
    </row>
    <row r="16" spans="1:12" ht="12.75" customHeight="1">
      <c r="A16" s="151" t="s">
        <v>82</v>
      </c>
      <c r="B16" s="274">
        <v>20</v>
      </c>
    </row>
    <row r="17" spans="1:2" ht="12.75" customHeight="1">
      <c r="A17" s="151" t="s">
        <v>83</v>
      </c>
      <c r="B17" s="274">
        <v>94</v>
      </c>
    </row>
    <row r="18" spans="1:2" ht="12.75" customHeight="1">
      <c r="A18" s="151" t="s">
        <v>84</v>
      </c>
      <c r="B18" s="274">
        <v>444</v>
      </c>
    </row>
    <row r="19" spans="1:2" ht="12.75" customHeight="1">
      <c r="A19" s="151" t="s">
        <v>85</v>
      </c>
      <c r="B19" s="274">
        <v>34</v>
      </c>
    </row>
    <row r="20" spans="1:2" ht="12.75" customHeight="1">
      <c r="A20" s="151" t="s">
        <v>86</v>
      </c>
      <c r="B20" s="274">
        <v>200</v>
      </c>
    </row>
    <row r="21" spans="1:2" ht="12.75" customHeight="1">
      <c r="A21" s="151" t="s">
        <v>87</v>
      </c>
      <c r="B21" s="274">
        <v>325</v>
      </c>
    </row>
    <row r="22" spans="1:2" ht="12.75" customHeight="1">
      <c r="A22" s="151" t="s">
        <v>88</v>
      </c>
      <c r="B22" s="274">
        <v>1244</v>
      </c>
    </row>
    <row r="23" spans="1:2" ht="12.75" customHeight="1">
      <c r="A23" s="151" t="s">
        <v>89</v>
      </c>
      <c r="B23" s="274">
        <v>244</v>
      </c>
    </row>
    <row r="24" spans="1:2" ht="12.75" customHeight="1">
      <c r="A24" s="151" t="s">
        <v>90</v>
      </c>
      <c r="B24" s="274">
        <v>139</v>
      </c>
    </row>
    <row r="25" spans="1:2" ht="12.75" customHeight="1">
      <c r="A25" s="151" t="s">
        <v>91</v>
      </c>
      <c r="B25" s="274">
        <v>9</v>
      </c>
    </row>
    <row r="26" spans="1:2" ht="12.75" customHeight="1">
      <c r="A26" s="151" t="s">
        <v>92</v>
      </c>
      <c r="B26" s="274">
        <v>193</v>
      </c>
    </row>
    <row r="27" spans="1:2" ht="12.75" customHeight="1">
      <c r="A27" s="151" t="s">
        <v>93</v>
      </c>
      <c r="B27" s="274">
        <v>446</v>
      </c>
    </row>
    <row r="28" spans="1:2" ht="12.75" customHeight="1">
      <c r="A28" s="151" t="s">
        <v>94</v>
      </c>
      <c r="B28" s="274">
        <v>312</v>
      </c>
    </row>
    <row r="29" spans="1:2" ht="12.75" customHeight="1">
      <c r="A29" s="151" t="s">
        <v>95</v>
      </c>
      <c r="B29" s="274">
        <v>89</v>
      </c>
    </row>
    <row r="30" spans="1:2" ht="12.75" customHeight="1">
      <c r="A30" s="151" t="s">
        <v>96</v>
      </c>
      <c r="B30" s="274">
        <v>284</v>
      </c>
    </row>
    <row r="31" spans="1:2" ht="12.75" customHeight="1">
      <c r="A31" s="151" t="s">
        <v>97</v>
      </c>
      <c r="B31" s="274">
        <v>112</v>
      </c>
    </row>
    <row r="32" spans="1:2" ht="12.75" customHeight="1">
      <c r="A32" s="151" t="s">
        <v>98</v>
      </c>
      <c r="B32" s="274">
        <v>369</v>
      </c>
    </row>
    <row r="33" spans="1:2" ht="12.75" customHeight="1">
      <c r="A33" s="151" t="s">
        <v>99</v>
      </c>
      <c r="B33" s="274">
        <v>208</v>
      </c>
    </row>
    <row r="34" spans="1:2" ht="12.75" customHeight="1">
      <c r="A34" s="151" t="s">
        <v>100</v>
      </c>
      <c r="B34" s="274">
        <v>3180</v>
      </c>
    </row>
    <row r="35" spans="1:2" ht="12.75" customHeight="1">
      <c r="A35" s="151" t="s">
        <v>101</v>
      </c>
      <c r="B35" s="274">
        <v>159</v>
      </c>
    </row>
    <row r="36" spans="1:2" ht="12.75" customHeight="1">
      <c r="A36" s="151" t="s">
        <v>102</v>
      </c>
      <c r="B36" s="274">
        <v>310</v>
      </c>
    </row>
    <row r="37" spans="1:2" ht="12.75" customHeight="1">
      <c r="A37" s="151" t="s">
        <v>103</v>
      </c>
      <c r="B37" s="274">
        <v>804</v>
      </c>
    </row>
    <row r="38" spans="1:2" ht="12.75" customHeight="1">
      <c r="A38" s="151" t="s">
        <v>104</v>
      </c>
      <c r="B38" s="274">
        <v>121</v>
      </c>
    </row>
    <row r="39" spans="1:2" ht="12.75" customHeight="1">
      <c r="A39" s="151" t="s">
        <v>105</v>
      </c>
      <c r="B39" s="274">
        <v>172</v>
      </c>
    </row>
    <row r="40" spans="1:2" ht="12.75" customHeight="1">
      <c r="A40" s="151" t="s">
        <v>106</v>
      </c>
      <c r="B40" s="274">
        <v>503</v>
      </c>
    </row>
    <row r="41" spans="1:2" ht="12.75" customHeight="1">
      <c r="A41" s="151" t="s">
        <v>107</v>
      </c>
      <c r="B41" s="274">
        <v>2228</v>
      </c>
    </row>
    <row r="42" spans="1:2" s="138" customFormat="1" ht="4.5" customHeight="1">
      <c r="A42" s="153"/>
      <c r="B42" s="140"/>
    </row>
    <row r="43" spans="1:2" s="138" customFormat="1" ht="4.5" customHeight="1">
      <c r="A43" s="145"/>
    </row>
    <row r="44" spans="1:2" s="138" customFormat="1" ht="17.25" customHeight="1">
      <c r="A44" s="470" t="s">
        <v>316</v>
      </c>
      <c r="B44" s="470"/>
    </row>
    <row r="45" spans="1:2" s="138" customFormat="1" ht="11.25" customHeight="1">
      <c r="A45" s="143" t="s">
        <v>231</v>
      </c>
    </row>
  </sheetData>
  <mergeCells count="4">
    <mergeCell ref="A2:B2"/>
    <mergeCell ref="A3:B3"/>
    <mergeCell ref="A44:B44"/>
    <mergeCell ref="A4:B4"/>
  </mergeCells>
  <phoneticPr fontId="2" type="noConversion"/>
  <printOptions horizontalCentered="1"/>
  <pageMargins left="0.78740157480314965" right="0.78740157480314965" top="0.98425196850393704" bottom="0.98425196850393704" header="0" footer="0"/>
  <pageSetup orientation="portrait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2:C230"/>
  <sheetViews>
    <sheetView workbookViewId="0">
      <selection activeCell="G28" sqref="G28"/>
    </sheetView>
  </sheetViews>
  <sheetFormatPr baseColWidth="10" defaultColWidth="11.42578125" defaultRowHeight="12.75"/>
  <cols>
    <col min="1" max="1" width="2" style="290" customWidth="1"/>
    <col min="2" max="2" width="27.42578125" style="290" customWidth="1"/>
    <col min="3" max="3" width="18.85546875" style="294" customWidth="1"/>
    <col min="4" max="16384" width="11.42578125" style="290"/>
  </cols>
  <sheetData>
    <row r="2" spans="1:3">
      <c r="A2" s="473" t="s">
        <v>315</v>
      </c>
      <c r="B2" s="473"/>
      <c r="C2" s="473"/>
    </row>
    <row r="3" spans="1:3">
      <c r="A3" s="472" t="s">
        <v>17</v>
      </c>
      <c r="B3" s="472"/>
      <c r="C3" s="472"/>
    </row>
    <row r="4" spans="1:3">
      <c r="A4" s="472" t="s">
        <v>537</v>
      </c>
      <c r="B4" s="472"/>
      <c r="C4" s="472"/>
    </row>
    <row r="5" spans="1:3">
      <c r="A5" s="354"/>
      <c r="B5" s="355"/>
    </row>
    <row r="6" spans="1:3" ht="25.5" customHeight="1">
      <c r="A6" s="471" t="s">
        <v>318</v>
      </c>
      <c r="B6" s="471"/>
      <c r="C6" s="341" t="s">
        <v>312</v>
      </c>
    </row>
    <row r="7" spans="1:3" ht="5.0999999999999996" customHeight="1">
      <c r="A7" s="290" t="s">
        <v>501</v>
      </c>
      <c r="B7" s="290" t="s">
        <v>501</v>
      </c>
    </row>
    <row r="8" spans="1:3">
      <c r="A8" s="292"/>
      <c r="B8" s="292" t="s">
        <v>585</v>
      </c>
      <c r="C8" s="356">
        <v>17674</v>
      </c>
    </row>
    <row r="9" spans="1:3" ht="5.0999999999999996" customHeight="1">
      <c r="C9" s="310"/>
    </row>
    <row r="10" spans="1:3">
      <c r="A10" s="290" t="s">
        <v>76</v>
      </c>
      <c r="C10" s="310">
        <v>4026</v>
      </c>
    </row>
    <row r="11" spans="1:3" ht="5.0999999999999996" customHeight="1">
      <c r="C11" s="310"/>
    </row>
    <row r="12" spans="1:3">
      <c r="A12" s="292" t="s">
        <v>77</v>
      </c>
      <c r="B12" s="292"/>
      <c r="C12" s="356">
        <v>242</v>
      </c>
    </row>
    <row r="13" spans="1:3" ht="5.0999999999999996" customHeight="1">
      <c r="A13" s="292"/>
      <c r="B13" s="292"/>
      <c r="C13" s="356"/>
    </row>
    <row r="14" spans="1:3">
      <c r="B14" s="290" t="s">
        <v>77</v>
      </c>
      <c r="C14" s="310">
        <v>192</v>
      </c>
    </row>
    <row r="15" spans="1:3">
      <c r="B15" s="290" t="s">
        <v>114</v>
      </c>
      <c r="C15" s="310">
        <v>1</v>
      </c>
    </row>
    <row r="16" spans="1:3">
      <c r="B16" s="290" t="s">
        <v>115</v>
      </c>
      <c r="C16" s="310">
        <v>4</v>
      </c>
    </row>
    <row r="17" spans="1:3">
      <c r="B17" s="290" t="s">
        <v>116</v>
      </c>
      <c r="C17" s="310">
        <v>16</v>
      </c>
    </row>
    <row r="18" spans="1:3">
      <c r="B18" s="290" t="s">
        <v>117</v>
      </c>
      <c r="C18" s="310">
        <v>4</v>
      </c>
    </row>
    <row r="19" spans="1:3">
      <c r="B19" s="290" t="s">
        <v>118</v>
      </c>
      <c r="C19" s="310">
        <v>18</v>
      </c>
    </row>
    <row r="20" spans="1:3">
      <c r="B20" s="290" t="s">
        <v>120</v>
      </c>
      <c r="C20" s="310">
        <v>3</v>
      </c>
    </row>
    <row r="21" spans="1:3">
      <c r="B21" s="290" t="s">
        <v>121</v>
      </c>
      <c r="C21" s="310">
        <v>4</v>
      </c>
    </row>
    <row r="22" spans="1:3" ht="5.0999999999999996" customHeight="1">
      <c r="C22" s="310"/>
    </row>
    <row r="23" spans="1:3">
      <c r="A23" s="292" t="s">
        <v>78</v>
      </c>
      <c r="B23" s="292"/>
      <c r="C23" s="356">
        <v>62</v>
      </c>
    </row>
    <row r="24" spans="1:3" ht="5.0999999999999996" customHeight="1">
      <c r="C24" s="310"/>
    </row>
    <row r="25" spans="1:3">
      <c r="B25" s="290" t="s">
        <v>122</v>
      </c>
      <c r="C25" s="310">
        <v>18</v>
      </c>
    </row>
    <row r="26" spans="1:3">
      <c r="B26" s="290" t="s">
        <v>123</v>
      </c>
      <c r="C26" s="310">
        <v>1</v>
      </c>
    </row>
    <row r="27" spans="1:3">
      <c r="B27" s="290" t="s">
        <v>124</v>
      </c>
      <c r="C27" s="310">
        <v>13</v>
      </c>
    </row>
    <row r="28" spans="1:3">
      <c r="B28" s="290" t="s">
        <v>125</v>
      </c>
      <c r="C28" s="310">
        <v>9</v>
      </c>
    </row>
    <row r="29" spans="1:3">
      <c r="B29" s="290" t="s">
        <v>126</v>
      </c>
      <c r="C29" s="310">
        <v>21</v>
      </c>
    </row>
    <row r="30" spans="1:3" ht="5.0999999999999996" customHeight="1">
      <c r="C30" s="310"/>
    </row>
    <row r="31" spans="1:3">
      <c r="A31" s="292" t="s">
        <v>79</v>
      </c>
      <c r="B31" s="292"/>
      <c r="C31" s="356">
        <v>251</v>
      </c>
    </row>
    <row r="32" spans="1:3" ht="5.0999999999999996" customHeight="1">
      <c r="C32" s="310"/>
    </row>
    <row r="33" spans="1:3">
      <c r="B33" s="290" t="s">
        <v>533</v>
      </c>
      <c r="C33" s="310">
        <v>190</v>
      </c>
    </row>
    <row r="34" spans="1:3">
      <c r="B34" s="290" t="s">
        <v>127</v>
      </c>
      <c r="C34" s="310">
        <v>3</v>
      </c>
    </row>
    <row r="35" spans="1:3">
      <c r="B35" s="290" t="s">
        <v>128</v>
      </c>
      <c r="C35" s="310">
        <v>11</v>
      </c>
    </row>
    <row r="36" spans="1:3">
      <c r="B36" s="290" t="s">
        <v>129</v>
      </c>
      <c r="C36" s="310">
        <v>6</v>
      </c>
    </row>
    <row r="37" spans="1:3">
      <c r="B37" s="290" t="s">
        <v>130</v>
      </c>
      <c r="C37" s="310">
        <v>36</v>
      </c>
    </row>
    <row r="38" spans="1:3">
      <c r="B38" s="290" t="s">
        <v>131</v>
      </c>
      <c r="C38" s="310">
        <v>1</v>
      </c>
    </row>
    <row r="39" spans="1:3">
      <c r="B39" s="290" t="s">
        <v>132</v>
      </c>
      <c r="C39" s="310">
        <v>4</v>
      </c>
    </row>
    <row r="40" spans="1:3" ht="5.0999999999999996" customHeight="1">
      <c r="C40" s="310"/>
    </row>
    <row r="41" spans="1:3">
      <c r="A41" s="292" t="s">
        <v>80</v>
      </c>
      <c r="B41" s="292"/>
      <c r="C41" s="356">
        <v>66</v>
      </c>
    </row>
    <row r="42" spans="1:3" ht="5.0999999999999996" customHeight="1">
      <c r="C42" s="310"/>
    </row>
    <row r="43" spans="1:3">
      <c r="B43" s="290" t="s">
        <v>80</v>
      </c>
      <c r="C43" s="310">
        <v>56</v>
      </c>
    </row>
    <row r="44" spans="1:3">
      <c r="B44" s="290" t="s">
        <v>133</v>
      </c>
      <c r="C44" s="310">
        <v>4</v>
      </c>
    </row>
    <row r="45" spans="1:3">
      <c r="B45" s="290" t="s">
        <v>134</v>
      </c>
      <c r="C45" s="310">
        <v>5</v>
      </c>
    </row>
    <row r="46" spans="1:3">
      <c r="B46" s="290" t="s">
        <v>135</v>
      </c>
      <c r="C46" s="310">
        <v>1</v>
      </c>
    </row>
    <row r="47" spans="1:3" ht="5.0999999999999996" customHeight="1">
      <c r="C47" s="310"/>
    </row>
    <row r="48" spans="1:3">
      <c r="A48" s="292" t="s">
        <v>81</v>
      </c>
      <c r="B48" s="292"/>
      <c r="C48" s="356">
        <v>784</v>
      </c>
    </row>
    <row r="49" spans="1:3" ht="5.0999999999999996" customHeight="1">
      <c r="C49" s="310"/>
    </row>
    <row r="50" spans="1:3">
      <c r="B50" s="290" t="s">
        <v>136</v>
      </c>
      <c r="C50" s="310">
        <v>731</v>
      </c>
    </row>
    <row r="51" spans="1:3">
      <c r="B51" s="290" t="s">
        <v>137</v>
      </c>
      <c r="C51" s="310">
        <v>17</v>
      </c>
    </row>
    <row r="52" spans="1:3">
      <c r="B52" s="290" t="s">
        <v>138</v>
      </c>
      <c r="C52" s="310">
        <v>6</v>
      </c>
    </row>
    <row r="53" spans="1:3">
      <c r="B53" s="290" t="s">
        <v>139</v>
      </c>
      <c r="C53" s="310">
        <v>18</v>
      </c>
    </row>
    <row r="54" spans="1:3">
      <c r="B54" s="290" t="s">
        <v>140</v>
      </c>
      <c r="C54" s="310">
        <v>8</v>
      </c>
    </row>
    <row r="55" spans="1:3">
      <c r="B55" s="290" t="s">
        <v>614</v>
      </c>
      <c r="C55" s="310">
        <v>4</v>
      </c>
    </row>
    <row r="56" spans="1:3" ht="5.0999999999999996" customHeight="1">
      <c r="C56" s="310"/>
    </row>
    <row r="57" spans="1:3">
      <c r="A57" s="292" t="s">
        <v>82</v>
      </c>
      <c r="B57" s="292"/>
      <c r="C57" s="356">
        <v>20</v>
      </c>
    </row>
    <row r="58" spans="1:3" ht="5.0999999999999996" customHeight="1">
      <c r="C58" s="310"/>
    </row>
    <row r="59" spans="1:3">
      <c r="B59" s="290" t="s">
        <v>141</v>
      </c>
      <c r="C59" s="310">
        <v>18</v>
      </c>
    </row>
    <row r="60" spans="1:3">
      <c r="B60" s="290" t="s">
        <v>142</v>
      </c>
      <c r="C60" s="310">
        <v>1</v>
      </c>
    </row>
    <row r="61" spans="1:3">
      <c r="B61" s="290" t="s">
        <v>143</v>
      </c>
      <c r="C61" s="310">
        <v>1</v>
      </c>
    </row>
    <row r="62" spans="1:3" ht="5.0999999999999996" customHeight="1">
      <c r="C62" s="310"/>
    </row>
    <row r="63" spans="1:3">
      <c r="A63" s="292" t="s">
        <v>83</v>
      </c>
      <c r="B63" s="292"/>
      <c r="C63" s="356">
        <v>94</v>
      </c>
    </row>
    <row r="64" spans="1:3" ht="5.0999999999999996" customHeight="1">
      <c r="C64" s="310"/>
    </row>
    <row r="65" spans="1:3">
      <c r="B65" s="290" t="s">
        <v>534</v>
      </c>
      <c r="C65" s="310">
        <v>77</v>
      </c>
    </row>
    <row r="66" spans="1:3">
      <c r="B66" s="290" t="s">
        <v>144</v>
      </c>
      <c r="C66" s="310">
        <v>17</v>
      </c>
    </row>
    <row r="67" spans="1:3" ht="5.0999999999999996" customHeight="1">
      <c r="C67" s="310"/>
    </row>
    <row r="68" spans="1:3">
      <c r="A68" s="292" t="s">
        <v>84</v>
      </c>
      <c r="B68" s="292"/>
      <c r="C68" s="356">
        <v>444</v>
      </c>
    </row>
    <row r="69" spans="1:3" ht="5.0999999999999996" customHeight="1">
      <c r="C69" s="310"/>
    </row>
    <row r="70" spans="1:3">
      <c r="B70" s="290" t="s">
        <v>145</v>
      </c>
      <c r="C70" s="310">
        <v>388</v>
      </c>
    </row>
    <row r="71" spans="1:3">
      <c r="B71" s="290" t="s">
        <v>146</v>
      </c>
      <c r="C71" s="310">
        <v>15</v>
      </c>
    </row>
    <row r="72" spans="1:3">
      <c r="B72" s="290" t="s">
        <v>147</v>
      </c>
      <c r="C72" s="310">
        <v>34</v>
      </c>
    </row>
    <row r="73" spans="1:3">
      <c r="B73" s="290" t="s">
        <v>148</v>
      </c>
      <c r="C73" s="310">
        <v>7</v>
      </c>
    </row>
    <row r="74" spans="1:3" ht="5.0999999999999996" customHeight="1">
      <c r="C74" s="310"/>
    </row>
    <row r="75" spans="1:3">
      <c r="A75" s="292" t="s">
        <v>85</v>
      </c>
      <c r="B75" s="292"/>
      <c r="C75" s="356">
        <v>34</v>
      </c>
    </row>
    <row r="76" spans="1:3" ht="5.0999999999999996" customHeight="1">
      <c r="C76" s="310"/>
    </row>
    <row r="77" spans="1:3">
      <c r="B77" s="290" t="s">
        <v>149</v>
      </c>
      <c r="C77" s="310">
        <v>1</v>
      </c>
    </row>
    <row r="78" spans="1:3">
      <c r="B78" s="290" t="s">
        <v>150</v>
      </c>
      <c r="C78" s="310">
        <v>6</v>
      </c>
    </row>
    <row r="79" spans="1:3">
      <c r="B79" s="290" t="s">
        <v>151</v>
      </c>
      <c r="C79" s="310">
        <v>22</v>
      </c>
    </row>
    <row r="80" spans="1:3">
      <c r="B80" s="290" t="s">
        <v>152</v>
      </c>
      <c r="C80" s="310">
        <v>5</v>
      </c>
    </row>
    <row r="81" spans="1:3" ht="5.0999999999999996" customHeight="1">
      <c r="C81" s="310"/>
    </row>
    <row r="82" spans="1:3">
      <c r="A82" s="292" t="s">
        <v>86</v>
      </c>
      <c r="B82" s="292"/>
      <c r="C82" s="356">
        <v>200</v>
      </c>
    </row>
    <row r="83" spans="1:3" ht="5.0999999999999996" customHeight="1">
      <c r="C83" s="310"/>
    </row>
    <row r="84" spans="1:3">
      <c r="B84" s="290" t="s">
        <v>153</v>
      </c>
      <c r="C84" s="310">
        <v>196</v>
      </c>
    </row>
    <row r="85" spans="1:3">
      <c r="B85" s="290" t="s">
        <v>154</v>
      </c>
      <c r="C85" s="310">
        <v>4</v>
      </c>
    </row>
    <row r="86" spans="1:3" ht="5.0999999999999996" customHeight="1">
      <c r="C86" s="310"/>
    </row>
    <row r="87" spans="1:3">
      <c r="A87" s="292" t="s">
        <v>87</v>
      </c>
      <c r="B87" s="292"/>
      <c r="C87" s="356">
        <v>325</v>
      </c>
    </row>
    <row r="88" spans="1:3" ht="5.0999999999999996" customHeight="1">
      <c r="C88" s="310"/>
    </row>
    <row r="89" spans="1:3">
      <c r="B89" s="290" t="s">
        <v>87</v>
      </c>
      <c r="C89" s="310">
        <v>320</v>
      </c>
    </row>
    <row r="90" spans="1:3">
      <c r="B90" s="290" t="s">
        <v>155</v>
      </c>
      <c r="C90" s="310">
        <v>5</v>
      </c>
    </row>
    <row r="91" spans="1:3" ht="5.0999999999999996" customHeight="1">
      <c r="C91" s="310"/>
    </row>
    <row r="92" spans="1:3">
      <c r="A92" s="292" t="s">
        <v>88</v>
      </c>
      <c r="B92" s="292"/>
      <c r="C92" s="356">
        <v>1244</v>
      </c>
    </row>
    <row r="93" spans="1:3" ht="5.0999999999999996" customHeight="1">
      <c r="C93" s="310"/>
    </row>
    <row r="94" spans="1:3">
      <c r="B94" s="290" t="s">
        <v>535</v>
      </c>
      <c r="C94" s="310">
        <v>991</v>
      </c>
    </row>
    <row r="95" spans="1:3">
      <c r="B95" s="290" t="s">
        <v>156</v>
      </c>
      <c r="C95" s="310">
        <v>66</v>
      </c>
    </row>
    <row r="96" spans="1:3">
      <c r="B96" s="290" t="s">
        <v>157</v>
      </c>
      <c r="C96" s="310">
        <v>169</v>
      </c>
    </row>
    <row r="97" spans="1:3">
      <c r="B97" s="290" t="s">
        <v>158</v>
      </c>
      <c r="C97" s="310">
        <v>18</v>
      </c>
    </row>
    <row r="98" spans="1:3" ht="5.0999999999999996" customHeight="1">
      <c r="C98" s="310"/>
    </row>
    <row r="99" spans="1:3">
      <c r="A99" s="292" t="s">
        <v>89</v>
      </c>
      <c r="B99" s="292"/>
      <c r="C99" s="356">
        <v>244</v>
      </c>
    </row>
    <row r="100" spans="1:3" ht="5.0999999999999996" customHeight="1">
      <c r="C100" s="310"/>
    </row>
    <row r="101" spans="1:3">
      <c r="B101" s="290" t="s">
        <v>159</v>
      </c>
      <c r="C101" s="310">
        <v>144</v>
      </c>
    </row>
    <row r="102" spans="1:3">
      <c r="B102" s="290" t="s">
        <v>160</v>
      </c>
      <c r="C102" s="310">
        <v>26</v>
      </c>
    </row>
    <row r="103" spans="1:3">
      <c r="B103" s="290" t="s">
        <v>161</v>
      </c>
      <c r="C103" s="310">
        <v>74</v>
      </c>
    </row>
    <row r="104" spans="1:3" ht="5.0999999999999996" customHeight="1">
      <c r="C104" s="310"/>
    </row>
    <row r="105" spans="1:3">
      <c r="A105" s="292" t="s">
        <v>369</v>
      </c>
      <c r="B105" s="292"/>
      <c r="C105" s="356">
        <v>139</v>
      </c>
    </row>
    <row r="106" spans="1:3" ht="5.0999999999999996" customHeight="1">
      <c r="C106" s="310"/>
    </row>
    <row r="107" spans="1:3">
      <c r="B107" s="290" t="s">
        <v>536</v>
      </c>
      <c r="C107" s="310">
        <v>55</v>
      </c>
    </row>
    <row r="108" spans="1:3">
      <c r="B108" s="290" t="s">
        <v>162</v>
      </c>
      <c r="C108" s="310">
        <v>9</v>
      </c>
    </row>
    <row r="109" spans="1:3">
      <c r="B109" s="290" t="s">
        <v>163</v>
      </c>
      <c r="C109" s="310">
        <v>17</v>
      </c>
    </row>
    <row r="110" spans="1:3">
      <c r="B110" s="290" t="s">
        <v>164</v>
      </c>
      <c r="C110" s="310">
        <v>22</v>
      </c>
    </row>
    <row r="111" spans="1:3">
      <c r="B111" s="290" t="s">
        <v>450</v>
      </c>
      <c r="C111" s="310">
        <v>10</v>
      </c>
    </row>
    <row r="112" spans="1:3">
      <c r="B112" s="290" t="s">
        <v>451</v>
      </c>
      <c r="C112" s="310">
        <v>26</v>
      </c>
    </row>
    <row r="113" spans="1:3" ht="5.0999999999999996" customHeight="1">
      <c r="C113" s="310"/>
    </row>
    <row r="114" spans="1:3">
      <c r="A114" s="292" t="s">
        <v>91</v>
      </c>
      <c r="B114" s="292"/>
      <c r="C114" s="356">
        <v>9</v>
      </c>
    </row>
    <row r="115" spans="1:3" ht="5.0999999999999996" customHeight="1">
      <c r="C115" s="310"/>
    </row>
    <row r="116" spans="1:3">
      <c r="B116" s="290" t="s">
        <v>91</v>
      </c>
      <c r="C116" s="310">
        <v>8</v>
      </c>
    </row>
    <row r="117" spans="1:3">
      <c r="B117" s="290" t="s">
        <v>165</v>
      </c>
      <c r="C117" s="310">
        <v>1</v>
      </c>
    </row>
    <row r="118" spans="1:3" ht="5.0999999999999996" customHeight="1">
      <c r="C118" s="310"/>
    </row>
    <row r="119" spans="1:3">
      <c r="A119" s="292" t="s">
        <v>92</v>
      </c>
      <c r="B119" s="292"/>
      <c r="C119" s="356">
        <v>193</v>
      </c>
    </row>
    <row r="120" spans="1:3" ht="5.0999999999999996" customHeight="1">
      <c r="C120" s="310"/>
    </row>
    <row r="121" spans="1:3">
      <c r="B121" s="290" t="s">
        <v>166</v>
      </c>
      <c r="C121" s="310">
        <v>183</v>
      </c>
    </row>
    <row r="122" spans="1:3">
      <c r="B122" s="290" t="s">
        <v>167</v>
      </c>
      <c r="C122" s="310">
        <v>10</v>
      </c>
    </row>
    <row r="123" spans="1:3" ht="5.0999999999999996" customHeight="1">
      <c r="C123" s="310"/>
    </row>
    <row r="124" spans="1:3">
      <c r="A124" s="292" t="s">
        <v>93</v>
      </c>
      <c r="B124" s="292"/>
      <c r="C124" s="356">
        <v>446</v>
      </c>
    </row>
    <row r="125" spans="1:3" ht="5.0999999999999996" customHeight="1">
      <c r="C125" s="310"/>
    </row>
    <row r="126" spans="1:3">
      <c r="B126" s="290" t="s">
        <v>93</v>
      </c>
      <c r="C126" s="310">
        <v>319</v>
      </c>
    </row>
    <row r="127" spans="1:3">
      <c r="B127" s="290" t="s">
        <v>168</v>
      </c>
      <c r="C127" s="310">
        <v>3</v>
      </c>
    </row>
    <row r="128" spans="1:3">
      <c r="B128" s="290" t="s">
        <v>169</v>
      </c>
      <c r="C128" s="310">
        <v>2</v>
      </c>
    </row>
    <row r="129" spans="1:3">
      <c r="B129" s="290" t="s">
        <v>170</v>
      </c>
      <c r="C129" s="310">
        <v>37</v>
      </c>
    </row>
    <row r="130" spans="1:3">
      <c r="B130" s="290" t="s">
        <v>171</v>
      </c>
      <c r="C130" s="310">
        <v>3</v>
      </c>
    </row>
    <row r="131" spans="1:3">
      <c r="B131" s="290" t="s">
        <v>172</v>
      </c>
      <c r="C131" s="310">
        <v>14</v>
      </c>
    </row>
    <row r="132" spans="1:3">
      <c r="B132" s="290" t="s">
        <v>173</v>
      </c>
      <c r="C132" s="310">
        <v>55</v>
      </c>
    </row>
    <row r="133" spans="1:3">
      <c r="B133" s="290" t="s">
        <v>174</v>
      </c>
      <c r="C133" s="310">
        <v>13</v>
      </c>
    </row>
    <row r="134" spans="1:3" ht="5.0999999999999996" customHeight="1">
      <c r="C134" s="310"/>
    </row>
    <row r="135" spans="1:3">
      <c r="A135" s="292" t="s">
        <v>224</v>
      </c>
      <c r="B135" s="292"/>
      <c r="C135" s="356">
        <v>312</v>
      </c>
    </row>
    <row r="136" spans="1:3" ht="5.0999999999999996" customHeight="1">
      <c r="C136" s="310"/>
    </row>
    <row r="137" spans="1:3">
      <c r="B137" s="290" t="s">
        <v>175</v>
      </c>
      <c r="C137" s="310">
        <v>165</v>
      </c>
    </row>
    <row r="138" spans="1:3">
      <c r="B138" s="290" t="s">
        <v>176</v>
      </c>
      <c r="C138" s="310">
        <v>91</v>
      </c>
    </row>
    <row r="139" spans="1:3">
      <c r="B139" s="290" t="s">
        <v>177</v>
      </c>
      <c r="C139" s="310">
        <v>56</v>
      </c>
    </row>
    <row r="140" spans="1:3" ht="5.0999999999999996" customHeight="1">
      <c r="C140" s="310"/>
    </row>
    <row r="141" spans="1:3">
      <c r="A141" s="292" t="s">
        <v>95</v>
      </c>
      <c r="B141" s="292"/>
      <c r="C141" s="356">
        <v>89</v>
      </c>
    </row>
    <row r="142" spans="1:3" ht="5.0999999999999996" customHeight="1">
      <c r="C142" s="310"/>
    </row>
    <row r="143" spans="1:3">
      <c r="B143" s="290" t="s">
        <v>95</v>
      </c>
      <c r="C143" s="310">
        <v>53</v>
      </c>
    </row>
    <row r="144" spans="1:3">
      <c r="B144" s="290" t="s">
        <v>178</v>
      </c>
      <c r="C144" s="310">
        <v>25</v>
      </c>
    </row>
    <row r="145" spans="1:3">
      <c r="B145" s="290" t="s">
        <v>179</v>
      </c>
      <c r="C145" s="310">
        <v>11</v>
      </c>
    </row>
    <row r="146" spans="1:3" ht="5.0999999999999996" customHeight="1">
      <c r="C146" s="310"/>
    </row>
    <row r="147" spans="1:3">
      <c r="A147" s="292" t="s">
        <v>96</v>
      </c>
      <c r="B147" s="292"/>
      <c r="C147" s="356">
        <v>284</v>
      </c>
    </row>
    <row r="148" spans="1:3" ht="5.0999999999999996" customHeight="1">
      <c r="C148" s="310"/>
    </row>
    <row r="149" spans="1:3">
      <c r="B149" s="290" t="s">
        <v>96</v>
      </c>
      <c r="C149" s="310">
        <v>134</v>
      </c>
    </row>
    <row r="150" spans="1:3">
      <c r="B150" s="290" t="s">
        <v>181</v>
      </c>
      <c r="C150" s="310">
        <v>35</v>
      </c>
    </row>
    <row r="151" spans="1:3">
      <c r="B151" s="290" t="s">
        <v>182</v>
      </c>
      <c r="C151" s="310">
        <v>12</v>
      </c>
    </row>
    <row r="152" spans="1:3">
      <c r="B152" s="290" t="s">
        <v>183</v>
      </c>
      <c r="C152" s="310">
        <v>85</v>
      </c>
    </row>
    <row r="153" spans="1:3">
      <c r="B153" s="290" t="s">
        <v>184</v>
      </c>
      <c r="C153" s="310">
        <v>16</v>
      </c>
    </row>
    <row r="154" spans="1:3">
      <c r="B154" s="290" t="s">
        <v>271</v>
      </c>
      <c r="C154" s="310">
        <v>1</v>
      </c>
    </row>
    <row r="155" spans="1:3">
      <c r="B155" s="290" t="s">
        <v>185</v>
      </c>
      <c r="C155" s="310">
        <v>1</v>
      </c>
    </row>
    <row r="156" spans="1:3" ht="5.0999999999999996" customHeight="1">
      <c r="C156" s="310"/>
    </row>
    <row r="157" spans="1:3">
      <c r="A157" s="292" t="s">
        <v>97</v>
      </c>
      <c r="B157" s="292"/>
      <c r="C157" s="356">
        <v>112</v>
      </c>
    </row>
    <row r="158" spans="1:3" ht="5.0999999999999996" customHeight="1">
      <c r="C158" s="310"/>
    </row>
    <row r="159" spans="1:3">
      <c r="B159" s="290" t="s">
        <v>97</v>
      </c>
      <c r="C159" s="310">
        <v>86</v>
      </c>
    </row>
    <row r="160" spans="1:3">
      <c r="B160" s="290" t="s">
        <v>187</v>
      </c>
      <c r="C160" s="310">
        <v>5</v>
      </c>
    </row>
    <row r="161" spans="1:3">
      <c r="B161" s="290" t="s">
        <v>272</v>
      </c>
      <c r="C161" s="310">
        <v>4</v>
      </c>
    </row>
    <row r="162" spans="1:3">
      <c r="B162" s="290" t="s">
        <v>188</v>
      </c>
      <c r="C162" s="310">
        <v>13</v>
      </c>
    </row>
    <row r="163" spans="1:3">
      <c r="B163" s="290" t="s">
        <v>189</v>
      </c>
      <c r="C163" s="310">
        <v>4</v>
      </c>
    </row>
    <row r="164" spans="1:3" ht="5.0999999999999996" customHeight="1">
      <c r="C164" s="310"/>
    </row>
    <row r="165" spans="1:3">
      <c r="A165" s="292" t="s">
        <v>98</v>
      </c>
      <c r="B165" s="292"/>
      <c r="C165" s="356">
        <v>369</v>
      </c>
    </row>
    <row r="166" spans="1:3" ht="5.0999999999999996" customHeight="1">
      <c r="C166" s="310"/>
    </row>
    <row r="167" spans="1:3">
      <c r="B167" s="290" t="s">
        <v>376</v>
      </c>
      <c r="C167" s="310">
        <v>368</v>
      </c>
    </row>
    <row r="168" spans="1:3">
      <c r="B168" s="290" t="s">
        <v>191</v>
      </c>
      <c r="C168" s="310">
        <v>1</v>
      </c>
    </row>
    <row r="169" spans="1:3" ht="5.0999999999999996" customHeight="1">
      <c r="C169" s="310"/>
    </row>
    <row r="170" spans="1:3">
      <c r="A170" s="292" t="s">
        <v>99</v>
      </c>
      <c r="B170" s="292"/>
      <c r="C170" s="356">
        <v>208</v>
      </c>
    </row>
    <row r="171" spans="1:3" ht="5.0999999999999996" customHeight="1">
      <c r="C171" s="310"/>
    </row>
    <row r="172" spans="1:3">
      <c r="B172" s="290" t="s">
        <v>192</v>
      </c>
      <c r="C172" s="310">
        <v>170</v>
      </c>
    </row>
    <row r="173" spans="1:3">
      <c r="B173" s="290" t="s">
        <v>193</v>
      </c>
      <c r="C173" s="310">
        <v>11</v>
      </c>
    </row>
    <row r="174" spans="1:3">
      <c r="B174" s="290" t="s">
        <v>194</v>
      </c>
      <c r="C174" s="310">
        <v>27</v>
      </c>
    </row>
    <row r="175" spans="1:3" ht="5.0999999999999996" customHeight="1">
      <c r="C175" s="310"/>
    </row>
    <row r="176" spans="1:3">
      <c r="A176" s="292" t="s">
        <v>100</v>
      </c>
      <c r="B176" s="292"/>
      <c r="C176" s="356">
        <v>3180</v>
      </c>
    </row>
    <row r="177" spans="1:3" ht="5.0999999999999996" customHeight="1">
      <c r="C177" s="310"/>
    </row>
    <row r="178" spans="1:3">
      <c r="B178" s="290" t="s">
        <v>100</v>
      </c>
      <c r="C178" s="310">
        <v>2882</v>
      </c>
    </row>
    <row r="179" spans="1:3">
      <c r="B179" s="290" t="s">
        <v>195</v>
      </c>
      <c r="C179" s="310">
        <v>67</v>
      </c>
    </row>
    <row r="180" spans="1:3">
      <c r="B180" s="290" t="s">
        <v>196</v>
      </c>
      <c r="C180" s="310">
        <v>16</v>
      </c>
    </row>
    <row r="181" spans="1:3">
      <c r="B181" s="290" t="s">
        <v>197</v>
      </c>
      <c r="C181" s="310">
        <v>24</v>
      </c>
    </row>
    <row r="182" spans="1:3">
      <c r="B182" s="290" t="s">
        <v>198</v>
      </c>
      <c r="C182" s="310">
        <v>36</v>
      </c>
    </row>
    <row r="183" spans="1:3">
      <c r="B183" s="290" t="s">
        <v>199</v>
      </c>
      <c r="C183" s="310">
        <v>100</v>
      </c>
    </row>
    <row r="184" spans="1:3">
      <c r="B184" s="290" t="s">
        <v>200</v>
      </c>
      <c r="C184" s="310">
        <v>55</v>
      </c>
    </row>
    <row r="185" spans="1:3" ht="5.0999999999999996" customHeight="1">
      <c r="C185" s="310"/>
    </row>
    <row r="186" spans="1:3">
      <c r="A186" s="292" t="s">
        <v>101</v>
      </c>
      <c r="B186" s="292"/>
      <c r="C186" s="356">
        <v>159</v>
      </c>
    </row>
    <row r="187" spans="1:3" ht="5.0999999999999996" customHeight="1">
      <c r="C187" s="310"/>
    </row>
    <row r="188" spans="1:3">
      <c r="B188" s="290" t="s">
        <v>202</v>
      </c>
      <c r="C188" s="310">
        <v>130</v>
      </c>
    </row>
    <row r="189" spans="1:3">
      <c r="B189" s="290" t="s">
        <v>203</v>
      </c>
      <c r="C189" s="310">
        <v>16</v>
      </c>
    </row>
    <row r="190" spans="1:3">
      <c r="B190" s="290" t="s">
        <v>204</v>
      </c>
      <c r="C190" s="310">
        <v>13</v>
      </c>
    </row>
    <row r="191" spans="1:3" ht="5.0999999999999996" customHeight="1">
      <c r="C191" s="310"/>
    </row>
    <row r="192" spans="1:3">
      <c r="A192" s="292" t="s">
        <v>102</v>
      </c>
      <c r="B192" s="292"/>
      <c r="C192" s="356">
        <v>310</v>
      </c>
    </row>
    <row r="193" spans="1:3" ht="5.0999999999999996" customHeight="1">
      <c r="C193" s="310"/>
    </row>
    <row r="194" spans="1:3">
      <c r="B194" s="290" t="s">
        <v>205</v>
      </c>
      <c r="C194" s="310">
        <v>185</v>
      </c>
    </row>
    <row r="195" spans="1:3">
      <c r="B195" s="290" t="s">
        <v>206</v>
      </c>
      <c r="C195" s="310">
        <v>81</v>
      </c>
    </row>
    <row r="196" spans="1:3">
      <c r="B196" s="290" t="s">
        <v>207</v>
      </c>
      <c r="C196" s="310">
        <v>44</v>
      </c>
    </row>
    <row r="197" spans="1:3" ht="5.0999999999999996" customHeight="1">
      <c r="C197" s="310"/>
    </row>
    <row r="198" spans="1:3">
      <c r="A198" s="292" t="s">
        <v>103</v>
      </c>
      <c r="B198" s="292"/>
      <c r="C198" s="356">
        <v>804</v>
      </c>
    </row>
    <row r="199" spans="1:3" ht="5.0999999999999996" customHeight="1">
      <c r="C199" s="310"/>
    </row>
    <row r="200" spans="1:3">
      <c r="B200" s="290" t="s">
        <v>208</v>
      </c>
      <c r="C200" s="310">
        <v>775</v>
      </c>
    </row>
    <row r="201" spans="1:3">
      <c r="B201" s="290" t="s">
        <v>209</v>
      </c>
      <c r="C201" s="310">
        <v>18</v>
      </c>
    </row>
    <row r="202" spans="1:3">
      <c r="B202" s="290" t="s">
        <v>210</v>
      </c>
      <c r="C202" s="310">
        <v>11</v>
      </c>
    </row>
    <row r="203" spans="1:3" ht="5.0999999999999996" customHeight="1">
      <c r="C203" s="310"/>
    </row>
    <row r="204" spans="1:3">
      <c r="A204" s="292" t="s">
        <v>104</v>
      </c>
      <c r="B204" s="292"/>
      <c r="C204" s="356">
        <v>121</v>
      </c>
    </row>
    <row r="205" spans="1:3" ht="5.0999999999999996" customHeight="1">
      <c r="C205" s="310"/>
    </row>
    <row r="206" spans="1:3">
      <c r="B206" s="290" t="s">
        <v>104</v>
      </c>
      <c r="C206" s="310">
        <v>33</v>
      </c>
    </row>
    <row r="207" spans="1:3">
      <c r="B207" s="290" t="s">
        <v>211</v>
      </c>
      <c r="C207" s="310">
        <v>39</v>
      </c>
    </row>
    <row r="208" spans="1:3">
      <c r="B208" s="290" t="s">
        <v>212</v>
      </c>
      <c r="C208" s="310">
        <v>20</v>
      </c>
    </row>
    <row r="209" spans="1:3">
      <c r="B209" s="290" t="s">
        <v>213</v>
      </c>
      <c r="C209" s="310">
        <v>29</v>
      </c>
    </row>
    <row r="210" spans="1:3" ht="5.0999999999999996" customHeight="1">
      <c r="C210" s="310"/>
    </row>
    <row r="211" spans="1:3">
      <c r="A211" s="292" t="s">
        <v>105</v>
      </c>
      <c r="B211" s="292"/>
      <c r="C211" s="356">
        <v>172</v>
      </c>
    </row>
    <row r="212" spans="1:3" ht="5.0999999999999996" customHeight="1">
      <c r="C212" s="310"/>
    </row>
    <row r="213" spans="1:3">
      <c r="B213" s="290" t="s">
        <v>452</v>
      </c>
      <c r="C213" s="310">
        <v>148</v>
      </c>
    </row>
    <row r="214" spans="1:3">
      <c r="B214" s="290" t="s">
        <v>214</v>
      </c>
      <c r="C214" s="310">
        <v>21</v>
      </c>
    </row>
    <row r="215" spans="1:3">
      <c r="B215" s="290" t="s">
        <v>215</v>
      </c>
      <c r="C215" s="310">
        <v>3</v>
      </c>
    </row>
    <row r="216" spans="1:3">
      <c r="C216" s="310"/>
    </row>
    <row r="217" spans="1:3">
      <c r="A217" s="292" t="s">
        <v>106</v>
      </c>
      <c r="B217" s="292"/>
      <c r="C217" s="356">
        <v>503</v>
      </c>
    </row>
    <row r="218" spans="1:3" ht="5.0999999999999996" customHeight="1">
      <c r="C218" s="310"/>
    </row>
    <row r="219" spans="1:3">
      <c r="B219" s="290" t="s">
        <v>106</v>
      </c>
      <c r="C219" s="310">
        <v>503</v>
      </c>
    </row>
    <row r="220" spans="1:3" ht="5.0999999999999996" customHeight="1">
      <c r="C220" s="310"/>
    </row>
    <row r="221" spans="1:3">
      <c r="A221" s="292" t="s">
        <v>107</v>
      </c>
      <c r="B221" s="292"/>
      <c r="C221" s="356">
        <v>2228</v>
      </c>
    </row>
    <row r="222" spans="1:3" ht="5.0999999999999996" customHeight="1">
      <c r="C222" s="310"/>
    </row>
    <row r="223" spans="1:3">
      <c r="B223" s="290" t="s">
        <v>217</v>
      </c>
      <c r="C223" s="310">
        <v>613</v>
      </c>
    </row>
    <row r="224" spans="1:3">
      <c r="B224" s="290" t="s">
        <v>218</v>
      </c>
      <c r="C224" s="310">
        <v>667</v>
      </c>
    </row>
    <row r="225" spans="2:3">
      <c r="B225" s="290" t="s">
        <v>219</v>
      </c>
      <c r="C225" s="310">
        <v>910</v>
      </c>
    </row>
    <row r="226" spans="2:3">
      <c r="B226" s="290" t="s">
        <v>220</v>
      </c>
      <c r="C226" s="310">
        <v>27</v>
      </c>
    </row>
    <row r="227" spans="2:3">
      <c r="B227" s="290" t="s">
        <v>221</v>
      </c>
      <c r="C227" s="310">
        <v>10</v>
      </c>
    </row>
    <row r="228" spans="2:3">
      <c r="B228" s="290" t="s">
        <v>222</v>
      </c>
      <c r="C228" s="310">
        <v>1</v>
      </c>
    </row>
    <row r="229" spans="2:3" ht="5.0999999999999996" customHeight="1"/>
    <row r="230" spans="2:3" ht="5.0999999999999996" customHeight="1"/>
  </sheetData>
  <mergeCells count="4">
    <mergeCell ref="A6:B6"/>
    <mergeCell ref="A4:C4"/>
    <mergeCell ref="A3:C3"/>
    <mergeCell ref="A2:C2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sheetPr codeName="Hoja16"/>
  <dimension ref="B1:H36"/>
  <sheetViews>
    <sheetView showGridLines="0" zoomScaleNormal="100" workbookViewId="0">
      <selection activeCell="F25" sqref="F25"/>
    </sheetView>
  </sheetViews>
  <sheetFormatPr baseColWidth="10" defaultColWidth="11.42578125" defaultRowHeight="12.75"/>
  <cols>
    <col min="1" max="1" width="11.42578125" style="125"/>
    <col min="2" max="2" width="26" style="147" customWidth="1"/>
    <col min="3" max="3" width="18.85546875" style="125" customWidth="1"/>
    <col min="4" max="4" width="11.7109375" style="122" bestFit="1" customWidth="1"/>
    <col min="5" max="5" width="11.42578125" style="122"/>
    <col min="6" max="16384" width="11.42578125" style="125"/>
  </cols>
  <sheetData>
    <row r="1" spans="2:8">
      <c r="B1" s="123"/>
      <c r="C1" s="122"/>
    </row>
    <row r="2" spans="2:8" ht="11.25" customHeight="1">
      <c r="B2" s="468" t="s">
        <v>317</v>
      </c>
      <c r="C2" s="468"/>
      <c r="D2" s="468"/>
    </row>
    <row r="3" spans="2:8" ht="11.25" customHeight="1">
      <c r="B3" s="469" t="s">
        <v>17</v>
      </c>
      <c r="C3" s="469"/>
      <c r="D3" s="469"/>
    </row>
    <row r="4" spans="2:8" ht="11.25" customHeight="1">
      <c r="B4" s="467" t="s">
        <v>546</v>
      </c>
      <c r="C4" s="467"/>
      <c r="D4" s="467"/>
    </row>
    <row r="5" spans="2:8">
      <c r="B5" s="123"/>
      <c r="C5" s="122"/>
    </row>
    <row r="6" spans="2:8" ht="16.5" customHeight="1">
      <c r="B6" s="154" t="s">
        <v>321</v>
      </c>
      <c r="C6" s="155" t="s">
        <v>312</v>
      </c>
      <c r="D6" s="155" t="s">
        <v>334</v>
      </c>
    </row>
    <row r="7" spans="2:8" ht="4.5" customHeight="1">
      <c r="B7" s="163"/>
      <c r="C7" s="129"/>
      <c r="D7" s="129"/>
    </row>
    <row r="8" spans="2:8" s="150" customFormat="1" ht="12.75" customHeight="1">
      <c r="B8" s="292" t="s">
        <v>585</v>
      </c>
      <c r="C8" s="164">
        <f>SUM(C10:C11)</f>
        <v>17674</v>
      </c>
      <c r="D8" s="174">
        <f>SUM(D10:D11)</f>
        <v>100</v>
      </c>
      <c r="E8" s="149"/>
    </row>
    <row r="9" spans="2:8" ht="4.5" customHeight="1">
      <c r="B9" s="151"/>
      <c r="C9" s="158"/>
      <c r="D9" s="175"/>
      <c r="F9" s="150"/>
      <c r="G9" s="150"/>
      <c r="H9" s="150"/>
    </row>
    <row r="10" spans="2:8" ht="13.5" customHeight="1">
      <c r="B10" s="151" t="s">
        <v>322</v>
      </c>
      <c r="C10" s="158">
        <v>7507</v>
      </c>
      <c r="D10" s="176">
        <f>C10/C8*100</f>
        <v>42.4748217720946</v>
      </c>
    </row>
    <row r="11" spans="2:8">
      <c r="B11" s="151" t="s">
        <v>323</v>
      </c>
      <c r="C11" s="158">
        <v>10167</v>
      </c>
      <c r="D11" s="176">
        <f>C11/C8*100</f>
        <v>57.525178227905393</v>
      </c>
      <c r="F11" s="122"/>
      <c r="G11" s="122"/>
    </row>
    <row r="12" spans="2:8" s="138" customFormat="1" ht="4.5" customHeight="1">
      <c r="B12" s="153"/>
      <c r="C12" s="140"/>
      <c r="D12" s="140"/>
    </row>
    <row r="13" spans="2:8" s="138" customFormat="1" ht="4.5" customHeight="1">
      <c r="B13" s="145"/>
    </row>
    <row r="14" spans="2:8" s="138" customFormat="1" ht="18.75" customHeight="1">
      <c r="B14" s="470" t="s">
        <v>71</v>
      </c>
      <c r="C14" s="470"/>
    </row>
    <row r="15" spans="2:8" s="138" customFormat="1" ht="11.25" customHeight="1">
      <c r="B15" s="143" t="s">
        <v>231</v>
      </c>
    </row>
    <row r="16" spans="2:8" s="122" customFormat="1">
      <c r="B16" s="123"/>
    </row>
    <row r="17" spans="2:3" s="122" customFormat="1">
      <c r="B17" s="123"/>
    </row>
    <row r="18" spans="2:3" s="122" customFormat="1">
      <c r="B18" s="123"/>
    </row>
    <row r="23" spans="2:3">
      <c r="B23" s="151" t="s">
        <v>322</v>
      </c>
      <c r="C23" s="158">
        <v>7169</v>
      </c>
    </row>
    <row r="24" spans="2:3">
      <c r="B24" s="151" t="s">
        <v>323</v>
      </c>
      <c r="C24" s="158">
        <v>9238</v>
      </c>
    </row>
    <row r="32" spans="2:3" s="122" customFormat="1">
      <c r="B32" s="123"/>
    </row>
    <row r="33" spans="2:2" s="122" customFormat="1">
      <c r="B33" s="123"/>
    </row>
    <row r="34" spans="2:2" s="122" customFormat="1">
      <c r="B34" s="123"/>
    </row>
    <row r="35" spans="2:2" s="122" customFormat="1">
      <c r="B35" s="123"/>
    </row>
    <row r="36" spans="2:2" s="122" customFormat="1">
      <c r="B36" s="123"/>
    </row>
  </sheetData>
  <mergeCells count="4">
    <mergeCell ref="B14:C14"/>
    <mergeCell ref="B4:D4"/>
    <mergeCell ref="B3:D3"/>
    <mergeCell ref="B2:D2"/>
  </mergeCells>
  <phoneticPr fontId="2" type="noConversion"/>
  <printOptions horizontalCentered="1"/>
  <pageMargins left="0.78740157480314965" right="0.78740157480314965" top="0.98425196850393704" bottom="0.98425196850393704" header="0.47" footer="0"/>
  <pageSetup orientation="portrait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sheetPr codeName="Hoja17"/>
  <dimension ref="A1:F64"/>
  <sheetViews>
    <sheetView showGridLines="0" zoomScaleNormal="100" workbookViewId="0">
      <selection activeCell="G23" sqref="G23"/>
    </sheetView>
  </sheetViews>
  <sheetFormatPr baseColWidth="10" defaultColWidth="11.42578125" defaultRowHeight="12.75" customHeight="1"/>
  <cols>
    <col min="1" max="1" width="24.28515625" style="168" customWidth="1"/>
    <col min="2" max="2" width="11.42578125" style="134"/>
    <col min="3" max="3" width="13.85546875" style="134" customWidth="1"/>
    <col min="4" max="4" width="11.7109375" style="134" customWidth="1"/>
    <col min="5" max="6" width="11.42578125" style="137"/>
    <col min="7" max="16384" width="11.42578125" style="134"/>
  </cols>
  <sheetData>
    <row r="1" spans="1:6" s="137" customFormat="1" ht="12.75" customHeight="1">
      <c r="A1" s="162"/>
    </row>
    <row r="2" spans="1:6" s="137" customFormat="1" ht="11.25" customHeight="1">
      <c r="A2" s="476" t="s">
        <v>320</v>
      </c>
      <c r="B2" s="476"/>
      <c r="C2" s="476"/>
      <c r="D2" s="476"/>
    </row>
    <row r="3" spans="1:6" s="137" customFormat="1" ht="11.25" customHeight="1">
      <c r="A3" s="467" t="s">
        <v>17</v>
      </c>
      <c r="B3" s="467"/>
      <c r="C3" s="467"/>
      <c r="D3" s="467"/>
    </row>
    <row r="4" spans="1:6" s="137" customFormat="1" ht="11.25" customHeight="1">
      <c r="A4" s="467" t="s">
        <v>547</v>
      </c>
      <c r="B4" s="467"/>
      <c r="C4" s="467"/>
      <c r="D4" s="467"/>
    </row>
    <row r="5" spans="1:6" ht="11.25" customHeight="1">
      <c r="A5" s="162"/>
      <c r="B5" s="137"/>
      <c r="C5" s="137"/>
      <c r="D5" s="137"/>
    </row>
    <row r="6" spans="1:6" s="131" customFormat="1" ht="14.25" customHeight="1">
      <c r="A6" s="474" t="s">
        <v>325</v>
      </c>
      <c r="B6" s="478"/>
      <c r="C6" s="477" t="s">
        <v>321</v>
      </c>
      <c r="D6" s="477"/>
      <c r="E6" s="133"/>
      <c r="F6" s="133"/>
    </row>
    <row r="7" spans="1:6" s="133" customFormat="1" ht="27" customHeight="1">
      <c r="A7" s="475"/>
      <c r="B7" s="479"/>
      <c r="C7" s="159" t="s">
        <v>322</v>
      </c>
      <c r="D7" s="159" t="s">
        <v>323</v>
      </c>
    </row>
    <row r="8" spans="1:6" s="133" customFormat="1" ht="4.5" customHeight="1">
      <c r="A8" s="165"/>
      <c r="B8" s="166"/>
      <c r="C8" s="166"/>
      <c r="D8" s="166"/>
    </row>
    <row r="9" spans="1:6" s="133" customFormat="1" ht="12.75" customHeight="1">
      <c r="A9" s="292" t="s">
        <v>585</v>
      </c>
      <c r="B9" s="148">
        <f>SUM(B11:B42)</f>
        <v>17674</v>
      </c>
      <c r="C9" s="148">
        <f>SUM(C11:C42)</f>
        <v>7507</v>
      </c>
      <c r="D9" s="148">
        <f>SUM(D11:D42)</f>
        <v>10167</v>
      </c>
    </row>
    <row r="10" spans="1:6" s="137" customFormat="1" ht="4.5" customHeight="1">
      <c r="A10" s="135"/>
      <c r="B10" s="152"/>
      <c r="C10" s="152"/>
      <c r="D10" s="152"/>
    </row>
    <row r="11" spans="1:6" s="137" customFormat="1" ht="12.75" customHeight="1">
      <c r="A11" s="135" t="s">
        <v>76</v>
      </c>
      <c r="B11" s="152">
        <f>+C11+D11</f>
        <v>4026</v>
      </c>
      <c r="C11" s="152">
        <v>836</v>
      </c>
      <c r="D11" s="152">
        <v>3190</v>
      </c>
    </row>
    <row r="12" spans="1:6" s="137" customFormat="1" ht="12.75" customHeight="1">
      <c r="A12" s="135" t="s">
        <v>77</v>
      </c>
      <c r="B12" s="152">
        <f t="shared" ref="B12:B42" si="0">+C12+D12</f>
        <v>242</v>
      </c>
      <c r="C12" s="152">
        <v>110</v>
      </c>
      <c r="D12" s="152">
        <v>132</v>
      </c>
    </row>
    <row r="13" spans="1:6" s="137" customFormat="1" ht="12.75" customHeight="1">
      <c r="A13" s="135" t="s">
        <v>78</v>
      </c>
      <c r="B13" s="152">
        <f t="shared" si="0"/>
        <v>62</v>
      </c>
      <c r="C13" s="152">
        <v>15</v>
      </c>
      <c r="D13" s="152">
        <v>47</v>
      </c>
    </row>
    <row r="14" spans="1:6" s="137" customFormat="1" ht="12.75" customHeight="1">
      <c r="A14" s="135" t="s">
        <v>79</v>
      </c>
      <c r="B14" s="152">
        <f t="shared" si="0"/>
        <v>251</v>
      </c>
      <c r="C14" s="152">
        <v>145</v>
      </c>
      <c r="D14" s="152">
        <v>106</v>
      </c>
    </row>
    <row r="15" spans="1:6" s="137" customFormat="1" ht="12.75" customHeight="1">
      <c r="A15" s="135" t="s">
        <v>80</v>
      </c>
      <c r="B15" s="152">
        <f t="shared" si="0"/>
        <v>66</v>
      </c>
      <c r="C15" s="152">
        <v>36</v>
      </c>
      <c r="D15" s="152">
        <v>30</v>
      </c>
    </row>
    <row r="16" spans="1:6" s="137" customFormat="1" ht="12.75" customHeight="1">
      <c r="A16" s="135" t="s">
        <v>81</v>
      </c>
      <c r="B16" s="152">
        <f t="shared" si="0"/>
        <v>784</v>
      </c>
      <c r="C16" s="152">
        <v>389</v>
      </c>
      <c r="D16" s="152">
        <v>395</v>
      </c>
    </row>
    <row r="17" spans="1:4" ht="12.75" customHeight="1">
      <c r="A17" s="135" t="s">
        <v>82</v>
      </c>
      <c r="B17" s="152">
        <f t="shared" si="0"/>
        <v>20</v>
      </c>
      <c r="C17" s="152">
        <v>10</v>
      </c>
      <c r="D17" s="152">
        <v>10</v>
      </c>
    </row>
    <row r="18" spans="1:4" ht="12.75" customHeight="1">
      <c r="A18" s="135" t="s">
        <v>83</v>
      </c>
      <c r="B18" s="152">
        <f t="shared" si="0"/>
        <v>94</v>
      </c>
      <c r="C18" s="152">
        <v>61</v>
      </c>
      <c r="D18" s="152">
        <v>33</v>
      </c>
    </row>
    <row r="19" spans="1:4" ht="12.75" customHeight="1">
      <c r="A19" s="135" t="s">
        <v>84</v>
      </c>
      <c r="B19" s="152">
        <f t="shared" si="0"/>
        <v>444</v>
      </c>
      <c r="C19" s="152">
        <v>240</v>
      </c>
      <c r="D19" s="152">
        <v>204</v>
      </c>
    </row>
    <row r="20" spans="1:4" ht="12.75" customHeight="1">
      <c r="A20" s="135" t="s">
        <v>85</v>
      </c>
      <c r="B20" s="152">
        <f t="shared" si="0"/>
        <v>34</v>
      </c>
      <c r="C20" s="152">
        <v>1</v>
      </c>
      <c r="D20" s="152">
        <v>33</v>
      </c>
    </row>
    <row r="21" spans="1:4" ht="12.75" customHeight="1">
      <c r="A21" s="135" t="s">
        <v>86</v>
      </c>
      <c r="B21" s="152">
        <f t="shared" si="0"/>
        <v>200</v>
      </c>
      <c r="C21" s="152">
        <v>79</v>
      </c>
      <c r="D21" s="152">
        <v>121</v>
      </c>
    </row>
    <row r="22" spans="1:4" ht="12.75" customHeight="1">
      <c r="A22" s="135" t="s">
        <v>87</v>
      </c>
      <c r="B22" s="152">
        <f t="shared" si="0"/>
        <v>325</v>
      </c>
      <c r="C22" s="152">
        <v>127</v>
      </c>
      <c r="D22" s="152">
        <v>198</v>
      </c>
    </row>
    <row r="23" spans="1:4" ht="12.75" customHeight="1">
      <c r="A23" s="135" t="s">
        <v>88</v>
      </c>
      <c r="B23" s="152">
        <f t="shared" si="0"/>
        <v>1244</v>
      </c>
      <c r="C23" s="152">
        <v>757</v>
      </c>
      <c r="D23" s="152">
        <v>487</v>
      </c>
    </row>
    <row r="24" spans="1:4" ht="12.75" customHeight="1">
      <c r="A24" s="135" t="s">
        <v>89</v>
      </c>
      <c r="B24" s="152">
        <f t="shared" si="0"/>
        <v>244</v>
      </c>
      <c r="C24" s="152">
        <v>87</v>
      </c>
      <c r="D24" s="152">
        <v>157</v>
      </c>
    </row>
    <row r="25" spans="1:4" ht="12.75" customHeight="1">
      <c r="A25" s="135" t="s">
        <v>90</v>
      </c>
      <c r="B25" s="152">
        <f t="shared" si="0"/>
        <v>139</v>
      </c>
      <c r="C25" s="152">
        <v>63</v>
      </c>
      <c r="D25" s="152">
        <v>76</v>
      </c>
    </row>
    <row r="26" spans="1:4" ht="12.75" customHeight="1">
      <c r="A26" s="135" t="s">
        <v>91</v>
      </c>
      <c r="B26" s="152">
        <f t="shared" si="0"/>
        <v>9</v>
      </c>
      <c r="C26" s="152">
        <v>6</v>
      </c>
      <c r="D26" s="152">
        <v>3</v>
      </c>
    </row>
    <row r="27" spans="1:4" ht="12.75" customHeight="1">
      <c r="A27" s="135" t="s">
        <v>92</v>
      </c>
      <c r="B27" s="152">
        <f t="shared" si="0"/>
        <v>193</v>
      </c>
      <c r="C27" s="152">
        <v>101</v>
      </c>
      <c r="D27" s="152">
        <v>92</v>
      </c>
    </row>
    <row r="28" spans="1:4" ht="12.75" customHeight="1">
      <c r="A28" s="135" t="s">
        <v>93</v>
      </c>
      <c r="B28" s="152">
        <f t="shared" si="0"/>
        <v>446</v>
      </c>
      <c r="C28" s="152">
        <v>190</v>
      </c>
      <c r="D28" s="152">
        <v>256</v>
      </c>
    </row>
    <row r="29" spans="1:4" ht="12.75" customHeight="1">
      <c r="A29" s="135" t="s">
        <v>94</v>
      </c>
      <c r="B29" s="152">
        <f t="shared" si="0"/>
        <v>312</v>
      </c>
      <c r="C29" s="152">
        <v>233</v>
      </c>
      <c r="D29" s="152">
        <v>79</v>
      </c>
    </row>
    <row r="30" spans="1:4" ht="12.75" customHeight="1">
      <c r="A30" s="135" t="s">
        <v>95</v>
      </c>
      <c r="B30" s="152">
        <f t="shared" si="0"/>
        <v>89</v>
      </c>
      <c r="C30" s="152">
        <v>46</v>
      </c>
      <c r="D30" s="152">
        <v>43</v>
      </c>
    </row>
    <row r="31" spans="1:4" ht="12.75" customHeight="1">
      <c r="A31" s="135" t="s">
        <v>96</v>
      </c>
      <c r="B31" s="152">
        <f t="shared" si="0"/>
        <v>284</v>
      </c>
      <c r="C31" s="152">
        <v>161</v>
      </c>
      <c r="D31" s="152">
        <v>123</v>
      </c>
    </row>
    <row r="32" spans="1:4" ht="12.75" customHeight="1">
      <c r="A32" s="135" t="s">
        <v>97</v>
      </c>
      <c r="B32" s="152">
        <f t="shared" si="0"/>
        <v>112</v>
      </c>
      <c r="C32" s="152">
        <v>43</v>
      </c>
      <c r="D32" s="152">
        <v>69</v>
      </c>
    </row>
    <row r="33" spans="1:4" ht="12.75" customHeight="1">
      <c r="A33" s="135" t="s">
        <v>98</v>
      </c>
      <c r="B33" s="152">
        <f t="shared" si="0"/>
        <v>369</v>
      </c>
      <c r="C33" s="152">
        <v>183</v>
      </c>
      <c r="D33" s="152">
        <v>186</v>
      </c>
    </row>
    <row r="34" spans="1:4" ht="12.75" customHeight="1">
      <c r="A34" s="135" t="s">
        <v>99</v>
      </c>
      <c r="B34" s="152">
        <f t="shared" si="0"/>
        <v>208</v>
      </c>
      <c r="C34" s="152">
        <v>75</v>
      </c>
      <c r="D34" s="152">
        <v>133</v>
      </c>
    </row>
    <row r="35" spans="1:4" ht="12.75" customHeight="1">
      <c r="A35" s="135" t="s">
        <v>100</v>
      </c>
      <c r="B35" s="152">
        <f t="shared" si="0"/>
        <v>3180</v>
      </c>
      <c r="C35" s="152">
        <v>1733</v>
      </c>
      <c r="D35" s="152">
        <v>1447</v>
      </c>
    </row>
    <row r="36" spans="1:4" ht="12.75" customHeight="1">
      <c r="A36" s="135" t="s">
        <v>101</v>
      </c>
      <c r="B36" s="152">
        <f t="shared" si="0"/>
        <v>159</v>
      </c>
      <c r="C36" s="152">
        <v>88</v>
      </c>
      <c r="D36" s="152">
        <v>71</v>
      </c>
    </row>
    <row r="37" spans="1:4" ht="12.75" customHeight="1">
      <c r="A37" s="135" t="s">
        <v>102</v>
      </c>
      <c r="B37" s="152">
        <f t="shared" si="0"/>
        <v>310</v>
      </c>
      <c r="C37" s="152">
        <v>179</v>
      </c>
      <c r="D37" s="152">
        <v>131</v>
      </c>
    </row>
    <row r="38" spans="1:4" ht="12.75" customHeight="1">
      <c r="A38" s="135" t="s">
        <v>103</v>
      </c>
      <c r="B38" s="152">
        <f t="shared" si="0"/>
        <v>804</v>
      </c>
      <c r="C38" s="152">
        <v>433</v>
      </c>
      <c r="D38" s="152">
        <v>371</v>
      </c>
    </row>
    <row r="39" spans="1:4" ht="12.75" customHeight="1">
      <c r="A39" s="135" t="s">
        <v>104</v>
      </c>
      <c r="B39" s="152">
        <f t="shared" si="0"/>
        <v>121</v>
      </c>
      <c r="C39" s="152">
        <v>60</v>
      </c>
      <c r="D39" s="152">
        <v>61</v>
      </c>
    </row>
    <row r="40" spans="1:4" ht="12.75" customHeight="1">
      <c r="A40" s="135" t="s">
        <v>105</v>
      </c>
      <c r="B40" s="152">
        <f t="shared" si="0"/>
        <v>172</v>
      </c>
      <c r="C40" s="152">
        <v>77</v>
      </c>
      <c r="D40" s="152">
        <v>95</v>
      </c>
    </row>
    <row r="41" spans="1:4" ht="12.75" customHeight="1">
      <c r="A41" s="135" t="s">
        <v>106</v>
      </c>
      <c r="B41" s="152">
        <f t="shared" si="0"/>
        <v>503</v>
      </c>
      <c r="C41" s="152">
        <v>176</v>
      </c>
      <c r="D41" s="152">
        <v>327</v>
      </c>
    </row>
    <row r="42" spans="1:4" ht="12.75" customHeight="1">
      <c r="A42" s="135" t="s">
        <v>107</v>
      </c>
      <c r="B42" s="152">
        <f t="shared" si="0"/>
        <v>2228</v>
      </c>
      <c r="C42" s="152">
        <v>767</v>
      </c>
      <c r="D42" s="152">
        <v>1461</v>
      </c>
    </row>
    <row r="43" spans="1:4" ht="4.5" customHeight="1">
      <c r="A43" s="160"/>
      <c r="B43" s="161"/>
      <c r="C43" s="161"/>
      <c r="D43" s="161"/>
    </row>
    <row r="44" spans="1:4" ht="4.5" customHeight="1">
      <c r="A44" s="162"/>
      <c r="B44" s="137"/>
      <c r="C44" s="137"/>
      <c r="D44" s="137"/>
    </row>
    <row r="45" spans="1:4" ht="11.25" customHeight="1">
      <c r="A45" s="167" t="s">
        <v>71</v>
      </c>
      <c r="B45" s="137"/>
      <c r="C45" s="137"/>
      <c r="D45" s="137"/>
    </row>
    <row r="46" spans="1:4" ht="11.25" customHeight="1">
      <c r="A46" s="167" t="s">
        <v>231</v>
      </c>
      <c r="B46" s="137"/>
      <c r="C46" s="137"/>
      <c r="D46" s="137"/>
    </row>
    <row r="47" spans="1:4" s="137" customFormat="1" ht="12.75" customHeight="1">
      <c r="A47" s="162"/>
    </row>
    <row r="48" spans="1:4" s="137" customFormat="1" ht="12.75" customHeight="1">
      <c r="A48" s="162"/>
    </row>
    <row r="49" spans="1:1" s="137" customFormat="1" ht="12.75" customHeight="1">
      <c r="A49" s="162"/>
    </row>
    <row r="50" spans="1:1" s="137" customFormat="1" ht="12.75" customHeight="1">
      <c r="A50" s="162"/>
    </row>
    <row r="51" spans="1:1" s="137" customFormat="1" ht="12.75" customHeight="1">
      <c r="A51" s="162"/>
    </row>
    <row r="52" spans="1:1" s="137" customFormat="1" ht="12.75" customHeight="1">
      <c r="A52" s="162"/>
    </row>
    <row r="53" spans="1:1" s="137" customFormat="1" ht="12.75" customHeight="1">
      <c r="A53" s="162"/>
    </row>
    <row r="54" spans="1:1" s="137" customFormat="1" ht="12.75" customHeight="1">
      <c r="A54" s="162"/>
    </row>
    <row r="55" spans="1:1" s="137" customFormat="1" ht="12.75" customHeight="1">
      <c r="A55" s="162"/>
    </row>
    <row r="56" spans="1:1" s="137" customFormat="1" ht="12.75" customHeight="1">
      <c r="A56" s="162"/>
    </row>
    <row r="57" spans="1:1" s="137" customFormat="1" ht="12.75" customHeight="1">
      <c r="A57" s="162"/>
    </row>
    <row r="58" spans="1:1" s="137" customFormat="1" ht="12.75" customHeight="1">
      <c r="A58" s="162"/>
    </row>
    <row r="59" spans="1:1" s="137" customFormat="1" ht="12.75" customHeight="1">
      <c r="A59" s="162"/>
    </row>
    <row r="60" spans="1:1" s="137" customFormat="1" ht="12.75" customHeight="1">
      <c r="A60" s="162"/>
    </row>
    <row r="61" spans="1:1" s="137" customFormat="1" ht="12.75" customHeight="1">
      <c r="A61" s="162"/>
    </row>
    <row r="62" spans="1:1" s="137" customFormat="1" ht="12.75" customHeight="1">
      <c r="A62" s="162"/>
    </row>
    <row r="63" spans="1:1" s="137" customFormat="1" ht="12.75" customHeight="1">
      <c r="A63" s="162"/>
    </row>
    <row r="64" spans="1:1" s="137" customFormat="1" ht="12.75" customHeight="1">
      <c r="A64" s="162"/>
    </row>
  </sheetData>
  <mergeCells count="6">
    <mergeCell ref="A6:A7"/>
    <mergeCell ref="A2:D2"/>
    <mergeCell ref="A3:D3"/>
    <mergeCell ref="C6:D6"/>
    <mergeCell ref="B6:B7"/>
    <mergeCell ref="A4:D4"/>
  </mergeCells>
  <phoneticPr fontId="2" type="noConversion"/>
  <printOptions horizontalCentered="1"/>
  <pageMargins left="0.78740157480314965" right="0.78740157480314965" top="0.98425196850393704" bottom="0.98425196850393704" header="0" footer="0"/>
  <pageSetup orientation="portrait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sheetPr>
    <tabColor theme="4" tint="0.59999389629810485"/>
  </sheetPr>
  <dimension ref="A2:AV55"/>
  <sheetViews>
    <sheetView showGridLines="0" workbookViewId="0">
      <selection activeCell="A4" sqref="A4:AV4"/>
    </sheetView>
  </sheetViews>
  <sheetFormatPr baseColWidth="10" defaultColWidth="11.42578125" defaultRowHeight="12.75"/>
  <cols>
    <col min="1" max="1" width="20.85546875" style="304" customWidth="1"/>
    <col min="2" max="2" width="12.42578125" style="290" customWidth="1"/>
    <col min="3" max="16384" width="11.42578125" style="290"/>
  </cols>
  <sheetData>
    <row r="2" spans="1:48">
      <c r="A2" s="473" t="s">
        <v>324</v>
      </c>
      <c r="B2" s="473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473"/>
      <c r="Z2" s="473"/>
      <c r="AA2" s="473"/>
      <c r="AB2" s="473"/>
      <c r="AC2" s="473"/>
      <c r="AD2" s="473"/>
      <c r="AE2" s="473"/>
      <c r="AF2" s="473"/>
      <c r="AG2" s="473"/>
      <c r="AH2" s="473"/>
      <c r="AI2" s="473"/>
      <c r="AJ2" s="473"/>
      <c r="AK2" s="473"/>
      <c r="AL2" s="473"/>
      <c r="AM2" s="473"/>
      <c r="AN2" s="473"/>
      <c r="AO2" s="473"/>
      <c r="AP2" s="473"/>
      <c r="AQ2" s="473"/>
      <c r="AR2" s="473"/>
      <c r="AS2" s="473"/>
      <c r="AT2" s="473"/>
      <c r="AU2" s="473"/>
      <c r="AV2" s="473"/>
    </row>
    <row r="3" spans="1:48">
      <c r="A3" s="473" t="s">
        <v>17</v>
      </c>
      <c r="B3" s="473"/>
      <c r="C3" s="473"/>
      <c r="D3" s="473"/>
      <c r="E3" s="473"/>
      <c r="F3" s="473"/>
      <c r="G3" s="473"/>
      <c r="H3" s="473"/>
      <c r="I3" s="473"/>
      <c r="J3" s="473"/>
      <c r="K3" s="473"/>
      <c r="L3" s="473"/>
      <c r="M3" s="473"/>
      <c r="N3" s="473"/>
      <c r="O3" s="473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473"/>
      <c r="AA3" s="473"/>
      <c r="AB3" s="473"/>
      <c r="AC3" s="473"/>
      <c r="AD3" s="473"/>
      <c r="AE3" s="473"/>
      <c r="AF3" s="473"/>
      <c r="AG3" s="473"/>
      <c r="AH3" s="473"/>
      <c r="AI3" s="473"/>
      <c r="AJ3" s="473"/>
      <c r="AK3" s="473"/>
      <c r="AL3" s="473"/>
      <c r="AM3" s="473"/>
      <c r="AN3" s="473"/>
      <c r="AO3" s="473"/>
      <c r="AP3" s="473"/>
      <c r="AQ3" s="473"/>
      <c r="AR3" s="473"/>
      <c r="AS3" s="473"/>
      <c r="AT3" s="473"/>
      <c r="AU3" s="473"/>
      <c r="AV3" s="473"/>
    </row>
    <row r="4" spans="1:48">
      <c r="A4" s="472" t="s">
        <v>555</v>
      </c>
      <c r="B4" s="472"/>
      <c r="C4" s="472"/>
      <c r="D4" s="472"/>
      <c r="E4" s="472"/>
      <c r="F4" s="472"/>
      <c r="G4" s="472"/>
      <c r="H4" s="472"/>
      <c r="I4" s="472"/>
      <c r="J4" s="472"/>
      <c r="K4" s="472"/>
      <c r="L4" s="472"/>
      <c r="M4" s="472"/>
      <c r="N4" s="472"/>
      <c r="O4" s="472"/>
      <c r="P4" s="472"/>
      <c r="Q4" s="472"/>
      <c r="R4" s="472"/>
      <c r="S4" s="472"/>
      <c r="T4" s="472"/>
      <c r="U4" s="472"/>
      <c r="V4" s="472"/>
      <c r="W4" s="472"/>
      <c r="X4" s="472"/>
      <c r="Y4" s="472"/>
      <c r="Z4" s="472"/>
      <c r="AA4" s="472"/>
      <c r="AB4" s="472"/>
      <c r="AC4" s="472"/>
      <c r="AD4" s="472"/>
      <c r="AE4" s="472"/>
      <c r="AF4" s="472"/>
      <c r="AG4" s="472"/>
      <c r="AH4" s="472"/>
      <c r="AI4" s="472"/>
      <c r="AJ4" s="472"/>
      <c r="AK4" s="472"/>
      <c r="AL4" s="472"/>
      <c r="AM4" s="472"/>
      <c r="AN4" s="472"/>
      <c r="AO4" s="472"/>
      <c r="AP4" s="472"/>
      <c r="AQ4" s="472"/>
      <c r="AR4" s="472"/>
      <c r="AS4" s="472"/>
      <c r="AT4" s="472"/>
      <c r="AU4" s="472"/>
      <c r="AV4" s="472"/>
    </row>
    <row r="6" spans="1:48" ht="12.75" customHeight="1">
      <c r="A6" s="484" t="s">
        <v>327</v>
      </c>
      <c r="B6" s="482" t="s">
        <v>61</v>
      </c>
      <c r="C6" s="480" t="s">
        <v>328</v>
      </c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0"/>
      <c r="R6" s="480"/>
      <c r="S6" s="480"/>
      <c r="T6" s="480"/>
      <c r="U6" s="480"/>
      <c r="V6" s="480"/>
      <c r="W6" s="480"/>
      <c r="X6" s="480"/>
      <c r="Y6" s="480"/>
      <c r="Z6" s="480"/>
      <c r="AA6" s="480"/>
      <c r="AB6" s="480"/>
      <c r="AC6" s="480"/>
      <c r="AD6" s="480"/>
      <c r="AE6" s="480"/>
      <c r="AF6" s="480"/>
      <c r="AG6" s="480"/>
      <c r="AH6" s="480"/>
      <c r="AI6" s="480"/>
      <c r="AJ6" s="480"/>
      <c r="AK6" s="480"/>
      <c r="AL6" s="480"/>
      <c r="AM6" s="480"/>
      <c r="AN6" s="480"/>
      <c r="AO6" s="480"/>
      <c r="AP6" s="480"/>
      <c r="AQ6" s="480"/>
      <c r="AR6" s="480"/>
      <c r="AS6" s="480"/>
      <c r="AT6" s="480"/>
      <c r="AU6" s="480"/>
      <c r="AV6" s="480"/>
    </row>
    <row r="7" spans="1:48" ht="26.25" customHeight="1">
      <c r="A7" s="485"/>
      <c r="B7" s="483"/>
      <c r="C7" s="360" t="s">
        <v>476</v>
      </c>
      <c r="D7" s="360" t="s">
        <v>563</v>
      </c>
      <c r="E7" s="360" t="s">
        <v>627</v>
      </c>
      <c r="F7" s="360" t="s">
        <v>401</v>
      </c>
      <c r="G7" s="360" t="s">
        <v>341</v>
      </c>
      <c r="H7" s="360" t="s">
        <v>403</v>
      </c>
      <c r="I7" s="360" t="s">
        <v>342</v>
      </c>
      <c r="J7" s="360" t="s">
        <v>404</v>
      </c>
      <c r="K7" s="360" t="s">
        <v>572</v>
      </c>
      <c r="L7" s="360" t="s">
        <v>343</v>
      </c>
      <c r="M7" s="360" t="s">
        <v>44</v>
      </c>
      <c r="N7" s="360" t="s">
        <v>344</v>
      </c>
      <c r="O7" s="360" t="s">
        <v>406</v>
      </c>
      <c r="P7" s="360" t="s">
        <v>428</v>
      </c>
      <c r="Q7" s="360" t="s">
        <v>573</v>
      </c>
      <c r="R7" s="360" t="s">
        <v>574</v>
      </c>
      <c r="S7" s="360" t="s">
        <v>609</v>
      </c>
      <c r="T7" s="360" t="s">
        <v>481</v>
      </c>
      <c r="U7" s="360" t="s">
        <v>345</v>
      </c>
      <c r="V7" s="360" t="s">
        <v>346</v>
      </c>
      <c r="W7" s="360" t="s">
        <v>591</v>
      </c>
      <c r="X7" s="360" t="s">
        <v>347</v>
      </c>
      <c r="Y7" s="360" t="s">
        <v>348</v>
      </c>
      <c r="Z7" s="360" t="s">
        <v>610</v>
      </c>
      <c r="AA7" s="360" t="s">
        <v>349</v>
      </c>
      <c r="AB7" s="360" t="s">
        <v>595</v>
      </c>
      <c r="AC7" s="360" t="s">
        <v>621</v>
      </c>
      <c r="AD7" s="360" t="s">
        <v>621</v>
      </c>
      <c r="AE7" s="360" t="s">
        <v>552</v>
      </c>
      <c r="AF7" s="360" t="s">
        <v>553</v>
      </c>
      <c r="AG7" s="360" t="s">
        <v>612</v>
      </c>
      <c r="AH7" s="360" t="s">
        <v>484</v>
      </c>
      <c r="AI7" s="360" t="s">
        <v>578</v>
      </c>
      <c r="AJ7" s="360" t="s">
        <v>350</v>
      </c>
      <c r="AK7" s="360" t="s">
        <v>617</v>
      </c>
      <c r="AL7" s="360" t="s">
        <v>628</v>
      </c>
      <c r="AM7" s="360" t="s">
        <v>599</v>
      </c>
      <c r="AN7" s="360" t="s">
        <v>351</v>
      </c>
      <c r="AO7" s="360" t="s">
        <v>352</v>
      </c>
      <c r="AP7" s="360" t="s">
        <v>623</v>
      </c>
      <c r="AQ7" s="360" t="s">
        <v>603</v>
      </c>
      <c r="AR7" s="360" t="s">
        <v>353</v>
      </c>
      <c r="AS7" s="360" t="s">
        <v>565</v>
      </c>
      <c r="AT7" s="360" t="s">
        <v>475</v>
      </c>
      <c r="AU7" s="360" t="s">
        <v>624</v>
      </c>
      <c r="AV7" s="360" t="s">
        <v>333</v>
      </c>
    </row>
    <row r="8" spans="1:48" ht="5.0999999999999996" customHeight="1">
      <c r="C8" s="359"/>
      <c r="D8" s="359"/>
      <c r="E8" s="359"/>
      <c r="F8" s="359"/>
      <c r="G8" s="359"/>
      <c r="H8" s="359"/>
      <c r="I8" s="359"/>
      <c r="J8" s="359"/>
      <c r="K8" s="359"/>
      <c r="L8" s="359"/>
      <c r="M8" s="359"/>
      <c r="N8" s="359"/>
      <c r="O8" s="359"/>
      <c r="P8" s="359"/>
      <c r="Q8" s="359"/>
      <c r="R8" s="359"/>
      <c r="S8" s="359"/>
      <c r="T8" s="359"/>
      <c r="U8" s="359"/>
      <c r="V8" s="359"/>
      <c r="W8" s="359"/>
      <c r="X8" s="359"/>
      <c r="Y8" s="359"/>
      <c r="Z8" s="359"/>
      <c r="AA8" s="359"/>
      <c r="AB8" s="359"/>
      <c r="AC8" s="359"/>
      <c r="AD8" s="359"/>
      <c r="AE8" s="359"/>
      <c r="AF8" s="359"/>
      <c r="AG8" s="359"/>
      <c r="AH8" s="359"/>
      <c r="AI8" s="359"/>
      <c r="AJ8" s="359"/>
      <c r="AK8" s="359"/>
      <c r="AL8" s="359"/>
      <c r="AM8" s="359"/>
      <c r="AN8" s="359"/>
      <c r="AO8" s="359"/>
      <c r="AP8" s="359"/>
      <c r="AQ8" s="359"/>
      <c r="AR8" s="359"/>
      <c r="AS8" s="359"/>
      <c r="AT8" s="359"/>
      <c r="AU8" s="359"/>
      <c r="AV8" s="359"/>
    </row>
    <row r="9" spans="1:48" s="292" customFormat="1">
      <c r="A9" s="303" t="s">
        <v>585</v>
      </c>
      <c r="B9" s="295">
        <f>SUM(B11:B51)</f>
        <v>17674</v>
      </c>
      <c r="C9" s="295">
        <f t="shared" ref="C9:AV9" si="0">SUM(C11:C51)</f>
        <v>1</v>
      </c>
      <c r="D9" s="295">
        <f t="shared" si="0"/>
        <v>4</v>
      </c>
      <c r="E9" s="295">
        <f t="shared" si="0"/>
        <v>1</v>
      </c>
      <c r="F9" s="295">
        <f t="shared" si="0"/>
        <v>1</v>
      </c>
      <c r="G9" s="295">
        <f t="shared" si="0"/>
        <v>9</v>
      </c>
      <c r="H9" s="295">
        <f t="shared" si="0"/>
        <v>2</v>
      </c>
      <c r="I9" s="295">
        <f t="shared" si="0"/>
        <v>2</v>
      </c>
      <c r="J9" s="295">
        <f t="shared" si="0"/>
        <v>8</v>
      </c>
      <c r="K9" s="295">
        <f t="shared" si="0"/>
        <v>1</v>
      </c>
      <c r="L9" s="295">
        <f t="shared" si="0"/>
        <v>6</v>
      </c>
      <c r="M9" s="295">
        <f t="shared" si="0"/>
        <v>10550</v>
      </c>
      <c r="N9" s="295">
        <f t="shared" si="0"/>
        <v>3</v>
      </c>
      <c r="O9" s="295">
        <f t="shared" si="0"/>
        <v>1</v>
      </c>
      <c r="P9" s="295">
        <f t="shared" si="0"/>
        <v>1</v>
      </c>
      <c r="Q9" s="295">
        <f t="shared" si="0"/>
        <v>5</v>
      </c>
      <c r="R9" s="295">
        <f t="shared" si="0"/>
        <v>10</v>
      </c>
      <c r="S9" s="295">
        <f t="shared" si="0"/>
        <v>1</v>
      </c>
      <c r="T9" s="295">
        <f t="shared" si="0"/>
        <v>1</v>
      </c>
      <c r="U9" s="295">
        <f t="shared" si="0"/>
        <v>7</v>
      </c>
      <c r="V9" s="295">
        <f t="shared" si="0"/>
        <v>1</v>
      </c>
      <c r="W9" s="295">
        <f t="shared" si="0"/>
        <v>1</v>
      </c>
      <c r="X9" s="295">
        <f t="shared" si="0"/>
        <v>3</v>
      </c>
      <c r="Y9" s="295">
        <f t="shared" si="0"/>
        <v>63</v>
      </c>
      <c r="Z9" s="295">
        <f t="shared" si="0"/>
        <v>1</v>
      </c>
      <c r="AA9" s="295">
        <f t="shared" si="0"/>
        <v>5</v>
      </c>
      <c r="AB9" s="295">
        <f t="shared" si="0"/>
        <v>2</v>
      </c>
      <c r="AC9" s="295">
        <f t="shared" si="0"/>
        <v>5</v>
      </c>
      <c r="AD9" s="295">
        <f t="shared" si="0"/>
        <v>8</v>
      </c>
      <c r="AE9" s="295">
        <f t="shared" si="0"/>
        <v>1</v>
      </c>
      <c r="AF9" s="295">
        <f t="shared" si="0"/>
        <v>2</v>
      </c>
      <c r="AG9" s="295">
        <f t="shared" si="0"/>
        <v>1</v>
      </c>
      <c r="AH9" s="295">
        <f t="shared" si="0"/>
        <v>1</v>
      </c>
      <c r="AI9" s="295">
        <f t="shared" si="0"/>
        <v>26</v>
      </c>
      <c r="AJ9" s="295">
        <f t="shared" si="0"/>
        <v>2</v>
      </c>
      <c r="AK9" s="295">
        <f t="shared" si="0"/>
        <v>1</v>
      </c>
      <c r="AL9" s="295">
        <f t="shared" si="0"/>
        <v>1</v>
      </c>
      <c r="AM9" s="295">
        <f t="shared" si="0"/>
        <v>6</v>
      </c>
      <c r="AN9" s="295">
        <f t="shared" si="0"/>
        <v>32</v>
      </c>
      <c r="AO9" s="295">
        <f t="shared" si="0"/>
        <v>11</v>
      </c>
      <c r="AP9" s="295">
        <f t="shared" si="0"/>
        <v>1</v>
      </c>
      <c r="AQ9" s="295">
        <f t="shared" si="0"/>
        <v>10</v>
      </c>
      <c r="AR9" s="295">
        <f t="shared" si="0"/>
        <v>223</v>
      </c>
      <c r="AS9" s="295">
        <f t="shared" si="0"/>
        <v>1</v>
      </c>
      <c r="AT9" s="295">
        <f t="shared" si="0"/>
        <v>7</v>
      </c>
      <c r="AU9" s="295">
        <f t="shared" si="0"/>
        <v>5</v>
      </c>
      <c r="AV9" s="295">
        <f t="shared" si="0"/>
        <v>6640</v>
      </c>
    </row>
    <row r="10" spans="1:48" ht="5.0999999999999996" customHeight="1">
      <c r="A10" s="362"/>
      <c r="B10" s="297"/>
      <c r="C10" s="297"/>
      <c r="D10" s="297"/>
      <c r="E10" s="297"/>
      <c r="F10" s="297"/>
      <c r="G10" s="297"/>
      <c r="H10" s="297"/>
      <c r="I10" s="297"/>
      <c r="J10" s="297"/>
      <c r="K10" s="297"/>
      <c r="L10" s="297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297"/>
      <c r="X10" s="297"/>
      <c r="Y10" s="297"/>
      <c r="Z10" s="297"/>
      <c r="AA10" s="297"/>
      <c r="AB10" s="297"/>
      <c r="AC10" s="297"/>
      <c r="AD10" s="297"/>
      <c r="AE10" s="297"/>
      <c r="AF10" s="297"/>
      <c r="AG10" s="297"/>
      <c r="AH10" s="297"/>
      <c r="AI10" s="297"/>
      <c r="AJ10" s="297"/>
      <c r="AK10" s="297"/>
      <c r="AL10" s="297"/>
      <c r="AM10" s="297"/>
      <c r="AN10" s="297"/>
      <c r="AO10" s="297"/>
      <c r="AP10" s="297"/>
      <c r="AQ10" s="297"/>
      <c r="AR10" s="297"/>
      <c r="AS10" s="297"/>
      <c r="AT10" s="297"/>
      <c r="AU10" s="297"/>
      <c r="AV10" s="297"/>
    </row>
    <row r="11" spans="1:48">
      <c r="A11" s="207" t="s">
        <v>476</v>
      </c>
      <c r="B11" s="297">
        <v>1</v>
      </c>
      <c r="C11" s="297">
        <v>0</v>
      </c>
      <c r="D11" s="297">
        <v>0</v>
      </c>
      <c r="E11" s="297">
        <v>0</v>
      </c>
      <c r="F11" s="297">
        <v>0</v>
      </c>
      <c r="G11" s="297">
        <v>0</v>
      </c>
      <c r="H11" s="297">
        <v>0</v>
      </c>
      <c r="I11" s="297">
        <v>0</v>
      </c>
      <c r="J11" s="297">
        <v>0</v>
      </c>
      <c r="K11" s="297">
        <v>0</v>
      </c>
      <c r="L11" s="297">
        <v>0</v>
      </c>
      <c r="M11" s="297">
        <v>1</v>
      </c>
      <c r="N11" s="297">
        <v>0</v>
      </c>
      <c r="O11" s="297">
        <v>0</v>
      </c>
      <c r="P11" s="297">
        <v>0</v>
      </c>
      <c r="Q11" s="297">
        <v>0</v>
      </c>
      <c r="R11" s="297">
        <v>0</v>
      </c>
      <c r="S11" s="297">
        <v>0</v>
      </c>
      <c r="T11" s="297">
        <v>0</v>
      </c>
      <c r="U11" s="297">
        <v>0</v>
      </c>
      <c r="V11" s="297">
        <v>0</v>
      </c>
      <c r="W11" s="297">
        <v>0</v>
      </c>
      <c r="X11" s="297">
        <v>0</v>
      </c>
      <c r="Y11" s="297">
        <v>0</v>
      </c>
      <c r="Z11" s="297">
        <v>0</v>
      </c>
      <c r="AA11" s="297">
        <v>0</v>
      </c>
      <c r="AB11" s="297">
        <v>0</v>
      </c>
      <c r="AC11" s="297">
        <v>0</v>
      </c>
      <c r="AD11" s="297">
        <v>0</v>
      </c>
      <c r="AE11" s="297">
        <v>0</v>
      </c>
      <c r="AF11" s="297">
        <v>0</v>
      </c>
      <c r="AG11" s="297">
        <v>0</v>
      </c>
      <c r="AH11" s="297">
        <v>0</v>
      </c>
      <c r="AI11" s="297">
        <v>0</v>
      </c>
      <c r="AJ11" s="297">
        <v>0</v>
      </c>
      <c r="AK11" s="297">
        <v>0</v>
      </c>
      <c r="AL11" s="297">
        <v>0</v>
      </c>
      <c r="AM11" s="297">
        <v>0</v>
      </c>
      <c r="AN11" s="297">
        <v>0</v>
      </c>
      <c r="AO11" s="297">
        <v>0</v>
      </c>
      <c r="AP11" s="297">
        <v>0</v>
      </c>
      <c r="AQ11" s="297">
        <v>0</v>
      </c>
      <c r="AR11" s="297">
        <v>0</v>
      </c>
      <c r="AS11" s="297">
        <v>0</v>
      </c>
      <c r="AT11" s="297">
        <v>0</v>
      </c>
      <c r="AU11" s="297">
        <v>0</v>
      </c>
      <c r="AV11" s="297">
        <v>0</v>
      </c>
    </row>
    <row r="12" spans="1:48">
      <c r="A12" s="207" t="s">
        <v>401</v>
      </c>
      <c r="B12" s="297">
        <v>2</v>
      </c>
      <c r="C12" s="297">
        <v>0</v>
      </c>
      <c r="D12" s="297">
        <v>0</v>
      </c>
      <c r="E12" s="297">
        <v>0</v>
      </c>
      <c r="F12" s="297">
        <v>0</v>
      </c>
      <c r="G12" s="297">
        <v>0</v>
      </c>
      <c r="H12" s="297">
        <v>0</v>
      </c>
      <c r="I12" s="297">
        <v>0</v>
      </c>
      <c r="J12" s="297">
        <v>0</v>
      </c>
      <c r="K12" s="297">
        <v>0</v>
      </c>
      <c r="L12" s="297">
        <v>0</v>
      </c>
      <c r="M12" s="297">
        <v>1</v>
      </c>
      <c r="N12" s="297">
        <v>0</v>
      </c>
      <c r="O12" s="297">
        <v>0</v>
      </c>
      <c r="P12" s="297">
        <v>0</v>
      </c>
      <c r="Q12" s="297">
        <v>0</v>
      </c>
      <c r="R12" s="297">
        <v>0</v>
      </c>
      <c r="S12" s="297">
        <v>0</v>
      </c>
      <c r="T12" s="297">
        <v>0</v>
      </c>
      <c r="U12" s="297">
        <v>0</v>
      </c>
      <c r="V12" s="297">
        <v>0</v>
      </c>
      <c r="W12" s="297">
        <v>0</v>
      </c>
      <c r="X12" s="297">
        <v>0</v>
      </c>
      <c r="Y12" s="297">
        <v>1</v>
      </c>
      <c r="Z12" s="297">
        <v>0</v>
      </c>
      <c r="AA12" s="297">
        <v>0</v>
      </c>
      <c r="AB12" s="297">
        <v>0</v>
      </c>
      <c r="AC12" s="297">
        <v>0</v>
      </c>
      <c r="AD12" s="297">
        <v>0</v>
      </c>
      <c r="AE12" s="297">
        <v>0</v>
      </c>
      <c r="AF12" s="297">
        <v>0</v>
      </c>
      <c r="AG12" s="297">
        <v>0</v>
      </c>
      <c r="AH12" s="297">
        <v>0</v>
      </c>
      <c r="AI12" s="297">
        <v>0</v>
      </c>
      <c r="AJ12" s="297">
        <v>0</v>
      </c>
      <c r="AK12" s="297">
        <v>0</v>
      </c>
      <c r="AL12" s="297">
        <v>0</v>
      </c>
      <c r="AM12" s="297">
        <v>0</v>
      </c>
      <c r="AN12" s="297">
        <v>0</v>
      </c>
      <c r="AO12" s="297">
        <v>0</v>
      </c>
      <c r="AP12" s="297">
        <v>0</v>
      </c>
      <c r="AQ12" s="297">
        <v>0</v>
      </c>
      <c r="AR12" s="297">
        <v>0</v>
      </c>
      <c r="AS12" s="297">
        <v>0</v>
      </c>
      <c r="AT12" s="297">
        <v>0</v>
      </c>
      <c r="AU12" s="297">
        <v>0</v>
      </c>
      <c r="AV12" s="297">
        <v>0</v>
      </c>
    </row>
    <row r="13" spans="1:48">
      <c r="A13" s="207" t="s">
        <v>603</v>
      </c>
      <c r="B13" s="297">
        <v>1</v>
      </c>
      <c r="C13" s="297">
        <v>0</v>
      </c>
      <c r="D13" s="297">
        <v>0</v>
      </c>
      <c r="E13" s="297">
        <v>0</v>
      </c>
      <c r="F13" s="297">
        <v>0</v>
      </c>
      <c r="G13" s="297">
        <v>0</v>
      </c>
      <c r="H13" s="297">
        <v>0</v>
      </c>
      <c r="I13" s="297">
        <v>0</v>
      </c>
      <c r="J13" s="297">
        <v>0</v>
      </c>
      <c r="K13" s="297">
        <v>0</v>
      </c>
      <c r="L13" s="297">
        <v>0</v>
      </c>
      <c r="M13" s="297">
        <v>1</v>
      </c>
      <c r="N13" s="297">
        <v>0</v>
      </c>
      <c r="O13" s="297">
        <v>0</v>
      </c>
      <c r="P13" s="297">
        <v>0</v>
      </c>
      <c r="Q13" s="297">
        <v>0</v>
      </c>
      <c r="R13" s="297">
        <v>0</v>
      </c>
      <c r="S13" s="297">
        <v>0</v>
      </c>
      <c r="T13" s="297">
        <v>0</v>
      </c>
      <c r="U13" s="297">
        <v>0</v>
      </c>
      <c r="V13" s="297">
        <v>0</v>
      </c>
      <c r="W13" s="297">
        <v>0</v>
      </c>
      <c r="X13" s="297">
        <v>0</v>
      </c>
      <c r="Y13" s="297">
        <v>0</v>
      </c>
      <c r="Z13" s="297">
        <v>0</v>
      </c>
      <c r="AA13" s="297">
        <v>0</v>
      </c>
      <c r="AB13" s="297">
        <v>0</v>
      </c>
      <c r="AC13" s="297">
        <v>0</v>
      </c>
      <c r="AD13" s="297">
        <v>0</v>
      </c>
      <c r="AE13" s="297">
        <v>0</v>
      </c>
      <c r="AF13" s="297">
        <v>0</v>
      </c>
      <c r="AG13" s="297">
        <v>0</v>
      </c>
      <c r="AH13" s="297">
        <v>0</v>
      </c>
      <c r="AI13" s="297">
        <v>0</v>
      </c>
      <c r="AJ13" s="297">
        <v>0</v>
      </c>
      <c r="AK13" s="297">
        <v>0</v>
      </c>
      <c r="AL13" s="297">
        <v>0</v>
      </c>
      <c r="AM13" s="297">
        <v>0</v>
      </c>
      <c r="AN13" s="297">
        <v>0</v>
      </c>
      <c r="AO13" s="297">
        <v>0</v>
      </c>
      <c r="AP13" s="297">
        <v>0</v>
      </c>
      <c r="AQ13" s="297">
        <v>0</v>
      </c>
      <c r="AR13" s="297">
        <v>0</v>
      </c>
      <c r="AS13" s="297">
        <v>0</v>
      </c>
      <c r="AT13" s="297">
        <v>0</v>
      </c>
      <c r="AU13" s="297">
        <v>0</v>
      </c>
      <c r="AV13" s="297">
        <v>0</v>
      </c>
    </row>
    <row r="14" spans="1:48">
      <c r="A14" s="207" t="s">
        <v>341</v>
      </c>
      <c r="B14" s="297">
        <v>11</v>
      </c>
      <c r="C14" s="297">
        <v>0</v>
      </c>
      <c r="D14" s="297">
        <v>0</v>
      </c>
      <c r="E14" s="297">
        <v>0</v>
      </c>
      <c r="F14" s="297">
        <v>0</v>
      </c>
      <c r="G14" s="297">
        <v>0</v>
      </c>
      <c r="H14" s="297">
        <v>0</v>
      </c>
      <c r="I14" s="297">
        <v>0</v>
      </c>
      <c r="J14" s="297">
        <v>0</v>
      </c>
      <c r="K14" s="297">
        <v>0</v>
      </c>
      <c r="L14" s="297">
        <v>0</v>
      </c>
      <c r="M14" s="297">
        <v>11</v>
      </c>
      <c r="N14" s="297">
        <v>0</v>
      </c>
      <c r="O14" s="297">
        <v>0</v>
      </c>
      <c r="P14" s="297">
        <v>0</v>
      </c>
      <c r="Q14" s="297">
        <v>0</v>
      </c>
      <c r="R14" s="297">
        <v>0</v>
      </c>
      <c r="S14" s="297">
        <v>0</v>
      </c>
      <c r="T14" s="297">
        <v>0</v>
      </c>
      <c r="U14" s="297">
        <v>0</v>
      </c>
      <c r="V14" s="297">
        <v>0</v>
      </c>
      <c r="W14" s="297">
        <v>0</v>
      </c>
      <c r="X14" s="297">
        <v>0</v>
      </c>
      <c r="Y14" s="297">
        <v>0</v>
      </c>
      <c r="Z14" s="297">
        <v>0</v>
      </c>
      <c r="AA14" s="297">
        <v>0</v>
      </c>
      <c r="AB14" s="297">
        <v>0</v>
      </c>
      <c r="AC14" s="297">
        <v>0</v>
      </c>
      <c r="AD14" s="297">
        <v>0</v>
      </c>
      <c r="AE14" s="297">
        <v>0</v>
      </c>
      <c r="AF14" s="297">
        <v>0</v>
      </c>
      <c r="AG14" s="297">
        <v>0</v>
      </c>
      <c r="AH14" s="297">
        <v>0</v>
      </c>
      <c r="AI14" s="297">
        <v>0</v>
      </c>
      <c r="AJ14" s="297">
        <v>0</v>
      </c>
      <c r="AK14" s="297">
        <v>0</v>
      </c>
      <c r="AL14" s="297">
        <v>0</v>
      </c>
      <c r="AM14" s="297">
        <v>0</v>
      </c>
      <c r="AN14" s="297">
        <v>0</v>
      </c>
      <c r="AO14" s="297">
        <v>0</v>
      </c>
      <c r="AP14" s="297">
        <v>0</v>
      </c>
      <c r="AQ14" s="297">
        <v>0</v>
      </c>
      <c r="AR14" s="297">
        <v>0</v>
      </c>
      <c r="AS14" s="297">
        <v>0</v>
      </c>
      <c r="AT14" s="297">
        <v>0</v>
      </c>
      <c r="AU14" s="297">
        <v>0</v>
      </c>
      <c r="AV14" s="297">
        <v>0</v>
      </c>
    </row>
    <row r="15" spans="1:48">
      <c r="A15" s="207" t="s">
        <v>342</v>
      </c>
      <c r="B15" s="297">
        <v>2</v>
      </c>
      <c r="C15" s="297">
        <v>0</v>
      </c>
      <c r="D15" s="297">
        <v>0</v>
      </c>
      <c r="E15" s="297">
        <v>0</v>
      </c>
      <c r="F15" s="297">
        <v>0</v>
      </c>
      <c r="G15" s="297">
        <v>0</v>
      </c>
      <c r="H15" s="297">
        <v>0</v>
      </c>
      <c r="I15" s="297">
        <v>1</v>
      </c>
      <c r="J15" s="297">
        <v>0</v>
      </c>
      <c r="K15" s="297">
        <v>0</v>
      </c>
      <c r="L15" s="297">
        <v>0</v>
      </c>
      <c r="M15" s="297">
        <v>1</v>
      </c>
      <c r="N15" s="297">
        <v>0</v>
      </c>
      <c r="O15" s="297">
        <v>0</v>
      </c>
      <c r="P15" s="297">
        <v>0</v>
      </c>
      <c r="Q15" s="297">
        <v>0</v>
      </c>
      <c r="R15" s="297">
        <v>0</v>
      </c>
      <c r="S15" s="297">
        <v>0</v>
      </c>
      <c r="T15" s="297">
        <v>0</v>
      </c>
      <c r="U15" s="297">
        <v>0</v>
      </c>
      <c r="V15" s="297">
        <v>0</v>
      </c>
      <c r="W15" s="297">
        <v>0</v>
      </c>
      <c r="X15" s="297">
        <v>0</v>
      </c>
      <c r="Y15" s="297">
        <v>0</v>
      </c>
      <c r="Z15" s="297">
        <v>0</v>
      </c>
      <c r="AA15" s="297">
        <v>0</v>
      </c>
      <c r="AB15" s="297">
        <v>0</v>
      </c>
      <c r="AC15" s="297">
        <v>0</v>
      </c>
      <c r="AD15" s="297">
        <v>0</v>
      </c>
      <c r="AE15" s="297">
        <v>0</v>
      </c>
      <c r="AF15" s="297">
        <v>0</v>
      </c>
      <c r="AG15" s="297">
        <v>0</v>
      </c>
      <c r="AH15" s="297">
        <v>0</v>
      </c>
      <c r="AI15" s="297">
        <v>0</v>
      </c>
      <c r="AJ15" s="297">
        <v>0</v>
      </c>
      <c r="AK15" s="297">
        <v>0</v>
      </c>
      <c r="AL15" s="297">
        <v>0</v>
      </c>
      <c r="AM15" s="297">
        <v>0</v>
      </c>
      <c r="AN15" s="297">
        <v>0</v>
      </c>
      <c r="AO15" s="297">
        <v>0</v>
      </c>
      <c r="AP15" s="297">
        <v>0</v>
      </c>
      <c r="AQ15" s="297">
        <v>0</v>
      </c>
      <c r="AR15" s="297">
        <v>0</v>
      </c>
      <c r="AS15" s="297">
        <v>0</v>
      </c>
      <c r="AT15" s="297">
        <v>0</v>
      </c>
      <c r="AU15" s="297">
        <v>0</v>
      </c>
      <c r="AV15" s="297">
        <v>0</v>
      </c>
    </row>
    <row r="16" spans="1:48">
      <c r="A16" s="207" t="s">
        <v>404</v>
      </c>
      <c r="B16" s="297">
        <v>8</v>
      </c>
      <c r="C16" s="297">
        <v>0</v>
      </c>
      <c r="D16" s="297">
        <v>0</v>
      </c>
      <c r="E16" s="297">
        <v>0</v>
      </c>
      <c r="F16" s="297">
        <v>0</v>
      </c>
      <c r="G16" s="297">
        <v>1</v>
      </c>
      <c r="H16" s="297">
        <v>0</v>
      </c>
      <c r="I16" s="297">
        <v>0</v>
      </c>
      <c r="J16" s="297">
        <v>1</v>
      </c>
      <c r="K16" s="297">
        <v>0</v>
      </c>
      <c r="L16" s="297">
        <v>0</v>
      </c>
      <c r="M16" s="297">
        <v>4</v>
      </c>
      <c r="N16" s="297">
        <v>0</v>
      </c>
      <c r="O16" s="297">
        <v>0</v>
      </c>
      <c r="P16" s="297">
        <v>0</v>
      </c>
      <c r="Q16" s="297">
        <v>0</v>
      </c>
      <c r="R16" s="297">
        <v>0</v>
      </c>
      <c r="S16" s="297">
        <v>0</v>
      </c>
      <c r="T16" s="297">
        <v>0</v>
      </c>
      <c r="U16" s="297">
        <v>0</v>
      </c>
      <c r="V16" s="297">
        <v>0</v>
      </c>
      <c r="W16" s="297">
        <v>0</v>
      </c>
      <c r="X16" s="297">
        <v>0</v>
      </c>
      <c r="Y16" s="297">
        <v>1</v>
      </c>
      <c r="Z16" s="297">
        <v>0</v>
      </c>
      <c r="AA16" s="297">
        <v>0</v>
      </c>
      <c r="AB16" s="297">
        <v>0</v>
      </c>
      <c r="AC16" s="297">
        <v>0</v>
      </c>
      <c r="AD16" s="297">
        <v>0</v>
      </c>
      <c r="AE16" s="297">
        <v>0</v>
      </c>
      <c r="AF16" s="297">
        <v>0</v>
      </c>
      <c r="AG16" s="297">
        <v>0</v>
      </c>
      <c r="AH16" s="297">
        <v>0</v>
      </c>
      <c r="AI16" s="297">
        <v>0</v>
      </c>
      <c r="AJ16" s="297">
        <v>0</v>
      </c>
      <c r="AK16" s="297">
        <v>0</v>
      </c>
      <c r="AL16" s="297">
        <v>0</v>
      </c>
      <c r="AM16" s="297">
        <v>0</v>
      </c>
      <c r="AN16" s="297">
        <v>0</v>
      </c>
      <c r="AO16" s="297">
        <v>0</v>
      </c>
      <c r="AP16" s="297">
        <v>0</v>
      </c>
      <c r="AQ16" s="297">
        <v>0</v>
      </c>
      <c r="AR16" s="297">
        <v>1</v>
      </c>
      <c r="AS16" s="297">
        <v>0</v>
      </c>
      <c r="AT16" s="297">
        <v>0</v>
      </c>
      <c r="AU16" s="297">
        <v>0</v>
      </c>
      <c r="AV16" s="297">
        <v>0</v>
      </c>
    </row>
    <row r="17" spans="1:48">
      <c r="A17" s="207" t="s">
        <v>343</v>
      </c>
      <c r="B17" s="297">
        <v>13</v>
      </c>
      <c r="C17" s="297">
        <v>0</v>
      </c>
      <c r="D17" s="297">
        <v>0</v>
      </c>
      <c r="E17" s="297">
        <v>0</v>
      </c>
      <c r="F17" s="297">
        <v>0</v>
      </c>
      <c r="G17" s="297">
        <v>0</v>
      </c>
      <c r="H17" s="297">
        <v>0</v>
      </c>
      <c r="I17" s="297">
        <v>0</v>
      </c>
      <c r="J17" s="297">
        <v>0</v>
      </c>
      <c r="K17" s="297">
        <v>0</v>
      </c>
      <c r="L17" s="297">
        <v>1</v>
      </c>
      <c r="M17" s="297">
        <v>11</v>
      </c>
      <c r="N17" s="297">
        <v>0</v>
      </c>
      <c r="O17" s="297">
        <v>0</v>
      </c>
      <c r="P17" s="297">
        <v>0</v>
      </c>
      <c r="Q17" s="297">
        <v>0</v>
      </c>
      <c r="R17" s="297">
        <v>0</v>
      </c>
      <c r="S17" s="297">
        <v>0</v>
      </c>
      <c r="T17" s="297">
        <v>0</v>
      </c>
      <c r="U17" s="297">
        <v>0</v>
      </c>
      <c r="V17" s="297">
        <v>0</v>
      </c>
      <c r="W17" s="297">
        <v>0</v>
      </c>
      <c r="X17" s="297">
        <v>0</v>
      </c>
      <c r="Y17" s="297">
        <v>0</v>
      </c>
      <c r="Z17" s="297">
        <v>0</v>
      </c>
      <c r="AA17" s="297">
        <v>0</v>
      </c>
      <c r="AB17" s="297">
        <v>0</v>
      </c>
      <c r="AC17" s="297">
        <v>0</v>
      </c>
      <c r="AD17" s="297">
        <v>0</v>
      </c>
      <c r="AE17" s="297">
        <v>0</v>
      </c>
      <c r="AF17" s="297">
        <v>0</v>
      </c>
      <c r="AG17" s="297">
        <v>0</v>
      </c>
      <c r="AH17" s="297">
        <v>0</v>
      </c>
      <c r="AI17" s="297">
        <v>0</v>
      </c>
      <c r="AJ17" s="297">
        <v>0</v>
      </c>
      <c r="AK17" s="297">
        <v>0</v>
      </c>
      <c r="AL17" s="297">
        <v>0</v>
      </c>
      <c r="AM17" s="297">
        <v>0</v>
      </c>
      <c r="AN17" s="297">
        <v>1</v>
      </c>
      <c r="AO17" s="297">
        <v>0</v>
      </c>
      <c r="AP17" s="297">
        <v>0</v>
      </c>
      <c r="AQ17" s="297">
        <v>0</v>
      </c>
      <c r="AR17" s="297">
        <v>0</v>
      </c>
      <c r="AS17" s="297">
        <v>0</v>
      </c>
      <c r="AT17" s="297">
        <v>0</v>
      </c>
      <c r="AU17" s="297">
        <v>0</v>
      </c>
      <c r="AV17" s="297">
        <v>0</v>
      </c>
    </row>
    <row r="18" spans="1:48">
      <c r="A18" s="207" t="s">
        <v>594</v>
      </c>
      <c r="B18" s="297">
        <v>1</v>
      </c>
      <c r="C18" s="297">
        <v>0</v>
      </c>
      <c r="D18" s="297">
        <v>0</v>
      </c>
      <c r="E18" s="297">
        <v>0</v>
      </c>
      <c r="F18" s="297">
        <v>0</v>
      </c>
      <c r="G18" s="297">
        <v>0</v>
      </c>
      <c r="H18" s="297">
        <v>0</v>
      </c>
      <c r="I18" s="297">
        <v>0</v>
      </c>
      <c r="J18" s="297">
        <v>0</v>
      </c>
      <c r="K18" s="297">
        <v>0</v>
      </c>
      <c r="L18" s="297">
        <v>0</v>
      </c>
      <c r="M18" s="297">
        <v>1</v>
      </c>
      <c r="N18" s="297">
        <v>0</v>
      </c>
      <c r="O18" s="297">
        <v>0</v>
      </c>
      <c r="P18" s="297">
        <v>0</v>
      </c>
      <c r="Q18" s="297">
        <v>0</v>
      </c>
      <c r="R18" s="297">
        <v>0</v>
      </c>
      <c r="S18" s="297">
        <v>0</v>
      </c>
      <c r="T18" s="297">
        <v>0</v>
      </c>
      <c r="U18" s="297">
        <v>0</v>
      </c>
      <c r="V18" s="297">
        <v>0</v>
      </c>
      <c r="W18" s="297">
        <v>0</v>
      </c>
      <c r="X18" s="297">
        <v>0</v>
      </c>
      <c r="Y18" s="297">
        <v>0</v>
      </c>
      <c r="Z18" s="297">
        <v>0</v>
      </c>
      <c r="AA18" s="297">
        <v>0</v>
      </c>
      <c r="AB18" s="297">
        <v>0</v>
      </c>
      <c r="AC18" s="297">
        <v>0</v>
      </c>
      <c r="AD18" s="297">
        <v>0</v>
      </c>
      <c r="AE18" s="297">
        <v>0</v>
      </c>
      <c r="AF18" s="297">
        <v>0</v>
      </c>
      <c r="AG18" s="297">
        <v>0</v>
      </c>
      <c r="AH18" s="297">
        <v>0</v>
      </c>
      <c r="AI18" s="297">
        <v>0</v>
      </c>
      <c r="AJ18" s="297">
        <v>0</v>
      </c>
      <c r="AK18" s="297">
        <v>0</v>
      </c>
      <c r="AL18" s="297">
        <v>0</v>
      </c>
      <c r="AM18" s="297">
        <v>0</v>
      </c>
      <c r="AN18" s="297">
        <v>0</v>
      </c>
      <c r="AO18" s="297">
        <v>0</v>
      </c>
      <c r="AP18" s="297">
        <v>0</v>
      </c>
      <c r="AQ18" s="297">
        <v>0</v>
      </c>
      <c r="AR18" s="297">
        <v>0</v>
      </c>
      <c r="AS18" s="297">
        <v>0</v>
      </c>
      <c r="AT18" s="297">
        <v>0</v>
      </c>
      <c r="AU18" s="297">
        <v>0</v>
      </c>
      <c r="AV18" s="297">
        <v>0</v>
      </c>
    </row>
    <row r="19" spans="1:48">
      <c r="A19" s="207" t="s">
        <v>44</v>
      </c>
      <c r="B19" s="297">
        <v>10605</v>
      </c>
      <c r="C19" s="297">
        <v>1</v>
      </c>
      <c r="D19" s="297">
        <v>4</v>
      </c>
      <c r="E19" s="297">
        <v>1</v>
      </c>
      <c r="F19" s="297">
        <v>0</v>
      </c>
      <c r="G19" s="297">
        <v>8</v>
      </c>
      <c r="H19" s="297">
        <v>2</v>
      </c>
      <c r="I19" s="297">
        <v>1</v>
      </c>
      <c r="J19" s="297">
        <v>6</v>
      </c>
      <c r="K19" s="297">
        <v>1</v>
      </c>
      <c r="L19" s="297">
        <v>5</v>
      </c>
      <c r="M19" s="297">
        <v>10072</v>
      </c>
      <c r="N19" s="297">
        <v>1</v>
      </c>
      <c r="O19" s="297">
        <v>0</v>
      </c>
      <c r="P19" s="297">
        <v>1</v>
      </c>
      <c r="Q19" s="297">
        <v>2</v>
      </c>
      <c r="R19" s="297">
        <v>8</v>
      </c>
      <c r="S19" s="297">
        <v>1</v>
      </c>
      <c r="T19" s="297">
        <v>0</v>
      </c>
      <c r="U19" s="297">
        <v>2</v>
      </c>
      <c r="V19" s="297">
        <v>0</v>
      </c>
      <c r="W19" s="297">
        <v>1</v>
      </c>
      <c r="X19" s="297">
        <v>3</v>
      </c>
      <c r="Y19" s="297">
        <v>54</v>
      </c>
      <c r="Z19" s="297">
        <v>0</v>
      </c>
      <c r="AA19" s="297">
        <v>2</v>
      </c>
      <c r="AB19" s="297">
        <v>1</v>
      </c>
      <c r="AC19" s="297">
        <v>3</v>
      </c>
      <c r="AD19" s="297">
        <v>8</v>
      </c>
      <c r="AE19" s="297">
        <v>1</v>
      </c>
      <c r="AF19" s="297">
        <v>2</v>
      </c>
      <c r="AG19" s="297">
        <v>1</v>
      </c>
      <c r="AH19" s="297">
        <v>1</v>
      </c>
      <c r="AI19" s="297">
        <v>23</v>
      </c>
      <c r="AJ19" s="297">
        <v>1</v>
      </c>
      <c r="AK19" s="297">
        <v>0</v>
      </c>
      <c r="AL19" s="297">
        <v>0</v>
      </c>
      <c r="AM19" s="297">
        <v>5</v>
      </c>
      <c r="AN19" s="297">
        <v>26</v>
      </c>
      <c r="AO19" s="297">
        <v>9</v>
      </c>
      <c r="AP19" s="297">
        <v>1</v>
      </c>
      <c r="AQ19" s="297">
        <v>8</v>
      </c>
      <c r="AR19" s="297">
        <v>146</v>
      </c>
      <c r="AS19" s="297">
        <v>1</v>
      </c>
      <c r="AT19" s="297">
        <v>3</v>
      </c>
      <c r="AU19" s="297">
        <v>3</v>
      </c>
      <c r="AV19" s="297">
        <v>186</v>
      </c>
    </row>
    <row r="20" spans="1:48">
      <c r="A20" s="207" t="s">
        <v>344</v>
      </c>
      <c r="B20" s="297">
        <v>1</v>
      </c>
      <c r="C20" s="297">
        <v>0</v>
      </c>
      <c r="D20" s="297">
        <v>0</v>
      </c>
      <c r="E20" s="297">
        <v>0</v>
      </c>
      <c r="F20" s="297">
        <v>0</v>
      </c>
      <c r="G20" s="297">
        <v>0</v>
      </c>
      <c r="H20" s="297">
        <v>0</v>
      </c>
      <c r="I20" s="297">
        <v>0</v>
      </c>
      <c r="J20" s="297">
        <v>0</v>
      </c>
      <c r="K20" s="297">
        <v>0</v>
      </c>
      <c r="L20" s="297">
        <v>0</v>
      </c>
      <c r="M20" s="297">
        <v>1</v>
      </c>
      <c r="N20" s="297">
        <v>0</v>
      </c>
      <c r="O20" s="297">
        <v>0</v>
      </c>
      <c r="P20" s="297">
        <v>0</v>
      </c>
      <c r="Q20" s="297">
        <v>0</v>
      </c>
      <c r="R20" s="297">
        <v>0</v>
      </c>
      <c r="S20" s="297">
        <v>0</v>
      </c>
      <c r="T20" s="297">
        <v>0</v>
      </c>
      <c r="U20" s="297">
        <v>0</v>
      </c>
      <c r="V20" s="297">
        <v>0</v>
      </c>
      <c r="W20" s="297">
        <v>0</v>
      </c>
      <c r="X20" s="297">
        <v>0</v>
      </c>
      <c r="Y20" s="297">
        <v>0</v>
      </c>
      <c r="Z20" s="297">
        <v>0</v>
      </c>
      <c r="AA20" s="297">
        <v>0</v>
      </c>
      <c r="AB20" s="297">
        <v>0</v>
      </c>
      <c r="AC20" s="297">
        <v>0</v>
      </c>
      <c r="AD20" s="297">
        <v>0</v>
      </c>
      <c r="AE20" s="297">
        <v>0</v>
      </c>
      <c r="AF20" s="297">
        <v>0</v>
      </c>
      <c r="AG20" s="297">
        <v>0</v>
      </c>
      <c r="AH20" s="297">
        <v>0</v>
      </c>
      <c r="AI20" s="297">
        <v>0</v>
      </c>
      <c r="AJ20" s="297">
        <v>0</v>
      </c>
      <c r="AK20" s="297">
        <v>0</v>
      </c>
      <c r="AL20" s="297">
        <v>0</v>
      </c>
      <c r="AM20" s="297">
        <v>0</v>
      </c>
      <c r="AN20" s="297">
        <v>0</v>
      </c>
      <c r="AO20" s="297">
        <v>0</v>
      </c>
      <c r="AP20" s="297">
        <v>0</v>
      </c>
      <c r="AQ20" s="297">
        <v>0</v>
      </c>
      <c r="AR20" s="297">
        <v>0</v>
      </c>
      <c r="AS20" s="297">
        <v>0</v>
      </c>
      <c r="AT20" s="297">
        <v>0</v>
      </c>
      <c r="AU20" s="297">
        <v>0</v>
      </c>
      <c r="AV20" s="297">
        <v>0</v>
      </c>
    </row>
    <row r="21" spans="1:48">
      <c r="A21" s="207" t="s">
        <v>551</v>
      </c>
      <c r="B21" s="297">
        <v>2</v>
      </c>
      <c r="C21" s="297">
        <v>0</v>
      </c>
      <c r="D21" s="297">
        <v>0</v>
      </c>
      <c r="E21" s="297">
        <v>0</v>
      </c>
      <c r="F21" s="297">
        <v>0</v>
      </c>
      <c r="G21" s="297">
        <v>0</v>
      </c>
      <c r="H21" s="297">
        <v>0</v>
      </c>
      <c r="I21" s="297">
        <v>0</v>
      </c>
      <c r="J21" s="297">
        <v>0</v>
      </c>
      <c r="K21" s="297">
        <v>0</v>
      </c>
      <c r="L21" s="297">
        <v>0</v>
      </c>
      <c r="M21" s="297">
        <v>2</v>
      </c>
      <c r="N21" s="297">
        <v>0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X21" s="297">
        <v>0</v>
      </c>
      <c r="Y21" s="297">
        <v>0</v>
      </c>
      <c r="Z21" s="297">
        <v>0</v>
      </c>
      <c r="AA21" s="297">
        <v>0</v>
      </c>
      <c r="AB21" s="297">
        <v>0</v>
      </c>
      <c r="AC21" s="297">
        <v>0</v>
      </c>
      <c r="AD21" s="297">
        <v>0</v>
      </c>
      <c r="AE21" s="297">
        <v>0</v>
      </c>
      <c r="AF21" s="297">
        <v>0</v>
      </c>
      <c r="AG21" s="297">
        <v>0</v>
      </c>
      <c r="AH21" s="297">
        <v>0</v>
      </c>
      <c r="AI21" s="297">
        <v>0</v>
      </c>
      <c r="AJ21" s="297">
        <v>0</v>
      </c>
      <c r="AK21" s="297">
        <v>0</v>
      </c>
      <c r="AL21" s="297">
        <v>0</v>
      </c>
      <c r="AM21" s="297">
        <v>0</v>
      </c>
      <c r="AN21" s="297">
        <v>0</v>
      </c>
      <c r="AO21" s="297">
        <v>0</v>
      </c>
      <c r="AP21" s="297">
        <v>0</v>
      </c>
      <c r="AQ21" s="297">
        <v>0</v>
      </c>
      <c r="AR21" s="297">
        <v>0</v>
      </c>
      <c r="AS21" s="297">
        <v>0</v>
      </c>
      <c r="AT21" s="297">
        <v>0</v>
      </c>
      <c r="AU21" s="297">
        <v>0</v>
      </c>
      <c r="AV21" s="297">
        <v>0</v>
      </c>
    </row>
    <row r="22" spans="1:48">
      <c r="A22" s="207" t="s">
        <v>480</v>
      </c>
      <c r="B22" s="297">
        <v>2</v>
      </c>
      <c r="C22" s="297">
        <v>0</v>
      </c>
      <c r="D22" s="297">
        <v>0</v>
      </c>
      <c r="E22" s="297">
        <v>0</v>
      </c>
      <c r="F22" s="297">
        <v>0</v>
      </c>
      <c r="G22" s="297">
        <v>0</v>
      </c>
      <c r="H22" s="297">
        <v>0</v>
      </c>
      <c r="I22" s="297">
        <v>0</v>
      </c>
      <c r="J22" s="297">
        <v>0</v>
      </c>
      <c r="K22" s="297">
        <v>0</v>
      </c>
      <c r="L22" s="297">
        <v>0</v>
      </c>
      <c r="M22" s="297">
        <v>1</v>
      </c>
      <c r="N22" s="297">
        <v>0</v>
      </c>
      <c r="O22" s="297">
        <v>0</v>
      </c>
      <c r="P22" s="297">
        <v>0</v>
      </c>
      <c r="Q22" s="297">
        <v>0</v>
      </c>
      <c r="R22" s="297">
        <v>0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X22" s="297">
        <v>0</v>
      </c>
      <c r="Y22" s="297">
        <v>0</v>
      </c>
      <c r="Z22" s="297">
        <v>0</v>
      </c>
      <c r="AA22" s="297">
        <v>0</v>
      </c>
      <c r="AB22" s="297">
        <v>0</v>
      </c>
      <c r="AC22" s="297">
        <v>0</v>
      </c>
      <c r="AD22" s="297">
        <v>0</v>
      </c>
      <c r="AE22" s="297">
        <v>0</v>
      </c>
      <c r="AF22" s="297">
        <v>0</v>
      </c>
      <c r="AG22" s="297">
        <v>0</v>
      </c>
      <c r="AH22" s="297">
        <v>0</v>
      </c>
      <c r="AI22" s="297">
        <v>0</v>
      </c>
      <c r="AJ22" s="297">
        <v>0</v>
      </c>
      <c r="AK22" s="297">
        <v>0</v>
      </c>
      <c r="AL22" s="297">
        <v>0</v>
      </c>
      <c r="AM22" s="297">
        <v>0</v>
      </c>
      <c r="AN22" s="297">
        <v>0</v>
      </c>
      <c r="AO22" s="297">
        <v>0</v>
      </c>
      <c r="AP22" s="297">
        <v>0</v>
      </c>
      <c r="AQ22" s="297">
        <v>0</v>
      </c>
      <c r="AR22" s="297">
        <v>1</v>
      </c>
      <c r="AS22" s="297">
        <v>0</v>
      </c>
      <c r="AT22" s="297">
        <v>0</v>
      </c>
      <c r="AU22" s="297">
        <v>0</v>
      </c>
      <c r="AV22" s="297">
        <v>0</v>
      </c>
    </row>
    <row r="23" spans="1:48">
      <c r="A23" s="207" t="s">
        <v>573</v>
      </c>
      <c r="B23" s="297">
        <v>5</v>
      </c>
      <c r="C23" s="297">
        <v>0</v>
      </c>
      <c r="D23" s="297">
        <v>0</v>
      </c>
      <c r="E23" s="297">
        <v>0</v>
      </c>
      <c r="F23" s="297">
        <v>0</v>
      </c>
      <c r="G23" s="297">
        <v>0</v>
      </c>
      <c r="H23" s="297">
        <v>0</v>
      </c>
      <c r="I23" s="297">
        <v>0</v>
      </c>
      <c r="J23" s="297">
        <v>0</v>
      </c>
      <c r="K23" s="297">
        <v>0</v>
      </c>
      <c r="L23" s="297">
        <v>0</v>
      </c>
      <c r="M23" s="297">
        <v>2</v>
      </c>
      <c r="N23" s="297">
        <v>0</v>
      </c>
      <c r="O23" s="297">
        <v>0</v>
      </c>
      <c r="P23" s="297">
        <v>0</v>
      </c>
      <c r="Q23" s="297">
        <v>3</v>
      </c>
      <c r="R23" s="297">
        <v>0</v>
      </c>
      <c r="S23" s="297">
        <v>0</v>
      </c>
      <c r="T23" s="297">
        <v>0</v>
      </c>
      <c r="U23" s="297">
        <v>0</v>
      </c>
      <c r="V23" s="297">
        <v>0</v>
      </c>
      <c r="W23" s="297">
        <v>0</v>
      </c>
      <c r="X23" s="297">
        <v>0</v>
      </c>
      <c r="Y23" s="297">
        <v>0</v>
      </c>
      <c r="Z23" s="297">
        <v>0</v>
      </c>
      <c r="AA23" s="297">
        <v>0</v>
      </c>
      <c r="AB23" s="297">
        <v>0</v>
      </c>
      <c r="AC23" s="297">
        <v>0</v>
      </c>
      <c r="AD23" s="297">
        <v>0</v>
      </c>
      <c r="AE23" s="297">
        <v>0</v>
      </c>
      <c r="AF23" s="297">
        <v>0</v>
      </c>
      <c r="AG23" s="297">
        <v>0</v>
      </c>
      <c r="AH23" s="297">
        <v>0</v>
      </c>
      <c r="AI23" s="297">
        <v>0</v>
      </c>
      <c r="AJ23" s="297">
        <v>0</v>
      </c>
      <c r="AK23" s="297">
        <v>0</v>
      </c>
      <c r="AL23" s="297">
        <v>0</v>
      </c>
      <c r="AM23" s="297">
        <v>0</v>
      </c>
      <c r="AN23" s="297">
        <v>0</v>
      </c>
      <c r="AO23" s="297">
        <v>0</v>
      </c>
      <c r="AP23" s="297">
        <v>0</v>
      </c>
      <c r="AQ23" s="297">
        <v>0</v>
      </c>
      <c r="AR23" s="297">
        <v>0</v>
      </c>
      <c r="AS23" s="297">
        <v>0</v>
      </c>
      <c r="AT23" s="297">
        <v>0</v>
      </c>
      <c r="AU23" s="297">
        <v>0</v>
      </c>
      <c r="AV23" s="297">
        <v>0</v>
      </c>
    </row>
    <row r="24" spans="1:48">
      <c r="A24" s="207" t="s">
        <v>574</v>
      </c>
      <c r="B24" s="297">
        <v>7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0</v>
      </c>
      <c r="L24" s="297">
        <v>0</v>
      </c>
      <c r="M24" s="297">
        <v>5</v>
      </c>
      <c r="N24" s="297">
        <v>0</v>
      </c>
      <c r="O24" s="297">
        <v>0</v>
      </c>
      <c r="P24" s="297">
        <v>0</v>
      </c>
      <c r="Q24" s="297">
        <v>0</v>
      </c>
      <c r="R24" s="297">
        <v>2</v>
      </c>
      <c r="S24" s="297">
        <v>0</v>
      </c>
      <c r="T24" s="297">
        <v>0</v>
      </c>
      <c r="U24" s="297">
        <v>0</v>
      </c>
      <c r="V24" s="297">
        <v>0</v>
      </c>
      <c r="W24" s="297">
        <v>0</v>
      </c>
      <c r="X24" s="297">
        <v>0</v>
      </c>
      <c r="Y24" s="297">
        <v>0</v>
      </c>
      <c r="Z24" s="297">
        <v>0</v>
      </c>
      <c r="AA24" s="297">
        <v>0</v>
      </c>
      <c r="AB24" s="297">
        <v>0</v>
      </c>
      <c r="AC24" s="297">
        <v>0</v>
      </c>
      <c r="AD24" s="297">
        <v>0</v>
      </c>
      <c r="AE24" s="297">
        <v>0</v>
      </c>
      <c r="AF24" s="297">
        <v>0</v>
      </c>
      <c r="AG24" s="297">
        <v>0</v>
      </c>
      <c r="AH24" s="297">
        <v>0</v>
      </c>
      <c r="AI24" s="297">
        <v>0</v>
      </c>
      <c r="AJ24" s="297">
        <v>0</v>
      </c>
      <c r="AK24" s="297">
        <v>0</v>
      </c>
      <c r="AL24" s="297">
        <v>0</v>
      </c>
      <c r="AM24" s="297">
        <v>0</v>
      </c>
      <c r="AN24" s="297">
        <v>0</v>
      </c>
      <c r="AO24" s="297">
        <v>0</v>
      </c>
      <c r="AP24" s="297">
        <v>0</v>
      </c>
      <c r="AQ24" s="297">
        <v>0</v>
      </c>
      <c r="AR24" s="297">
        <v>0</v>
      </c>
      <c r="AS24" s="297">
        <v>0</v>
      </c>
      <c r="AT24" s="297">
        <v>0</v>
      </c>
      <c r="AU24" s="297">
        <v>0</v>
      </c>
      <c r="AV24" s="297">
        <v>0</v>
      </c>
    </row>
    <row r="25" spans="1:48">
      <c r="A25" s="207" t="s">
        <v>573</v>
      </c>
      <c r="B25" s="297">
        <v>1</v>
      </c>
      <c r="C25" s="297">
        <v>0</v>
      </c>
      <c r="D25" s="297">
        <v>0</v>
      </c>
      <c r="E25" s="297">
        <v>0</v>
      </c>
      <c r="F25" s="297">
        <v>0</v>
      </c>
      <c r="G25" s="297">
        <v>0</v>
      </c>
      <c r="H25" s="297">
        <v>0</v>
      </c>
      <c r="I25" s="297">
        <v>0</v>
      </c>
      <c r="J25" s="297">
        <v>0</v>
      </c>
      <c r="K25" s="297">
        <v>0</v>
      </c>
      <c r="L25" s="297">
        <v>0</v>
      </c>
      <c r="M25" s="297">
        <v>1</v>
      </c>
      <c r="N25" s="297">
        <v>0</v>
      </c>
      <c r="O25" s="297">
        <v>0</v>
      </c>
      <c r="P25" s="297">
        <v>0</v>
      </c>
      <c r="Q25" s="297">
        <v>0</v>
      </c>
      <c r="R25" s="297">
        <v>0</v>
      </c>
      <c r="S25" s="297">
        <v>0</v>
      </c>
      <c r="T25" s="297">
        <v>0</v>
      </c>
      <c r="U25" s="297">
        <v>0</v>
      </c>
      <c r="V25" s="297">
        <v>0</v>
      </c>
      <c r="W25" s="297">
        <v>0</v>
      </c>
      <c r="X25" s="297">
        <v>0</v>
      </c>
      <c r="Y25" s="297">
        <v>0</v>
      </c>
      <c r="Z25" s="297">
        <v>0</v>
      </c>
      <c r="AA25" s="297">
        <v>0</v>
      </c>
      <c r="AB25" s="297">
        <v>0</v>
      </c>
      <c r="AC25" s="297">
        <v>0</v>
      </c>
      <c r="AD25" s="297">
        <v>0</v>
      </c>
      <c r="AE25" s="297">
        <v>0</v>
      </c>
      <c r="AF25" s="297">
        <v>0</v>
      </c>
      <c r="AG25" s="297">
        <v>0</v>
      </c>
      <c r="AH25" s="297">
        <v>0</v>
      </c>
      <c r="AI25" s="297">
        <v>0</v>
      </c>
      <c r="AJ25" s="297">
        <v>0</v>
      </c>
      <c r="AK25" s="297">
        <v>0</v>
      </c>
      <c r="AL25" s="297">
        <v>0</v>
      </c>
      <c r="AM25" s="297">
        <v>0</v>
      </c>
      <c r="AN25" s="297">
        <v>0</v>
      </c>
      <c r="AO25" s="297">
        <v>0</v>
      </c>
      <c r="AP25" s="297">
        <v>0</v>
      </c>
      <c r="AQ25" s="297">
        <v>0</v>
      </c>
      <c r="AR25" s="297">
        <v>0</v>
      </c>
      <c r="AS25" s="297">
        <v>0</v>
      </c>
      <c r="AT25" s="297">
        <v>0</v>
      </c>
      <c r="AU25" s="297">
        <v>0</v>
      </c>
      <c r="AV25" s="297">
        <v>0</v>
      </c>
    </row>
    <row r="26" spans="1:48">
      <c r="A26" s="207" t="s">
        <v>481</v>
      </c>
      <c r="B26" s="297">
        <v>2</v>
      </c>
      <c r="C26" s="297">
        <v>0</v>
      </c>
      <c r="D26" s="297">
        <v>0</v>
      </c>
      <c r="E26" s="297">
        <v>0</v>
      </c>
      <c r="F26" s="297">
        <v>0</v>
      </c>
      <c r="G26" s="297">
        <v>0</v>
      </c>
      <c r="H26" s="297">
        <v>0</v>
      </c>
      <c r="I26" s="297">
        <v>0</v>
      </c>
      <c r="J26" s="297">
        <v>0</v>
      </c>
      <c r="K26" s="297">
        <v>0</v>
      </c>
      <c r="L26" s="297">
        <v>0</v>
      </c>
      <c r="M26" s="297">
        <v>0</v>
      </c>
      <c r="N26" s="297">
        <v>0</v>
      </c>
      <c r="O26" s="297">
        <v>0</v>
      </c>
      <c r="P26" s="297">
        <v>0</v>
      </c>
      <c r="Q26" s="297">
        <v>0</v>
      </c>
      <c r="R26" s="297">
        <v>0</v>
      </c>
      <c r="S26" s="297">
        <v>0</v>
      </c>
      <c r="T26" s="297">
        <v>1</v>
      </c>
      <c r="U26" s="297">
        <v>0</v>
      </c>
      <c r="V26" s="297">
        <v>0</v>
      </c>
      <c r="W26" s="297">
        <v>0</v>
      </c>
      <c r="X26" s="297">
        <v>0</v>
      </c>
      <c r="Y26" s="297">
        <v>0</v>
      </c>
      <c r="Z26" s="297">
        <v>0</v>
      </c>
      <c r="AA26" s="297">
        <v>0</v>
      </c>
      <c r="AB26" s="297">
        <v>0</v>
      </c>
      <c r="AC26" s="297">
        <v>0</v>
      </c>
      <c r="AD26" s="297">
        <v>0</v>
      </c>
      <c r="AE26" s="297">
        <v>0</v>
      </c>
      <c r="AF26" s="297">
        <v>0</v>
      </c>
      <c r="AG26" s="297">
        <v>0</v>
      </c>
      <c r="AH26" s="297">
        <v>0</v>
      </c>
      <c r="AI26" s="297">
        <v>0</v>
      </c>
      <c r="AJ26" s="297">
        <v>0</v>
      </c>
      <c r="AK26" s="297">
        <v>0</v>
      </c>
      <c r="AL26" s="297">
        <v>0</v>
      </c>
      <c r="AM26" s="297">
        <v>0</v>
      </c>
      <c r="AN26" s="297">
        <v>0</v>
      </c>
      <c r="AO26" s="297">
        <v>0</v>
      </c>
      <c r="AP26" s="297">
        <v>0</v>
      </c>
      <c r="AQ26" s="297">
        <v>0</v>
      </c>
      <c r="AR26" s="297">
        <v>1</v>
      </c>
      <c r="AS26" s="297">
        <v>0</v>
      </c>
      <c r="AT26" s="297">
        <v>0</v>
      </c>
      <c r="AU26" s="297">
        <v>0</v>
      </c>
      <c r="AV26" s="297">
        <v>0</v>
      </c>
    </row>
    <row r="27" spans="1:48">
      <c r="A27" s="207" t="s">
        <v>345</v>
      </c>
      <c r="B27" s="297">
        <v>8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5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2</v>
      </c>
      <c r="V27" s="297">
        <v>0</v>
      </c>
      <c r="W27" s="297">
        <v>0</v>
      </c>
      <c r="X27" s="297">
        <v>0</v>
      </c>
      <c r="Y27" s="297">
        <v>0</v>
      </c>
      <c r="Z27" s="297">
        <v>0</v>
      </c>
      <c r="AA27" s="297">
        <v>0</v>
      </c>
      <c r="AB27" s="297">
        <v>0</v>
      </c>
      <c r="AC27" s="297">
        <v>0</v>
      </c>
      <c r="AD27" s="297">
        <v>0</v>
      </c>
      <c r="AE27" s="297">
        <v>0</v>
      </c>
      <c r="AF27" s="297">
        <v>0</v>
      </c>
      <c r="AG27" s="297">
        <v>0</v>
      </c>
      <c r="AH27" s="297">
        <v>0</v>
      </c>
      <c r="AI27" s="297">
        <v>0</v>
      </c>
      <c r="AJ27" s="297">
        <v>0</v>
      </c>
      <c r="AK27" s="297">
        <v>0</v>
      </c>
      <c r="AL27" s="297">
        <v>0</v>
      </c>
      <c r="AM27" s="297">
        <v>0</v>
      </c>
      <c r="AN27" s="297">
        <v>0</v>
      </c>
      <c r="AO27" s="297">
        <v>0</v>
      </c>
      <c r="AP27" s="297">
        <v>0</v>
      </c>
      <c r="AQ27" s="297">
        <v>0</v>
      </c>
      <c r="AR27" s="297">
        <v>0</v>
      </c>
      <c r="AS27" s="297">
        <v>0</v>
      </c>
      <c r="AT27" s="297">
        <v>0</v>
      </c>
      <c r="AU27" s="297">
        <v>0</v>
      </c>
      <c r="AV27" s="297">
        <v>1</v>
      </c>
    </row>
    <row r="28" spans="1:48">
      <c r="A28" s="207" t="s">
        <v>629</v>
      </c>
      <c r="B28" s="297">
        <v>1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X28" s="297">
        <v>0</v>
      </c>
      <c r="Y28" s="297">
        <v>0</v>
      </c>
      <c r="Z28" s="297">
        <v>0</v>
      </c>
      <c r="AA28" s="297">
        <v>0</v>
      </c>
      <c r="AB28" s="297">
        <v>0</v>
      </c>
      <c r="AC28" s="297">
        <v>0</v>
      </c>
      <c r="AD28" s="297">
        <v>0</v>
      </c>
      <c r="AE28" s="297">
        <v>0</v>
      </c>
      <c r="AF28" s="297">
        <v>0</v>
      </c>
      <c r="AG28" s="297">
        <v>0</v>
      </c>
      <c r="AH28" s="297">
        <v>0</v>
      </c>
      <c r="AI28" s="297">
        <v>0</v>
      </c>
      <c r="AJ28" s="297">
        <v>0</v>
      </c>
      <c r="AK28" s="297">
        <v>0</v>
      </c>
      <c r="AL28" s="297">
        <v>0</v>
      </c>
      <c r="AM28" s="297">
        <v>0</v>
      </c>
      <c r="AN28" s="297">
        <v>0</v>
      </c>
      <c r="AO28" s="297">
        <v>0</v>
      </c>
      <c r="AP28" s="297">
        <v>0</v>
      </c>
      <c r="AQ28" s="297">
        <v>0</v>
      </c>
      <c r="AR28" s="297">
        <v>1</v>
      </c>
      <c r="AS28" s="297">
        <v>0</v>
      </c>
      <c r="AT28" s="297">
        <v>0</v>
      </c>
      <c r="AU28" s="297">
        <v>0</v>
      </c>
      <c r="AV28" s="297">
        <v>0</v>
      </c>
    </row>
    <row r="29" spans="1:48">
      <c r="A29" s="207" t="s">
        <v>347</v>
      </c>
      <c r="B29" s="297">
        <v>1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1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X29" s="297">
        <v>0</v>
      </c>
      <c r="Y29" s="297">
        <v>0</v>
      </c>
      <c r="Z29" s="297">
        <v>0</v>
      </c>
      <c r="AA29" s="297">
        <v>0</v>
      </c>
      <c r="AB29" s="297">
        <v>0</v>
      </c>
      <c r="AC29" s="297">
        <v>0</v>
      </c>
      <c r="AD29" s="297">
        <v>0</v>
      </c>
      <c r="AE29" s="297">
        <v>0</v>
      </c>
      <c r="AF29" s="297">
        <v>0</v>
      </c>
      <c r="AG29" s="297">
        <v>0</v>
      </c>
      <c r="AH29" s="297">
        <v>0</v>
      </c>
      <c r="AI29" s="297">
        <v>0</v>
      </c>
      <c r="AJ29" s="297">
        <v>0</v>
      </c>
      <c r="AK29" s="297">
        <v>0</v>
      </c>
      <c r="AL29" s="297">
        <v>0</v>
      </c>
      <c r="AM29" s="297">
        <v>0</v>
      </c>
      <c r="AN29" s="297">
        <v>0</v>
      </c>
      <c r="AO29" s="297">
        <v>0</v>
      </c>
      <c r="AP29" s="297">
        <v>0</v>
      </c>
      <c r="AQ29" s="297">
        <v>0</v>
      </c>
      <c r="AR29" s="297">
        <v>0</v>
      </c>
      <c r="AS29" s="297">
        <v>0</v>
      </c>
      <c r="AT29" s="297">
        <v>0</v>
      </c>
      <c r="AU29" s="297">
        <v>0</v>
      </c>
      <c r="AV29" s="297">
        <v>0</v>
      </c>
    </row>
    <row r="30" spans="1:48">
      <c r="A30" s="207" t="s">
        <v>348</v>
      </c>
      <c r="B30" s="297">
        <v>18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11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X30" s="297">
        <v>0</v>
      </c>
      <c r="Y30" s="297">
        <v>6</v>
      </c>
      <c r="Z30" s="297">
        <v>0</v>
      </c>
      <c r="AA30" s="297">
        <v>0</v>
      </c>
      <c r="AB30" s="297">
        <v>0</v>
      </c>
      <c r="AC30" s="297">
        <v>0</v>
      </c>
      <c r="AD30" s="297">
        <v>0</v>
      </c>
      <c r="AE30" s="297">
        <v>0</v>
      </c>
      <c r="AF30" s="297">
        <v>0</v>
      </c>
      <c r="AG30" s="297">
        <v>0</v>
      </c>
      <c r="AH30" s="297">
        <v>0</v>
      </c>
      <c r="AI30" s="297">
        <v>0</v>
      </c>
      <c r="AJ30" s="297">
        <v>0</v>
      </c>
      <c r="AK30" s="297">
        <v>0</v>
      </c>
      <c r="AL30" s="297">
        <v>0</v>
      </c>
      <c r="AM30" s="297">
        <v>0</v>
      </c>
      <c r="AN30" s="297">
        <v>0</v>
      </c>
      <c r="AO30" s="297">
        <v>0</v>
      </c>
      <c r="AP30" s="297">
        <v>0</v>
      </c>
      <c r="AQ30" s="297">
        <v>0</v>
      </c>
      <c r="AR30" s="297">
        <v>0</v>
      </c>
      <c r="AS30" s="297">
        <v>0</v>
      </c>
      <c r="AT30" s="297">
        <v>0</v>
      </c>
      <c r="AU30" s="297">
        <v>1</v>
      </c>
      <c r="AV30" s="297">
        <v>0</v>
      </c>
    </row>
    <row r="31" spans="1:48">
      <c r="A31" s="207" t="s">
        <v>610</v>
      </c>
      <c r="B31" s="297">
        <v>1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X31" s="297">
        <v>0</v>
      </c>
      <c r="Y31" s="297">
        <v>0</v>
      </c>
      <c r="Z31" s="297">
        <v>0</v>
      </c>
      <c r="AA31" s="297">
        <v>0</v>
      </c>
      <c r="AB31" s="297">
        <v>0</v>
      </c>
      <c r="AC31" s="297">
        <v>0</v>
      </c>
      <c r="AD31" s="297">
        <v>0</v>
      </c>
      <c r="AE31" s="297">
        <v>0</v>
      </c>
      <c r="AF31" s="297">
        <v>0</v>
      </c>
      <c r="AG31" s="297">
        <v>0</v>
      </c>
      <c r="AH31" s="297">
        <v>0</v>
      </c>
      <c r="AI31" s="297">
        <v>0</v>
      </c>
      <c r="AJ31" s="297">
        <v>0</v>
      </c>
      <c r="AK31" s="297">
        <v>0</v>
      </c>
      <c r="AL31" s="297">
        <v>0</v>
      </c>
      <c r="AM31" s="297">
        <v>0</v>
      </c>
      <c r="AN31" s="297">
        <v>0</v>
      </c>
      <c r="AO31" s="297">
        <v>0</v>
      </c>
      <c r="AP31" s="297">
        <v>0</v>
      </c>
      <c r="AQ31" s="297">
        <v>0</v>
      </c>
      <c r="AR31" s="297">
        <v>1</v>
      </c>
      <c r="AS31" s="297">
        <v>0</v>
      </c>
      <c r="AT31" s="297">
        <v>0</v>
      </c>
      <c r="AU31" s="297">
        <v>0</v>
      </c>
      <c r="AV31" s="297">
        <v>0</v>
      </c>
    </row>
    <row r="32" spans="1:48">
      <c r="A32" s="207" t="s">
        <v>349</v>
      </c>
      <c r="B32" s="297">
        <v>8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3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1</v>
      </c>
      <c r="V32" s="297">
        <v>0</v>
      </c>
      <c r="W32" s="297">
        <v>0</v>
      </c>
      <c r="X32" s="297">
        <v>0</v>
      </c>
      <c r="Y32" s="297">
        <v>0</v>
      </c>
      <c r="Z32" s="297">
        <v>0</v>
      </c>
      <c r="AA32" s="297">
        <v>2</v>
      </c>
      <c r="AB32" s="297">
        <v>0</v>
      </c>
      <c r="AC32" s="297">
        <v>0</v>
      </c>
      <c r="AD32" s="297">
        <v>0</v>
      </c>
      <c r="AE32" s="297">
        <v>0</v>
      </c>
      <c r="AF32" s="297">
        <v>0</v>
      </c>
      <c r="AG32" s="297">
        <v>0</v>
      </c>
      <c r="AH32" s="297">
        <v>0</v>
      </c>
      <c r="AI32" s="297">
        <v>0</v>
      </c>
      <c r="AJ32" s="297">
        <v>0</v>
      </c>
      <c r="AK32" s="297">
        <v>0</v>
      </c>
      <c r="AL32" s="297">
        <v>0</v>
      </c>
      <c r="AM32" s="297">
        <v>0</v>
      </c>
      <c r="AN32" s="297">
        <v>0</v>
      </c>
      <c r="AO32" s="297">
        <v>0</v>
      </c>
      <c r="AP32" s="297">
        <v>0</v>
      </c>
      <c r="AQ32" s="297">
        <v>0</v>
      </c>
      <c r="AR32" s="297">
        <v>1</v>
      </c>
      <c r="AS32" s="297">
        <v>0</v>
      </c>
      <c r="AT32" s="297">
        <v>1</v>
      </c>
      <c r="AU32" s="297">
        <v>0</v>
      </c>
      <c r="AV32" s="297">
        <v>0</v>
      </c>
    </row>
    <row r="33" spans="1:48">
      <c r="A33" s="207" t="s">
        <v>595</v>
      </c>
      <c r="B33" s="297">
        <v>1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1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X33" s="297">
        <v>0</v>
      </c>
      <c r="Y33" s="297">
        <v>0</v>
      </c>
      <c r="Z33" s="297">
        <v>0</v>
      </c>
      <c r="AA33" s="297">
        <v>0</v>
      </c>
      <c r="AB33" s="297">
        <v>0</v>
      </c>
      <c r="AC33" s="297">
        <v>0</v>
      </c>
      <c r="AD33" s="297">
        <v>0</v>
      </c>
      <c r="AE33" s="297">
        <v>0</v>
      </c>
      <c r="AF33" s="297">
        <v>0</v>
      </c>
      <c r="AG33" s="297">
        <v>0</v>
      </c>
      <c r="AH33" s="297">
        <v>0</v>
      </c>
      <c r="AI33" s="297">
        <v>0</v>
      </c>
      <c r="AJ33" s="297">
        <v>0</v>
      </c>
      <c r="AK33" s="297">
        <v>0</v>
      </c>
      <c r="AL33" s="297">
        <v>0</v>
      </c>
      <c r="AM33" s="297">
        <v>0</v>
      </c>
      <c r="AN33" s="297">
        <v>0</v>
      </c>
      <c r="AO33" s="297">
        <v>0</v>
      </c>
      <c r="AP33" s="297">
        <v>0</v>
      </c>
      <c r="AQ33" s="297">
        <v>0</v>
      </c>
      <c r="AR33" s="297">
        <v>0</v>
      </c>
      <c r="AS33" s="297">
        <v>0</v>
      </c>
      <c r="AT33" s="297">
        <v>0</v>
      </c>
      <c r="AU33" s="297">
        <v>0</v>
      </c>
      <c r="AV33" s="297">
        <v>0</v>
      </c>
    </row>
    <row r="34" spans="1:48">
      <c r="A34" s="207" t="s">
        <v>630</v>
      </c>
      <c r="B34" s="297">
        <v>1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0</v>
      </c>
      <c r="J34" s="297">
        <v>0</v>
      </c>
      <c r="K34" s="297">
        <v>0</v>
      </c>
      <c r="L34" s="297">
        <v>0</v>
      </c>
      <c r="M34" s="297">
        <v>0</v>
      </c>
      <c r="N34" s="297">
        <v>0</v>
      </c>
      <c r="O34" s="297">
        <v>0</v>
      </c>
      <c r="P34" s="297">
        <v>0</v>
      </c>
      <c r="Q34" s="297">
        <v>0</v>
      </c>
      <c r="R34" s="297">
        <v>0</v>
      </c>
      <c r="S34" s="297">
        <v>0</v>
      </c>
      <c r="T34" s="297">
        <v>0</v>
      </c>
      <c r="U34" s="297">
        <v>0</v>
      </c>
      <c r="V34" s="297">
        <v>0</v>
      </c>
      <c r="W34" s="297">
        <v>0</v>
      </c>
      <c r="X34" s="297">
        <v>0</v>
      </c>
      <c r="Y34" s="297">
        <v>0</v>
      </c>
      <c r="Z34" s="297">
        <v>0</v>
      </c>
      <c r="AA34" s="297">
        <v>0</v>
      </c>
      <c r="AB34" s="297">
        <v>0</v>
      </c>
      <c r="AC34" s="297">
        <v>0</v>
      </c>
      <c r="AD34" s="297">
        <v>0</v>
      </c>
      <c r="AE34" s="297">
        <v>0</v>
      </c>
      <c r="AF34" s="297">
        <v>0</v>
      </c>
      <c r="AG34" s="297">
        <v>0</v>
      </c>
      <c r="AH34" s="297">
        <v>0</v>
      </c>
      <c r="AI34" s="297">
        <v>0</v>
      </c>
      <c r="AJ34" s="297">
        <v>0</v>
      </c>
      <c r="AK34" s="297">
        <v>0</v>
      </c>
      <c r="AL34" s="297">
        <v>0</v>
      </c>
      <c r="AM34" s="297">
        <v>0</v>
      </c>
      <c r="AN34" s="297">
        <v>0</v>
      </c>
      <c r="AO34" s="297">
        <v>0</v>
      </c>
      <c r="AP34" s="297">
        <v>0</v>
      </c>
      <c r="AQ34" s="297">
        <v>0</v>
      </c>
      <c r="AR34" s="297">
        <v>0</v>
      </c>
      <c r="AS34" s="297">
        <v>0</v>
      </c>
      <c r="AT34" s="297">
        <v>0</v>
      </c>
      <c r="AU34" s="297">
        <v>0</v>
      </c>
      <c r="AV34" s="297">
        <v>1</v>
      </c>
    </row>
    <row r="35" spans="1:48">
      <c r="A35" s="207" t="s">
        <v>621</v>
      </c>
      <c r="B35" s="297">
        <v>4</v>
      </c>
      <c r="C35" s="297">
        <v>0</v>
      </c>
      <c r="D35" s="297">
        <v>0</v>
      </c>
      <c r="E35" s="297">
        <v>0</v>
      </c>
      <c r="F35" s="297">
        <v>0</v>
      </c>
      <c r="G35" s="297">
        <v>0</v>
      </c>
      <c r="H35" s="297">
        <v>0</v>
      </c>
      <c r="I35" s="297">
        <v>0</v>
      </c>
      <c r="J35" s="297">
        <v>0</v>
      </c>
      <c r="K35" s="297">
        <v>0</v>
      </c>
      <c r="L35" s="297">
        <v>0</v>
      </c>
      <c r="M35" s="297">
        <v>3</v>
      </c>
      <c r="N35" s="297">
        <v>0</v>
      </c>
      <c r="O35" s="297">
        <v>0</v>
      </c>
      <c r="P35" s="297">
        <v>0</v>
      </c>
      <c r="Q35" s="297">
        <v>0</v>
      </c>
      <c r="R35" s="297">
        <v>0</v>
      </c>
      <c r="S35" s="297">
        <v>0</v>
      </c>
      <c r="T35" s="297">
        <v>0</v>
      </c>
      <c r="U35" s="297">
        <v>0</v>
      </c>
      <c r="V35" s="297">
        <v>0</v>
      </c>
      <c r="W35" s="297">
        <v>0</v>
      </c>
      <c r="X35" s="297">
        <v>0</v>
      </c>
      <c r="Y35" s="297">
        <v>0</v>
      </c>
      <c r="Z35" s="297">
        <v>0</v>
      </c>
      <c r="AA35" s="297">
        <v>0</v>
      </c>
      <c r="AB35" s="297">
        <v>0</v>
      </c>
      <c r="AC35" s="297">
        <v>1</v>
      </c>
      <c r="AD35" s="297">
        <v>0</v>
      </c>
      <c r="AE35" s="297">
        <v>0</v>
      </c>
      <c r="AF35" s="297">
        <v>0</v>
      </c>
      <c r="AG35" s="297">
        <v>0</v>
      </c>
      <c r="AH35" s="297">
        <v>0</v>
      </c>
      <c r="AI35" s="297">
        <v>0</v>
      </c>
      <c r="AJ35" s="297">
        <v>0</v>
      </c>
      <c r="AK35" s="297">
        <v>0</v>
      </c>
      <c r="AL35" s="297">
        <v>0</v>
      </c>
      <c r="AM35" s="297">
        <v>0</v>
      </c>
      <c r="AN35" s="297">
        <v>0</v>
      </c>
      <c r="AO35" s="297">
        <v>0</v>
      </c>
      <c r="AP35" s="297">
        <v>0</v>
      </c>
      <c r="AQ35" s="297">
        <v>0</v>
      </c>
      <c r="AR35" s="297">
        <v>0</v>
      </c>
      <c r="AS35" s="297">
        <v>0</v>
      </c>
      <c r="AT35" s="297">
        <v>0</v>
      </c>
      <c r="AU35" s="297">
        <v>0</v>
      </c>
      <c r="AV35" s="297">
        <v>0</v>
      </c>
    </row>
    <row r="36" spans="1:48">
      <c r="A36" s="207" t="s">
        <v>621</v>
      </c>
      <c r="B36" s="297">
        <v>2</v>
      </c>
      <c r="C36" s="297">
        <v>0</v>
      </c>
      <c r="D36" s="297">
        <v>0</v>
      </c>
      <c r="E36" s="297">
        <v>0</v>
      </c>
      <c r="F36" s="297">
        <v>0</v>
      </c>
      <c r="G36" s="297">
        <v>0</v>
      </c>
      <c r="H36" s="297">
        <v>0</v>
      </c>
      <c r="I36" s="297">
        <v>0</v>
      </c>
      <c r="J36" s="297">
        <v>0</v>
      </c>
      <c r="K36" s="297">
        <v>0</v>
      </c>
      <c r="L36" s="297">
        <v>0</v>
      </c>
      <c r="M36" s="297">
        <v>2</v>
      </c>
      <c r="N36" s="297">
        <v>0</v>
      </c>
      <c r="O36" s="297">
        <v>0</v>
      </c>
      <c r="P36" s="297">
        <v>0</v>
      </c>
      <c r="Q36" s="297">
        <v>0</v>
      </c>
      <c r="R36" s="297">
        <v>0</v>
      </c>
      <c r="S36" s="297">
        <v>0</v>
      </c>
      <c r="T36" s="297">
        <v>0</v>
      </c>
      <c r="U36" s="297">
        <v>0</v>
      </c>
      <c r="V36" s="297">
        <v>0</v>
      </c>
      <c r="W36" s="297">
        <v>0</v>
      </c>
      <c r="X36" s="297">
        <v>0</v>
      </c>
      <c r="Y36" s="297">
        <v>0</v>
      </c>
      <c r="Z36" s="297">
        <v>0</v>
      </c>
      <c r="AA36" s="297">
        <v>0</v>
      </c>
      <c r="AB36" s="297">
        <v>0</v>
      </c>
      <c r="AC36" s="297">
        <v>0</v>
      </c>
      <c r="AD36" s="297">
        <v>0</v>
      </c>
      <c r="AE36" s="297">
        <v>0</v>
      </c>
      <c r="AF36" s="297">
        <v>0</v>
      </c>
      <c r="AG36" s="297">
        <v>0</v>
      </c>
      <c r="AH36" s="297">
        <v>0</v>
      </c>
      <c r="AI36" s="297">
        <v>0</v>
      </c>
      <c r="AJ36" s="297">
        <v>0</v>
      </c>
      <c r="AK36" s="297">
        <v>0</v>
      </c>
      <c r="AL36" s="297">
        <v>0</v>
      </c>
      <c r="AM36" s="297">
        <v>0</v>
      </c>
      <c r="AN36" s="297">
        <v>0</v>
      </c>
      <c r="AO36" s="297">
        <v>0</v>
      </c>
      <c r="AP36" s="297">
        <v>0</v>
      </c>
      <c r="AQ36" s="297">
        <v>0</v>
      </c>
      <c r="AR36" s="297">
        <v>0</v>
      </c>
      <c r="AS36" s="297">
        <v>0</v>
      </c>
      <c r="AT36" s="297">
        <v>0</v>
      </c>
      <c r="AU36" s="297">
        <v>0</v>
      </c>
      <c r="AV36" s="297">
        <v>0</v>
      </c>
    </row>
    <row r="37" spans="1:48">
      <c r="A37" s="207" t="s">
        <v>582</v>
      </c>
      <c r="B37" s="297">
        <v>1</v>
      </c>
      <c r="C37" s="297">
        <v>0</v>
      </c>
      <c r="D37" s="297">
        <v>0</v>
      </c>
      <c r="E37" s="297">
        <v>0</v>
      </c>
      <c r="F37" s="297">
        <v>0</v>
      </c>
      <c r="G37" s="297">
        <v>0</v>
      </c>
      <c r="H37" s="297">
        <v>0</v>
      </c>
      <c r="I37" s="297">
        <v>0</v>
      </c>
      <c r="J37" s="297">
        <v>0</v>
      </c>
      <c r="K37" s="297">
        <v>0</v>
      </c>
      <c r="L37" s="297">
        <v>0</v>
      </c>
      <c r="M37" s="297">
        <v>1</v>
      </c>
      <c r="N37" s="297">
        <v>0</v>
      </c>
      <c r="O37" s="297">
        <v>0</v>
      </c>
      <c r="P37" s="297">
        <v>0</v>
      </c>
      <c r="Q37" s="297">
        <v>0</v>
      </c>
      <c r="R37" s="297">
        <v>0</v>
      </c>
      <c r="S37" s="297">
        <v>0</v>
      </c>
      <c r="T37" s="297">
        <v>0</v>
      </c>
      <c r="U37" s="297">
        <v>0</v>
      </c>
      <c r="V37" s="297">
        <v>0</v>
      </c>
      <c r="W37" s="297">
        <v>0</v>
      </c>
      <c r="X37" s="297">
        <v>0</v>
      </c>
      <c r="Y37" s="297">
        <v>0</v>
      </c>
      <c r="Z37" s="297">
        <v>0</v>
      </c>
      <c r="AA37" s="297">
        <v>0</v>
      </c>
      <c r="AB37" s="297">
        <v>0</v>
      </c>
      <c r="AC37" s="297">
        <v>0</v>
      </c>
      <c r="AD37" s="297">
        <v>0</v>
      </c>
      <c r="AE37" s="297">
        <v>0</v>
      </c>
      <c r="AF37" s="297">
        <v>0</v>
      </c>
      <c r="AG37" s="297">
        <v>0</v>
      </c>
      <c r="AH37" s="297">
        <v>0</v>
      </c>
      <c r="AI37" s="297">
        <v>0</v>
      </c>
      <c r="AJ37" s="297">
        <v>0</v>
      </c>
      <c r="AK37" s="297">
        <v>0</v>
      </c>
      <c r="AL37" s="297">
        <v>0</v>
      </c>
      <c r="AM37" s="297">
        <v>0</v>
      </c>
      <c r="AN37" s="297">
        <v>0</v>
      </c>
      <c r="AO37" s="297">
        <v>0</v>
      </c>
      <c r="AP37" s="297">
        <v>0</v>
      </c>
      <c r="AQ37" s="297">
        <v>0</v>
      </c>
      <c r="AR37" s="297">
        <v>0</v>
      </c>
      <c r="AS37" s="297">
        <v>0</v>
      </c>
      <c r="AT37" s="297">
        <v>0</v>
      </c>
      <c r="AU37" s="297">
        <v>0</v>
      </c>
      <c r="AV37" s="297">
        <v>0</v>
      </c>
    </row>
    <row r="38" spans="1:48">
      <c r="A38" s="207" t="s">
        <v>552</v>
      </c>
      <c r="B38" s="297">
        <v>2</v>
      </c>
      <c r="C38" s="297">
        <v>0</v>
      </c>
      <c r="D38" s="297">
        <v>0</v>
      </c>
      <c r="E38" s="297">
        <v>0</v>
      </c>
      <c r="F38" s="297">
        <v>0</v>
      </c>
      <c r="G38" s="297">
        <v>0</v>
      </c>
      <c r="H38" s="297">
        <v>0</v>
      </c>
      <c r="I38" s="297">
        <v>0</v>
      </c>
      <c r="J38" s="297">
        <v>0</v>
      </c>
      <c r="K38" s="297">
        <v>0</v>
      </c>
      <c r="L38" s="297">
        <v>0</v>
      </c>
      <c r="M38" s="297">
        <v>2</v>
      </c>
      <c r="N38" s="297">
        <v>0</v>
      </c>
      <c r="O38" s="297">
        <v>0</v>
      </c>
      <c r="P38" s="297">
        <v>0</v>
      </c>
      <c r="Q38" s="297">
        <v>0</v>
      </c>
      <c r="R38" s="297">
        <v>0</v>
      </c>
      <c r="S38" s="297">
        <v>0</v>
      </c>
      <c r="T38" s="297">
        <v>0</v>
      </c>
      <c r="U38" s="297">
        <v>0</v>
      </c>
      <c r="V38" s="297">
        <v>0</v>
      </c>
      <c r="W38" s="297">
        <v>0</v>
      </c>
      <c r="X38" s="297">
        <v>0</v>
      </c>
      <c r="Y38" s="297">
        <v>0</v>
      </c>
      <c r="Z38" s="297">
        <v>0</v>
      </c>
      <c r="AA38" s="297">
        <v>0</v>
      </c>
      <c r="AB38" s="297">
        <v>0</v>
      </c>
      <c r="AC38" s="297">
        <v>0</v>
      </c>
      <c r="AD38" s="297">
        <v>0</v>
      </c>
      <c r="AE38" s="297">
        <v>0</v>
      </c>
      <c r="AF38" s="297">
        <v>0</v>
      </c>
      <c r="AG38" s="297">
        <v>0</v>
      </c>
      <c r="AH38" s="297">
        <v>0</v>
      </c>
      <c r="AI38" s="297">
        <v>0</v>
      </c>
      <c r="AJ38" s="297">
        <v>0</v>
      </c>
      <c r="AK38" s="297">
        <v>0</v>
      </c>
      <c r="AL38" s="297">
        <v>0</v>
      </c>
      <c r="AM38" s="297">
        <v>0</v>
      </c>
      <c r="AN38" s="297">
        <v>0</v>
      </c>
      <c r="AO38" s="297">
        <v>0</v>
      </c>
      <c r="AP38" s="297">
        <v>0</v>
      </c>
      <c r="AQ38" s="297">
        <v>0</v>
      </c>
      <c r="AR38" s="297">
        <v>0</v>
      </c>
      <c r="AS38" s="297">
        <v>0</v>
      </c>
      <c r="AT38" s="297">
        <v>0</v>
      </c>
      <c r="AU38" s="297">
        <v>0</v>
      </c>
      <c r="AV38" s="297">
        <v>0</v>
      </c>
    </row>
    <row r="39" spans="1:48">
      <c r="A39" s="207" t="s">
        <v>553</v>
      </c>
      <c r="B39" s="297">
        <v>2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2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X39" s="297">
        <v>0</v>
      </c>
      <c r="Y39" s="297">
        <v>0</v>
      </c>
      <c r="Z39" s="297">
        <v>0</v>
      </c>
      <c r="AA39" s="297">
        <v>0</v>
      </c>
      <c r="AB39" s="297">
        <v>0</v>
      </c>
      <c r="AC39" s="297">
        <v>0</v>
      </c>
      <c r="AD39" s="297">
        <v>0</v>
      </c>
      <c r="AE39" s="297">
        <v>0</v>
      </c>
      <c r="AF39" s="297">
        <v>0</v>
      </c>
      <c r="AG39" s="297">
        <v>0</v>
      </c>
      <c r="AH39" s="297">
        <v>0</v>
      </c>
      <c r="AI39" s="297">
        <v>0</v>
      </c>
      <c r="AJ39" s="297">
        <v>0</v>
      </c>
      <c r="AK39" s="297">
        <v>0</v>
      </c>
      <c r="AL39" s="297">
        <v>0</v>
      </c>
      <c r="AM39" s="297">
        <v>0</v>
      </c>
      <c r="AN39" s="297">
        <v>0</v>
      </c>
      <c r="AO39" s="297">
        <v>0</v>
      </c>
      <c r="AP39" s="297">
        <v>0</v>
      </c>
      <c r="AQ39" s="297">
        <v>0</v>
      </c>
      <c r="AR39" s="297">
        <v>0</v>
      </c>
      <c r="AS39" s="297">
        <v>0</v>
      </c>
      <c r="AT39" s="297">
        <v>0</v>
      </c>
      <c r="AU39" s="297">
        <v>0</v>
      </c>
      <c r="AV39" s="297">
        <v>0</v>
      </c>
    </row>
    <row r="40" spans="1:48">
      <c r="A40" s="207" t="s">
        <v>484</v>
      </c>
      <c r="B40" s="297">
        <v>1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1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X40" s="297">
        <v>0</v>
      </c>
      <c r="Y40" s="297">
        <v>0</v>
      </c>
      <c r="Z40" s="297">
        <v>0</v>
      </c>
      <c r="AA40" s="297">
        <v>0</v>
      </c>
      <c r="AB40" s="297">
        <v>0</v>
      </c>
      <c r="AC40" s="297">
        <v>0</v>
      </c>
      <c r="AD40" s="297">
        <v>0</v>
      </c>
      <c r="AE40" s="297">
        <v>0</v>
      </c>
      <c r="AF40" s="297">
        <v>0</v>
      </c>
      <c r="AG40" s="297">
        <v>0</v>
      </c>
      <c r="AH40" s="297">
        <v>0</v>
      </c>
      <c r="AI40" s="297">
        <v>0</v>
      </c>
      <c r="AJ40" s="297">
        <v>0</v>
      </c>
      <c r="AK40" s="297">
        <v>0</v>
      </c>
      <c r="AL40" s="297">
        <v>0</v>
      </c>
      <c r="AM40" s="297">
        <v>0</v>
      </c>
      <c r="AN40" s="297">
        <v>0</v>
      </c>
      <c r="AO40" s="297">
        <v>0</v>
      </c>
      <c r="AP40" s="297">
        <v>0</v>
      </c>
      <c r="AQ40" s="297">
        <v>0</v>
      </c>
      <c r="AR40" s="297">
        <v>0</v>
      </c>
      <c r="AS40" s="297">
        <v>0</v>
      </c>
      <c r="AT40" s="297">
        <v>0</v>
      </c>
      <c r="AU40" s="297">
        <v>0</v>
      </c>
      <c r="AV40" s="297">
        <v>0</v>
      </c>
    </row>
    <row r="41" spans="1:48">
      <c r="A41" s="207" t="s">
        <v>578</v>
      </c>
      <c r="B41" s="297">
        <v>39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31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X41" s="297">
        <v>0</v>
      </c>
      <c r="Y41" s="297">
        <v>0</v>
      </c>
      <c r="Z41" s="297">
        <v>0</v>
      </c>
      <c r="AA41" s="297">
        <v>0</v>
      </c>
      <c r="AB41" s="297">
        <v>0</v>
      </c>
      <c r="AC41" s="297">
        <v>0</v>
      </c>
      <c r="AD41" s="297">
        <v>0</v>
      </c>
      <c r="AE41" s="297">
        <v>0</v>
      </c>
      <c r="AF41" s="297">
        <v>0</v>
      </c>
      <c r="AG41" s="297">
        <v>0</v>
      </c>
      <c r="AH41" s="297">
        <v>0</v>
      </c>
      <c r="AI41" s="297">
        <v>3</v>
      </c>
      <c r="AJ41" s="297">
        <v>0</v>
      </c>
      <c r="AK41" s="297">
        <v>1</v>
      </c>
      <c r="AL41" s="297">
        <v>1</v>
      </c>
      <c r="AM41" s="297">
        <v>0</v>
      </c>
      <c r="AN41" s="297">
        <v>0</v>
      </c>
      <c r="AO41" s="297">
        <v>0</v>
      </c>
      <c r="AP41" s="297">
        <v>0</v>
      </c>
      <c r="AQ41" s="297">
        <v>0</v>
      </c>
      <c r="AR41" s="297">
        <v>1</v>
      </c>
      <c r="AS41" s="297">
        <v>0</v>
      </c>
      <c r="AT41" s="297">
        <v>0</v>
      </c>
      <c r="AU41" s="297">
        <v>0</v>
      </c>
      <c r="AV41" s="297">
        <v>2</v>
      </c>
    </row>
    <row r="42" spans="1:48">
      <c r="A42" s="207" t="s">
        <v>350</v>
      </c>
      <c r="B42" s="297">
        <v>1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X42" s="297">
        <v>0</v>
      </c>
      <c r="Y42" s="297">
        <v>0</v>
      </c>
      <c r="Z42" s="297">
        <v>0</v>
      </c>
      <c r="AA42" s="297">
        <v>0</v>
      </c>
      <c r="AB42" s="297">
        <v>0</v>
      </c>
      <c r="AC42" s="297">
        <v>0</v>
      </c>
      <c r="AD42" s="297">
        <v>0</v>
      </c>
      <c r="AE42" s="297">
        <v>0</v>
      </c>
      <c r="AF42" s="297">
        <v>0</v>
      </c>
      <c r="AG42" s="297">
        <v>0</v>
      </c>
      <c r="AH42" s="297">
        <v>0</v>
      </c>
      <c r="AI42" s="297">
        <v>0</v>
      </c>
      <c r="AJ42" s="297">
        <v>1</v>
      </c>
      <c r="AK42" s="297">
        <v>0</v>
      </c>
      <c r="AL42" s="297">
        <v>0</v>
      </c>
      <c r="AM42" s="297">
        <v>0</v>
      </c>
      <c r="AN42" s="297">
        <v>0</v>
      </c>
      <c r="AO42" s="297">
        <v>0</v>
      </c>
      <c r="AP42" s="297">
        <v>0</v>
      </c>
      <c r="AQ42" s="297">
        <v>0</v>
      </c>
      <c r="AR42" s="297">
        <v>0</v>
      </c>
      <c r="AS42" s="297">
        <v>0</v>
      </c>
      <c r="AT42" s="297">
        <v>0</v>
      </c>
      <c r="AU42" s="297">
        <v>0</v>
      </c>
      <c r="AV42" s="297">
        <v>0</v>
      </c>
    </row>
    <row r="43" spans="1:48">
      <c r="A43" s="207" t="s">
        <v>485</v>
      </c>
      <c r="B43" s="297">
        <v>1</v>
      </c>
      <c r="C43" s="297">
        <v>0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1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0</v>
      </c>
      <c r="U43" s="297">
        <v>0</v>
      </c>
      <c r="V43" s="297">
        <v>0</v>
      </c>
      <c r="W43" s="297">
        <v>0</v>
      </c>
      <c r="X43" s="297">
        <v>0</v>
      </c>
      <c r="Y43" s="297">
        <v>0</v>
      </c>
      <c r="Z43" s="297">
        <v>0</v>
      </c>
      <c r="AA43" s="297">
        <v>0</v>
      </c>
      <c r="AB43" s="297">
        <v>0</v>
      </c>
      <c r="AC43" s="297">
        <v>0</v>
      </c>
      <c r="AD43" s="297">
        <v>0</v>
      </c>
      <c r="AE43" s="297">
        <v>0</v>
      </c>
      <c r="AF43" s="297">
        <v>0</v>
      </c>
      <c r="AG43" s="297">
        <v>0</v>
      </c>
      <c r="AH43" s="297">
        <v>0</v>
      </c>
      <c r="AI43" s="297">
        <v>0</v>
      </c>
      <c r="AJ43" s="297">
        <v>0</v>
      </c>
      <c r="AK43" s="297">
        <v>0</v>
      </c>
      <c r="AL43" s="297">
        <v>0</v>
      </c>
      <c r="AM43" s="297">
        <v>0</v>
      </c>
      <c r="AN43" s="297">
        <v>0</v>
      </c>
      <c r="AO43" s="297">
        <v>0</v>
      </c>
      <c r="AP43" s="297">
        <v>0</v>
      </c>
      <c r="AQ43" s="297">
        <v>0</v>
      </c>
      <c r="AR43" s="297">
        <v>0</v>
      </c>
      <c r="AS43" s="297">
        <v>0</v>
      </c>
      <c r="AT43" s="297">
        <v>0</v>
      </c>
      <c r="AU43" s="297">
        <v>0</v>
      </c>
      <c r="AV43" s="297">
        <v>0</v>
      </c>
    </row>
    <row r="44" spans="1:48">
      <c r="A44" s="207" t="s">
        <v>599</v>
      </c>
      <c r="B44" s="297">
        <v>5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4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X44" s="297">
        <v>0</v>
      </c>
      <c r="Y44" s="297">
        <v>0</v>
      </c>
      <c r="Z44" s="297">
        <v>0</v>
      </c>
      <c r="AA44" s="297">
        <v>0</v>
      </c>
      <c r="AB44" s="297">
        <v>0</v>
      </c>
      <c r="AC44" s="297">
        <v>0</v>
      </c>
      <c r="AD44" s="297">
        <v>0</v>
      </c>
      <c r="AE44" s="297">
        <v>0</v>
      </c>
      <c r="AF44" s="297">
        <v>0</v>
      </c>
      <c r="AG44" s="297">
        <v>0</v>
      </c>
      <c r="AH44" s="297">
        <v>0</v>
      </c>
      <c r="AI44" s="297">
        <v>0</v>
      </c>
      <c r="AJ44" s="297">
        <v>0</v>
      </c>
      <c r="AK44" s="297">
        <v>0</v>
      </c>
      <c r="AL44" s="297">
        <v>0</v>
      </c>
      <c r="AM44" s="297">
        <v>0</v>
      </c>
      <c r="AN44" s="297">
        <v>0</v>
      </c>
      <c r="AO44" s="297">
        <v>0</v>
      </c>
      <c r="AP44" s="297">
        <v>0</v>
      </c>
      <c r="AQ44" s="297">
        <v>0</v>
      </c>
      <c r="AR44" s="297">
        <v>1</v>
      </c>
      <c r="AS44" s="297">
        <v>0</v>
      </c>
      <c r="AT44" s="297">
        <v>0</v>
      </c>
      <c r="AU44" s="297">
        <v>0</v>
      </c>
      <c r="AV44" s="297">
        <v>0</v>
      </c>
    </row>
    <row r="45" spans="1:48">
      <c r="A45" s="207" t="s">
        <v>351</v>
      </c>
      <c r="B45" s="297">
        <v>21</v>
      </c>
      <c r="C45" s="297">
        <v>0</v>
      </c>
      <c r="D45" s="297">
        <v>0</v>
      </c>
      <c r="E45" s="297">
        <v>0</v>
      </c>
      <c r="F45" s="297">
        <v>0</v>
      </c>
      <c r="G45" s="297">
        <v>0</v>
      </c>
      <c r="H45" s="297">
        <v>0</v>
      </c>
      <c r="I45" s="297">
        <v>0</v>
      </c>
      <c r="J45" s="297">
        <v>0</v>
      </c>
      <c r="K45" s="297">
        <v>0</v>
      </c>
      <c r="L45" s="297">
        <v>0</v>
      </c>
      <c r="M45" s="297">
        <v>17</v>
      </c>
      <c r="N45" s="297">
        <v>0</v>
      </c>
      <c r="O45" s="297">
        <v>0</v>
      </c>
      <c r="P45" s="297">
        <v>0</v>
      </c>
      <c r="Q45" s="297">
        <v>0</v>
      </c>
      <c r="R45" s="297">
        <v>0</v>
      </c>
      <c r="S45" s="297">
        <v>0</v>
      </c>
      <c r="T45" s="297">
        <v>0</v>
      </c>
      <c r="U45" s="297">
        <v>0</v>
      </c>
      <c r="V45" s="297">
        <v>0</v>
      </c>
      <c r="W45" s="297">
        <v>0</v>
      </c>
      <c r="X45" s="297">
        <v>0</v>
      </c>
      <c r="Y45" s="297">
        <v>0</v>
      </c>
      <c r="Z45" s="297">
        <v>0</v>
      </c>
      <c r="AA45" s="297">
        <v>0</v>
      </c>
      <c r="AB45" s="297">
        <v>0</v>
      </c>
      <c r="AC45" s="297">
        <v>0</v>
      </c>
      <c r="AD45" s="297">
        <v>0</v>
      </c>
      <c r="AE45" s="297">
        <v>0</v>
      </c>
      <c r="AF45" s="297">
        <v>0</v>
      </c>
      <c r="AG45" s="297">
        <v>0</v>
      </c>
      <c r="AH45" s="297">
        <v>0</v>
      </c>
      <c r="AI45" s="297">
        <v>0</v>
      </c>
      <c r="AJ45" s="297">
        <v>0</v>
      </c>
      <c r="AK45" s="297">
        <v>0</v>
      </c>
      <c r="AL45" s="297">
        <v>0</v>
      </c>
      <c r="AM45" s="297">
        <v>0</v>
      </c>
      <c r="AN45" s="297">
        <v>4</v>
      </c>
      <c r="AO45" s="297">
        <v>0</v>
      </c>
      <c r="AP45" s="297">
        <v>0</v>
      </c>
      <c r="AQ45" s="297">
        <v>0</v>
      </c>
      <c r="AR45" s="297">
        <v>0</v>
      </c>
      <c r="AS45" s="297">
        <v>0</v>
      </c>
      <c r="AT45" s="297">
        <v>0</v>
      </c>
      <c r="AU45" s="297">
        <v>0</v>
      </c>
      <c r="AV45" s="297">
        <v>0</v>
      </c>
    </row>
    <row r="46" spans="1:48">
      <c r="A46" s="207" t="s">
        <v>352</v>
      </c>
      <c r="B46" s="297">
        <v>2</v>
      </c>
      <c r="C46" s="297">
        <v>0</v>
      </c>
      <c r="D46" s="297">
        <v>0</v>
      </c>
      <c r="E46" s="297">
        <v>0</v>
      </c>
      <c r="F46" s="297">
        <v>1</v>
      </c>
      <c r="G46" s="297">
        <v>0</v>
      </c>
      <c r="H46" s="297">
        <v>0</v>
      </c>
      <c r="I46" s="297">
        <v>0</v>
      </c>
      <c r="J46" s="297">
        <v>0</v>
      </c>
      <c r="K46" s="297">
        <v>0</v>
      </c>
      <c r="L46" s="297">
        <v>0</v>
      </c>
      <c r="M46" s="297">
        <v>0</v>
      </c>
      <c r="N46" s="297">
        <v>0</v>
      </c>
      <c r="O46" s="297">
        <v>0</v>
      </c>
      <c r="P46" s="297">
        <v>0</v>
      </c>
      <c r="Q46" s="297">
        <v>0</v>
      </c>
      <c r="R46" s="297">
        <v>0</v>
      </c>
      <c r="S46" s="297">
        <v>0</v>
      </c>
      <c r="T46" s="297">
        <v>0</v>
      </c>
      <c r="U46" s="297">
        <v>0</v>
      </c>
      <c r="V46" s="297">
        <v>0</v>
      </c>
      <c r="W46" s="297">
        <v>0</v>
      </c>
      <c r="X46" s="297">
        <v>0</v>
      </c>
      <c r="Y46" s="297">
        <v>0</v>
      </c>
      <c r="Z46" s="297">
        <v>0</v>
      </c>
      <c r="AA46" s="297">
        <v>0</v>
      </c>
      <c r="AB46" s="297">
        <v>0</v>
      </c>
      <c r="AC46" s="297">
        <v>0</v>
      </c>
      <c r="AD46" s="297">
        <v>0</v>
      </c>
      <c r="AE46" s="297">
        <v>0</v>
      </c>
      <c r="AF46" s="297">
        <v>0</v>
      </c>
      <c r="AG46" s="297">
        <v>0</v>
      </c>
      <c r="AH46" s="297">
        <v>0</v>
      </c>
      <c r="AI46" s="297">
        <v>0</v>
      </c>
      <c r="AJ46" s="297">
        <v>0</v>
      </c>
      <c r="AK46" s="297">
        <v>0</v>
      </c>
      <c r="AL46" s="297">
        <v>0</v>
      </c>
      <c r="AM46" s="297">
        <v>0</v>
      </c>
      <c r="AN46" s="297">
        <v>0</v>
      </c>
      <c r="AO46" s="297">
        <v>1</v>
      </c>
      <c r="AP46" s="297">
        <v>0</v>
      </c>
      <c r="AQ46" s="297">
        <v>0</v>
      </c>
      <c r="AR46" s="297">
        <v>0</v>
      </c>
      <c r="AS46" s="297">
        <v>0</v>
      </c>
      <c r="AT46" s="297">
        <v>0</v>
      </c>
      <c r="AU46" s="297">
        <v>0</v>
      </c>
      <c r="AV46" s="297">
        <v>0</v>
      </c>
    </row>
    <row r="47" spans="1:48">
      <c r="A47" s="207" t="s">
        <v>603</v>
      </c>
      <c r="B47" s="297">
        <v>6</v>
      </c>
      <c r="C47" s="297">
        <v>0</v>
      </c>
      <c r="D47" s="297">
        <v>0</v>
      </c>
      <c r="E47" s="297">
        <v>0</v>
      </c>
      <c r="F47" s="297">
        <v>0</v>
      </c>
      <c r="G47" s="297">
        <v>0</v>
      </c>
      <c r="H47" s="297">
        <v>0</v>
      </c>
      <c r="I47" s="297">
        <v>0</v>
      </c>
      <c r="J47" s="297">
        <v>0</v>
      </c>
      <c r="K47" s="297">
        <v>0</v>
      </c>
      <c r="L47" s="297">
        <v>0</v>
      </c>
      <c r="M47" s="297">
        <v>4</v>
      </c>
      <c r="N47" s="297">
        <v>0</v>
      </c>
      <c r="O47" s="297">
        <v>0</v>
      </c>
      <c r="P47" s="297">
        <v>0</v>
      </c>
      <c r="Q47" s="297">
        <v>0</v>
      </c>
      <c r="R47" s="297">
        <v>0</v>
      </c>
      <c r="S47" s="297">
        <v>0</v>
      </c>
      <c r="T47" s="297">
        <v>0</v>
      </c>
      <c r="U47" s="297">
        <v>0</v>
      </c>
      <c r="V47" s="297">
        <v>0</v>
      </c>
      <c r="W47" s="297">
        <v>0</v>
      </c>
      <c r="X47" s="297">
        <v>0</v>
      </c>
      <c r="Y47" s="297">
        <v>0</v>
      </c>
      <c r="Z47" s="297">
        <v>1</v>
      </c>
      <c r="AA47" s="297">
        <v>0</v>
      </c>
      <c r="AB47" s="297">
        <v>0</v>
      </c>
      <c r="AC47" s="297">
        <v>0</v>
      </c>
      <c r="AD47" s="297">
        <v>0</v>
      </c>
      <c r="AE47" s="297">
        <v>0</v>
      </c>
      <c r="AF47" s="297">
        <v>0</v>
      </c>
      <c r="AG47" s="297">
        <v>0</v>
      </c>
      <c r="AH47" s="297">
        <v>0</v>
      </c>
      <c r="AI47" s="297">
        <v>0</v>
      </c>
      <c r="AJ47" s="297">
        <v>0</v>
      </c>
      <c r="AK47" s="297">
        <v>0</v>
      </c>
      <c r="AL47" s="297">
        <v>0</v>
      </c>
      <c r="AM47" s="297">
        <v>0</v>
      </c>
      <c r="AN47" s="297">
        <v>0</v>
      </c>
      <c r="AO47" s="297">
        <v>0</v>
      </c>
      <c r="AP47" s="297">
        <v>0</v>
      </c>
      <c r="AQ47" s="297">
        <v>1</v>
      </c>
      <c r="AR47" s="297">
        <v>0</v>
      </c>
      <c r="AS47" s="297">
        <v>0</v>
      </c>
      <c r="AT47" s="297">
        <v>0</v>
      </c>
      <c r="AU47" s="297">
        <v>0</v>
      </c>
      <c r="AV47" s="297">
        <v>0</v>
      </c>
    </row>
    <row r="48" spans="1:48">
      <c r="A48" s="207" t="s">
        <v>353</v>
      </c>
      <c r="B48" s="297">
        <v>226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1</v>
      </c>
      <c r="K48" s="297">
        <v>0</v>
      </c>
      <c r="L48" s="297">
        <v>0</v>
      </c>
      <c r="M48" s="297">
        <v>150</v>
      </c>
      <c r="N48" s="297">
        <v>1</v>
      </c>
      <c r="O48" s="297">
        <v>1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1</v>
      </c>
      <c r="V48" s="297">
        <v>1</v>
      </c>
      <c r="W48" s="297">
        <v>0</v>
      </c>
      <c r="X48" s="297">
        <v>0</v>
      </c>
      <c r="Y48" s="297">
        <v>0</v>
      </c>
      <c r="Z48" s="297">
        <v>0</v>
      </c>
      <c r="AA48" s="297">
        <v>1</v>
      </c>
      <c r="AB48" s="297">
        <v>0</v>
      </c>
      <c r="AC48" s="297">
        <v>0</v>
      </c>
      <c r="AD48" s="297">
        <v>0</v>
      </c>
      <c r="AE48" s="297">
        <v>0</v>
      </c>
      <c r="AF48" s="297">
        <v>0</v>
      </c>
      <c r="AG48" s="297">
        <v>0</v>
      </c>
      <c r="AH48" s="297">
        <v>0</v>
      </c>
      <c r="AI48" s="297">
        <v>0</v>
      </c>
      <c r="AJ48" s="297">
        <v>0</v>
      </c>
      <c r="AK48" s="297">
        <v>0</v>
      </c>
      <c r="AL48" s="297">
        <v>0</v>
      </c>
      <c r="AM48" s="297">
        <v>0</v>
      </c>
      <c r="AN48" s="297">
        <v>0</v>
      </c>
      <c r="AO48" s="297">
        <v>0</v>
      </c>
      <c r="AP48" s="297">
        <v>0</v>
      </c>
      <c r="AQ48" s="297">
        <v>1</v>
      </c>
      <c r="AR48" s="297">
        <v>59</v>
      </c>
      <c r="AS48" s="297">
        <v>0</v>
      </c>
      <c r="AT48" s="297">
        <v>0</v>
      </c>
      <c r="AU48" s="297">
        <v>0</v>
      </c>
      <c r="AV48" s="297">
        <v>10</v>
      </c>
    </row>
    <row r="49" spans="1:48">
      <c r="A49" s="207" t="s">
        <v>554</v>
      </c>
      <c r="B49" s="297">
        <v>10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5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Z49" s="297">
        <v>0</v>
      </c>
      <c r="AA49" s="297">
        <v>0</v>
      </c>
      <c r="AB49" s="297">
        <v>0</v>
      </c>
      <c r="AC49" s="297">
        <v>0</v>
      </c>
      <c r="AD49" s="297">
        <v>0</v>
      </c>
      <c r="AE49" s="297">
        <v>0</v>
      </c>
      <c r="AF49" s="297">
        <v>0</v>
      </c>
      <c r="AG49" s="297">
        <v>0</v>
      </c>
      <c r="AH49" s="297">
        <v>0</v>
      </c>
      <c r="AI49" s="297">
        <v>0</v>
      </c>
      <c r="AJ49" s="297">
        <v>0</v>
      </c>
      <c r="AK49" s="297">
        <v>0</v>
      </c>
      <c r="AL49" s="297">
        <v>0</v>
      </c>
      <c r="AM49" s="297">
        <v>0</v>
      </c>
      <c r="AN49" s="297">
        <v>1</v>
      </c>
      <c r="AO49" s="297">
        <v>0</v>
      </c>
      <c r="AP49" s="297">
        <v>0</v>
      </c>
      <c r="AQ49" s="297">
        <v>0</v>
      </c>
      <c r="AR49" s="297">
        <v>1</v>
      </c>
      <c r="AS49" s="297">
        <v>0</v>
      </c>
      <c r="AT49" s="297">
        <v>3</v>
      </c>
      <c r="AU49" s="297">
        <v>0</v>
      </c>
      <c r="AV49" s="297">
        <v>0</v>
      </c>
    </row>
    <row r="50" spans="1:48">
      <c r="A50" s="207" t="s">
        <v>624</v>
      </c>
      <c r="B50" s="297">
        <v>3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2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Z50" s="297">
        <v>0</v>
      </c>
      <c r="AA50" s="297">
        <v>0</v>
      </c>
      <c r="AB50" s="297">
        <v>0</v>
      </c>
      <c r="AC50" s="297">
        <v>0</v>
      </c>
      <c r="AD50" s="297">
        <v>0</v>
      </c>
      <c r="AE50" s="297">
        <v>0</v>
      </c>
      <c r="AF50" s="297">
        <v>0</v>
      </c>
      <c r="AG50" s="297">
        <v>0</v>
      </c>
      <c r="AH50" s="297">
        <v>0</v>
      </c>
      <c r="AI50" s="297">
        <v>0</v>
      </c>
      <c r="AJ50" s="297">
        <v>0</v>
      </c>
      <c r="AK50" s="297">
        <v>0</v>
      </c>
      <c r="AL50" s="297">
        <v>0</v>
      </c>
      <c r="AM50" s="297">
        <v>0</v>
      </c>
      <c r="AN50" s="297">
        <v>0</v>
      </c>
      <c r="AO50" s="297">
        <v>0</v>
      </c>
      <c r="AP50" s="297">
        <v>0</v>
      </c>
      <c r="AQ50" s="297">
        <v>0</v>
      </c>
      <c r="AR50" s="297">
        <v>0</v>
      </c>
      <c r="AS50" s="297">
        <v>0</v>
      </c>
      <c r="AT50" s="297">
        <v>0</v>
      </c>
      <c r="AU50" s="297">
        <v>0</v>
      </c>
      <c r="AV50" s="297">
        <v>1</v>
      </c>
    </row>
    <row r="51" spans="1:48">
      <c r="A51" s="207" t="s">
        <v>333</v>
      </c>
      <c r="B51" s="297">
        <v>6645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190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1</v>
      </c>
      <c r="V51" s="297">
        <v>0</v>
      </c>
      <c r="W51" s="297">
        <v>0</v>
      </c>
      <c r="X51" s="297">
        <v>0</v>
      </c>
      <c r="Y51" s="297">
        <v>1</v>
      </c>
      <c r="Z51" s="297">
        <v>0</v>
      </c>
      <c r="AA51" s="297">
        <v>0</v>
      </c>
      <c r="AB51" s="297">
        <v>1</v>
      </c>
      <c r="AC51" s="297">
        <v>1</v>
      </c>
      <c r="AD51" s="297">
        <v>0</v>
      </c>
      <c r="AE51" s="297">
        <v>0</v>
      </c>
      <c r="AF51" s="297">
        <v>0</v>
      </c>
      <c r="AG51" s="297">
        <v>0</v>
      </c>
      <c r="AH51" s="297">
        <v>0</v>
      </c>
      <c r="AI51" s="297">
        <v>0</v>
      </c>
      <c r="AJ51" s="297">
        <v>0</v>
      </c>
      <c r="AK51" s="297">
        <v>0</v>
      </c>
      <c r="AL51" s="297">
        <v>0</v>
      </c>
      <c r="AM51" s="297">
        <v>1</v>
      </c>
      <c r="AN51" s="297">
        <v>0</v>
      </c>
      <c r="AO51" s="297">
        <v>1</v>
      </c>
      <c r="AP51" s="297">
        <v>0</v>
      </c>
      <c r="AQ51" s="297">
        <v>0</v>
      </c>
      <c r="AR51" s="297">
        <v>9</v>
      </c>
      <c r="AS51" s="297">
        <v>0</v>
      </c>
      <c r="AT51" s="297">
        <v>0</v>
      </c>
      <c r="AU51" s="297">
        <v>1</v>
      </c>
      <c r="AV51" s="297">
        <v>6439</v>
      </c>
    </row>
    <row r="52" spans="1:48" ht="5.0999999999999996" customHeight="1">
      <c r="A52" s="351"/>
      <c r="B52" s="299"/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299"/>
      <c r="V52" s="299"/>
      <c r="W52" s="299"/>
      <c r="X52" s="299"/>
      <c r="Y52" s="299"/>
      <c r="Z52" s="299"/>
      <c r="AA52" s="299"/>
      <c r="AB52" s="299"/>
      <c r="AC52" s="299"/>
      <c r="AD52" s="299"/>
      <c r="AE52" s="299"/>
      <c r="AF52" s="299"/>
      <c r="AG52" s="299"/>
      <c r="AH52" s="299"/>
      <c r="AI52" s="299"/>
      <c r="AJ52" s="299"/>
      <c r="AK52" s="299"/>
      <c r="AL52" s="299"/>
      <c r="AM52" s="299"/>
      <c r="AN52" s="299"/>
      <c r="AO52" s="299"/>
      <c r="AP52" s="299"/>
      <c r="AQ52" s="299"/>
      <c r="AR52" s="299"/>
      <c r="AS52" s="299"/>
      <c r="AT52" s="299"/>
      <c r="AU52" s="299"/>
      <c r="AV52" s="299"/>
    </row>
    <row r="53" spans="1:48" ht="5.0999999999999996" customHeight="1"/>
    <row r="54" spans="1:48" ht="11.25" customHeight="1">
      <c r="A54" s="481" t="s">
        <v>71</v>
      </c>
      <c r="B54" s="481"/>
      <c r="C54" s="481"/>
      <c r="D54" s="481"/>
    </row>
    <row r="55" spans="1:48" ht="10.5" customHeight="1">
      <c r="A55" s="352" t="s">
        <v>231</v>
      </c>
      <c r="B55" s="350"/>
      <c r="C55" s="353"/>
      <c r="D55" s="353"/>
    </row>
  </sheetData>
  <mergeCells count="7">
    <mergeCell ref="A2:AV2"/>
    <mergeCell ref="A3:AV3"/>
    <mergeCell ref="A4:AV4"/>
    <mergeCell ref="C6:AV6"/>
    <mergeCell ref="A54:D54"/>
    <mergeCell ref="B6:B7"/>
    <mergeCell ref="A6:A7"/>
  </mergeCells>
  <pageMargins left="0.7" right="0.7" top="0.75" bottom="0.75" header="0.3" footer="0.3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2:C295"/>
  <sheetViews>
    <sheetView workbookViewId="0">
      <selection activeCell="F8" sqref="F8"/>
    </sheetView>
  </sheetViews>
  <sheetFormatPr baseColWidth="10" defaultColWidth="11.42578125" defaultRowHeight="12.75"/>
  <cols>
    <col min="1" max="1" width="23" style="308" customWidth="1"/>
    <col min="2" max="2" width="24.140625" style="308" customWidth="1"/>
    <col min="3" max="16384" width="11.42578125" style="308"/>
  </cols>
  <sheetData>
    <row r="2" spans="1:3" ht="13.5">
      <c r="A2" s="473" t="s">
        <v>326</v>
      </c>
      <c r="B2" s="473"/>
      <c r="C2" s="473"/>
    </row>
    <row r="3" spans="1:3" ht="13.5">
      <c r="A3" s="472" t="s">
        <v>17</v>
      </c>
      <c r="B3" s="472"/>
      <c r="C3" s="472"/>
    </row>
    <row r="4" spans="1:3" ht="13.5">
      <c r="A4" s="472" t="s">
        <v>556</v>
      </c>
      <c r="B4" s="472"/>
      <c r="C4" s="472"/>
    </row>
    <row r="5" spans="1:3" ht="13.5">
      <c r="A5" s="347"/>
      <c r="B5" s="347"/>
      <c r="C5" s="347"/>
    </row>
    <row r="6" spans="1:3" ht="25.5">
      <c r="A6" s="348" t="s">
        <v>329</v>
      </c>
      <c r="B6" s="349" t="s">
        <v>330</v>
      </c>
      <c r="C6" s="341" t="s">
        <v>312</v>
      </c>
    </row>
    <row r="7" spans="1:3" ht="5.0999999999999996" customHeight="1"/>
    <row r="8" spans="1:3" s="290" customFormat="1">
      <c r="A8" s="292" t="s">
        <v>585</v>
      </c>
      <c r="B8" s="292"/>
      <c r="C8" s="295">
        <v>17674</v>
      </c>
    </row>
    <row r="9" spans="1:3" s="290" customFormat="1" ht="5.0999999999999996" customHeight="1">
      <c r="C9" s="297"/>
    </row>
    <row r="10" spans="1:3" s="290" customFormat="1">
      <c r="A10" s="292" t="s">
        <v>76</v>
      </c>
      <c r="B10" s="292"/>
      <c r="C10" s="295">
        <v>3221</v>
      </c>
    </row>
    <row r="11" spans="1:3" s="290" customFormat="1" ht="5.0999999999999996" customHeight="1">
      <c r="C11" s="297"/>
    </row>
    <row r="12" spans="1:3" s="290" customFormat="1">
      <c r="B12" s="290" t="s">
        <v>76</v>
      </c>
      <c r="C12" s="297">
        <v>3181</v>
      </c>
    </row>
    <row r="13" spans="1:3" s="290" customFormat="1">
      <c r="B13" s="290" t="s">
        <v>77</v>
      </c>
      <c r="C13" s="297">
        <v>2</v>
      </c>
    </row>
    <row r="14" spans="1:3" s="290" customFormat="1">
      <c r="B14" s="290" t="s">
        <v>79</v>
      </c>
      <c r="C14" s="297">
        <v>1</v>
      </c>
    </row>
    <row r="15" spans="1:3" s="290" customFormat="1">
      <c r="B15" s="290" t="s">
        <v>85</v>
      </c>
      <c r="C15" s="297">
        <v>1</v>
      </c>
    </row>
    <row r="16" spans="1:3" s="290" customFormat="1">
      <c r="B16" s="290" t="s">
        <v>86</v>
      </c>
      <c r="C16" s="297">
        <v>1</v>
      </c>
    </row>
    <row r="17" spans="1:3" s="290" customFormat="1">
      <c r="B17" s="290" t="s">
        <v>93</v>
      </c>
      <c r="C17" s="297">
        <v>1</v>
      </c>
    </row>
    <row r="18" spans="1:3" s="290" customFormat="1">
      <c r="B18" s="290" t="s">
        <v>224</v>
      </c>
      <c r="C18" s="297">
        <v>2</v>
      </c>
    </row>
    <row r="19" spans="1:3" s="290" customFormat="1">
      <c r="B19" s="290" t="s">
        <v>96</v>
      </c>
      <c r="C19" s="297">
        <v>1</v>
      </c>
    </row>
    <row r="20" spans="1:3" s="290" customFormat="1">
      <c r="B20" s="290" t="s">
        <v>103</v>
      </c>
      <c r="C20" s="297">
        <v>3</v>
      </c>
    </row>
    <row r="21" spans="1:3" s="290" customFormat="1">
      <c r="B21" s="290" t="s">
        <v>107</v>
      </c>
      <c r="C21" s="297">
        <v>16</v>
      </c>
    </row>
    <row r="22" spans="1:3" s="290" customFormat="1">
      <c r="B22" s="290" t="s">
        <v>108</v>
      </c>
      <c r="C22" s="297">
        <v>6</v>
      </c>
    </row>
    <row r="23" spans="1:3" s="290" customFormat="1">
      <c r="B23" s="290" t="s">
        <v>52</v>
      </c>
      <c r="C23" s="297">
        <v>6</v>
      </c>
    </row>
    <row r="24" spans="1:3" s="290" customFormat="1" ht="5.0999999999999996" customHeight="1">
      <c r="C24" s="297"/>
    </row>
    <row r="25" spans="1:3" s="290" customFormat="1">
      <c r="A25" s="292" t="s">
        <v>77</v>
      </c>
      <c r="B25" s="292"/>
      <c r="C25" s="295">
        <v>231</v>
      </c>
    </row>
    <row r="26" spans="1:3" s="290" customFormat="1" ht="5.0999999999999996" customHeight="1">
      <c r="A26" s="292"/>
      <c r="B26" s="292"/>
      <c r="C26" s="295"/>
    </row>
    <row r="27" spans="1:3" s="290" customFormat="1">
      <c r="B27" s="290" t="s">
        <v>77</v>
      </c>
      <c r="C27" s="297">
        <v>226</v>
      </c>
    </row>
    <row r="28" spans="1:3" s="290" customFormat="1">
      <c r="B28" s="290" t="s">
        <v>79</v>
      </c>
      <c r="C28" s="297">
        <v>1</v>
      </c>
    </row>
    <row r="29" spans="1:3" s="290" customFormat="1">
      <c r="B29" s="290" t="s">
        <v>97</v>
      </c>
      <c r="C29" s="297">
        <v>1</v>
      </c>
    </row>
    <row r="30" spans="1:3" s="290" customFormat="1">
      <c r="B30" s="290" t="s">
        <v>52</v>
      </c>
      <c r="C30" s="297">
        <v>3</v>
      </c>
    </row>
    <row r="31" spans="1:3" s="290" customFormat="1" ht="5.0999999999999996" customHeight="1">
      <c r="C31" s="297"/>
    </row>
    <row r="32" spans="1:3" s="290" customFormat="1">
      <c r="A32" s="292" t="s">
        <v>78</v>
      </c>
      <c r="B32" s="292"/>
      <c r="C32" s="295">
        <v>55</v>
      </c>
    </row>
    <row r="33" spans="1:3" s="290" customFormat="1" ht="5.0999999999999996" customHeight="1">
      <c r="A33" s="292"/>
      <c r="B33" s="292"/>
      <c r="C33" s="295"/>
    </row>
    <row r="34" spans="1:3" s="290" customFormat="1">
      <c r="B34" s="290" t="s">
        <v>78</v>
      </c>
      <c r="C34" s="297">
        <v>54</v>
      </c>
    </row>
    <row r="35" spans="1:3" s="290" customFormat="1">
      <c r="B35" s="290" t="s">
        <v>52</v>
      </c>
      <c r="C35" s="297">
        <v>1</v>
      </c>
    </row>
    <row r="36" spans="1:3" s="290" customFormat="1" ht="5.0999999999999996" customHeight="1">
      <c r="C36" s="297"/>
    </row>
    <row r="37" spans="1:3" s="290" customFormat="1">
      <c r="A37" s="292" t="s">
        <v>79</v>
      </c>
      <c r="B37" s="292"/>
      <c r="C37" s="295">
        <v>193</v>
      </c>
    </row>
    <row r="38" spans="1:3" s="290" customFormat="1" ht="5.0999999999999996" customHeight="1">
      <c r="A38" s="292"/>
      <c r="B38" s="292"/>
      <c r="C38" s="295"/>
    </row>
    <row r="39" spans="1:3" s="290" customFormat="1">
      <c r="B39" s="290" t="s">
        <v>79</v>
      </c>
      <c r="C39" s="297">
        <v>193</v>
      </c>
    </row>
    <row r="40" spans="1:3" s="290" customFormat="1" ht="5.0999999999999996" customHeight="1">
      <c r="C40" s="297"/>
    </row>
    <row r="41" spans="1:3" s="290" customFormat="1">
      <c r="A41" s="292" t="s">
        <v>80</v>
      </c>
      <c r="B41" s="292"/>
      <c r="C41" s="295">
        <v>15</v>
      </c>
    </row>
    <row r="42" spans="1:3" s="290" customFormat="1" ht="5.0999999999999996" customHeight="1">
      <c r="A42" s="292"/>
      <c r="B42" s="292"/>
      <c r="C42" s="295"/>
    </row>
    <row r="43" spans="1:3" s="290" customFormat="1">
      <c r="B43" s="290" t="s">
        <v>77</v>
      </c>
      <c r="C43" s="297">
        <v>1</v>
      </c>
    </row>
    <row r="44" spans="1:3" s="290" customFormat="1">
      <c r="B44" s="290" t="s">
        <v>79</v>
      </c>
      <c r="C44" s="297">
        <v>1</v>
      </c>
    </row>
    <row r="45" spans="1:3" s="290" customFormat="1">
      <c r="B45" s="290" t="s">
        <v>80</v>
      </c>
      <c r="C45" s="297">
        <v>9</v>
      </c>
    </row>
    <row r="46" spans="1:3" s="290" customFormat="1">
      <c r="B46" s="290" t="s">
        <v>81</v>
      </c>
      <c r="C46" s="297">
        <v>2</v>
      </c>
    </row>
    <row r="47" spans="1:3" s="290" customFormat="1">
      <c r="B47" s="290" t="s">
        <v>100</v>
      </c>
      <c r="C47" s="297">
        <v>1</v>
      </c>
    </row>
    <row r="48" spans="1:3" s="290" customFormat="1">
      <c r="B48" s="290" t="s">
        <v>52</v>
      </c>
      <c r="C48" s="297">
        <v>1</v>
      </c>
    </row>
    <row r="49" spans="1:3" s="290" customFormat="1" ht="5.0999999999999996" customHeight="1">
      <c r="A49" s="292"/>
      <c r="B49" s="292"/>
      <c r="C49" s="295"/>
    </row>
    <row r="50" spans="1:3" s="290" customFormat="1">
      <c r="A50" s="292" t="s">
        <v>81</v>
      </c>
      <c r="B50" s="292"/>
      <c r="C50" s="295">
        <v>713</v>
      </c>
    </row>
    <row r="51" spans="1:3" s="290" customFormat="1" ht="5.0999999999999996" customHeight="1">
      <c r="A51" s="292"/>
      <c r="B51" s="292"/>
      <c r="C51" s="295"/>
    </row>
    <row r="52" spans="1:3" s="290" customFormat="1">
      <c r="B52" s="290" t="s">
        <v>76</v>
      </c>
      <c r="C52" s="297">
        <v>1</v>
      </c>
    </row>
    <row r="53" spans="1:3" s="290" customFormat="1">
      <c r="B53" s="290" t="s">
        <v>80</v>
      </c>
      <c r="C53" s="297">
        <v>1</v>
      </c>
    </row>
    <row r="54" spans="1:3" s="290" customFormat="1">
      <c r="B54" s="290" t="s">
        <v>81</v>
      </c>
      <c r="C54" s="297">
        <v>705</v>
      </c>
    </row>
    <row r="55" spans="1:3" s="290" customFormat="1">
      <c r="B55" s="290" t="s">
        <v>52</v>
      </c>
      <c r="C55" s="297">
        <v>6</v>
      </c>
    </row>
    <row r="56" spans="1:3" s="290" customFormat="1" ht="5.0999999999999996" customHeight="1">
      <c r="A56" s="292"/>
      <c r="B56" s="292"/>
      <c r="C56" s="295"/>
    </row>
    <row r="57" spans="1:3" s="290" customFormat="1">
      <c r="A57" s="292" t="s">
        <v>82</v>
      </c>
      <c r="B57" s="292"/>
      <c r="C57" s="295">
        <v>20</v>
      </c>
    </row>
    <row r="58" spans="1:3" s="290" customFormat="1" ht="5.0999999999999996" customHeight="1">
      <c r="A58" s="292"/>
      <c r="B58" s="292"/>
      <c r="C58" s="295"/>
    </row>
    <row r="59" spans="1:3" s="290" customFormat="1">
      <c r="B59" s="290" t="s">
        <v>82</v>
      </c>
      <c r="C59" s="297">
        <v>20</v>
      </c>
    </row>
    <row r="60" spans="1:3" s="290" customFormat="1" ht="5.0999999999999996" customHeight="1">
      <c r="A60" s="292"/>
      <c r="B60" s="292"/>
      <c r="C60" s="295"/>
    </row>
    <row r="61" spans="1:3" s="290" customFormat="1">
      <c r="A61" s="292" t="s">
        <v>83</v>
      </c>
      <c r="B61" s="292"/>
      <c r="C61" s="295">
        <v>72</v>
      </c>
    </row>
    <row r="62" spans="1:3" s="290" customFormat="1" ht="5.0999999999999996" customHeight="1">
      <c r="A62" s="292"/>
      <c r="B62" s="292"/>
      <c r="C62" s="295"/>
    </row>
    <row r="63" spans="1:3" s="290" customFormat="1">
      <c r="B63" s="290" t="s">
        <v>76</v>
      </c>
      <c r="C63" s="297">
        <v>1</v>
      </c>
    </row>
    <row r="64" spans="1:3" s="290" customFormat="1">
      <c r="B64" s="290" t="s">
        <v>77</v>
      </c>
      <c r="C64" s="297">
        <v>1</v>
      </c>
    </row>
    <row r="65" spans="1:3" s="290" customFormat="1">
      <c r="B65" s="290" t="s">
        <v>82</v>
      </c>
      <c r="C65" s="297">
        <v>1</v>
      </c>
    </row>
    <row r="66" spans="1:3" s="290" customFormat="1">
      <c r="B66" s="290" t="s">
        <v>83</v>
      </c>
      <c r="C66" s="297">
        <v>52</v>
      </c>
    </row>
    <row r="67" spans="1:3" s="290" customFormat="1">
      <c r="B67" s="290" t="s">
        <v>84</v>
      </c>
      <c r="C67" s="297">
        <v>5</v>
      </c>
    </row>
    <row r="68" spans="1:3" s="290" customFormat="1">
      <c r="B68" s="290" t="s">
        <v>108</v>
      </c>
      <c r="C68" s="297">
        <v>2</v>
      </c>
    </row>
    <row r="69" spans="1:3" s="290" customFormat="1">
      <c r="B69" s="290" t="s">
        <v>52</v>
      </c>
      <c r="C69" s="297">
        <v>10</v>
      </c>
    </row>
    <row r="70" spans="1:3" s="290" customFormat="1" ht="5.0999999999999996" customHeight="1">
      <c r="A70" s="292"/>
      <c r="B70" s="292"/>
      <c r="C70" s="295"/>
    </row>
    <row r="71" spans="1:3" s="290" customFormat="1">
      <c r="A71" s="292" t="s">
        <v>84</v>
      </c>
      <c r="B71" s="292"/>
      <c r="C71" s="295">
        <v>410</v>
      </c>
    </row>
    <row r="72" spans="1:3" s="290" customFormat="1" ht="5.0999999999999996" customHeight="1">
      <c r="A72" s="292"/>
      <c r="B72" s="292"/>
      <c r="C72" s="295"/>
    </row>
    <row r="73" spans="1:3" s="290" customFormat="1">
      <c r="B73" s="290" t="s">
        <v>79</v>
      </c>
      <c r="C73" s="297">
        <v>1</v>
      </c>
    </row>
    <row r="74" spans="1:3" s="290" customFormat="1">
      <c r="B74" s="290" t="s">
        <v>83</v>
      </c>
      <c r="C74" s="297">
        <v>2</v>
      </c>
    </row>
    <row r="75" spans="1:3" s="290" customFormat="1">
      <c r="B75" s="290" t="s">
        <v>84</v>
      </c>
      <c r="C75" s="297">
        <v>405</v>
      </c>
    </row>
    <row r="76" spans="1:3" s="290" customFormat="1">
      <c r="B76" s="290" t="s">
        <v>224</v>
      </c>
      <c r="C76" s="297">
        <v>1</v>
      </c>
    </row>
    <row r="77" spans="1:3" s="290" customFormat="1">
      <c r="B77" s="290" t="s">
        <v>108</v>
      </c>
      <c r="C77" s="297">
        <v>1</v>
      </c>
    </row>
    <row r="78" spans="1:3" s="290" customFormat="1" ht="5.0999999999999996" customHeight="1">
      <c r="A78" s="292"/>
      <c r="B78" s="292"/>
      <c r="C78" s="295"/>
    </row>
    <row r="79" spans="1:3" s="290" customFormat="1">
      <c r="A79" s="292" t="s">
        <v>85</v>
      </c>
      <c r="B79" s="292"/>
      <c r="C79" s="295">
        <v>36</v>
      </c>
    </row>
    <row r="80" spans="1:3" s="290" customFormat="1" ht="5.0999999999999996" customHeight="1">
      <c r="A80" s="292"/>
      <c r="B80" s="292"/>
      <c r="C80" s="295"/>
    </row>
    <row r="81" spans="1:3" s="290" customFormat="1">
      <c r="B81" s="290" t="s">
        <v>76</v>
      </c>
      <c r="C81" s="297">
        <v>1</v>
      </c>
    </row>
    <row r="82" spans="1:3" s="290" customFormat="1">
      <c r="B82" s="290" t="s">
        <v>77</v>
      </c>
      <c r="C82" s="297">
        <v>1</v>
      </c>
    </row>
    <row r="83" spans="1:3" s="290" customFormat="1">
      <c r="B83" s="290" t="s">
        <v>78</v>
      </c>
      <c r="C83" s="297">
        <v>1</v>
      </c>
    </row>
    <row r="84" spans="1:3" s="290" customFormat="1">
      <c r="B84" s="290" t="s">
        <v>85</v>
      </c>
      <c r="C84" s="297">
        <v>33</v>
      </c>
    </row>
    <row r="85" spans="1:3" s="290" customFormat="1" ht="5.0999999999999996" customHeight="1">
      <c r="A85" s="292"/>
      <c r="B85" s="292"/>
      <c r="C85" s="295"/>
    </row>
    <row r="86" spans="1:3" s="290" customFormat="1">
      <c r="A86" s="292" t="s">
        <v>86</v>
      </c>
      <c r="B86" s="292"/>
      <c r="C86" s="295">
        <v>89</v>
      </c>
    </row>
    <row r="87" spans="1:3" s="290" customFormat="1" ht="5.0999999999999996" customHeight="1">
      <c r="A87" s="292"/>
      <c r="B87" s="292"/>
      <c r="C87" s="295"/>
    </row>
    <row r="88" spans="1:3" s="290" customFormat="1">
      <c r="B88" s="290" t="s">
        <v>86</v>
      </c>
      <c r="C88" s="297">
        <v>89</v>
      </c>
    </row>
    <row r="89" spans="1:3" s="290" customFormat="1" ht="5.0999999999999996" customHeight="1">
      <c r="A89" s="292"/>
      <c r="B89" s="292"/>
      <c r="C89" s="295"/>
    </row>
    <row r="90" spans="1:3" s="290" customFormat="1">
      <c r="A90" s="292" t="s">
        <v>87</v>
      </c>
      <c r="B90" s="292"/>
      <c r="C90" s="295">
        <v>324</v>
      </c>
    </row>
    <row r="91" spans="1:3" s="290" customFormat="1" ht="5.0999999999999996" customHeight="1">
      <c r="A91" s="292"/>
      <c r="B91" s="292"/>
      <c r="C91" s="295"/>
    </row>
    <row r="92" spans="1:3" s="290" customFormat="1">
      <c r="B92" s="290" t="s">
        <v>77</v>
      </c>
      <c r="C92" s="297">
        <v>1</v>
      </c>
    </row>
    <row r="93" spans="1:3" s="290" customFormat="1">
      <c r="B93" s="290" t="s">
        <v>87</v>
      </c>
      <c r="C93" s="297">
        <v>321</v>
      </c>
    </row>
    <row r="94" spans="1:3" s="290" customFormat="1">
      <c r="B94" s="290" t="s">
        <v>88</v>
      </c>
      <c r="C94" s="297">
        <v>1</v>
      </c>
    </row>
    <row r="95" spans="1:3" s="290" customFormat="1">
      <c r="B95" s="290" t="s">
        <v>107</v>
      </c>
      <c r="C95" s="297">
        <v>1</v>
      </c>
    </row>
    <row r="96" spans="1:3" s="290" customFormat="1" ht="5.0999999999999996" customHeight="1">
      <c r="A96" s="292"/>
      <c r="B96" s="292"/>
      <c r="C96" s="295"/>
    </row>
    <row r="97" spans="1:3" s="290" customFormat="1">
      <c r="A97" s="292" t="s">
        <v>88</v>
      </c>
      <c r="B97" s="292"/>
      <c r="C97" s="295">
        <v>409</v>
      </c>
    </row>
    <row r="98" spans="1:3" s="290" customFormat="1" ht="5.0999999999999996" customHeight="1">
      <c r="A98" s="292"/>
      <c r="B98" s="292"/>
      <c r="C98" s="295"/>
    </row>
    <row r="99" spans="1:3" s="290" customFormat="1">
      <c r="B99" s="290" t="s">
        <v>77</v>
      </c>
      <c r="C99" s="297">
        <v>1</v>
      </c>
    </row>
    <row r="100" spans="1:3" s="290" customFormat="1">
      <c r="B100" s="290" t="s">
        <v>87</v>
      </c>
      <c r="C100" s="297">
        <v>3</v>
      </c>
    </row>
    <row r="101" spans="1:3" s="290" customFormat="1">
      <c r="B101" s="290" t="s">
        <v>88</v>
      </c>
      <c r="C101" s="297">
        <v>386</v>
      </c>
    </row>
    <row r="102" spans="1:3" s="290" customFormat="1">
      <c r="B102" s="290" t="s">
        <v>108</v>
      </c>
      <c r="C102" s="297">
        <v>3</v>
      </c>
    </row>
    <row r="103" spans="1:3" s="290" customFormat="1">
      <c r="B103" s="290" t="s">
        <v>52</v>
      </c>
      <c r="C103" s="297">
        <v>16</v>
      </c>
    </row>
    <row r="104" spans="1:3" s="290" customFormat="1" ht="5.0999999999999996" customHeight="1">
      <c r="A104" s="292"/>
      <c r="B104" s="292"/>
      <c r="C104" s="295"/>
    </row>
    <row r="105" spans="1:3" s="290" customFormat="1">
      <c r="A105" s="292" t="s">
        <v>89</v>
      </c>
      <c r="B105" s="292"/>
      <c r="C105" s="295">
        <v>147</v>
      </c>
    </row>
    <row r="106" spans="1:3" s="290" customFormat="1" ht="5.0999999999999996" customHeight="1">
      <c r="A106" s="292"/>
      <c r="B106" s="292"/>
      <c r="C106" s="295"/>
    </row>
    <row r="107" spans="1:3" s="290" customFormat="1">
      <c r="B107" s="290" t="s">
        <v>89</v>
      </c>
      <c r="C107" s="297">
        <v>146</v>
      </c>
    </row>
    <row r="108" spans="1:3" s="290" customFormat="1">
      <c r="B108" s="290" t="s">
        <v>107</v>
      </c>
      <c r="C108" s="297">
        <v>1</v>
      </c>
    </row>
    <row r="109" spans="1:3" s="290" customFormat="1" ht="5.0999999999999996" customHeight="1">
      <c r="A109" s="292"/>
      <c r="B109" s="292"/>
      <c r="C109" s="295"/>
    </row>
    <row r="110" spans="1:3" s="290" customFormat="1">
      <c r="A110" s="292" t="s">
        <v>369</v>
      </c>
      <c r="B110" s="292"/>
      <c r="C110" s="295">
        <v>122</v>
      </c>
    </row>
    <row r="111" spans="1:3" s="290" customFormat="1" ht="5.0999999999999996" customHeight="1">
      <c r="A111" s="292"/>
      <c r="B111" s="292"/>
      <c r="C111" s="295"/>
    </row>
    <row r="112" spans="1:3" s="290" customFormat="1">
      <c r="B112" s="290" t="s">
        <v>369</v>
      </c>
      <c r="C112" s="297">
        <v>120</v>
      </c>
    </row>
    <row r="113" spans="1:3" s="290" customFormat="1">
      <c r="B113" s="290" t="s">
        <v>100</v>
      </c>
      <c r="C113" s="297">
        <v>2</v>
      </c>
    </row>
    <row r="114" spans="1:3" s="290" customFormat="1" ht="5.0999999999999996" customHeight="1">
      <c r="A114" s="292"/>
      <c r="B114" s="292"/>
      <c r="C114" s="295"/>
    </row>
    <row r="115" spans="1:3" s="290" customFormat="1">
      <c r="A115" s="292" t="s">
        <v>91</v>
      </c>
      <c r="B115" s="292"/>
      <c r="C115" s="295">
        <v>9</v>
      </c>
    </row>
    <row r="116" spans="1:3" s="290" customFormat="1" ht="5.0999999999999996" customHeight="1">
      <c r="A116" s="292"/>
      <c r="B116" s="292"/>
      <c r="C116" s="295"/>
    </row>
    <row r="117" spans="1:3" s="290" customFormat="1">
      <c r="B117" s="290" t="s">
        <v>91</v>
      </c>
      <c r="C117" s="297">
        <v>9</v>
      </c>
    </row>
    <row r="118" spans="1:3" s="290" customFormat="1" ht="5.0999999999999996" customHeight="1">
      <c r="A118" s="292"/>
      <c r="B118" s="292"/>
      <c r="C118" s="295"/>
    </row>
    <row r="119" spans="1:3" s="290" customFormat="1">
      <c r="A119" s="292" t="s">
        <v>92</v>
      </c>
      <c r="B119" s="292"/>
      <c r="C119" s="295">
        <v>193</v>
      </c>
    </row>
    <row r="120" spans="1:3" s="290" customFormat="1" ht="5.0999999999999996" customHeight="1">
      <c r="A120" s="292"/>
      <c r="B120" s="292"/>
      <c r="C120" s="295"/>
    </row>
    <row r="121" spans="1:3" s="290" customFormat="1">
      <c r="B121" s="290" t="s">
        <v>92</v>
      </c>
      <c r="C121" s="297">
        <v>192</v>
      </c>
    </row>
    <row r="122" spans="1:3" s="290" customFormat="1">
      <c r="B122" s="290" t="s">
        <v>52</v>
      </c>
      <c r="C122" s="297">
        <v>1</v>
      </c>
    </row>
    <row r="123" spans="1:3" s="290" customFormat="1" ht="5.0999999999999996" customHeight="1">
      <c r="A123" s="292"/>
      <c r="B123" s="292"/>
      <c r="C123" s="295"/>
    </row>
    <row r="124" spans="1:3" s="290" customFormat="1">
      <c r="A124" s="292" t="s">
        <v>93</v>
      </c>
      <c r="B124" s="292"/>
      <c r="C124" s="295">
        <v>437</v>
      </c>
    </row>
    <row r="125" spans="1:3" s="290" customFormat="1" ht="5.0999999999999996" customHeight="1">
      <c r="A125" s="292"/>
      <c r="B125" s="292"/>
      <c r="C125" s="295"/>
    </row>
    <row r="126" spans="1:3" s="290" customFormat="1">
      <c r="B126" s="290" t="s">
        <v>88</v>
      </c>
      <c r="C126" s="297">
        <v>1</v>
      </c>
    </row>
    <row r="127" spans="1:3" s="290" customFormat="1">
      <c r="B127" s="290" t="s">
        <v>93</v>
      </c>
      <c r="C127" s="297">
        <v>426</v>
      </c>
    </row>
    <row r="128" spans="1:3" s="290" customFormat="1">
      <c r="B128" s="290" t="s">
        <v>94</v>
      </c>
      <c r="C128" s="297">
        <v>1</v>
      </c>
    </row>
    <row r="129" spans="1:3" s="290" customFormat="1">
      <c r="B129" s="290" t="s">
        <v>107</v>
      </c>
      <c r="C129" s="297">
        <v>1</v>
      </c>
    </row>
    <row r="130" spans="1:3" s="290" customFormat="1">
      <c r="B130" s="290" t="s">
        <v>108</v>
      </c>
      <c r="C130" s="297">
        <v>8</v>
      </c>
    </row>
    <row r="131" spans="1:3" s="290" customFormat="1" ht="5.0999999999999996" customHeight="1">
      <c r="A131" s="292"/>
      <c r="B131" s="292"/>
      <c r="C131" s="295"/>
    </row>
    <row r="132" spans="1:3" s="290" customFormat="1">
      <c r="A132" s="292" t="s">
        <v>94</v>
      </c>
      <c r="B132" s="292"/>
      <c r="C132" s="295">
        <v>159</v>
      </c>
    </row>
    <row r="133" spans="1:3" s="290" customFormat="1" ht="5.0999999999999996" customHeight="1">
      <c r="A133" s="292"/>
      <c r="B133" s="292"/>
      <c r="C133" s="295"/>
    </row>
    <row r="134" spans="1:3" s="290" customFormat="1">
      <c r="B134" s="290" t="s">
        <v>76</v>
      </c>
      <c r="C134" s="297">
        <v>1</v>
      </c>
    </row>
    <row r="135" spans="1:3" s="290" customFormat="1">
      <c r="B135" s="290" t="s">
        <v>81</v>
      </c>
      <c r="C135" s="297">
        <v>2</v>
      </c>
    </row>
    <row r="136" spans="1:3" s="290" customFormat="1">
      <c r="B136" s="290" t="s">
        <v>84</v>
      </c>
      <c r="C136" s="297">
        <v>1</v>
      </c>
    </row>
    <row r="137" spans="1:3" s="290" customFormat="1">
      <c r="B137" s="290" t="s">
        <v>94</v>
      </c>
      <c r="C137" s="297">
        <v>130</v>
      </c>
    </row>
    <row r="138" spans="1:3" s="290" customFormat="1">
      <c r="B138" s="290" t="s">
        <v>100</v>
      </c>
      <c r="C138" s="297">
        <v>1</v>
      </c>
    </row>
    <row r="139" spans="1:3" s="290" customFormat="1">
      <c r="B139" s="290" t="s">
        <v>108</v>
      </c>
      <c r="C139" s="297">
        <v>8</v>
      </c>
    </row>
    <row r="140" spans="1:3" s="290" customFormat="1">
      <c r="B140" s="290" t="s">
        <v>52</v>
      </c>
      <c r="C140" s="297">
        <v>16</v>
      </c>
    </row>
    <row r="141" spans="1:3" s="290" customFormat="1" ht="5.0999999999999996" customHeight="1">
      <c r="A141" s="292"/>
      <c r="B141" s="292"/>
      <c r="C141" s="295"/>
    </row>
    <row r="142" spans="1:3" s="290" customFormat="1">
      <c r="A142" s="292" t="s">
        <v>95</v>
      </c>
      <c r="B142" s="292"/>
      <c r="C142" s="295">
        <v>91</v>
      </c>
    </row>
    <row r="143" spans="1:3" s="290" customFormat="1" ht="5.0999999999999996" customHeight="1">
      <c r="A143" s="292"/>
      <c r="B143" s="292"/>
      <c r="C143" s="295"/>
    </row>
    <row r="144" spans="1:3" s="290" customFormat="1">
      <c r="B144" s="290" t="s">
        <v>95</v>
      </c>
      <c r="C144" s="297">
        <v>89</v>
      </c>
    </row>
    <row r="145" spans="1:3" s="290" customFormat="1">
      <c r="B145" s="290" t="s">
        <v>96</v>
      </c>
      <c r="C145" s="297">
        <v>1</v>
      </c>
    </row>
    <row r="146" spans="1:3" s="290" customFormat="1">
      <c r="B146" s="290" t="s">
        <v>52</v>
      </c>
      <c r="C146" s="297">
        <v>1</v>
      </c>
    </row>
    <row r="147" spans="1:3" s="290" customFormat="1" ht="5.0999999999999996" customHeight="1">
      <c r="A147" s="292"/>
      <c r="B147" s="292"/>
      <c r="C147" s="295"/>
    </row>
    <row r="148" spans="1:3" s="290" customFormat="1">
      <c r="A148" s="292" t="s">
        <v>96</v>
      </c>
      <c r="B148" s="292"/>
      <c r="C148" s="295">
        <v>224</v>
      </c>
    </row>
    <row r="149" spans="1:3" s="290" customFormat="1" ht="5.0999999999999996" customHeight="1">
      <c r="A149" s="292"/>
      <c r="B149" s="292"/>
      <c r="C149" s="295"/>
    </row>
    <row r="150" spans="1:3" s="290" customFormat="1">
      <c r="B150" s="290" t="s">
        <v>86</v>
      </c>
      <c r="C150" s="297">
        <v>1</v>
      </c>
    </row>
    <row r="151" spans="1:3" s="290" customFormat="1">
      <c r="B151" s="290" t="s">
        <v>96</v>
      </c>
      <c r="C151" s="297">
        <v>207</v>
      </c>
    </row>
    <row r="152" spans="1:3" s="290" customFormat="1">
      <c r="B152" s="290" t="s">
        <v>100</v>
      </c>
      <c r="C152" s="297">
        <v>1</v>
      </c>
    </row>
    <row r="153" spans="1:3" s="290" customFormat="1">
      <c r="B153" s="290" t="s">
        <v>107</v>
      </c>
      <c r="C153" s="297">
        <v>2</v>
      </c>
    </row>
    <row r="154" spans="1:3" s="290" customFormat="1">
      <c r="B154" s="290" t="s">
        <v>108</v>
      </c>
      <c r="C154" s="297">
        <v>9</v>
      </c>
    </row>
    <row r="155" spans="1:3" s="290" customFormat="1">
      <c r="B155" s="290" t="s">
        <v>52</v>
      </c>
      <c r="C155" s="297">
        <v>4</v>
      </c>
    </row>
    <row r="156" spans="1:3" s="290" customFormat="1" ht="5.0999999999999996" customHeight="1">
      <c r="A156" s="292"/>
      <c r="B156" s="292"/>
      <c r="C156" s="295"/>
    </row>
    <row r="157" spans="1:3" s="290" customFormat="1">
      <c r="A157" s="292" t="s">
        <v>97</v>
      </c>
      <c r="B157" s="292"/>
      <c r="C157" s="295">
        <v>111</v>
      </c>
    </row>
    <row r="158" spans="1:3" s="290" customFormat="1" ht="5.0999999999999996" customHeight="1">
      <c r="A158" s="292"/>
      <c r="B158" s="292"/>
      <c r="C158" s="295"/>
    </row>
    <row r="159" spans="1:3" s="290" customFormat="1">
      <c r="B159" s="290" t="s">
        <v>97</v>
      </c>
      <c r="C159" s="297">
        <v>111</v>
      </c>
    </row>
    <row r="160" spans="1:3" s="290" customFormat="1" ht="5.0999999999999996" customHeight="1">
      <c r="A160" s="292"/>
      <c r="B160" s="292"/>
      <c r="C160" s="295"/>
    </row>
    <row r="161" spans="1:3" s="290" customFormat="1">
      <c r="A161" s="292" t="s">
        <v>98</v>
      </c>
      <c r="B161" s="292"/>
      <c r="C161" s="295">
        <v>356</v>
      </c>
    </row>
    <row r="162" spans="1:3" s="290" customFormat="1" ht="5.0999999999999996" customHeight="1">
      <c r="A162" s="292"/>
      <c r="B162" s="292"/>
      <c r="C162" s="295"/>
    </row>
    <row r="163" spans="1:3" s="290" customFormat="1">
      <c r="B163" s="290" t="s">
        <v>80</v>
      </c>
      <c r="C163" s="297">
        <v>1</v>
      </c>
    </row>
    <row r="164" spans="1:3" s="290" customFormat="1">
      <c r="B164" s="290" t="s">
        <v>98</v>
      </c>
      <c r="C164" s="297">
        <v>350</v>
      </c>
    </row>
    <row r="165" spans="1:3" s="290" customFormat="1" ht="12.75" customHeight="1">
      <c r="A165" s="292"/>
      <c r="B165" s="290" t="s">
        <v>52</v>
      </c>
      <c r="C165" s="297">
        <v>5</v>
      </c>
    </row>
    <row r="166" spans="1:3" s="290" customFormat="1" ht="5.0999999999999996" customHeight="1">
      <c r="A166" s="292"/>
      <c r="C166" s="297"/>
    </row>
    <row r="167" spans="1:3" s="290" customFormat="1">
      <c r="A167" s="292" t="s">
        <v>99</v>
      </c>
      <c r="B167" s="292"/>
      <c r="C167" s="295">
        <v>207</v>
      </c>
    </row>
    <row r="168" spans="1:3" s="290" customFormat="1" ht="12.75" customHeight="1">
      <c r="A168" s="292"/>
      <c r="B168" s="290" t="s">
        <v>99</v>
      </c>
      <c r="C168" s="297">
        <v>207</v>
      </c>
    </row>
    <row r="169" spans="1:3" s="290" customFormat="1" ht="5.0999999999999996" customHeight="1">
      <c r="A169" s="292"/>
      <c r="B169" s="292"/>
      <c r="C169" s="295"/>
    </row>
    <row r="170" spans="1:3" s="290" customFormat="1">
      <c r="A170" s="292" t="s">
        <v>100</v>
      </c>
      <c r="B170" s="292"/>
      <c r="C170" s="295">
        <v>928</v>
      </c>
    </row>
    <row r="171" spans="1:3" s="290" customFormat="1" ht="5.0999999999999996" customHeight="1">
      <c r="A171" s="292"/>
      <c r="B171" s="292"/>
      <c r="C171" s="295"/>
    </row>
    <row r="172" spans="1:3" s="290" customFormat="1">
      <c r="B172" s="290" t="s">
        <v>98</v>
      </c>
      <c r="C172" s="297">
        <v>1</v>
      </c>
    </row>
    <row r="173" spans="1:3" s="290" customFormat="1">
      <c r="B173" s="290" t="s">
        <v>100</v>
      </c>
      <c r="C173" s="297">
        <v>890</v>
      </c>
    </row>
    <row r="174" spans="1:3" s="290" customFormat="1">
      <c r="B174" s="290" t="s">
        <v>107</v>
      </c>
      <c r="C174" s="297">
        <v>1</v>
      </c>
    </row>
    <row r="175" spans="1:3" s="290" customFormat="1">
      <c r="B175" s="290" t="s">
        <v>108</v>
      </c>
      <c r="C175" s="297">
        <v>7</v>
      </c>
    </row>
    <row r="176" spans="1:3" s="290" customFormat="1">
      <c r="B176" s="290" t="s">
        <v>52</v>
      </c>
      <c r="C176" s="297">
        <v>29</v>
      </c>
    </row>
    <row r="177" spans="1:3" s="290" customFormat="1" ht="5.0999999999999996" customHeight="1">
      <c r="A177" s="292"/>
      <c r="B177" s="292"/>
      <c r="C177" s="295"/>
    </row>
    <row r="178" spans="1:3" s="290" customFormat="1">
      <c r="A178" s="292" t="s">
        <v>101</v>
      </c>
      <c r="B178" s="292"/>
      <c r="C178" s="295">
        <v>127</v>
      </c>
    </row>
    <row r="179" spans="1:3" s="290" customFormat="1" ht="5.0999999999999996" customHeight="1">
      <c r="A179" s="292"/>
      <c r="B179" s="292"/>
      <c r="C179" s="295"/>
    </row>
    <row r="180" spans="1:3" s="290" customFormat="1">
      <c r="B180" s="290" t="s">
        <v>80</v>
      </c>
      <c r="C180" s="297">
        <v>1</v>
      </c>
    </row>
    <row r="181" spans="1:3" s="290" customFormat="1">
      <c r="B181" s="290" t="s">
        <v>95</v>
      </c>
      <c r="C181" s="297">
        <v>2</v>
      </c>
    </row>
    <row r="182" spans="1:3" s="290" customFormat="1">
      <c r="B182" s="290" t="s">
        <v>100</v>
      </c>
      <c r="C182" s="297">
        <v>1</v>
      </c>
    </row>
    <row r="183" spans="1:3" s="290" customFormat="1">
      <c r="B183" s="290" t="s">
        <v>101</v>
      </c>
      <c r="C183" s="297">
        <v>114</v>
      </c>
    </row>
    <row r="184" spans="1:3" s="290" customFormat="1" ht="12.75" customHeight="1">
      <c r="A184" s="292"/>
      <c r="B184" s="290" t="s">
        <v>52</v>
      </c>
      <c r="C184" s="295">
        <v>9</v>
      </c>
    </row>
    <row r="185" spans="1:3" s="290" customFormat="1" ht="5.0999999999999996" customHeight="1">
      <c r="A185" s="292"/>
      <c r="C185" s="295"/>
    </row>
    <row r="186" spans="1:3" s="290" customFormat="1">
      <c r="A186" s="292" t="s">
        <v>102</v>
      </c>
      <c r="B186" s="292"/>
      <c r="C186" s="295">
        <v>14</v>
      </c>
    </row>
    <row r="187" spans="1:3" s="290" customFormat="1" ht="12.75" customHeight="1">
      <c r="A187" s="292"/>
      <c r="B187" s="290" t="s">
        <v>102</v>
      </c>
      <c r="C187" s="297">
        <v>14</v>
      </c>
    </row>
    <row r="188" spans="1:3" s="290" customFormat="1" ht="5.0999999999999996" customHeight="1">
      <c r="A188" s="292"/>
      <c r="B188" s="292"/>
      <c r="C188" s="295"/>
    </row>
    <row r="189" spans="1:3" s="290" customFormat="1">
      <c r="A189" s="292" t="s">
        <v>103</v>
      </c>
      <c r="B189" s="292"/>
      <c r="C189" s="295">
        <v>725</v>
      </c>
    </row>
    <row r="190" spans="1:3" s="290" customFormat="1" ht="5.0999999999999996" customHeight="1">
      <c r="A190" s="292"/>
      <c r="B190" s="292"/>
      <c r="C190" s="295"/>
    </row>
    <row r="191" spans="1:3" s="290" customFormat="1">
      <c r="B191" s="290" t="s">
        <v>76</v>
      </c>
      <c r="C191" s="297">
        <v>6</v>
      </c>
    </row>
    <row r="192" spans="1:3" s="290" customFormat="1">
      <c r="B192" s="290" t="s">
        <v>88</v>
      </c>
      <c r="C192" s="297">
        <v>1</v>
      </c>
    </row>
    <row r="193" spans="1:3" s="290" customFormat="1">
      <c r="B193" s="290" t="s">
        <v>100</v>
      </c>
      <c r="C193" s="297">
        <v>4</v>
      </c>
    </row>
    <row r="194" spans="1:3" s="290" customFormat="1">
      <c r="B194" s="290" t="s">
        <v>103</v>
      </c>
      <c r="C194" s="297">
        <v>681</v>
      </c>
    </row>
    <row r="195" spans="1:3" s="290" customFormat="1">
      <c r="B195" s="290" t="s">
        <v>106</v>
      </c>
      <c r="C195" s="297">
        <v>1</v>
      </c>
    </row>
    <row r="196" spans="1:3" s="290" customFormat="1">
      <c r="B196" s="290" t="s">
        <v>108</v>
      </c>
      <c r="C196" s="297">
        <v>31</v>
      </c>
    </row>
    <row r="197" spans="1:3" s="290" customFormat="1">
      <c r="B197" s="290" t="s">
        <v>52</v>
      </c>
      <c r="C197" s="297">
        <v>1</v>
      </c>
    </row>
    <row r="198" spans="1:3" s="290" customFormat="1" ht="5.0999999999999996" customHeight="1">
      <c r="A198" s="292"/>
      <c r="B198" s="292"/>
      <c r="C198" s="295"/>
    </row>
    <row r="199" spans="1:3" s="290" customFormat="1">
      <c r="A199" s="292" t="s">
        <v>104</v>
      </c>
      <c r="B199" s="292"/>
      <c r="C199" s="295">
        <v>57</v>
      </c>
    </row>
    <row r="200" spans="1:3" s="290" customFormat="1" ht="5.0999999999999996" customHeight="1">
      <c r="A200" s="292"/>
      <c r="B200" s="292"/>
      <c r="C200" s="295"/>
    </row>
    <row r="201" spans="1:3" s="290" customFormat="1">
      <c r="B201" s="290" t="s">
        <v>76</v>
      </c>
      <c r="C201" s="297">
        <v>1</v>
      </c>
    </row>
    <row r="202" spans="1:3" s="290" customFormat="1">
      <c r="B202" s="290" t="s">
        <v>84</v>
      </c>
      <c r="C202" s="297">
        <v>3</v>
      </c>
    </row>
    <row r="203" spans="1:3" s="290" customFormat="1">
      <c r="B203" s="290" t="s">
        <v>104</v>
      </c>
      <c r="C203" s="297">
        <v>53</v>
      </c>
    </row>
    <row r="204" spans="1:3" s="290" customFormat="1" ht="5.0999999999999996" customHeight="1">
      <c r="A204" s="292"/>
      <c r="B204" s="292"/>
      <c r="C204" s="295"/>
    </row>
    <row r="205" spans="1:3" s="290" customFormat="1">
      <c r="A205" s="292" t="s">
        <v>105</v>
      </c>
      <c r="B205" s="292"/>
      <c r="C205" s="295">
        <v>19</v>
      </c>
    </row>
    <row r="206" spans="1:3" s="290" customFormat="1" ht="5.0999999999999996" customHeight="1">
      <c r="A206" s="292"/>
      <c r="B206" s="292"/>
      <c r="C206" s="295"/>
    </row>
    <row r="207" spans="1:3" s="290" customFormat="1">
      <c r="B207" s="290" t="s">
        <v>105</v>
      </c>
      <c r="C207" s="297">
        <v>13</v>
      </c>
    </row>
    <row r="208" spans="1:3" s="290" customFormat="1">
      <c r="B208" s="290" t="s">
        <v>52</v>
      </c>
      <c r="C208" s="297">
        <v>6</v>
      </c>
    </row>
    <row r="209" spans="1:3" s="290" customFormat="1" ht="5.0999999999999996" customHeight="1">
      <c r="A209" s="292"/>
      <c r="B209" s="292"/>
      <c r="C209" s="295"/>
    </row>
    <row r="210" spans="1:3" s="290" customFormat="1">
      <c r="A210" s="292" t="s">
        <v>106</v>
      </c>
      <c r="B210" s="292"/>
      <c r="C210" s="295">
        <v>401</v>
      </c>
    </row>
    <row r="211" spans="1:3" s="290" customFormat="1" ht="5.0999999999999996" customHeight="1">
      <c r="A211" s="292"/>
      <c r="B211" s="292"/>
      <c r="C211" s="295"/>
    </row>
    <row r="212" spans="1:3" s="290" customFormat="1">
      <c r="B212" s="290" t="s">
        <v>106</v>
      </c>
      <c r="C212" s="297">
        <v>401</v>
      </c>
    </row>
    <row r="213" spans="1:3" s="290" customFormat="1" ht="5.0999999999999996" customHeight="1">
      <c r="A213" s="292"/>
      <c r="B213" s="292"/>
      <c r="C213" s="295"/>
    </row>
    <row r="214" spans="1:3" s="290" customFormat="1">
      <c r="A214" s="292" t="s">
        <v>107</v>
      </c>
      <c r="B214" s="292"/>
      <c r="C214" s="295">
        <v>1865</v>
      </c>
    </row>
    <row r="215" spans="1:3" s="290" customFormat="1" ht="5.0999999999999996" customHeight="1">
      <c r="A215" s="292"/>
      <c r="B215" s="292"/>
      <c r="C215" s="295"/>
    </row>
    <row r="216" spans="1:3" s="290" customFormat="1">
      <c r="B216" s="290" t="s">
        <v>76</v>
      </c>
      <c r="C216" s="297">
        <v>26</v>
      </c>
    </row>
    <row r="217" spans="1:3" s="290" customFormat="1">
      <c r="B217" s="290" t="s">
        <v>77</v>
      </c>
      <c r="C217" s="297">
        <v>1</v>
      </c>
    </row>
    <row r="218" spans="1:3" s="290" customFormat="1">
      <c r="B218" s="290" t="s">
        <v>78</v>
      </c>
      <c r="C218" s="297">
        <v>1</v>
      </c>
    </row>
    <row r="219" spans="1:3" s="290" customFormat="1">
      <c r="B219" s="290" t="s">
        <v>97</v>
      </c>
      <c r="C219" s="297">
        <v>1</v>
      </c>
    </row>
    <row r="220" spans="1:3" s="290" customFormat="1">
      <c r="B220" s="290" t="s">
        <v>98</v>
      </c>
      <c r="C220" s="297">
        <v>2</v>
      </c>
    </row>
    <row r="221" spans="1:3" s="290" customFormat="1">
      <c r="B221" s="290" t="s">
        <v>103</v>
      </c>
      <c r="C221" s="297">
        <v>1</v>
      </c>
    </row>
    <row r="222" spans="1:3" s="290" customFormat="1">
      <c r="B222" s="290" t="s">
        <v>107</v>
      </c>
      <c r="C222" s="297">
        <v>1807</v>
      </c>
    </row>
    <row r="223" spans="1:3" s="290" customFormat="1">
      <c r="B223" s="290" t="s">
        <v>108</v>
      </c>
      <c r="C223" s="297">
        <v>21</v>
      </c>
    </row>
    <row r="224" spans="1:3" s="290" customFormat="1">
      <c r="B224" s="290" t="s">
        <v>52</v>
      </c>
      <c r="C224" s="297">
        <v>5</v>
      </c>
    </row>
    <row r="225" spans="1:3" s="290" customFormat="1" ht="5.0999999999999996" customHeight="1">
      <c r="A225" s="292"/>
      <c r="B225" s="292"/>
      <c r="C225" s="295"/>
    </row>
    <row r="226" spans="1:3" s="290" customFormat="1">
      <c r="A226" s="292" t="s">
        <v>108</v>
      </c>
      <c r="B226" s="292"/>
      <c r="C226" s="295">
        <v>229</v>
      </c>
    </row>
    <row r="227" spans="1:3" s="290" customFormat="1" ht="5.0999999999999996" customHeight="1">
      <c r="A227" s="292"/>
      <c r="B227" s="292"/>
      <c r="C227" s="295"/>
    </row>
    <row r="228" spans="1:3" s="290" customFormat="1">
      <c r="B228" s="290" t="s">
        <v>76</v>
      </c>
      <c r="C228" s="297">
        <v>5</v>
      </c>
    </row>
    <row r="229" spans="1:3" s="290" customFormat="1">
      <c r="B229" s="290" t="s">
        <v>77</v>
      </c>
      <c r="C229" s="297">
        <v>1</v>
      </c>
    </row>
    <row r="230" spans="1:3" s="290" customFormat="1">
      <c r="B230" s="290" t="s">
        <v>83</v>
      </c>
      <c r="C230" s="297">
        <v>1</v>
      </c>
    </row>
    <row r="231" spans="1:3" s="290" customFormat="1">
      <c r="B231" s="290" t="s">
        <v>87</v>
      </c>
      <c r="C231" s="297">
        <v>1</v>
      </c>
    </row>
    <row r="232" spans="1:3" s="290" customFormat="1">
      <c r="B232" s="290" t="s">
        <v>369</v>
      </c>
      <c r="C232" s="297">
        <v>2</v>
      </c>
    </row>
    <row r="233" spans="1:3" s="290" customFormat="1">
      <c r="B233" s="290" t="s">
        <v>93</v>
      </c>
      <c r="C233" s="297">
        <v>10</v>
      </c>
    </row>
    <row r="234" spans="1:3" s="290" customFormat="1">
      <c r="B234" s="290" t="s">
        <v>224</v>
      </c>
      <c r="C234" s="297">
        <v>6</v>
      </c>
    </row>
    <row r="235" spans="1:3" s="290" customFormat="1">
      <c r="B235" s="290" t="s">
        <v>96</v>
      </c>
      <c r="C235" s="297">
        <v>6</v>
      </c>
    </row>
    <row r="236" spans="1:3" s="290" customFormat="1">
      <c r="B236" s="290" t="s">
        <v>98</v>
      </c>
      <c r="C236" s="297">
        <v>5</v>
      </c>
    </row>
    <row r="237" spans="1:3" s="290" customFormat="1">
      <c r="B237" s="290" t="s">
        <v>100</v>
      </c>
      <c r="C237" s="297">
        <v>4</v>
      </c>
    </row>
    <row r="238" spans="1:3" s="290" customFormat="1">
      <c r="B238" s="290" t="s">
        <v>101</v>
      </c>
      <c r="C238" s="297">
        <v>2</v>
      </c>
    </row>
    <row r="239" spans="1:3" s="290" customFormat="1">
      <c r="B239" s="290" t="s">
        <v>102</v>
      </c>
      <c r="C239" s="297">
        <v>1</v>
      </c>
    </row>
    <row r="240" spans="1:3" s="290" customFormat="1">
      <c r="B240" s="290" t="s">
        <v>103</v>
      </c>
      <c r="C240" s="297">
        <v>25</v>
      </c>
    </row>
    <row r="241" spans="1:3" s="290" customFormat="1">
      <c r="B241" s="290" t="s">
        <v>107</v>
      </c>
      <c r="C241" s="297">
        <v>18</v>
      </c>
    </row>
    <row r="242" spans="1:3" s="290" customFormat="1">
      <c r="B242" s="290" t="s">
        <v>108</v>
      </c>
      <c r="C242" s="297">
        <v>94</v>
      </c>
    </row>
    <row r="243" spans="1:3" s="290" customFormat="1">
      <c r="B243" s="290" t="s">
        <v>52</v>
      </c>
      <c r="C243" s="297">
        <v>48</v>
      </c>
    </row>
    <row r="244" spans="1:3" s="290" customFormat="1" ht="5.0999999999999996" customHeight="1">
      <c r="A244" s="292"/>
      <c r="B244" s="292"/>
      <c r="C244" s="295"/>
    </row>
    <row r="245" spans="1:3" s="290" customFormat="1">
      <c r="A245" s="292" t="s">
        <v>52</v>
      </c>
      <c r="B245" s="292"/>
      <c r="C245" s="295">
        <v>5465</v>
      </c>
    </row>
    <row r="246" spans="1:3" s="290" customFormat="1" ht="5.0999999999999996" customHeight="1">
      <c r="A246" s="292"/>
      <c r="B246" s="292"/>
      <c r="C246" s="295"/>
    </row>
    <row r="247" spans="1:3" s="290" customFormat="1">
      <c r="B247" s="290" t="s">
        <v>76</v>
      </c>
      <c r="C247" s="297">
        <v>6</v>
      </c>
    </row>
    <row r="248" spans="1:3" s="290" customFormat="1">
      <c r="B248" s="290" t="s">
        <v>77</v>
      </c>
      <c r="C248" s="297">
        <v>4</v>
      </c>
    </row>
    <row r="249" spans="1:3" s="290" customFormat="1">
      <c r="B249" s="290" t="s">
        <v>80</v>
      </c>
      <c r="C249" s="297">
        <v>1</v>
      </c>
    </row>
    <row r="250" spans="1:3" s="290" customFormat="1">
      <c r="B250" s="290" t="s">
        <v>81</v>
      </c>
      <c r="C250" s="297">
        <v>6</v>
      </c>
    </row>
    <row r="251" spans="1:3" s="290" customFormat="1">
      <c r="B251" s="290" t="s">
        <v>83</v>
      </c>
      <c r="C251" s="297">
        <v>9</v>
      </c>
    </row>
    <row r="252" spans="1:3" s="290" customFormat="1">
      <c r="B252" s="290" t="s">
        <v>84</v>
      </c>
      <c r="C252" s="297">
        <v>33</v>
      </c>
    </row>
    <row r="253" spans="1:3" s="290" customFormat="1">
      <c r="B253" s="290" t="s">
        <v>85</v>
      </c>
      <c r="C253" s="297">
        <v>1</v>
      </c>
    </row>
    <row r="254" spans="1:3" s="290" customFormat="1">
      <c r="B254" s="290" t="s">
        <v>86</v>
      </c>
      <c r="C254" s="297">
        <v>1</v>
      </c>
    </row>
    <row r="255" spans="1:3" s="290" customFormat="1">
      <c r="B255" s="290" t="s">
        <v>87</v>
      </c>
      <c r="C255" s="297">
        <v>1</v>
      </c>
    </row>
    <row r="256" spans="1:3" s="290" customFormat="1">
      <c r="B256" s="290" t="s">
        <v>88</v>
      </c>
      <c r="C256" s="297">
        <v>32</v>
      </c>
    </row>
    <row r="257" spans="1:3" s="290" customFormat="1">
      <c r="B257" s="290" t="s">
        <v>369</v>
      </c>
      <c r="C257" s="297">
        <v>3</v>
      </c>
    </row>
    <row r="258" spans="1:3" s="290" customFormat="1">
      <c r="B258" s="290" t="s">
        <v>224</v>
      </c>
      <c r="C258" s="297">
        <v>27</v>
      </c>
    </row>
    <row r="259" spans="1:3" s="290" customFormat="1">
      <c r="B259" s="290" t="s">
        <v>96</v>
      </c>
      <c r="C259" s="297">
        <v>14</v>
      </c>
    </row>
    <row r="260" spans="1:3" s="290" customFormat="1">
      <c r="B260" s="290" t="s">
        <v>98</v>
      </c>
      <c r="C260" s="297">
        <v>3</v>
      </c>
    </row>
    <row r="261" spans="1:3" s="290" customFormat="1">
      <c r="B261" s="290" t="s">
        <v>99</v>
      </c>
      <c r="C261" s="297">
        <v>1</v>
      </c>
    </row>
    <row r="262" spans="1:3" s="290" customFormat="1">
      <c r="B262" s="290" t="s">
        <v>100</v>
      </c>
      <c r="C262" s="297">
        <v>54</v>
      </c>
    </row>
    <row r="263" spans="1:3" s="290" customFormat="1">
      <c r="B263" s="290" t="s">
        <v>101</v>
      </c>
      <c r="C263" s="297">
        <v>6</v>
      </c>
    </row>
    <row r="264" spans="1:3" s="290" customFormat="1">
      <c r="B264" s="290" t="s">
        <v>105</v>
      </c>
      <c r="C264" s="297">
        <v>4</v>
      </c>
    </row>
    <row r="265" spans="1:3" s="290" customFormat="1">
      <c r="A265" s="324"/>
      <c r="B265" s="324" t="s">
        <v>107</v>
      </c>
      <c r="C265" s="306">
        <v>12</v>
      </c>
    </row>
    <row r="266" spans="1:3" s="290" customFormat="1">
      <c r="A266" s="324"/>
      <c r="B266" s="324" t="s">
        <v>108</v>
      </c>
      <c r="C266" s="306">
        <v>62</v>
      </c>
    </row>
    <row r="267" spans="1:3" s="290" customFormat="1">
      <c r="A267" s="324"/>
      <c r="B267" s="324" t="s">
        <v>52</v>
      </c>
      <c r="C267" s="306">
        <v>5185</v>
      </c>
    </row>
    <row r="268" spans="1:3" s="290" customFormat="1" ht="5.0999999999999996" customHeight="1">
      <c r="A268" s="299"/>
      <c r="B268" s="299"/>
      <c r="C268" s="326"/>
    </row>
    <row r="269" spans="1:3" s="290" customFormat="1" ht="5.0999999999999996" customHeight="1">
      <c r="C269" s="297"/>
    </row>
    <row r="270" spans="1:3" s="290" customFormat="1">
      <c r="A270" s="350" t="s">
        <v>71</v>
      </c>
      <c r="C270" s="297"/>
    </row>
    <row r="271" spans="1:3" s="290" customFormat="1">
      <c r="A271" s="350" t="s">
        <v>231</v>
      </c>
      <c r="C271" s="297"/>
    </row>
    <row r="272" spans="1:3" s="290" customFormat="1">
      <c r="C272" s="297"/>
    </row>
    <row r="273" spans="3:3" s="290" customFormat="1">
      <c r="C273" s="297"/>
    </row>
    <row r="274" spans="3:3" s="290" customFormat="1">
      <c r="C274" s="297"/>
    </row>
    <row r="275" spans="3:3" s="290" customFormat="1">
      <c r="C275" s="297"/>
    </row>
    <row r="276" spans="3:3" s="290" customFormat="1">
      <c r="C276" s="297"/>
    </row>
    <row r="277" spans="3:3" s="290" customFormat="1">
      <c r="C277" s="297"/>
    </row>
    <row r="278" spans="3:3" s="290" customFormat="1">
      <c r="C278" s="297"/>
    </row>
    <row r="279" spans="3:3" s="290" customFormat="1">
      <c r="C279" s="297"/>
    </row>
    <row r="280" spans="3:3" s="290" customFormat="1">
      <c r="C280" s="297"/>
    </row>
    <row r="281" spans="3:3" s="290" customFormat="1">
      <c r="C281" s="297"/>
    </row>
    <row r="282" spans="3:3" s="290" customFormat="1">
      <c r="C282" s="297"/>
    </row>
    <row r="283" spans="3:3" s="290" customFormat="1">
      <c r="C283" s="297"/>
    </row>
    <row r="284" spans="3:3" s="290" customFormat="1">
      <c r="C284" s="297"/>
    </row>
    <row r="285" spans="3:3" s="290" customFormat="1">
      <c r="C285" s="297"/>
    </row>
    <row r="286" spans="3:3" s="290" customFormat="1">
      <c r="C286" s="297"/>
    </row>
    <row r="287" spans="3:3" s="290" customFormat="1">
      <c r="C287" s="297"/>
    </row>
    <row r="288" spans="3:3" s="290" customFormat="1">
      <c r="C288" s="297"/>
    </row>
    <row r="289" spans="3:3" s="290" customFormat="1">
      <c r="C289" s="297"/>
    </row>
    <row r="290" spans="3:3" s="290" customFormat="1">
      <c r="C290" s="297"/>
    </row>
    <row r="291" spans="3:3" s="290" customFormat="1">
      <c r="C291" s="297"/>
    </row>
    <row r="292" spans="3:3" s="290" customFormat="1">
      <c r="C292" s="297"/>
    </row>
    <row r="293" spans="3:3" s="290" customFormat="1">
      <c r="C293" s="297"/>
    </row>
    <row r="294" spans="3:3" s="290" customFormat="1">
      <c r="C294" s="297"/>
    </row>
    <row r="295" spans="3:3" s="290" customFormat="1">
      <c r="C295" s="297"/>
    </row>
  </sheetData>
  <mergeCells count="3">
    <mergeCell ref="A2:C2"/>
    <mergeCell ref="A3:C3"/>
    <mergeCell ref="A4:C4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2:E2088"/>
  <sheetViews>
    <sheetView workbookViewId="0">
      <selection activeCell="H16" sqref="H16"/>
    </sheetView>
  </sheetViews>
  <sheetFormatPr baseColWidth="10" defaultColWidth="11.42578125" defaultRowHeight="12.75"/>
  <cols>
    <col min="1" max="2" width="2.140625" style="308" customWidth="1"/>
    <col min="3" max="3" width="28.140625" style="308" customWidth="1"/>
    <col min="4" max="16384" width="11.42578125" style="308"/>
  </cols>
  <sheetData>
    <row r="2" spans="1:5" ht="13.5">
      <c r="A2" s="473" t="s">
        <v>538</v>
      </c>
      <c r="B2" s="473"/>
      <c r="C2" s="473"/>
      <c r="D2" s="473"/>
    </row>
    <row r="3" spans="1:5" ht="13.5">
      <c r="A3" s="472" t="s">
        <v>17</v>
      </c>
      <c r="B3" s="472"/>
      <c r="C3" s="472"/>
      <c r="D3" s="472"/>
    </row>
    <row r="4" spans="1:5" ht="13.5">
      <c r="A4" s="472" t="s">
        <v>557</v>
      </c>
      <c r="B4" s="472"/>
      <c r="C4" s="472"/>
      <c r="D4" s="472"/>
    </row>
    <row r="6" spans="1:5" ht="12.75" customHeight="1">
      <c r="A6" s="486" t="s">
        <v>331</v>
      </c>
      <c r="B6" s="486"/>
      <c r="C6" s="486"/>
      <c r="D6" s="341" t="s">
        <v>312</v>
      </c>
    </row>
    <row r="7" spans="1:5" ht="5.0999999999999996" customHeight="1">
      <c r="A7" s="342"/>
      <c r="B7" s="342"/>
      <c r="C7" s="342"/>
      <c r="D7" s="343"/>
    </row>
    <row r="8" spans="1:5" ht="13.5">
      <c r="A8" s="292" t="s">
        <v>585</v>
      </c>
      <c r="B8" s="292"/>
      <c r="C8" s="292"/>
      <c r="D8" s="295">
        <v>17674</v>
      </c>
      <c r="E8" s="290"/>
    </row>
    <row r="9" spans="1:5" ht="13.5">
      <c r="A9" s="290"/>
      <c r="B9" s="290"/>
      <c r="C9" s="290"/>
      <c r="D9" s="297"/>
      <c r="E9" s="290"/>
    </row>
    <row r="10" spans="1:5" ht="13.5">
      <c r="A10" s="292" t="s">
        <v>76</v>
      </c>
      <c r="B10" s="292"/>
      <c r="C10" s="295"/>
      <c r="D10" s="344">
        <v>4026</v>
      </c>
      <c r="E10" s="290"/>
    </row>
    <row r="11" spans="1:5" ht="5.0999999999999996" customHeight="1">
      <c r="A11" s="290"/>
      <c r="B11" s="290"/>
      <c r="C11" s="290"/>
      <c r="D11" s="297"/>
      <c r="E11" s="290"/>
    </row>
    <row r="12" spans="1:5" ht="13.5">
      <c r="A12" s="290"/>
      <c r="B12" s="290"/>
      <c r="C12" s="290" t="s">
        <v>21</v>
      </c>
      <c r="D12" s="297">
        <v>268</v>
      </c>
      <c r="E12" s="290"/>
    </row>
    <row r="13" spans="1:5" ht="13.5">
      <c r="A13" s="290"/>
      <c r="B13" s="290"/>
      <c r="C13" s="290" t="s">
        <v>22</v>
      </c>
      <c r="D13" s="297">
        <v>314</v>
      </c>
      <c r="E13" s="290"/>
    </row>
    <row r="14" spans="1:5" ht="13.5">
      <c r="A14" s="290"/>
      <c r="B14" s="290"/>
      <c r="C14" s="290" t="s">
        <v>23</v>
      </c>
      <c r="D14" s="297">
        <v>319</v>
      </c>
      <c r="E14" s="290"/>
    </row>
    <row r="15" spans="1:5" ht="13.5">
      <c r="A15" s="290"/>
      <c r="B15" s="290"/>
      <c r="C15" s="290" t="s">
        <v>24</v>
      </c>
      <c r="D15" s="297">
        <v>322</v>
      </c>
      <c r="E15" s="290"/>
    </row>
    <row r="16" spans="1:5" ht="13.5">
      <c r="A16" s="290"/>
      <c r="B16" s="290"/>
      <c r="C16" s="290" t="s">
        <v>25</v>
      </c>
      <c r="D16" s="297">
        <v>357</v>
      </c>
      <c r="E16" s="290"/>
    </row>
    <row r="17" spans="1:5" ht="13.5">
      <c r="A17" s="290"/>
      <c r="B17" s="290"/>
      <c r="C17" s="290" t="s">
        <v>26</v>
      </c>
      <c r="D17" s="297">
        <v>368</v>
      </c>
      <c r="E17" s="290"/>
    </row>
    <row r="18" spans="1:5" ht="13.5">
      <c r="A18" s="290"/>
      <c r="B18" s="290"/>
      <c r="C18" s="290" t="s">
        <v>27</v>
      </c>
      <c r="D18" s="297">
        <v>375</v>
      </c>
      <c r="E18" s="290"/>
    </row>
    <row r="19" spans="1:5" ht="13.5">
      <c r="A19" s="290"/>
      <c r="B19" s="290"/>
      <c r="C19" s="290" t="s">
        <v>28</v>
      </c>
      <c r="D19" s="297">
        <v>366</v>
      </c>
      <c r="E19" s="290"/>
    </row>
    <row r="20" spans="1:5" ht="13.5">
      <c r="A20" s="290"/>
      <c r="B20" s="290"/>
      <c r="C20" s="290" t="s">
        <v>29</v>
      </c>
      <c r="D20" s="297">
        <v>339</v>
      </c>
      <c r="E20" s="290"/>
    </row>
    <row r="21" spans="1:5" ht="13.5">
      <c r="A21" s="290"/>
      <c r="B21" s="290"/>
      <c r="C21" s="290" t="s">
        <v>30</v>
      </c>
      <c r="D21" s="297">
        <v>338</v>
      </c>
      <c r="E21" s="290"/>
    </row>
    <row r="22" spans="1:5" ht="13.5">
      <c r="A22" s="290"/>
      <c r="B22" s="290"/>
      <c r="C22" s="290" t="s">
        <v>31</v>
      </c>
      <c r="D22" s="297">
        <v>375</v>
      </c>
      <c r="E22" s="290"/>
    </row>
    <row r="23" spans="1:5" ht="13.5">
      <c r="A23" s="290"/>
      <c r="B23" s="290"/>
      <c r="C23" s="290" t="s">
        <v>32</v>
      </c>
      <c r="D23" s="297">
        <v>285</v>
      </c>
      <c r="E23" s="290"/>
    </row>
    <row r="24" spans="1:5" ht="5.0999999999999996" customHeight="1">
      <c r="A24" s="290"/>
      <c r="B24" s="290"/>
      <c r="C24" s="290"/>
      <c r="D24" s="297"/>
      <c r="E24" s="290"/>
    </row>
    <row r="25" spans="1:5" ht="13.5">
      <c r="A25" s="292" t="s">
        <v>77</v>
      </c>
      <c r="B25" s="292"/>
      <c r="C25" s="295"/>
      <c r="D25" s="344">
        <v>242</v>
      </c>
      <c r="E25" s="290"/>
    </row>
    <row r="26" spans="1:5" ht="5.0999999999999996" customHeight="1">
      <c r="A26" s="290"/>
      <c r="B26" s="290"/>
      <c r="C26" s="290"/>
      <c r="D26" s="297"/>
      <c r="E26" s="290"/>
    </row>
    <row r="27" spans="1:5" ht="13.5">
      <c r="A27" s="290"/>
      <c r="B27" s="290"/>
      <c r="C27" s="290" t="s">
        <v>21</v>
      </c>
      <c r="D27" s="297">
        <v>22</v>
      </c>
      <c r="E27" s="290"/>
    </row>
    <row r="28" spans="1:5" ht="13.5">
      <c r="A28" s="290"/>
      <c r="B28" s="290"/>
      <c r="C28" s="290" t="s">
        <v>22</v>
      </c>
      <c r="D28" s="297">
        <v>17</v>
      </c>
      <c r="E28" s="290"/>
    </row>
    <row r="29" spans="1:5" ht="13.5">
      <c r="A29" s="290"/>
      <c r="B29" s="290"/>
      <c r="C29" s="290" t="s">
        <v>23</v>
      </c>
      <c r="D29" s="297">
        <v>18</v>
      </c>
      <c r="E29" s="290"/>
    </row>
    <row r="30" spans="1:5" ht="13.5">
      <c r="A30" s="290"/>
      <c r="B30" s="290"/>
      <c r="C30" s="290" t="s">
        <v>24</v>
      </c>
      <c r="D30" s="297">
        <v>22</v>
      </c>
      <c r="E30" s="290"/>
    </row>
    <row r="31" spans="1:5" ht="13.5">
      <c r="A31" s="290"/>
      <c r="B31" s="290"/>
      <c r="C31" s="290" t="s">
        <v>25</v>
      </c>
      <c r="D31" s="297">
        <v>26</v>
      </c>
      <c r="E31" s="290"/>
    </row>
    <row r="32" spans="1:5" ht="13.5">
      <c r="A32" s="290"/>
      <c r="B32" s="290"/>
      <c r="C32" s="290" t="s">
        <v>26</v>
      </c>
      <c r="D32" s="297">
        <v>23</v>
      </c>
      <c r="E32" s="290"/>
    </row>
    <row r="33" spans="1:5" ht="13.5">
      <c r="A33" s="290"/>
      <c r="B33" s="290"/>
      <c r="C33" s="290" t="s">
        <v>27</v>
      </c>
      <c r="D33" s="297">
        <v>19</v>
      </c>
      <c r="E33" s="290"/>
    </row>
    <row r="34" spans="1:5" ht="13.5">
      <c r="A34" s="290"/>
      <c r="B34" s="290"/>
      <c r="C34" s="290" t="s">
        <v>28</v>
      </c>
      <c r="D34" s="297">
        <v>18</v>
      </c>
      <c r="E34" s="290"/>
    </row>
    <row r="35" spans="1:5" ht="13.5">
      <c r="A35" s="290"/>
      <c r="B35" s="290"/>
      <c r="C35" s="290" t="s">
        <v>29</v>
      </c>
      <c r="D35" s="297">
        <v>24</v>
      </c>
      <c r="E35" s="290"/>
    </row>
    <row r="36" spans="1:5" ht="13.5">
      <c r="A36" s="290"/>
      <c r="B36" s="290"/>
      <c r="C36" s="290" t="s">
        <v>30</v>
      </c>
      <c r="D36" s="297">
        <v>23</v>
      </c>
      <c r="E36" s="290"/>
    </row>
    <row r="37" spans="1:5" ht="13.5">
      <c r="A37" s="290"/>
      <c r="B37" s="290"/>
      <c r="C37" s="290" t="s">
        <v>31</v>
      </c>
      <c r="D37" s="297">
        <v>13</v>
      </c>
      <c r="E37" s="290"/>
    </row>
    <row r="38" spans="1:5" ht="13.5">
      <c r="A38" s="290"/>
      <c r="B38" s="290"/>
      <c r="C38" s="290" t="s">
        <v>32</v>
      </c>
      <c r="D38" s="297">
        <v>17</v>
      </c>
      <c r="E38" s="290"/>
    </row>
    <row r="39" spans="1:5" ht="5.0999999999999996" customHeight="1">
      <c r="A39" s="290"/>
      <c r="B39" s="290"/>
      <c r="C39" s="290"/>
      <c r="D39" s="297"/>
      <c r="E39" s="290"/>
    </row>
    <row r="40" spans="1:5" ht="13.5">
      <c r="A40" s="290"/>
      <c r="B40" s="292" t="s">
        <v>77</v>
      </c>
      <c r="C40" s="292"/>
      <c r="D40" s="295">
        <v>192</v>
      </c>
      <c r="E40" s="344"/>
    </row>
    <row r="41" spans="1:5" ht="5.0999999999999996" customHeight="1">
      <c r="A41" s="290"/>
      <c r="B41" s="290"/>
      <c r="C41" s="290"/>
      <c r="D41" s="297"/>
      <c r="E41" s="290"/>
    </row>
    <row r="42" spans="1:5" ht="13.5">
      <c r="A42" s="290"/>
      <c r="B42" s="290"/>
      <c r="C42" s="290" t="s">
        <v>21</v>
      </c>
      <c r="D42" s="297">
        <v>17</v>
      </c>
      <c r="E42" s="290"/>
    </row>
    <row r="43" spans="1:5" ht="13.5">
      <c r="A43" s="290"/>
      <c r="B43" s="290"/>
      <c r="C43" s="290" t="s">
        <v>22</v>
      </c>
      <c r="D43" s="297">
        <v>14</v>
      </c>
      <c r="E43" s="290"/>
    </row>
    <row r="44" spans="1:5" ht="13.5">
      <c r="A44" s="290"/>
      <c r="B44" s="290"/>
      <c r="C44" s="290" t="s">
        <v>23</v>
      </c>
      <c r="D44" s="297">
        <v>13</v>
      </c>
      <c r="E44" s="290"/>
    </row>
    <row r="45" spans="1:5" ht="13.5">
      <c r="A45" s="290"/>
      <c r="B45" s="290"/>
      <c r="C45" s="290" t="s">
        <v>24</v>
      </c>
      <c r="D45" s="297">
        <v>22</v>
      </c>
      <c r="E45" s="290"/>
    </row>
    <row r="46" spans="1:5" ht="13.5">
      <c r="A46" s="290"/>
      <c r="B46" s="290"/>
      <c r="C46" s="290" t="s">
        <v>25</v>
      </c>
      <c r="D46" s="297">
        <v>18</v>
      </c>
      <c r="E46" s="290"/>
    </row>
    <row r="47" spans="1:5" ht="13.5">
      <c r="A47" s="290"/>
      <c r="B47" s="290"/>
      <c r="C47" s="290" t="s">
        <v>26</v>
      </c>
      <c r="D47" s="297">
        <v>20</v>
      </c>
      <c r="E47" s="290"/>
    </row>
    <row r="48" spans="1:5" ht="13.5">
      <c r="A48" s="290"/>
      <c r="B48" s="290"/>
      <c r="C48" s="290" t="s">
        <v>27</v>
      </c>
      <c r="D48" s="297">
        <v>13</v>
      </c>
      <c r="E48" s="290"/>
    </row>
    <row r="49" spans="1:5" ht="13.5">
      <c r="A49" s="290"/>
      <c r="B49" s="290"/>
      <c r="C49" s="290" t="s">
        <v>28</v>
      </c>
      <c r="D49" s="297">
        <v>17</v>
      </c>
      <c r="E49" s="290"/>
    </row>
    <row r="50" spans="1:5" ht="13.5">
      <c r="A50" s="290"/>
      <c r="B50" s="290"/>
      <c r="C50" s="290" t="s">
        <v>29</v>
      </c>
      <c r="D50" s="297">
        <v>18</v>
      </c>
      <c r="E50" s="290"/>
    </row>
    <row r="51" spans="1:5" ht="13.5">
      <c r="A51" s="290"/>
      <c r="B51" s="290"/>
      <c r="C51" s="290" t="s">
        <v>30</v>
      </c>
      <c r="D51" s="297">
        <v>15</v>
      </c>
      <c r="E51" s="290"/>
    </row>
    <row r="52" spans="1:5" ht="13.5">
      <c r="A52" s="290"/>
      <c r="B52" s="290"/>
      <c r="C52" s="290" t="s">
        <v>31</v>
      </c>
      <c r="D52" s="297">
        <v>12</v>
      </c>
      <c r="E52" s="290"/>
    </row>
    <row r="53" spans="1:5" ht="13.5">
      <c r="A53" s="290"/>
      <c r="B53" s="290"/>
      <c r="C53" s="290" t="s">
        <v>32</v>
      </c>
      <c r="D53" s="297">
        <v>13</v>
      </c>
      <c r="E53" s="290"/>
    </row>
    <row r="54" spans="1:5" ht="5.0999999999999996" customHeight="1">
      <c r="A54" s="290"/>
      <c r="B54" s="290"/>
      <c r="C54" s="290"/>
      <c r="D54" s="297"/>
      <c r="E54" s="290"/>
    </row>
    <row r="55" spans="1:5" ht="13.5">
      <c r="A55" s="290"/>
      <c r="B55" s="292" t="s">
        <v>114</v>
      </c>
      <c r="C55" s="292"/>
      <c r="D55" s="295">
        <v>1</v>
      </c>
      <c r="E55" s="344"/>
    </row>
    <row r="56" spans="1:5" ht="5.0999999999999996" customHeight="1">
      <c r="A56" s="290"/>
      <c r="B56" s="290"/>
      <c r="C56" s="290"/>
      <c r="D56" s="297"/>
      <c r="E56" s="290"/>
    </row>
    <row r="57" spans="1:5" ht="13.5">
      <c r="A57" s="290"/>
      <c r="B57" s="290"/>
      <c r="C57" s="290" t="s">
        <v>21</v>
      </c>
      <c r="D57" s="297">
        <v>1</v>
      </c>
      <c r="E57" s="290"/>
    </row>
    <row r="58" spans="1:5" ht="5.0999999999999996" customHeight="1">
      <c r="A58" s="290"/>
      <c r="B58" s="290"/>
      <c r="C58" s="290"/>
      <c r="D58" s="297"/>
      <c r="E58" s="290"/>
    </row>
    <row r="59" spans="1:5" ht="13.5">
      <c r="A59" s="290"/>
      <c r="B59" s="292" t="s">
        <v>115</v>
      </c>
      <c r="C59" s="292"/>
      <c r="D59" s="295">
        <v>4</v>
      </c>
      <c r="E59" s="344"/>
    </row>
    <row r="60" spans="1:5" ht="5.0999999999999996" customHeight="1">
      <c r="A60" s="290"/>
      <c r="B60" s="290"/>
      <c r="C60" s="290"/>
      <c r="D60" s="297"/>
      <c r="E60" s="290"/>
    </row>
    <row r="61" spans="1:5" ht="13.5">
      <c r="A61" s="290"/>
      <c r="B61" s="290"/>
      <c r="C61" s="290" t="s">
        <v>21</v>
      </c>
      <c r="D61" s="297">
        <v>1</v>
      </c>
      <c r="E61" s="290"/>
    </row>
    <row r="62" spans="1:5" ht="13.5">
      <c r="A62" s="290"/>
      <c r="B62" s="290"/>
      <c r="C62" s="290" t="s">
        <v>29</v>
      </c>
      <c r="D62" s="297">
        <v>1</v>
      </c>
      <c r="E62" s="290"/>
    </row>
    <row r="63" spans="1:5" ht="13.5">
      <c r="A63" s="290"/>
      <c r="B63" s="290"/>
      <c r="C63" s="290" t="s">
        <v>30</v>
      </c>
      <c r="D63" s="297">
        <v>2</v>
      </c>
      <c r="E63" s="290"/>
    </row>
    <row r="64" spans="1:5" ht="5.0999999999999996" customHeight="1">
      <c r="A64" s="290"/>
      <c r="B64" s="290"/>
      <c r="C64" s="290"/>
      <c r="D64" s="297"/>
      <c r="E64" s="290"/>
    </row>
    <row r="65" spans="1:5" ht="13.5">
      <c r="A65" s="290"/>
      <c r="B65" s="292" t="s">
        <v>116</v>
      </c>
      <c r="C65" s="292"/>
      <c r="D65" s="295">
        <v>16</v>
      </c>
      <c r="E65" s="344"/>
    </row>
    <row r="66" spans="1:5" ht="5.0999999999999996" customHeight="1">
      <c r="A66" s="290"/>
      <c r="B66" s="290"/>
      <c r="C66" s="290"/>
      <c r="D66" s="297"/>
      <c r="E66" s="290"/>
    </row>
    <row r="67" spans="1:5" ht="13.5">
      <c r="A67" s="290"/>
      <c r="B67" s="290"/>
      <c r="C67" s="290" t="s">
        <v>21</v>
      </c>
      <c r="D67" s="297">
        <v>1</v>
      </c>
      <c r="E67" s="290"/>
    </row>
    <row r="68" spans="1:5" ht="13.5">
      <c r="A68" s="290"/>
      <c r="B68" s="290"/>
      <c r="C68" s="290" t="s">
        <v>22</v>
      </c>
      <c r="D68" s="297">
        <v>3</v>
      </c>
      <c r="E68" s="290"/>
    </row>
    <row r="69" spans="1:5" ht="13.5">
      <c r="A69" s="290"/>
      <c r="B69" s="290"/>
      <c r="C69" s="290" t="s">
        <v>23</v>
      </c>
      <c r="D69" s="297">
        <v>1</v>
      </c>
      <c r="E69" s="290"/>
    </row>
    <row r="70" spans="1:5" ht="13.5">
      <c r="A70" s="290"/>
      <c r="B70" s="290"/>
      <c r="C70" s="290" t="s">
        <v>25</v>
      </c>
      <c r="D70" s="297">
        <v>1</v>
      </c>
      <c r="E70" s="290"/>
    </row>
    <row r="71" spans="1:5" ht="13.5">
      <c r="A71" s="290"/>
      <c r="B71" s="290"/>
      <c r="C71" s="290" t="s">
        <v>26</v>
      </c>
      <c r="D71" s="297">
        <v>2</v>
      </c>
      <c r="E71" s="290"/>
    </row>
    <row r="72" spans="1:5" ht="13.5">
      <c r="A72" s="290"/>
      <c r="B72" s="290"/>
      <c r="C72" s="290" t="s">
        <v>27</v>
      </c>
      <c r="D72" s="297">
        <v>4</v>
      </c>
      <c r="E72" s="290"/>
    </row>
    <row r="73" spans="1:5" ht="13.5">
      <c r="A73" s="290"/>
      <c r="B73" s="290"/>
      <c r="C73" s="290" t="s">
        <v>29</v>
      </c>
      <c r="D73" s="297">
        <v>2</v>
      </c>
      <c r="E73" s="290"/>
    </row>
    <row r="74" spans="1:5" ht="13.5">
      <c r="A74" s="290"/>
      <c r="B74" s="290"/>
      <c r="C74" s="290" t="s">
        <v>30</v>
      </c>
      <c r="D74" s="297">
        <v>1</v>
      </c>
      <c r="E74" s="290"/>
    </row>
    <row r="75" spans="1:5" ht="13.5">
      <c r="A75" s="290"/>
      <c r="B75" s="290"/>
      <c r="C75" s="290" t="s">
        <v>32</v>
      </c>
      <c r="D75" s="297">
        <v>1</v>
      </c>
      <c r="E75" s="290"/>
    </row>
    <row r="76" spans="1:5" ht="5.0999999999999996" customHeight="1">
      <c r="A76" s="290"/>
      <c r="B76" s="290"/>
      <c r="C76" s="290"/>
      <c r="D76" s="297"/>
      <c r="E76" s="290"/>
    </row>
    <row r="77" spans="1:5" ht="13.5">
      <c r="A77" s="290"/>
      <c r="B77" s="292" t="s">
        <v>117</v>
      </c>
      <c r="C77" s="292"/>
      <c r="D77" s="295">
        <v>4</v>
      </c>
      <c r="E77" s="344"/>
    </row>
    <row r="78" spans="1:5" ht="5.0999999999999996" customHeight="1">
      <c r="A78" s="290"/>
      <c r="B78" s="290"/>
      <c r="C78" s="290"/>
      <c r="D78" s="297"/>
      <c r="E78" s="290"/>
    </row>
    <row r="79" spans="1:5" ht="13.5">
      <c r="A79" s="290"/>
      <c r="B79" s="290"/>
      <c r="C79" s="290" t="s">
        <v>23</v>
      </c>
      <c r="D79" s="297">
        <v>1</v>
      </c>
      <c r="E79" s="290"/>
    </row>
    <row r="80" spans="1:5" ht="13.5">
      <c r="A80" s="290"/>
      <c r="B80" s="290"/>
      <c r="C80" s="290" t="s">
        <v>27</v>
      </c>
      <c r="D80" s="297">
        <v>1</v>
      </c>
      <c r="E80" s="290"/>
    </row>
    <row r="81" spans="1:5" ht="13.5">
      <c r="A81" s="290"/>
      <c r="B81" s="290"/>
      <c r="C81" s="290" t="s">
        <v>30</v>
      </c>
      <c r="D81" s="297">
        <v>1</v>
      </c>
      <c r="E81" s="290"/>
    </row>
    <row r="82" spans="1:5" ht="13.5">
      <c r="A82" s="290"/>
      <c r="B82" s="290"/>
      <c r="C82" s="290" t="s">
        <v>31</v>
      </c>
      <c r="D82" s="297">
        <v>1</v>
      </c>
      <c r="E82" s="290"/>
    </row>
    <row r="83" spans="1:5" ht="5.0999999999999996" customHeight="1">
      <c r="A83" s="290"/>
      <c r="B83" s="290"/>
      <c r="C83" s="290"/>
      <c r="D83" s="297"/>
      <c r="E83" s="290"/>
    </row>
    <row r="84" spans="1:5" ht="13.5">
      <c r="A84" s="290"/>
      <c r="B84" s="292" t="s">
        <v>118</v>
      </c>
      <c r="C84" s="292"/>
      <c r="D84" s="295">
        <v>18</v>
      </c>
      <c r="E84" s="344"/>
    </row>
    <row r="85" spans="1:5" ht="5.0999999999999996" customHeight="1">
      <c r="A85" s="290"/>
      <c r="B85" s="290"/>
      <c r="C85" s="290"/>
      <c r="D85" s="297"/>
      <c r="E85" s="290"/>
    </row>
    <row r="86" spans="1:5" ht="13.5">
      <c r="A86" s="290"/>
      <c r="B86" s="290"/>
      <c r="C86" s="290" t="s">
        <v>21</v>
      </c>
      <c r="D86" s="297">
        <v>2</v>
      </c>
      <c r="E86" s="290"/>
    </row>
    <row r="87" spans="1:5" ht="13.5">
      <c r="A87" s="290"/>
      <c r="B87" s="290"/>
      <c r="C87" s="290" t="s">
        <v>23</v>
      </c>
      <c r="D87" s="297">
        <v>3</v>
      </c>
      <c r="E87" s="290"/>
    </row>
    <row r="88" spans="1:5" ht="13.5">
      <c r="A88" s="290"/>
      <c r="B88" s="290"/>
      <c r="C88" s="290" t="s">
        <v>25</v>
      </c>
      <c r="D88" s="297">
        <v>6</v>
      </c>
      <c r="E88" s="290"/>
    </row>
    <row r="89" spans="1:5" ht="13.5">
      <c r="A89" s="290"/>
      <c r="B89" s="290"/>
      <c r="C89" s="290" t="s">
        <v>28</v>
      </c>
      <c r="D89" s="297">
        <v>1</v>
      </c>
      <c r="E89" s="290"/>
    </row>
    <row r="90" spans="1:5" ht="13.5">
      <c r="A90" s="290"/>
      <c r="B90" s="290"/>
      <c r="C90" s="290" t="s">
        <v>29</v>
      </c>
      <c r="D90" s="297">
        <v>1</v>
      </c>
      <c r="E90" s="290"/>
    </row>
    <row r="91" spans="1:5" ht="13.5">
      <c r="A91" s="290"/>
      <c r="B91" s="290"/>
      <c r="C91" s="290" t="s">
        <v>30</v>
      </c>
      <c r="D91" s="297">
        <v>2</v>
      </c>
      <c r="E91" s="290"/>
    </row>
    <row r="92" spans="1:5" ht="13.5">
      <c r="A92" s="290"/>
      <c r="B92" s="290"/>
      <c r="C92" s="290" t="s">
        <v>32</v>
      </c>
      <c r="D92" s="297">
        <v>3</v>
      </c>
      <c r="E92" s="290"/>
    </row>
    <row r="93" spans="1:5" ht="5.0999999999999996" customHeight="1">
      <c r="A93" s="290"/>
      <c r="B93" s="290"/>
      <c r="C93" s="290"/>
      <c r="D93" s="297"/>
      <c r="E93" s="290"/>
    </row>
    <row r="94" spans="1:5" ht="13.5">
      <c r="A94" s="290"/>
      <c r="B94" s="292" t="s">
        <v>120</v>
      </c>
      <c r="C94" s="292"/>
      <c r="D94" s="295">
        <v>3</v>
      </c>
      <c r="E94" s="344"/>
    </row>
    <row r="95" spans="1:5" ht="5.0999999999999996" customHeight="1">
      <c r="A95" s="290"/>
      <c r="B95" s="290"/>
      <c r="C95" s="290"/>
      <c r="D95" s="297"/>
      <c r="E95" s="290"/>
    </row>
    <row r="96" spans="1:5" ht="13.5">
      <c r="A96" s="290"/>
      <c r="B96" s="290"/>
      <c r="C96" s="290" t="s">
        <v>27</v>
      </c>
      <c r="D96" s="297">
        <v>1</v>
      </c>
      <c r="E96" s="290"/>
    </row>
    <row r="97" spans="1:5" ht="13.5">
      <c r="A97" s="290"/>
      <c r="B97" s="290"/>
      <c r="C97" s="290" t="s">
        <v>30</v>
      </c>
      <c r="D97" s="297">
        <v>2</v>
      </c>
      <c r="E97" s="290"/>
    </row>
    <row r="98" spans="1:5" ht="5.0999999999999996" customHeight="1">
      <c r="A98" s="290"/>
      <c r="B98" s="290"/>
      <c r="C98" s="290"/>
      <c r="D98" s="297"/>
      <c r="E98" s="290"/>
    </row>
    <row r="99" spans="1:5" ht="13.5">
      <c r="A99" s="290"/>
      <c r="B99" s="292" t="s">
        <v>121</v>
      </c>
      <c r="C99" s="292"/>
      <c r="D99" s="295">
        <v>4</v>
      </c>
      <c r="E99" s="344"/>
    </row>
    <row r="100" spans="1:5" ht="5.0999999999999996" customHeight="1">
      <c r="A100" s="290"/>
      <c r="B100" s="290"/>
      <c r="C100" s="290"/>
      <c r="D100" s="297"/>
      <c r="E100" s="290"/>
    </row>
    <row r="101" spans="1:5" ht="13.5">
      <c r="A101" s="290"/>
      <c r="B101" s="290"/>
      <c r="C101" s="290" t="s">
        <v>25</v>
      </c>
      <c r="D101" s="297">
        <v>1</v>
      </c>
      <c r="E101" s="290"/>
    </row>
    <row r="102" spans="1:5" ht="13.5">
      <c r="A102" s="290"/>
      <c r="B102" s="290"/>
      <c r="C102" s="290" t="s">
        <v>26</v>
      </c>
      <c r="D102" s="297">
        <v>1</v>
      </c>
      <c r="E102" s="290"/>
    </row>
    <row r="103" spans="1:5" ht="13.5">
      <c r="A103" s="290"/>
      <c r="B103" s="290"/>
      <c r="C103" s="290" t="s">
        <v>29</v>
      </c>
      <c r="D103" s="297">
        <v>2</v>
      </c>
      <c r="E103" s="290"/>
    </row>
    <row r="104" spans="1:5" ht="5.0999999999999996" customHeight="1">
      <c r="A104" s="290"/>
      <c r="B104" s="290"/>
      <c r="C104" s="290"/>
      <c r="D104" s="297"/>
      <c r="E104" s="290"/>
    </row>
    <row r="105" spans="1:5" ht="13.5">
      <c r="A105" s="292" t="s">
        <v>78</v>
      </c>
      <c r="B105" s="292"/>
      <c r="C105" s="295"/>
      <c r="D105" s="344">
        <v>62</v>
      </c>
      <c r="E105" s="290"/>
    </row>
    <row r="106" spans="1:5" ht="5.0999999999999996" customHeight="1">
      <c r="A106" s="290"/>
      <c r="B106" s="290"/>
      <c r="C106" s="290"/>
      <c r="D106" s="297"/>
      <c r="E106" s="290"/>
    </row>
    <row r="107" spans="1:5" ht="13.5">
      <c r="A107" s="290"/>
      <c r="B107" s="290"/>
      <c r="C107" s="290" t="s">
        <v>21</v>
      </c>
      <c r="D107" s="297">
        <v>5</v>
      </c>
      <c r="E107" s="290"/>
    </row>
    <row r="108" spans="1:5" ht="13.5">
      <c r="A108" s="290"/>
      <c r="B108" s="290"/>
      <c r="C108" s="290" t="s">
        <v>22</v>
      </c>
      <c r="D108" s="297">
        <v>3</v>
      </c>
      <c r="E108" s="290"/>
    </row>
    <row r="109" spans="1:5" ht="13.5">
      <c r="A109" s="290"/>
      <c r="B109" s="290"/>
      <c r="C109" s="290" t="s">
        <v>23</v>
      </c>
      <c r="D109" s="297">
        <v>8</v>
      </c>
      <c r="E109" s="290"/>
    </row>
    <row r="110" spans="1:5" ht="13.5">
      <c r="A110" s="290"/>
      <c r="B110" s="290"/>
      <c r="C110" s="290" t="s">
        <v>24</v>
      </c>
      <c r="D110" s="297">
        <v>3</v>
      </c>
      <c r="E110" s="290"/>
    </row>
    <row r="111" spans="1:5" ht="13.5">
      <c r="A111" s="290"/>
      <c r="B111" s="290"/>
      <c r="C111" s="290" t="s">
        <v>25</v>
      </c>
      <c r="D111" s="297">
        <v>4</v>
      </c>
      <c r="E111" s="290"/>
    </row>
    <row r="112" spans="1:5" ht="13.5">
      <c r="A112" s="290"/>
      <c r="B112" s="290"/>
      <c r="C112" s="290" t="s">
        <v>26</v>
      </c>
      <c r="D112" s="297">
        <v>3</v>
      </c>
      <c r="E112" s="290"/>
    </row>
    <row r="113" spans="1:5" ht="13.5">
      <c r="A113" s="290"/>
      <c r="B113" s="290"/>
      <c r="C113" s="290" t="s">
        <v>27</v>
      </c>
      <c r="D113" s="297">
        <v>5</v>
      </c>
      <c r="E113" s="290"/>
    </row>
    <row r="114" spans="1:5" ht="13.5">
      <c r="A114" s="290"/>
      <c r="B114" s="290"/>
      <c r="C114" s="290" t="s">
        <v>28</v>
      </c>
      <c r="D114" s="297">
        <v>7</v>
      </c>
      <c r="E114" s="290"/>
    </row>
    <row r="115" spans="1:5" ht="13.5">
      <c r="A115" s="290"/>
      <c r="B115" s="290"/>
      <c r="C115" s="290" t="s">
        <v>29</v>
      </c>
      <c r="D115" s="297">
        <v>8</v>
      </c>
      <c r="E115" s="290"/>
    </row>
    <row r="116" spans="1:5" ht="13.5">
      <c r="A116" s="290"/>
      <c r="B116" s="290"/>
      <c r="C116" s="290" t="s">
        <v>30</v>
      </c>
      <c r="D116" s="297">
        <v>8</v>
      </c>
      <c r="E116" s="290"/>
    </row>
    <row r="117" spans="1:5" ht="13.5">
      <c r="A117" s="290"/>
      <c r="B117" s="290"/>
      <c r="C117" s="290" t="s">
        <v>31</v>
      </c>
      <c r="D117" s="297">
        <v>5</v>
      </c>
      <c r="E117" s="290"/>
    </row>
    <row r="118" spans="1:5" ht="13.5">
      <c r="A118" s="290"/>
      <c r="B118" s="290"/>
      <c r="C118" s="290" t="s">
        <v>32</v>
      </c>
      <c r="D118" s="297">
        <v>3</v>
      </c>
      <c r="E118" s="290"/>
    </row>
    <row r="119" spans="1:5" ht="5.0999999999999996" customHeight="1">
      <c r="A119" s="290"/>
      <c r="B119" s="290"/>
      <c r="C119" s="290"/>
      <c r="D119" s="297"/>
      <c r="E119" s="290"/>
    </row>
    <row r="120" spans="1:5" ht="13.5">
      <c r="A120" s="290"/>
      <c r="B120" s="292" t="s">
        <v>122</v>
      </c>
      <c r="C120" s="292"/>
      <c r="D120" s="295">
        <v>18</v>
      </c>
      <c r="E120" s="344"/>
    </row>
    <row r="121" spans="1:5" ht="5.0999999999999996" customHeight="1">
      <c r="A121" s="290"/>
      <c r="B121" s="290"/>
      <c r="C121" s="290"/>
      <c r="D121" s="297"/>
      <c r="E121" s="290"/>
    </row>
    <row r="122" spans="1:5" ht="13.5">
      <c r="A122" s="290"/>
      <c r="B122" s="290"/>
      <c r="C122" s="290" t="s">
        <v>21</v>
      </c>
      <c r="D122" s="297">
        <v>2</v>
      </c>
      <c r="E122" s="290"/>
    </row>
    <row r="123" spans="1:5" ht="13.5">
      <c r="A123" s="290"/>
      <c r="B123" s="290"/>
      <c r="C123" s="290" t="s">
        <v>23</v>
      </c>
      <c r="D123" s="297">
        <v>4</v>
      </c>
      <c r="E123" s="290"/>
    </row>
    <row r="124" spans="1:5" ht="13.5">
      <c r="A124" s="290"/>
      <c r="B124" s="290"/>
      <c r="C124" s="290" t="s">
        <v>24</v>
      </c>
      <c r="D124" s="297">
        <v>1</v>
      </c>
      <c r="E124" s="290"/>
    </row>
    <row r="125" spans="1:5" ht="13.5">
      <c r="A125" s="290"/>
      <c r="B125" s="290"/>
      <c r="C125" s="290" t="s">
        <v>26</v>
      </c>
      <c r="D125" s="297">
        <v>1</v>
      </c>
      <c r="E125" s="290"/>
    </row>
    <row r="126" spans="1:5" ht="13.5">
      <c r="A126" s="290"/>
      <c r="B126" s="290"/>
      <c r="C126" s="290" t="s">
        <v>27</v>
      </c>
      <c r="D126" s="297">
        <v>1</v>
      </c>
      <c r="E126" s="290"/>
    </row>
    <row r="127" spans="1:5" ht="13.5">
      <c r="A127" s="290"/>
      <c r="B127" s="290"/>
      <c r="C127" s="290" t="s">
        <v>28</v>
      </c>
      <c r="D127" s="297">
        <v>2</v>
      </c>
      <c r="E127" s="290"/>
    </row>
    <row r="128" spans="1:5" ht="13.5">
      <c r="A128" s="290"/>
      <c r="B128" s="290"/>
      <c r="C128" s="290" t="s">
        <v>29</v>
      </c>
      <c r="D128" s="297">
        <v>3</v>
      </c>
      <c r="E128" s="290"/>
    </row>
    <row r="129" spans="1:5" ht="13.5">
      <c r="A129" s="290"/>
      <c r="B129" s="290"/>
      <c r="C129" s="290" t="s">
        <v>30</v>
      </c>
      <c r="D129" s="297">
        <v>2</v>
      </c>
      <c r="E129" s="290"/>
    </row>
    <row r="130" spans="1:5" ht="13.5">
      <c r="A130" s="290"/>
      <c r="B130" s="290"/>
      <c r="C130" s="290" t="s">
        <v>31</v>
      </c>
      <c r="D130" s="297">
        <v>2</v>
      </c>
      <c r="E130" s="290"/>
    </row>
    <row r="131" spans="1:5" ht="5.0999999999999996" customHeight="1">
      <c r="A131" s="290"/>
      <c r="B131" s="290"/>
      <c r="C131" s="290"/>
      <c r="D131" s="297"/>
      <c r="E131" s="290"/>
    </row>
    <row r="132" spans="1:5" ht="13.5">
      <c r="A132" s="290"/>
      <c r="B132" s="292" t="s">
        <v>123</v>
      </c>
      <c r="C132" s="292"/>
      <c r="D132" s="295">
        <v>1</v>
      </c>
      <c r="E132" s="344"/>
    </row>
    <row r="133" spans="1:5" ht="5.0999999999999996" customHeight="1">
      <c r="A133" s="290"/>
      <c r="B133" s="290"/>
      <c r="C133" s="290"/>
      <c r="D133" s="297"/>
      <c r="E133" s="290"/>
    </row>
    <row r="134" spans="1:5" ht="13.5">
      <c r="A134" s="290"/>
      <c r="B134" s="290"/>
      <c r="C134" s="290" t="s">
        <v>31</v>
      </c>
      <c r="D134" s="297">
        <v>1</v>
      </c>
      <c r="E134" s="290"/>
    </row>
    <row r="135" spans="1:5" ht="5.0999999999999996" customHeight="1">
      <c r="A135" s="290"/>
      <c r="B135" s="290"/>
      <c r="C135" s="290"/>
      <c r="D135" s="297"/>
      <c r="E135" s="290"/>
    </row>
    <row r="136" spans="1:5" ht="13.5">
      <c r="A136" s="290"/>
      <c r="B136" s="292" t="s">
        <v>124</v>
      </c>
      <c r="C136" s="292"/>
      <c r="D136" s="295">
        <v>13</v>
      </c>
      <c r="E136" s="344"/>
    </row>
    <row r="137" spans="1:5" ht="5.0999999999999996" customHeight="1">
      <c r="A137" s="290"/>
      <c r="B137" s="290"/>
      <c r="C137" s="290"/>
      <c r="D137" s="297"/>
      <c r="E137" s="290"/>
    </row>
    <row r="138" spans="1:5" ht="13.5">
      <c r="A138" s="290"/>
      <c r="B138" s="290"/>
      <c r="C138" s="290" t="s">
        <v>22</v>
      </c>
      <c r="D138" s="297">
        <v>1</v>
      </c>
      <c r="E138" s="290"/>
    </row>
    <row r="139" spans="1:5" ht="13.5">
      <c r="A139" s="290"/>
      <c r="B139" s="290"/>
      <c r="C139" s="290" t="s">
        <v>23</v>
      </c>
      <c r="D139" s="297">
        <v>1</v>
      </c>
      <c r="E139" s="290"/>
    </row>
    <row r="140" spans="1:5" ht="13.5">
      <c r="A140" s="290"/>
      <c r="B140" s="290"/>
      <c r="C140" s="290" t="s">
        <v>24</v>
      </c>
      <c r="D140" s="297">
        <v>1</v>
      </c>
      <c r="E140" s="290"/>
    </row>
    <row r="141" spans="1:5" ht="13.5">
      <c r="A141" s="290"/>
      <c r="B141" s="290"/>
      <c r="C141" s="290" t="s">
        <v>25</v>
      </c>
      <c r="D141" s="297">
        <v>3</v>
      </c>
      <c r="E141" s="290"/>
    </row>
    <row r="142" spans="1:5" ht="13.5">
      <c r="A142" s="290"/>
      <c r="B142" s="290"/>
      <c r="C142" s="290" t="s">
        <v>27</v>
      </c>
      <c r="D142" s="297">
        <v>2</v>
      </c>
      <c r="E142" s="290"/>
    </row>
    <row r="143" spans="1:5" ht="13.5">
      <c r="A143" s="290"/>
      <c r="B143" s="290"/>
      <c r="C143" s="290" t="s">
        <v>29</v>
      </c>
      <c r="D143" s="297">
        <v>1</v>
      </c>
      <c r="E143" s="290"/>
    </row>
    <row r="144" spans="1:5" ht="13.5">
      <c r="A144" s="290"/>
      <c r="B144" s="290"/>
      <c r="C144" s="290" t="s">
        <v>30</v>
      </c>
      <c r="D144" s="297">
        <v>3</v>
      </c>
      <c r="E144" s="290"/>
    </row>
    <row r="145" spans="1:5" ht="13.5">
      <c r="A145" s="290"/>
      <c r="B145" s="290"/>
      <c r="C145" s="290" t="s">
        <v>32</v>
      </c>
      <c r="D145" s="297">
        <v>1</v>
      </c>
      <c r="E145" s="290"/>
    </row>
    <row r="146" spans="1:5" ht="5.0999999999999996" customHeight="1">
      <c r="A146" s="290"/>
      <c r="B146" s="290"/>
      <c r="C146" s="290"/>
      <c r="D146" s="297"/>
      <c r="E146" s="290"/>
    </row>
    <row r="147" spans="1:5" ht="13.5">
      <c r="A147" s="290"/>
      <c r="B147" s="292" t="s">
        <v>125</v>
      </c>
      <c r="C147" s="292"/>
      <c r="D147" s="295">
        <v>9</v>
      </c>
      <c r="E147" s="344"/>
    </row>
    <row r="148" spans="1:5" ht="5.0999999999999996" customHeight="1">
      <c r="A148" s="290"/>
      <c r="B148" s="290"/>
      <c r="C148" s="290"/>
      <c r="D148" s="297"/>
      <c r="E148" s="290"/>
    </row>
    <row r="149" spans="1:5" ht="13.5">
      <c r="A149" s="290"/>
      <c r="B149" s="290"/>
      <c r="C149" s="290" t="s">
        <v>21</v>
      </c>
      <c r="D149" s="297">
        <v>1</v>
      </c>
      <c r="E149" s="290"/>
    </row>
    <row r="150" spans="1:5" ht="13.5">
      <c r="A150" s="290"/>
      <c r="B150" s="290"/>
      <c r="C150" s="290" t="s">
        <v>22</v>
      </c>
      <c r="D150" s="297">
        <v>1</v>
      </c>
      <c r="E150" s="290"/>
    </row>
    <row r="151" spans="1:5" ht="13.5">
      <c r="A151" s="290"/>
      <c r="B151" s="290"/>
      <c r="C151" s="290" t="s">
        <v>26</v>
      </c>
      <c r="D151" s="297">
        <v>1</v>
      </c>
      <c r="E151" s="290"/>
    </row>
    <row r="152" spans="1:5" ht="13.5">
      <c r="A152" s="290"/>
      <c r="B152" s="290"/>
      <c r="C152" s="290" t="s">
        <v>28</v>
      </c>
      <c r="D152" s="297">
        <v>2</v>
      </c>
      <c r="E152" s="290"/>
    </row>
    <row r="153" spans="1:5" ht="13.5">
      <c r="A153" s="290"/>
      <c r="B153" s="290"/>
      <c r="C153" s="290" t="s">
        <v>29</v>
      </c>
      <c r="D153" s="297">
        <v>2</v>
      </c>
      <c r="E153" s="290"/>
    </row>
    <row r="154" spans="1:5" ht="13.5">
      <c r="A154" s="290"/>
      <c r="B154" s="290"/>
      <c r="C154" s="290" t="s">
        <v>32</v>
      </c>
      <c r="D154" s="297">
        <v>2</v>
      </c>
      <c r="E154" s="290"/>
    </row>
    <row r="155" spans="1:5" ht="5.0999999999999996" customHeight="1">
      <c r="A155" s="290"/>
      <c r="B155" s="290"/>
      <c r="C155" s="290"/>
      <c r="D155" s="297"/>
      <c r="E155" s="290"/>
    </row>
    <row r="156" spans="1:5" ht="13.5">
      <c r="A156" s="290"/>
      <c r="B156" s="292" t="s">
        <v>126</v>
      </c>
      <c r="C156" s="292"/>
      <c r="D156" s="295">
        <v>21</v>
      </c>
      <c r="E156" s="344"/>
    </row>
    <row r="157" spans="1:5" ht="5.0999999999999996" customHeight="1">
      <c r="A157" s="290"/>
      <c r="B157" s="290"/>
      <c r="C157" s="290"/>
      <c r="D157" s="297"/>
      <c r="E157" s="290"/>
    </row>
    <row r="158" spans="1:5" ht="13.5">
      <c r="A158" s="290"/>
      <c r="B158" s="290"/>
      <c r="C158" s="290" t="s">
        <v>21</v>
      </c>
      <c r="D158" s="297">
        <v>2</v>
      </c>
      <c r="E158" s="290"/>
    </row>
    <row r="159" spans="1:5" ht="13.5">
      <c r="A159" s="290"/>
      <c r="B159" s="290"/>
      <c r="C159" s="290" t="s">
        <v>22</v>
      </c>
      <c r="D159" s="297">
        <v>1</v>
      </c>
      <c r="E159" s="290"/>
    </row>
    <row r="160" spans="1:5" ht="13.5">
      <c r="A160" s="290"/>
      <c r="B160" s="290"/>
      <c r="C160" s="290" t="s">
        <v>23</v>
      </c>
      <c r="D160" s="297">
        <v>3</v>
      </c>
      <c r="E160" s="290"/>
    </row>
    <row r="161" spans="1:5" ht="13.5">
      <c r="A161" s="290"/>
      <c r="B161" s="290"/>
      <c r="C161" s="290" t="s">
        <v>24</v>
      </c>
      <c r="D161" s="297">
        <v>1</v>
      </c>
      <c r="E161" s="290"/>
    </row>
    <row r="162" spans="1:5" ht="13.5">
      <c r="A162" s="290"/>
      <c r="B162" s="290"/>
      <c r="C162" s="290" t="s">
        <v>25</v>
      </c>
      <c r="D162" s="297">
        <v>1</v>
      </c>
      <c r="E162" s="290"/>
    </row>
    <row r="163" spans="1:5" ht="13.5">
      <c r="A163" s="290"/>
      <c r="B163" s="290"/>
      <c r="C163" s="290" t="s">
        <v>26</v>
      </c>
      <c r="D163" s="297">
        <v>1</v>
      </c>
      <c r="E163" s="290"/>
    </row>
    <row r="164" spans="1:5" ht="13.5">
      <c r="A164" s="290"/>
      <c r="B164" s="290"/>
      <c r="C164" s="290" t="s">
        <v>27</v>
      </c>
      <c r="D164" s="297">
        <v>2</v>
      </c>
      <c r="E164" s="290"/>
    </row>
    <row r="165" spans="1:5" ht="13.5">
      <c r="A165" s="290"/>
      <c r="B165" s="290"/>
      <c r="C165" s="290" t="s">
        <v>28</v>
      </c>
      <c r="D165" s="297">
        <v>3</v>
      </c>
      <c r="E165" s="290"/>
    </row>
    <row r="166" spans="1:5" ht="13.5">
      <c r="A166" s="290"/>
      <c r="B166" s="290"/>
      <c r="C166" s="290" t="s">
        <v>29</v>
      </c>
      <c r="D166" s="297">
        <v>2</v>
      </c>
      <c r="E166" s="290"/>
    </row>
    <row r="167" spans="1:5" ht="13.5">
      <c r="A167" s="290"/>
      <c r="B167" s="290"/>
      <c r="C167" s="290" t="s">
        <v>30</v>
      </c>
      <c r="D167" s="297">
        <v>3</v>
      </c>
      <c r="E167" s="290"/>
    </row>
    <row r="168" spans="1:5" ht="13.5">
      <c r="A168" s="290"/>
      <c r="B168" s="290"/>
      <c r="C168" s="290" t="s">
        <v>31</v>
      </c>
      <c r="D168" s="297">
        <v>2</v>
      </c>
      <c r="E168" s="290"/>
    </row>
    <row r="169" spans="1:5" ht="5.0999999999999996" customHeight="1">
      <c r="A169" s="290"/>
      <c r="B169" s="290"/>
      <c r="C169" s="290"/>
      <c r="D169" s="297"/>
      <c r="E169" s="290"/>
    </row>
    <row r="170" spans="1:5" ht="13.5">
      <c r="A170" s="292" t="s">
        <v>79</v>
      </c>
      <c r="B170" s="292"/>
      <c r="C170" s="295"/>
      <c r="D170" s="344">
        <v>251</v>
      </c>
      <c r="E170" s="344"/>
    </row>
    <row r="171" spans="1:5" ht="5.0999999999999996" customHeight="1">
      <c r="A171" s="290"/>
      <c r="B171" s="290"/>
      <c r="C171" s="290"/>
      <c r="D171" s="297"/>
      <c r="E171" s="290"/>
    </row>
    <row r="172" spans="1:5" ht="13.5">
      <c r="A172" s="290"/>
      <c r="B172" s="290"/>
      <c r="C172" s="290" t="s">
        <v>21</v>
      </c>
      <c r="D172" s="297">
        <v>16</v>
      </c>
      <c r="E172" s="290"/>
    </row>
    <row r="173" spans="1:5" ht="13.5">
      <c r="A173" s="290"/>
      <c r="B173" s="290"/>
      <c r="C173" s="290" t="s">
        <v>22</v>
      </c>
      <c r="D173" s="297">
        <v>21</v>
      </c>
      <c r="E173" s="290"/>
    </row>
    <row r="174" spans="1:5" ht="13.5">
      <c r="A174" s="290"/>
      <c r="B174" s="290"/>
      <c r="C174" s="290" t="s">
        <v>23</v>
      </c>
      <c r="D174" s="297">
        <v>22</v>
      </c>
      <c r="E174" s="290"/>
    </row>
    <row r="175" spans="1:5" ht="13.5">
      <c r="A175" s="290"/>
      <c r="B175" s="290"/>
      <c r="C175" s="290" t="s">
        <v>24</v>
      </c>
      <c r="D175" s="297">
        <v>14</v>
      </c>
      <c r="E175" s="290"/>
    </row>
    <row r="176" spans="1:5" ht="13.5">
      <c r="A176" s="290"/>
      <c r="B176" s="290"/>
      <c r="C176" s="290" t="s">
        <v>25</v>
      </c>
      <c r="D176" s="297">
        <v>23</v>
      </c>
      <c r="E176" s="290"/>
    </row>
    <row r="177" spans="1:5" ht="13.5">
      <c r="A177" s="290"/>
      <c r="B177" s="290"/>
      <c r="C177" s="290" t="s">
        <v>26</v>
      </c>
      <c r="D177" s="297">
        <v>15</v>
      </c>
      <c r="E177" s="290"/>
    </row>
    <row r="178" spans="1:5" ht="13.5">
      <c r="A178" s="290"/>
      <c r="B178" s="290"/>
      <c r="C178" s="290" t="s">
        <v>27</v>
      </c>
      <c r="D178" s="297">
        <v>21</v>
      </c>
      <c r="E178" s="290"/>
    </row>
    <row r="179" spans="1:5" ht="13.5">
      <c r="A179" s="290"/>
      <c r="B179" s="290"/>
      <c r="C179" s="290" t="s">
        <v>28</v>
      </c>
      <c r="D179" s="297">
        <v>29</v>
      </c>
      <c r="E179" s="290"/>
    </row>
    <row r="180" spans="1:5" ht="13.5">
      <c r="A180" s="290"/>
      <c r="B180" s="290"/>
      <c r="C180" s="290" t="s">
        <v>29</v>
      </c>
      <c r="D180" s="297">
        <v>19</v>
      </c>
      <c r="E180" s="290"/>
    </row>
    <row r="181" spans="1:5" ht="13.5">
      <c r="A181" s="290"/>
      <c r="B181" s="290"/>
      <c r="C181" s="290" t="s">
        <v>30</v>
      </c>
      <c r="D181" s="297">
        <v>22</v>
      </c>
      <c r="E181" s="290"/>
    </row>
    <row r="182" spans="1:5" ht="13.5">
      <c r="A182" s="290"/>
      <c r="B182" s="290"/>
      <c r="C182" s="290" t="s">
        <v>31</v>
      </c>
      <c r="D182" s="297">
        <v>27</v>
      </c>
      <c r="E182" s="290"/>
    </row>
    <row r="183" spans="1:5" ht="13.5">
      <c r="A183" s="290"/>
      <c r="B183" s="290"/>
      <c r="C183" s="290" t="s">
        <v>32</v>
      </c>
      <c r="D183" s="297">
        <v>22</v>
      </c>
      <c r="E183" s="290"/>
    </row>
    <row r="184" spans="1:5" ht="5.0999999999999996" customHeight="1">
      <c r="A184" s="290"/>
      <c r="B184" s="290"/>
      <c r="C184" s="290"/>
      <c r="D184" s="297"/>
      <c r="E184" s="290"/>
    </row>
    <row r="185" spans="1:5" ht="13.5">
      <c r="A185" s="290"/>
      <c r="B185" s="292" t="s">
        <v>533</v>
      </c>
      <c r="C185" s="292"/>
      <c r="D185" s="295">
        <v>190</v>
      </c>
      <c r="E185" s="344"/>
    </row>
    <row r="186" spans="1:5" ht="5.0999999999999996" customHeight="1">
      <c r="A186" s="290"/>
      <c r="B186" s="290"/>
      <c r="C186" s="290"/>
      <c r="D186" s="297"/>
      <c r="E186" s="290"/>
    </row>
    <row r="187" spans="1:5" ht="13.5">
      <c r="A187" s="290"/>
      <c r="B187" s="290"/>
      <c r="C187" s="290" t="s">
        <v>21</v>
      </c>
      <c r="D187" s="297">
        <v>13</v>
      </c>
      <c r="E187" s="290"/>
    </row>
    <row r="188" spans="1:5" ht="13.5">
      <c r="A188" s="290"/>
      <c r="B188" s="290"/>
      <c r="C188" s="290" t="s">
        <v>22</v>
      </c>
      <c r="D188" s="297">
        <v>17</v>
      </c>
      <c r="E188" s="290"/>
    </row>
    <row r="189" spans="1:5" ht="13.5">
      <c r="A189" s="290"/>
      <c r="B189" s="290"/>
      <c r="C189" s="290" t="s">
        <v>23</v>
      </c>
      <c r="D189" s="297">
        <v>16</v>
      </c>
      <c r="E189" s="290"/>
    </row>
    <row r="190" spans="1:5" ht="13.5">
      <c r="A190" s="290"/>
      <c r="B190" s="290"/>
      <c r="C190" s="290" t="s">
        <v>24</v>
      </c>
      <c r="D190" s="297">
        <v>8</v>
      </c>
      <c r="E190" s="290"/>
    </row>
    <row r="191" spans="1:5" ht="13.5">
      <c r="A191" s="290"/>
      <c r="B191" s="290"/>
      <c r="C191" s="290" t="s">
        <v>25</v>
      </c>
      <c r="D191" s="297">
        <v>17</v>
      </c>
      <c r="E191" s="290"/>
    </row>
    <row r="192" spans="1:5" ht="13.5">
      <c r="A192" s="290"/>
      <c r="B192" s="290"/>
      <c r="C192" s="290" t="s">
        <v>26</v>
      </c>
      <c r="D192" s="297">
        <v>9</v>
      </c>
      <c r="E192" s="290"/>
    </row>
    <row r="193" spans="1:5" ht="13.5">
      <c r="A193" s="290"/>
      <c r="B193" s="290"/>
      <c r="C193" s="290" t="s">
        <v>27</v>
      </c>
      <c r="D193" s="297">
        <v>18</v>
      </c>
      <c r="E193" s="290"/>
    </row>
    <row r="194" spans="1:5" ht="13.5">
      <c r="A194" s="290"/>
      <c r="B194" s="290"/>
      <c r="C194" s="290" t="s">
        <v>28</v>
      </c>
      <c r="D194" s="297">
        <v>19</v>
      </c>
      <c r="E194" s="290"/>
    </row>
    <row r="195" spans="1:5" ht="13.5">
      <c r="A195" s="290"/>
      <c r="B195" s="290"/>
      <c r="C195" s="290" t="s">
        <v>29</v>
      </c>
      <c r="D195" s="297">
        <v>16</v>
      </c>
      <c r="E195" s="290"/>
    </row>
    <row r="196" spans="1:5" ht="13.5">
      <c r="A196" s="290"/>
      <c r="B196" s="290"/>
      <c r="C196" s="290" t="s">
        <v>30</v>
      </c>
      <c r="D196" s="297">
        <v>20</v>
      </c>
      <c r="E196" s="290"/>
    </row>
    <row r="197" spans="1:5" ht="13.5">
      <c r="A197" s="290"/>
      <c r="B197" s="290"/>
      <c r="C197" s="290" t="s">
        <v>31</v>
      </c>
      <c r="D197" s="297">
        <v>23</v>
      </c>
      <c r="E197" s="290"/>
    </row>
    <row r="198" spans="1:5" ht="13.5">
      <c r="A198" s="290"/>
      <c r="B198" s="290"/>
      <c r="C198" s="290" t="s">
        <v>32</v>
      </c>
      <c r="D198" s="297">
        <v>14</v>
      </c>
      <c r="E198" s="290"/>
    </row>
    <row r="199" spans="1:5" ht="5.0999999999999996" customHeight="1">
      <c r="A199" s="290"/>
      <c r="B199" s="290"/>
      <c r="C199" s="290"/>
      <c r="D199" s="297"/>
      <c r="E199" s="290"/>
    </row>
    <row r="200" spans="1:5" ht="13.5">
      <c r="A200" s="290"/>
      <c r="B200" s="292" t="s">
        <v>127</v>
      </c>
      <c r="C200" s="292"/>
      <c r="D200" s="295">
        <v>3</v>
      </c>
      <c r="E200" s="344"/>
    </row>
    <row r="201" spans="1:5" ht="5.0999999999999996" customHeight="1">
      <c r="A201" s="290"/>
      <c r="B201" s="290"/>
      <c r="C201" s="290"/>
      <c r="D201" s="297"/>
      <c r="E201" s="290"/>
    </row>
    <row r="202" spans="1:5" ht="13.5">
      <c r="A202" s="290"/>
      <c r="B202" s="290"/>
      <c r="C202" s="290" t="s">
        <v>23</v>
      </c>
      <c r="D202" s="297">
        <v>1</v>
      </c>
      <c r="E202" s="290"/>
    </row>
    <row r="203" spans="1:5" ht="13.5">
      <c r="A203" s="290"/>
      <c r="B203" s="290"/>
      <c r="C203" s="290" t="s">
        <v>25</v>
      </c>
      <c r="D203" s="297">
        <v>1</v>
      </c>
      <c r="E203" s="290"/>
    </row>
    <row r="204" spans="1:5" ht="13.5">
      <c r="A204" s="290"/>
      <c r="B204" s="290"/>
      <c r="C204" s="290" t="s">
        <v>29</v>
      </c>
      <c r="D204" s="297">
        <v>1</v>
      </c>
      <c r="E204" s="290"/>
    </row>
    <row r="205" spans="1:5" ht="5.0999999999999996" customHeight="1">
      <c r="A205" s="290"/>
      <c r="B205" s="290"/>
      <c r="C205" s="290"/>
      <c r="D205" s="297"/>
      <c r="E205" s="290"/>
    </row>
    <row r="206" spans="1:5" ht="13.5">
      <c r="A206" s="290"/>
      <c r="B206" s="292" t="s">
        <v>128</v>
      </c>
      <c r="C206" s="292"/>
      <c r="D206" s="295">
        <v>11</v>
      </c>
      <c r="E206" s="344"/>
    </row>
    <row r="207" spans="1:5" ht="5.0999999999999996" customHeight="1">
      <c r="A207" s="290"/>
      <c r="B207" s="290"/>
      <c r="C207" s="290"/>
      <c r="D207" s="297"/>
      <c r="E207" s="290"/>
    </row>
    <row r="208" spans="1:5" ht="13.5">
      <c r="A208" s="290"/>
      <c r="B208" s="290"/>
      <c r="C208" s="290" t="s">
        <v>23</v>
      </c>
      <c r="D208" s="297">
        <v>1</v>
      </c>
      <c r="E208" s="290"/>
    </row>
    <row r="209" spans="1:5" ht="13.5">
      <c r="A209" s="290"/>
      <c r="B209" s="290"/>
      <c r="C209" s="290" t="s">
        <v>24</v>
      </c>
      <c r="D209" s="297">
        <v>1</v>
      </c>
      <c r="E209" s="290"/>
    </row>
    <row r="210" spans="1:5" ht="13.5">
      <c r="A210" s="290"/>
      <c r="B210" s="290"/>
      <c r="C210" s="290" t="s">
        <v>25</v>
      </c>
      <c r="D210" s="297">
        <v>2</v>
      </c>
      <c r="E210" s="290"/>
    </row>
    <row r="211" spans="1:5" ht="13.5">
      <c r="A211" s="290"/>
      <c r="B211" s="290"/>
      <c r="C211" s="290" t="s">
        <v>27</v>
      </c>
      <c r="D211" s="297">
        <v>1</v>
      </c>
      <c r="E211" s="290"/>
    </row>
    <row r="212" spans="1:5" ht="13.5">
      <c r="A212" s="290"/>
      <c r="B212" s="290"/>
      <c r="C212" s="290" t="s">
        <v>28</v>
      </c>
      <c r="D212" s="297">
        <v>1</v>
      </c>
      <c r="E212" s="290"/>
    </row>
    <row r="213" spans="1:5" ht="13.5">
      <c r="A213" s="290"/>
      <c r="B213" s="290"/>
      <c r="C213" s="290" t="s">
        <v>29</v>
      </c>
      <c r="D213" s="297">
        <v>2</v>
      </c>
      <c r="E213" s="290"/>
    </row>
    <row r="214" spans="1:5" ht="13.5">
      <c r="A214" s="290"/>
      <c r="B214" s="290"/>
      <c r="C214" s="290" t="s">
        <v>31</v>
      </c>
      <c r="D214" s="297">
        <v>1</v>
      </c>
      <c r="E214" s="290"/>
    </row>
    <row r="215" spans="1:5" ht="13.5">
      <c r="A215" s="290"/>
      <c r="B215" s="290"/>
      <c r="C215" s="290" t="s">
        <v>32</v>
      </c>
      <c r="D215" s="297">
        <v>2</v>
      </c>
      <c r="E215" s="290"/>
    </row>
    <row r="216" spans="1:5" ht="5.0999999999999996" customHeight="1">
      <c r="A216" s="290"/>
      <c r="B216" s="290"/>
      <c r="C216" s="290"/>
      <c r="D216" s="297"/>
      <c r="E216" s="290"/>
    </row>
    <row r="217" spans="1:5" ht="13.5">
      <c r="A217" s="290"/>
      <c r="B217" s="292" t="s">
        <v>129</v>
      </c>
      <c r="C217" s="292"/>
      <c r="D217" s="295">
        <v>6</v>
      </c>
      <c r="E217" s="344"/>
    </row>
    <row r="218" spans="1:5" ht="5.0999999999999996" customHeight="1">
      <c r="A218" s="290"/>
      <c r="B218" s="290"/>
      <c r="C218" s="290"/>
      <c r="D218" s="297"/>
      <c r="E218" s="290"/>
    </row>
    <row r="219" spans="1:5" ht="13.5">
      <c r="A219" s="290"/>
      <c r="B219" s="290"/>
      <c r="C219" s="290" t="s">
        <v>23</v>
      </c>
      <c r="D219" s="297">
        <v>1</v>
      </c>
      <c r="E219" s="290"/>
    </row>
    <row r="220" spans="1:5" ht="13.5">
      <c r="A220" s="290"/>
      <c r="B220" s="290"/>
      <c r="C220" s="290" t="s">
        <v>24</v>
      </c>
      <c r="D220" s="297">
        <v>2</v>
      </c>
      <c r="E220" s="290"/>
    </row>
    <row r="221" spans="1:5" ht="13.5">
      <c r="A221" s="290"/>
      <c r="B221" s="290"/>
      <c r="C221" s="290" t="s">
        <v>27</v>
      </c>
      <c r="D221" s="297">
        <v>1</v>
      </c>
      <c r="E221" s="290"/>
    </row>
    <row r="222" spans="1:5" ht="13.5">
      <c r="A222" s="290"/>
      <c r="B222" s="290"/>
      <c r="C222" s="290" t="s">
        <v>28</v>
      </c>
      <c r="D222" s="297">
        <v>1</v>
      </c>
      <c r="E222" s="290"/>
    </row>
    <row r="223" spans="1:5" ht="13.5">
      <c r="A223" s="290"/>
      <c r="B223" s="290"/>
      <c r="C223" s="290" t="s">
        <v>30</v>
      </c>
      <c r="D223" s="297">
        <v>1</v>
      </c>
      <c r="E223" s="290"/>
    </row>
    <row r="224" spans="1:5" ht="5.0999999999999996" customHeight="1">
      <c r="A224" s="290"/>
      <c r="B224" s="290"/>
      <c r="C224" s="290"/>
      <c r="D224" s="297"/>
      <c r="E224" s="290"/>
    </row>
    <row r="225" spans="1:5" ht="13.5">
      <c r="A225" s="290"/>
      <c r="B225" s="292" t="s">
        <v>130</v>
      </c>
      <c r="C225" s="292"/>
      <c r="D225" s="295">
        <v>36</v>
      </c>
      <c r="E225" s="344"/>
    </row>
    <row r="226" spans="1:5" ht="5.0999999999999996" customHeight="1">
      <c r="A226" s="290"/>
      <c r="B226" s="290"/>
      <c r="C226" s="290"/>
      <c r="D226" s="297"/>
      <c r="E226" s="290"/>
    </row>
    <row r="227" spans="1:5" ht="13.5">
      <c r="A227" s="290"/>
      <c r="B227" s="290"/>
      <c r="C227" s="290" t="s">
        <v>21</v>
      </c>
      <c r="D227" s="297">
        <v>3</v>
      </c>
      <c r="E227" s="290"/>
    </row>
    <row r="228" spans="1:5" ht="13.5">
      <c r="A228" s="290"/>
      <c r="B228" s="290"/>
      <c r="C228" s="290" t="s">
        <v>22</v>
      </c>
      <c r="D228" s="297">
        <v>4</v>
      </c>
      <c r="E228" s="290"/>
    </row>
    <row r="229" spans="1:5" ht="13.5">
      <c r="A229" s="290"/>
      <c r="B229" s="290"/>
      <c r="C229" s="290" t="s">
        <v>23</v>
      </c>
      <c r="D229" s="297">
        <v>3</v>
      </c>
      <c r="E229" s="290"/>
    </row>
    <row r="230" spans="1:5" ht="13.5">
      <c r="A230" s="290"/>
      <c r="B230" s="290"/>
      <c r="C230" s="290" t="s">
        <v>24</v>
      </c>
      <c r="D230" s="297">
        <v>2</v>
      </c>
      <c r="E230" s="290"/>
    </row>
    <row r="231" spans="1:5" ht="13.5">
      <c r="A231" s="290"/>
      <c r="B231" s="290"/>
      <c r="C231" s="290" t="s">
        <v>25</v>
      </c>
      <c r="D231" s="297">
        <v>3</v>
      </c>
      <c r="E231" s="290"/>
    </row>
    <row r="232" spans="1:5" ht="13.5">
      <c r="A232" s="290"/>
      <c r="B232" s="290"/>
      <c r="C232" s="290" t="s">
        <v>26</v>
      </c>
      <c r="D232" s="297">
        <v>4</v>
      </c>
      <c r="E232" s="290"/>
    </row>
    <row r="233" spans="1:5" ht="13.5">
      <c r="A233" s="290"/>
      <c r="B233" s="290"/>
      <c r="C233" s="290" t="s">
        <v>28</v>
      </c>
      <c r="D233" s="297">
        <v>7</v>
      </c>
      <c r="E233" s="290"/>
    </row>
    <row r="234" spans="1:5" ht="13.5">
      <c r="A234" s="290"/>
      <c r="B234" s="290"/>
      <c r="C234" s="290" t="s">
        <v>30</v>
      </c>
      <c r="D234" s="297">
        <v>1</v>
      </c>
      <c r="E234" s="290"/>
    </row>
    <row r="235" spans="1:5" ht="13.5">
      <c r="A235" s="290"/>
      <c r="B235" s="290"/>
      <c r="C235" s="290" t="s">
        <v>31</v>
      </c>
      <c r="D235" s="297">
        <v>3</v>
      </c>
      <c r="E235" s="290"/>
    </row>
    <row r="236" spans="1:5" ht="13.5">
      <c r="A236" s="290"/>
      <c r="B236" s="290"/>
      <c r="C236" s="290" t="s">
        <v>32</v>
      </c>
      <c r="D236" s="297">
        <v>6</v>
      </c>
      <c r="E236" s="290"/>
    </row>
    <row r="237" spans="1:5" ht="5.0999999999999996" customHeight="1">
      <c r="A237" s="290"/>
      <c r="B237" s="290"/>
      <c r="C237" s="290"/>
      <c r="D237" s="297"/>
      <c r="E237" s="290"/>
    </row>
    <row r="238" spans="1:5" ht="13.5">
      <c r="A238" s="290"/>
      <c r="B238" s="292" t="s">
        <v>131</v>
      </c>
      <c r="C238" s="292"/>
      <c r="D238" s="295">
        <v>1</v>
      </c>
      <c r="E238" s="344"/>
    </row>
    <row r="239" spans="1:5" ht="5.0999999999999996" customHeight="1">
      <c r="A239" s="290"/>
      <c r="B239" s="290"/>
      <c r="C239" s="290"/>
      <c r="D239" s="297"/>
      <c r="E239" s="290"/>
    </row>
    <row r="240" spans="1:5" ht="13.5">
      <c r="A240" s="290"/>
      <c r="B240" s="290"/>
      <c r="C240" s="290" t="s">
        <v>24</v>
      </c>
      <c r="D240" s="297">
        <v>1</v>
      </c>
      <c r="E240" s="290"/>
    </row>
    <row r="241" spans="1:5" ht="5.0999999999999996" customHeight="1">
      <c r="A241" s="290"/>
      <c r="B241" s="290"/>
      <c r="C241" s="290"/>
      <c r="D241" s="297"/>
      <c r="E241" s="290"/>
    </row>
    <row r="242" spans="1:5" ht="13.5">
      <c r="A242" s="290"/>
      <c r="B242" s="292" t="s">
        <v>132</v>
      </c>
      <c r="C242" s="292"/>
      <c r="D242" s="295">
        <v>4</v>
      </c>
      <c r="E242" s="344"/>
    </row>
    <row r="243" spans="1:5" ht="5.0999999999999996" customHeight="1">
      <c r="A243" s="290"/>
      <c r="B243" s="290"/>
      <c r="C243" s="290"/>
      <c r="D243" s="297"/>
      <c r="E243" s="290"/>
    </row>
    <row r="244" spans="1:5" ht="13.5">
      <c r="A244" s="290"/>
      <c r="B244" s="290"/>
      <c r="C244" s="290" t="s">
        <v>26</v>
      </c>
      <c r="D244" s="297">
        <v>2</v>
      </c>
      <c r="E244" s="290"/>
    </row>
    <row r="245" spans="1:5" ht="13.5">
      <c r="A245" s="290"/>
      <c r="B245" s="290"/>
      <c r="C245" s="290" t="s">
        <v>27</v>
      </c>
      <c r="D245" s="297">
        <v>1</v>
      </c>
      <c r="E245" s="290"/>
    </row>
    <row r="246" spans="1:5" ht="13.5">
      <c r="A246" s="290"/>
      <c r="B246" s="290"/>
      <c r="C246" s="290" t="s">
        <v>28</v>
      </c>
      <c r="D246" s="297">
        <v>1</v>
      </c>
      <c r="E246" s="290"/>
    </row>
    <row r="247" spans="1:5" ht="5.0999999999999996" customHeight="1">
      <c r="A247" s="290"/>
      <c r="B247" s="290"/>
      <c r="C247" s="290"/>
      <c r="D247" s="297"/>
      <c r="E247" s="290"/>
    </row>
    <row r="248" spans="1:5" ht="13.5">
      <c r="A248" s="292" t="s">
        <v>80</v>
      </c>
      <c r="B248" s="292"/>
      <c r="C248" s="295"/>
      <c r="D248" s="344">
        <v>66</v>
      </c>
      <c r="E248" s="290"/>
    </row>
    <row r="249" spans="1:5" ht="5.0999999999999996" customHeight="1">
      <c r="A249" s="290"/>
      <c r="B249" s="290"/>
      <c r="C249" s="290"/>
      <c r="D249" s="297"/>
      <c r="E249" s="290"/>
    </row>
    <row r="250" spans="1:5" ht="13.5">
      <c r="A250" s="290"/>
      <c r="B250" s="290"/>
      <c r="C250" s="290" t="s">
        <v>21</v>
      </c>
      <c r="D250" s="297">
        <v>8</v>
      </c>
      <c r="E250" s="290"/>
    </row>
    <row r="251" spans="1:5" ht="13.5">
      <c r="A251" s="290"/>
      <c r="B251" s="290"/>
      <c r="C251" s="290" t="s">
        <v>22</v>
      </c>
      <c r="D251" s="297">
        <v>5</v>
      </c>
      <c r="E251" s="290"/>
    </row>
    <row r="252" spans="1:5" ht="13.5">
      <c r="A252" s="290"/>
      <c r="B252" s="290"/>
      <c r="C252" s="290" t="s">
        <v>23</v>
      </c>
      <c r="D252" s="297">
        <v>2</v>
      </c>
      <c r="E252" s="290"/>
    </row>
    <row r="253" spans="1:5" ht="13.5">
      <c r="A253" s="290"/>
      <c r="B253" s="290"/>
      <c r="C253" s="290" t="s">
        <v>24</v>
      </c>
      <c r="D253" s="297">
        <v>9</v>
      </c>
      <c r="E253" s="290"/>
    </row>
    <row r="254" spans="1:5" ht="13.5">
      <c r="A254" s="290"/>
      <c r="B254" s="290"/>
      <c r="C254" s="290" t="s">
        <v>25</v>
      </c>
      <c r="D254" s="297">
        <v>6</v>
      </c>
      <c r="E254" s="290"/>
    </row>
    <row r="255" spans="1:5" ht="13.5">
      <c r="A255" s="290"/>
      <c r="B255" s="290"/>
      <c r="C255" s="290" t="s">
        <v>26</v>
      </c>
      <c r="D255" s="297">
        <v>7</v>
      </c>
      <c r="E255" s="290"/>
    </row>
    <row r="256" spans="1:5" ht="13.5">
      <c r="A256" s="290"/>
      <c r="B256" s="290"/>
      <c r="C256" s="290" t="s">
        <v>27</v>
      </c>
      <c r="D256" s="297">
        <v>5</v>
      </c>
      <c r="E256" s="290"/>
    </row>
    <row r="257" spans="1:5" ht="13.5">
      <c r="A257" s="290"/>
      <c r="B257" s="290"/>
      <c r="C257" s="290" t="s">
        <v>28</v>
      </c>
      <c r="D257" s="297">
        <v>7</v>
      </c>
      <c r="E257" s="290"/>
    </row>
    <row r="258" spans="1:5" ht="13.5">
      <c r="A258" s="290"/>
      <c r="B258" s="290"/>
      <c r="C258" s="290" t="s">
        <v>29</v>
      </c>
      <c r="D258" s="297">
        <v>3</v>
      </c>
      <c r="E258" s="290"/>
    </row>
    <row r="259" spans="1:5" ht="13.5">
      <c r="A259" s="290"/>
      <c r="B259" s="290"/>
      <c r="C259" s="290" t="s">
        <v>30</v>
      </c>
      <c r="D259" s="297">
        <v>7</v>
      </c>
      <c r="E259" s="290"/>
    </row>
    <row r="260" spans="1:5" ht="13.5">
      <c r="A260" s="290"/>
      <c r="B260" s="290"/>
      <c r="C260" s="290" t="s">
        <v>31</v>
      </c>
      <c r="D260" s="297">
        <v>6</v>
      </c>
      <c r="E260" s="290"/>
    </row>
    <row r="261" spans="1:5" ht="13.5">
      <c r="A261" s="290"/>
      <c r="B261" s="290"/>
      <c r="C261" s="290" t="s">
        <v>32</v>
      </c>
      <c r="D261" s="297">
        <v>1</v>
      </c>
      <c r="E261" s="290"/>
    </row>
    <row r="262" spans="1:5" ht="5.0999999999999996" customHeight="1">
      <c r="A262" s="290"/>
      <c r="B262" s="290"/>
      <c r="C262" s="290"/>
      <c r="D262" s="297"/>
      <c r="E262" s="290"/>
    </row>
    <row r="263" spans="1:5" ht="13.5">
      <c r="A263" s="290"/>
      <c r="B263" s="292" t="s">
        <v>80</v>
      </c>
      <c r="C263" s="292"/>
      <c r="D263" s="295">
        <v>56</v>
      </c>
      <c r="E263" s="344"/>
    </row>
    <row r="264" spans="1:5" ht="5.0999999999999996" customHeight="1">
      <c r="A264" s="290"/>
      <c r="B264" s="290"/>
      <c r="C264" s="290"/>
      <c r="D264" s="297"/>
      <c r="E264" s="290"/>
    </row>
    <row r="265" spans="1:5" ht="13.5">
      <c r="A265" s="290"/>
      <c r="B265" s="290"/>
      <c r="C265" s="290" t="s">
        <v>21</v>
      </c>
      <c r="D265" s="297">
        <v>8</v>
      </c>
      <c r="E265" s="290"/>
    </row>
    <row r="266" spans="1:5" ht="13.5">
      <c r="A266" s="290"/>
      <c r="B266" s="290"/>
      <c r="C266" s="290" t="s">
        <v>22</v>
      </c>
      <c r="D266" s="297">
        <v>4</v>
      </c>
      <c r="E266" s="290"/>
    </row>
    <row r="267" spans="1:5" ht="13.5">
      <c r="A267" s="290"/>
      <c r="B267" s="290"/>
      <c r="C267" s="290" t="s">
        <v>23</v>
      </c>
      <c r="D267" s="297">
        <v>2</v>
      </c>
      <c r="E267" s="290"/>
    </row>
    <row r="268" spans="1:5" ht="13.5">
      <c r="A268" s="290"/>
      <c r="B268" s="290"/>
      <c r="C268" s="290" t="s">
        <v>24</v>
      </c>
      <c r="D268" s="297">
        <v>7</v>
      </c>
      <c r="E268" s="290"/>
    </row>
    <row r="269" spans="1:5" ht="13.5">
      <c r="A269" s="290"/>
      <c r="B269" s="290"/>
      <c r="C269" s="290" t="s">
        <v>25</v>
      </c>
      <c r="D269" s="297">
        <v>5</v>
      </c>
      <c r="E269" s="290"/>
    </row>
    <row r="270" spans="1:5" ht="13.5">
      <c r="A270" s="290"/>
      <c r="B270" s="290"/>
      <c r="C270" s="290" t="s">
        <v>26</v>
      </c>
      <c r="D270" s="297">
        <v>6</v>
      </c>
      <c r="E270" s="290"/>
    </row>
    <row r="271" spans="1:5" ht="13.5">
      <c r="A271" s="290"/>
      <c r="B271" s="290"/>
      <c r="C271" s="290" t="s">
        <v>27</v>
      </c>
      <c r="D271" s="297">
        <v>5</v>
      </c>
      <c r="E271" s="290"/>
    </row>
    <row r="272" spans="1:5" ht="13.5">
      <c r="A272" s="290"/>
      <c r="B272" s="290"/>
      <c r="C272" s="290" t="s">
        <v>28</v>
      </c>
      <c r="D272" s="297">
        <v>6</v>
      </c>
      <c r="E272" s="290"/>
    </row>
    <row r="273" spans="1:5" ht="13.5">
      <c r="A273" s="290"/>
      <c r="B273" s="290"/>
      <c r="C273" s="290" t="s">
        <v>29</v>
      </c>
      <c r="D273" s="297">
        <v>3</v>
      </c>
      <c r="E273" s="290"/>
    </row>
    <row r="274" spans="1:5" ht="13.5">
      <c r="A274" s="290"/>
      <c r="B274" s="290"/>
      <c r="C274" s="290" t="s">
        <v>30</v>
      </c>
      <c r="D274" s="297">
        <v>5</v>
      </c>
      <c r="E274" s="290"/>
    </row>
    <row r="275" spans="1:5" ht="13.5">
      <c r="A275" s="290"/>
      <c r="B275" s="290"/>
      <c r="C275" s="290" t="s">
        <v>31</v>
      </c>
      <c r="D275" s="297">
        <v>5</v>
      </c>
      <c r="E275" s="290"/>
    </row>
    <row r="276" spans="1:5" ht="5.0999999999999996" customHeight="1">
      <c r="A276" s="290"/>
      <c r="B276" s="290"/>
      <c r="C276" s="290"/>
      <c r="D276" s="297"/>
      <c r="E276" s="290"/>
    </row>
    <row r="277" spans="1:5" ht="13.5">
      <c r="A277" s="290"/>
      <c r="B277" s="292" t="s">
        <v>133</v>
      </c>
      <c r="C277" s="292"/>
      <c r="D277" s="295">
        <v>4</v>
      </c>
      <c r="E277" s="344"/>
    </row>
    <row r="278" spans="1:5" ht="5.0999999999999996" customHeight="1">
      <c r="A278" s="290"/>
      <c r="B278" s="290"/>
      <c r="C278" s="290"/>
      <c r="D278" s="297"/>
      <c r="E278" s="290"/>
    </row>
    <row r="279" spans="1:5" ht="13.5">
      <c r="A279" s="290"/>
      <c r="B279" s="290"/>
      <c r="C279" s="290" t="s">
        <v>24</v>
      </c>
      <c r="D279" s="297">
        <v>1</v>
      </c>
      <c r="E279" s="290"/>
    </row>
    <row r="280" spans="1:5" ht="13.5">
      <c r="A280" s="290"/>
      <c r="B280" s="290"/>
      <c r="C280" s="290" t="s">
        <v>28</v>
      </c>
      <c r="D280" s="297">
        <v>1</v>
      </c>
      <c r="E280" s="290"/>
    </row>
    <row r="281" spans="1:5" ht="13.5">
      <c r="A281" s="290"/>
      <c r="B281" s="290"/>
      <c r="C281" s="290" t="s">
        <v>30</v>
      </c>
      <c r="D281" s="297">
        <v>1</v>
      </c>
      <c r="E281" s="290"/>
    </row>
    <row r="282" spans="1:5" ht="13.5">
      <c r="A282" s="290"/>
      <c r="B282" s="290"/>
      <c r="C282" s="290" t="s">
        <v>31</v>
      </c>
      <c r="D282" s="297">
        <v>1</v>
      </c>
      <c r="E282" s="290"/>
    </row>
    <row r="283" spans="1:5" ht="5.0999999999999996" customHeight="1">
      <c r="A283" s="290"/>
      <c r="B283" s="290"/>
      <c r="C283" s="290"/>
      <c r="D283" s="297"/>
      <c r="E283" s="290"/>
    </row>
    <row r="284" spans="1:5" ht="13.5">
      <c r="A284" s="290"/>
      <c r="B284" s="292" t="s">
        <v>134</v>
      </c>
      <c r="C284" s="292"/>
      <c r="D284" s="295">
        <v>5</v>
      </c>
      <c r="E284" s="344"/>
    </row>
    <row r="285" spans="1:5" ht="5.0999999999999996" customHeight="1">
      <c r="A285" s="290"/>
      <c r="B285" s="290"/>
      <c r="C285" s="290"/>
      <c r="D285" s="297"/>
      <c r="E285" s="290"/>
    </row>
    <row r="286" spans="1:5" ht="13.5">
      <c r="A286" s="290"/>
      <c r="B286" s="290"/>
      <c r="C286" s="290" t="s">
        <v>22</v>
      </c>
      <c r="D286" s="297">
        <v>1</v>
      </c>
      <c r="E286" s="290"/>
    </row>
    <row r="287" spans="1:5" ht="13.5">
      <c r="A287" s="290"/>
      <c r="B287" s="290"/>
      <c r="C287" s="290" t="s">
        <v>24</v>
      </c>
      <c r="D287" s="297">
        <v>1</v>
      </c>
      <c r="E287" s="290"/>
    </row>
    <row r="288" spans="1:5" ht="13.5">
      <c r="A288" s="290"/>
      <c r="B288" s="290"/>
      <c r="C288" s="290" t="s">
        <v>26</v>
      </c>
      <c r="D288" s="297">
        <v>1</v>
      </c>
      <c r="E288" s="290"/>
    </row>
    <row r="289" spans="1:5" ht="13.5">
      <c r="A289" s="290"/>
      <c r="B289" s="290"/>
      <c r="C289" s="290" t="s">
        <v>30</v>
      </c>
      <c r="D289" s="297">
        <v>1</v>
      </c>
      <c r="E289" s="290"/>
    </row>
    <row r="290" spans="1:5" ht="13.5">
      <c r="A290" s="290"/>
      <c r="B290" s="290"/>
      <c r="C290" s="290" t="s">
        <v>32</v>
      </c>
      <c r="D290" s="297">
        <v>1</v>
      </c>
      <c r="E290" s="290"/>
    </row>
    <row r="291" spans="1:5" ht="5.0999999999999996" customHeight="1">
      <c r="A291" s="290"/>
      <c r="B291" s="290"/>
      <c r="C291" s="290"/>
      <c r="D291" s="297"/>
      <c r="E291" s="290"/>
    </row>
    <row r="292" spans="1:5" ht="13.5">
      <c r="A292" s="290"/>
      <c r="B292" s="292" t="s">
        <v>135</v>
      </c>
      <c r="C292" s="292"/>
      <c r="D292" s="295">
        <v>1</v>
      </c>
      <c r="E292" s="344"/>
    </row>
    <row r="293" spans="1:5" ht="5.0999999999999996" customHeight="1">
      <c r="A293" s="290"/>
      <c r="B293" s="290"/>
      <c r="C293" s="290"/>
      <c r="D293" s="297"/>
      <c r="E293" s="290"/>
    </row>
    <row r="294" spans="1:5" ht="13.5">
      <c r="A294" s="290"/>
      <c r="B294" s="290"/>
      <c r="C294" s="290" t="s">
        <v>25</v>
      </c>
      <c r="D294" s="297">
        <v>1</v>
      </c>
      <c r="E294" s="290"/>
    </row>
    <row r="295" spans="1:5" ht="5.0999999999999996" customHeight="1">
      <c r="A295" s="290"/>
      <c r="B295" s="290"/>
      <c r="C295" s="290"/>
      <c r="D295" s="297"/>
      <c r="E295" s="290"/>
    </row>
    <row r="296" spans="1:5" ht="13.5">
      <c r="A296" s="292" t="s">
        <v>81</v>
      </c>
      <c r="B296" s="292"/>
      <c r="C296" s="295"/>
      <c r="D296" s="344">
        <v>784</v>
      </c>
      <c r="E296" s="290"/>
    </row>
    <row r="297" spans="1:5" ht="5.0999999999999996" customHeight="1">
      <c r="A297" s="290"/>
      <c r="B297" s="290"/>
      <c r="C297" s="290"/>
      <c r="D297" s="297"/>
      <c r="E297" s="290"/>
    </row>
    <row r="298" spans="1:5" ht="13.5">
      <c r="A298" s="290"/>
      <c r="B298" s="290"/>
      <c r="C298" s="290" t="s">
        <v>21</v>
      </c>
      <c r="D298" s="297">
        <v>48</v>
      </c>
      <c r="E298" s="290"/>
    </row>
    <row r="299" spans="1:5" ht="13.5">
      <c r="A299" s="290"/>
      <c r="B299" s="290"/>
      <c r="C299" s="290" t="s">
        <v>22</v>
      </c>
      <c r="D299" s="297">
        <v>43</v>
      </c>
      <c r="E299" s="290"/>
    </row>
    <row r="300" spans="1:5" ht="13.5">
      <c r="A300" s="290"/>
      <c r="B300" s="290"/>
      <c r="C300" s="290" t="s">
        <v>23</v>
      </c>
      <c r="D300" s="297">
        <v>56</v>
      </c>
      <c r="E300" s="290"/>
    </row>
    <row r="301" spans="1:5" ht="13.5">
      <c r="A301" s="290"/>
      <c r="B301" s="290"/>
      <c r="C301" s="290" t="s">
        <v>24</v>
      </c>
      <c r="D301" s="297">
        <v>61</v>
      </c>
      <c r="E301" s="290"/>
    </row>
    <row r="302" spans="1:5" ht="13.5">
      <c r="A302" s="290"/>
      <c r="B302" s="290"/>
      <c r="C302" s="290" t="s">
        <v>25</v>
      </c>
      <c r="D302" s="297">
        <v>53</v>
      </c>
      <c r="E302" s="290"/>
    </row>
    <row r="303" spans="1:5" ht="13.5">
      <c r="A303" s="290"/>
      <c r="B303" s="290"/>
      <c r="C303" s="290" t="s">
        <v>26</v>
      </c>
      <c r="D303" s="297">
        <v>65</v>
      </c>
      <c r="E303" s="290"/>
    </row>
    <row r="304" spans="1:5" ht="13.5">
      <c r="A304" s="290"/>
      <c r="B304" s="290"/>
      <c r="C304" s="290" t="s">
        <v>27</v>
      </c>
      <c r="D304" s="297">
        <v>40</v>
      </c>
      <c r="E304" s="290"/>
    </row>
    <row r="305" spans="1:5" ht="13.5">
      <c r="A305" s="290"/>
      <c r="B305" s="290"/>
      <c r="C305" s="290" t="s">
        <v>28</v>
      </c>
      <c r="D305" s="297">
        <v>103</v>
      </c>
      <c r="E305" s="290"/>
    </row>
    <row r="306" spans="1:5" ht="13.5">
      <c r="A306" s="290"/>
      <c r="B306" s="290"/>
      <c r="C306" s="290" t="s">
        <v>29</v>
      </c>
      <c r="D306" s="297">
        <v>76</v>
      </c>
      <c r="E306" s="290"/>
    </row>
    <row r="307" spans="1:5" ht="13.5">
      <c r="A307" s="290"/>
      <c r="B307" s="290"/>
      <c r="C307" s="290" t="s">
        <v>30</v>
      </c>
      <c r="D307" s="297">
        <v>87</v>
      </c>
      <c r="E307" s="290"/>
    </row>
    <row r="308" spans="1:5" ht="13.5">
      <c r="A308" s="290"/>
      <c r="B308" s="290"/>
      <c r="C308" s="290" t="s">
        <v>31</v>
      </c>
      <c r="D308" s="297">
        <v>91</v>
      </c>
      <c r="E308" s="290"/>
    </row>
    <row r="309" spans="1:5" ht="13.5">
      <c r="A309" s="290"/>
      <c r="B309" s="290"/>
      <c r="C309" s="290" t="s">
        <v>32</v>
      </c>
      <c r="D309" s="297">
        <v>61</v>
      </c>
      <c r="E309" s="290"/>
    </row>
    <row r="310" spans="1:5" ht="5.0999999999999996" customHeight="1">
      <c r="A310" s="290"/>
      <c r="B310" s="290"/>
      <c r="C310" s="290"/>
      <c r="D310" s="297"/>
      <c r="E310" s="290"/>
    </row>
    <row r="311" spans="1:5" ht="13.5">
      <c r="A311" s="290"/>
      <c r="B311" s="292" t="s">
        <v>136</v>
      </c>
      <c r="C311" s="292"/>
      <c r="D311" s="295">
        <v>731</v>
      </c>
      <c r="E311" s="344"/>
    </row>
    <row r="312" spans="1:5" ht="5.0999999999999996" customHeight="1">
      <c r="A312" s="290"/>
      <c r="B312" s="290"/>
      <c r="C312" s="290"/>
      <c r="D312" s="297"/>
      <c r="E312" s="290"/>
    </row>
    <row r="313" spans="1:5" ht="13.5">
      <c r="A313" s="290"/>
      <c r="B313" s="290"/>
      <c r="C313" s="290" t="s">
        <v>21</v>
      </c>
      <c r="D313" s="297">
        <v>44</v>
      </c>
      <c r="E313" s="290"/>
    </row>
    <row r="314" spans="1:5" ht="13.5">
      <c r="A314" s="290"/>
      <c r="B314" s="290"/>
      <c r="C314" s="290" t="s">
        <v>22</v>
      </c>
      <c r="D314" s="297">
        <v>41</v>
      </c>
      <c r="E314" s="290"/>
    </row>
    <row r="315" spans="1:5" ht="13.5">
      <c r="A315" s="290"/>
      <c r="B315" s="290"/>
      <c r="C315" s="290" t="s">
        <v>23</v>
      </c>
      <c r="D315" s="297">
        <v>54</v>
      </c>
      <c r="E315" s="290"/>
    </row>
    <row r="316" spans="1:5" ht="13.5">
      <c r="A316" s="290"/>
      <c r="B316" s="290"/>
      <c r="C316" s="290" t="s">
        <v>24</v>
      </c>
      <c r="D316" s="297">
        <v>55</v>
      </c>
      <c r="E316" s="290"/>
    </row>
    <row r="317" spans="1:5" ht="13.5">
      <c r="A317" s="290"/>
      <c r="B317" s="290"/>
      <c r="C317" s="290" t="s">
        <v>25</v>
      </c>
      <c r="D317" s="297">
        <v>47</v>
      </c>
      <c r="E317" s="290"/>
    </row>
    <row r="318" spans="1:5" ht="13.5">
      <c r="A318" s="290"/>
      <c r="B318" s="290"/>
      <c r="C318" s="290" t="s">
        <v>26</v>
      </c>
      <c r="D318" s="297">
        <v>60</v>
      </c>
      <c r="E318" s="290"/>
    </row>
    <row r="319" spans="1:5" ht="13.5">
      <c r="A319" s="290"/>
      <c r="B319" s="290"/>
      <c r="C319" s="290" t="s">
        <v>27</v>
      </c>
      <c r="D319" s="297">
        <v>39</v>
      </c>
      <c r="E319" s="290"/>
    </row>
    <row r="320" spans="1:5" ht="13.5">
      <c r="A320" s="290"/>
      <c r="B320" s="290"/>
      <c r="C320" s="290" t="s">
        <v>28</v>
      </c>
      <c r="D320" s="297">
        <v>96</v>
      </c>
      <c r="E320" s="290"/>
    </row>
    <row r="321" spans="1:5" ht="13.5">
      <c r="A321" s="290"/>
      <c r="B321" s="290"/>
      <c r="C321" s="290" t="s">
        <v>29</v>
      </c>
      <c r="D321" s="297">
        <v>73</v>
      </c>
      <c r="E321" s="290"/>
    </row>
    <row r="322" spans="1:5" ht="13.5">
      <c r="A322" s="290"/>
      <c r="B322" s="290"/>
      <c r="C322" s="290" t="s">
        <v>30</v>
      </c>
      <c r="D322" s="297">
        <v>78</v>
      </c>
      <c r="E322" s="290"/>
    </row>
    <row r="323" spans="1:5" ht="13.5">
      <c r="A323" s="290"/>
      <c r="B323" s="290"/>
      <c r="C323" s="290" t="s">
        <v>31</v>
      </c>
      <c r="D323" s="297">
        <v>86</v>
      </c>
      <c r="E323" s="290"/>
    </row>
    <row r="324" spans="1:5" ht="13.5">
      <c r="A324" s="290"/>
      <c r="B324" s="290"/>
      <c r="C324" s="290" t="s">
        <v>32</v>
      </c>
      <c r="D324" s="297">
        <v>58</v>
      </c>
      <c r="E324" s="290"/>
    </row>
    <row r="325" spans="1:5" ht="5.0999999999999996" customHeight="1">
      <c r="A325" s="290"/>
      <c r="B325" s="290"/>
      <c r="C325" s="290"/>
      <c r="D325" s="297"/>
      <c r="E325" s="290"/>
    </row>
    <row r="326" spans="1:5" ht="13.5">
      <c r="A326" s="290"/>
      <c r="B326" s="292" t="s">
        <v>137</v>
      </c>
      <c r="C326" s="292"/>
      <c r="D326" s="295">
        <v>17</v>
      </c>
      <c r="E326" s="344"/>
    </row>
    <row r="327" spans="1:5" ht="5.0999999999999996" customHeight="1">
      <c r="A327" s="290"/>
      <c r="B327" s="290"/>
      <c r="C327" s="290"/>
      <c r="D327" s="297"/>
      <c r="E327" s="290"/>
    </row>
    <row r="328" spans="1:5" ht="13.5">
      <c r="A328" s="290"/>
      <c r="B328" s="290"/>
      <c r="C328" s="290" t="s">
        <v>22</v>
      </c>
      <c r="D328" s="297">
        <v>2</v>
      </c>
      <c r="E328" s="290"/>
    </row>
    <row r="329" spans="1:5" ht="13.5">
      <c r="A329" s="290"/>
      <c r="B329" s="290"/>
      <c r="C329" s="290" t="s">
        <v>23</v>
      </c>
      <c r="D329" s="297">
        <v>1</v>
      </c>
      <c r="E329" s="290"/>
    </row>
    <row r="330" spans="1:5" ht="13.5">
      <c r="A330" s="290"/>
      <c r="B330" s="290"/>
      <c r="C330" s="290" t="s">
        <v>24</v>
      </c>
      <c r="D330" s="297">
        <v>1</v>
      </c>
      <c r="E330" s="290"/>
    </row>
    <row r="331" spans="1:5" ht="13.5">
      <c r="A331" s="290"/>
      <c r="B331" s="290"/>
      <c r="C331" s="290" t="s">
        <v>25</v>
      </c>
      <c r="D331" s="297">
        <v>4</v>
      </c>
      <c r="E331" s="290"/>
    </row>
    <row r="332" spans="1:5" ht="13.5">
      <c r="A332" s="290"/>
      <c r="B332" s="290"/>
      <c r="C332" s="290" t="s">
        <v>26</v>
      </c>
      <c r="D332" s="297">
        <v>1</v>
      </c>
      <c r="E332" s="290"/>
    </row>
    <row r="333" spans="1:5" ht="13.5">
      <c r="A333" s="290"/>
      <c r="B333" s="290"/>
      <c r="C333" s="290" t="s">
        <v>28</v>
      </c>
      <c r="D333" s="297">
        <v>2</v>
      </c>
      <c r="E333" s="290"/>
    </row>
    <row r="334" spans="1:5" ht="13.5">
      <c r="A334" s="290"/>
      <c r="B334" s="290"/>
      <c r="C334" s="290" t="s">
        <v>30</v>
      </c>
      <c r="D334" s="297">
        <v>4</v>
      </c>
      <c r="E334" s="290"/>
    </row>
    <row r="335" spans="1:5" ht="13.5">
      <c r="A335" s="290"/>
      <c r="B335" s="290"/>
      <c r="C335" s="290" t="s">
        <v>31</v>
      </c>
      <c r="D335" s="297">
        <v>1</v>
      </c>
      <c r="E335" s="290"/>
    </row>
    <row r="336" spans="1:5" ht="13.5">
      <c r="A336" s="290"/>
      <c r="B336" s="290"/>
      <c r="C336" s="290" t="s">
        <v>32</v>
      </c>
      <c r="D336" s="297">
        <v>1</v>
      </c>
      <c r="E336" s="290"/>
    </row>
    <row r="337" spans="1:5" ht="5.0999999999999996" customHeight="1">
      <c r="A337" s="290"/>
      <c r="B337" s="290"/>
      <c r="C337" s="290"/>
      <c r="D337" s="297"/>
      <c r="E337" s="290"/>
    </row>
    <row r="338" spans="1:5" ht="13.5">
      <c r="A338" s="290"/>
      <c r="B338" s="292" t="s">
        <v>138</v>
      </c>
      <c r="C338" s="292"/>
      <c r="D338" s="295">
        <v>6</v>
      </c>
      <c r="E338" s="344"/>
    </row>
    <row r="339" spans="1:5" ht="5.0999999999999996" customHeight="1">
      <c r="A339" s="290"/>
      <c r="B339" s="290"/>
      <c r="C339" s="290"/>
      <c r="D339" s="297"/>
      <c r="E339" s="290"/>
    </row>
    <row r="340" spans="1:5" ht="13.5">
      <c r="A340" s="290"/>
      <c r="B340" s="290"/>
      <c r="C340" s="290" t="s">
        <v>21</v>
      </c>
      <c r="D340" s="297">
        <v>1</v>
      </c>
      <c r="E340" s="290"/>
    </row>
    <row r="341" spans="1:5" ht="13.5">
      <c r="A341" s="290"/>
      <c r="B341" s="290"/>
      <c r="C341" s="290" t="s">
        <v>23</v>
      </c>
      <c r="D341" s="297">
        <v>1</v>
      </c>
      <c r="E341" s="290"/>
    </row>
    <row r="342" spans="1:5" ht="13.5">
      <c r="A342" s="290"/>
      <c r="B342" s="290"/>
      <c r="C342" s="290" t="s">
        <v>25</v>
      </c>
      <c r="D342" s="297">
        <v>1</v>
      </c>
      <c r="E342" s="290"/>
    </row>
    <row r="343" spans="1:5" ht="13.5">
      <c r="A343" s="290"/>
      <c r="B343" s="290"/>
      <c r="C343" s="290" t="s">
        <v>28</v>
      </c>
      <c r="D343" s="297">
        <v>3</v>
      </c>
      <c r="E343" s="290"/>
    </row>
    <row r="344" spans="1:5" ht="5.0999999999999996" customHeight="1">
      <c r="A344" s="290"/>
      <c r="B344" s="290"/>
      <c r="C344" s="290"/>
      <c r="D344" s="297"/>
      <c r="E344" s="290"/>
    </row>
    <row r="345" spans="1:5" ht="13.5">
      <c r="A345" s="290"/>
      <c r="B345" s="292" t="s">
        <v>139</v>
      </c>
      <c r="C345" s="292"/>
      <c r="D345" s="295">
        <v>18</v>
      </c>
      <c r="E345" s="344"/>
    </row>
    <row r="346" spans="1:5" ht="5.0999999999999996" customHeight="1">
      <c r="A346" s="290"/>
      <c r="B346" s="290"/>
      <c r="C346" s="290"/>
      <c r="D346" s="297"/>
      <c r="E346" s="290"/>
    </row>
    <row r="347" spans="1:5" ht="13.5">
      <c r="A347" s="290"/>
      <c r="B347" s="290"/>
      <c r="C347" s="290" t="s">
        <v>21</v>
      </c>
      <c r="D347" s="297">
        <v>3</v>
      </c>
      <c r="E347" s="290"/>
    </row>
    <row r="348" spans="1:5" ht="13.5">
      <c r="A348" s="290"/>
      <c r="B348" s="290"/>
      <c r="C348" s="290" t="s">
        <v>24</v>
      </c>
      <c r="D348" s="297">
        <v>3</v>
      </c>
      <c r="E348" s="290"/>
    </row>
    <row r="349" spans="1:5" ht="13.5">
      <c r="A349" s="290"/>
      <c r="B349" s="290"/>
      <c r="C349" s="290" t="s">
        <v>26</v>
      </c>
      <c r="D349" s="297">
        <v>3</v>
      </c>
      <c r="E349" s="290"/>
    </row>
    <row r="350" spans="1:5" ht="13.5">
      <c r="A350" s="290"/>
      <c r="B350" s="290"/>
      <c r="C350" s="290" t="s">
        <v>27</v>
      </c>
      <c r="D350" s="297">
        <v>1</v>
      </c>
      <c r="E350" s="290"/>
    </row>
    <row r="351" spans="1:5" ht="13.5">
      <c r="A351" s="290"/>
      <c r="B351" s="290"/>
      <c r="C351" s="290" t="s">
        <v>28</v>
      </c>
      <c r="D351" s="297">
        <v>1</v>
      </c>
      <c r="E351" s="290"/>
    </row>
    <row r="352" spans="1:5" ht="13.5">
      <c r="A352" s="290"/>
      <c r="B352" s="290"/>
      <c r="C352" s="290" t="s">
        <v>29</v>
      </c>
      <c r="D352" s="297">
        <v>2</v>
      </c>
      <c r="E352" s="290"/>
    </row>
    <row r="353" spans="1:5" ht="13.5">
      <c r="A353" s="290"/>
      <c r="B353" s="290"/>
      <c r="C353" s="290" t="s">
        <v>30</v>
      </c>
      <c r="D353" s="297">
        <v>1</v>
      </c>
      <c r="E353" s="290"/>
    </row>
    <row r="354" spans="1:5" ht="13.5">
      <c r="A354" s="290"/>
      <c r="B354" s="290"/>
      <c r="C354" s="290" t="s">
        <v>31</v>
      </c>
      <c r="D354" s="297">
        <v>2</v>
      </c>
      <c r="E354" s="290"/>
    </row>
    <row r="355" spans="1:5" ht="13.5">
      <c r="A355" s="290"/>
      <c r="B355" s="290"/>
      <c r="C355" s="290" t="s">
        <v>32</v>
      </c>
      <c r="D355" s="297">
        <v>2</v>
      </c>
      <c r="E355" s="290"/>
    </row>
    <row r="356" spans="1:5" ht="5.0999999999999996" customHeight="1">
      <c r="A356" s="290"/>
      <c r="B356" s="290"/>
      <c r="C356" s="290"/>
      <c r="D356" s="297"/>
      <c r="E356" s="290"/>
    </row>
    <row r="357" spans="1:5" ht="13.5">
      <c r="A357" s="290"/>
      <c r="B357" s="292" t="s">
        <v>140</v>
      </c>
      <c r="C357" s="292"/>
      <c r="D357" s="295">
        <v>8</v>
      </c>
      <c r="E357" s="344"/>
    </row>
    <row r="358" spans="1:5" ht="5.0999999999999996" customHeight="1">
      <c r="A358" s="290"/>
      <c r="B358" s="290"/>
      <c r="C358" s="290"/>
      <c r="D358" s="297"/>
      <c r="E358" s="290"/>
    </row>
    <row r="359" spans="1:5" ht="13.5">
      <c r="A359" s="290"/>
      <c r="B359" s="290"/>
      <c r="C359" s="290" t="s">
        <v>24</v>
      </c>
      <c r="D359" s="297">
        <v>2</v>
      </c>
      <c r="E359" s="290"/>
    </row>
    <row r="360" spans="1:5" ht="13.5">
      <c r="A360" s="290"/>
      <c r="B360" s="290"/>
      <c r="C360" s="290" t="s">
        <v>25</v>
      </c>
      <c r="D360" s="297">
        <v>1</v>
      </c>
      <c r="E360" s="290"/>
    </row>
    <row r="361" spans="1:5" ht="13.5">
      <c r="A361" s="290"/>
      <c r="B361" s="290"/>
      <c r="C361" s="290" t="s">
        <v>26</v>
      </c>
      <c r="D361" s="297">
        <v>1</v>
      </c>
      <c r="E361" s="290"/>
    </row>
    <row r="362" spans="1:5" ht="13.5">
      <c r="A362" s="290"/>
      <c r="B362" s="290"/>
      <c r="C362" s="290" t="s">
        <v>28</v>
      </c>
      <c r="D362" s="297">
        <v>1</v>
      </c>
      <c r="E362" s="290"/>
    </row>
    <row r="363" spans="1:5" ht="13.5">
      <c r="A363" s="290"/>
      <c r="B363" s="290"/>
      <c r="C363" s="290" t="s">
        <v>30</v>
      </c>
      <c r="D363" s="297">
        <v>2</v>
      </c>
      <c r="E363" s="290"/>
    </row>
    <row r="364" spans="1:5" ht="13.5">
      <c r="A364" s="290"/>
      <c r="B364" s="290"/>
      <c r="C364" s="290" t="s">
        <v>31</v>
      </c>
      <c r="D364" s="297">
        <v>1</v>
      </c>
      <c r="E364" s="290"/>
    </row>
    <row r="365" spans="1:5" ht="5.0999999999999996" customHeight="1">
      <c r="A365" s="290"/>
      <c r="B365" s="290"/>
      <c r="C365" s="290"/>
      <c r="D365" s="297"/>
      <c r="E365" s="290"/>
    </row>
    <row r="366" spans="1:5" ht="13.5">
      <c r="A366" s="290"/>
      <c r="B366" s="292" t="s">
        <v>614</v>
      </c>
      <c r="C366" s="292"/>
      <c r="D366" s="295">
        <v>4</v>
      </c>
      <c r="E366" s="344"/>
    </row>
    <row r="367" spans="1:5" ht="5.0999999999999996" customHeight="1">
      <c r="A367" s="290"/>
      <c r="B367" s="290"/>
      <c r="C367" s="290"/>
      <c r="D367" s="297"/>
      <c r="E367" s="290"/>
    </row>
    <row r="368" spans="1:5" ht="13.5">
      <c r="A368" s="290"/>
      <c r="B368" s="290"/>
      <c r="C368" s="290" t="s">
        <v>29</v>
      </c>
      <c r="D368" s="297">
        <v>1</v>
      </c>
      <c r="E368" s="290"/>
    </row>
    <row r="369" spans="1:5" ht="13.5">
      <c r="A369" s="290"/>
      <c r="B369" s="290"/>
      <c r="C369" s="290" t="s">
        <v>30</v>
      </c>
      <c r="D369" s="297">
        <v>2</v>
      </c>
      <c r="E369" s="290"/>
    </row>
    <row r="370" spans="1:5" ht="13.5">
      <c r="A370" s="290"/>
      <c r="B370" s="290"/>
      <c r="C370" s="290" t="s">
        <v>31</v>
      </c>
      <c r="D370" s="297">
        <v>1</v>
      </c>
      <c r="E370" s="290"/>
    </row>
    <row r="371" spans="1:5" ht="5.0999999999999996" customHeight="1">
      <c r="A371" s="290"/>
      <c r="B371" s="290"/>
      <c r="C371" s="290"/>
      <c r="D371" s="297"/>
      <c r="E371" s="290"/>
    </row>
    <row r="372" spans="1:5" ht="13.5">
      <c r="A372" s="292" t="s">
        <v>82</v>
      </c>
      <c r="B372" s="292"/>
      <c r="C372" s="295"/>
      <c r="D372" s="344">
        <v>20</v>
      </c>
      <c r="E372" s="344"/>
    </row>
    <row r="373" spans="1:5" ht="5.0999999999999996" customHeight="1">
      <c r="A373" s="290"/>
      <c r="B373" s="290"/>
      <c r="C373" s="290"/>
      <c r="D373" s="297"/>
      <c r="E373" s="290"/>
    </row>
    <row r="374" spans="1:5" ht="13.5">
      <c r="A374" s="290"/>
      <c r="B374" s="290"/>
      <c r="C374" s="290" t="s">
        <v>21</v>
      </c>
      <c r="D374" s="297">
        <v>1</v>
      </c>
      <c r="E374" s="290"/>
    </row>
    <row r="375" spans="1:5" ht="13.5">
      <c r="A375" s="290"/>
      <c r="B375" s="290"/>
      <c r="C375" s="290" t="s">
        <v>22</v>
      </c>
      <c r="D375" s="297">
        <v>1</v>
      </c>
      <c r="E375" s="290"/>
    </row>
    <row r="376" spans="1:5" ht="13.5">
      <c r="A376" s="290"/>
      <c r="B376" s="290"/>
      <c r="C376" s="290" t="s">
        <v>23</v>
      </c>
      <c r="D376" s="297">
        <v>2</v>
      </c>
      <c r="E376" s="290"/>
    </row>
    <row r="377" spans="1:5" ht="13.5">
      <c r="A377" s="290"/>
      <c r="B377" s="290"/>
      <c r="C377" s="290" t="s">
        <v>24</v>
      </c>
      <c r="D377" s="297">
        <v>2</v>
      </c>
      <c r="E377" s="290"/>
    </row>
    <row r="378" spans="1:5" ht="13.5">
      <c r="A378" s="290"/>
      <c r="B378" s="290"/>
      <c r="C378" s="290" t="s">
        <v>26</v>
      </c>
      <c r="D378" s="297">
        <v>2</v>
      </c>
      <c r="E378" s="290"/>
    </row>
    <row r="379" spans="1:5" ht="13.5">
      <c r="A379" s="290"/>
      <c r="B379" s="290"/>
      <c r="C379" s="290" t="s">
        <v>27</v>
      </c>
      <c r="D379" s="297">
        <v>1</v>
      </c>
      <c r="E379" s="290"/>
    </row>
    <row r="380" spans="1:5" ht="13.5">
      <c r="A380" s="290"/>
      <c r="B380" s="290"/>
      <c r="C380" s="290" t="s">
        <v>28</v>
      </c>
      <c r="D380" s="297">
        <v>2</v>
      </c>
      <c r="E380" s="290"/>
    </row>
    <row r="381" spans="1:5" ht="13.5">
      <c r="A381" s="290"/>
      <c r="B381" s="290"/>
      <c r="C381" s="290" t="s">
        <v>29</v>
      </c>
      <c r="D381" s="297">
        <v>1</v>
      </c>
      <c r="E381" s="290"/>
    </row>
    <row r="382" spans="1:5" ht="13.5">
      <c r="A382" s="290"/>
      <c r="B382" s="290"/>
      <c r="C382" s="290" t="s">
        <v>30</v>
      </c>
      <c r="D382" s="297">
        <v>2</v>
      </c>
      <c r="E382" s="290"/>
    </row>
    <row r="383" spans="1:5" ht="13.5">
      <c r="A383" s="290"/>
      <c r="B383" s="290"/>
      <c r="C383" s="290" t="s">
        <v>31</v>
      </c>
      <c r="D383" s="297">
        <v>3</v>
      </c>
      <c r="E383" s="290"/>
    </row>
    <row r="384" spans="1:5" ht="13.5">
      <c r="A384" s="290"/>
      <c r="B384" s="290"/>
      <c r="C384" s="290" t="s">
        <v>32</v>
      </c>
      <c r="D384" s="297">
        <v>3</v>
      </c>
      <c r="E384" s="290"/>
    </row>
    <row r="385" spans="1:5" ht="5.0999999999999996" customHeight="1">
      <c r="A385" s="290"/>
      <c r="B385" s="290"/>
      <c r="C385" s="290"/>
      <c r="D385" s="297"/>
      <c r="E385" s="290"/>
    </row>
    <row r="386" spans="1:5" ht="13.5">
      <c r="A386" s="290"/>
      <c r="B386" s="292" t="s">
        <v>141</v>
      </c>
      <c r="C386" s="292"/>
      <c r="D386" s="295">
        <v>18</v>
      </c>
      <c r="E386" s="344"/>
    </row>
    <row r="387" spans="1:5" ht="5.0999999999999996" customHeight="1">
      <c r="A387" s="290"/>
      <c r="B387" s="290"/>
      <c r="C387" s="290"/>
      <c r="D387" s="297"/>
      <c r="E387" s="290"/>
    </row>
    <row r="388" spans="1:5" ht="13.5">
      <c r="A388" s="290"/>
      <c r="B388" s="290"/>
      <c r="C388" s="290" t="s">
        <v>21</v>
      </c>
      <c r="D388" s="297">
        <v>1</v>
      </c>
      <c r="E388" s="290"/>
    </row>
    <row r="389" spans="1:5" ht="13.5">
      <c r="A389" s="290"/>
      <c r="B389" s="290"/>
      <c r="C389" s="290" t="s">
        <v>22</v>
      </c>
      <c r="D389" s="297">
        <v>1</v>
      </c>
      <c r="E389" s="290"/>
    </row>
    <row r="390" spans="1:5" ht="13.5">
      <c r="A390" s="290"/>
      <c r="B390" s="290"/>
      <c r="C390" s="290" t="s">
        <v>23</v>
      </c>
      <c r="D390" s="297">
        <v>2</v>
      </c>
      <c r="E390" s="290"/>
    </row>
    <row r="391" spans="1:5" ht="13.5">
      <c r="A391" s="290"/>
      <c r="B391" s="290"/>
      <c r="C391" s="290" t="s">
        <v>24</v>
      </c>
      <c r="D391" s="297">
        <v>1</v>
      </c>
      <c r="E391" s="290"/>
    </row>
    <row r="392" spans="1:5" ht="13.5">
      <c r="A392" s="290"/>
      <c r="B392" s="290"/>
      <c r="C392" s="290" t="s">
        <v>26</v>
      </c>
      <c r="D392" s="297">
        <v>2</v>
      </c>
      <c r="E392" s="290"/>
    </row>
    <row r="393" spans="1:5" ht="13.5">
      <c r="A393" s="290"/>
      <c r="B393" s="290"/>
      <c r="C393" s="290" t="s">
        <v>27</v>
      </c>
      <c r="D393" s="297">
        <v>1</v>
      </c>
      <c r="E393" s="290"/>
    </row>
    <row r="394" spans="1:5" ht="13.5">
      <c r="A394" s="290"/>
      <c r="B394" s="290"/>
      <c r="C394" s="290" t="s">
        <v>28</v>
      </c>
      <c r="D394" s="297">
        <v>2</v>
      </c>
      <c r="E394" s="290"/>
    </row>
    <row r="395" spans="1:5" ht="13.5">
      <c r="A395" s="290"/>
      <c r="B395" s="290"/>
      <c r="C395" s="290" t="s">
        <v>29</v>
      </c>
      <c r="D395" s="297">
        <v>1</v>
      </c>
      <c r="E395" s="290"/>
    </row>
    <row r="396" spans="1:5" ht="13.5">
      <c r="A396" s="290"/>
      <c r="B396" s="290"/>
      <c r="C396" s="290" t="s">
        <v>30</v>
      </c>
      <c r="D396" s="297">
        <v>1</v>
      </c>
      <c r="E396" s="290"/>
    </row>
    <row r="397" spans="1:5" ht="13.5">
      <c r="A397" s="290"/>
      <c r="B397" s="290"/>
      <c r="C397" s="290" t="s">
        <v>31</v>
      </c>
      <c r="D397" s="297">
        <v>3</v>
      </c>
      <c r="E397" s="290"/>
    </row>
    <row r="398" spans="1:5" ht="13.5">
      <c r="A398" s="290"/>
      <c r="B398" s="290"/>
      <c r="C398" s="290" t="s">
        <v>32</v>
      </c>
      <c r="D398" s="297">
        <v>3</v>
      </c>
      <c r="E398" s="290"/>
    </row>
    <row r="399" spans="1:5" ht="5.0999999999999996" customHeight="1">
      <c r="A399" s="290"/>
      <c r="B399" s="290"/>
      <c r="C399" s="290"/>
      <c r="D399" s="297"/>
      <c r="E399" s="290"/>
    </row>
    <row r="400" spans="1:5" ht="13.5">
      <c r="A400" s="290"/>
      <c r="B400" s="292" t="s">
        <v>142</v>
      </c>
      <c r="C400" s="292"/>
      <c r="D400" s="295">
        <v>1</v>
      </c>
      <c r="E400" s="344"/>
    </row>
    <row r="401" spans="1:5" ht="5.0999999999999996" customHeight="1">
      <c r="A401" s="290"/>
      <c r="B401" s="290"/>
      <c r="C401" s="290"/>
      <c r="D401" s="297"/>
      <c r="E401" s="290"/>
    </row>
    <row r="402" spans="1:5" ht="13.5">
      <c r="A402" s="290"/>
      <c r="B402" s="290"/>
      <c r="C402" s="290" t="s">
        <v>24</v>
      </c>
      <c r="D402" s="297">
        <v>1</v>
      </c>
      <c r="E402" s="290"/>
    </row>
    <row r="403" spans="1:5" ht="5.0999999999999996" customHeight="1">
      <c r="A403" s="290"/>
      <c r="B403" s="290"/>
      <c r="C403" s="290"/>
      <c r="D403" s="297"/>
      <c r="E403" s="290"/>
    </row>
    <row r="404" spans="1:5" ht="13.5">
      <c r="A404" s="290"/>
      <c r="B404" s="292" t="s">
        <v>143</v>
      </c>
      <c r="C404" s="292"/>
      <c r="D404" s="295">
        <v>1</v>
      </c>
      <c r="E404" s="344"/>
    </row>
    <row r="405" spans="1:5" ht="5.0999999999999996" customHeight="1">
      <c r="A405" s="290"/>
      <c r="B405" s="290"/>
      <c r="C405" s="290"/>
      <c r="D405" s="297"/>
      <c r="E405" s="290"/>
    </row>
    <row r="406" spans="1:5" ht="13.5">
      <c r="A406" s="290"/>
      <c r="B406" s="290"/>
      <c r="C406" s="290" t="s">
        <v>30</v>
      </c>
      <c r="D406" s="297">
        <v>1</v>
      </c>
      <c r="E406" s="290"/>
    </row>
    <row r="407" spans="1:5" ht="5.0999999999999996" customHeight="1">
      <c r="A407" s="290"/>
      <c r="B407" s="290"/>
      <c r="C407" s="290"/>
      <c r="D407" s="297"/>
      <c r="E407" s="290"/>
    </row>
    <row r="408" spans="1:5" ht="13.5">
      <c r="A408" s="292" t="s">
        <v>83</v>
      </c>
      <c r="B408" s="292"/>
      <c r="C408" s="295"/>
      <c r="D408" s="344">
        <v>94</v>
      </c>
      <c r="E408" s="290"/>
    </row>
    <row r="409" spans="1:5" ht="5.0999999999999996" customHeight="1">
      <c r="A409" s="290"/>
      <c r="B409" s="290"/>
      <c r="C409" s="290"/>
      <c r="D409" s="297"/>
      <c r="E409" s="290"/>
    </row>
    <row r="410" spans="1:5" ht="13.5">
      <c r="A410" s="290"/>
      <c r="B410" s="290"/>
      <c r="C410" s="290" t="s">
        <v>21</v>
      </c>
      <c r="D410" s="297">
        <v>10</v>
      </c>
      <c r="E410" s="290"/>
    </row>
    <row r="411" spans="1:5" ht="13.5">
      <c r="A411" s="290"/>
      <c r="B411" s="290"/>
      <c r="C411" s="290" t="s">
        <v>22</v>
      </c>
      <c r="D411" s="297">
        <v>5</v>
      </c>
      <c r="E411" s="290"/>
    </row>
    <row r="412" spans="1:5" ht="13.5">
      <c r="A412" s="290"/>
      <c r="B412" s="290"/>
      <c r="C412" s="290" t="s">
        <v>23</v>
      </c>
      <c r="D412" s="297">
        <v>5</v>
      </c>
      <c r="E412" s="290"/>
    </row>
    <row r="413" spans="1:5" ht="13.5">
      <c r="A413" s="290"/>
      <c r="B413" s="290"/>
      <c r="C413" s="290" t="s">
        <v>24</v>
      </c>
      <c r="D413" s="297">
        <v>11</v>
      </c>
      <c r="E413" s="290"/>
    </row>
    <row r="414" spans="1:5" ht="13.5">
      <c r="A414" s="290"/>
      <c r="B414" s="290"/>
      <c r="C414" s="290" t="s">
        <v>25</v>
      </c>
      <c r="D414" s="297">
        <v>4</v>
      </c>
      <c r="E414" s="290"/>
    </row>
    <row r="415" spans="1:5" ht="13.5">
      <c r="A415" s="290"/>
      <c r="B415" s="290"/>
      <c r="C415" s="290" t="s">
        <v>26</v>
      </c>
      <c r="D415" s="297">
        <v>15</v>
      </c>
      <c r="E415" s="290"/>
    </row>
    <row r="416" spans="1:5" ht="13.5">
      <c r="A416" s="290"/>
      <c r="B416" s="290"/>
      <c r="C416" s="290" t="s">
        <v>27</v>
      </c>
      <c r="D416" s="297">
        <v>3</v>
      </c>
      <c r="E416" s="290"/>
    </row>
    <row r="417" spans="1:5" ht="13.5">
      <c r="A417" s="290"/>
      <c r="B417" s="290"/>
      <c r="C417" s="290" t="s">
        <v>28</v>
      </c>
      <c r="D417" s="297">
        <v>5</v>
      </c>
      <c r="E417" s="290"/>
    </row>
    <row r="418" spans="1:5" ht="13.5">
      <c r="A418" s="290"/>
      <c r="B418" s="290"/>
      <c r="C418" s="290" t="s">
        <v>29</v>
      </c>
      <c r="D418" s="297">
        <v>7</v>
      </c>
      <c r="E418" s="290"/>
    </row>
    <row r="419" spans="1:5" ht="13.5">
      <c r="A419" s="290"/>
      <c r="B419" s="290"/>
      <c r="C419" s="290" t="s">
        <v>30</v>
      </c>
      <c r="D419" s="297">
        <v>11</v>
      </c>
      <c r="E419" s="290"/>
    </row>
    <row r="420" spans="1:5" ht="13.5">
      <c r="A420" s="290"/>
      <c r="B420" s="290"/>
      <c r="C420" s="290" t="s">
        <v>31</v>
      </c>
      <c r="D420" s="297">
        <v>4</v>
      </c>
      <c r="E420" s="290"/>
    </row>
    <row r="421" spans="1:5" ht="13.5">
      <c r="A421" s="290"/>
      <c r="B421" s="290"/>
      <c r="C421" s="290" t="s">
        <v>32</v>
      </c>
      <c r="D421" s="297">
        <v>14</v>
      </c>
      <c r="E421" s="290"/>
    </row>
    <row r="422" spans="1:5" ht="5.0999999999999996" customHeight="1">
      <c r="A422" s="290"/>
      <c r="B422" s="290"/>
      <c r="C422" s="290"/>
      <c r="D422" s="297"/>
      <c r="E422" s="290"/>
    </row>
    <row r="423" spans="1:5" ht="13.5">
      <c r="A423" s="290"/>
      <c r="B423" s="292" t="s">
        <v>534</v>
      </c>
      <c r="C423" s="292"/>
      <c r="D423" s="295">
        <v>77</v>
      </c>
      <c r="E423" s="344"/>
    </row>
    <row r="424" spans="1:5" ht="5.0999999999999996" customHeight="1">
      <c r="A424" s="290"/>
      <c r="B424" s="290"/>
      <c r="C424" s="290"/>
      <c r="D424" s="297"/>
      <c r="E424" s="290"/>
    </row>
    <row r="425" spans="1:5" ht="13.5">
      <c r="A425" s="290"/>
      <c r="B425" s="290"/>
      <c r="C425" s="290" t="s">
        <v>21</v>
      </c>
      <c r="D425" s="297">
        <v>7</v>
      </c>
      <c r="E425" s="290"/>
    </row>
    <row r="426" spans="1:5" ht="13.5">
      <c r="A426" s="290"/>
      <c r="B426" s="290"/>
      <c r="C426" s="290" t="s">
        <v>22</v>
      </c>
      <c r="D426" s="297">
        <v>4</v>
      </c>
      <c r="E426" s="290"/>
    </row>
    <row r="427" spans="1:5" ht="13.5">
      <c r="A427" s="290"/>
      <c r="B427" s="290"/>
      <c r="C427" s="290" t="s">
        <v>23</v>
      </c>
      <c r="D427" s="297">
        <v>5</v>
      </c>
      <c r="E427" s="290"/>
    </row>
    <row r="428" spans="1:5" ht="13.5">
      <c r="A428" s="290"/>
      <c r="B428" s="290"/>
      <c r="C428" s="290" t="s">
        <v>24</v>
      </c>
      <c r="D428" s="297">
        <v>11</v>
      </c>
      <c r="E428" s="290"/>
    </row>
    <row r="429" spans="1:5" ht="13.5">
      <c r="A429" s="290"/>
      <c r="B429" s="290"/>
      <c r="C429" s="290" t="s">
        <v>25</v>
      </c>
      <c r="D429" s="297">
        <v>4</v>
      </c>
      <c r="E429" s="290"/>
    </row>
    <row r="430" spans="1:5" ht="13.5">
      <c r="A430" s="290"/>
      <c r="B430" s="290"/>
      <c r="C430" s="290" t="s">
        <v>26</v>
      </c>
      <c r="D430" s="297">
        <v>14</v>
      </c>
      <c r="E430" s="290"/>
    </row>
    <row r="431" spans="1:5" ht="13.5">
      <c r="A431" s="290"/>
      <c r="B431" s="290"/>
      <c r="C431" s="290" t="s">
        <v>27</v>
      </c>
      <c r="D431" s="297">
        <v>2</v>
      </c>
      <c r="E431" s="290"/>
    </row>
    <row r="432" spans="1:5" ht="13.5">
      <c r="A432" s="290"/>
      <c r="B432" s="290"/>
      <c r="C432" s="290" t="s">
        <v>28</v>
      </c>
      <c r="D432" s="297">
        <v>5</v>
      </c>
      <c r="E432" s="290"/>
    </row>
    <row r="433" spans="1:5" ht="13.5">
      <c r="A433" s="290"/>
      <c r="B433" s="290"/>
      <c r="C433" s="290" t="s">
        <v>29</v>
      </c>
      <c r="D433" s="297">
        <v>5</v>
      </c>
      <c r="E433" s="290"/>
    </row>
    <row r="434" spans="1:5" ht="13.5">
      <c r="A434" s="290"/>
      <c r="B434" s="290"/>
      <c r="C434" s="290" t="s">
        <v>30</v>
      </c>
      <c r="D434" s="297">
        <v>7</v>
      </c>
      <c r="E434" s="290"/>
    </row>
    <row r="435" spans="1:5" ht="13.5">
      <c r="A435" s="290"/>
      <c r="B435" s="290"/>
      <c r="C435" s="290" t="s">
        <v>31</v>
      </c>
      <c r="D435" s="297">
        <v>4</v>
      </c>
      <c r="E435" s="290"/>
    </row>
    <row r="436" spans="1:5" ht="13.5">
      <c r="A436" s="290"/>
      <c r="B436" s="290"/>
      <c r="C436" s="290" t="s">
        <v>32</v>
      </c>
      <c r="D436" s="297">
        <v>9</v>
      </c>
      <c r="E436" s="290"/>
    </row>
    <row r="437" spans="1:5" ht="5.0999999999999996" customHeight="1">
      <c r="A437" s="290"/>
      <c r="B437" s="290"/>
      <c r="C437" s="290"/>
      <c r="D437" s="297"/>
      <c r="E437" s="290"/>
    </row>
    <row r="438" spans="1:5" ht="13.5">
      <c r="A438" s="290"/>
      <c r="B438" s="292" t="s">
        <v>144</v>
      </c>
      <c r="C438" s="292"/>
      <c r="D438" s="295">
        <v>17</v>
      </c>
      <c r="E438" s="344"/>
    </row>
    <row r="439" spans="1:5" ht="5.0999999999999996" customHeight="1">
      <c r="A439" s="290"/>
      <c r="B439" s="290"/>
      <c r="C439" s="290"/>
      <c r="D439" s="297"/>
      <c r="E439" s="290"/>
    </row>
    <row r="440" spans="1:5" ht="13.5">
      <c r="A440" s="290"/>
      <c r="B440" s="290"/>
      <c r="C440" s="290" t="s">
        <v>21</v>
      </c>
      <c r="D440" s="297">
        <v>3</v>
      </c>
      <c r="E440" s="290"/>
    </row>
    <row r="441" spans="1:5" ht="13.5">
      <c r="A441" s="290"/>
      <c r="B441" s="290"/>
      <c r="C441" s="290" t="s">
        <v>22</v>
      </c>
      <c r="D441" s="297">
        <v>1</v>
      </c>
      <c r="E441" s="290"/>
    </row>
    <row r="442" spans="1:5" ht="13.5">
      <c r="A442" s="290"/>
      <c r="B442" s="290"/>
      <c r="C442" s="290" t="s">
        <v>26</v>
      </c>
      <c r="D442" s="297">
        <v>1</v>
      </c>
      <c r="E442" s="290"/>
    </row>
    <row r="443" spans="1:5" ht="13.5">
      <c r="A443" s="290"/>
      <c r="B443" s="290"/>
      <c r="C443" s="290" t="s">
        <v>27</v>
      </c>
      <c r="D443" s="297">
        <v>1</v>
      </c>
      <c r="E443" s="290"/>
    </row>
    <row r="444" spans="1:5" ht="13.5">
      <c r="A444" s="290"/>
      <c r="B444" s="290"/>
      <c r="C444" s="290" t="s">
        <v>29</v>
      </c>
      <c r="D444" s="297">
        <v>2</v>
      </c>
      <c r="E444" s="290"/>
    </row>
    <row r="445" spans="1:5" ht="13.5">
      <c r="A445" s="290"/>
      <c r="B445" s="290"/>
      <c r="C445" s="290" t="s">
        <v>30</v>
      </c>
      <c r="D445" s="297">
        <v>4</v>
      </c>
      <c r="E445" s="290"/>
    </row>
    <row r="446" spans="1:5" ht="13.5">
      <c r="A446" s="290"/>
      <c r="B446" s="290"/>
      <c r="C446" s="290" t="s">
        <v>32</v>
      </c>
      <c r="D446" s="297">
        <v>5</v>
      </c>
      <c r="E446" s="290"/>
    </row>
    <row r="447" spans="1:5" ht="5.0999999999999996" customHeight="1">
      <c r="A447" s="290"/>
      <c r="B447" s="290"/>
      <c r="C447" s="290"/>
      <c r="D447" s="297"/>
      <c r="E447" s="290"/>
    </row>
    <row r="448" spans="1:5" ht="13.5">
      <c r="A448" s="292" t="s">
        <v>84</v>
      </c>
      <c r="B448" s="292"/>
      <c r="C448" s="295"/>
      <c r="D448" s="344">
        <v>444</v>
      </c>
      <c r="E448" s="344"/>
    </row>
    <row r="449" spans="1:5" ht="5.0999999999999996" customHeight="1">
      <c r="A449" s="290"/>
      <c r="B449" s="290"/>
      <c r="C449" s="290"/>
      <c r="D449" s="297"/>
      <c r="E449" s="290"/>
    </row>
    <row r="450" spans="1:5" ht="13.5">
      <c r="A450" s="290"/>
      <c r="B450" s="290"/>
      <c r="C450" s="290" t="s">
        <v>21</v>
      </c>
      <c r="D450" s="297">
        <v>43</v>
      </c>
      <c r="E450" s="290"/>
    </row>
    <row r="451" spans="1:5" ht="13.5">
      <c r="A451" s="290"/>
      <c r="B451" s="290"/>
      <c r="C451" s="290" t="s">
        <v>22</v>
      </c>
      <c r="D451" s="297">
        <v>40</v>
      </c>
      <c r="E451" s="290"/>
    </row>
    <row r="452" spans="1:5" ht="13.5">
      <c r="A452" s="290"/>
      <c r="B452" s="290"/>
      <c r="C452" s="290" t="s">
        <v>23</v>
      </c>
      <c r="D452" s="297">
        <v>28</v>
      </c>
      <c r="E452" s="290"/>
    </row>
    <row r="453" spans="1:5" ht="13.5">
      <c r="A453" s="290"/>
      <c r="B453" s="290"/>
      <c r="C453" s="290" t="s">
        <v>24</v>
      </c>
      <c r="D453" s="297">
        <v>43</v>
      </c>
      <c r="E453" s="290"/>
    </row>
    <row r="454" spans="1:5" ht="13.5">
      <c r="A454" s="290"/>
      <c r="B454" s="290"/>
      <c r="C454" s="290" t="s">
        <v>25</v>
      </c>
      <c r="D454" s="297">
        <v>27</v>
      </c>
      <c r="E454" s="290"/>
    </row>
    <row r="455" spans="1:5" ht="13.5">
      <c r="A455" s="290"/>
      <c r="B455" s="290"/>
      <c r="C455" s="290" t="s">
        <v>26</v>
      </c>
      <c r="D455" s="297">
        <v>36</v>
      </c>
      <c r="E455" s="290"/>
    </row>
    <row r="456" spans="1:5" ht="13.5">
      <c r="A456" s="290"/>
      <c r="B456" s="290"/>
      <c r="C456" s="290" t="s">
        <v>27</v>
      </c>
      <c r="D456" s="297">
        <v>28</v>
      </c>
      <c r="E456" s="290"/>
    </row>
    <row r="457" spans="1:5" ht="13.5">
      <c r="A457" s="290"/>
      <c r="B457" s="290"/>
      <c r="C457" s="290" t="s">
        <v>28</v>
      </c>
      <c r="D457" s="297">
        <v>44</v>
      </c>
      <c r="E457" s="290"/>
    </row>
    <row r="458" spans="1:5" ht="13.5">
      <c r="A458" s="290"/>
      <c r="B458" s="290"/>
      <c r="C458" s="290" t="s">
        <v>29</v>
      </c>
      <c r="D458" s="297">
        <v>44</v>
      </c>
      <c r="E458" s="290"/>
    </row>
    <row r="459" spans="1:5" ht="13.5">
      <c r="A459" s="290"/>
      <c r="B459" s="290"/>
      <c r="C459" s="290" t="s">
        <v>30</v>
      </c>
      <c r="D459" s="297">
        <v>34</v>
      </c>
      <c r="E459" s="290"/>
    </row>
    <row r="460" spans="1:5" ht="13.5">
      <c r="A460" s="290"/>
      <c r="B460" s="290"/>
      <c r="C460" s="290" t="s">
        <v>31</v>
      </c>
      <c r="D460" s="297">
        <v>41</v>
      </c>
      <c r="E460" s="290"/>
    </row>
    <row r="461" spans="1:5" ht="13.5">
      <c r="A461" s="290"/>
      <c r="B461" s="290"/>
      <c r="C461" s="290" t="s">
        <v>32</v>
      </c>
      <c r="D461" s="297">
        <v>36</v>
      </c>
      <c r="E461" s="290"/>
    </row>
    <row r="462" spans="1:5" ht="5.0999999999999996" customHeight="1">
      <c r="A462" s="290"/>
      <c r="B462" s="290"/>
      <c r="C462" s="290"/>
      <c r="D462" s="297"/>
      <c r="E462" s="290"/>
    </row>
    <row r="463" spans="1:5" ht="13.5">
      <c r="A463" s="290"/>
      <c r="B463" s="292" t="s">
        <v>145</v>
      </c>
      <c r="C463" s="292"/>
      <c r="D463" s="295">
        <v>388</v>
      </c>
      <c r="E463" s="344"/>
    </row>
    <row r="464" spans="1:5" ht="5.0999999999999996" customHeight="1">
      <c r="A464" s="290"/>
      <c r="B464" s="290"/>
      <c r="C464" s="290"/>
      <c r="D464" s="297"/>
      <c r="E464" s="290"/>
    </row>
    <row r="465" spans="1:5" ht="13.5">
      <c r="A465" s="290"/>
      <c r="B465" s="290"/>
      <c r="C465" s="290" t="s">
        <v>21</v>
      </c>
      <c r="D465" s="297">
        <v>36</v>
      </c>
      <c r="E465" s="290"/>
    </row>
    <row r="466" spans="1:5" ht="13.5">
      <c r="A466" s="290"/>
      <c r="B466" s="290"/>
      <c r="C466" s="290" t="s">
        <v>22</v>
      </c>
      <c r="D466" s="297">
        <v>37</v>
      </c>
      <c r="E466" s="290"/>
    </row>
    <row r="467" spans="1:5" ht="13.5">
      <c r="A467" s="290"/>
      <c r="B467" s="290"/>
      <c r="C467" s="290" t="s">
        <v>23</v>
      </c>
      <c r="D467" s="297">
        <v>27</v>
      </c>
      <c r="E467" s="290"/>
    </row>
    <row r="468" spans="1:5" ht="13.5">
      <c r="A468" s="290"/>
      <c r="B468" s="290"/>
      <c r="C468" s="290" t="s">
        <v>24</v>
      </c>
      <c r="D468" s="297">
        <v>36</v>
      </c>
      <c r="E468" s="290"/>
    </row>
    <row r="469" spans="1:5" ht="13.5">
      <c r="A469" s="290"/>
      <c r="B469" s="290"/>
      <c r="C469" s="290" t="s">
        <v>25</v>
      </c>
      <c r="D469" s="297">
        <v>24</v>
      </c>
      <c r="E469" s="290"/>
    </row>
    <row r="470" spans="1:5" ht="13.5">
      <c r="A470" s="290"/>
      <c r="B470" s="290"/>
      <c r="C470" s="290" t="s">
        <v>26</v>
      </c>
      <c r="D470" s="297">
        <v>32</v>
      </c>
      <c r="E470" s="290"/>
    </row>
    <row r="471" spans="1:5" ht="13.5">
      <c r="A471" s="290"/>
      <c r="B471" s="290"/>
      <c r="C471" s="290" t="s">
        <v>27</v>
      </c>
      <c r="D471" s="297">
        <v>20</v>
      </c>
      <c r="E471" s="290"/>
    </row>
    <row r="472" spans="1:5" ht="13.5">
      <c r="A472" s="290"/>
      <c r="B472" s="290"/>
      <c r="C472" s="290" t="s">
        <v>28</v>
      </c>
      <c r="D472" s="297">
        <v>39</v>
      </c>
      <c r="E472" s="290"/>
    </row>
    <row r="473" spans="1:5" ht="13.5">
      <c r="A473" s="290"/>
      <c r="B473" s="290"/>
      <c r="C473" s="290" t="s">
        <v>29</v>
      </c>
      <c r="D473" s="297">
        <v>36</v>
      </c>
      <c r="E473" s="290"/>
    </row>
    <row r="474" spans="1:5" ht="13.5">
      <c r="A474" s="290"/>
      <c r="B474" s="290"/>
      <c r="C474" s="290" t="s">
        <v>30</v>
      </c>
      <c r="D474" s="297">
        <v>30</v>
      </c>
      <c r="E474" s="290"/>
    </row>
    <row r="475" spans="1:5" ht="13.5">
      <c r="A475" s="290"/>
      <c r="B475" s="290"/>
      <c r="C475" s="290" t="s">
        <v>31</v>
      </c>
      <c r="D475" s="297">
        <v>39</v>
      </c>
      <c r="E475" s="290"/>
    </row>
    <row r="476" spans="1:5" ht="13.5">
      <c r="A476" s="290"/>
      <c r="B476" s="290"/>
      <c r="C476" s="290" t="s">
        <v>32</v>
      </c>
      <c r="D476" s="297">
        <v>32</v>
      </c>
      <c r="E476" s="290"/>
    </row>
    <row r="477" spans="1:5" ht="5.0999999999999996" customHeight="1">
      <c r="A477" s="290"/>
      <c r="B477" s="290"/>
      <c r="C477" s="290"/>
      <c r="D477" s="297"/>
      <c r="E477" s="290"/>
    </row>
    <row r="478" spans="1:5" ht="13.5">
      <c r="A478" s="290"/>
      <c r="B478" s="292" t="s">
        <v>146</v>
      </c>
      <c r="C478" s="292"/>
      <c r="D478" s="295">
        <v>15</v>
      </c>
      <c r="E478" s="344"/>
    </row>
    <row r="479" spans="1:5" ht="5.0999999999999996" customHeight="1">
      <c r="A479" s="290"/>
      <c r="B479" s="290"/>
      <c r="C479" s="290"/>
      <c r="D479" s="297"/>
      <c r="E479" s="290"/>
    </row>
    <row r="480" spans="1:5" ht="13.5">
      <c r="A480" s="290"/>
      <c r="B480" s="290"/>
      <c r="C480" s="290" t="s">
        <v>21</v>
      </c>
      <c r="D480" s="297">
        <v>2</v>
      </c>
      <c r="E480" s="290"/>
    </row>
    <row r="481" spans="1:5" ht="13.5">
      <c r="A481" s="290"/>
      <c r="B481" s="290"/>
      <c r="C481" s="290" t="s">
        <v>24</v>
      </c>
      <c r="D481" s="297">
        <v>2</v>
      </c>
      <c r="E481" s="290"/>
    </row>
    <row r="482" spans="1:5" ht="13.5">
      <c r="A482" s="290"/>
      <c r="B482" s="290"/>
      <c r="C482" s="290" t="s">
        <v>25</v>
      </c>
      <c r="D482" s="297">
        <v>2</v>
      </c>
      <c r="E482" s="290"/>
    </row>
    <row r="483" spans="1:5" ht="13.5">
      <c r="A483" s="290"/>
      <c r="B483" s="290"/>
      <c r="C483" s="290" t="s">
        <v>26</v>
      </c>
      <c r="D483" s="297">
        <v>3</v>
      </c>
      <c r="E483" s="290"/>
    </row>
    <row r="484" spans="1:5" ht="13.5">
      <c r="A484" s="290"/>
      <c r="B484" s="290"/>
      <c r="C484" s="290" t="s">
        <v>27</v>
      </c>
      <c r="D484" s="297">
        <v>2</v>
      </c>
      <c r="E484" s="290"/>
    </row>
    <row r="485" spans="1:5" ht="13.5">
      <c r="A485" s="290"/>
      <c r="B485" s="290"/>
      <c r="C485" s="290" t="s">
        <v>28</v>
      </c>
      <c r="D485" s="297">
        <v>1</v>
      </c>
      <c r="E485" s="290"/>
    </row>
    <row r="486" spans="1:5" ht="13.5">
      <c r="A486" s="290"/>
      <c r="B486" s="290"/>
      <c r="C486" s="290" t="s">
        <v>29</v>
      </c>
      <c r="D486" s="297">
        <v>1</v>
      </c>
      <c r="E486" s="290"/>
    </row>
    <row r="487" spans="1:5" ht="13.5">
      <c r="A487" s="290"/>
      <c r="B487" s="290"/>
      <c r="C487" s="290" t="s">
        <v>31</v>
      </c>
      <c r="D487" s="297">
        <v>2</v>
      </c>
      <c r="E487" s="290"/>
    </row>
    <row r="488" spans="1:5" ht="5.0999999999999996" customHeight="1">
      <c r="A488" s="290"/>
      <c r="B488" s="290"/>
      <c r="C488" s="290"/>
      <c r="D488" s="297"/>
      <c r="E488" s="290"/>
    </row>
    <row r="489" spans="1:5" ht="13.5">
      <c r="A489" s="290"/>
      <c r="B489" s="292" t="s">
        <v>147</v>
      </c>
      <c r="C489" s="292"/>
      <c r="D489" s="295">
        <v>34</v>
      </c>
      <c r="E489" s="344"/>
    </row>
    <row r="490" spans="1:5" ht="5.0999999999999996" customHeight="1">
      <c r="A490" s="290"/>
      <c r="B490" s="290"/>
      <c r="C490" s="290"/>
      <c r="D490" s="297"/>
      <c r="E490" s="290"/>
    </row>
    <row r="491" spans="1:5" ht="13.5">
      <c r="A491" s="290"/>
      <c r="B491" s="290"/>
      <c r="C491" s="290" t="s">
        <v>21</v>
      </c>
      <c r="D491" s="297">
        <v>3</v>
      </c>
      <c r="E491" s="290"/>
    </row>
    <row r="492" spans="1:5" ht="13.5">
      <c r="A492" s="290"/>
      <c r="B492" s="290"/>
      <c r="C492" s="290" t="s">
        <v>22</v>
      </c>
      <c r="D492" s="297">
        <v>3</v>
      </c>
      <c r="E492" s="290"/>
    </row>
    <row r="493" spans="1:5" ht="13.5">
      <c r="A493" s="290"/>
      <c r="B493" s="290"/>
      <c r="C493" s="290" t="s">
        <v>24</v>
      </c>
      <c r="D493" s="297">
        <v>3</v>
      </c>
      <c r="E493" s="290"/>
    </row>
    <row r="494" spans="1:5" ht="13.5">
      <c r="A494" s="290"/>
      <c r="B494" s="290"/>
      <c r="C494" s="290" t="s">
        <v>25</v>
      </c>
      <c r="D494" s="297">
        <v>1</v>
      </c>
      <c r="E494" s="290"/>
    </row>
    <row r="495" spans="1:5" ht="13.5">
      <c r="A495" s="290"/>
      <c r="B495" s="290"/>
      <c r="C495" s="290" t="s">
        <v>26</v>
      </c>
      <c r="D495" s="297">
        <v>1</v>
      </c>
      <c r="E495" s="290"/>
    </row>
    <row r="496" spans="1:5" ht="13.5">
      <c r="A496" s="290"/>
      <c r="B496" s="290"/>
      <c r="C496" s="290" t="s">
        <v>27</v>
      </c>
      <c r="D496" s="297">
        <v>5</v>
      </c>
      <c r="E496" s="290"/>
    </row>
    <row r="497" spans="1:5" ht="13.5">
      <c r="A497" s="290"/>
      <c r="B497" s="290"/>
      <c r="C497" s="290" t="s">
        <v>28</v>
      </c>
      <c r="D497" s="297">
        <v>4</v>
      </c>
      <c r="E497" s="290"/>
    </row>
    <row r="498" spans="1:5" ht="13.5">
      <c r="A498" s="290"/>
      <c r="B498" s="290"/>
      <c r="C498" s="290" t="s">
        <v>29</v>
      </c>
      <c r="D498" s="297">
        <v>7</v>
      </c>
      <c r="E498" s="290"/>
    </row>
    <row r="499" spans="1:5" ht="13.5">
      <c r="A499" s="290"/>
      <c r="B499" s="290"/>
      <c r="C499" s="290" t="s">
        <v>30</v>
      </c>
      <c r="D499" s="297">
        <v>4</v>
      </c>
      <c r="E499" s="290"/>
    </row>
    <row r="500" spans="1:5" ht="13.5">
      <c r="A500" s="290"/>
      <c r="B500" s="290"/>
      <c r="C500" s="290" t="s">
        <v>32</v>
      </c>
      <c r="D500" s="297">
        <v>3</v>
      </c>
      <c r="E500" s="290"/>
    </row>
    <row r="501" spans="1:5" ht="5.0999999999999996" customHeight="1">
      <c r="A501" s="290"/>
      <c r="B501" s="290"/>
      <c r="C501" s="290"/>
      <c r="D501" s="297"/>
      <c r="E501" s="290"/>
    </row>
    <row r="502" spans="1:5" ht="13.5">
      <c r="A502" s="290"/>
      <c r="B502" s="292" t="s">
        <v>148</v>
      </c>
      <c r="C502" s="292"/>
      <c r="D502" s="295">
        <v>7</v>
      </c>
      <c r="E502" s="344"/>
    </row>
    <row r="503" spans="1:5" ht="5.0999999999999996" customHeight="1">
      <c r="A503" s="290"/>
      <c r="B503" s="290"/>
      <c r="C503" s="290"/>
      <c r="D503" s="297"/>
      <c r="E503" s="290"/>
    </row>
    <row r="504" spans="1:5" ht="13.5">
      <c r="A504" s="290"/>
      <c r="B504" s="290"/>
      <c r="C504" s="290" t="s">
        <v>21</v>
      </c>
      <c r="D504" s="297">
        <v>2</v>
      </c>
      <c r="E504" s="290"/>
    </row>
    <row r="505" spans="1:5" ht="13.5">
      <c r="A505" s="290"/>
      <c r="B505" s="290"/>
      <c r="C505" s="290" t="s">
        <v>23</v>
      </c>
      <c r="D505" s="297">
        <v>1</v>
      </c>
      <c r="E505" s="290"/>
    </row>
    <row r="506" spans="1:5" ht="13.5">
      <c r="A506" s="290"/>
      <c r="B506" s="290"/>
      <c r="C506" s="290" t="s">
        <v>24</v>
      </c>
      <c r="D506" s="297">
        <v>2</v>
      </c>
      <c r="E506" s="290"/>
    </row>
    <row r="507" spans="1:5" ht="13.5">
      <c r="A507" s="290"/>
      <c r="B507" s="290"/>
      <c r="C507" s="290" t="s">
        <v>27</v>
      </c>
      <c r="D507" s="297">
        <v>1</v>
      </c>
      <c r="E507" s="290"/>
    </row>
    <row r="508" spans="1:5" ht="13.5">
      <c r="A508" s="290"/>
      <c r="B508" s="290"/>
      <c r="C508" s="290" t="s">
        <v>32</v>
      </c>
      <c r="D508" s="297">
        <v>1</v>
      </c>
      <c r="E508" s="290"/>
    </row>
    <row r="509" spans="1:5" ht="5.0999999999999996" customHeight="1">
      <c r="A509" s="290"/>
      <c r="B509" s="290"/>
      <c r="C509" s="290"/>
      <c r="D509" s="297"/>
      <c r="E509" s="290"/>
    </row>
    <row r="510" spans="1:5" ht="13.5">
      <c r="A510" s="292" t="s">
        <v>85</v>
      </c>
      <c r="B510" s="292"/>
      <c r="C510" s="295"/>
      <c r="D510" s="295">
        <v>34</v>
      </c>
      <c r="E510" s="344"/>
    </row>
    <row r="511" spans="1:5" ht="5.0999999999999996" customHeight="1">
      <c r="A511" s="290"/>
      <c r="B511" s="290"/>
      <c r="C511" s="290"/>
      <c r="D511" s="297"/>
      <c r="E511" s="290"/>
    </row>
    <row r="512" spans="1:5" ht="13.5">
      <c r="A512" s="290"/>
      <c r="B512" s="290"/>
      <c r="C512" s="290" t="s">
        <v>22</v>
      </c>
      <c r="D512" s="297">
        <v>2</v>
      </c>
      <c r="E512" s="290"/>
    </row>
    <row r="513" spans="1:5" ht="13.5">
      <c r="A513" s="290"/>
      <c r="B513" s="290"/>
      <c r="C513" s="290" t="s">
        <v>23</v>
      </c>
      <c r="D513" s="297">
        <v>3</v>
      </c>
      <c r="E513" s="290"/>
    </row>
    <row r="514" spans="1:5" ht="13.5">
      <c r="A514" s="290"/>
      <c r="B514" s="290"/>
      <c r="C514" s="290" t="s">
        <v>24</v>
      </c>
      <c r="D514" s="297">
        <v>6</v>
      </c>
      <c r="E514" s="290"/>
    </row>
    <row r="515" spans="1:5" ht="13.5">
      <c r="A515" s="290"/>
      <c r="B515" s="290"/>
      <c r="C515" s="290" t="s">
        <v>25</v>
      </c>
      <c r="D515" s="297">
        <v>1</v>
      </c>
      <c r="E515" s="290"/>
    </row>
    <row r="516" spans="1:5" ht="13.5">
      <c r="A516" s="290"/>
      <c r="B516" s="290"/>
      <c r="C516" s="290" t="s">
        <v>26</v>
      </c>
      <c r="D516" s="297">
        <v>4</v>
      </c>
      <c r="E516" s="290"/>
    </row>
    <row r="517" spans="1:5" ht="13.5">
      <c r="A517" s="290"/>
      <c r="B517" s="290"/>
      <c r="C517" s="290" t="s">
        <v>27</v>
      </c>
      <c r="D517" s="297">
        <v>5</v>
      </c>
      <c r="E517" s="290"/>
    </row>
    <row r="518" spans="1:5" ht="13.5">
      <c r="A518" s="290"/>
      <c r="B518" s="290"/>
      <c r="C518" s="290" t="s">
        <v>28</v>
      </c>
      <c r="D518" s="297">
        <v>1</v>
      </c>
      <c r="E518" s="290"/>
    </row>
    <row r="519" spans="1:5" ht="13.5">
      <c r="A519" s="290"/>
      <c r="B519" s="290"/>
      <c r="C519" s="290" t="s">
        <v>30</v>
      </c>
      <c r="D519" s="297">
        <v>6</v>
      </c>
      <c r="E519" s="290"/>
    </row>
    <row r="520" spans="1:5" ht="13.5">
      <c r="A520" s="290"/>
      <c r="B520" s="290"/>
      <c r="C520" s="290" t="s">
        <v>31</v>
      </c>
      <c r="D520" s="297">
        <v>4</v>
      </c>
      <c r="E520" s="290"/>
    </row>
    <row r="521" spans="1:5" ht="13.5">
      <c r="A521" s="290"/>
      <c r="B521" s="290"/>
      <c r="C521" s="290" t="s">
        <v>32</v>
      </c>
      <c r="D521" s="297">
        <v>2</v>
      </c>
      <c r="E521" s="290"/>
    </row>
    <row r="522" spans="1:5" ht="5.0999999999999996" customHeight="1">
      <c r="A522" s="290"/>
      <c r="B522" s="290"/>
      <c r="C522" s="290"/>
      <c r="D522" s="297"/>
      <c r="E522" s="290"/>
    </row>
    <row r="523" spans="1:5" ht="13.5">
      <c r="A523" s="290"/>
      <c r="B523" s="292" t="s">
        <v>149</v>
      </c>
      <c r="C523" s="292"/>
      <c r="D523" s="295">
        <v>1</v>
      </c>
      <c r="E523" s="344"/>
    </row>
    <row r="524" spans="1:5" ht="5.0999999999999996" customHeight="1">
      <c r="A524" s="290"/>
      <c r="B524" s="290"/>
      <c r="C524" s="290"/>
      <c r="D524" s="297"/>
      <c r="E524" s="290"/>
    </row>
    <row r="525" spans="1:5" ht="13.5">
      <c r="A525" s="290"/>
      <c r="B525" s="290"/>
      <c r="C525" s="290" t="s">
        <v>30</v>
      </c>
      <c r="D525" s="297">
        <v>1</v>
      </c>
      <c r="E525" s="290"/>
    </row>
    <row r="526" spans="1:5" ht="5.0999999999999996" customHeight="1">
      <c r="A526" s="290"/>
      <c r="B526" s="290"/>
      <c r="C526" s="290"/>
      <c r="D526" s="297"/>
      <c r="E526" s="290"/>
    </row>
    <row r="527" spans="1:5" ht="13.5">
      <c r="A527" s="290"/>
      <c r="B527" s="292" t="s">
        <v>150</v>
      </c>
      <c r="C527" s="292"/>
      <c r="D527" s="295">
        <v>6</v>
      </c>
      <c r="E527" s="344"/>
    </row>
    <row r="528" spans="1:5" ht="5.0999999999999996" customHeight="1">
      <c r="A528" s="290"/>
      <c r="B528" s="290"/>
      <c r="C528" s="290"/>
      <c r="D528" s="297"/>
      <c r="E528" s="290"/>
    </row>
    <row r="529" spans="1:5" ht="13.5">
      <c r="A529" s="290"/>
      <c r="B529" s="290"/>
      <c r="C529" s="290" t="s">
        <v>24</v>
      </c>
      <c r="D529" s="297">
        <v>1</v>
      </c>
      <c r="E529" s="290"/>
    </row>
    <row r="530" spans="1:5" ht="13.5">
      <c r="A530" s="290"/>
      <c r="B530" s="290"/>
      <c r="C530" s="290" t="s">
        <v>27</v>
      </c>
      <c r="D530" s="297">
        <v>1</v>
      </c>
      <c r="E530" s="290"/>
    </row>
    <row r="531" spans="1:5" ht="13.5">
      <c r="A531" s="290"/>
      <c r="B531" s="290"/>
      <c r="C531" s="290" t="s">
        <v>28</v>
      </c>
      <c r="D531" s="297">
        <v>1</v>
      </c>
      <c r="E531" s="290"/>
    </row>
    <row r="532" spans="1:5" ht="13.5">
      <c r="A532" s="290"/>
      <c r="B532" s="290"/>
      <c r="C532" s="290" t="s">
        <v>31</v>
      </c>
      <c r="D532" s="297">
        <v>1</v>
      </c>
      <c r="E532" s="290"/>
    </row>
    <row r="533" spans="1:5" ht="13.5">
      <c r="A533" s="290"/>
      <c r="B533" s="290"/>
      <c r="C533" s="290" t="s">
        <v>32</v>
      </c>
      <c r="D533" s="297">
        <v>2</v>
      </c>
      <c r="E533" s="290"/>
    </row>
    <row r="534" spans="1:5" ht="5.0999999999999996" customHeight="1">
      <c r="A534" s="290"/>
      <c r="B534" s="290"/>
      <c r="C534" s="290"/>
      <c r="D534" s="297"/>
      <c r="E534" s="290"/>
    </row>
    <row r="535" spans="1:5" ht="13.5">
      <c r="A535" s="290"/>
      <c r="B535" s="292" t="s">
        <v>151</v>
      </c>
      <c r="C535" s="292"/>
      <c r="D535" s="295">
        <v>22</v>
      </c>
      <c r="E535" s="344"/>
    </row>
    <row r="536" spans="1:5" ht="5.0999999999999996" customHeight="1">
      <c r="A536" s="290"/>
      <c r="B536" s="290"/>
      <c r="C536" s="290"/>
      <c r="D536" s="297"/>
      <c r="E536" s="290"/>
    </row>
    <row r="537" spans="1:5" ht="13.5">
      <c r="A537" s="290"/>
      <c r="B537" s="290"/>
      <c r="C537" s="290" t="s">
        <v>23</v>
      </c>
      <c r="D537" s="297">
        <v>2</v>
      </c>
      <c r="E537" s="290"/>
    </row>
    <row r="538" spans="1:5" ht="13.5">
      <c r="A538" s="290"/>
      <c r="B538" s="290"/>
      <c r="C538" s="290" t="s">
        <v>24</v>
      </c>
      <c r="D538" s="297">
        <v>5</v>
      </c>
      <c r="E538" s="290"/>
    </row>
    <row r="539" spans="1:5" ht="13.5">
      <c r="A539" s="290"/>
      <c r="B539" s="290"/>
      <c r="C539" s="290" t="s">
        <v>25</v>
      </c>
      <c r="D539" s="297">
        <v>1</v>
      </c>
      <c r="E539" s="290"/>
    </row>
    <row r="540" spans="1:5" ht="13.5">
      <c r="A540" s="290"/>
      <c r="B540" s="290"/>
      <c r="C540" s="290" t="s">
        <v>26</v>
      </c>
      <c r="D540" s="297">
        <v>3</v>
      </c>
      <c r="E540" s="290"/>
    </row>
    <row r="541" spans="1:5" ht="13.5">
      <c r="A541" s="290"/>
      <c r="B541" s="290"/>
      <c r="C541" s="290" t="s">
        <v>27</v>
      </c>
      <c r="D541" s="297">
        <v>4</v>
      </c>
      <c r="E541" s="290"/>
    </row>
    <row r="542" spans="1:5" ht="13.5">
      <c r="A542" s="290"/>
      <c r="B542" s="290"/>
      <c r="C542" s="290" t="s">
        <v>30</v>
      </c>
      <c r="D542" s="297">
        <v>4</v>
      </c>
      <c r="E542" s="290"/>
    </row>
    <row r="543" spans="1:5" ht="13.5">
      <c r="A543" s="290"/>
      <c r="B543" s="290"/>
      <c r="C543" s="290" t="s">
        <v>31</v>
      </c>
      <c r="D543" s="297">
        <v>3</v>
      </c>
      <c r="E543" s="290"/>
    </row>
    <row r="544" spans="1:5" ht="5.0999999999999996" customHeight="1">
      <c r="A544" s="290"/>
      <c r="B544" s="290"/>
      <c r="C544" s="290"/>
      <c r="D544" s="297"/>
      <c r="E544" s="290"/>
    </row>
    <row r="545" spans="1:5" ht="13.5">
      <c r="A545" s="290"/>
      <c r="B545" s="292" t="s">
        <v>152</v>
      </c>
      <c r="C545" s="292"/>
      <c r="D545" s="295">
        <v>5</v>
      </c>
      <c r="E545" s="344"/>
    </row>
    <row r="546" spans="1:5" ht="5.0999999999999996" customHeight="1">
      <c r="A546" s="290"/>
      <c r="B546" s="290"/>
      <c r="C546" s="290"/>
      <c r="D546" s="297"/>
      <c r="E546" s="290"/>
    </row>
    <row r="547" spans="1:5" ht="13.5">
      <c r="A547" s="290"/>
      <c r="B547" s="290"/>
      <c r="C547" s="290" t="s">
        <v>22</v>
      </c>
      <c r="D547" s="297">
        <v>2</v>
      </c>
      <c r="E547" s="290"/>
    </row>
    <row r="548" spans="1:5" ht="13.5">
      <c r="A548" s="290"/>
      <c r="B548" s="290"/>
      <c r="C548" s="290" t="s">
        <v>23</v>
      </c>
      <c r="D548" s="297">
        <v>1</v>
      </c>
      <c r="E548" s="290"/>
    </row>
    <row r="549" spans="1:5" ht="13.5">
      <c r="A549" s="290"/>
      <c r="B549" s="290"/>
      <c r="C549" s="290" t="s">
        <v>26</v>
      </c>
      <c r="D549" s="297">
        <v>1</v>
      </c>
      <c r="E549" s="290"/>
    </row>
    <row r="550" spans="1:5" ht="13.5">
      <c r="A550" s="290"/>
      <c r="B550" s="290"/>
      <c r="C550" s="290" t="s">
        <v>30</v>
      </c>
      <c r="D550" s="297">
        <v>1</v>
      </c>
      <c r="E550" s="290"/>
    </row>
    <row r="551" spans="1:5" ht="5.0999999999999996" customHeight="1">
      <c r="A551" s="290"/>
      <c r="B551" s="290"/>
      <c r="C551" s="290"/>
      <c r="D551" s="297"/>
      <c r="E551" s="290"/>
    </row>
    <row r="552" spans="1:5" ht="13.5">
      <c r="A552" s="292" t="s">
        <v>86</v>
      </c>
      <c r="B552" s="292"/>
      <c r="C552" s="295"/>
      <c r="D552" s="344">
        <v>200</v>
      </c>
      <c r="E552" s="290"/>
    </row>
    <row r="553" spans="1:5" ht="5.0999999999999996" customHeight="1">
      <c r="A553" s="290"/>
      <c r="B553" s="290"/>
      <c r="C553" s="290"/>
      <c r="D553" s="297"/>
      <c r="E553" s="290"/>
    </row>
    <row r="554" spans="1:5" ht="13.5">
      <c r="A554" s="290"/>
      <c r="B554" s="290"/>
      <c r="C554" s="290" t="s">
        <v>21</v>
      </c>
      <c r="D554" s="297">
        <v>12</v>
      </c>
      <c r="E554" s="290"/>
    </row>
    <row r="555" spans="1:5" ht="13.5">
      <c r="A555" s="290"/>
      <c r="B555" s="290"/>
      <c r="C555" s="290" t="s">
        <v>22</v>
      </c>
      <c r="D555" s="297">
        <v>22</v>
      </c>
      <c r="E555" s="290"/>
    </row>
    <row r="556" spans="1:5" ht="13.5">
      <c r="A556" s="290"/>
      <c r="B556" s="290"/>
      <c r="C556" s="290" t="s">
        <v>23</v>
      </c>
      <c r="D556" s="297">
        <v>19</v>
      </c>
      <c r="E556" s="290"/>
    </row>
    <row r="557" spans="1:5" ht="13.5">
      <c r="A557" s="290"/>
      <c r="B557" s="290"/>
      <c r="C557" s="290" t="s">
        <v>24</v>
      </c>
      <c r="D557" s="297">
        <v>21</v>
      </c>
      <c r="E557" s="290"/>
    </row>
    <row r="558" spans="1:5" ht="13.5">
      <c r="A558" s="290"/>
      <c r="B558" s="290"/>
      <c r="C558" s="290" t="s">
        <v>25</v>
      </c>
      <c r="D558" s="297">
        <v>11</v>
      </c>
      <c r="E558" s="290"/>
    </row>
    <row r="559" spans="1:5" ht="13.5">
      <c r="A559" s="290"/>
      <c r="B559" s="290"/>
      <c r="C559" s="290" t="s">
        <v>26</v>
      </c>
      <c r="D559" s="297">
        <v>22</v>
      </c>
      <c r="E559" s="290"/>
    </row>
    <row r="560" spans="1:5" ht="13.5">
      <c r="A560" s="290"/>
      <c r="B560" s="290"/>
      <c r="C560" s="290" t="s">
        <v>27</v>
      </c>
      <c r="D560" s="297">
        <v>19</v>
      </c>
      <c r="E560" s="290"/>
    </row>
    <row r="561" spans="1:5" ht="13.5">
      <c r="A561" s="290"/>
      <c r="B561" s="290"/>
      <c r="C561" s="290" t="s">
        <v>28</v>
      </c>
      <c r="D561" s="297">
        <v>20</v>
      </c>
      <c r="E561" s="290"/>
    </row>
    <row r="562" spans="1:5" ht="13.5">
      <c r="A562" s="290"/>
      <c r="B562" s="290"/>
      <c r="C562" s="290" t="s">
        <v>29</v>
      </c>
      <c r="D562" s="297">
        <v>21</v>
      </c>
      <c r="E562" s="290"/>
    </row>
    <row r="563" spans="1:5" ht="13.5">
      <c r="A563" s="290"/>
      <c r="B563" s="290"/>
      <c r="C563" s="290" t="s">
        <v>30</v>
      </c>
      <c r="D563" s="297">
        <v>12</v>
      </c>
      <c r="E563" s="290"/>
    </row>
    <row r="564" spans="1:5" ht="13.5">
      <c r="A564" s="290"/>
      <c r="B564" s="290"/>
      <c r="C564" s="290" t="s">
        <v>31</v>
      </c>
      <c r="D564" s="297">
        <v>8</v>
      </c>
      <c r="E564" s="290"/>
    </row>
    <row r="565" spans="1:5" ht="13.5">
      <c r="A565" s="290"/>
      <c r="B565" s="290"/>
      <c r="C565" s="290" t="s">
        <v>32</v>
      </c>
      <c r="D565" s="297">
        <v>13</v>
      </c>
      <c r="E565" s="290"/>
    </row>
    <row r="566" spans="1:5" ht="5.0999999999999996" customHeight="1">
      <c r="A566" s="290"/>
      <c r="B566" s="290"/>
      <c r="C566" s="290"/>
      <c r="D566" s="297"/>
      <c r="E566" s="290"/>
    </row>
    <row r="567" spans="1:5" ht="13.5">
      <c r="A567" s="290"/>
      <c r="B567" s="292" t="s">
        <v>153</v>
      </c>
      <c r="C567" s="292"/>
      <c r="D567" s="295">
        <v>196</v>
      </c>
      <c r="E567" s="344"/>
    </row>
    <row r="568" spans="1:5" ht="5.0999999999999996" customHeight="1">
      <c r="A568" s="290"/>
      <c r="B568" s="290"/>
      <c r="C568" s="290"/>
      <c r="D568" s="297"/>
      <c r="E568" s="290"/>
    </row>
    <row r="569" spans="1:5" ht="13.5">
      <c r="A569" s="290"/>
      <c r="B569" s="290"/>
      <c r="C569" s="290" t="s">
        <v>21</v>
      </c>
      <c r="D569" s="297">
        <v>12</v>
      </c>
      <c r="E569" s="290"/>
    </row>
    <row r="570" spans="1:5" ht="13.5">
      <c r="A570" s="290"/>
      <c r="B570" s="290"/>
      <c r="C570" s="290" t="s">
        <v>22</v>
      </c>
      <c r="D570" s="297">
        <v>22</v>
      </c>
      <c r="E570" s="290"/>
    </row>
    <row r="571" spans="1:5" ht="13.5">
      <c r="A571" s="290"/>
      <c r="B571" s="290"/>
      <c r="C571" s="290" t="s">
        <v>23</v>
      </c>
      <c r="D571" s="297">
        <v>19</v>
      </c>
      <c r="E571" s="290"/>
    </row>
    <row r="572" spans="1:5" ht="13.5">
      <c r="A572" s="290"/>
      <c r="B572" s="290"/>
      <c r="C572" s="290" t="s">
        <v>24</v>
      </c>
      <c r="D572" s="297">
        <v>21</v>
      </c>
      <c r="E572" s="290"/>
    </row>
    <row r="573" spans="1:5" ht="13.5">
      <c r="A573" s="290"/>
      <c r="B573" s="290"/>
      <c r="C573" s="290" t="s">
        <v>25</v>
      </c>
      <c r="D573" s="297">
        <v>11</v>
      </c>
      <c r="E573" s="290"/>
    </row>
    <row r="574" spans="1:5" ht="13.5">
      <c r="A574" s="290"/>
      <c r="B574" s="290"/>
      <c r="C574" s="290" t="s">
        <v>26</v>
      </c>
      <c r="D574" s="297">
        <v>21</v>
      </c>
      <c r="E574" s="290"/>
    </row>
    <row r="575" spans="1:5" ht="13.5">
      <c r="A575" s="290"/>
      <c r="B575" s="290"/>
      <c r="C575" s="290" t="s">
        <v>27</v>
      </c>
      <c r="D575" s="297">
        <v>18</v>
      </c>
      <c r="E575" s="290"/>
    </row>
    <row r="576" spans="1:5" ht="13.5">
      <c r="A576" s="290"/>
      <c r="B576" s="290"/>
      <c r="C576" s="290" t="s">
        <v>28</v>
      </c>
      <c r="D576" s="297">
        <v>20</v>
      </c>
      <c r="E576" s="290"/>
    </row>
    <row r="577" spans="1:5" ht="13.5">
      <c r="A577" s="290"/>
      <c r="B577" s="290"/>
      <c r="C577" s="290" t="s">
        <v>29</v>
      </c>
      <c r="D577" s="297">
        <v>21</v>
      </c>
      <c r="E577" s="290"/>
    </row>
    <row r="578" spans="1:5" ht="13.5">
      <c r="A578" s="290"/>
      <c r="B578" s="290"/>
      <c r="C578" s="290" t="s">
        <v>30</v>
      </c>
      <c r="D578" s="297">
        <v>12</v>
      </c>
      <c r="E578" s="290"/>
    </row>
    <row r="579" spans="1:5" ht="13.5">
      <c r="A579" s="290"/>
      <c r="B579" s="290"/>
      <c r="C579" s="290" t="s">
        <v>31</v>
      </c>
      <c r="D579" s="297">
        <v>8</v>
      </c>
      <c r="E579" s="290"/>
    </row>
    <row r="580" spans="1:5" ht="13.5">
      <c r="A580" s="290"/>
      <c r="B580" s="290"/>
      <c r="C580" s="290" t="s">
        <v>32</v>
      </c>
      <c r="D580" s="297">
        <v>11</v>
      </c>
      <c r="E580" s="290"/>
    </row>
    <row r="581" spans="1:5" ht="5.0999999999999996" customHeight="1">
      <c r="A581" s="290"/>
      <c r="B581" s="290"/>
      <c r="C581" s="290"/>
      <c r="D581" s="297"/>
      <c r="E581" s="290"/>
    </row>
    <row r="582" spans="1:5" ht="13.5">
      <c r="A582" s="290"/>
      <c r="B582" s="292" t="s">
        <v>154</v>
      </c>
      <c r="C582" s="292"/>
      <c r="D582" s="295">
        <v>4</v>
      </c>
      <c r="E582" s="344"/>
    </row>
    <row r="583" spans="1:5" ht="5.0999999999999996" customHeight="1">
      <c r="A583" s="290"/>
      <c r="B583" s="290"/>
      <c r="C583" s="290"/>
      <c r="D583" s="297"/>
      <c r="E583" s="290"/>
    </row>
    <row r="584" spans="1:5" ht="13.5">
      <c r="A584" s="290"/>
      <c r="B584" s="290"/>
      <c r="C584" s="290" t="s">
        <v>26</v>
      </c>
      <c r="D584" s="297">
        <v>1</v>
      </c>
      <c r="E584" s="290"/>
    </row>
    <row r="585" spans="1:5" ht="13.5">
      <c r="A585" s="290"/>
      <c r="B585" s="290"/>
      <c r="C585" s="290" t="s">
        <v>27</v>
      </c>
      <c r="D585" s="297">
        <v>1</v>
      </c>
      <c r="E585" s="290"/>
    </row>
    <row r="586" spans="1:5" ht="13.5">
      <c r="A586" s="290"/>
      <c r="B586" s="290"/>
      <c r="C586" s="290" t="s">
        <v>32</v>
      </c>
      <c r="D586" s="297">
        <v>2</v>
      </c>
      <c r="E586" s="290"/>
    </row>
    <row r="587" spans="1:5" ht="5.0999999999999996" customHeight="1">
      <c r="A587" s="290"/>
      <c r="B587" s="290"/>
      <c r="C587" s="290"/>
      <c r="D587" s="297"/>
      <c r="E587" s="290"/>
    </row>
    <row r="588" spans="1:5" ht="13.5">
      <c r="A588" s="292" t="s">
        <v>87</v>
      </c>
      <c r="B588" s="292"/>
      <c r="C588" s="295"/>
      <c r="D588" s="344">
        <v>325</v>
      </c>
      <c r="E588" s="290"/>
    </row>
    <row r="589" spans="1:5" ht="5.0999999999999996" customHeight="1">
      <c r="A589" s="290"/>
      <c r="B589" s="290"/>
      <c r="C589" s="290"/>
      <c r="D589" s="297"/>
      <c r="E589" s="290"/>
    </row>
    <row r="590" spans="1:5" ht="13.5">
      <c r="A590" s="290"/>
      <c r="B590" s="290"/>
      <c r="C590" s="290" t="s">
        <v>21</v>
      </c>
      <c r="D590" s="297">
        <v>17</v>
      </c>
      <c r="E590" s="290"/>
    </row>
    <row r="591" spans="1:5" ht="13.5">
      <c r="A591" s="290"/>
      <c r="B591" s="290"/>
      <c r="C591" s="290" t="s">
        <v>22</v>
      </c>
      <c r="D591" s="297">
        <v>21</v>
      </c>
      <c r="E591" s="290"/>
    </row>
    <row r="592" spans="1:5" ht="13.5">
      <c r="A592" s="290"/>
      <c r="B592" s="290"/>
      <c r="C592" s="290" t="s">
        <v>23</v>
      </c>
      <c r="D592" s="297">
        <v>23</v>
      </c>
      <c r="E592" s="290"/>
    </row>
    <row r="593" spans="1:5" ht="13.5">
      <c r="A593" s="290"/>
      <c r="B593" s="290"/>
      <c r="C593" s="290" t="s">
        <v>24</v>
      </c>
      <c r="D593" s="297">
        <v>34</v>
      </c>
      <c r="E593" s="290"/>
    </row>
    <row r="594" spans="1:5" ht="13.5">
      <c r="A594" s="290"/>
      <c r="B594" s="290"/>
      <c r="C594" s="290" t="s">
        <v>25</v>
      </c>
      <c r="D594" s="297">
        <v>27</v>
      </c>
      <c r="E594" s="290"/>
    </row>
    <row r="595" spans="1:5" ht="13.5">
      <c r="A595" s="290"/>
      <c r="B595" s="290"/>
      <c r="C595" s="290" t="s">
        <v>26</v>
      </c>
      <c r="D595" s="297">
        <v>19</v>
      </c>
      <c r="E595" s="290"/>
    </row>
    <row r="596" spans="1:5" ht="13.5">
      <c r="A596" s="290"/>
      <c r="B596" s="290"/>
      <c r="C596" s="290" t="s">
        <v>27</v>
      </c>
      <c r="D596" s="297">
        <v>44</v>
      </c>
      <c r="E596" s="290"/>
    </row>
    <row r="597" spans="1:5" ht="13.5">
      <c r="A597" s="290"/>
      <c r="B597" s="290"/>
      <c r="C597" s="290" t="s">
        <v>28</v>
      </c>
      <c r="D597" s="297">
        <v>29</v>
      </c>
      <c r="E597" s="290"/>
    </row>
    <row r="598" spans="1:5" ht="13.5">
      <c r="A598" s="290"/>
      <c r="B598" s="290"/>
      <c r="C598" s="290" t="s">
        <v>29</v>
      </c>
      <c r="D598" s="297">
        <v>27</v>
      </c>
      <c r="E598" s="290"/>
    </row>
    <row r="599" spans="1:5" ht="13.5">
      <c r="A599" s="290"/>
      <c r="B599" s="290"/>
      <c r="C599" s="290" t="s">
        <v>30</v>
      </c>
      <c r="D599" s="297">
        <v>18</v>
      </c>
      <c r="E599" s="290"/>
    </row>
    <row r="600" spans="1:5" ht="13.5">
      <c r="A600" s="290"/>
      <c r="B600" s="290"/>
      <c r="C600" s="290" t="s">
        <v>31</v>
      </c>
      <c r="D600" s="297">
        <v>35</v>
      </c>
      <c r="E600" s="290"/>
    </row>
    <row r="601" spans="1:5" ht="13.5">
      <c r="A601" s="290"/>
      <c r="B601" s="290"/>
      <c r="C601" s="290" t="s">
        <v>32</v>
      </c>
      <c r="D601" s="297">
        <v>31</v>
      </c>
      <c r="E601" s="290"/>
    </row>
    <row r="602" spans="1:5" ht="5.0999999999999996" customHeight="1">
      <c r="A602" s="290"/>
      <c r="B602" s="290"/>
      <c r="C602" s="290"/>
      <c r="D602" s="297"/>
      <c r="E602" s="290"/>
    </row>
    <row r="603" spans="1:5" ht="13.5">
      <c r="A603" s="290"/>
      <c r="B603" s="292" t="s">
        <v>87</v>
      </c>
      <c r="C603" s="292"/>
      <c r="D603" s="295">
        <v>320</v>
      </c>
      <c r="E603" s="344"/>
    </row>
    <row r="604" spans="1:5" ht="5.0999999999999996" customHeight="1">
      <c r="A604" s="290"/>
      <c r="B604" s="290"/>
      <c r="C604" s="290"/>
      <c r="D604" s="297"/>
      <c r="E604" s="290"/>
    </row>
    <row r="605" spans="1:5" ht="13.5">
      <c r="A605" s="290"/>
      <c r="B605" s="290"/>
      <c r="C605" s="290" t="s">
        <v>21</v>
      </c>
      <c r="D605" s="297">
        <v>16</v>
      </c>
      <c r="E605" s="290"/>
    </row>
    <row r="606" spans="1:5" ht="13.5">
      <c r="A606" s="290"/>
      <c r="B606" s="290"/>
      <c r="C606" s="290" t="s">
        <v>22</v>
      </c>
      <c r="D606" s="297">
        <v>21</v>
      </c>
      <c r="E606" s="290"/>
    </row>
    <row r="607" spans="1:5" ht="13.5">
      <c r="A607" s="290"/>
      <c r="B607" s="290"/>
      <c r="C607" s="290" t="s">
        <v>23</v>
      </c>
      <c r="D607" s="297">
        <v>23</v>
      </c>
      <c r="E607" s="290"/>
    </row>
    <row r="608" spans="1:5" ht="13.5">
      <c r="A608" s="290"/>
      <c r="B608" s="290"/>
      <c r="C608" s="290" t="s">
        <v>24</v>
      </c>
      <c r="D608" s="297">
        <v>33</v>
      </c>
      <c r="E608" s="290"/>
    </row>
    <row r="609" spans="1:5" ht="13.5">
      <c r="A609" s="290"/>
      <c r="B609" s="290"/>
      <c r="C609" s="290" t="s">
        <v>25</v>
      </c>
      <c r="D609" s="297">
        <v>27</v>
      </c>
      <c r="E609" s="290"/>
    </row>
    <row r="610" spans="1:5" ht="13.5">
      <c r="A610" s="290"/>
      <c r="B610" s="290"/>
      <c r="C610" s="290" t="s">
        <v>26</v>
      </c>
      <c r="D610" s="297">
        <v>19</v>
      </c>
      <c r="E610" s="290"/>
    </row>
    <row r="611" spans="1:5" ht="13.5">
      <c r="A611" s="290"/>
      <c r="B611" s="290"/>
      <c r="C611" s="290" t="s">
        <v>27</v>
      </c>
      <c r="D611" s="297">
        <v>44</v>
      </c>
      <c r="E611" s="290"/>
    </row>
    <row r="612" spans="1:5" ht="13.5">
      <c r="A612" s="290"/>
      <c r="B612" s="290"/>
      <c r="C612" s="290" t="s">
        <v>28</v>
      </c>
      <c r="D612" s="297">
        <v>29</v>
      </c>
      <c r="E612" s="290"/>
    </row>
    <row r="613" spans="1:5" ht="13.5">
      <c r="A613" s="290"/>
      <c r="B613" s="290"/>
      <c r="C613" s="290" t="s">
        <v>29</v>
      </c>
      <c r="D613" s="297">
        <v>27</v>
      </c>
      <c r="E613" s="290"/>
    </row>
    <row r="614" spans="1:5" ht="13.5">
      <c r="A614" s="290"/>
      <c r="B614" s="290"/>
      <c r="C614" s="290" t="s">
        <v>30</v>
      </c>
      <c r="D614" s="297">
        <v>17</v>
      </c>
      <c r="E614" s="290"/>
    </row>
    <row r="615" spans="1:5" ht="13.5">
      <c r="A615" s="290"/>
      <c r="B615" s="290"/>
      <c r="C615" s="290" t="s">
        <v>31</v>
      </c>
      <c r="D615" s="297">
        <v>34</v>
      </c>
      <c r="E615" s="290"/>
    </row>
    <row r="616" spans="1:5" ht="13.5">
      <c r="A616" s="290"/>
      <c r="B616" s="290"/>
      <c r="C616" s="290" t="s">
        <v>32</v>
      </c>
      <c r="D616" s="297">
        <v>30</v>
      </c>
      <c r="E616" s="290"/>
    </row>
    <row r="617" spans="1:5" ht="5.0999999999999996" customHeight="1">
      <c r="A617" s="290"/>
      <c r="B617" s="290"/>
      <c r="C617" s="290"/>
      <c r="D617" s="297"/>
      <c r="E617" s="290"/>
    </row>
    <row r="618" spans="1:5" ht="13.5">
      <c r="A618" s="290"/>
      <c r="B618" s="292" t="s">
        <v>155</v>
      </c>
      <c r="C618" s="292"/>
      <c r="D618" s="295">
        <v>5</v>
      </c>
      <c r="E618" s="344"/>
    </row>
    <row r="619" spans="1:5" ht="5.0999999999999996" customHeight="1">
      <c r="A619" s="290"/>
      <c r="B619" s="290"/>
      <c r="C619" s="290"/>
      <c r="D619" s="297"/>
      <c r="E619" s="290"/>
    </row>
    <row r="620" spans="1:5" ht="13.5">
      <c r="A620" s="290"/>
      <c r="B620" s="290"/>
      <c r="C620" s="290" t="s">
        <v>21</v>
      </c>
      <c r="D620" s="297">
        <v>1</v>
      </c>
      <c r="E620" s="290"/>
    </row>
    <row r="621" spans="1:5" ht="13.5">
      <c r="A621" s="290"/>
      <c r="B621" s="290"/>
      <c r="C621" s="290" t="s">
        <v>24</v>
      </c>
      <c r="D621" s="297">
        <v>1</v>
      </c>
      <c r="E621" s="290"/>
    </row>
    <row r="622" spans="1:5" ht="13.5">
      <c r="A622" s="290"/>
      <c r="B622" s="290"/>
      <c r="C622" s="290" t="s">
        <v>30</v>
      </c>
      <c r="D622" s="297">
        <v>1</v>
      </c>
      <c r="E622" s="290"/>
    </row>
    <row r="623" spans="1:5" ht="13.5">
      <c r="A623" s="290"/>
      <c r="B623" s="290"/>
      <c r="C623" s="290" t="s">
        <v>31</v>
      </c>
      <c r="D623" s="297">
        <v>1</v>
      </c>
      <c r="E623" s="290"/>
    </row>
    <row r="624" spans="1:5" ht="13.5">
      <c r="A624" s="290"/>
      <c r="B624" s="290"/>
      <c r="C624" s="290" t="s">
        <v>32</v>
      </c>
      <c r="D624" s="297">
        <v>1</v>
      </c>
      <c r="E624" s="290"/>
    </row>
    <row r="625" spans="1:5" ht="5.0999999999999996" customHeight="1">
      <c r="A625" s="290"/>
      <c r="B625" s="290"/>
      <c r="C625" s="290"/>
      <c r="D625" s="297"/>
      <c r="E625" s="290"/>
    </row>
    <row r="626" spans="1:5" ht="13.5">
      <c r="A626" s="292" t="s">
        <v>88</v>
      </c>
      <c r="B626" s="292"/>
      <c r="C626" s="295"/>
      <c r="D626" s="344">
        <v>1244</v>
      </c>
      <c r="E626" s="290"/>
    </row>
    <row r="627" spans="1:5" ht="5.0999999999999996" customHeight="1">
      <c r="A627" s="290"/>
      <c r="B627" s="290"/>
      <c r="C627" s="290"/>
      <c r="D627" s="297"/>
      <c r="E627" s="290"/>
    </row>
    <row r="628" spans="1:5" ht="13.5">
      <c r="A628" s="290"/>
      <c r="B628" s="290"/>
      <c r="C628" s="290" t="s">
        <v>21</v>
      </c>
      <c r="D628" s="297">
        <v>85</v>
      </c>
      <c r="E628" s="290"/>
    </row>
    <row r="629" spans="1:5" ht="13.5">
      <c r="A629" s="290"/>
      <c r="B629" s="290"/>
      <c r="C629" s="290" t="s">
        <v>22</v>
      </c>
      <c r="D629" s="297">
        <v>91</v>
      </c>
      <c r="E629" s="290"/>
    </row>
    <row r="630" spans="1:5" ht="13.5">
      <c r="A630" s="290"/>
      <c r="B630" s="290"/>
      <c r="C630" s="290" t="s">
        <v>23</v>
      </c>
      <c r="D630" s="297">
        <v>102</v>
      </c>
      <c r="E630" s="290"/>
    </row>
    <row r="631" spans="1:5" ht="13.5">
      <c r="A631" s="290"/>
      <c r="B631" s="290"/>
      <c r="C631" s="290" t="s">
        <v>24</v>
      </c>
      <c r="D631" s="297">
        <v>91</v>
      </c>
      <c r="E631" s="290"/>
    </row>
    <row r="632" spans="1:5" ht="13.5">
      <c r="A632" s="290"/>
      <c r="B632" s="290"/>
      <c r="C632" s="290" t="s">
        <v>25</v>
      </c>
      <c r="D632" s="297">
        <v>88</v>
      </c>
      <c r="E632" s="290"/>
    </row>
    <row r="633" spans="1:5" ht="13.5">
      <c r="A633" s="290"/>
      <c r="B633" s="290"/>
      <c r="C633" s="290" t="s">
        <v>26</v>
      </c>
      <c r="D633" s="297">
        <v>116</v>
      </c>
      <c r="E633" s="290"/>
    </row>
    <row r="634" spans="1:5" ht="13.5">
      <c r="A634" s="290"/>
      <c r="B634" s="290"/>
      <c r="C634" s="290" t="s">
        <v>27</v>
      </c>
      <c r="D634" s="297">
        <v>115</v>
      </c>
      <c r="E634" s="290"/>
    </row>
    <row r="635" spans="1:5" ht="13.5">
      <c r="A635" s="290"/>
      <c r="B635" s="290"/>
      <c r="C635" s="290" t="s">
        <v>28</v>
      </c>
      <c r="D635" s="297">
        <v>131</v>
      </c>
      <c r="E635" s="290"/>
    </row>
    <row r="636" spans="1:5" ht="13.5">
      <c r="A636" s="290"/>
      <c r="B636" s="290"/>
      <c r="C636" s="290" t="s">
        <v>29</v>
      </c>
      <c r="D636" s="297">
        <v>110</v>
      </c>
      <c r="E636" s="290"/>
    </row>
    <row r="637" spans="1:5" ht="13.5">
      <c r="A637" s="290"/>
      <c r="B637" s="290"/>
      <c r="C637" s="290" t="s">
        <v>30</v>
      </c>
      <c r="D637" s="297">
        <v>101</v>
      </c>
      <c r="E637" s="290"/>
    </row>
    <row r="638" spans="1:5" ht="13.5">
      <c r="A638" s="290"/>
      <c r="B638" s="290"/>
      <c r="C638" s="290" t="s">
        <v>31</v>
      </c>
      <c r="D638" s="297">
        <v>106</v>
      </c>
      <c r="E638" s="290"/>
    </row>
    <row r="639" spans="1:5" ht="13.5">
      <c r="A639" s="290"/>
      <c r="B639" s="290"/>
      <c r="C639" s="290" t="s">
        <v>32</v>
      </c>
      <c r="D639" s="297">
        <v>108</v>
      </c>
      <c r="E639" s="290"/>
    </row>
    <row r="640" spans="1:5" ht="5.0999999999999996" customHeight="1">
      <c r="A640" s="290"/>
      <c r="B640" s="290"/>
      <c r="C640" s="290"/>
      <c r="D640" s="297"/>
      <c r="E640" s="290"/>
    </row>
    <row r="641" spans="1:5" ht="13.5">
      <c r="A641" s="290"/>
      <c r="B641" s="292" t="s">
        <v>535</v>
      </c>
      <c r="C641" s="292"/>
      <c r="D641" s="295">
        <v>991</v>
      </c>
      <c r="E641" s="344"/>
    </row>
    <row r="642" spans="1:5" ht="5.0999999999999996" customHeight="1">
      <c r="A642" s="290"/>
      <c r="B642" s="290"/>
      <c r="C642" s="290"/>
      <c r="D642" s="297"/>
      <c r="E642" s="290"/>
    </row>
    <row r="643" spans="1:5" ht="13.5">
      <c r="A643" s="290"/>
      <c r="B643" s="290"/>
      <c r="C643" s="290" t="s">
        <v>21</v>
      </c>
      <c r="D643" s="297">
        <v>71</v>
      </c>
      <c r="E643" s="290"/>
    </row>
    <row r="644" spans="1:5" ht="13.5">
      <c r="A644" s="290"/>
      <c r="B644" s="290"/>
      <c r="C644" s="290" t="s">
        <v>22</v>
      </c>
      <c r="D644" s="297">
        <v>75</v>
      </c>
      <c r="E644" s="290"/>
    </row>
    <row r="645" spans="1:5" ht="13.5">
      <c r="A645" s="290"/>
      <c r="B645" s="290"/>
      <c r="C645" s="290" t="s">
        <v>23</v>
      </c>
      <c r="D645" s="297">
        <v>88</v>
      </c>
      <c r="E645" s="290"/>
    </row>
    <row r="646" spans="1:5" ht="13.5">
      <c r="A646" s="290"/>
      <c r="B646" s="290"/>
      <c r="C646" s="290" t="s">
        <v>24</v>
      </c>
      <c r="D646" s="297">
        <v>76</v>
      </c>
      <c r="E646" s="290"/>
    </row>
    <row r="647" spans="1:5" ht="13.5">
      <c r="A647" s="290"/>
      <c r="B647" s="290"/>
      <c r="C647" s="290" t="s">
        <v>25</v>
      </c>
      <c r="D647" s="297">
        <v>62</v>
      </c>
      <c r="E647" s="290"/>
    </row>
    <row r="648" spans="1:5" ht="13.5">
      <c r="A648" s="290"/>
      <c r="B648" s="290"/>
      <c r="C648" s="290" t="s">
        <v>26</v>
      </c>
      <c r="D648" s="297">
        <v>79</v>
      </c>
      <c r="E648" s="290"/>
    </row>
    <row r="649" spans="1:5" ht="13.5">
      <c r="A649" s="290"/>
      <c r="B649" s="290"/>
      <c r="C649" s="290" t="s">
        <v>27</v>
      </c>
      <c r="D649" s="297">
        <v>99</v>
      </c>
      <c r="E649" s="290"/>
    </row>
    <row r="650" spans="1:5" ht="13.5">
      <c r="A650" s="290"/>
      <c r="B650" s="290"/>
      <c r="C650" s="290" t="s">
        <v>28</v>
      </c>
      <c r="D650" s="297">
        <v>101</v>
      </c>
      <c r="E650" s="290"/>
    </row>
    <row r="651" spans="1:5" ht="13.5">
      <c r="A651" s="290"/>
      <c r="B651" s="290"/>
      <c r="C651" s="290" t="s">
        <v>29</v>
      </c>
      <c r="D651" s="297">
        <v>86</v>
      </c>
      <c r="E651" s="290"/>
    </row>
    <row r="652" spans="1:5" ht="13.5">
      <c r="A652" s="290"/>
      <c r="B652" s="290"/>
      <c r="C652" s="290" t="s">
        <v>30</v>
      </c>
      <c r="D652" s="297">
        <v>80</v>
      </c>
      <c r="E652" s="290"/>
    </row>
    <row r="653" spans="1:5" ht="13.5">
      <c r="A653" s="290"/>
      <c r="B653" s="290"/>
      <c r="C653" s="290" t="s">
        <v>31</v>
      </c>
      <c r="D653" s="297">
        <v>88</v>
      </c>
      <c r="E653" s="290"/>
    </row>
    <row r="654" spans="1:5" ht="13.5">
      <c r="A654" s="290"/>
      <c r="B654" s="290"/>
      <c r="C654" s="290" t="s">
        <v>32</v>
      </c>
      <c r="D654" s="297">
        <v>86</v>
      </c>
      <c r="E654" s="290"/>
    </row>
    <row r="655" spans="1:5" ht="5.0999999999999996" customHeight="1">
      <c r="A655" s="290"/>
      <c r="B655" s="290"/>
      <c r="C655" s="290"/>
      <c r="D655" s="297"/>
      <c r="E655" s="290"/>
    </row>
    <row r="656" spans="1:5" ht="13.5">
      <c r="A656" s="290"/>
      <c r="B656" s="292" t="s">
        <v>156</v>
      </c>
      <c r="C656" s="292"/>
      <c r="D656" s="295">
        <v>66</v>
      </c>
      <c r="E656" s="344"/>
    </row>
    <row r="657" spans="1:5" ht="5.0999999999999996" customHeight="1">
      <c r="A657" s="290"/>
      <c r="B657" s="290"/>
      <c r="C657" s="290"/>
      <c r="D657" s="297"/>
      <c r="E657" s="290"/>
    </row>
    <row r="658" spans="1:5" ht="13.5">
      <c r="A658" s="290"/>
      <c r="B658" s="290"/>
      <c r="C658" s="290" t="s">
        <v>21</v>
      </c>
      <c r="D658" s="297">
        <v>4</v>
      </c>
      <c r="E658" s="290"/>
    </row>
    <row r="659" spans="1:5" ht="13.5">
      <c r="A659" s="290"/>
      <c r="B659" s="290"/>
      <c r="C659" s="290" t="s">
        <v>22</v>
      </c>
      <c r="D659" s="297">
        <v>3</v>
      </c>
      <c r="E659" s="290"/>
    </row>
    <row r="660" spans="1:5" ht="13.5">
      <c r="A660" s="290"/>
      <c r="B660" s="290"/>
      <c r="C660" s="290" t="s">
        <v>23</v>
      </c>
      <c r="D660" s="297">
        <v>3</v>
      </c>
      <c r="E660" s="290"/>
    </row>
    <row r="661" spans="1:5" ht="13.5">
      <c r="A661" s="290"/>
      <c r="B661" s="290"/>
      <c r="C661" s="290" t="s">
        <v>24</v>
      </c>
      <c r="D661" s="297">
        <v>7</v>
      </c>
      <c r="E661" s="290"/>
    </row>
    <row r="662" spans="1:5" ht="13.5">
      <c r="A662" s="290"/>
      <c r="B662" s="290"/>
      <c r="C662" s="290" t="s">
        <v>25</v>
      </c>
      <c r="D662" s="297">
        <v>6</v>
      </c>
      <c r="E662" s="290"/>
    </row>
    <row r="663" spans="1:5" ht="13.5">
      <c r="A663" s="290"/>
      <c r="B663" s="290"/>
      <c r="C663" s="290" t="s">
        <v>26</v>
      </c>
      <c r="D663" s="297">
        <v>9</v>
      </c>
      <c r="E663" s="290"/>
    </row>
    <row r="664" spans="1:5" ht="13.5">
      <c r="A664" s="290"/>
      <c r="B664" s="290"/>
      <c r="C664" s="290" t="s">
        <v>27</v>
      </c>
      <c r="D664" s="297">
        <v>7</v>
      </c>
      <c r="E664" s="290"/>
    </row>
    <row r="665" spans="1:5" ht="13.5">
      <c r="A665" s="290"/>
      <c r="B665" s="290"/>
      <c r="C665" s="290" t="s">
        <v>28</v>
      </c>
      <c r="D665" s="297">
        <v>7</v>
      </c>
      <c r="E665" s="290"/>
    </row>
    <row r="666" spans="1:5" ht="13.5">
      <c r="A666" s="290"/>
      <c r="B666" s="290"/>
      <c r="C666" s="290" t="s">
        <v>29</v>
      </c>
      <c r="D666" s="297">
        <v>5</v>
      </c>
      <c r="E666" s="290"/>
    </row>
    <row r="667" spans="1:5" ht="13.5">
      <c r="A667" s="290"/>
      <c r="B667" s="290"/>
      <c r="C667" s="290" t="s">
        <v>30</v>
      </c>
      <c r="D667" s="297">
        <v>6</v>
      </c>
      <c r="E667" s="290"/>
    </row>
    <row r="668" spans="1:5" ht="13.5">
      <c r="A668" s="290"/>
      <c r="B668" s="290"/>
      <c r="C668" s="290" t="s">
        <v>31</v>
      </c>
      <c r="D668" s="297">
        <v>6</v>
      </c>
      <c r="E668" s="290"/>
    </row>
    <row r="669" spans="1:5" ht="13.5">
      <c r="A669" s="290"/>
      <c r="B669" s="290"/>
      <c r="C669" s="290" t="s">
        <v>32</v>
      </c>
      <c r="D669" s="297">
        <v>3</v>
      </c>
      <c r="E669" s="290"/>
    </row>
    <row r="670" spans="1:5" ht="5.0999999999999996" customHeight="1">
      <c r="A670" s="290"/>
      <c r="B670" s="290"/>
      <c r="C670" s="290"/>
      <c r="D670" s="297"/>
      <c r="E670" s="290"/>
    </row>
    <row r="671" spans="1:5" ht="13.5">
      <c r="A671" s="290"/>
      <c r="B671" s="292" t="s">
        <v>157</v>
      </c>
      <c r="C671" s="292"/>
      <c r="D671" s="295">
        <v>169</v>
      </c>
      <c r="E671" s="344"/>
    </row>
    <row r="672" spans="1:5" ht="5.0999999999999996" customHeight="1">
      <c r="A672" s="290"/>
      <c r="B672" s="290"/>
      <c r="C672" s="290"/>
      <c r="D672" s="297"/>
      <c r="E672" s="290"/>
    </row>
    <row r="673" spans="1:5" ht="13.5">
      <c r="A673" s="290"/>
      <c r="B673" s="290"/>
      <c r="C673" s="290" t="s">
        <v>21</v>
      </c>
      <c r="D673" s="297">
        <v>9</v>
      </c>
      <c r="E673" s="290"/>
    </row>
    <row r="674" spans="1:5" ht="13.5">
      <c r="A674" s="290"/>
      <c r="B674" s="290"/>
      <c r="C674" s="290" t="s">
        <v>22</v>
      </c>
      <c r="D674" s="297">
        <v>12</v>
      </c>
      <c r="E674" s="290"/>
    </row>
    <row r="675" spans="1:5" ht="13.5">
      <c r="A675" s="290"/>
      <c r="B675" s="290"/>
      <c r="C675" s="290" t="s">
        <v>23</v>
      </c>
      <c r="D675" s="297">
        <v>9</v>
      </c>
      <c r="E675" s="290"/>
    </row>
    <row r="676" spans="1:5" ht="13.5">
      <c r="A676" s="290"/>
      <c r="B676" s="290"/>
      <c r="C676" s="290" t="s">
        <v>24</v>
      </c>
      <c r="D676" s="297">
        <v>8</v>
      </c>
      <c r="E676" s="290"/>
    </row>
    <row r="677" spans="1:5" ht="13.5">
      <c r="A677" s="290"/>
      <c r="B677" s="290"/>
      <c r="C677" s="290" t="s">
        <v>25</v>
      </c>
      <c r="D677" s="297">
        <v>18</v>
      </c>
      <c r="E677" s="290"/>
    </row>
    <row r="678" spans="1:5" ht="13.5">
      <c r="A678" s="290"/>
      <c r="B678" s="290"/>
      <c r="C678" s="290" t="s">
        <v>26</v>
      </c>
      <c r="D678" s="297">
        <v>26</v>
      </c>
      <c r="E678" s="290"/>
    </row>
    <row r="679" spans="1:5" ht="13.5">
      <c r="A679" s="290"/>
      <c r="B679" s="290"/>
      <c r="C679" s="290" t="s">
        <v>27</v>
      </c>
      <c r="D679" s="297">
        <v>6</v>
      </c>
      <c r="E679" s="290"/>
    </row>
    <row r="680" spans="1:5" ht="13.5">
      <c r="A680" s="290"/>
      <c r="B680" s="290"/>
      <c r="C680" s="290" t="s">
        <v>28</v>
      </c>
      <c r="D680" s="297">
        <v>21</v>
      </c>
      <c r="E680" s="290"/>
    </row>
    <row r="681" spans="1:5" ht="13.5">
      <c r="A681" s="290"/>
      <c r="B681" s="290"/>
      <c r="C681" s="290" t="s">
        <v>29</v>
      </c>
      <c r="D681" s="297">
        <v>17</v>
      </c>
      <c r="E681" s="290"/>
    </row>
    <row r="682" spans="1:5" ht="13.5">
      <c r="A682" s="290"/>
      <c r="B682" s="290"/>
      <c r="C682" s="290" t="s">
        <v>30</v>
      </c>
      <c r="D682" s="297">
        <v>15</v>
      </c>
      <c r="E682" s="290"/>
    </row>
    <row r="683" spans="1:5" ht="13.5">
      <c r="A683" s="290"/>
      <c r="B683" s="290"/>
      <c r="C683" s="290" t="s">
        <v>31</v>
      </c>
      <c r="D683" s="297">
        <v>10</v>
      </c>
      <c r="E683" s="290"/>
    </row>
    <row r="684" spans="1:5" ht="13.5">
      <c r="A684" s="290"/>
      <c r="B684" s="290"/>
      <c r="C684" s="290" t="s">
        <v>32</v>
      </c>
      <c r="D684" s="297">
        <v>18</v>
      </c>
      <c r="E684" s="290"/>
    </row>
    <row r="685" spans="1:5" ht="5.0999999999999996" customHeight="1">
      <c r="A685" s="290"/>
      <c r="B685" s="290"/>
      <c r="C685" s="290"/>
      <c r="D685" s="297"/>
      <c r="E685" s="290"/>
    </row>
    <row r="686" spans="1:5" ht="13.5">
      <c r="A686" s="290"/>
      <c r="B686" s="292" t="s">
        <v>158</v>
      </c>
      <c r="C686" s="292"/>
      <c r="D686" s="295">
        <v>18</v>
      </c>
      <c r="E686" s="344"/>
    </row>
    <row r="687" spans="1:5" ht="5.0999999999999996" customHeight="1">
      <c r="A687" s="290"/>
      <c r="B687" s="290"/>
      <c r="C687" s="290"/>
      <c r="D687" s="297"/>
      <c r="E687" s="290"/>
    </row>
    <row r="688" spans="1:5" ht="13.5">
      <c r="A688" s="290"/>
      <c r="B688" s="290"/>
      <c r="C688" s="290" t="s">
        <v>21</v>
      </c>
      <c r="D688" s="297">
        <v>1</v>
      </c>
      <c r="E688" s="290"/>
    </row>
    <row r="689" spans="1:5" ht="13.5">
      <c r="A689" s="290"/>
      <c r="B689" s="290"/>
      <c r="C689" s="290" t="s">
        <v>22</v>
      </c>
      <c r="D689" s="297">
        <v>1</v>
      </c>
      <c r="E689" s="290"/>
    </row>
    <row r="690" spans="1:5" ht="13.5">
      <c r="A690" s="290"/>
      <c r="B690" s="290"/>
      <c r="C690" s="290" t="s">
        <v>23</v>
      </c>
      <c r="D690" s="297">
        <v>2</v>
      </c>
      <c r="E690" s="290"/>
    </row>
    <row r="691" spans="1:5" ht="13.5">
      <c r="A691" s="290"/>
      <c r="B691" s="290"/>
      <c r="C691" s="290" t="s">
        <v>25</v>
      </c>
      <c r="D691" s="297">
        <v>2</v>
      </c>
      <c r="E691" s="290"/>
    </row>
    <row r="692" spans="1:5" ht="13.5">
      <c r="A692" s="290"/>
      <c r="B692" s="290"/>
      <c r="C692" s="290" t="s">
        <v>26</v>
      </c>
      <c r="D692" s="297">
        <v>2</v>
      </c>
      <c r="E692" s="290"/>
    </row>
    <row r="693" spans="1:5" ht="13.5">
      <c r="A693" s="290"/>
      <c r="B693" s="290"/>
      <c r="C693" s="290" t="s">
        <v>27</v>
      </c>
      <c r="D693" s="297">
        <v>3</v>
      </c>
      <c r="E693" s="290"/>
    </row>
    <row r="694" spans="1:5" ht="13.5">
      <c r="A694" s="290"/>
      <c r="B694" s="290"/>
      <c r="C694" s="290" t="s">
        <v>28</v>
      </c>
      <c r="D694" s="297">
        <v>2</v>
      </c>
      <c r="E694" s="290"/>
    </row>
    <row r="695" spans="1:5" ht="13.5">
      <c r="A695" s="290"/>
      <c r="B695" s="290"/>
      <c r="C695" s="290" t="s">
        <v>29</v>
      </c>
      <c r="D695" s="297">
        <v>2</v>
      </c>
      <c r="E695" s="290"/>
    </row>
    <row r="696" spans="1:5" ht="13.5">
      <c r="A696" s="290"/>
      <c r="B696" s="290"/>
      <c r="C696" s="290" t="s">
        <v>31</v>
      </c>
      <c r="D696" s="297">
        <v>2</v>
      </c>
      <c r="E696" s="290"/>
    </row>
    <row r="697" spans="1:5" ht="13.5">
      <c r="A697" s="290"/>
      <c r="B697" s="290"/>
      <c r="C697" s="290" t="s">
        <v>32</v>
      </c>
      <c r="D697" s="297">
        <v>1</v>
      </c>
      <c r="E697" s="290"/>
    </row>
    <row r="698" spans="1:5" ht="5.0999999999999996" customHeight="1">
      <c r="A698" s="290"/>
      <c r="B698" s="290"/>
      <c r="C698" s="290"/>
      <c r="D698" s="297"/>
      <c r="E698" s="290"/>
    </row>
    <row r="699" spans="1:5" ht="13.5">
      <c r="A699" s="292" t="s">
        <v>89</v>
      </c>
      <c r="B699" s="292"/>
      <c r="C699" s="295"/>
      <c r="D699" s="344">
        <v>244</v>
      </c>
      <c r="E699" s="344"/>
    </row>
    <row r="700" spans="1:5" ht="5.0999999999999996" customHeight="1">
      <c r="A700" s="290"/>
      <c r="B700" s="290"/>
      <c r="C700" s="290"/>
      <c r="D700" s="297"/>
      <c r="E700" s="290"/>
    </row>
    <row r="701" spans="1:5" ht="13.5">
      <c r="A701" s="290"/>
      <c r="B701" s="290"/>
      <c r="C701" s="290" t="s">
        <v>21</v>
      </c>
      <c r="D701" s="297">
        <v>14</v>
      </c>
      <c r="E701" s="290"/>
    </row>
    <row r="702" spans="1:5" ht="13.5">
      <c r="A702" s="290"/>
      <c r="B702" s="290"/>
      <c r="C702" s="290" t="s">
        <v>22</v>
      </c>
      <c r="D702" s="297">
        <v>27</v>
      </c>
      <c r="E702" s="290"/>
    </row>
    <row r="703" spans="1:5" ht="13.5">
      <c r="A703" s="290"/>
      <c r="B703" s="290"/>
      <c r="C703" s="290" t="s">
        <v>23</v>
      </c>
      <c r="D703" s="297">
        <v>6</v>
      </c>
      <c r="E703" s="290"/>
    </row>
    <row r="704" spans="1:5" ht="13.5">
      <c r="A704" s="290"/>
      <c r="B704" s="290"/>
      <c r="C704" s="290" t="s">
        <v>24</v>
      </c>
      <c r="D704" s="297">
        <v>21</v>
      </c>
      <c r="E704" s="290"/>
    </row>
    <row r="705" spans="1:5" ht="13.5">
      <c r="A705" s="290"/>
      <c r="B705" s="290"/>
      <c r="C705" s="290" t="s">
        <v>25</v>
      </c>
      <c r="D705" s="297">
        <v>17</v>
      </c>
      <c r="E705" s="290"/>
    </row>
    <row r="706" spans="1:5" ht="13.5">
      <c r="A706" s="290"/>
      <c r="B706" s="290"/>
      <c r="C706" s="290" t="s">
        <v>26</v>
      </c>
      <c r="D706" s="297">
        <v>16</v>
      </c>
      <c r="E706" s="290"/>
    </row>
    <row r="707" spans="1:5" ht="13.5">
      <c r="A707" s="290"/>
      <c r="B707" s="290"/>
      <c r="C707" s="290" t="s">
        <v>27</v>
      </c>
      <c r="D707" s="297">
        <v>29</v>
      </c>
      <c r="E707" s="290"/>
    </row>
    <row r="708" spans="1:5" ht="13.5">
      <c r="A708" s="290"/>
      <c r="B708" s="290"/>
      <c r="C708" s="290" t="s">
        <v>28</v>
      </c>
      <c r="D708" s="297">
        <v>16</v>
      </c>
      <c r="E708" s="290"/>
    </row>
    <row r="709" spans="1:5" ht="13.5">
      <c r="A709" s="290"/>
      <c r="B709" s="290"/>
      <c r="C709" s="290" t="s">
        <v>29</v>
      </c>
      <c r="D709" s="297">
        <v>35</v>
      </c>
      <c r="E709" s="290"/>
    </row>
    <row r="710" spans="1:5" ht="13.5">
      <c r="A710" s="290"/>
      <c r="B710" s="290"/>
      <c r="C710" s="290" t="s">
        <v>30</v>
      </c>
      <c r="D710" s="297">
        <v>16</v>
      </c>
      <c r="E710" s="290"/>
    </row>
    <row r="711" spans="1:5" ht="13.5">
      <c r="A711" s="290"/>
      <c r="B711" s="290"/>
      <c r="C711" s="290" t="s">
        <v>31</v>
      </c>
      <c r="D711" s="297">
        <v>21</v>
      </c>
      <c r="E711" s="290"/>
    </row>
    <row r="712" spans="1:5" ht="13.5">
      <c r="A712" s="290"/>
      <c r="B712" s="290"/>
      <c r="C712" s="290" t="s">
        <v>32</v>
      </c>
      <c r="D712" s="297">
        <v>26</v>
      </c>
      <c r="E712" s="290"/>
    </row>
    <row r="713" spans="1:5" ht="5.0999999999999996" customHeight="1">
      <c r="A713" s="290"/>
      <c r="B713" s="290"/>
      <c r="C713" s="290"/>
      <c r="D713" s="297"/>
      <c r="E713" s="290"/>
    </row>
    <row r="714" spans="1:5" ht="13.5">
      <c r="A714" s="290"/>
      <c r="B714" s="292" t="s">
        <v>159</v>
      </c>
      <c r="C714" s="292"/>
      <c r="D714" s="295">
        <v>144</v>
      </c>
      <c r="E714" s="344"/>
    </row>
    <row r="715" spans="1:5" ht="5.0999999999999996" customHeight="1">
      <c r="A715" s="290"/>
      <c r="B715" s="290"/>
      <c r="C715" s="290"/>
      <c r="D715" s="297"/>
      <c r="E715" s="290"/>
    </row>
    <row r="716" spans="1:5" ht="13.5">
      <c r="A716" s="290"/>
      <c r="B716" s="290"/>
      <c r="C716" s="290" t="s">
        <v>21</v>
      </c>
      <c r="D716" s="297">
        <v>11</v>
      </c>
      <c r="E716" s="290"/>
    </row>
    <row r="717" spans="1:5" ht="13.5">
      <c r="A717" s="290"/>
      <c r="B717" s="290"/>
      <c r="C717" s="290" t="s">
        <v>22</v>
      </c>
      <c r="D717" s="297">
        <v>15</v>
      </c>
      <c r="E717" s="290"/>
    </row>
    <row r="718" spans="1:5" ht="13.5">
      <c r="A718" s="290"/>
      <c r="B718" s="290"/>
      <c r="C718" s="290" t="s">
        <v>23</v>
      </c>
      <c r="D718" s="297">
        <v>3</v>
      </c>
      <c r="E718" s="290"/>
    </row>
    <row r="719" spans="1:5" ht="13.5">
      <c r="A719" s="290"/>
      <c r="B719" s="290"/>
      <c r="C719" s="290" t="s">
        <v>24</v>
      </c>
      <c r="D719" s="297">
        <v>13</v>
      </c>
      <c r="E719" s="290"/>
    </row>
    <row r="720" spans="1:5" ht="13.5">
      <c r="A720" s="290"/>
      <c r="B720" s="290"/>
      <c r="C720" s="290" t="s">
        <v>25</v>
      </c>
      <c r="D720" s="297">
        <v>10</v>
      </c>
      <c r="E720" s="290"/>
    </row>
    <row r="721" spans="1:5" ht="13.5">
      <c r="A721" s="290"/>
      <c r="B721" s="290"/>
      <c r="C721" s="290" t="s">
        <v>26</v>
      </c>
      <c r="D721" s="297">
        <v>7</v>
      </c>
      <c r="E721" s="290"/>
    </row>
    <row r="722" spans="1:5" ht="13.5">
      <c r="A722" s="290"/>
      <c r="B722" s="290"/>
      <c r="C722" s="290" t="s">
        <v>27</v>
      </c>
      <c r="D722" s="297">
        <v>17</v>
      </c>
      <c r="E722" s="290"/>
    </row>
    <row r="723" spans="1:5" ht="13.5">
      <c r="A723" s="290"/>
      <c r="B723" s="290"/>
      <c r="C723" s="290" t="s">
        <v>28</v>
      </c>
      <c r="D723" s="297">
        <v>10</v>
      </c>
      <c r="E723" s="290"/>
    </row>
    <row r="724" spans="1:5" ht="13.5">
      <c r="A724" s="290"/>
      <c r="B724" s="290"/>
      <c r="C724" s="290" t="s">
        <v>29</v>
      </c>
      <c r="D724" s="297">
        <v>22</v>
      </c>
      <c r="E724" s="290"/>
    </row>
    <row r="725" spans="1:5" ht="13.5">
      <c r="A725" s="290"/>
      <c r="B725" s="290"/>
      <c r="C725" s="290" t="s">
        <v>30</v>
      </c>
      <c r="D725" s="297">
        <v>9</v>
      </c>
      <c r="E725" s="290"/>
    </row>
    <row r="726" spans="1:5" ht="13.5">
      <c r="A726" s="290"/>
      <c r="B726" s="290"/>
      <c r="C726" s="290" t="s">
        <v>31</v>
      </c>
      <c r="D726" s="297">
        <v>13</v>
      </c>
      <c r="E726" s="290"/>
    </row>
    <row r="727" spans="1:5" ht="13.5">
      <c r="A727" s="290"/>
      <c r="B727" s="290"/>
      <c r="C727" s="290" t="s">
        <v>32</v>
      </c>
      <c r="D727" s="297">
        <v>14</v>
      </c>
      <c r="E727" s="290"/>
    </row>
    <row r="728" spans="1:5" ht="5.0999999999999996" customHeight="1">
      <c r="A728" s="290"/>
      <c r="B728" s="290"/>
      <c r="C728" s="290"/>
      <c r="D728" s="297"/>
      <c r="E728" s="290"/>
    </row>
    <row r="729" spans="1:5" ht="13.5">
      <c r="A729" s="290"/>
      <c r="B729" s="292" t="s">
        <v>160</v>
      </c>
      <c r="C729" s="292"/>
      <c r="D729" s="295">
        <v>26</v>
      </c>
      <c r="E729" s="344"/>
    </row>
    <row r="730" spans="1:5" ht="5.0999999999999996" customHeight="1">
      <c r="A730" s="290"/>
      <c r="B730" s="290"/>
      <c r="C730" s="290"/>
      <c r="D730" s="297"/>
      <c r="E730" s="290"/>
    </row>
    <row r="731" spans="1:5" ht="13.5">
      <c r="A731" s="290"/>
      <c r="B731" s="290"/>
      <c r="C731" s="290" t="s">
        <v>21</v>
      </c>
      <c r="D731" s="297">
        <v>1</v>
      </c>
      <c r="E731" s="290"/>
    </row>
    <row r="732" spans="1:5" ht="13.5">
      <c r="A732" s="290"/>
      <c r="B732" s="290"/>
      <c r="C732" s="290" t="s">
        <v>22</v>
      </c>
      <c r="D732" s="297">
        <v>2</v>
      </c>
      <c r="E732" s="290"/>
    </row>
    <row r="733" spans="1:5" ht="13.5">
      <c r="A733" s="290"/>
      <c r="B733" s="290"/>
      <c r="C733" s="290" t="s">
        <v>24</v>
      </c>
      <c r="D733" s="297">
        <v>3</v>
      </c>
      <c r="E733" s="290"/>
    </row>
    <row r="734" spans="1:5" ht="13.5">
      <c r="A734" s="290"/>
      <c r="B734" s="290"/>
      <c r="C734" s="290" t="s">
        <v>25</v>
      </c>
      <c r="D734" s="297">
        <v>2</v>
      </c>
      <c r="E734" s="290"/>
    </row>
    <row r="735" spans="1:5" ht="13.5">
      <c r="A735" s="290"/>
      <c r="B735" s="290"/>
      <c r="C735" s="290" t="s">
        <v>26</v>
      </c>
      <c r="D735" s="297">
        <v>2</v>
      </c>
      <c r="E735" s="290"/>
    </row>
    <row r="736" spans="1:5" ht="13.5">
      <c r="A736" s="290"/>
      <c r="B736" s="290"/>
      <c r="C736" s="290" t="s">
        <v>27</v>
      </c>
      <c r="D736" s="297">
        <v>3</v>
      </c>
      <c r="E736" s="290"/>
    </row>
    <row r="737" spans="1:5" ht="13.5">
      <c r="A737" s="290"/>
      <c r="B737" s="290"/>
      <c r="C737" s="290" t="s">
        <v>28</v>
      </c>
      <c r="D737" s="297">
        <v>1</v>
      </c>
      <c r="E737" s="290"/>
    </row>
    <row r="738" spans="1:5" ht="13.5">
      <c r="A738" s="290"/>
      <c r="B738" s="290"/>
      <c r="C738" s="290" t="s">
        <v>29</v>
      </c>
      <c r="D738" s="297">
        <v>2</v>
      </c>
      <c r="E738" s="290"/>
    </row>
    <row r="739" spans="1:5" ht="13.5">
      <c r="A739" s="290"/>
      <c r="B739" s="290"/>
      <c r="C739" s="290" t="s">
        <v>30</v>
      </c>
      <c r="D739" s="297">
        <v>4</v>
      </c>
      <c r="E739" s="290"/>
    </row>
    <row r="740" spans="1:5" ht="13.5">
      <c r="A740" s="290"/>
      <c r="B740" s="290"/>
      <c r="C740" s="290" t="s">
        <v>31</v>
      </c>
      <c r="D740" s="297">
        <v>3</v>
      </c>
      <c r="E740" s="290"/>
    </row>
    <row r="741" spans="1:5" ht="13.5">
      <c r="A741" s="290"/>
      <c r="B741" s="290"/>
      <c r="C741" s="290" t="s">
        <v>32</v>
      </c>
      <c r="D741" s="297">
        <v>3</v>
      </c>
      <c r="E741" s="290"/>
    </row>
    <row r="742" spans="1:5" ht="5.0999999999999996" customHeight="1">
      <c r="A742" s="290"/>
      <c r="B742" s="290"/>
      <c r="C742" s="290"/>
      <c r="D742" s="297"/>
      <c r="E742" s="290"/>
    </row>
    <row r="743" spans="1:5" ht="13.5">
      <c r="A743" s="290"/>
      <c r="B743" s="292" t="s">
        <v>161</v>
      </c>
      <c r="C743" s="292"/>
      <c r="D743" s="295">
        <v>74</v>
      </c>
      <c r="E743" s="344"/>
    </row>
    <row r="744" spans="1:5" ht="5.0999999999999996" customHeight="1">
      <c r="A744" s="290"/>
      <c r="B744" s="290"/>
      <c r="C744" s="290"/>
      <c r="D744" s="297"/>
      <c r="E744" s="290"/>
    </row>
    <row r="745" spans="1:5" ht="13.5">
      <c r="A745" s="290"/>
      <c r="B745" s="290"/>
      <c r="C745" s="290" t="s">
        <v>21</v>
      </c>
      <c r="D745" s="297">
        <v>2</v>
      </c>
      <c r="E745" s="290"/>
    </row>
    <row r="746" spans="1:5" ht="13.5">
      <c r="A746" s="290"/>
      <c r="B746" s="290"/>
      <c r="C746" s="290" t="s">
        <v>22</v>
      </c>
      <c r="D746" s="297">
        <v>10</v>
      </c>
      <c r="E746" s="290"/>
    </row>
    <row r="747" spans="1:5" ht="13.5">
      <c r="A747" s="290"/>
      <c r="B747" s="290"/>
      <c r="C747" s="290" t="s">
        <v>23</v>
      </c>
      <c r="D747" s="297">
        <v>3</v>
      </c>
      <c r="E747" s="290"/>
    </row>
    <row r="748" spans="1:5" ht="13.5">
      <c r="A748" s="290"/>
      <c r="B748" s="290"/>
      <c r="C748" s="290" t="s">
        <v>24</v>
      </c>
      <c r="D748" s="297">
        <v>5</v>
      </c>
      <c r="E748" s="290"/>
    </row>
    <row r="749" spans="1:5" ht="13.5">
      <c r="A749" s="290"/>
      <c r="B749" s="290"/>
      <c r="C749" s="290" t="s">
        <v>25</v>
      </c>
      <c r="D749" s="297">
        <v>5</v>
      </c>
      <c r="E749" s="290"/>
    </row>
    <row r="750" spans="1:5" ht="13.5">
      <c r="A750" s="290"/>
      <c r="B750" s="290"/>
      <c r="C750" s="290" t="s">
        <v>26</v>
      </c>
      <c r="D750" s="297">
        <v>7</v>
      </c>
      <c r="E750" s="290"/>
    </row>
    <row r="751" spans="1:5" ht="13.5">
      <c r="A751" s="290"/>
      <c r="B751" s="290"/>
      <c r="C751" s="290" t="s">
        <v>27</v>
      </c>
      <c r="D751" s="297">
        <v>9</v>
      </c>
      <c r="E751" s="290"/>
    </row>
    <row r="752" spans="1:5" ht="13.5">
      <c r="A752" s="290"/>
      <c r="B752" s="290"/>
      <c r="C752" s="290" t="s">
        <v>28</v>
      </c>
      <c r="D752" s="297">
        <v>5</v>
      </c>
      <c r="E752" s="290"/>
    </row>
    <row r="753" spans="1:5" ht="13.5">
      <c r="A753" s="290"/>
      <c r="B753" s="290"/>
      <c r="C753" s="290" t="s">
        <v>29</v>
      </c>
      <c r="D753" s="297">
        <v>11</v>
      </c>
      <c r="E753" s="290"/>
    </row>
    <row r="754" spans="1:5" ht="13.5">
      <c r="A754" s="290"/>
      <c r="B754" s="290"/>
      <c r="C754" s="290" t="s">
        <v>30</v>
      </c>
      <c r="D754" s="297">
        <v>3</v>
      </c>
      <c r="E754" s="290"/>
    </row>
    <row r="755" spans="1:5" ht="13.5">
      <c r="A755" s="290"/>
      <c r="B755" s="290"/>
      <c r="C755" s="290" t="s">
        <v>31</v>
      </c>
      <c r="D755" s="297">
        <v>5</v>
      </c>
      <c r="E755" s="290"/>
    </row>
    <row r="756" spans="1:5" ht="13.5">
      <c r="A756" s="290"/>
      <c r="B756" s="290"/>
      <c r="C756" s="290" t="s">
        <v>32</v>
      </c>
      <c r="D756" s="297">
        <v>9</v>
      </c>
      <c r="E756" s="290"/>
    </row>
    <row r="757" spans="1:5" ht="5.0999999999999996" customHeight="1">
      <c r="A757" s="290"/>
      <c r="B757" s="290"/>
      <c r="C757" s="290"/>
      <c r="D757" s="297"/>
      <c r="E757" s="290"/>
    </row>
    <row r="758" spans="1:5" ht="13.5">
      <c r="A758" s="292" t="s">
        <v>369</v>
      </c>
      <c r="B758" s="292"/>
      <c r="C758" s="295"/>
      <c r="D758" s="344">
        <v>139</v>
      </c>
      <c r="E758" s="290"/>
    </row>
    <row r="759" spans="1:5" ht="5.0999999999999996" customHeight="1">
      <c r="A759" s="290"/>
      <c r="B759" s="290"/>
      <c r="C759" s="290"/>
      <c r="D759" s="297"/>
      <c r="E759" s="290"/>
    </row>
    <row r="760" spans="1:5" ht="13.5">
      <c r="A760" s="290"/>
      <c r="B760" s="290"/>
      <c r="C760" s="290" t="s">
        <v>21</v>
      </c>
      <c r="D760" s="297">
        <v>15</v>
      </c>
      <c r="E760" s="290"/>
    </row>
    <row r="761" spans="1:5" ht="13.5">
      <c r="A761" s="290"/>
      <c r="B761" s="290"/>
      <c r="C761" s="290" t="s">
        <v>22</v>
      </c>
      <c r="D761" s="297">
        <v>10</v>
      </c>
      <c r="E761" s="290"/>
    </row>
    <row r="762" spans="1:5" ht="13.5">
      <c r="A762" s="290"/>
      <c r="B762" s="290"/>
      <c r="C762" s="290" t="s">
        <v>23</v>
      </c>
      <c r="D762" s="297">
        <v>16</v>
      </c>
      <c r="E762" s="290"/>
    </row>
    <row r="763" spans="1:5" ht="13.5">
      <c r="A763" s="290"/>
      <c r="B763" s="290"/>
      <c r="C763" s="290" t="s">
        <v>24</v>
      </c>
      <c r="D763" s="297">
        <v>10</v>
      </c>
      <c r="E763" s="290"/>
    </row>
    <row r="764" spans="1:5" ht="13.5">
      <c r="A764" s="290"/>
      <c r="B764" s="290"/>
      <c r="C764" s="290" t="s">
        <v>25</v>
      </c>
      <c r="D764" s="297">
        <v>12</v>
      </c>
      <c r="E764" s="290"/>
    </row>
    <row r="765" spans="1:5" ht="13.5">
      <c r="A765" s="290"/>
      <c r="B765" s="290"/>
      <c r="C765" s="290" t="s">
        <v>26</v>
      </c>
      <c r="D765" s="297">
        <v>6</v>
      </c>
      <c r="E765" s="290"/>
    </row>
    <row r="766" spans="1:5" ht="13.5">
      <c r="A766" s="290"/>
      <c r="B766" s="290"/>
      <c r="C766" s="290" t="s">
        <v>27</v>
      </c>
      <c r="D766" s="297">
        <v>15</v>
      </c>
      <c r="E766" s="290"/>
    </row>
    <row r="767" spans="1:5" ht="13.5">
      <c r="A767" s="290"/>
      <c r="B767" s="290"/>
      <c r="C767" s="290" t="s">
        <v>28</v>
      </c>
      <c r="D767" s="297">
        <v>15</v>
      </c>
      <c r="E767" s="290"/>
    </row>
    <row r="768" spans="1:5" ht="13.5">
      <c r="A768" s="290"/>
      <c r="B768" s="290"/>
      <c r="C768" s="290" t="s">
        <v>29</v>
      </c>
      <c r="D768" s="297">
        <v>6</v>
      </c>
      <c r="E768" s="290"/>
    </row>
    <row r="769" spans="1:5" ht="13.5">
      <c r="A769" s="290"/>
      <c r="B769" s="290"/>
      <c r="C769" s="290" t="s">
        <v>30</v>
      </c>
      <c r="D769" s="297">
        <v>11</v>
      </c>
      <c r="E769" s="290"/>
    </row>
    <row r="770" spans="1:5" ht="13.5">
      <c r="A770" s="290"/>
      <c r="B770" s="290"/>
      <c r="C770" s="290" t="s">
        <v>31</v>
      </c>
      <c r="D770" s="297">
        <v>17</v>
      </c>
      <c r="E770" s="290"/>
    </row>
    <row r="771" spans="1:5" ht="13.5">
      <c r="A771" s="290"/>
      <c r="B771" s="290"/>
      <c r="C771" s="290" t="s">
        <v>32</v>
      </c>
      <c r="D771" s="297">
        <v>6</v>
      </c>
      <c r="E771" s="290"/>
    </row>
    <row r="772" spans="1:5" ht="5.0999999999999996" customHeight="1">
      <c r="A772" s="290"/>
      <c r="B772" s="290"/>
      <c r="C772" s="290"/>
      <c r="D772" s="297"/>
      <c r="E772" s="290"/>
    </row>
    <row r="773" spans="1:5" ht="13.5">
      <c r="A773" s="290"/>
      <c r="B773" s="292" t="s">
        <v>536</v>
      </c>
      <c r="C773" s="292"/>
      <c r="D773" s="295">
        <v>55</v>
      </c>
      <c r="E773" s="344"/>
    </row>
    <row r="774" spans="1:5" ht="5.0999999999999996" customHeight="1">
      <c r="A774" s="290"/>
      <c r="B774" s="290"/>
      <c r="C774" s="290"/>
      <c r="D774" s="297"/>
      <c r="E774" s="290"/>
    </row>
    <row r="775" spans="1:5" ht="13.5">
      <c r="A775" s="290"/>
      <c r="B775" s="290"/>
      <c r="C775" s="290" t="s">
        <v>21</v>
      </c>
      <c r="D775" s="297">
        <v>2</v>
      </c>
      <c r="E775" s="290"/>
    </row>
    <row r="776" spans="1:5" ht="13.5">
      <c r="A776" s="290"/>
      <c r="B776" s="290"/>
      <c r="C776" s="290" t="s">
        <v>22</v>
      </c>
      <c r="D776" s="297">
        <v>4</v>
      </c>
      <c r="E776" s="290"/>
    </row>
    <row r="777" spans="1:5" ht="13.5">
      <c r="A777" s="290"/>
      <c r="B777" s="290"/>
      <c r="C777" s="290" t="s">
        <v>23</v>
      </c>
      <c r="D777" s="297">
        <v>3</v>
      </c>
      <c r="E777" s="290"/>
    </row>
    <row r="778" spans="1:5" ht="13.5">
      <c r="A778" s="290"/>
      <c r="B778" s="290"/>
      <c r="C778" s="290" t="s">
        <v>24</v>
      </c>
      <c r="D778" s="297">
        <v>3</v>
      </c>
      <c r="E778" s="290"/>
    </row>
    <row r="779" spans="1:5" ht="13.5">
      <c r="A779" s="290"/>
      <c r="B779" s="290"/>
      <c r="C779" s="290" t="s">
        <v>25</v>
      </c>
      <c r="D779" s="297">
        <v>5</v>
      </c>
      <c r="E779" s="290"/>
    </row>
    <row r="780" spans="1:5" ht="13.5">
      <c r="A780" s="290"/>
      <c r="B780" s="290"/>
      <c r="C780" s="290" t="s">
        <v>26</v>
      </c>
      <c r="D780" s="297">
        <v>5</v>
      </c>
      <c r="E780" s="290"/>
    </row>
    <row r="781" spans="1:5" ht="13.5">
      <c r="A781" s="290"/>
      <c r="B781" s="290"/>
      <c r="C781" s="290" t="s">
        <v>27</v>
      </c>
      <c r="D781" s="297">
        <v>5</v>
      </c>
      <c r="E781" s="290"/>
    </row>
    <row r="782" spans="1:5" ht="13.5">
      <c r="A782" s="290"/>
      <c r="B782" s="290"/>
      <c r="C782" s="290" t="s">
        <v>28</v>
      </c>
      <c r="D782" s="297">
        <v>10</v>
      </c>
      <c r="E782" s="290"/>
    </row>
    <row r="783" spans="1:5" ht="13.5">
      <c r="A783" s="290"/>
      <c r="B783" s="290"/>
      <c r="C783" s="290" t="s">
        <v>29</v>
      </c>
      <c r="D783" s="297">
        <v>2</v>
      </c>
      <c r="E783" s="290"/>
    </row>
    <row r="784" spans="1:5" ht="13.5">
      <c r="A784" s="290"/>
      <c r="B784" s="290"/>
      <c r="C784" s="290" t="s">
        <v>30</v>
      </c>
      <c r="D784" s="297">
        <v>4</v>
      </c>
      <c r="E784" s="290"/>
    </row>
    <row r="785" spans="1:5" ht="13.5">
      <c r="A785" s="290"/>
      <c r="B785" s="290"/>
      <c r="C785" s="290" t="s">
        <v>31</v>
      </c>
      <c r="D785" s="297">
        <v>9</v>
      </c>
      <c r="E785" s="290"/>
    </row>
    <row r="786" spans="1:5" ht="13.5">
      <c r="A786" s="290"/>
      <c r="B786" s="290"/>
      <c r="C786" s="290" t="s">
        <v>32</v>
      </c>
      <c r="D786" s="297">
        <v>3</v>
      </c>
      <c r="E786" s="290"/>
    </row>
    <row r="787" spans="1:5" ht="5.0999999999999996" customHeight="1">
      <c r="A787" s="290"/>
      <c r="B787" s="290"/>
      <c r="C787" s="290"/>
      <c r="D787" s="297"/>
      <c r="E787" s="290"/>
    </row>
    <row r="788" spans="1:5" ht="13.5">
      <c r="A788" s="290"/>
      <c r="B788" s="292" t="s">
        <v>162</v>
      </c>
      <c r="C788" s="292"/>
      <c r="D788" s="295">
        <v>9</v>
      </c>
      <c r="E788" s="344"/>
    </row>
    <row r="789" spans="1:5" ht="5.0999999999999996" customHeight="1">
      <c r="A789" s="290"/>
      <c r="B789" s="290"/>
      <c r="C789" s="290"/>
      <c r="D789" s="297"/>
      <c r="E789" s="290"/>
    </row>
    <row r="790" spans="1:5" ht="13.5">
      <c r="A790" s="290"/>
      <c r="B790" s="290"/>
      <c r="C790" s="290" t="s">
        <v>21</v>
      </c>
      <c r="D790" s="297">
        <v>1</v>
      </c>
      <c r="E790" s="290"/>
    </row>
    <row r="791" spans="1:5" ht="13.5">
      <c r="A791" s="290"/>
      <c r="B791" s="290"/>
      <c r="C791" s="290" t="s">
        <v>23</v>
      </c>
      <c r="D791" s="297">
        <v>1</v>
      </c>
      <c r="E791" s="290"/>
    </row>
    <row r="792" spans="1:5" ht="13.5">
      <c r="A792" s="290"/>
      <c r="B792" s="290"/>
      <c r="C792" s="290" t="s">
        <v>25</v>
      </c>
      <c r="D792" s="297">
        <v>3</v>
      </c>
      <c r="E792" s="290"/>
    </row>
    <row r="793" spans="1:5" ht="13.5">
      <c r="A793" s="290"/>
      <c r="B793" s="290"/>
      <c r="C793" s="290" t="s">
        <v>26</v>
      </c>
      <c r="D793" s="297">
        <v>1</v>
      </c>
      <c r="E793" s="290"/>
    </row>
    <row r="794" spans="1:5" ht="13.5">
      <c r="A794" s="290"/>
      <c r="B794" s="290"/>
      <c r="C794" s="290" t="s">
        <v>27</v>
      </c>
      <c r="D794" s="297">
        <v>2</v>
      </c>
      <c r="E794" s="290"/>
    </row>
    <row r="795" spans="1:5" ht="13.5">
      <c r="A795" s="290"/>
      <c r="B795" s="290"/>
      <c r="C795" s="290" t="s">
        <v>31</v>
      </c>
      <c r="D795" s="297">
        <v>1</v>
      </c>
      <c r="E795" s="290"/>
    </row>
    <row r="796" spans="1:5" ht="5.0999999999999996" customHeight="1">
      <c r="A796" s="290"/>
      <c r="B796" s="290"/>
      <c r="C796" s="290"/>
      <c r="D796" s="297"/>
      <c r="E796" s="290"/>
    </row>
    <row r="797" spans="1:5" ht="13.5">
      <c r="A797" s="290"/>
      <c r="B797" s="292" t="s">
        <v>163</v>
      </c>
      <c r="C797" s="292"/>
      <c r="D797" s="295">
        <v>17</v>
      </c>
      <c r="E797" s="344"/>
    </row>
    <row r="798" spans="1:5" ht="5.0999999999999996" customHeight="1">
      <c r="A798" s="290"/>
      <c r="B798" s="290"/>
      <c r="C798" s="290"/>
      <c r="D798" s="297"/>
      <c r="E798" s="290"/>
    </row>
    <row r="799" spans="1:5" ht="13.5">
      <c r="A799" s="290"/>
      <c r="B799" s="290"/>
      <c r="C799" s="290" t="s">
        <v>21</v>
      </c>
      <c r="D799" s="297">
        <v>1</v>
      </c>
      <c r="E799" s="290"/>
    </row>
    <row r="800" spans="1:5" ht="13.5">
      <c r="A800" s="290"/>
      <c r="B800" s="290"/>
      <c r="C800" s="290" t="s">
        <v>22</v>
      </c>
      <c r="D800" s="297">
        <v>2</v>
      </c>
      <c r="E800" s="290"/>
    </row>
    <row r="801" spans="1:5" ht="13.5">
      <c r="A801" s="290"/>
      <c r="B801" s="290"/>
      <c r="C801" s="290" t="s">
        <v>23</v>
      </c>
      <c r="D801" s="297">
        <v>1</v>
      </c>
      <c r="E801" s="290"/>
    </row>
    <row r="802" spans="1:5" ht="13.5">
      <c r="A802" s="290"/>
      <c r="B802" s="290"/>
      <c r="C802" s="290" t="s">
        <v>24</v>
      </c>
      <c r="D802" s="297">
        <v>1</v>
      </c>
      <c r="E802" s="290"/>
    </row>
    <row r="803" spans="1:5" ht="13.5">
      <c r="A803" s="290"/>
      <c r="B803" s="290"/>
      <c r="C803" s="290" t="s">
        <v>25</v>
      </c>
      <c r="D803" s="297">
        <v>1</v>
      </c>
      <c r="E803" s="290"/>
    </row>
    <row r="804" spans="1:5" ht="13.5">
      <c r="A804" s="290"/>
      <c r="B804" s="290"/>
      <c r="C804" s="290" t="s">
        <v>27</v>
      </c>
      <c r="D804" s="297">
        <v>1</v>
      </c>
      <c r="E804" s="290"/>
    </row>
    <row r="805" spans="1:5" ht="13.5">
      <c r="A805" s="290"/>
      <c r="B805" s="290"/>
      <c r="C805" s="290" t="s">
        <v>28</v>
      </c>
      <c r="D805" s="297">
        <v>3</v>
      </c>
      <c r="E805" s="290"/>
    </row>
    <row r="806" spans="1:5" ht="13.5">
      <c r="A806" s="290"/>
      <c r="B806" s="290"/>
      <c r="C806" s="290" t="s">
        <v>30</v>
      </c>
      <c r="D806" s="297">
        <v>4</v>
      </c>
      <c r="E806" s="290"/>
    </row>
    <row r="807" spans="1:5" ht="13.5">
      <c r="A807" s="290"/>
      <c r="B807" s="290"/>
      <c r="C807" s="290" t="s">
        <v>31</v>
      </c>
      <c r="D807" s="297">
        <v>3</v>
      </c>
      <c r="E807" s="290"/>
    </row>
    <row r="808" spans="1:5" ht="5.0999999999999996" customHeight="1">
      <c r="A808" s="290"/>
      <c r="B808" s="290"/>
      <c r="C808" s="290"/>
      <c r="D808" s="297"/>
      <c r="E808" s="290"/>
    </row>
    <row r="809" spans="1:5" ht="13.5">
      <c r="A809" s="290"/>
      <c r="B809" s="292" t="s">
        <v>164</v>
      </c>
      <c r="C809" s="292"/>
      <c r="D809" s="295">
        <v>22</v>
      </c>
      <c r="E809" s="344"/>
    </row>
    <row r="810" spans="1:5" ht="5.0999999999999996" customHeight="1">
      <c r="A810" s="290"/>
      <c r="B810" s="290"/>
      <c r="C810" s="290"/>
      <c r="D810" s="297"/>
      <c r="E810" s="290"/>
    </row>
    <row r="811" spans="1:5" ht="13.5">
      <c r="A811" s="290"/>
      <c r="B811" s="290"/>
      <c r="C811" s="290" t="s">
        <v>21</v>
      </c>
      <c r="D811" s="297">
        <v>4</v>
      </c>
      <c r="E811" s="290"/>
    </row>
    <row r="812" spans="1:5" ht="13.5">
      <c r="A812" s="290"/>
      <c r="B812" s="290"/>
      <c r="C812" s="290" t="s">
        <v>22</v>
      </c>
      <c r="D812" s="297">
        <v>1</v>
      </c>
      <c r="E812" s="290"/>
    </row>
    <row r="813" spans="1:5" ht="13.5">
      <c r="A813" s="290"/>
      <c r="B813" s="290"/>
      <c r="C813" s="290" t="s">
        <v>23</v>
      </c>
      <c r="D813" s="297">
        <v>3</v>
      </c>
      <c r="E813" s="290"/>
    </row>
    <row r="814" spans="1:5" ht="13.5">
      <c r="A814" s="290"/>
      <c r="B814" s="290"/>
      <c r="C814" s="290" t="s">
        <v>24</v>
      </c>
      <c r="D814" s="297">
        <v>2</v>
      </c>
      <c r="E814" s="290"/>
    </row>
    <row r="815" spans="1:5" ht="13.5">
      <c r="A815" s="290"/>
      <c r="B815" s="290"/>
      <c r="C815" s="290" t="s">
        <v>25</v>
      </c>
      <c r="D815" s="297">
        <v>1</v>
      </c>
      <c r="E815" s="290"/>
    </row>
    <row r="816" spans="1:5" ht="13.5">
      <c r="A816" s="290"/>
      <c r="B816" s="290"/>
      <c r="C816" s="290" t="s">
        <v>27</v>
      </c>
      <c r="D816" s="297">
        <v>4</v>
      </c>
      <c r="E816" s="290"/>
    </row>
    <row r="817" spans="1:5" ht="13.5">
      <c r="A817" s="290"/>
      <c r="B817" s="290"/>
      <c r="C817" s="290" t="s">
        <v>28</v>
      </c>
      <c r="D817" s="297">
        <v>2</v>
      </c>
      <c r="E817" s="290"/>
    </row>
    <row r="818" spans="1:5" ht="13.5">
      <c r="A818" s="290"/>
      <c r="B818" s="290"/>
      <c r="C818" s="290" t="s">
        <v>29</v>
      </c>
      <c r="D818" s="297">
        <v>3</v>
      </c>
      <c r="E818" s="290"/>
    </row>
    <row r="819" spans="1:5" ht="13.5">
      <c r="A819" s="290"/>
      <c r="B819" s="290"/>
      <c r="C819" s="290" t="s">
        <v>30</v>
      </c>
      <c r="D819" s="297">
        <v>1</v>
      </c>
      <c r="E819" s="290"/>
    </row>
    <row r="820" spans="1:5" ht="13.5">
      <c r="A820" s="290"/>
      <c r="B820" s="290"/>
      <c r="C820" s="290" t="s">
        <v>31</v>
      </c>
      <c r="D820" s="297">
        <v>1</v>
      </c>
      <c r="E820" s="290"/>
    </row>
    <row r="821" spans="1:5" ht="5.0999999999999996" customHeight="1">
      <c r="A821" s="290"/>
      <c r="B821" s="290"/>
      <c r="C821" s="290"/>
      <c r="D821" s="297"/>
      <c r="E821" s="290"/>
    </row>
    <row r="822" spans="1:5" ht="13.5">
      <c r="A822" s="292"/>
      <c r="B822" s="292" t="s">
        <v>450</v>
      </c>
      <c r="C822" s="295"/>
      <c r="D822" s="344">
        <v>10</v>
      </c>
      <c r="E822" s="290"/>
    </row>
    <row r="823" spans="1:5" ht="5.0999999999999996" customHeight="1">
      <c r="A823" s="290"/>
      <c r="B823" s="290"/>
      <c r="C823" s="290"/>
      <c r="D823" s="297"/>
      <c r="E823" s="290"/>
    </row>
    <row r="824" spans="1:5" ht="13.5">
      <c r="A824" s="290"/>
      <c r="B824" s="290"/>
      <c r="C824" s="290" t="s">
        <v>21</v>
      </c>
      <c r="D824" s="297">
        <v>2</v>
      </c>
      <c r="E824" s="290"/>
    </row>
    <row r="825" spans="1:5" ht="13.5">
      <c r="A825" s="290"/>
      <c r="B825" s="290"/>
      <c r="C825" s="290" t="s">
        <v>22</v>
      </c>
      <c r="D825" s="297">
        <v>1</v>
      </c>
      <c r="E825" s="290"/>
    </row>
    <row r="826" spans="1:5" ht="13.5">
      <c r="A826" s="290"/>
      <c r="B826" s="290"/>
      <c r="C826" s="290" t="s">
        <v>23</v>
      </c>
      <c r="D826" s="297">
        <v>1</v>
      </c>
      <c r="E826" s="290"/>
    </row>
    <row r="827" spans="1:5" ht="13.5">
      <c r="A827" s="290"/>
      <c r="B827" s="290"/>
      <c r="C827" s="290" t="s">
        <v>24</v>
      </c>
      <c r="D827" s="297">
        <v>3</v>
      </c>
      <c r="E827" s="290"/>
    </row>
    <row r="828" spans="1:5" ht="13.5">
      <c r="A828" s="290"/>
      <c r="B828" s="290"/>
      <c r="C828" s="290" t="s">
        <v>27</v>
      </c>
      <c r="D828" s="297">
        <v>1</v>
      </c>
      <c r="E828" s="290"/>
    </row>
    <row r="829" spans="1:5" ht="13.5">
      <c r="A829" s="290"/>
      <c r="B829" s="290"/>
      <c r="C829" s="290" t="s">
        <v>31</v>
      </c>
      <c r="D829" s="297">
        <v>1</v>
      </c>
      <c r="E829" s="290"/>
    </row>
    <row r="830" spans="1:5" ht="13.5">
      <c r="A830" s="290"/>
      <c r="B830" s="290"/>
      <c r="C830" s="290" t="s">
        <v>32</v>
      </c>
      <c r="D830" s="297">
        <v>1</v>
      </c>
      <c r="E830" s="290"/>
    </row>
    <row r="831" spans="1:5" ht="5.0999999999999996" customHeight="1">
      <c r="A831" s="290"/>
      <c r="B831" s="290"/>
      <c r="C831" s="290"/>
      <c r="D831" s="297"/>
      <c r="E831" s="290"/>
    </row>
    <row r="832" spans="1:5" ht="13.5">
      <c r="A832" s="292"/>
      <c r="B832" s="292" t="s">
        <v>451</v>
      </c>
      <c r="C832" s="295"/>
      <c r="D832" s="344">
        <v>26</v>
      </c>
      <c r="E832" s="290"/>
    </row>
    <row r="833" spans="1:5" ht="5.0999999999999996" customHeight="1">
      <c r="A833" s="290"/>
      <c r="B833" s="290"/>
      <c r="C833" s="290"/>
      <c r="D833" s="297"/>
      <c r="E833" s="290"/>
    </row>
    <row r="834" spans="1:5" ht="13.5">
      <c r="A834" s="290"/>
      <c r="B834" s="290"/>
      <c r="C834" s="290" t="s">
        <v>21</v>
      </c>
      <c r="D834" s="297">
        <v>5</v>
      </c>
      <c r="E834" s="290"/>
    </row>
    <row r="835" spans="1:5" ht="13.5">
      <c r="A835" s="290"/>
      <c r="B835" s="290"/>
      <c r="C835" s="290" t="s">
        <v>22</v>
      </c>
      <c r="D835" s="297">
        <v>2</v>
      </c>
      <c r="E835" s="290"/>
    </row>
    <row r="836" spans="1:5" ht="13.5">
      <c r="A836" s="290"/>
      <c r="B836" s="290"/>
      <c r="C836" s="290" t="s">
        <v>23</v>
      </c>
      <c r="D836" s="297">
        <v>7</v>
      </c>
      <c r="E836" s="290"/>
    </row>
    <row r="837" spans="1:5" ht="13.5">
      <c r="A837" s="290"/>
      <c r="B837" s="290"/>
      <c r="C837" s="290" t="s">
        <v>24</v>
      </c>
      <c r="D837" s="297">
        <v>1</v>
      </c>
      <c r="E837" s="290"/>
    </row>
    <row r="838" spans="1:5" ht="13.5">
      <c r="A838" s="290"/>
      <c r="B838" s="290"/>
      <c r="C838" s="290" t="s">
        <v>25</v>
      </c>
      <c r="D838" s="297">
        <v>2</v>
      </c>
      <c r="E838" s="290"/>
    </row>
    <row r="839" spans="1:5" ht="13.5">
      <c r="A839" s="290"/>
      <c r="B839" s="290"/>
      <c r="C839" s="290" t="s">
        <v>27</v>
      </c>
      <c r="D839" s="297">
        <v>2</v>
      </c>
      <c r="E839" s="290"/>
    </row>
    <row r="840" spans="1:5" ht="13.5">
      <c r="A840" s="290"/>
      <c r="B840" s="290"/>
      <c r="C840" s="290" t="s">
        <v>29</v>
      </c>
      <c r="D840" s="297">
        <v>1</v>
      </c>
      <c r="E840" s="290"/>
    </row>
    <row r="841" spans="1:5" ht="13.5">
      <c r="A841" s="290"/>
      <c r="B841" s="290"/>
      <c r="C841" s="290" t="s">
        <v>30</v>
      </c>
      <c r="D841" s="297">
        <v>2</v>
      </c>
      <c r="E841" s="290"/>
    </row>
    <row r="842" spans="1:5" ht="13.5">
      <c r="A842" s="290"/>
      <c r="B842" s="290"/>
      <c r="C842" s="290" t="s">
        <v>31</v>
      </c>
      <c r="D842" s="297">
        <v>2</v>
      </c>
      <c r="E842" s="290"/>
    </row>
    <row r="843" spans="1:5" ht="13.5">
      <c r="A843" s="290"/>
      <c r="B843" s="290"/>
      <c r="C843" s="290" t="s">
        <v>32</v>
      </c>
      <c r="D843" s="297">
        <v>2</v>
      </c>
      <c r="E843" s="290"/>
    </row>
    <row r="844" spans="1:5" ht="5.0999999999999996" customHeight="1">
      <c r="A844" s="290"/>
      <c r="B844" s="290"/>
      <c r="C844" s="290"/>
      <c r="D844" s="297"/>
      <c r="E844" s="290"/>
    </row>
    <row r="845" spans="1:5" ht="13.5">
      <c r="A845" s="292" t="s">
        <v>91</v>
      </c>
      <c r="B845" s="292"/>
      <c r="C845" s="295"/>
      <c r="D845" s="344">
        <v>9</v>
      </c>
      <c r="E845" s="290"/>
    </row>
    <row r="846" spans="1:5" ht="5.0999999999999996" customHeight="1">
      <c r="A846" s="290"/>
      <c r="B846" s="290"/>
      <c r="C846" s="290"/>
      <c r="D846" s="297"/>
      <c r="E846" s="290"/>
    </row>
    <row r="847" spans="1:5" ht="13.5">
      <c r="A847" s="290"/>
      <c r="B847" s="290"/>
      <c r="C847" s="290" t="s">
        <v>27</v>
      </c>
      <c r="D847" s="297">
        <v>4</v>
      </c>
      <c r="E847" s="290"/>
    </row>
    <row r="848" spans="1:5" ht="13.5">
      <c r="A848" s="290"/>
      <c r="B848" s="290"/>
      <c r="C848" s="290" t="s">
        <v>28</v>
      </c>
      <c r="D848" s="297">
        <v>2</v>
      </c>
      <c r="E848" s="290"/>
    </row>
    <row r="849" spans="1:5" ht="13.5">
      <c r="A849" s="290"/>
      <c r="B849" s="290"/>
      <c r="C849" s="290" t="s">
        <v>30</v>
      </c>
      <c r="D849" s="297">
        <v>1</v>
      </c>
      <c r="E849" s="290"/>
    </row>
    <row r="850" spans="1:5" ht="13.5">
      <c r="A850" s="290"/>
      <c r="B850" s="290"/>
      <c r="C850" s="290" t="s">
        <v>32</v>
      </c>
      <c r="D850" s="297">
        <v>2</v>
      </c>
      <c r="E850" s="290"/>
    </row>
    <row r="851" spans="1:5" ht="5.0999999999999996" customHeight="1">
      <c r="A851" s="290"/>
      <c r="B851" s="290"/>
      <c r="C851" s="290"/>
      <c r="D851" s="297"/>
      <c r="E851" s="290"/>
    </row>
    <row r="852" spans="1:5" ht="13.5">
      <c r="A852" s="292"/>
      <c r="B852" s="292" t="s">
        <v>91</v>
      </c>
      <c r="C852" s="295"/>
      <c r="D852" s="344">
        <v>8</v>
      </c>
      <c r="E852" s="290"/>
    </row>
    <row r="853" spans="1:5" ht="5.0999999999999996" customHeight="1">
      <c r="A853" s="290"/>
      <c r="B853" s="290"/>
      <c r="C853" s="290"/>
      <c r="D853" s="297"/>
      <c r="E853" s="290"/>
    </row>
    <row r="854" spans="1:5" ht="13.5">
      <c r="A854" s="290"/>
      <c r="B854" s="290"/>
      <c r="C854" s="290" t="s">
        <v>27</v>
      </c>
      <c r="D854" s="297">
        <v>4</v>
      </c>
      <c r="E854" s="290"/>
    </row>
    <row r="855" spans="1:5" ht="13.5">
      <c r="A855" s="290"/>
      <c r="B855" s="290"/>
      <c r="C855" s="290" t="s">
        <v>28</v>
      </c>
      <c r="D855" s="297">
        <v>1</v>
      </c>
      <c r="E855" s="290"/>
    </row>
    <row r="856" spans="1:5" ht="13.5">
      <c r="A856" s="290"/>
      <c r="B856" s="290"/>
      <c r="C856" s="290" t="s">
        <v>30</v>
      </c>
      <c r="D856" s="297">
        <v>1</v>
      </c>
      <c r="E856" s="290"/>
    </row>
    <row r="857" spans="1:5" ht="13.5">
      <c r="A857" s="290"/>
      <c r="B857" s="290"/>
      <c r="C857" s="290" t="s">
        <v>32</v>
      </c>
      <c r="D857" s="297">
        <v>2</v>
      </c>
      <c r="E857" s="290"/>
    </row>
    <row r="858" spans="1:5" ht="5.0999999999999996" customHeight="1">
      <c r="A858" s="290"/>
      <c r="B858" s="290"/>
      <c r="C858" s="290"/>
      <c r="D858" s="297"/>
      <c r="E858" s="290"/>
    </row>
    <row r="859" spans="1:5" ht="13.5">
      <c r="A859" s="292"/>
      <c r="B859" s="292" t="s">
        <v>165</v>
      </c>
      <c r="C859" s="295"/>
      <c r="D859" s="344">
        <v>1</v>
      </c>
      <c r="E859" s="290"/>
    </row>
    <row r="860" spans="1:5" ht="5.0999999999999996" customHeight="1">
      <c r="A860" s="290"/>
      <c r="B860" s="290"/>
      <c r="C860" s="290"/>
      <c r="D860" s="297"/>
      <c r="E860" s="290"/>
    </row>
    <row r="861" spans="1:5" ht="13.5">
      <c r="A861" s="290"/>
      <c r="B861" s="290"/>
      <c r="C861" s="290" t="s">
        <v>28</v>
      </c>
      <c r="D861" s="297">
        <v>1</v>
      </c>
      <c r="E861" s="290"/>
    </row>
    <row r="862" spans="1:5" ht="5.0999999999999996" customHeight="1">
      <c r="A862" s="290"/>
      <c r="B862" s="290"/>
      <c r="C862" s="290"/>
      <c r="D862" s="297"/>
      <c r="E862" s="290"/>
    </row>
    <row r="863" spans="1:5" ht="13.5">
      <c r="A863" s="292" t="s">
        <v>92</v>
      </c>
      <c r="B863" s="292"/>
      <c r="C863" s="295"/>
      <c r="D863" s="344">
        <v>193</v>
      </c>
      <c r="E863" s="290"/>
    </row>
    <row r="864" spans="1:5" ht="5.0999999999999996" customHeight="1">
      <c r="A864" s="290"/>
      <c r="B864" s="290"/>
      <c r="C864" s="290"/>
      <c r="D864" s="297"/>
      <c r="E864" s="290"/>
    </row>
    <row r="865" spans="1:5" ht="13.5">
      <c r="A865" s="290"/>
      <c r="B865" s="290"/>
      <c r="C865" s="290" t="s">
        <v>21</v>
      </c>
      <c r="D865" s="297">
        <v>13</v>
      </c>
      <c r="E865" s="290"/>
    </row>
    <row r="866" spans="1:5" ht="13.5">
      <c r="A866" s="290"/>
      <c r="B866" s="290"/>
      <c r="C866" s="290" t="s">
        <v>22</v>
      </c>
      <c r="D866" s="297">
        <v>6</v>
      </c>
      <c r="E866" s="290"/>
    </row>
    <row r="867" spans="1:5" ht="13.5">
      <c r="A867" s="290"/>
      <c r="B867" s="290"/>
      <c r="C867" s="290" t="s">
        <v>23</v>
      </c>
      <c r="D867" s="297">
        <v>18</v>
      </c>
      <c r="E867" s="290"/>
    </row>
    <row r="868" spans="1:5" ht="13.5">
      <c r="A868" s="290"/>
      <c r="B868" s="290"/>
      <c r="C868" s="290" t="s">
        <v>24</v>
      </c>
      <c r="D868" s="297">
        <v>16</v>
      </c>
      <c r="E868" s="290"/>
    </row>
    <row r="869" spans="1:5" ht="13.5">
      <c r="A869" s="290"/>
      <c r="B869" s="290"/>
      <c r="C869" s="290" t="s">
        <v>25</v>
      </c>
      <c r="D869" s="297">
        <v>9</v>
      </c>
      <c r="E869" s="290"/>
    </row>
    <row r="870" spans="1:5" ht="13.5">
      <c r="A870" s="290"/>
      <c r="B870" s="290"/>
      <c r="C870" s="290" t="s">
        <v>26</v>
      </c>
      <c r="D870" s="297">
        <v>19</v>
      </c>
      <c r="E870" s="290"/>
    </row>
    <row r="871" spans="1:5" ht="13.5">
      <c r="A871" s="290"/>
      <c r="B871" s="290"/>
      <c r="C871" s="290" t="s">
        <v>27</v>
      </c>
      <c r="D871" s="297">
        <v>23</v>
      </c>
      <c r="E871" s="290"/>
    </row>
    <row r="872" spans="1:5" ht="13.5">
      <c r="A872" s="290"/>
      <c r="B872" s="290"/>
      <c r="C872" s="290" t="s">
        <v>28</v>
      </c>
      <c r="D872" s="297">
        <v>18</v>
      </c>
      <c r="E872" s="290"/>
    </row>
    <row r="873" spans="1:5" ht="13.5">
      <c r="A873" s="290"/>
      <c r="B873" s="290"/>
      <c r="C873" s="290" t="s">
        <v>29</v>
      </c>
      <c r="D873" s="297">
        <v>22</v>
      </c>
      <c r="E873" s="290"/>
    </row>
    <row r="874" spans="1:5" ht="13.5">
      <c r="A874" s="290"/>
      <c r="B874" s="290"/>
      <c r="C874" s="290" t="s">
        <v>30</v>
      </c>
      <c r="D874" s="297">
        <v>13</v>
      </c>
      <c r="E874" s="290"/>
    </row>
    <row r="875" spans="1:5" ht="13.5">
      <c r="A875" s="290"/>
      <c r="B875" s="290"/>
      <c r="C875" s="290" t="s">
        <v>31</v>
      </c>
      <c r="D875" s="297">
        <v>22</v>
      </c>
      <c r="E875" s="290"/>
    </row>
    <row r="876" spans="1:5" ht="13.5">
      <c r="A876" s="290"/>
      <c r="B876" s="290"/>
      <c r="C876" s="290" t="s">
        <v>32</v>
      </c>
      <c r="D876" s="297">
        <v>14</v>
      </c>
      <c r="E876" s="290"/>
    </row>
    <row r="877" spans="1:5" ht="5.0999999999999996" customHeight="1">
      <c r="A877" s="290"/>
      <c r="B877" s="290"/>
      <c r="C877" s="290"/>
      <c r="D877" s="297"/>
      <c r="E877" s="290"/>
    </row>
    <row r="878" spans="1:5" ht="13.5">
      <c r="A878" s="292"/>
      <c r="B878" s="292" t="s">
        <v>166</v>
      </c>
      <c r="C878" s="295"/>
      <c r="D878" s="344">
        <v>183</v>
      </c>
      <c r="E878" s="290"/>
    </row>
    <row r="879" spans="1:5" ht="5.0999999999999996" customHeight="1">
      <c r="A879" s="290"/>
      <c r="B879" s="290"/>
      <c r="C879" s="290"/>
      <c r="D879" s="297"/>
      <c r="E879" s="290"/>
    </row>
    <row r="880" spans="1:5" ht="13.5">
      <c r="A880" s="290"/>
      <c r="B880" s="290"/>
      <c r="C880" s="290" t="s">
        <v>21</v>
      </c>
      <c r="D880" s="297">
        <v>11</v>
      </c>
      <c r="E880" s="290"/>
    </row>
    <row r="881" spans="1:5" ht="13.5">
      <c r="A881" s="290"/>
      <c r="B881" s="290"/>
      <c r="C881" s="290" t="s">
        <v>22</v>
      </c>
      <c r="D881" s="297">
        <v>6</v>
      </c>
      <c r="E881" s="290"/>
    </row>
    <row r="882" spans="1:5" ht="13.5">
      <c r="A882" s="290"/>
      <c r="B882" s="290"/>
      <c r="C882" s="290" t="s">
        <v>23</v>
      </c>
      <c r="D882" s="297">
        <v>16</v>
      </c>
      <c r="E882" s="290"/>
    </row>
    <row r="883" spans="1:5" ht="13.5">
      <c r="A883" s="290"/>
      <c r="B883" s="290"/>
      <c r="C883" s="290" t="s">
        <v>24</v>
      </c>
      <c r="D883" s="297">
        <v>15</v>
      </c>
      <c r="E883" s="290"/>
    </row>
    <row r="884" spans="1:5" ht="13.5">
      <c r="A884" s="290"/>
      <c r="B884" s="290"/>
      <c r="C884" s="290" t="s">
        <v>25</v>
      </c>
      <c r="D884" s="297">
        <v>8</v>
      </c>
      <c r="E884" s="290"/>
    </row>
    <row r="885" spans="1:5" ht="13.5">
      <c r="A885" s="290"/>
      <c r="B885" s="290"/>
      <c r="C885" s="290" t="s">
        <v>26</v>
      </c>
      <c r="D885" s="297">
        <v>18</v>
      </c>
      <c r="E885" s="290"/>
    </row>
    <row r="886" spans="1:5" ht="13.5">
      <c r="A886" s="290"/>
      <c r="B886" s="290"/>
      <c r="C886" s="290" t="s">
        <v>27</v>
      </c>
      <c r="D886" s="297">
        <v>23</v>
      </c>
      <c r="E886" s="290"/>
    </row>
    <row r="887" spans="1:5" ht="13.5">
      <c r="A887" s="290"/>
      <c r="B887" s="290"/>
      <c r="C887" s="290" t="s">
        <v>28</v>
      </c>
      <c r="D887" s="297">
        <v>18</v>
      </c>
      <c r="E887" s="290"/>
    </row>
    <row r="888" spans="1:5" ht="13.5">
      <c r="A888" s="290"/>
      <c r="B888" s="290"/>
      <c r="C888" s="290" t="s">
        <v>29</v>
      </c>
      <c r="D888" s="297">
        <v>20</v>
      </c>
      <c r="E888" s="290"/>
    </row>
    <row r="889" spans="1:5" ht="13.5">
      <c r="A889" s="290"/>
      <c r="B889" s="290"/>
      <c r="C889" s="290" t="s">
        <v>30</v>
      </c>
      <c r="D889" s="297">
        <v>13</v>
      </c>
      <c r="E889" s="290"/>
    </row>
    <row r="890" spans="1:5" ht="13.5">
      <c r="A890" s="290"/>
      <c r="B890" s="290"/>
      <c r="C890" s="290" t="s">
        <v>31</v>
      </c>
      <c r="D890" s="297">
        <v>22</v>
      </c>
      <c r="E890" s="290"/>
    </row>
    <row r="891" spans="1:5" ht="13.5">
      <c r="A891" s="290"/>
      <c r="B891" s="290"/>
      <c r="C891" s="290" t="s">
        <v>32</v>
      </c>
      <c r="D891" s="297">
        <v>13</v>
      </c>
      <c r="E891" s="290"/>
    </row>
    <row r="892" spans="1:5" ht="5.0999999999999996" customHeight="1">
      <c r="A892" s="290"/>
      <c r="B892" s="290"/>
      <c r="C892" s="290"/>
      <c r="D892" s="297"/>
      <c r="E892" s="290"/>
    </row>
    <row r="893" spans="1:5" ht="13.5">
      <c r="A893" s="292"/>
      <c r="B893" s="292" t="s">
        <v>167</v>
      </c>
      <c r="C893" s="295"/>
      <c r="D893" s="344">
        <v>10</v>
      </c>
      <c r="E893" s="290"/>
    </row>
    <row r="894" spans="1:5" ht="5.0999999999999996" customHeight="1">
      <c r="A894" s="290"/>
      <c r="B894" s="290"/>
      <c r="C894" s="290"/>
      <c r="D894" s="297"/>
      <c r="E894" s="290"/>
    </row>
    <row r="895" spans="1:5" ht="13.5">
      <c r="A895" s="290"/>
      <c r="B895" s="290"/>
      <c r="C895" s="290" t="s">
        <v>21</v>
      </c>
      <c r="D895" s="297">
        <v>2</v>
      </c>
      <c r="E895" s="290"/>
    </row>
    <row r="896" spans="1:5" ht="13.5">
      <c r="A896" s="290"/>
      <c r="B896" s="290"/>
      <c r="C896" s="290" t="s">
        <v>23</v>
      </c>
      <c r="D896" s="297">
        <v>2</v>
      </c>
      <c r="E896" s="290"/>
    </row>
    <row r="897" spans="1:5" ht="13.5">
      <c r="A897" s="290"/>
      <c r="B897" s="290"/>
      <c r="C897" s="290" t="s">
        <v>24</v>
      </c>
      <c r="D897" s="297">
        <v>1</v>
      </c>
      <c r="E897" s="290"/>
    </row>
    <row r="898" spans="1:5" ht="13.5">
      <c r="A898" s="290"/>
      <c r="B898" s="290"/>
      <c r="C898" s="290" t="s">
        <v>25</v>
      </c>
      <c r="D898" s="297">
        <v>1</v>
      </c>
      <c r="E898" s="290"/>
    </row>
    <row r="899" spans="1:5" ht="13.5">
      <c r="A899" s="290"/>
      <c r="B899" s="290"/>
      <c r="C899" s="290" t="s">
        <v>26</v>
      </c>
      <c r="D899" s="297">
        <v>1</v>
      </c>
      <c r="E899" s="290"/>
    </row>
    <row r="900" spans="1:5" ht="13.5">
      <c r="A900" s="290"/>
      <c r="B900" s="290"/>
      <c r="C900" s="290" t="s">
        <v>29</v>
      </c>
      <c r="D900" s="297">
        <v>2</v>
      </c>
      <c r="E900" s="290"/>
    </row>
    <row r="901" spans="1:5" ht="13.5">
      <c r="A901" s="290"/>
      <c r="B901" s="290"/>
      <c r="C901" s="290" t="s">
        <v>32</v>
      </c>
      <c r="D901" s="297">
        <v>1</v>
      </c>
      <c r="E901" s="290"/>
    </row>
    <row r="902" spans="1:5" ht="5.0999999999999996" customHeight="1">
      <c r="A902" s="290"/>
      <c r="B902" s="290"/>
      <c r="C902" s="290"/>
      <c r="D902" s="297"/>
      <c r="E902" s="290"/>
    </row>
    <row r="903" spans="1:5" ht="13.5">
      <c r="A903" s="292" t="s">
        <v>93</v>
      </c>
      <c r="B903" s="292"/>
      <c r="C903" s="295"/>
      <c r="D903" s="344">
        <v>446</v>
      </c>
      <c r="E903" s="290"/>
    </row>
    <row r="904" spans="1:5" ht="5.0999999999999996" customHeight="1">
      <c r="A904" s="290"/>
      <c r="B904" s="290"/>
      <c r="C904" s="290"/>
      <c r="D904" s="297"/>
      <c r="E904" s="290"/>
    </row>
    <row r="905" spans="1:5" ht="13.5">
      <c r="A905" s="290"/>
      <c r="B905" s="290"/>
      <c r="C905" s="290" t="s">
        <v>21</v>
      </c>
      <c r="D905" s="297">
        <v>32</v>
      </c>
      <c r="E905" s="290"/>
    </row>
    <row r="906" spans="1:5" ht="13.5">
      <c r="A906" s="290"/>
      <c r="B906" s="290"/>
      <c r="C906" s="290" t="s">
        <v>22</v>
      </c>
      <c r="D906" s="297">
        <v>42</v>
      </c>
      <c r="E906" s="290"/>
    </row>
    <row r="907" spans="1:5" ht="13.5">
      <c r="A907" s="290"/>
      <c r="B907" s="290"/>
      <c r="C907" s="290" t="s">
        <v>23</v>
      </c>
      <c r="D907" s="297">
        <v>37</v>
      </c>
      <c r="E907" s="290"/>
    </row>
    <row r="908" spans="1:5" ht="13.5">
      <c r="A908" s="290"/>
      <c r="B908" s="290"/>
      <c r="C908" s="290" t="s">
        <v>24</v>
      </c>
      <c r="D908" s="297">
        <v>20</v>
      </c>
      <c r="E908" s="290"/>
    </row>
    <row r="909" spans="1:5" ht="13.5">
      <c r="A909" s="290"/>
      <c r="B909" s="290"/>
      <c r="C909" s="290" t="s">
        <v>25</v>
      </c>
      <c r="D909" s="297">
        <v>24</v>
      </c>
      <c r="E909" s="290"/>
    </row>
    <row r="910" spans="1:5" ht="13.5">
      <c r="A910" s="290"/>
      <c r="B910" s="290"/>
      <c r="C910" s="290" t="s">
        <v>26</v>
      </c>
      <c r="D910" s="297">
        <v>23</v>
      </c>
      <c r="E910" s="290"/>
    </row>
    <row r="911" spans="1:5" ht="13.5">
      <c r="A911" s="290"/>
      <c r="B911" s="290"/>
      <c r="C911" s="290" t="s">
        <v>27</v>
      </c>
      <c r="D911" s="297">
        <v>37</v>
      </c>
      <c r="E911" s="290"/>
    </row>
    <row r="912" spans="1:5" ht="13.5">
      <c r="A912" s="290"/>
      <c r="B912" s="290"/>
      <c r="C912" s="290" t="s">
        <v>28</v>
      </c>
      <c r="D912" s="297">
        <v>39</v>
      </c>
      <c r="E912" s="290"/>
    </row>
    <row r="913" spans="1:5" ht="13.5">
      <c r="A913" s="290"/>
      <c r="B913" s="290"/>
      <c r="C913" s="290" t="s">
        <v>29</v>
      </c>
      <c r="D913" s="297">
        <v>43</v>
      </c>
      <c r="E913" s="290"/>
    </row>
    <row r="914" spans="1:5" ht="13.5">
      <c r="A914" s="290"/>
      <c r="B914" s="290"/>
      <c r="C914" s="290" t="s">
        <v>30</v>
      </c>
      <c r="D914" s="297">
        <v>53</v>
      </c>
      <c r="E914" s="290"/>
    </row>
    <row r="915" spans="1:5" ht="13.5">
      <c r="A915" s="290"/>
      <c r="B915" s="290"/>
      <c r="C915" s="290" t="s">
        <v>31</v>
      </c>
      <c r="D915" s="297">
        <v>51</v>
      </c>
      <c r="E915" s="290"/>
    </row>
    <row r="916" spans="1:5" ht="13.5">
      <c r="A916" s="290"/>
      <c r="B916" s="290"/>
      <c r="C916" s="290" t="s">
        <v>32</v>
      </c>
      <c r="D916" s="297">
        <v>45</v>
      </c>
      <c r="E916" s="290"/>
    </row>
    <row r="917" spans="1:5" ht="5.0999999999999996" customHeight="1">
      <c r="A917" s="290"/>
      <c r="B917" s="290"/>
      <c r="C917" s="290"/>
      <c r="D917" s="297"/>
      <c r="E917" s="290"/>
    </row>
    <row r="918" spans="1:5" ht="13.5">
      <c r="A918" s="292"/>
      <c r="B918" s="292" t="s">
        <v>93</v>
      </c>
      <c r="C918" s="295"/>
      <c r="D918" s="344">
        <v>319</v>
      </c>
      <c r="E918" s="290"/>
    </row>
    <row r="919" spans="1:5" ht="5.0999999999999996" customHeight="1">
      <c r="A919" s="290"/>
      <c r="B919" s="290"/>
      <c r="C919" s="290"/>
      <c r="D919" s="297"/>
      <c r="E919" s="290"/>
    </row>
    <row r="920" spans="1:5" ht="13.5">
      <c r="A920" s="290"/>
      <c r="B920" s="290"/>
      <c r="C920" s="290" t="s">
        <v>21</v>
      </c>
      <c r="D920" s="297">
        <v>21</v>
      </c>
      <c r="E920" s="290"/>
    </row>
    <row r="921" spans="1:5" ht="13.5">
      <c r="A921" s="290"/>
      <c r="B921" s="290"/>
      <c r="C921" s="290" t="s">
        <v>22</v>
      </c>
      <c r="D921" s="297">
        <v>31</v>
      </c>
      <c r="E921" s="290"/>
    </row>
    <row r="922" spans="1:5" ht="13.5">
      <c r="A922" s="290"/>
      <c r="B922" s="290"/>
      <c r="C922" s="290" t="s">
        <v>23</v>
      </c>
      <c r="D922" s="297">
        <v>22</v>
      </c>
      <c r="E922" s="290"/>
    </row>
    <row r="923" spans="1:5" ht="13.5">
      <c r="A923" s="290"/>
      <c r="B923" s="290"/>
      <c r="C923" s="290" t="s">
        <v>24</v>
      </c>
      <c r="D923" s="297">
        <v>14</v>
      </c>
      <c r="E923" s="290"/>
    </row>
    <row r="924" spans="1:5" ht="13.5">
      <c r="A924" s="290"/>
      <c r="B924" s="290"/>
      <c r="C924" s="290" t="s">
        <v>25</v>
      </c>
      <c r="D924" s="297">
        <v>16</v>
      </c>
      <c r="E924" s="290"/>
    </row>
    <row r="925" spans="1:5" ht="13.5">
      <c r="A925" s="290"/>
      <c r="B925" s="290"/>
      <c r="C925" s="290" t="s">
        <v>26</v>
      </c>
      <c r="D925" s="297">
        <v>18</v>
      </c>
      <c r="E925" s="290"/>
    </row>
    <row r="926" spans="1:5" ht="13.5">
      <c r="A926" s="290"/>
      <c r="B926" s="290"/>
      <c r="C926" s="290" t="s">
        <v>27</v>
      </c>
      <c r="D926" s="297">
        <v>24</v>
      </c>
      <c r="E926" s="290"/>
    </row>
    <row r="927" spans="1:5" ht="13.5">
      <c r="A927" s="290"/>
      <c r="B927" s="290"/>
      <c r="C927" s="290" t="s">
        <v>28</v>
      </c>
      <c r="D927" s="297">
        <v>32</v>
      </c>
      <c r="E927" s="290"/>
    </row>
    <row r="928" spans="1:5" ht="13.5">
      <c r="A928" s="290"/>
      <c r="B928" s="290"/>
      <c r="C928" s="290" t="s">
        <v>29</v>
      </c>
      <c r="D928" s="297">
        <v>32</v>
      </c>
      <c r="E928" s="290"/>
    </row>
    <row r="929" spans="1:5" ht="13.5">
      <c r="A929" s="290"/>
      <c r="B929" s="290"/>
      <c r="C929" s="290" t="s">
        <v>30</v>
      </c>
      <c r="D929" s="297">
        <v>37</v>
      </c>
      <c r="E929" s="290"/>
    </row>
    <row r="930" spans="1:5" ht="13.5">
      <c r="A930" s="290"/>
      <c r="B930" s="290"/>
      <c r="C930" s="290" t="s">
        <v>31</v>
      </c>
      <c r="D930" s="297">
        <v>39</v>
      </c>
      <c r="E930" s="290"/>
    </row>
    <row r="931" spans="1:5" ht="13.5">
      <c r="A931" s="290"/>
      <c r="B931" s="290"/>
      <c r="C931" s="290" t="s">
        <v>32</v>
      </c>
      <c r="D931" s="297">
        <v>33</v>
      </c>
      <c r="E931" s="290"/>
    </row>
    <row r="932" spans="1:5" ht="5.0999999999999996" customHeight="1">
      <c r="A932" s="290"/>
      <c r="B932" s="290"/>
      <c r="C932" s="290"/>
      <c r="D932" s="297"/>
      <c r="E932" s="290"/>
    </row>
    <row r="933" spans="1:5" ht="13.5">
      <c r="A933" s="292"/>
      <c r="B933" s="292" t="s">
        <v>168</v>
      </c>
      <c r="C933" s="295"/>
      <c r="D933" s="344">
        <v>3</v>
      </c>
      <c r="E933" s="290"/>
    </row>
    <row r="934" spans="1:5" ht="5.0999999999999996" customHeight="1">
      <c r="A934" s="290"/>
      <c r="B934" s="290"/>
      <c r="C934" s="290"/>
      <c r="D934" s="297"/>
      <c r="E934" s="290"/>
    </row>
    <row r="935" spans="1:5" ht="13.5">
      <c r="A935" s="290"/>
      <c r="B935" s="290"/>
      <c r="C935" s="290" t="s">
        <v>23</v>
      </c>
      <c r="D935" s="297">
        <v>1</v>
      </c>
      <c r="E935" s="290"/>
    </row>
    <row r="936" spans="1:5" ht="13.5">
      <c r="A936" s="290"/>
      <c r="B936" s="290"/>
      <c r="C936" s="290" t="s">
        <v>26</v>
      </c>
      <c r="D936" s="297">
        <v>1</v>
      </c>
      <c r="E936" s="290"/>
    </row>
    <row r="937" spans="1:5" ht="13.5">
      <c r="A937" s="290"/>
      <c r="B937" s="290"/>
      <c r="C937" s="290" t="s">
        <v>32</v>
      </c>
      <c r="D937" s="297">
        <v>1</v>
      </c>
      <c r="E937" s="290"/>
    </row>
    <row r="938" spans="1:5" ht="5.0999999999999996" customHeight="1">
      <c r="A938" s="290"/>
      <c r="B938" s="290"/>
      <c r="C938" s="290"/>
      <c r="D938" s="297"/>
      <c r="E938" s="290"/>
    </row>
    <row r="939" spans="1:5" ht="13.5">
      <c r="A939" s="292"/>
      <c r="B939" s="292" t="s">
        <v>169</v>
      </c>
      <c r="C939" s="295"/>
      <c r="D939" s="344">
        <v>2</v>
      </c>
      <c r="E939" s="290"/>
    </row>
    <row r="940" spans="1:5" ht="5.0999999999999996" customHeight="1">
      <c r="A940" s="290"/>
      <c r="B940" s="290"/>
      <c r="C940" s="290"/>
      <c r="D940" s="297"/>
      <c r="E940" s="290"/>
    </row>
    <row r="941" spans="1:5" ht="13.5">
      <c r="A941" s="290"/>
      <c r="B941" s="290"/>
      <c r="C941" s="290" t="s">
        <v>23</v>
      </c>
      <c r="D941" s="297">
        <v>1</v>
      </c>
      <c r="E941" s="290"/>
    </row>
    <row r="942" spans="1:5" ht="13.5">
      <c r="A942" s="290"/>
      <c r="B942" s="290"/>
      <c r="C942" s="290" t="s">
        <v>25</v>
      </c>
      <c r="D942" s="297">
        <v>1</v>
      </c>
      <c r="E942" s="290"/>
    </row>
    <row r="943" spans="1:5" ht="5.0999999999999996" customHeight="1">
      <c r="A943" s="290"/>
      <c r="B943" s="290"/>
      <c r="C943" s="290"/>
      <c r="D943" s="297"/>
      <c r="E943" s="290"/>
    </row>
    <row r="944" spans="1:5" ht="13.5">
      <c r="A944" s="292"/>
      <c r="B944" s="292" t="s">
        <v>170</v>
      </c>
      <c r="C944" s="295"/>
      <c r="D944" s="344">
        <v>37</v>
      </c>
      <c r="E944" s="290"/>
    </row>
    <row r="945" spans="1:5" ht="5.0999999999999996" customHeight="1">
      <c r="A945" s="290"/>
      <c r="B945" s="290"/>
      <c r="C945" s="290"/>
      <c r="D945" s="297"/>
      <c r="E945" s="290"/>
    </row>
    <row r="946" spans="1:5" ht="13.5">
      <c r="A946" s="290"/>
      <c r="B946" s="290"/>
      <c r="C946" s="290" t="s">
        <v>21</v>
      </c>
      <c r="D946" s="297">
        <v>6</v>
      </c>
      <c r="E946" s="290"/>
    </row>
    <row r="947" spans="1:5" ht="13.5">
      <c r="A947" s="290"/>
      <c r="B947" s="290"/>
      <c r="C947" s="290" t="s">
        <v>22</v>
      </c>
      <c r="D947" s="297">
        <v>3</v>
      </c>
      <c r="E947" s="290"/>
    </row>
    <row r="948" spans="1:5" ht="13.5">
      <c r="A948" s="290"/>
      <c r="B948" s="290"/>
      <c r="C948" s="290" t="s">
        <v>23</v>
      </c>
      <c r="D948" s="297">
        <v>3</v>
      </c>
      <c r="E948" s="290"/>
    </row>
    <row r="949" spans="1:5" ht="13.5">
      <c r="A949" s="290"/>
      <c r="B949" s="290"/>
      <c r="C949" s="290" t="s">
        <v>24</v>
      </c>
      <c r="D949" s="297">
        <v>4</v>
      </c>
      <c r="E949" s="290"/>
    </row>
    <row r="950" spans="1:5" ht="13.5">
      <c r="A950" s="290"/>
      <c r="B950" s="290"/>
      <c r="C950" s="290" t="s">
        <v>25</v>
      </c>
      <c r="D950" s="297">
        <v>2</v>
      </c>
      <c r="E950" s="290"/>
    </row>
    <row r="951" spans="1:5" ht="13.5">
      <c r="A951" s="290"/>
      <c r="B951" s="290"/>
      <c r="C951" s="290" t="s">
        <v>26</v>
      </c>
      <c r="D951" s="297">
        <v>1</v>
      </c>
      <c r="E951" s="290"/>
    </row>
    <row r="952" spans="1:5" ht="13.5">
      <c r="A952" s="290"/>
      <c r="B952" s="290"/>
      <c r="C952" s="290" t="s">
        <v>27</v>
      </c>
      <c r="D952" s="297">
        <v>5</v>
      </c>
      <c r="E952" s="290"/>
    </row>
    <row r="953" spans="1:5" ht="13.5">
      <c r="A953" s="290"/>
      <c r="B953" s="290"/>
      <c r="C953" s="290" t="s">
        <v>28</v>
      </c>
      <c r="D953" s="297">
        <v>1</v>
      </c>
      <c r="E953" s="290"/>
    </row>
    <row r="954" spans="1:5" ht="13.5">
      <c r="A954" s="290"/>
      <c r="B954" s="290"/>
      <c r="C954" s="290" t="s">
        <v>29</v>
      </c>
      <c r="D954" s="297">
        <v>3</v>
      </c>
      <c r="E954" s="290"/>
    </row>
    <row r="955" spans="1:5" ht="13.5">
      <c r="A955" s="290"/>
      <c r="B955" s="290"/>
      <c r="C955" s="290" t="s">
        <v>30</v>
      </c>
      <c r="D955" s="297">
        <v>5</v>
      </c>
      <c r="E955" s="290"/>
    </row>
    <row r="956" spans="1:5" ht="13.5">
      <c r="A956" s="290"/>
      <c r="B956" s="290"/>
      <c r="C956" s="290" t="s">
        <v>31</v>
      </c>
      <c r="D956" s="297">
        <v>2</v>
      </c>
      <c r="E956" s="290"/>
    </row>
    <row r="957" spans="1:5" ht="13.5">
      <c r="A957" s="290"/>
      <c r="B957" s="290"/>
      <c r="C957" s="290" t="s">
        <v>32</v>
      </c>
      <c r="D957" s="297">
        <v>2</v>
      </c>
      <c r="E957" s="290"/>
    </row>
    <row r="958" spans="1:5" ht="5.0999999999999996" customHeight="1">
      <c r="A958" s="290"/>
      <c r="B958" s="290"/>
      <c r="C958" s="290"/>
      <c r="D958" s="297"/>
      <c r="E958" s="290"/>
    </row>
    <row r="959" spans="1:5" ht="13.5">
      <c r="A959" s="292"/>
      <c r="B959" s="292" t="s">
        <v>171</v>
      </c>
      <c r="C959" s="295"/>
      <c r="D959" s="344">
        <v>3</v>
      </c>
      <c r="E959" s="290"/>
    </row>
    <row r="960" spans="1:5" ht="5.0999999999999996" customHeight="1">
      <c r="A960" s="290"/>
      <c r="B960" s="290"/>
      <c r="C960" s="290"/>
      <c r="D960" s="297"/>
      <c r="E960" s="290"/>
    </row>
    <row r="961" spans="1:5" ht="13.5">
      <c r="A961" s="290"/>
      <c r="B961" s="290"/>
      <c r="C961" s="290" t="s">
        <v>21</v>
      </c>
      <c r="D961" s="297">
        <v>1</v>
      </c>
      <c r="E961" s="290"/>
    </row>
    <row r="962" spans="1:5" ht="13.5">
      <c r="A962" s="290"/>
      <c r="B962" s="290"/>
      <c r="C962" s="290" t="s">
        <v>25</v>
      </c>
      <c r="D962" s="297">
        <v>1</v>
      </c>
      <c r="E962" s="290"/>
    </row>
    <row r="963" spans="1:5" ht="13.5">
      <c r="A963" s="290"/>
      <c r="B963" s="290"/>
      <c r="C963" s="290" t="s">
        <v>32</v>
      </c>
      <c r="D963" s="297">
        <v>1</v>
      </c>
      <c r="E963" s="290"/>
    </row>
    <row r="964" spans="1:5" ht="5.0999999999999996" customHeight="1">
      <c r="A964" s="290"/>
      <c r="B964" s="290"/>
      <c r="C964" s="290"/>
      <c r="D964" s="297"/>
      <c r="E964" s="290"/>
    </row>
    <row r="965" spans="1:5" ht="13.5">
      <c r="A965" s="292"/>
      <c r="B965" s="292" t="s">
        <v>172</v>
      </c>
      <c r="C965" s="295"/>
      <c r="D965" s="344">
        <v>14</v>
      </c>
      <c r="E965" s="290"/>
    </row>
    <row r="966" spans="1:5" ht="5.0999999999999996" customHeight="1">
      <c r="A966" s="290"/>
      <c r="B966" s="290"/>
      <c r="C966" s="290"/>
      <c r="D966" s="297"/>
      <c r="E966" s="290"/>
    </row>
    <row r="967" spans="1:5" ht="13.5">
      <c r="A967" s="290"/>
      <c r="B967" s="290"/>
      <c r="C967" s="290" t="s">
        <v>22</v>
      </c>
      <c r="D967" s="297">
        <v>3</v>
      </c>
      <c r="E967" s="290"/>
    </row>
    <row r="968" spans="1:5" ht="13.5">
      <c r="A968" s="290"/>
      <c r="B968" s="290"/>
      <c r="C968" s="290" t="s">
        <v>23</v>
      </c>
      <c r="D968" s="297">
        <v>1</v>
      </c>
      <c r="E968" s="290"/>
    </row>
    <row r="969" spans="1:5" ht="13.5">
      <c r="A969" s="290"/>
      <c r="B969" s="290"/>
      <c r="C969" s="290" t="s">
        <v>25</v>
      </c>
      <c r="D969" s="297">
        <v>1</v>
      </c>
      <c r="E969" s="290"/>
    </row>
    <row r="970" spans="1:5" ht="13.5">
      <c r="A970" s="290"/>
      <c r="B970" s="290"/>
      <c r="C970" s="290" t="s">
        <v>26</v>
      </c>
      <c r="D970" s="297">
        <v>1</v>
      </c>
      <c r="E970" s="290"/>
    </row>
    <row r="971" spans="1:5" ht="13.5">
      <c r="A971" s="290"/>
      <c r="B971" s="290"/>
      <c r="C971" s="290" t="s">
        <v>27</v>
      </c>
      <c r="D971" s="297">
        <v>3</v>
      </c>
      <c r="E971" s="290"/>
    </row>
    <row r="972" spans="1:5" ht="13.5">
      <c r="A972" s="290"/>
      <c r="B972" s="290"/>
      <c r="C972" s="290" t="s">
        <v>28</v>
      </c>
      <c r="D972" s="297">
        <v>1</v>
      </c>
      <c r="E972" s="290"/>
    </row>
    <row r="973" spans="1:5" ht="13.5">
      <c r="A973" s="290"/>
      <c r="B973" s="290"/>
      <c r="C973" s="290" t="s">
        <v>29</v>
      </c>
      <c r="D973" s="297">
        <v>1</v>
      </c>
      <c r="E973" s="290"/>
    </row>
    <row r="974" spans="1:5" ht="13.5">
      <c r="A974" s="290"/>
      <c r="B974" s="290"/>
      <c r="C974" s="290" t="s">
        <v>30</v>
      </c>
      <c r="D974" s="297">
        <v>2</v>
      </c>
      <c r="E974" s="290"/>
    </row>
    <row r="975" spans="1:5" ht="13.5">
      <c r="A975" s="290"/>
      <c r="B975" s="290"/>
      <c r="C975" s="290" t="s">
        <v>32</v>
      </c>
      <c r="D975" s="297">
        <v>1</v>
      </c>
      <c r="E975" s="290"/>
    </row>
    <row r="976" spans="1:5" ht="5.0999999999999996" customHeight="1">
      <c r="A976" s="290"/>
      <c r="B976" s="290"/>
      <c r="C976" s="290"/>
      <c r="D976" s="297"/>
      <c r="E976" s="290"/>
    </row>
    <row r="977" spans="1:5" ht="13.5">
      <c r="A977" s="292"/>
      <c r="B977" s="292" t="s">
        <v>173</v>
      </c>
      <c r="C977" s="295"/>
      <c r="D977" s="344">
        <v>55</v>
      </c>
      <c r="E977" s="290"/>
    </row>
    <row r="978" spans="1:5" ht="5.0999999999999996" customHeight="1">
      <c r="A978" s="290"/>
      <c r="B978" s="290"/>
      <c r="C978" s="290"/>
      <c r="D978" s="297"/>
      <c r="E978" s="290"/>
    </row>
    <row r="979" spans="1:5" ht="13.5">
      <c r="A979" s="290"/>
      <c r="B979" s="290"/>
      <c r="C979" s="290" t="s">
        <v>21</v>
      </c>
      <c r="D979" s="297">
        <v>2</v>
      </c>
      <c r="E979" s="290"/>
    </row>
    <row r="980" spans="1:5" ht="13.5">
      <c r="A980" s="290"/>
      <c r="B980" s="290"/>
      <c r="C980" s="290" t="s">
        <v>22</v>
      </c>
      <c r="D980" s="297">
        <v>5</v>
      </c>
      <c r="E980" s="290"/>
    </row>
    <row r="981" spans="1:5" ht="13.5">
      <c r="A981" s="290"/>
      <c r="B981" s="290"/>
      <c r="C981" s="290" t="s">
        <v>23</v>
      </c>
      <c r="D981" s="297">
        <v>9</v>
      </c>
      <c r="E981" s="290"/>
    </row>
    <row r="982" spans="1:5" ht="13.5">
      <c r="A982" s="290"/>
      <c r="B982" s="290"/>
      <c r="C982" s="290" t="s">
        <v>24</v>
      </c>
      <c r="D982" s="297">
        <v>2</v>
      </c>
      <c r="E982" s="290"/>
    </row>
    <row r="983" spans="1:5" ht="13.5">
      <c r="A983" s="290"/>
      <c r="B983" s="290"/>
      <c r="C983" s="290" t="s">
        <v>25</v>
      </c>
      <c r="D983" s="297">
        <v>2</v>
      </c>
      <c r="E983" s="290"/>
    </row>
    <row r="984" spans="1:5" ht="13.5">
      <c r="A984" s="290"/>
      <c r="B984" s="290"/>
      <c r="C984" s="290" t="s">
        <v>26</v>
      </c>
      <c r="D984" s="297">
        <v>2</v>
      </c>
      <c r="E984" s="290"/>
    </row>
    <row r="985" spans="1:5" ht="13.5">
      <c r="A985" s="290"/>
      <c r="B985" s="290"/>
      <c r="C985" s="290" t="s">
        <v>27</v>
      </c>
      <c r="D985" s="297">
        <v>5</v>
      </c>
      <c r="E985" s="290"/>
    </row>
    <row r="986" spans="1:5" ht="13.5">
      <c r="A986" s="290"/>
      <c r="B986" s="290"/>
      <c r="C986" s="290" t="s">
        <v>28</v>
      </c>
      <c r="D986" s="297">
        <v>4</v>
      </c>
      <c r="E986" s="290"/>
    </row>
    <row r="987" spans="1:5" ht="13.5">
      <c r="A987" s="290"/>
      <c r="B987" s="290"/>
      <c r="C987" s="290" t="s">
        <v>29</v>
      </c>
      <c r="D987" s="297">
        <v>7</v>
      </c>
      <c r="E987" s="290"/>
    </row>
    <row r="988" spans="1:5" ht="13.5">
      <c r="A988" s="290"/>
      <c r="B988" s="290"/>
      <c r="C988" s="290" t="s">
        <v>30</v>
      </c>
      <c r="D988" s="297">
        <v>4</v>
      </c>
      <c r="E988" s="290"/>
    </row>
    <row r="989" spans="1:5" ht="13.5">
      <c r="A989" s="290"/>
      <c r="B989" s="290"/>
      <c r="C989" s="290" t="s">
        <v>31</v>
      </c>
      <c r="D989" s="297">
        <v>8</v>
      </c>
      <c r="E989" s="290"/>
    </row>
    <row r="990" spans="1:5" ht="13.5">
      <c r="A990" s="290"/>
      <c r="B990" s="290"/>
      <c r="C990" s="290" t="s">
        <v>32</v>
      </c>
      <c r="D990" s="297">
        <v>5</v>
      </c>
      <c r="E990" s="290"/>
    </row>
    <row r="991" spans="1:5" ht="5.0999999999999996" customHeight="1">
      <c r="A991" s="290"/>
      <c r="B991" s="290"/>
      <c r="C991" s="290"/>
      <c r="D991" s="297"/>
      <c r="E991" s="290"/>
    </row>
    <row r="992" spans="1:5" ht="13.5">
      <c r="A992" s="292"/>
      <c r="B992" s="292" t="s">
        <v>174</v>
      </c>
      <c r="C992" s="295"/>
      <c r="D992" s="344">
        <v>13</v>
      </c>
      <c r="E992" s="290"/>
    </row>
    <row r="993" spans="1:5" ht="5.0999999999999996" customHeight="1">
      <c r="A993" s="290"/>
      <c r="B993" s="290"/>
      <c r="C993" s="290"/>
      <c r="D993" s="297"/>
      <c r="E993" s="290"/>
    </row>
    <row r="994" spans="1:5" ht="13.5">
      <c r="A994" s="290"/>
      <c r="B994" s="290"/>
      <c r="C994" s="290" t="s">
        <v>21</v>
      </c>
      <c r="D994" s="297">
        <v>2</v>
      </c>
      <c r="E994" s="290"/>
    </row>
    <row r="995" spans="1:5" ht="13.5">
      <c r="A995" s="290"/>
      <c r="B995" s="290"/>
      <c r="C995" s="290" t="s">
        <v>25</v>
      </c>
      <c r="D995" s="297">
        <v>1</v>
      </c>
      <c r="E995" s="290"/>
    </row>
    <row r="996" spans="1:5" ht="13.5">
      <c r="A996" s="290"/>
      <c r="B996" s="290"/>
      <c r="C996" s="290" t="s">
        <v>28</v>
      </c>
      <c r="D996" s="297">
        <v>1</v>
      </c>
      <c r="E996" s="290"/>
    </row>
    <row r="997" spans="1:5" ht="13.5">
      <c r="A997" s="290"/>
      <c r="B997" s="290"/>
      <c r="C997" s="290" t="s">
        <v>30</v>
      </c>
      <c r="D997" s="297">
        <v>5</v>
      </c>
      <c r="E997" s="290"/>
    </row>
    <row r="998" spans="1:5" ht="13.5">
      <c r="A998" s="290"/>
      <c r="B998" s="290"/>
      <c r="C998" s="290" t="s">
        <v>31</v>
      </c>
      <c r="D998" s="297">
        <v>2</v>
      </c>
      <c r="E998" s="290"/>
    </row>
    <row r="999" spans="1:5" ht="13.5">
      <c r="A999" s="290"/>
      <c r="B999" s="290"/>
      <c r="C999" s="290" t="s">
        <v>32</v>
      </c>
      <c r="D999" s="297">
        <v>2</v>
      </c>
      <c r="E999" s="290"/>
    </row>
    <row r="1000" spans="1:5" ht="5.0999999999999996" customHeight="1">
      <c r="A1000" s="290"/>
      <c r="B1000" s="290"/>
      <c r="C1000" s="290"/>
      <c r="D1000" s="297"/>
      <c r="E1000" s="290"/>
    </row>
    <row r="1001" spans="1:5" ht="13.5">
      <c r="A1001" s="292" t="s">
        <v>94</v>
      </c>
      <c r="B1001" s="292"/>
      <c r="C1001" s="295"/>
      <c r="D1001" s="344">
        <v>312</v>
      </c>
      <c r="E1001" s="290"/>
    </row>
    <row r="1002" spans="1:5" ht="5.0999999999999996" customHeight="1">
      <c r="A1002" s="290"/>
      <c r="B1002" s="290"/>
      <c r="C1002" s="290"/>
      <c r="D1002" s="297"/>
      <c r="E1002" s="290"/>
    </row>
    <row r="1003" spans="1:5" ht="13.5">
      <c r="A1003" s="290"/>
      <c r="B1003" s="290"/>
      <c r="C1003" s="290" t="s">
        <v>21</v>
      </c>
      <c r="D1003" s="297">
        <v>29</v>
      </c>
      <c r="E1003" s="290"/>
    </row>
    <row r="1004" spans="1:5" ht="13.5">
      <c r="A1004" s="290"/>
      <c r="B1004" s="290"/>
      <c r="C1004" s="290" t="s">
        <v>22</v>
      </c>
      <c r="D1004" s="297">
        <v>26</v>
      </c>
      <c r="E1004" s="290"/>
    </row>
    <row r="1005" spans="1:5" ht="13.5">
      <c r="A1005" s="290"/>
      <c r="B1005" s="290"/>
      <c r="C1005" s="290" t="s">
        <v>23</v>
      </c>
      <c r="D1005" s="297">
        <v>42</v>
      </c>
      <c r="E1005" s="290"/>
    </row>
    <row r="1006" spans="1:5" ht="13.5">
      <c r="A1006" s="290"/>
      <c r="B1006" s="290"/>
      <c r="C1006" s="290" t="s">
        <v>24</v>
      </c>
      <c r="D1006" s="297">
        <v>31</v>
      </c>
      <c r="E1006" s="290"/>
    </row>
    <row r="1007" spans="1:5" ht="13.5">
      <c r="A1007" s="290"/>
      <c r="B1007" s="290"/>
      <c r="C1007" s="290" t="s">
        <v>25</v>
      </c>
      <c r="D1007" s="297">
        <v>35</v>
      </c>
      <c r="E1007" s="290"/>
    </row>
    <row r="1008" spans="1:5" ht="13.5">
      <c r="A1008" s="290"/>
      <c r="B1008" s="290"/>
      <c r="C1008" s="290" t="s">
        <v>26</v>
      </c>
      <c r="D1008" s="297">
        <v>36</v>
      </c>
      <c r="E1008" s="290"/>
    </row>
    <row r="1009" spans="1:5" ht="13.5">
      <c r="A1009" s="290"/>
      <c r="B1009" s="290"/>
      <c r="C1009" s="290" t="s">
        <v>27</v>
      </c>
      <c r="D1009" s="297">
        <v>23</v>
      </c>
      <c r="E1009" s="290"/>
    </row>
    <row r="1010" spans="1:5" ht="13.5">
      <c r="A1010" s="290"/>
      <c r="B1010" s="290"/>
      <c r="C1010" s="290" t="s">
        <v>28</v>
      </c>
      <c r="D1010" s="297">
        <v>22</v>
      </c>
      <c r="E1010" s="290"/>
    </row>
    <row r="1011" spans="1:5" ht="13.5">
      <c r="A1011" s="290"/>
      <c r="B1011" s="290"/>
      <c r="C1011" s="290" t="s">
        <v>29</v>
      </c>
      <c r="D1011" s="297">
        <v>19</v>
      </c>
      <c r="E1011" s="290"/>
    </row>
    <row r="1012" spans="1:5" ht="13.5">
      <c r="A1012" s="290"/>
      <c r="B1012" s="290"/>
      <c r="C1012" s="290" t="s">
        <v>30</v>
      </c>
      <c r="D1012" s="297">
        <v>15</v>
      </c>
      <c r="E1012" s="290"/>
    </row>
    <row r="1013" spans="1:5" ht="13.5">
      <c r="A1013" s="290"/>
      <c r="B1013" s="290"/>
      <c r="C1013" s="290" t="s">
        <v>31</v>
      </c>
      <c r="D1013" s="297">
        <v>12</v>
      </c>
      <c r="E1013" s="290"/>
    </row>
    <row r="1014" spans="1:5" ht="13.5">
      <c r="A1014" s="290"/>
      <c r="B1014" s="290"/>
      <c r="C1014" s="290" t="s">
        <v>32</v>
      </c>
      <c r="D1014" s="297">
        <v>22</v>
      </c>
      <c r="E1014" s="290"/>
    </row>
    <row r="1015" spans="1:5" ht="5.0999999999999996" customHeight="1">
      <c r="A1015" s="290"/>
      <c r="B1015" s="290"/>
      <c r="C1015" s="290"/>
      <c r="D1015" s="297"/>
      <c r="E1015" s="290"/>
    </row>
    <row r="1016" spans="1:5" ht="13.5">
      <c r="A1016" s="292"/>
      <c r="B1016" s="292" t="s">
        <v>175</v>
      </c>
      <c r="C1016" s="295"/>
      <c r="D1016" s="344">
        <v>165</v>
      </c>
      <c r="E1016" s="290"/>
    </row>
    <row r="1017" spans="1:5" ht="5.0999999999999996" customHeight="1">
      <c r="A1017" s="290"/>
      <c r="B1017" s="290"/>
      <c r="C1017" s="290"/>
      <c r="D1017" s="297"/>
      <c r="E1017" s="290"/>
    </row>
    <row r="1018" spans="1:5" ht="13.5">
      <c r="A1018" s="290"/>
      <c r="B1018" s="290"/>
      <c r="C1018" s="290" t="s">
        <v>21</v>
      </c>
      <c r="D1018" s="297">
        <v>9</v>
      </c>
      <c r="E1018" s="290"/>
    </row>
    <row r="1019" spans="1:5" ht="13.5">
      <c r="A1019" s="290"/>
      <c r="B1019" s="290"/>
      <c r="C1019" s="290" t="s">
        <v>22</v>
      </c>
      <c r="D1019" s="297">
        <v>16</v>
      </c>
      <c r="E1019" s="290"/>
    </row>
    <row r="1020" spans="1:5" ht="13.5">
      <c r="A1020" s="290"/>
      <c r="B1020" s="290"/>
      <c r="C1020" s="290" t="s">
        <v>23</v>
      </c>
      <c r="D1020" s="297">
        <v>26</v>
      </c>
      <c r="E1020" s="290"/>
    </row>
    <row r="1021" spans="1:5" ht="13.5">
      <c r="A1021" s="290"/>
      <c r="B1021" s="290"/>
      <c r="C1021" s="290" t="s">
        <v>24</v>
      </c>
      <c r="D1021" s="297">
        <v>12</v>
      </c>
      <c r="E1021" s="290"/>
    </row>
    <row r="1022" spans="1:5" ht="13.5">
      <c r="A1022" s="290"/>
      <c r="B1022" s="290"/>
      <c r="C1022" s="290" t="s">
        <v>25</v>
      </c>
      <c r="D1022" s="297">
        <v>23</v>
      </c>
      <c r="E1022" s="290"/>
    </row>
    <row r="1023" spans="1:5" ht="13.5">
      <c r="A1023" s="290"/>
      <c r="B1023" s="290"/>
      <c r="C1023" s="290" t="s">
        <v>26</v>
      </c>
      <c r="D1023" s="297">
        <v>21</v>
      </c>
      <c r="E1023" s="290"/>
    </row>
    <row r="1024" spans="1:5" ht="13.5">
      <c r="A1024" s="290"/>
      <c r="B1024" s="290"/>
      <c r="C1024" s="290" t="s">
        <v>27</v>
      </c>
      <c r="D1024" s="297">
        <v>8</v>
      </c>
      <c r="E1024" s="290"/>
    </row>
    <row r="1025" spans="1:5" ht="13.5">
      <c r="A1025" s="290"/>
      <c r="B1025" s="290"/>
      <c r="C1025" s="290" t="s">
        <v>28</v>
      </c>
      <c r="D1025" s="297">
        <v>12</v>
      </c>
      <c r="E1025" s="290"/>
    </row>
    <row r="1026" spans="1:5" ht="13.5">
      <c r="A1026" s="290"/>
      <c r="B1026" s="290"/>
      <c r="C1026" s="290" t="s">
        <v>29</v>
      </c>
      <c r="D1026" s="297">
        <v>11</v>
      </c>
      <c r="E1026" s="290"/>
    </row>
    <row r="1027" spans="1:5" ht="13.5">
      <c r="A1027" s="290"/>
      <c r="B1027" s="290"/>
      <c r="C1027" s="290" t="s">
        <v>30</v>
      </c>
      <c r="D1027" s="297">
        <v>9</v>
      </c>
      <c r="E1027" s="290"/>
    </row>
    <row r="1028" spans="1:5" ht="13.5">
      <c r="A1028" s="290"/>
      <c r="B1028" s="290"/>
      <c r="C1028" s="290" t="s">
        <v>31</v>
      </c>
      <c r="D1028" s="297">
        <v>6</v>
      </c>
      <c r="E1028" s="290"/>
    </row>
    <row r="1029" spans="1:5" ht="13.5">
      <c r="A1029" s="290"/>
      <c r="B1029" s="290"/>
      <c r="C1029" s="290" t="s">
        <v>32</v>
      </c>
      <c r="D1029" s="297">
        <v>12</v>
      </c>
      <c r="E1029" s="290"/>
    </row>
    <row r="1030" spans="1:5" ht="5.0999999999999996" customHeight="1">
      <c r="A1030" s="290"/>
      <c r="B1030" s="290"/>
      <c r="C1030" s="290"/>
      <c r="D1030" s="297"/>
      <c r="E1030" s="290"/>
    </row>
    <row r="1031" spans="1:5" ht="13.5">
      <c r="A1031" s="292"/>
      <c r="B1031" s="292" t="s">
        <v>176</v>
      </c>
      <c r="C1031" s="295"/>
      <c r="D1031" s="344">
        <v>91</v>
      </c>
      <c r="E1031" s="290"/>
    </row>
    <row r="1032" spans="1:5" ht="5.0999999999999996" customHeight="1">
      <c r="A1032" s="290"/>
      <c r="B1032" s="290"/>
      <c r="C1032" s="290"/>
      <c r="D1032" s="297"/>
      <c r="E1032" s="290"/>
    </row>
    <row r="1033" spans="1:5" ht="13.5">
      <c r="A1033" s="290"/>
      <c r="B1033" s="290"/>
      <c r="C1033" s="290" t="s">
        <v>21</v>
      </c>
      <c r="D1033" s="297">
        <v>10</v>
      </c>
      <c r="E1033" s="290"/>
    </row>
    <row r="1034" spans="1:5" ht="13.5">
      <c r="A1034" s="290"/>
      <c r="B1034" s="290"/>
      <c r="C1034" s="290" t="s">
        <v>22</v>
      </c>
      <c r="D1034" s="297">
        <v>6</v>
      </c>
      <c r="E1034" s="290"/>
    </row>
    <row r="1035" spans="1:5" ht="13.5">
      <c r="A1035" s="290"/>
      <c r="B1035" s="290"/>
      <c r="C1035" s="290" t="s">
        <v>23</v>
      </c>
      <c r="D1035" s="297">
        <v>9</v>
      </c>
      <c r="E1035" s="290"/>
    </row>
    <row r="1036" spans="1:5" ht="13.5">
      <c r="A1036" s="290"/>
      <c r="B1036" s="290"/>
      <c r="C1036" s="290" t="s">
        <v>24</v>
      </c>
      <c r="D1036" s="297">
        <v>11</v>
      </c>
      <c r="E1036" s="290"/>
    </row>
    <row r="1037" spans="1:5" ht="13.5">
      <c r="A1037" s="290"/>
      <c r="B1037" s="290"/>
      <c r="C1037" s="290" t="s">
        <v>25</v>
      </c>
      <c r="D1037" s="297">
        <v>6</v>
      </c>
      <c r="E1037" s="290"/>
    </row>
    <row r="1038" spans="1:5" ht="13.5">
      <c r="A1038" s="290"/>
      <c r="B1038" s="290"/>
      <c r="C1038" s="290" t="s">
        <v>26</v>
      </c>
      <c r="D1038" s="297">
        <v>10</v>
      </c>
      <c r="E1038" s="290"/>
    </row>
    <row r="1039" spans="1:5" ht="13.5">
      <c r="A1039" s="290"/>
      <c r="B1039" s="290"/>
      <c r="C1039" s="290" t="s">
        <v>27</v>
      </c>
      <c r="D1039" s="297">
        <v>5</v>
      </c>
      <c r="E1039" s="290"/>
    </row>
    <row r="1040" spans="1:5" ht="13.5">
      <c r="A1040" s="290"/>
      <c r="B1040" s="290"/>
      <c r="C1040" s="290" t="s">
        <v>28</v>
      </c>
      <c r="D1040" s="297">
        <v>8</v>
      </c>
      <c r="E1040" s="290"/>
    </row>
    <row r="1041" spans="1:5" ht="13.5">
      <c r="A1041" s="290"/>
      <c r="B1041" s="290"/>
      <c r="C1041" s="290" t="s">
        <v>29</v>
      </c>
      <c r="D1041" s="297">
        <v>6</v>
      </c>
      <c r="E1041" s="290"/>
    </row>
    <row r="1042" spans="1:5" ht="13.5">
      <c r="A1042" s="290"/>
      <c r="B1042" s="290"/>
      <c r="C1042" s="290" t="s">
        <v>30</v>
      </c>
      <c r="D1042" s="297">
        <v>5</v>
      </c>
      <c r="E1042" s="290"/>
    </row>
    <row r="1043" spans="1:5" ht="13.5">
      <c r="A1043" s="290"/>
      <c r="B1043" s="290"/>
      <c r="C1043" s="290" t="s">
        <v>31</v>
      </c>
      <c r="D1043" s="297">
        <v>6</v>
      </c>
      <c r="E1043" s="290"/>
    </row>
    <row r="1044" spans="1:5" ht="13.5">
      <c r="A1044" s="290"/>
      <c r="B1044" s="290"/>
      <c r="C1044" s="290" t="s">
        <v>32</v>
      </c>
      <c r="D1044" s="297">
        <v>9</v>
      </c>
      <c r="E1044" s="290"/>
    </row>
    <row r="1045" spans="1:5" ht="5.0999999999999996" customHeight="1">
      <c r="A1045" s="290"/>
      <c r="B1045" s="290"/>
      <c r="C1045" s="290"/>
      <c r="D1045" s="297"/>
      <c r="E1045" s="290"/>
    </row>
    <row r="1046" spans="1:5" ht="13.5">
      <c r="A1046" s="292"/>
      <c r="B1046" s="292" t="s">
        <v>177</v>
      </c>
      <c r="C1046" s="295"/>
      <c r="D1046" s="344">
        <v>56</v>
      </c>
      <c r="E1046" s="290"/>
    </row>
    <row r="1047" spans="1:5" ht="5.0999999999999996" customHeight="1">
      <c r="A1047" s="290"/>
      <c r="B1047" s="290"/>
      <c r="C1047" s="290"/>
      <c r="D1047" s="297"/>
      <c r="E1047" s="290"/>
    </row>
    <row r="1048" spans="1:5" ht="13.5">
      <c r="A1048" s="290"/>
      <c r="B1048" s="290"/>
      <c r="C1048" s="290" t="s">
        <v>21</v>
      </c>
      <c r="D1048" s="297">
        <v>10</v>
      </c>
      <c r="E1048" s="290"/>
    </row>
    <row r="1049" spans="1:5" ht="13.5">
      <c r="A1049" s="290"/>
      <c r="B1049" s="290"/>
      <c r="C1049" s="290" t="s">
        <v>22</v>
      </c>
      <c r="D1049" s="297">
        <v>4</v>
      </c>
      <c r="E1049" s="290"/>
    </row>
    <row r="1050" spans="1:5" ht="13.5">
      <c r="A1050" s="290"/>
      <c r="B1050" s="290"/>
      <c r="C1050" s="290" t="s">
        <v>23</v>
      </c>
      <c r="D1050" s="297">
        <v>7</v>
      </c>
      <c r="E1050" s="290"/>
    </row>
    <row r="1051" spans="1:5" ht="13.5">
      <c r="A1051" s="290"/>
      <c r="B1051" s="290"/>
      <c r="C1051" s="290" t="s">
        <v>24</v>
      </c>
      <c r="D1051" s="297">
        <v>8</v>
      </c>
      <c r="E1051" s="290"/>
    </row>
    <row r="1052" spans="1:5" ht="13.5">
      <c r="A1052" s="290"/>
      <c r="B1052" s="290"/>
      <c r="C1052" s="290" t="s">
        <v>25</v>
      </c>
      <c r="D1052" s="297">
        <v>6</v>
      </c>
      <c r="E1052" s="290"/>
    </row>
    <row r="1053" spans="1:5" ht="13.5">
      <c r="A1053" s="290"/>
      <c r="B1053" s="290"/>
      <c r="C1053" s="290" t="s">
        <v>26</v>
      </c>
      <c r="D1053" s="297">
        <v>5</v>
      </c>
      <c r="E1053" s="290"/>
    </row>
    <row r="1054" spans="1:5" ht="13.5">
      <c r="A1054" s="290"/>
      <c r="B1054" s="290"/>
      <c r="C1054" s="290" t="s">
        <v>27</v>
      </c>
      <c r="D1054" s="297">
        <v>10</v>
      </c>
      <c r="E1054" s="290"/>
    </row>
    <row r="1055" spans="1:5" ht="13.5">
      <c r="A1055" s="290"/>
      <c r="B1055" s="290"/>
      <c r="C1055" s="290" t="s">
        <v>28</v>
      </c>
      <c r="D1055" s="297">
        <v>2</v>
      </c>
      <c r="E1055" s="290"/>
    </row>
    <row r="1056" spans="1:5" ht="13.5">
      <c r="A1056" s="290"/>
      <c r="B1056" s="290"/>
      <c r="C1056" s="290" t="s">
        <v>29</v>
      </c>
      <c r="D1056" s="297">
        <v>2</v>
      </c>
      <c r="E1056" s="290"/>
    </row>
    <row r="1057" spans="1:5" ht="13.5">
      <c r="A1057" s="290"/>
      <c r="B1057" s="290"/>
      <c r="C1057" s="290" t="s">
        <v>30</v>
      </c>
      <c r="D1057" s="297">
        <v>1</v>
      </c>
      <c r="E1057" s="290"/>
    </row>
    <row r="1058" spans="1:5" ht="13.5">
      <c r="A1058" s="290"/>
      <c r="B1058" s="290"/>
      <c r="C1058" s="290" t="s">
        <v>32</v>
      </c>
      <c r="D1058" s="297">
        <v>1</v>
      </c>
      <c r="E1058" s="290"/>
    </row>
    <row r="1059" spans="1:5" ht="5.0999999999999996" customHeight="1">
      <c r="A1059" s="290"/>
      <c r="B1059" s="290"/>
      <c r="C1059" s="290"/>
      <c r="D1059" s="297"/>
      <c r="E1059" s="290"/>
    </row>
    <row r="1060" spans="1:5" ht="13.5">
      <c r="A1060" s="292" t="s">
        <v>95</v>
      </c>
      <c r="B1060" s="292"/>
      <c r="C1060" s="295"/>
      <c r="D1060" s="344">
        <v>89</v>
      </c>
      <c r="E1060" s="290"/>
    </row>
    <row r="1061" spans="1:5" ht="5.0999999999999996" customHeight="1">
      <c r="A1061" s="290"/>
      <c r="B1061" s="290"/>
      <c r="C1061" s="290"/>
      <c r="D1061" s="297"/>
      <c r="E1061" s="290"/>
    </row>
    <row r="1062" spans="1:5" ht="13.5">
      <c r="A1062" s="290"/>
      <c r="B1062" s="290"/>
      <c r="C1062" s="290" t="s">
        <v>21</v>
      </c>
      <c r="D1062" s="297">
        <v>4</v>
      </c>
      <c r="E1062" s="290"/>
    </row>
    <row r="1063" spans="1:5" ht="13.5">
      <c r="A1063" s="290"/>
      <c r="B1063" s="290"/>
      <c r="C1063" s="290" t="s">
        <v>22</v>
      </c>
      <c r="D1063" s="297">
        <v>8</v>
      </c>
      <c r="E1063" s="290"/>
    </row>
    <row r="1064" spans="1:5" ht="13.5">
      <c r="A1064" s="290"/>
      <c r="B1064" s="290"/>
      <c r="C1064" s="290" t="s">
        <v>23</v>
      </c>
      <c r="D1064" s="297">
        <v>7</v>
      </c>
      <c r="E1064" s="290"/>
    </row>
    <row r="1065" spans="1:5" ht="13.5">
      <c r="A1065" s="290"/>
      <c r="B1065" s="290"/>
      <c r="C1065" s="290" t="s">
        <v>24</v>
      </c>
      <c r="D1065" s="297">
        <v>4</v>
      </c>
      <c r="E1065" s="290"/>
    </row>
    <row r="1066" spans="1:5" ht="13.5">
      <c r="A1066" s="290"/>
      <c r="B1066" s="290"/>
      <c r="C1066" s="290" t="s">
        <v>25</v>
      </c>
      <c r="D1066" s="297">
        <v>9</v>
      </c>
      <c r="E1066" s="290"/>
    </row>
    <row r="1067" spans="1:5" ht="13.5">
      <c r="A1067" s="290"/>
      <c r="B1067" s="290"/>
      <c r="C1067" s="290" t="s">
        <v>26</v>
      </c>
      <c r="D1067" s="297">
        <v>8</v>
      </c>
      <c r="E1067" s="290"/>
    </row>
    <row r="1068" spans="1:5" ht="13.5">
      <c r="A1068" s="290"/>
      <c r="B1068" s="290"/>
      <c r="C1068" s="290" t="s">
        <v>27</v>
      </c>
      <c r="D1068" s="297">
        <v>10</v>
      </c>
      <c r="E1068" s="290"/>
    </row>
    <row r="1069" spans="1:5" ht="13.5">
      <c r="A1069" s="290"/>
      <c r="B1069" s="290"/>
      <c r="C1069" s="290" t="s">
        <v>28</v>
      </c>
      <c r="D1069" s="297">
        <v>9</v>
      </c>
      <c r="E1069" s="290"/>
    </row>
    <row r="1070" spans="1:5" ht="13.5">
      <c r="A1070" s="290"/>
      <c r="B1070" s="290"/>
      <c r="C1070" s="290" t="s">
        <v>29</v>
      </c>
      <c r="D1070" s="297">
        <v>3</v>
      </c>
      <c r="E1070" s="290"/>
    </row>
    <row r="1071" spans="1:5" ht="13.5">
      <c r="A1071" s="290"/>
      <c r="B1071" s="290"/>
      <c r="C1071" s="290" t="s">
        <v>30</v>
      </c>
      <c r="D1071" s="297">
        <v>6</v>
      </c>
      <c r="E1071" s="290"/>
    </row>
    <row r="1072" spans="1:5" ht="13.5">
      <c r="A1072" s="290"/>
      <c r="B1072" s="290"/>
      <c r="C1072" s="290" t="s">
        <v>31</v>
      </c>
      <c r="D1072" s="297">
        <v>13</v>
      </c>
      <c r="E1072" s="290"/>
    </row>
    <row r="1073" spans="1:5" ht="13.5">
      <c r="A1073" s="290"/>
      <c r="B1073" s="290"/>
      <c r="C1073" s="290" t="s">
        <v>32</v>
      </c>
      <c r="D1073" s="297">
        <v>8</v>
      </c>
      <c r="E1073" s="290"/>
    </row>
    <row r="1074" spans="1:5" ht="5.0999999999999996" customHeight="1">
      <c r="A1074" s="290"/>
      <c r="B1074" s="290"/>
      <c r="C1074" s="290"/>
      <c r="D1074" s="297"/>
      <c r="E1074" s="290"/>
    </row>
    <row r="1075" spans="1:5" ht="13.5">
      <c r="A1075" s="292"/>
      <c r="B1075" s="292" t="s">
        <v>95</v>
      </c>
      <c r="C1075" s="295"/>
      <c r="D1075" s="344">
        <v>53</v>
      </c>
      <c r="E1075" s="290"/>
    </row>
    <row r="1076" spans="1:5" ht="5.0999999999999996" customHeight="1">
      <c r="A1076" s="290"/>
      <c r="B1076" s="290"/>
      <c r="C1076" s="290"/>
      <c r="D1076" s="297"/>
      <c r="E1076" s="290"/>
    </row>
    <row r="1077" spans="1:5" ht="13.5">
      <c r="A1077" s="290"/>
      <c r="B1077" s="290"/>
      <c r="C1077" s="290" t="s">
        <v>21</v>
      </c>
      <c r="D1077" s="297">
        <v>4</v>
      </c>
      <c r="E1077" s="290"/>
    </row>
    <row r="1078" spans="1:5" ht="13.5">
      <c r="A1078" s="290"/>
      <c r="B1078" s="290"/>
      <c r="C1078" s="290" t="s">
        <v>22</v>
      </c>
      <c r="D1078" s="297">
        <v>4</v>
      </c>
      <c r="E1078" s="290"/>
    </row>
    <row r="1079" spans="1:5" ht="13.5">
      <c r="A1079" s="290"/>
      <c r="B1079" s="290"/>
      <c r="C1079" s="290" t="s">
        <v>23</v>
      </c>
      <c r="D1079" s="297">
        <v>5</v>
      </c>
      <c r="E1079" s="290"/>
    </row>
    <row r="1080" spans="1:5" ht="13.5">
      <c r="A1080" s="290"/>
      <c r="B1080" s="290"/>
      <c r="C1080" s="290" t="s">
        <v>24</v>
      </c>
      <c r="D1080" s="297">
        <v>4</v>
      </c>
      <c r="E1080" s="290"/>
    </row>
    <row r="1081" spans="1:5" ht="13.5">
      <c r="A1081" s="290"/>
      <c r="B1081" s="290"/>
      <c r="C1081" s="290" t="s">
        <v>25</v>
      </c>
      <c r="D1081" s="297">
        <v>5</v>
      </c>
      <c r="E1081" s="290"/>
    </row>
    <row r="1082" spans="1:5" ht="13.5">
      <c r="A1082" s="290"/>
      <c r="B1082" s="290"/>
      <c r="C1082" s="290" t="s">
        <v>26</v>
      </c>
      <c r="D1082" s="297">
        <v>5</v>
      </c>
      <c r="E1082" s="290"/>
    </row>
    <row r="1083" spans="1:5" ht="13.5">
      <c r="A1083" s="290"/>
      <c r="B1083" s="290"/>
      <c r="C1083" s="290" t="s">
        <v>27</v>
      </c>
      <c r="D1083" s="297">
        <v>4</v>
      </c>
      <c r="E1083" s="290"/>
    </row>
    <row r="1084" spans="1:5" ht="13.5">
      <c r="A1084" s="290"/>
      <c r="B1084" s="290"/>
      <c r="C1084" s="290" t="s">
        <v>28</v>
      </c>
      <c r="D1084" s="297">
        <v>3</v>
      </c>
      <c r="E1084" s="290"/>
    </row>
    <row r="1085" spans="1:5" ht="13.5">
      <c r="A1085" s="290"/>
      <c r="B1085" s="290"/>
      <c r="C1085" s="290" t="s">
        <v>29</v>
      </c>
      <c r="D1085" s="297">
        <v>3</v>
      </c>
      <c r="E1085" s="290"/>
    </row>
    <row r="1086" spans="1:5" ht="13.5">
      <c r="A1086" s="290"/>
      <c r="B1086" s="290"/>
      <c r="C1086" s="290" t="s">
        <v>30</v>
      </c>
      <c r="D1086" s="297">
        <v>2</v>
      </c>
      <c r="E1086" s="290"/>
    </row>
    <row r="1087" spans="1:5" ht="13.5">
      <c r="A1087" s="290"/>
      <c r="B1087" s="290"/>
      <c r="C1087" s="290" t="s">
        <v>31</v>
      </c>
      <c r="D1087" s="297">
        <v>9</v>
      </c>
      <c r="E1087" s="290"/>
    </row>
    <row r="1088" spans="1:5" ht="13.5">
      <c r="A1088" s="290"/>
      <c r="B1088" s="290"/>
      <c r="C1088" s="290" t="s">
        <v>32</v>
      </c>
      <c r="D1088" s="297">
        <v>5</v>
      </c>
      <c r="E1088" s="290"/>
    </row>
    <row r="1089" spans="1:5" ht="5.0999999999999996" customHeight="1">
      <c r="A1089" s="290"/>
      <c r="B1089" s="290"/>
      <c r="C1089" s="290"/>
      <c r="D1089" s="297"/>
      <c r="E1089" s="290"/>
    </row>
    <row r="1090" spans="1:5" ht="13.5">
      <c r="A1090" s="292"/>
      <c r="B1090" s="292" t="s">
        <v>178</v>
      </c>
      <c r="C1090" s="295"/>
      <c r="D1090" s="344">
        <v>25</v>
      </c>
      <c r="E1090" s="290"/>
    </row>
    <row r="1091" spans="1:5" ht="5.0999999999999996" customHeight="1">
      <c r="A1091" s="290"/>
      <c r="B1091" s="290"/>
      <c r="C1091" s="290"/>
      <c r="D1091" s="297"/>
      <c r="E1091" s="290"/>
    </row>
    <row r="1092" spans="1:5" ht="13.5">
      <c r="A1092" s="290"/>
      <c r="B1092" s="290"/>
      <c r="C1092" s="290" t="s">
        <v>22</v>
      </c>
      <c r="D1092" s="297">
        <v>2</v>
      </c>
      <c r="E1092" s="290"/>
    </row>
    <row r="1093" spans="1:5" ht="13.5">
      <c r="A1093" s="290"/>
      <c r="B1093" s="290"/>
      <c r="C1093" s="290" t="s">
        <v>23</v>
      </c>
      <c r="D1093" s="297">
        <v>2</v>
      </c>
      <c r="E1093" s="290"/>
    </row>
    <row r="1094" spans="1:5" ht="13.5">
      <c r="A1094" s="290"/>
      <c r="B1094" s="290"/>
      <c r="C1094" s="290" t="s">
        <v>25</v>
      </c>
      <c r="D1094" s="297">
        <v>3</v>
      </c>
      <c r="E1094" s="290"/>
    </row>
    <row r="1095" spans="1:5" ht="13.5">
      <c r="A1095" s="290"/>
      <c r="B1095" s="290"/>
      <c r="C1095" s="290" t="s">
        <v>26</v>
      </c>
      <c r="D1095" s="297">
        <v>3</v>
      </c>
      <c r="E1095" s="290"/>
    </row>
    <row r="1096" spans="1:5" ht="13.5">
      <c r="A1096" s="290"/>
      <c r="B1096" s="290"/>
      <c r="C1096" s="290" t="s">
        <v>27</v>
      </c>
      <c r="D1096" s="297">
        <v>4</v>
      </c>
      <c r="E1096" s="290"/>
    </row>
    <row r="1097" spans="1:5" ht="13.5">
      <c r="A1097" s="290"/>
      <c r="B1097" s="290"/>
      <c r="C1097" s="290" t="s">
        <v>28</v>
      </c>
      <c r="D1097" s="297">
        <v>3</v>
      </c>
      <c r="E1097" s="290"/>
    </row>
    <row r="1098" spans="1:5" ht="13.5">
      <c r="A1098" s="290"/>
      <c r="B1098" s="290"/>
      <c r="C1098" s="290" t="s">
        <v>30</v>
      </c>
      <c r="D1098" s="297">
        <v>3</v>
      </c>
      <c r="E1098" s="290"/>
    </row>
    <row r="1099" spans="1:5" ht="13.5">
      <c r="A1099" s="290"/>
      <c r="B1099" s="290"/>
      <c r="C1099" s="290" t="s">
        <v>31</v>
      </c>
      <c r="D1099" s="297">
        <v>3</v>
      </c>
      <c r="E1099" s="290"/>
    </row>
    <row r="1100" spans="1:5" ht="13.5">
      <c r="A1100" s="290"/>
      <c r="B1100" s="290"/>
      <c r="C1100" s="290" t="s">
        <v>32</v>
      </c>
      <c r="D1100" s="297">
        <v>2</v>
      </c>
      <c r="E1100" s="290"/>
    </row>
    <row r="1101" spans="1:5" ht="5.0999999999999996" customHeight="1">
      <c r="A1101" s="290"/>
      <c r="B1101" s="290"/>
      <c r="C1101" s="290"/>
      <c r="D1101" s="297"/>
      <c r="E1101" s="290"/>
    </row>
    <row r="1102" spans="1:5" ht="13.5">
      <c r="A1102" s="292"/>
      <c r="B1102" s="292" t="s">
        <v>179</v>
      </c>
      <c r="C1102" s="295"/>
      <c r="D1102" s="344">
        <v>11</v>
      </c>
      <c r="E1102" s="290"/>
    </row>
    <row r="1103" spans="1:5" ht="5.0999999999999996" customHeight="1">
      <c r="A1103" s="290"/>
      <c r="B1103" s="290"/>
      <c r="C1103" s="290"/>
      <c r="D1103" s="297"/>
      <c r="E1103" s="290"/>
    </row>
    <row r="1104" spans="1:5" ht="13.5">
      <c r="A1104" s="290"/>
      <c r="B1104" s="290"/>
      <c r="C1104" s="290" t="s">
        <v>22</v>
      </c>
      <c r="D1104" s="297">
        <v>2</v>
      </c>
      <c r="E1104" s="290"/>
    </row>
    <row r="1105" spans="1:5" ht="13.5">
      <c r="A1105" s="290"/>
      <c r="B1105" s="290"/>
      <c r="C1105" s="290" t="s">
        <v>25</v>
      </c>
      <c r="D1105" s="297">
        <v>1</v>
      </c>
      <c r="E1105" s="290"/>
    </row>
    <row r="1106" spans="1:5" ht="13.5">
      <c r="A1106" s="290"/>
      <c r="B1106" s="290"/>
      <c r="C1106" s="290" t="s">
        <v>27</v>
      </c>
      <c r="D1106" s="297">
        <v>2</v>
      </c>
      <c r="E1106" s="290"/>
    </row>
    <row r="1107" spans="1:5" ht="13.5">
      <c r="A1107" s="290"/>
      <c r="B1107" s="290"/>
      <c r="C1107" s="290" t="s">
        <v>28</v>
      </c>
      <c r="D1107" s="297">
        <v>3</v>
      </c>
      <c r="E1107" s="290"/>
    </row>
    <row r="1108" spans="1:5" ht="13.5">
      <c r="A1108" s="290"/>
      <c r="B1108" s="290"/>
      <c r="C1108" s="290" t="s">
        <v>30</v>
      </c>
      <c r="D1108" s="297">
        <v>1</v>
      </c>
      <c r="E1108" s="290"/>
    </row>
    <row r="1109" spans="1:5" ht="13.5">
      <c r="A1109" s="290"/>
      <c r="B1109" s="290"/>
      <c r="C1109" s="290" t="s">
        <v>31</v>
      </c>
      <c r="D1109" s="297">
        <v>1</v>
      </c>
      <c r="E1109" s="290"/>
    </row>
    <row r="1110" spans="1:5" ht="13.5">
      <c r="A1110" s="290"/>
      <c r="B1110" s="290"/>
      <c r="C1110" s="290" t="s">
        <v>32</v>
      </c>
      <c r="D1110" s="297">
        <v>1</v>
      </c>
      <c r="E1110" s="290"/>
    </row>
    <row r="1111" spans="1:5" ht="5.0999999999999996" customHeight="1">
      <c r="A1111" s="290"/>
      <c r="B1111" s="290"/>
      <c r="C1111" s="290"/>
      <c r="D1111" s="297"/>
      <c r="E1111" s="290"/>
    </row>
    <row r="1112" spans="1:5" ht="13.5">
      <c r="A1112" s="292" t="s">
        <v>96</v>
      </c>
      <c r="B1112" s="292"/>
      <c r="C1112" s="295"/>
      <c r="D1112" s="344">
        <v>284</v>
      </c>
      <c r="E1112" s="290"/>
    </row>
    <row r="1113" spans="1:5" ht="5.0999999999999996" customHeight="1">
      <c r="A1113" s="290"/>
      <c r="B1113" s="290"/>
      <c r="C1113" s="290"/>
      <c r="D1113" s="297"/>
      <c r="E1113" s="290"/>
    </row>
    <row r="1114" spans="1:5" ht="13.5">
      <c r="A1114" s="290"/>
      <c r="B1114" s="290"/>
      <c r="C1114" s="290" t="s">
        <v>21</v>
      </c>
      <c r="D1114" s="297">
        <v>17</v>
      </c>
      <c r="E1114" s="290"/>
    </row>
    <row r="1115" spans="1:5" ht="13.5">
      <c r="A1115" s="290"/>
      <c r="B1115" s="290"/>
      <c r="C1115" s="290" t="s">
        <v>22</v>
      </c>
      <c r="D1115" s="297">
        <v>9</v>
      </c>
      <c r="E1115" s="290"/>
    </row>
    <row r="1116" spans="1:5" ht="13.5">
      <c r="A1116" s="290"/>
      <c r="B1116" s="290"/>
      <c r="C1116" s="290" t="s">
        <v>23</v>
      </c>
      <c r="D1116" s="297">
        <v>22</v>
      </c>
      <c r="E1116" s="290"/>
    </row>
    <row r="1117" spans="1:5" ht="13.5">
      <c r="A1117" s="290"/>
      <c r="B1117" s="290"/>
      <c r="C1117" s="290" t="s">
        <v>24</v>
      </c>
      <c r="D1117" s="297">
        <v>20</v>
      </c>
      <c r="E1117" s="290"/>
    </row>
    <row r="1118" spans="1:5" ht="13.5">
      <c r="A1118" s="290"/>
      <c r="B1118" s="290"/>
      <c r="C1118" s="290" t="s">
        <v>25</v>
      </c>
      <c r="D1118" s="297">
        <v>10</v>
      </c>
      <c r="E1118" s="290"/>
    </row>
    <row r="1119" spans="1:5" ht="13.5">
      <c r="A1119" s="290"/>
      <c r="B1119" s="290"/>
      <c r="C1119" s="290" t="s">
        <v>26</v>
      </c>
      <c r="D1119" s="297">
        <v>31</v>
      </c>
      <c r="E1119" s="290"/>
    </row>
    <row r="1120" spans="1:5" ht="13.5">
      <c r="A1120" s="290"/>
      <c r="B1120" s="290"/>
      <c r="C1120" s="290" t="s">
        <v>27</v>
      </c>
      <c r="D1120" s="297">
        <v>39</v>
      </c>
      <c r="E1120" s="290"/>
    </row>
    <row r="1121" spans="1:5" ht="13.5">
      <c r="A1121" s="290"/>
      <c r="B1121" s="290"/>
      <c r="C1121" s="290" t="s">
        <v>28</v>
      </c>
      <c r="D1121" s="297">
        <v>28</v>
      </c>
      <c r="E1121" s="290"/>
    </row>
    <row r="1122" spans="1:5" ht="13.5">
      <c r="A1122" s="290"/>
      <c r="B1122" s="290"/>
      <c r="C1122" s="290" t="s">
        <v>29</v>
      </c>
      <c r="D1122" s="297">
        <v>17</v>
      </c>
      <c r="E1122" s="290"/>
    </row>
    <row r="1123" spans="1:5" ht="13.5">
      <c r="A1123" s="290"/>
      <c r="B1123" s="290"/>
      <c r="C1123" s="290" t="s">
        <v>30</v>
      </c>
      <c r="D1123" s="297">
        <v>36</v>
      </c>
      <c r="E1123" s="290"/>
    </row>
    <row r="1124" spans="1:5" ht="13.5">
      <c r="A1124" s="290"/>
      <c r="B1124" s="290"/>
      <c r="C1124" s="290" t="s">
        <v>31</v>
      </c>
      <c r="D1124" s="297">
        <v>19</v>
      </c>
      <c r="E1124" s="290"/>
    </row>
    <row r="1125" spans="1:5" ht="13.5">
      <c r="A1125" s="290"/>
      <c r="B1125" s="290"/>
      <c r="C1125" s="290" t="s">
        <v>32</v>
      </c>
      <c r="D1125" s="297">
        <v>36</v>
      </c>
      <c r="E1125" s="290"/>
    </row>
    <row r="1126" spans="1:5" ht="5.0999999999999996" customHeight="1">
      <c r="A1126" s="290"/>
      <c r="B1126" s="290"/>
      <c r="C1126" s="290"/>
      <c r="D1126" s="297"/>
      <c r="E1126" s="290"/>
    </row>
    <row r="1127" spans="1:5" ht="13.5">
      <c r="A1127" s="292"/>
      <c r="B1127" s="292" t="s">
        <v>96</v>
      </c>
      <c r="C1127" s="295"/>
      <c r="D1127" s="344">
        <v>134</v>
      </c>
      <c r="E1127" s="290"/>
    </row>
    <row r="1128" spans="1:5" ht="5.0999999999999996" customHeight="1">
      <c r="A1128" s="290"/>
      <c r="B1128" s="290"/>
      <c r="C1128" s="290"/>
      <c r="D1128" s="297"/>
      <c r="E1128" s="290"/>
    </row>
    <row r="1129" spans="1:5" ht="13.5">
      <c r="A1129" s="290"/>
      <c r="B1129" s="290"/>
      <c r="C1129" s="290" t="s">
        <v>21</v>
      </c>
      <c r="D1129" s="297">
        <v>5</v>
      </c>
      <c r="E1129" s="290"/>
    </row>
    <row r="1130" spans="1:5" ht="13.5">
      <c r="A1130" s="290"/>
      <c r="B1130" s="290"/>
      <c r="C1130" s="290" t="s">
        <v>22</v>
      </c>
      <c r="D1130" s="297">
        <v>8</v>
      </c>
      <c r="E1130" s="290"/>
    </row>
    <row r="1131" spans="1:5" ht="13.5">
      <c r="A1131" s="290"/>
      <c r="B1131" s="290"/>
      <c r="C1131" s="290" t="s">
        <v>23</v>
      </c>
      <c r="D1131" s="297">
        <v>12</v>
      </c>
      <c r="E1131" s="290"/>
    </row>
    <row r="1132" spans="1:5" ht="13.5">
      <c r="A1132" s="290"/>
      <c r="B1132" s="290"/>
      <c r="C1132" s="290" t="s">
        <v>24</v>
      </c>
      <c r="D1132" s="297">
        <v>13</v>
      </c>
      <c r="E1132" s="290"/>
    </row>
    <row r="1133" spans="1:5" ht="13.5">
      <c r="A1133" s="290"/>
      <c r="B1133" s="290"/>
      <c r="C1133" s="290" t="s">
        <v>25</v>
      </c>
      <c r="D1133" s="297">
        <v>4</v>
      </c>
      <c r="E1133" s="290"/>
    </row>
    <row r="1134" spans="1:5" ht="13.5">
      <c r="A1134" s="290"/>
      <c r="B1134" s="290"/>
      <c r="C1134" s="290" t="s">
        <v>26</v>
      </c>
      <c r="D1134" s="297">
        <v>12</v>
      </c>
      <c r="E1134" s="290"/>
    </row>
    <row r="1135" spans="1:5" ht="13.5">
      <c r="A1135" s="290"/>
      <c r="B1135" s="290"/>
      <c r="C1135" s="290" t="s">
        <v>27</v>
      </c>
      <c r="D1135" s="297">
        <v>15</v>
      </c>
      <c r="E1135" s="290"/>
    </row>
    <row r="1136" spans="1:5" ht="13.5">
      <c r="A1136" s="290"/>
      <c r="B1136" s="290"/>
      <c r="C1136" s="290" t="s">
        <v>28</v>
      </c>
      <c r="D1136" s="297">
        <v>12</v>
      </c>
      <c r="E1136" s="290"/>
    </row>
    <row r="1137" spans="1:5" ht="13.5">
      <c r="A1137" s="290"/>
      <c r="B1137" s="290"/>
      <c r="C1137" s="290" t="s">
        <v>29</v>
      </c>
      <c r="D1137" s="297">
        <v>8</v>
      </c>
      <c r="E1137" s="290"/>
    </row>
    <row r="1138" spans="1:5" ht="13.5">
      <c r="A1138" s="290"/>
      <c r="B1138" s="290"/>
      <c r="C1138" s="290" t="s">
        <v>30</v>
      </c>
      <c r="D1138" s="297">
        <v>18</v>
      </c>
      <c r="E1138" s="290"/>
    </row>
    <row r="1139" spans="1:5" ht="13.5">
      <c r="A1139" s="290"/>
      <c r="B1139" s="290"/>
      <c r="C1139" s="290" t="s">
        <v>31</v>
      </c>
      <c r="D1139" s="297">
        <v>5</v>
      </c>
      <c r="E1139" s="290"/>
    </row>
    <row r="1140" spans="1:5" ht="13.5">
      <c r="A1140" s="290"/>
      <c r="B1140" s="290"/>
      <c r="C1140" s="290" t="s">
        <v>32</v>
      </c>
      <c r="D1140" s="297">
        <v>22</v>
      </c>
      <c r="E1140" s="290"/>
    </row>
    <row r="1141" spans="1:5" ht="5.0999999999999996" customHeight="1">
      <c r="A1141" s="290"/>
      <c r="B1141" s="290"/>
      <c r="C1141" s="290"/>
      <c r="D1141" s="297"/>
      <c r="E1141" s="290"/>
    </row>
    <row r="1142" spans="1:5" ht="13.5">
      <c r="A1142" s="292"/>
      <c r="B1142" s="292" t="s">
        <v>181</v>
      </c>
      <c r="C1142" s="295"/>
      <c r="D1142" s="344">
        <v>35</v>
      </c>
      <c r="E1142" s="290"/>
    </row>
    <row r="1143" spans="1:5" ht="5.0999999999999996" customHeight="1">
      <c r="A1143" s="290"/>
      <c r="B1143" s="290"/>
      <c r="C1143" s="290"/>
      <c r="D1143" s="297"/>
      <c r="E1143" s="290"/>
    </row>
    <row r="1144" spans="1:5" ht="13.5">
      <c r="A1144" s="290"/>
      <c r="B1144" s="290"/>
      <c r="C1144" s="290" t="s">
        <v>21</v>
      </c>
      <c r="D1144" s="297">
        <v>3</v>
      </c>
      <c r="E1144" s="290"/>
    </row>
    <row r="1145" spans="1:5" ht="13.5">
      <c r="A1145" s="290"/>
      <c r="B1145" s="290"/>
      <c r="C1145" s="290" t="s">
        <v>23</v>
      </c>
      <c r="D1145" s="297">
        <v>2</v>
      </c>
      <c r="E1145" s="290"/>
    </row>
    <row r="1146" spans="1:5" ht="13.5">
      <c r="A1146" s="290"/>
      <c r="B1146" s="290"/>
      <c r="C1146" s="290" t="s">
        <v>24</v>
      </c>
      <c r="D1146" s="297">
        <v>1</v>
      </c>
      <c r="E1146" s="290"/>
    </row>
    <row r="1147" spans="1:5" ht="13.5">
      <c r="A1147" s="290"/>
      <c r="B1147" s="290"/>
      <c r="C1147" s="290" t="s">
        <v>25</v>
      </c>
      <c r="D1147" s="297">
        <v>2</v>
      </c>
      <c r="E1147" s="290"/>
    </row>
    <row r="1148" spans="1:5" ht="13.5">
      <c r="A1148" s="290"/>
      <c r="B1148" s="290"/>
      <c r="C1148" s="290" t="s">
        <v>26</v>
      </c>
      <c r="D1148" s="297">
        <v>5</v>
      </c>
      <c r="E1148" s="290"/>
    </row>
    <row r="1149" spans="1:5" ht="13.5">
      <c r="A1149" s="290"/>
      <c r="B1149" s="290"/>
      <c r="C1149" s="290" t="s">
        <v>28</v>
      </c>
      <c r="D1149" s="297">
        <v>6</v>
      </c>
      <c r="E1149" s="290"/>
    </row>
    <row r="1150" spans="1:5" ht="13.5">
      <c r="A1150" s="290"/>
      <c r="B1150" s="290"/>
      <c r="C1150" s="290" t="s">
        <v>29</v>
      </c>
      <c r="D1150" s="297">
        <v>1</v>
      </c>
      <c r="E1150" s="290"/>
    </row>
    <row r="1151" spans="1:5" ht="13.5">
      <c r="A1151" s="290"/>
      <c r="B1151" s="290"/>
      <c r="C1151" s="290" t="s">
        <v>30</v>
      </c>
      <c r="D1151" s="297">
        <v>4</v>
      </c>
      <c r="E1151" s="290"/>
    </row>
    <row r="1152" spans="1:5" ht="13.5">
      <c r="A1152" s="290"/>
      <c r="B1152" s="290"/>
      <c r="C1152" s="290" t="s">
        <v>31</v>
      </c>
      <c r="D1152" s="297">
        <v>6</v>
      </c>
      <c r="E1152" s="290"/>
    </row>
    <row r="1153" spans="1:5" ht="13.5">
      <c r="A1153" s="290"/>
      <c r="B1153" s="290"/>
      <c r="C1153" s="290" t="s">
        <v>32</v>
      </c>
      <c r="D1153" s="297">
        <v>5</v>
      </c>
      <c r="E1153" s="290"/>
    </row>
    <row r="1154" spans="1:5" ht="5.0999999999999996" customHeight="1">
      <c r="A1154" s="290"/>
      <c r="B1154" s="290"/>
      <c r="C1154" s="290"/>
      <c r="D1154" s="297"/>
      <c r="E1154" s="290"/>
    </row>
    <row r="1155" spans="1:5" ht="13.5">
      <c r="A1155" s="292"/>
      <c r="B1155" s="292" t="s">
        <v>182</v>
      </c>
      <c r="C1155" s="295"/>
      <c r="D1155" s="344">
        <v>12</v>
      </c>
      <c r="E1155" s="290"/>
    </row>
    <row r="1156" spans="1:5" ht="5.0999999999999996" customHeight="1">
      <c r="A1156" s="290"/>
      <c r="B1156" s="290"/>
      <c r="C1156" s="290"/>
      <c r="D1156" s="297"/>
      <c r="E1156" s="290"/>
    </row>
    <row r="1157" spans="1:5" ht="13.5">
      <c r="A1157" s="290"/>
      <c r="B1157" s="290"/>
      <c r="C1157" s="290" t="s">
        <v>21</v>
      </c>
      <c r="D1157" s="297">
        <v>1</v>
      </c>
      <c r="E1157" s="290"/>
    </row>
    <row r="1158" spans="1:5" ht="13.5">
      <c r="A1158" s="290"/>
      <c r="B1158" s="290"/>
      <c r="C1158" s="290" t="s">
        <v>23</v>
      </c>
      <c r="D1158" s="297">
        <v>1</v>
      </c>
      <c r="E1158" s="290"/>
    </row>
    <row r="1159" spans="1:5" ht="13.5">
      <c r="A1159" s="290"/>
      <c r="B1159" s="290"/>
      <c r="C1159" s="290" t="s">
        <v>26</v>
      </c>
      <c r="D1159" s="297">
        <v>2</v>
      </c>
      <c r="E1159" s="290"/>
    </row>
    <row r="1160" spans="1:5" ht="13.5">
      <c r="A1160" s="290"/>
      <c r="B1160" s="290"/>
      <c r="C1160" s="290" t="s">
        <v>27</v>
      </c>
      <c r="D1160" s="297">
        <v>4</v>
      </c>
      <c r="E1160" s="290"/>
    </row>
    <row r="1161" spans="1:5" ht="13.5">
      <c r="A1161" s="290"/>
      <c r="B1161" s="290"/>
      <c r="C1161" s="290" t="s">
        <v>29</v>
      </c>
      <c r="D1161" s="297">
        <v>1</v>
      </c>
      <c r="E1161" s="290"/>
    </row>
    <row r="1162" spans="1:5" ht="13.5">
      <c r="A1162" s="290"/>
      <c r="B1162" s="290"/>
      <c r="C1162" s="290" t="s">
        <v>30</v>
      </c>
      <c r="D1162" s="297">
        <v>2</v>
      </c>
      <c r="E1162" s="290"/>
    </row>
    <row r="1163" spans="1:5" ht="13.5">
      <c r="A1163" s="290"/>
      <c r="B1163" s="290"/>
      <c r="C1163" s="290" t="s">
        <v>31</v>
      </c>
      <c r="D1163" s="297">
        <v>1</v>
      </c>
      <c r="E1163" s="290"/>
    </row>
    <row r="1164" spans="1:5" ht="5.0999999999999996" customHeight="1">
      <c r="A1164" s="290"/>
      <c r="B1164" s="290"/>
      <c r="C1164" s="290"/>
      <c r="D1164" s="297"/>
      <c r="E1164" s="290"/>
    </row>
    <row r="1165" spans="1:5" ht="13.5">
      <c r="A1165" s="292"/>
      <c r="B1165" s="292" t="s">
        <v>183</v>
      </c>
      <c r="C1165" s="295"/>
      <c r="D1165" s="344">
        <v>85</v>
      </c>
      <c r="E1165" s="290"/>
    </row>
    <row r="1166" spans="1:5" ht="5.0999999999999996" customHeight="1">
      <c r="A1166" s="290"/>
      <c r="B1166" s="290"/>
      <c r="C1166" s="290"/>
      <c r="D1166" s="297"/>
      <c r="E1166" s="290"/>
    </row>
    <row r="1167" spans="1:5" ht="13.5">
      <c r="A1167" s="290"/>
      <c r="B1167" s="290"/>
      <c r="C1167" s="290" t="s">
        <v>21</v>
      </c>
      <c r="D1167" s="297">
        <v>8</v>
      </c>
      <c r="E1167" s="290"/>
    </row>
    <row r="1168" spans="1:5" ht="13.5">
      <c r="A1168" s="290"/>
      <c r="B1168" s="290"/>
      <c r="C1168" s="290" t="s">
        <v>22</v>
      </c>
      <c r="D1168" s="297">
        <v>1</v>
      </c>
      <c r="E1168" s="290"/>
    </row>
    <row r="1169" spans="1:5" ht="13.5">
      <c r="A1169" s="290"/>
      <c r="B1169" s="290"/>
      <c r="C1169" s="290" t="s">
        <v>23</v>
      </c>
      <c r="D1169" s="297">
        <v>5</v>
      </c>
      <c r="E1169" s="290"/>
    </row>
    <row r="1170" spans="1:5" ht="13.5">
      <c r="A1170" s="290"/>
      <c r="B1170" s="290"/>
      <c r="C1170" s="290" t="s">
        <v>24</v>
      </c>
      <c r="D1170" s="297">
        <v>5</v>
      </c>
      <c r="E1170" s="290"/>
    </row>
    <row r="1171" spans="1:5" ht="13.5">
      <c r="A1171" s="290"/>
      <c r="B1171" s="290"/>
      <c r="C1171" s="290" t="s">
        <v>25</v>
      </c>
      <c r="D1171" s="297">
        <v>3</v>
      </c>
      <c r="E1171" s="290"/>
    </row>
    <row r="1172" spans="1:5" ht="13.5">
      <c r="A1172" s="290"/>
      <c r="B1172" s="290"/>
      <c r="C1172" s="290" t="s">
        <v>26</v>
      </c>
      <c r="D1172" s="297">
        <v>9</v>
      </c>
      <c r="E1172" s="290"/>
    </row>
    <row r="1173" spans="1:5" ht="13.5">
      <c r="A1173" s="290"/>
      <c r="B1173" s="290"/>
      <c r="C1173" s="290" t="s">
        <v>27</v>
      </c>
      <c r="D1173" s="297">
        <v>17</v>
      </c>
      <c r="E1173" s="290"/>
    </row>
    <row r="1174" spans="1:5" ht="13.5">
      <c r="A1174" s="290"/>
      <c r="B1174" s="290"/>
      <c r="C1174" s="290" t="s">
        <v>28</v>
      </c>
      <c r="D1174" s="297">
        <v>10</v>
      </c>
      <c r="E1174" s="290"/>
    </row>
    <row r="1175" spans="1:5" ht="13.5">
      <c r="A1175" s="290"/>
      <c r="B1175" s="290"/>
      <c r="C1175" s="290" t="s">
        <v>29</v>
      </c>
      <c r="D1175" s="297">
        <v>5</v>
      </c>
      <c r="E1175" s="290"/>
    </row>
    <row r="1176" spans="1:5" ht="13.5">
      <c r="A1176" s="290"/>
      <c r="B1176" s="290"/>
      <c r="C1176" s="290" t="s">
        <v>30</v>
      </c>
      <c r="D1176" s="297">
        <v>9</v>
      </c>
      <c r="E1176" s="290"/>
    </row>
    <row r="1177" spans="1:5" ht="13.5">
      <c r="A1177" s="290"/>
      <c r="B1177" s="290"/>
      <c r="C1177" s="290" t="s">
        <v>31</v>
      </c>
      <c r="D1177" s="297">
        <v>5</v>
      </c>
      <c r="E1177" s="290"/>
    </row>
    <row r="1178" spans="1:5" ht="13.5">
      <c r="A1178" s="290"/>
      <c r="B1178" s="290"/>
      <c r="C1178" s="290" t="s">
        <v>32</v>
      </c>
      <c r="D1178" s="297">
        <v>8</v>
      </c>
      <c r="E1178" s="290"/>
    </row>
    <row r="1179" spans="1:5" ht="5.0999999999999996" customHeight="1">
      <c r="A1179" s="290"/>
      <c r="B1179" s="290"/>
      <c r="C1179" s="290"/>
      <c r="D1179" s="297"/>
      <c r="E1179" s="290"/>
    </row>
    <row r="1180" spans="1:5" ht="13.5">
      <c r="A1180" s="292"/>
      <c r="B1180" s="292" t="s">
        <v>184</v>
      </c>
      <c r="C1180" s="295"/>
      <c r="D1180" s="344">
        <v>16</v>
      </c>
      <c r="E1180" s="290"/>
    </row>
    <row r="1181" spans="1:5" ht="5.0999999999999996" customHeight="1">
      <c r="A1181" s="290"/>
      <c r="B1181" s="290"/>
      <c r="C1181" s="290"/>
      <c r="D1181" s="297"/>
      <c r="E1181" s="290"/>
    </row>
    <row r="1182" spans="1:5" ht="13.5">
      <c r="A1182" s="290"/>
      <c r="B1182" s="290"/>
      <c r="C1182" s="290" t="s">
        <v>23</v>
      </c>
      <c r="D1182" s="297">
        <v>2</v>
      </c>
      <c r="E1182" s="290"/>
    </row>
    <row r="1183" spans="1:5" ht="13.5">
      <c r="A1183" s="290"/>
      <c r="B1183" s="290"/>
      <c r="C1183" s="290" t="s">
        <v>25</v>
      </c>
      <c r="D1183" s="297">
        <v>1</v>
      </c>
      <c r="E1183" s="290"/>
    </row>
    <row r="1184" spans="1:5" ht="13.5">
      <c r="A1184" s="290"/>
      <c r="B1184" s="290"/>
      <c r="C1184" s="290" t="s">
        <v>26</v>
      </c>
      <c r="D1184" s="297">
        <v>3</v>
      </c>
      <c r="E1184" s="290"/>
    </row>
    <row r="1185" spans="1:5" ht="13.5">
      <c r="A1185" s="290"/>
      <c r="B1185" s="290"/>
      <c r="C1185" s="290" t="s">
        <v>27</v>
      </c>
      <c r="D1185" s="297">
        <v>2</v>
      </c>
      <c r="E1185" s="290"/>
    </row>
    <row r="1186" spans="1:5" ht="13.5">
      <c r="A1186" s="290"/>
      <c r="B1186" s="290"/>
      <c r="C1186" s="290" t="s">
        <v>29</v>
      </c>
      <c r="D1186" s="297">
        <v>2</v>
      </c>
      <c r="E1186" s="290"/>
    </row>
    <row r="1187" spans="1:5" ht="13.5">
      <c r="A1187" s="290"/>
      <c r="B1187" s="290"/>
      <c r="C1187" s="290" t="s">
        <v>30</v>
      </c>
      <c r="D1187" s="297">
        <v>3</v>
      </c>
      <c r="E1187" s="290"/>
    </row>
    <row r="1188" spans="1:5" ht="13.5">
      <c r="A1188" s="290"/>
      <c r="B1188" s="290"/>
      <c r="C1188" s="290" t="s">
        <v>31</v>
      </c>
      <c r="D1188" s="297">
        <v>2</v>
      </c>
      <c r="E1188" s="290"/>
    </row>
    <row r="1189" spans="1:5" ht="13.5">
      <c r="A1189" s="290"/>
      <c r="B1189" s="290"/>
      <c r="C1189" s="290" t="s">
        <v>32</v>
      </c>
      <c r="D1189" s="297">
        <v>1</v>
      </c>
      <c r="E1189" s="290"/>
    </row>
    <row r="1190" spans="1:5" ht="5.0999999999999996" customHeight="1">
      <c r="A1190" s="290"/>
      <c r="B1190" s="290"/>
      <c r="C1190" s="290"/>
      <c r="D1190" s="297"/>
      <c r="E1190" s="290"/>
    </row>
    <row r="1191" spans="1:5" ht="13.5">
      <c r="A1191" s="292"/>
      <c r="B1191" s="292" t="s">
        <v>271</v>
      </c>
      <c r="C1191" s="295"/>
      <c r="D1191" s="344">
        <v>1</v>
      </c>
      <c r="E1191" s="290"/>
    </row>
    <row r="1192" spans="1:5" ht="5.0999999999999996" customHeight="1">
      <c r="A1192" s="290"/>
      <c r="B1192" s="290"/>
      <c r="C1192" s="290"/>
      <c r="D1192" s="297"/>
      <c r="E1192" s="290"/>
    </row>
    <row r="1193" spans="1:5" ht="13.5">
      <c r="A1193" s="290"/>
      <c r="B1193" s="290"/>
      <c r="C1193" s="290" t="s">
        <v>24</v>
      </c>
      <c r="D1193" s="297">
        <v>1</v>
      </c>
      <c r="E1193" s="290"/>
    </row>
    <row r="1194" spans="1:5" ht="5.0999999999999996" customHeight="1">
      <c r="A1194" s="290"/>
      <c r="B1194" s="290"/>
      <c r="C1194" s="290"/>
      <c r="D1194" s="297"/>
      <c r="E1194" s="290"/>
    </row>
    <row r="1195" spans="1:5" ht="13.5">
      <c r="A1195" s="292"/>
      <c r="B1195" s="292" t="s">
        <v>185</v>
      </c>
      <c r="C1195" s="295"/>
      <c r="D1195" s="344">
        <v>1</v>
      </c>
      <c r="E1195" s="290"/>
    </row>
    <row r="1196" spans="1:5" ht="5.0999999999999996" customHeight="1">
      <c r="A1196" s="290"/>
      <c r="B1196" s="290"/>
      <c r="C1196" s="290"/>
      <c r="D1196" s="297"/>
      <c r="E1196" s="290"/>
    </row>
    <row r="1197" spans="1:5" ht="13.5">
      <c r="A1197" s="290"/>
      <c r="B1197" s="290"/>
      <c r="C1197" s="290" t="s">
        <v>27</v>
      </c>
      <c r="D1197" s="297">
        <v>1</v>
      </c>
      <c r="E1197" s="290"/>
    </row>
    <row r="1198" spans="1:5" ht="5.0999999999999996" customHeight="1">
      <c r="A1198" s="290"/>
      <c r="B1198" s="290"/>
      <c r="C1198" s="290"/>
      <c r="D1198" s="297"/>
      <c r="E1198" s="290"/>
    </row>
    <row r="1199" spans="1:5" ht="13.5">
      <c r="A1199" s="292" t="s">
        <v>97</v>
      </c>
      <c r="B1199" s="292"/>
      <c r="C1199" s="295"/>
      <c r="D1199" s="344">
        <v>112</v>
      </c>
      <c r="E1199" s="290"/>
    </row>
    <row r="1200" spans="1:5" ht="5.0999999999999996" customHeight="1">
      <c r="A1200" s="290"/>
      <c r="B1200" s="290"/>
      <c r="C1200" s="290"/>
      <c r="D1200" s="297"/>
      <c r="E1200" s="290"/>
    </row>
    <row r="1201" spans="1:5" ht="13.5">
      <c r="A1201" s="290"/>
      <c r="B1201" s="290"/>
      <c r="C1201" s="290" t="s">
        <v>21</v>
      </c>
      <c r="D1201" s="297">
        <v>13</v>
      </c>
      <c r="E1201" s="290"/>
    </row>
    <row r="1202" spans="1:5" ht="13.5">
      <c r="A1202" s="290"/>
      <c r="B1202" s="290"/>
      <c r="C1202" s="290" t="s">
        <v>22</v>
      </c>
      <c r="D1202" s="297">
        <v>6</v>
      </c>
      <c r="E1202" s="290"/>
    </row>
    <row r="1203" spans="1:5" ht="13.5">
      <c r="A1203" s="290"/>
      <c r="B1203" s="290"/>
      <c r="C1203" s="290" t="s">
        <v>23</v>
      </c>
      <c r="D1203" s="297">
        <v>11</v>
      </c>
      <c r="E1203" s="290"/>
    </row>
    <row r="1204" spans="1:5" ht="13.5">
      <c r="A1204" s="290"/>
      <c r="B1204" s="290"/>
      <c r="C1204" s="290" t="s">
        <v>24</v>
      </c>
      <c r="D1204" s="297">
        <v>5</v>
      </c>
      <c r="E1204" s="290"/>
    </row>
    <row r="1205" spans="1:5" ht="13.5">
      <c r="A1205" s="290"/>
      <c r="B1205" s="290"/>
      <c r="C1205" s="290" t="s">
        <v>25</v>
      </c>
      <c r="D1205" s="297">
        <v>12</v>
      </c>
      <c r="E1205" s="290"/>
    </row>
    <row r="1206" spans="1:5" ht="13.5">
      <c r="A1206" s="290"/>
      <c r="B1206" s="290"/>
      <c r="C1206" s="290" t="s">
        <v>26</v>
      </c>
      <c r="D1206" s="297">
        <v>10</v>
      </c>
      <c r="E1206" s="290"/>
    </row>
    <row r="1207" spans="1:5" ht="13.5">
      <c r="A1207" s="290"/>
      <c r="B1207" s="290"/>
      <c r="C1207" s="290" t="s">
        <v>27</v>
      </c>
      <c r="D1207" s="297">
        <v>13</v>
      </c>
      <c r="E1207" s="290"/>
    </row>
    <row r="1208" spans="1:5" ht="13.5">
      <c r="A1208" s="290"/>
      <c r="B1208" s="290"/>
      <c r="C1208" s="290" t="s">
        <v>28</v>
      </c>
      <c r="D1208" s="297">
        <v>5</v>
      </c>
      <c r="E1208" s="290"/>
    </row>
    <row r="1209" spans="1:5" ht="13.5">
      <c r="A1209" s="290"/>
      <c r="B1209" s="290"/>
      <c r="C1209" s="290" t="s">
        <v>29</v>
      </c>
      <c r="D1209" s="297">
        <v>8</v>
      </c>
      <c r="E1209" s="290"/>
    </row>
    <row r="1210" spans="1:5" ht="13.5">
      <c r="A1210" s="290"/>
      <c r="B1210" s="290"/>
      <c r="C1210" s="290" t="s">
        <v>30</v>
      </c>
      <c r="D1210" s="297">
        <v>12</v>
      </c>
      <c r="E1210" s="290"/>
    </row>
    <row r="1211" spans="1:5" ht="13.5">
      <c r="A1211" s="290"/>
      <c r="B1211" s="290"/>
      <c r="C1211" s="290" t="s">
        <v>31</v>
      </c>
      <c r="D1211" s="297">
        <v>11</v>
      </c>
      <c r="E1211" s="290"/>
    </row>
    <row r="1212" spans="1:5" ht="13.5">
      <c r="A1212" s="290"/>
      <c r="B1212" s="290"/>
      <c r="C1212" s="290" t="s">
        <v>32</v>
      </c>
      <c r="D1212" s="297">
        <v>6</v>
      </c>
      <c r="E1212" s="290"/>
    </row>
    <row r="1213" spans="1:5" ht="5.0999999999999996" customHeight="1">
      <c r="A1213" s="290"/>
      <c r="B1213" s="290"/>
      <c r="C1213" s="290"/>
      <c r="D1213" s="297"/>
      <c r="E1213" s="290"/>
    </row>
    <row r="1214" spans="1:5" ht="13.5">
      <c r="A1214" s="292"/>
      <c r="B1214" s="292" t="s">
        <v>97</v>
      </c>
      <c r="C1214" s="295"/>
      <c r="D1214" s="344">
        <v>86</v>
      </c>
      <c r="E1214" s="290"/>
    </row>
    <row r="1215" spans="1:5" ht="5.0999999999999996" customHeight="1">
      <c r="A1215" s="290"/>
      <c r="B1215" s="290"/>
      <c r="C1215" s="290"/>
      <c r="D1215" s="297"/>
      <c r="E1215" s="290"/>
    </row>
    <row r="1216" spans="1:5" ht="13.5">
      <c r="A1216" s="290"/>
      <c r="B1216" s="290"/>
      <c r="C1216" s="290" t="s">
        <v>21</v>
      </c>
      <c r="D1216" s="297">
        <v>11</v>
      </c>
      <c r="E1216" s="290"/>
    </row>
    <row r="1217" spans="1:5" ht="13.5">
      <c r="A1217" s="290"/>
      <c r="B1217" s="290"/>
      <c r="C1217" s="290" t="s">
        <v>22</v>
      </c>
      <c r="D1217" s="297">
        <v>6</v>
      </c>
      <c r="E1217" s="290"/>
    </row>
    <row r="1218" spans="1:5" ht="13.5">
      <c r="A1218" s="290"/>
      <c r="B1218" s="290"/>
      <c r="C1218" s="290" t="s">
        <v>23</v>
      </c>
      <c r="D1218" s="297">
        <v>9</v>
      </c>
      <c r="E1218" s="290"/>
    </row>
    <row r="1219" spans="1:5" ht="13.5">
      <c r="A1219" s="290"/>
      <c r="B1219" s="290"/>
      <c r="C1219" s="290" t="s">
        <v>24</v>
      </c>
      <c r="D1219" s="297">
        <v>3</v>
      </c>
      <c r="E1219" s="290"/>
    </row>
    <row r="1220" spans="1:5" ht="13.5">
      <c r="A1220" s="290"/>
      <c r="B1220" s="290"/>
      <c r="C1220" s="290" t="s">
        <v>25</v>
      </c>
      <c r="D1220" s="297">
        <v>9</v>
      </c>
      <c r="E1220" s="290"/>
    </row>
    <row r="1221" spans="1:5" ht="13.5">
      <c r="A1221" s="290"/>
      <c r="B1221" s="290"/>
      <c r="C1221" s="290" t="s">
        <v>26</v>
      </c>
      <c r="D1221" s="297">
        <v>5</v>
      </c>
      <c r="E1221" s="290"/>
    </row>
    <row r="1222" spans="1:5" ht="13.5">
      <c r="A1222" s="290"/>
      <c r="B1222" s="290"/>
      <c r="C1222" s="290" t="s">
        <v>27</v>
      </c>
      <c r="D1222" s="297">
        <v>12</v>
      </c>
      <c r="E1222" s="290"/>
    </row>
    <row r="1223" spans="1:5" ht="13.5">
      <c r="A1223" s="290"/>
      <c r="B1223" s="290"/>
      <c r="C1223" s="290" t="s">
        <v>28</v>
      </c>
      <c r="D1223" s="297">
        <v>4</v>
      </c>
      <c r="E1223" s="290"/>
    </row>
    <row r="1224" spans="1:5" ht="13.5">
      <c r="A1224" s="290"/>
      <c r="B1224" s="290"/>
      <c r="C1224" s="290" t="s">
        <v>29</v>
      </c>
      <c r="D1224" s="297">
        <v>6</v>
      </c>
      <c r="E1224" s="290"/>
    </row>
    <row r="1225" spans="1:5" ht="13.5">
      <c r="A1225" s="290"/>
      <c r="B1225" s="290"/>
      <c r="C1225" s="290" t="s">
        <v>30</v>
      </c>
      <c r="D1225" s="297">
        <v>10</v>
      </c>
      <c r="E1225" s="290"/>
    </row>
    <row r="1226" spans="1:5" ht="13.5">
      <c r="A1226" s="290"/>
      <c r="B1226" s="290"/>
      <c r="C1226" s="290" t="s">
        <v>31</v>
      </c>
      <c r="D1226" s="297">
        <v>8</v>
      </c>
      <c r="E1226" s="290"/>
    </row>
    <row r="1227" spans="1:5" ht="13.5">
      <c r="A1227" s="290"/>
      <c r="B1227" s="290"/>
      <c r="C1227" s="290" t="s">
        <v>32</v>
      </c>
      <c r="D1227" s="297">
        <v>3</v>
      </c>
      <c r="E1227" s="290"/>
    </row>
    <row r="1228" spans="1:5" ht="5.0999999999999996" customHeight="1">
      <c r="A1228" s="290"/>
      <c r="B1228" s="290"/>
      <c r="C1228" s="290"/>
      <c r="D1228" s="297"/>
      <c r="E1228" s="290"/>
    </row>
    <row r="1229" spans="1:5" ht="13.5">
      <c r="A1229" s="292"/>
      <c r="B1229" s="292" t="s">
        <v>187</v>
      </c>
      <c r="C1229" s="295"/>
      <c r="D1229" s="344">
        <v>5</v>
      </c>
      <c r="E1229" s="290"/>
    </row>
    <row r="1230" spans="1:5" ht="5.0999999999999996" customHeight="1">
      <c r="A1230" s="290"/>
      <c r="B1230" s="290"/>
      <c r="C1230" s="290"/>
      <c r="D1230" s="297"/>
      <c r="E1230" s="290"/>
    </row>
    <row r="1231" spans="1:5" ht="13.5">
      <c r="A1231" s="290"/>
      <c r="B1231" s="290"/>
      <c r="C1231" s="290" t="s">
        <v>21</v>
      </c>
      <c r="D1231" s="297">
        <v>1</v>
      </c>
      <c r="E1231" s="290"/>
    </row>
    <row r="1232" spans="1:5" ht="13.5">
      <c r="A1232" s="290"/>
      <c r="B1232" s="290"/>
      <c r="C1232" s="290" t="s">
        <v>23</v>
      </c>
      <c r="D1232" s="297">
        <v>1</v>
      </c>
      <c r="E1232" s="290"/>
    </row>
    <row r="1233" spans="1:5" ht="13.5">
      <c r="A1233" s="290"/>
      <c r="B1233" s="290"/>
      <c r="C1233" s="290" t="s">
        <v>31</v>
      </c>
      <c r="D1233" s="297">
        <v>2</v>
      </c>
      <c r="E1233" s="290"/>
    </row>
    <row r="1234" spans="1:5" ht="13.5">
      <c r="A1234" s="290"/>
      <c r="B1234" s="290"/>
      <c r="C1234" s="290" t="s">
        <v>32</v>
      </c>
      <c r="D1234" s="297">
        <v>1</v>
      </c>
      <c r="E1234" s="290"/>
    </row>
    <row r="1235" spans="1:5" ht="5.0999999999999996" customHeight="1">
      <c r="A1235" s="290"/>
      <c r="B1235" s="290"/>
      <c r="C1235" s="290"/>
      <c r="D1235" s="297"/>
      <c r="E1235" s="290"/>
    </row>
    <row r="1236" spans="1:5" ht="13.5">
      <c r="A1236" s="292"/>
      <c r="B1236" s="292" t="s">
        <v>272</v>
      </c>
      <c r="C1236" s="295"/>
      <c r="D1236" s="344">
        <v>4</v>
      </c>
      <c r="E1236" s="290"/>
    </row>
    <row r="1237" spans="1:5" ht="5.0999999999999996" customHeight="1">
      <c r="A1237" s="290"/>
      <c r="B1237" s="290"/>
      <c r="C1237" s="290"/>
      <c r="D1237" s="297"/>
      <c r="E1237" s="290"/>
    </row>
    <row r="1238" spans="1:5" ht="13.5">
      <c r="A1238" s="290"/>
      <c r="B1238" s="290"/>
      <c r="C1238" s="290" t="s">
        <v>23</v>
      </c>
      <c r="D1238" s="297">
        <v>1</v>
      </c>
      <c r="E1238" s="290"/>
    </row>
    <row r="1239" spans="1:5" ht="13.5">
      <c r="A1239" s="290"/>
      <c r="B1239" s="290"/>
      <c r="C1239" s="290" t="s">
        <v>24</v>
      </c>
      <c r="D1239" s="297">
        <v>1</v>
      </c>
      <c r="E1239" s="290"/>
    </row>
    <row r="1240" spans="1:5" ht="13.5">
      <c r="A1240" s="290"/>
      <c r="B1240" s="290"/>
      <c r="C1240" s="290" t="s">
        <v>27</v>
      </c>
      <c r="D1240" s="297">
        <v>1</v>
      </c>
      <c r="E1240" s="290"/>
    </row>
    <row r="1241" spans="1:5" ht="13.5">
      <c r="A1241" s="290"/>
      <c r="B1241" s="290"/>
      <c r="C1241" s="290" t="s">
        <v>29</v>
      </c>
      <c r="D1241" s="297">
        <v>1</v>
      </c>
      <c r="E1241" s="290"/>
    </row>
    <row r="1242" spans="1:5" ht="5.0999999999999996" customHeight="1">
      <c r="A1242" s="290"/>
      <c r="B1242" s="290"/>
      <c r="C1242" s="290"/>
      <c r="D1242" s="297"/>
      <c r="E1242" s="290"/>
    </row>
    <row r="1243" spans="1:5" ht="13.5">
      <c r="A1243" s="292"/>
      <c r="B1243" s="292" t="s">
        <v>188</v>
      </c>
      <c r="C1243" s="295"/>
      <c r="D1243" s="344">
        <v>13</v>
      </c>
      <c r="E1243" s="290"/>
    </row>
    <row r="1244" spans="1:5" ht="5.0999999999999996" customHeight="1">
      <c r="A1244" s="290"/>
      <c r="B1244" s="290"/>
      <c r="C1244" s="290"/>
      <c r="D1244" s="297"/>
      <c r="E1244" s="290"/>
    </row>
    <row r="1245" spans="1:5" ht="13.5">
      <c r="A1245" s="290"/>
      <c r="B1245" s="290"/>
      <c r="C1245" s="290" t="s">
        <v>21</v>
      </c>
      <c r="D1245" s="297">
        <v>1</v>
      </c>
      <c r="E1245" s="290"/>
    </row>
    <row r="1246" spans="1:5" ht="13.5">
      <c r="A1246" s="290"/>
      <c r="B1246" s="290"/>
      <c r="C1246" s="290" t="s">
        <v>25</v>
      </c>
      <c r="D1246" s="297">
        <v>2</v>
      </c>
      <c r="E1246" s="290"/>
    </row>
    <row r="1247" spans="1:5" ht="13.5">
      <c r="A1247" s="290"/>
      <c r="B1247" s="290"/>
      <c r="C1247" s="290" t="s">
        <v>26</v>
      </c>
      <c r="D1247" s="297">
        <v>4</v>
      </c>
      <c r="E1247" s="290"/>
    </row>
    <row r="1248" spans="1:5" ht="13.5">
      <c r="A1248" s="290"/>
      <c r="B1248" s="290"/>
      <c r="C1248" s="290" t="s">
        <v>28</v>
      </c>
      <c r="D1248" s="297">
        <v>1</v>
      </c>
      <c r="E1248" s="290"/>
    </row>
    <row r="1249" spans="1:5" ht="13.5">
      <c r="A1249" s="290"/>
      <c r="B1249" s="290"/>
      <c r="C1249" s="290" t="s">
        <v>29</v>
      </c>
      <c r="D1249" s="297">
        <v>1</v>
      </c>
      <c r="E1249" s="290"/>
    </row>
    <row r="1250" spans="1:5" ht="13.5">
      <c r="A1250" s="290"/>
      <c r="B1250" s="290"/>
      <c r="C1250" s="290" t="s">
        <v>30</v>
      </c>
      <c r="D1250" s="297">
        <v>2</v>
      </c>
      <c r="E1250" s="290"/>
    </row>
    <row r="1251" spans="1:5" ht="13.5">
      <c r="A1251" s="290"/>
      <c r="B1251" s="290"/>
      <c r="C1251" s="290" t="s">
        <v>32</v>
      </c>
      <c r="D1251" s="297">
        <v>2</v>
      </c>
      <c r="E1251" s="290"/>
    </row>
    <row r="1252" spans="1:5" ht="5.0999999999999996" customHeight="1">
      <c r="A1252" s="290"/>
      <c r="B1252" s="290"/>
      <c r="C1252" s="290"/>
      <c r="D1252" s="297"/>
      <c r="E1252" s="290"/>
    </row>
    <row r="1253" spans="1:5" ht="13.5">
      <c r="A1253" s="292"/>
      <c r="B1253" s="292" t="s">
        <v>189</v>
      </c>
      <c r="C1253" s="295"/>
      <c r="D1253" s="344">
        <v>4</v>
      </c>
      <c r="E1253" s="290"/>
    </row>
    <row r="1254" spans="1:5" ht="5.0999999999999996" customHeight="1">
      <c r="A1254" s="290"/>
      <c r="B1254" s="290"/>
      <c r="C1254" s="290"/>
      <c r="D1254" s="297"/>
      <c r="E1254" s="290"/>
    </row>
    <row r="1255" spans="1:5" ht="13.5">
      <c r="A1255" s="290"/>
      <c r="B1255" s="290"/>
      <c r="C1255" s="290" t="s">
        <v>24</v>
      </c>
      <c r="D1255" s="297">
        <v>1</v>
      </c>
      <c r="E1255" s="290"/>
    </row>
    <row r="1256" spans="1:5" ht="13.5">
      <c r="A1256" s="290"/>
      <c r="B1256" s="290"/>
      <c r="C1256" s="290" t="s">
        <v>25</v>
      </c>
      <c r="D1256" s="297">
        <v>1</v>
      </c>
      <c r="E1256" s="290"/>
    </row>
    <row r="1257" spans="1:5" ht="13.5">
      <c r="A1257" s="290"/>
      <c r="B1257" s="290"/>
      <c r="C1257" s="290" t="s">
        <v>26</v>
      </c>
      <c r="D1257" s="297">
        <v>1</v>
      </c>
      <c r="E1257" s="290"/>
    </row>
    <row r="1258" spans="1:5" ht="13.5">
      <c r="A1258" s="290"/>
      <c r="B1258" s="290"/>
      <c r="C1258" s="290" t="s">
        <v>31</v>
      </c>
      <c r="D1258" s="297">
        <v>1</v>
      </c>
      <c r="E1258" s="290"/>
    </row>
    <row r="1259" spans="1:5" ht="5.0999999999999996" customHeight="1">
      <c r="A1259" s="290"/>
      <c r="B1259" s="290"/>
      <c r="C1259" s="290"/>
      <c r="D1259" s="297"/>
      <c r="E1259" s="290"/>
    </row>
    <row r="1260" spans="1:5" ht="13.5">
      <c r="A1260" s="292" t="s">
        <v>98</v>
      </c>
      <c r="B1260" s="292"/>
      <c r="C1260" s="295"/>
      <c r="D1260" s="344">
        <v>369</v>
      </c>
      <c r="E1260" s="290"/>
    </row>
    <row r="1261" spans="1:5" ht="5.0999999999999996" customHeight="1">
      <c r="A1261" s="290"/>
      <c r="B1261" s="290"/>
      <c r="C1261" s="290"/>
      <c r="D1261" s="297"/>
      <c r="E1261" s="290"/>
    </row>
    <row r="1262" spans="1:5" ht="13.5">
      <c r="A1262" s="290"/>
      <c r="B1262" s="290"/>
      <c r="C1262" s="290" t="s">
        <v>21</v>
      </c>
      <c r="D1262" s="297">
        <v>33</v>
      </c>
      <c r="E1262" s="290"/>
    </row>
    <row r="1263" spans="1:5" ht="13.5">
      <c r="A1263" s="290"/>
      <c r="B1263" s="290"/>
      <c r="C1263" s="290" t="s">
        <v>22</v>
      </c>
      <c r="D1263" s="297">
        <v>36</v>
      </c>
      <c r="E1263" s="290"/>
    </row>
    <row r="1264" spans="1:5" ht="13.5">
      <c r="A1264" s="290"/>
      <c r="B1264" s="290"/>
      <c r="C1264" s="290" t="s">
        <v>23</v>
      </c>
      <c r="D1264" s="297">
        <v>35</v>
      </c>
      <c r="E1264" s="290"/>
    </row>
    <row r="1265" spans="1:5" ht="13.5">
      <c r="A1265" s="290"/>
      <c r="B1265" s="290"/>
      <c r="C1265" s="290" t="s">
        <v>24</v>
      </c>
      <c r="D1265" s="297">
        <v>34</v>
      </c>
      <c r="E1265" s="290"/>
    </row>
    <row r="1266" spans="1:5" ht="13.5">
      <c r="A1266" s="290"/>
      <c r="B1266" s="290"/>
      <c r="C1266" s="290" t="s">
        <v>25</v>
      </c>
      <c r="D1266" s="297">
        <v>24</v>
      </c>
      <c r="E1266" s="290"/>
    </row>
    <row r="1267" spans="1:5" ht="13.5">
      <c r="A1267" s="290"/>
      <c r="B1267" s="290"/>
      <c r="C1267" s="290" t="s">
        <v>26</v>
      </c>
      <c r="D1267" s="297">
        <v>37</v>
      </c>
      <c r="E1267" s="290"/>
    </row>
    <row r="1268" spans="1:5" ht="13.5">
      <c r="A1268" s="290"/>
      <c r="B1268" s="290"/>
      <c r="C1268" s="290" t="s">
        <v>27</v>
      </c>
      <c r="D1268" s="297">
        <v>21</v>
      </c>
      <c r="E1268" s="290"/>
    </row>
    <row r="1269" spans="1:5" ht="13.5">
      <c r="A1269" s="290"/>
      <c r="B1269" s="290"/>
      <c r="C1269" s="290" t="s">
        <v>28</v>
      </c>
      <c r="D1269" s="297">
        <v>29</v>
      </c>
      <c r="E1269" s="290"/>
    </row>
    <row r="1270" spans="1:5" ht="13.5">
      <c r="A1270" s="290"/>
      <c r="B1270" s="290"/>
      <c r="C1270" s="290" t="s">
        <v>29</v>
      </c>
      <c r="D1270" s="297">
        <v>39</v>
      </c>
      <c r="E1270" s="290"/>
    </row>
    <row r="1271" spans="1:5" ht="13.5">
      <c r="A1271" s="290"/>
      <c r="B1271" s="290"/>
      <c r="C1271" s="290" t="s">
        <v>30</v>
      </c>
      <c r="D1271" s="297">
        <v>29</v>
      </c>
      <c r="E1271" s="290"/>
    </row>
    <row r="1272" spans="1:5" ht="13.5">
      <c r="A1272" s="290"/>
      <c r="B1272" s="290"/>
      <c r="C1272" s="290" t="s">
        <v>31</v>
      </c>
      <c r="D1272" s="297">
        <v>23</v>
      </c>
      <c r="E1272" s="290"/>
    </row>
    <row r="1273" spans="1:5" ht="13.5">
      <c r="A1273" s="290"/>
      <c r="B1273" s="290"/>
      <c r="C1273" s="290" t="s">
        <v>32</v>
      </c>
      <c r="D1273" s="297">
        <v>29</v>
      </c>
      <c r="E1273" s="290"/>
    </row>
    <row r="1274" spans="1:5" ht="5.0999999999999996" customHeight="1">
      <c r="A1274" s="290"/>
      <c r="B1274" s="290"/>
      <c r="C1274" s="290"/>
      <c r="D1274" s="297"/>
      <c r="E1274" s="290"/>
    </row>
    <row r="1275" spans="1:5" ht="13.5">
      <c r="A1275" s="292"/>
      <c r="B1275" s="292" t="s">
        <v>376</v>
      </c>
      <c r="C1275" s="295"/>
      <c r="D1275" s="344">
        <v>368</v>
      </c>
      <c r="E1275" s="290"/>
    </row>
    <row r="1276" spans="1:5" ht="5.0999999999999996" customHeight="1">
      <c r="A1276" s="290"/>
      <c r="B1276" s="290"/>
      <c r="C1276" s="290"/>
      <c r="D1276" s="297"/>
      <c r="E1276" s="290"/>
    </row>
    <row r="1277" spans="1:5" ht="13.5">
      <c r="A1277" s="290"/>
      <c r="B1277" s="290"/>
      <c r="C1277" s="290" t="s">
        <v>21</v>
      </c>
      <c r="D1277" s="297">
        <v>33</v>
      </c>
      <c r="E1277" s="290"/>
    </row>
    <row r="1278" spans="1:5" ht="13.5">
      <c r="A1278" s="290"/>
      <c r="B1278" s="290"/>
      <c r="C1278" s="290" t="s">
        <v>22</v>
      </c>
      <c r="D1278" s="297">
        <v>36</v>
      </c>
      <c r="E1278" s="290"/>
    </row>
    <row r="1279" spans="1:5" ht="13.5">
      <c r="A1279" s="290"/>
      <c r="B1279" s="290"/>
      <c r="C1279" s="290" t="s">
        <v>23</v>
      </c>
      <c r="D1279" s="297">
        <v>35</v>
      </c>
      <c r="E1279" s="290"/>
    </row>
    <row r="1280" spans="1:5" ht="13.5">
      <c r="A1280" s="290"/>
      <c r="B1280" s="290"/>
      <c r="C1280" s="290" t="s">
        <v>24</v>
      </c>
      <c r="D1280" s="297">
        <v>34</v>
      </c>
      <c r="E1280" s="290"/>
    </row>
    <row r="1281" spans="1:5" ht="13.5">
      <c r="A1281" s="290"/>
      <c r="B1281" s="290"/>
      <c r="C1281" s="290" t="s">
        <v>25</v>
      </c>
      <c r="D1281" s="297">
        <v>24</v>
      </c>
      <c r="E1281" s="290"/>
    </row>
    <row r="1282" spans="1:5" ht="13.5">
      <c r="A1282" s="290"/>
      <c r="B1282" s="290"/>
      <c r="C1282" s="290" t="s">
        <v>26</v>
      </c>
      <c r="D1282" s="297">
        <v>37</v>
      </c>
      <c r="E1282" s="290"/>
    </row>
    <row r="1283" spans="1:5" ht="13.5">
      <c r="A1283" s="290"/>
      <c r="B1283" s="290"/>
      <c r="C1283" s="290" t="s">
        <v>27</v>
      </c>
      <c r="D1283" s="297">
        <v>21</v>
      </c>
      <c r="E1283" s="290"/>
    </row>
    <row r="1284" spans="1:5" ht="13.5">
      <c r="A1284" s="290"/>
      <c r="B1284" s="290"/>
      <c r="C1284" s="290" t="s">
        <v>28</v>
      </c>
      <c r="D1284" s="297">
        <v>28</v>
      </c>
      <c r="E1284" s="290"/>
    </row>
    <row r="1285" spans="1:5" ht="13.5">
      <c r="A1285" s="290"/>
      <c r="B1285" s="290"/>
      <c r="C1285" s="290" t="s">
        <v>29</v>
      </c>
      <c r="D1285" s="297">
        <v>39</v>
      </c>
      <c r="E1285" s="290"/>
    </row>
    <row r="1286" spans="1:5" ht="13.5">
      <c r="A1286" s="290"/>
      <c r="B1286" s="290"/>
      <c r="C1286" s="290" t="s">
        <v>30</v>
      </c>
      <c r="D1286" s="297">
        <v>29</v>
      </c>
      <c r="E1286" s="290"/>
    </row>
    <row r="1287" spans="1:5" ht="13.5">
      <c r="A1287" s="290"/>
      <c r="B1287" s="290"/>
      <c r="C1287" s="290" t="s">
        <v>31</v>
      </c>
      <c r="D1287" s="297">
        <v>23</v>
      </c>
      <c r="E1287" s="290"/>
    </row>
    <row r="1288" spans="1:5" ht="13.5">
      <c r="A1288" s="290"/>
      <c r="B1288" s="290"/>
      <c r="C1288" s="290" t="s">
        <v>32</v>
      </c>
      <c r="D1288" s="297">
        <v>29</v>
      </c>
      <c r="E1288" s="290"/>
    </row>
    <row r="1289" spans="1:5" ht="5.0999999999999996" customHeight="1">
      <c r="A1289" s="290"/>
      <c r="B1289" s="290"/>
      <c r="C1289" s="290"/>
      <c r="D1289" s="297"/>
      <c r="E1289" s="290"/>
    </row>
    <row r="1290" spans="1:5" ht="13.5">
      <c r="A1290" s="290"/>
      <c r="B1290" s="292" t="s">
        <v>191</v>
      </c>
      <c r="C1290" s="292"/>
      <c r="D1290" s="295">
        <v>1</v>
      </c>
      <c r="E1290" s="344"/>
    </row>
    <row r="1291" spans="1:5" ht="5.0999999999999996" customHeight="1">
      <c r="A1291" s="290"/>
      <c r="B1291" s="290"/>
      <c r="C1291" s="290"/>
      <c r="D1291" s="297"/>
      <c r="E1291" s="290"/>
    </row>
    <row r="1292" spans="1:5" ht="13.5">
      <c r="A1292" s="290"/>
      <c r="B1292" s="290"/>
      <c r="C1292" s="290" t="s">
        <v>28</v>
      </c>
      <c r="D1292" s="297">
        <v>1</v>
      </c>
      <c r="E1292" s="290"/>
    </row>
    <row r="1293" spans="1:5" ht="5.0999999999999996" customHeight="1">
      <c r="A1293" s="290"/>
      <c r="B1293" s="290"/>
      <c r="C1293" s="290"/>
      <c r="D1293" s="297"/>
      <c r="E1293" s="290"/>
    </row>
    <row r="1294" spans="1:5" ht="13.5">
      <c r="A1294" s="292" t="s">
        <v>99</v>
      </c>
      <c r="B1294" s="292"/>
      <c r="C1294" s="295"/>
      <c r="D1294" s="344">
        <v>208</v>
      </c>
      <c r="E1294" s="290"/>
    </row>
    <row r="1295" spans="1:5" ht="5.0999999999999996" customHeight="1">
      <c r="A1295" s="290"/>
      <c r="B1295" s="290"/>
      <c r="C1295" s="290"/>
      <c r="D1295" s="297"/>
      <c r="E1295" s="290"/>
    </row>
    <row r="1296" spans="1:5" ht="13.5">
      <c r="A1296" s="290"/>
      <c r="B1296" s="290"/>
      <c r="C1296" s="290" t="s">
        <v>21</v>
      </c>
      <c r="D1296" s="297">
        <v>25</v>
      </c>
      <c r="E1296" s="290"/>
    </row>
    <row r="1297" spans="1:5" ht="13.5">
      <c r="A1297" s="290"/>
      <c r="B1297" s="290"/>
      <c r="C1297" s="290" t="s">
        <v>22</v>
      </c>
      <c r="D1297" s="297">
        <v>15</v>
      </c>
      <c r="E1297" s="290"/>
    </row>
    <row r="1298" spans="1:5" ht="13.5">
      <c r="A1298" s="290"/>
      <c r="B1298" s="290"/>
      <c r="C1298" s="290" t="s">
        <v>23</v>
      </c>
      <c r="D1298" s="297">
        <v>22</v>
      </c>
      <c r="E1298" s="290"/>
    </row>
    <row r="1299" spans="1:5" ht="13.5">
      <c r="A1299" s="290"/>
      <c r="B1299" s="290"/>
      <c r="C1299" s="290" t="s">
        <v>24</v>
      </c>
      <c r="D1299" s="297">
        <v>22</v>
      </c>
      <c r="E1299" s="290"/>
    </row>
    <row r="1300" spans="1:5" ht="13.5">
      <c r="A1300" s="290"/>
      <c r="B1300" s="290"/>
      <c r="C1300" s="290" t="s">
        <v>25</v>
      </c>
      <c r="D1300" s="297">
        <v>22</v>
      </c>
      <c r="E1300" s="290"/>
    </row>
    <row r="1301" spans="1:5" ht="13.5">
      <c r="A1301" s="290"/>
      <c r="B1301" s="290"/>
      <c r="C1301" s="290" t="s">
        <v>26</v>
      </c>
      <c r="D1301" s="297">
        <v>16</v>
      </c>
      <c r="E1301" s="290"/>
    </row>
    <row r="1302" spans="1:5" ht="13.5">
      <c r="A1302" s="290"/>
      <c r="B1302" s="290"/>
      <c r="C1302" s="290" t="s">
        <v>27</v>
      </c>
      <c r="D1302" s="297">
        <v>11</v>
      </c>
      <c r="E1302" s="290"/>
    </row>
    <row r="1303" spans="1:5" ht="13.5">
      <c r="A1303" s="290"/>
      <c r="B1303" s="290"/>
      <c r="C1303" s="290" t="s">
        <v>28</v>
      </c>
      <c r="D1303" s="297">
        <v>12</v>
      </c>
      <c r="E1303" s="290"/>
    </row>
    <row r="1304" spans="1:5" ht="13.5">
      <c r="A1304" s="290"/>
      <c r="B1304" s="290"/>
      <c r="C1304" s="290" t="s">
        <v>29</v>
      </c>
      <c r="D1304" s="297">
        <v>15</v>
      </c>
      <c r="E1304" s="290"/>
    </row>
    <row r="1305" spans="1:5" ht="13.5">
      <c r="A1305" s="290"/>
      <c r="B1305" s="290"/>
      <c r="C1305" s="290" t="s">
        <v>30</v>
      </c>
      <c r="D1305" s="297">
        <v>14</v>
      </c>
      <c r="E1305" s="290"/>
    </row>
    <row r="1306" spans="1:5" ht="13.5">
      <c r="A1306" s="290"/>
      <c r="B1306" s="290"/>
      <c r="C1306" s="290" t="s">
        <v>31</v>
      </c>
      <c r="D1306" s="297">
        <v>18</v>
      </c>
      <c r="E1306" s="290"/>
    </row>
    <row r="1307" spans="1:5" ht="13.5">
      <c r="A1307" s="290"/>
      <c r="B1307" s="290"/>
      <c r="C1307" s="290" t="s">
        <v>32</v>
      </c>
      <c r="D1307" s="297">
        <v>16</v>
      </c>
      <c r="E1307" s="290"/>
    </row>
    <row r="1308" spans="1:5" ht="5.0999999999999996" customHeight="1">
      <c r="A1308" s="290"/>
      <c r="B1308" s="290"/>
      <c r="C1308" s="290"/>
      <c r="D1308" s="297"/>
      <c r="E1308" s="290"/>
    </row>
    <row r="1309" spans="1:5" ht="13.5">
      <c r="A1309" s="292"/>
      <c r="B1309" s="292" t="s">
        <v>192</v>
      </c>
      <c r="C1309" s="295"/>
      <c r="D1309" s="344">
        <v>170</v>
      </c>
      <c r="E1309" s="290"/>
    </row>
    <row r="1310" spans="1:5" ht="5.0999999999999996" customHeight="1">
      <c r="A1310" s="290"/>
      <c r="B1310" s="290"/>
      <c r="C1310" s="290"/>
      <c r="D1310" s="297"/>
      <c r="E1310" s="290"/>
    </row>
    <row r="1311" spans="1:5" ht="13.5">
      <c r="A1311" s="290"/>
      <c r="B1311" s="290"/>
      <c r="C1311" s="290" t="s">
        <v>21</v>
      </c>
      <c r="D1311" s="297">
        <v>18</v>
      </c>
      <c r="E1311" s="290"/>
    </row>
    <row r="1312" spans="1:5" ht="13.5">
      <c r="A1312" s="290"/>
      <c r="B1312" s="290"/>
      <c r="C1312" s="290" t="s">
        <v>22</v>
      </c>
      <c r="D1312" s="297">
        <v>12</v>
      </c>
      <c r="E1312" s="290"/>
    </row>
    <row r="1313" spans="1:5" ht="13.5">
      <c r="A1313" s="290"/>
      <c r="B1313" s="290"/>
      <c r="C1313" s="290" t="s">
        <v>23</v>
      </c>
      <c r="D1313" s="297">
        <v>18</v>
      </c>
      <c r="E1313" s="290"/>
    </row>
    <row r="1314" spans="1:5" ht="13.5">
      <c r="A1314" s="290"/>
      <c r="B1314" s="290"/>
      <c r="C1314" s="290" t="s">
        <v>24</v>
      </c>
      <c r="D1314" s="297">
        <v>20</v>
      </c>
      <c r="E1314" s="290"/>
    </row>
    <row r="1315" spans="1:5" ht="13.5">
      <c r="A1315" s="290"/>
      <c r="B1315" s="290"/>
      <c r="C1315" s="290" t="s">
        <v>25</v>
      </c>
      <c r="D1315" s="297">
        <v>19</v>
      </c>
      <c r="E1315" s="290"/>
    </row>
    <row r="1316" spans="1:5" ht="13.5">
      <c r="A1316" s="290"/>
      <c r="B1316" s="290"/>
      <c r="C1316" s="290" t="s">
        <v>26</v>
      </c>
      <c r="D1316" s="297">
        <v>11</v>
      </c>
      <c r="E1316" s="290"/>
    </row>
    <row r="1317" spans="1:5" ht="13.5">
      <c r="A1317" s="290"/>
      <c r="B1317" s="290"/>
      <c r="C1317" s="290" t="s">
        <v>27</v>
      </c>
      <c r="D1317" s="297">
        <v>9</v>
      </c>
      <c r="E1317" s="290"/>
    </row>
    <row r="1318" spans="1:5" ht="13.5">
      <c r="A1318" s="290"/>
      <c r="B1318" s="290"/>
      <c r="C1318" s="290" t="s">
        <v>28</v>
      </c>
      <c r="D1318" s="297">
        <v>10</v>
      </c>
      <c r="E1318" s="290"/>
    </row>
    <row r="1319" spans="1:5" ht="13.5">
      <c r="A1319" s="290"/>
      <c r="B1319" s="290"/>
      <c r="C1319" s="290" t="s">
        <v>29</v>
      </c>
      <c r="D1319" s="297">
        <v>12</v>
      </c>
      <c r="E1319" s="290"/>
    </row>
    <row r="1320" spans="1:5" ht="13.5">
      <c r="A1320" s="290"/>
      <c r="B1320" s="290"/>
      <c r="C1320" s="290" t="s">
        <v>30</v>
      </c>
      <c r="D1320" s="297">
        <v>12</v>
      </c>
      <c r="E1320" s="290"/>
    </row>
    <row r="1321" spans="1:5" ht="13.5">
      <c r="A1321" s="290"/>
      <c r="B1321" s="290"/>
      <c r="C1321" s="290" t="s">
        <v>31</v>
      </c>
      <c r="D1321" s="297">
        <v>16</v>
      </c>
      <c r="E1321" s="290"/>
    </row>
    <row r="1322" spans="1:5" ht="13.5">
      <c r="A1322" s="290"/>
      <c r="B1322" s="290"/>
      <c r="C1322" s="290" t="s">
        <v>32</v>
      </c>
      <c r="D1322" s="297">
        <v>13</v>
      </c>
      <c r="E1322" s="290"/>
    </row>
    <row r="1323" spans="1:5" ht="5.0999999999999996" customHeight="1">
      <c r="A1323" s="290"/>
      <c r="B1323" s="290"/>
      <c r="C1323" s="290"/>
      <c r="D1323" s="297"/>
      <c r="E1323" s="290"/>
    </row>
    <row r="1324" spans="1:5" ht="13.5">
      <c r="A1324" s="292"/>
      <c r="B1324" s="292" t="s">
        <v>193</v>
      </c>
      <c r="C1324" s="295"/>
      <c r="D1324" s="344">
        <v>11</v>
      </c>
      <c r="E1324" s="290"/>
    </row>
    <row r="1325" spans="1:5" ht="5.0999999999999996" customHeight="1">
      <c r="A1325" s="290"/>
      <c r="B1325" s="290"/>
      <c r="C1325" s="290"/>
      <c r="D1325" s="297"/>
      <c r="E1325" s="290"/>
    </row>
    <row r="1326" spans="1:5" ht="13.5">
      <c r="A1326" s="290"/>
      <c r="B1326" s="290"/>
      <c r="C1326" s="290" t="s">
        <v>22</v>
      </c>
      <c r="D1326" s="297">
        <v>2</v>
      </c>
      <c r="E1326" s="290"/>
    </row>
    <row r="1327" spans="1:5" ht="13.5">
      <c r="A1327" s="290"/>
      <c r="B1327" s="290"/>
      <c r="C1327" s="290" t="s">
        <v>23</v>
      </c>
      <c r="D1327" s="297">
        <v>1</v>
      </c>
      <c r="E1327" s="290"/>
    </row>
    <row r="1328" spans="1:5" ht="13.5">
      <c r="A1328" s="290"/>
      <c r="B1328" s="290"/>
      <c r="C1328" s="290" t="s">
        <v>25</v>
      </c>
      <c r="D1328" s="297">
        <v>2</v>
      </c>
      <c r="E1328" s="290"/>
    </row>
    <row r="1329" spans="1:5" ht="13.5">
      <c r="A1329" s="290"/>
      <c r="B1329" s="290"/>
      <c r="C1329" s="290" t="s">
        <v>26</v>
      </c>
      <c r="D1329" s="297">
        <v>1</v>
      </c>
      <c r="E1329" s="290"/>
    </row>
    <row r="1330" spans="1:5" ht="13.5">
      <c r="A1330" s="290"/>
      <c r="B1330" s="290"/>
      <c r="C1330" s="290" t="s">
        <v>27</v>
      </c>
      <c r="D1330" s="297">
        <v>1</v>
      </c>
      <c r="E1330" s="290"/>
    </row>
    <row r="1331" spans="1:5" ht="13.5">
      <c r="A1331" s="290"/>
      <c r="B1331" s="290"/>
      <c r="C1331" s="290" t="s">
        <v>28</v>
      </c>
      <c r="D1331" s="297">
        <v>1</v>
      </c>
      <c r="E1331" s="290"/>
    </row>
    <row r="1332" spans="1:5" ht="13.5">
      <c r="A1332" s="290"/>
      <c r="B1332" s="290"/>
      <c r="C1332" s="290" t="s">
        <v>31</v>
      </c>
      <c r="D1332" s="297">
        <v>2</v>
      </c>
      <c r="E1332" s="290"/>
    </row>
    <row r="1333" spans="1:5" ht="13.5">
      <c r="A1333" s="290"/>
      <c r="B1333" s="290"/>
      <c r="C1333" s="290" t="s">
        <v>32</v>
      </c>
      <c r="D1333" s="297">
        <v>1</v>
      </c>
      <c r="E1333" s="290"/>
    </row>
    <row r="1334" spans="1:5" ht="5.0999999999999996" customHeight="1">
      <c r="A1334" s="290"/>
      <c r="B1334" s="290"/>
      <c r="C1334" s="290"/>
      <c r="D1334" s="297"/>
      <c r="E1334" s="290"/>
    </row>
    <row r="1335" spans="1:5" ht="13.5">
      <c r="A1335" s="292"/>
      <c r="B1335" s="292" t="s">
        <v>194</v>
      </c>
      <c r="C1335" s="295"/>
      <c r="D1335" s="344">
        <v>27</v>
      </c>
      <c r="E1335" s="290"/>
    </row>
    <row r="1336" spans="1:5" ht="5.0999999999999996" customHeight="1">
      <c r="A1336" s="290"/>
      <c r="B1336" s="290"/>
      <c r="C1336" s="290"/>
      <c r="D1336" s="297"/>
      <c r="E1336" s="290"/>
    </row>
    <row r="1337" spans="1:5" ht="13.5">
      <c r="A1337" s="290"/>
      <c r="B1337" s="290"/>
      <c r="C1337" s="290" t="s">
        <v>21</v>
      </c>
      <c r="D1337" s="297">
        <v>7</v>
      </c>
      <c r="E1337" s="290"/>
    </row>
    <row r="1338" spans="1:5" ht="13.5">
      <c r="A1338" s="290"/>
      <c r="B1338" s="290"/>
      <c r="C1338" s="290" t="s">
        <v>22</v>
      </c>
      <c r="D1338" s="297">
        <v>1</v>
      </c>
      <c r="E1338" s="290"/>
    </row>
    <row r="1339" spans="1:5" ht="13.5">
      <c r="A1339" s="290"/>
      <c r="B1339" s="290"/>
      <c r="C1339" s="290" t="s">
        <v>23</v>
      </c>
      <c r="D1339" s="297">
        <v>3</v>
      </c>
      <c r="E1339" s="290"/>
    </row>
    <row r="1340" spans="1:5" ht="13.5">
      <c r="A1340" s="290"/>
      <c r="B1340" s="290"/>
      <c r="C1340" s="290" t="s">
        <v>24</v>
      </c>
      <c r="D1340" s="297">
        <v>2</v>
      </c>
      <c r="E1340" s="290"/>
    </row>
    <row r="1341" spans="1:5" ht="13.5">
      <c r="A1341" s="290"/>
      <c r="B1341" s="290"/>
      <c r="C1341" s="290" t="s">
        <v>25</v>
      </c>
      <c r="D1341" s="297">
        <v>1</v>
      </c>
      <c r="E1341" s="290"/>
    </row>
    <row r="1342" spans="1:5" ht="13.5">
      <c r="A1342" s="290"/>
      <c r="B1342" s="290"/>
      <c r="C1342" s="290" t="s">
        <v>26</v>
      </c>
      <c r="D1342" s="297">
        <v>4</v>
      </c>
      <c r="E1342" s="290"/>
    </row>
    <row r="1343" spans="1:5" ht="13.5">
      <c r="A1343" s="290"/>
      <c r="B1343" s="290"/>
      <c r="C1343" s="290" t="s">
        <v>27</v>
      </c>
      <c r="D1343" s="297">
        <v>1</v>
      </c>
      <c r="E1343" s="290"/>
    </row>
    <row r="1344" spans="1:5" ht="13.5">
      <c r="A1344" s="290"/>
      <c r="B1344" s="290"/>
      <c r="C1344" s="290" t="s">
        <v>28</v>
      </c>
      <c r="D1344" s="297">
        <v>1</v>
      </c>
      <c r="E1344" s="290"/>
    </row>
    <row r="1345" spans="1:5" ht="13.5">
      <c r="A1345" s="290"/>
      <c r="B1345" s="290"/>
      <c r="C1345" s="290" t="s">
        <v>29</v>
      </c>
      <c r="D1345" s="297">
        <v>3</v>
      </c>
      <c r="E1345" s="290"/>
    </row>
    <row r="1346" spans="1:5" ht="13.5">
      <c r="A1346" s="290"/>
      <c r="B1346" s="290"/>
      <c r="C1346" s="290" t="s">
        <v>30</v>
      </c>
      <c r="D1346" s="297">
        <v>2</v>
      </c>
      <c r="E1346" s="290"/>
    </row>
    <row r="1347" spans="1:5" ht="13.5">
      <c r="A1347" s="290"/>
      <c r="B1347" s="290"/>
      <c r="C1347" s="290" t="s">
        <v>32</v>
      </c>
      <c r="D1347" s="297">
        <v>2</v>
      </c>
      <c r="E1347" s="290"/>
    </row>
    <row r="1348" spans="1:5" ht="5.0999999999999996" customHeight="1">
      <c r="A1348" s="290"/>
      <c r="B1348" s="290"/>
      <c r="C1348" s="290"/>
      <c r="D1348" s="297"/>
      <c r="E1348" s="290"/>
    </row>
    <row r="1349" spans="1:5" ht="13.5">
      <c r="A1349" s="292" t="s">
        <v>100</v>
      </c>
      <c r="B1349" s="292"/>
      <c r="C1349" s="295"/>
      <c r="D1349" s="344">
        <v>3180</v>
      </c>
      <c r="E1349" s="290"/>
    </row>
    <row r="1350" spans="1:5" ht="5.0999999999999996" customHeight="1">
      <c r="A1350" s="290"/>
      <c r="B1350" s="290"/>
      <c r="C1350" s="290"/>
      <c r="D1350" s="297"/>
      <c r="E1350" s="290"/>
    </row>
    <row r="1351" spans="1:5" ht="13.5">
      <c r="A1351" s="290"/>
      <c r="B1351" s="290"/>
      <c r="C1351" s="290" t="s">
        <v>21</v>
      </c>
      <c r="D1351" s="297">
        <v>254</v>
      </c>
      <c r="E1351" s="290"/>
    </row>
    <row r="1352" spans="1:5" ht="13.5">
      <c r="A1352" s="290"/>
      <c r="B1352" s="290"/>
      <c r="C1352" s="290" t="s">
        <v>22</v>
      </c>
      <c r="D1352" s="297">
        <v>236</v>
      </c>
      <c r="E1352" s="290"/>
    </row>
    <row r="1353" spans="1:5" ht="13.5">
      <c r="A1353" s="290"/>
      <c r="B1353" s="290"/>
      <c r="C1353" s="290" t="s">
        <v>23</v>
      </c>
      <c r="D1353" s="297">
        <v>234</v>
      </c>
      <c r="E1353" s="290"/>
    </row>
    <row r="1354" spans="1:5" ht="13.5">
      <c r="A1354" s="290"/>
      <c r="B1354" s="290"/>
      <c r="C1354" s="290" t="s">
        <v>24</v>
      </c>
      <c r="D1354" s="297">
        <v>237</v>
      </c>
      <c r="E1354" s="290"/>
    </row>
    <row r="1355" spans="1:5" ht="13.5">
      <c r="A1355" s="290"/>
      <c r="B1355" s="290"/>
      <c r="C1355" s="290" t="s">
        <v>25</v>
      </c>
      <c r="D1355" s="297">
        <v>236</v>
      </c>
      <c r="E1355" s="290"/>
    </row>
    <row r="1356" spans="1:5" ht="13.5">
      <c r="A1356" s="290"/>
      <c r="B1356" s="290"/>
      <c r="C1356" s="290" t="s">
        <v>26</v>
      </c>
      <c r="D1356" s="297">
        <v>253</v>
      </c>
      <c r="E1356" s="290"/>
    </row>
    <row r="1357" spans="1:5" ht="13.5">
      <c r="A1357" s="290"/>
      <c r="B1357" s="290"/>
      <c r="C1357" s="290" t="s">
        <v>27</v>
      </c>
      <c r="D1357" s="297">
        <v>294</v>
      </c>
      <c r="E1357" s="290"/>
    </row>
    <row r="1358" spans="1:5" ht="13.5">
      <c r="A1358" s="290"/>
      <c r="B1358" s="290"/>
      <c r="C1358" s="290" t="s">
        <v>28</v>
      </c>
      <c r="D1358" s="297">
        <v>300</v>
      </c>
      <c r="E1358" s="290"/>
    </row>
    <row r="1359" spans="1:5" ht="13.5">
      <c r="A1359" s="290"/>
      <c r="B1359" s="290"/>
      <c r="C1359" s="290" t="s">
        <v>29</v>
      </c>
      <c r="D1359" s="297">
        <v>287</v>
      </c>
      <c r="E1359" s="290"/>
    </row>
    <row r="1360" spans="1:5" ht="13.5">
      <c r="A1360" s="290"/>
      <c r="B1360" s="290"/>
      <c r="C1360" s="290" t="s">
        <v>30</v>
      </c>
      <c r="D1360" s="297">
        <v>237</v>
      </c>
      <c r="E1360" s="290"/>
    </row>
    <row r="1361" spans="1:5" ht="13.5">
      <c r="A1361" s="290"/>
      <c r="B1361" s="290"/>
      <c r="C1361" s="290" t="s">
        <v>31</v>
      </c>
      <c r="D1361" s="297">
        <v>295</v>
      </c>
      <c r="E1361" s="290"/>
    </row>
    <row r="1362" spans="1:5" ht="13.5">
      <c r="A1362" s="290"/>
      <c r="B1362" s="290"/>
      <c r="C1362" s="290" t="s">
        <v>32</v>
      </c>
      <c r="D1362" s="297">
        <v>317</v>
      </c>
      <c r="E1362" s="290"/>
    </row>
    <row r="1363" spans="1:5" ht="5.0999999999999996" customHeight="1">
      <c r="A1363" s="290"/>
      <c r="B1363" s="290"/>
      <c r="C1363" s="290"/>
      <c r="D1363" s="297"/>
      <c r="E1363" s="290"/>
    </row>
    <row r="1364" spans="1:5" ht="13.5">
      <c r="A1364" s="292"/>
      <c r="B1364" s="292" t="s">
        <v>100</v>
      </c>
      <c r="C1364" s="295"/>
      <c r="D1364" s="344">
        <v>2882</v>
      </c>
      <c r="E1364" s="290"/>
    </row>
    <row r="1365" spans="1:5" ht="5.0999999999999996" customHeight="1">
      <c r="A1365" s="290"/>
      <c r="B1365" s="290"/>
      <c r="C1365" s="290"/>
      <c r="D1365" s="297"/>
      <c r="E1365" s="290"/>
    </row>
    <row r="1366" spans="1:5" ht="13.5">
      <c r="A1366" s="290"/>
      <c r="B1366" s="290"/>
      <c r="C1366" s="290" t="s">
        <v>21</v>
      </c>
      <c r="D1366" s="297">
        <v>233</v>
      </c>
      <c r="E1366" s="290"/>
    </row>
    <row r="1367" spans="1:5" ht="13.5">
      <c r="A1367" s="290"/>
      <c r="B1367" s="290"/>
      <c r="C1367" s="290" t="s">
        <v>22</v>
      </c>
      <c r="D1367" s="297">
        <v>213</v>
      </c>
      <c r="E1367" s="290"/>
    </row>
    <row r="1368" spans="1:5" ht="13.5">
      <c r="A1368" s="290"/>
      <c r="B1368" s="290"/>
      <c r="C1368" s="290" t="s">
        <v>23</v>
      </c>
      <c r="D1368" s="297">
        <v>214</v>
      </c>
      <c r="E1368" s="290"/>
    </row>
    <row r="1369" spans="1:5" ht="13.5">
      <c r="A1369" s="290"/>
      <c r="B1369" s="290"/>
      <c r="C1369" s="290" t="s">
        <v>24</v>
      </c>
      <c r="D1369" s="297">
        <v>218</v>
      </c>
      <c r="E1369" s="290"/>
    </row>
    <row r="1370" spans="1:5" ht="13.5">
      <c r="A1370" s="290"/>
      <c r="B1370" s="290"/>
      <c r="C1370" s="290" t="s">
        <v>25</v>
      </c>
      <c r="D1370" s="297">
        <v>214</v>
      </c>
      <c r="E1370" s="290"/>
    </row>
    <row r="1371" spans="1:5" ht="13.5">
      <c r="A1371" s="290"/>
      <c r="B1371" s="290"/>
      <c r="C1371" s="290" t="s">
        <v>26</v>
      </c>
      <c r="D1371" s="297">
        <v>229</v>
      </c>
      <c r="E1371" s="290"/>
    </row>
    <row r="1372" spans="1:5" ht="13.5">
      <c r="A1372" s="290"/>
      <c r="B1372" s="290"/>
      <c r="C1372" s="290" t="s">
        <v>27</v>
      </c>
      <c r="D1372" s="297">
        <v>265</v>
      </c>
      <c r="E1372" s="290"/>
    </row>
    <row r="1373" spans="1:5" ht="13.5">
      <c r="A1373" s="290"/>
      <c r="B1373" s="290"/>
      <c r="C1373" s="290" t="s">
        <v>28</v>
      </c>
      <c r="D1373" s="297">
        <v>270</v>
      </c>
      <c r="E1373" s="290"/>
    </row>
    <row r="1374" spans="1:5" ht="13.5">
      <c r="A1374" s="290"/>
      <c r="B1374" s="290"/>
      <c r="C1374" s="290" t="s">
        <v>29</v>
      </c>
      <c r="D1374" s="297">
        <v>265</v>
      </c>
      <c r="E1374" s="290"/>
    </row>
    <row r="1375" spans="1:5" ht="13.5">
      <c r="A1375" s="290"/>
      <c r="B1375" s="290"/>
      <c r="C1375" s="290" t="s">
        <v>30</v>
      </c>
      <c r="D1375" s="297">
        <v>210</v>
      </c>
      <c r="E1375" s="290"/>
    </row>
    <row r="1376" spans="1:5" ht="13.5">
      <c r="A1376" s="290"/>
      <c r="B1376" s="290"/>
      <c r="C1376" s="290" t="s">
        <v>31</v>
      </c>
      <c r="D1376" s="297">
        <v>261</v>
      </c>
      <c r="E1376" s="290"/>
    </row>
    <row r="1377" spans="1:5" ht="13.5">
      <c r="A1377" s="290"/>
      <c r="B1377" s="290"/>
      <c r="C1377" s="290" t="s">
        <v>32</v>
      </c>
      <c r="D1377" s="297">
        <v>290</v>
      </c>
      <c r="E1377" s="290"/>
    </row>
    <row r="1378" spans="1:5" ht="5.0999999999999996" customHeight="1">
      <c r="A1378" s="290"/>
      <c r="B1378" s="290"/>
      <c r="C1378" s="290"/>
      <c r="D1378" s="297"/>
      <c r="E1378" s="290"/>
    </row>
    <row r="1379" spans="1:5" ht="13.5">
      <c r="A1379" s="292"/>
      <c r="B1379" s="292" t="s">
        <v>195</v>
      </c>
      <c r="C1379" s="295"/>
      <c r="D1379" s="344">
        <v>67</v>
      </c>
      <c r="E1379" s="290"/>
    </row>
    <row r="1380" spans="1:5" ht="5.0999999999999996" customHeight="1">
      <c r="A1380" s="290"/>
      <c r="B1380" s="290"/>
      <c r="C1380" s="290"/>
      <c r="D1380" s="297"/>
      <c r="E1380" s="290"/>
    </row>
    <row r="1381" spans="1:5" ht="13.5">
      <c r="A1381" s="290"/>
      <c r="B1381" s="290"/>
      <c r="C1381" s="290" t="s">
        <v>21</v>
      </c>
      <c r="D1381" s="297">
        <v>2</v>
      </c>
      <c r="E1381" s="290"/>
    </row>
    <row r="1382" spans="1:5" ht="13.5">
      <c r="A1382" s="290"/>
      <c r="B1382" s="290"/>
      <c r="C1382" s="290" t="s">
        <v>22</v>
      </c>
      <c r="D1382" s="297">
        <v>4</v>
      </c>
      <c r="E1382" s="290"/>
    </row>
    <row r="1383" spans="1:5" ht="13.5">
      <c r="A1383" s="290"/>
      <c r="B1383" s="290"/>
      <c r="C1383" s="290" t="s">
        <v>23</v>
      </c>
      <c r="D1383" s="297">
        <v>4</v>
      </c>
      <c r="E1383" s="290"/>
    </row>
    <row r="1384" spans="1:5" ht="13.5">
      <c r="A1384" s="290"/>
      <c r="B1384" s="290"/>
      <c r="C1384" s="290" t="s">
        <v>24</v>
      </c>
      <c r="D1384" s="297">
        <v>4</v>
      </c>
      <c r="E1384" s="290"/>
    </row>
    <row r="1385" spans="1:5" ht="13.5">
      <c r="A1385" s="290"/>
      <c r="B1385" s="290"/>
      <c r="C1385" s="290" t="s">
        <v>25</v>
      </c>
      <c r="D1385" s="297">
        <v>7</v>
      </c>
      <c r="E1385" s="290"/>
    </row>
    <row r="1386" spans="1:5" ht="13.5">
      <c r="A1386" s="290"/>
      <c r="B1386" s="290"/>
      <c r="C1386" s="290" t="s">
        <v>26</v>
      </c>
      <c r="D1386" s="297">
        <v>3</v>
      </c>
      <c r="E1386" s="290"/>
    </row>
    <row r="1387" spans="1:5" ht="13.5">
      <c r="A1387" s="290"/>
      <c r="B1387" s="290"/>
      <c r="C1387" s="290" t="s">
        <v>27</v>
      </c>
      <c r="D1387" s="297">
        <v>11</v>
      </c>
      <c r="E1387" s="290"/>
    </row>
    <row r="1388" spans="1:5" ht="13.5">
      <c r="A1388" s="290"/>
      <c r="B1388" s="290"/>
      <c r="C1388" s="290" t="s">
        <v>28</v>
      </c>
      <c r="D1388" s="297">
        <v>9</v>
      </c>
      <c r="E1388" s="290"/>
    </row>
    <row r="1389" spans="1:5" ht="13.5">
      <c r="A1389" s="290"/>
      <c r="B1389" s="290"/>
      <c r="C1389" s="290" t="s">
        <v>29</v>
      </c>
      <c r="D1389" s="297">
        <v>3</v>
      </c>
      <c r="E1389" s="290"/>
    </row>
    <row r="1390" spans="1:5" ht="13.5">
      <c r="A1390" s="290"/>
      <c r="B1390" s="290"/>
      <c r="C1390" s="290" t="s">
        <v>30</v>
      </c>
      <c r="D1390" s="297">
        <v>9</v>
      </c>
      <c r="E1390" s="290"/>
    </row>
    <row r="1391" spans="1:5" ht="13.5">
      <c r="A1391" s="290"/>
      <c r="B1391" s="290"/>
      <c r="C1391" s="290" t="s">
        <v>31</v>
      </c>
      <c r="D1391" s="297">
        <v>8</v>
      </c>
      <c r="E1391" s="290"/>
    </row>
    <row r="1392" spans="1:5" ht="13.5">
      <c r="A1392" s="290"/>
      <c r="B1392" s="290"/>
      <c r="C1392" s="290" t="s">
        <v>32</v>
      </c>
      <c r="D1392" s="297">
        <v>3</v>
      </c>
      <c r="E1392" s="290"/>
    </row>
    <row r="1393" spans="1:5" ht="5.0999999999999996" customHeight="1">
      <c r="A1393" s="290"/>
      <c r="B1393" s="290"/>
      <c r="C1393" s="290"/>
      <c r="D1393" s="297"/>
      <c r="E1393" s="290"/>
    </row>
    <row r="1394" spans="1:5" ht="13.5">
      <c r="A1394" s="292"/>
      <c r="B1394" s="292" t="s">
        <v>196</v>
      </c>
      <c r="C1394" s="295"/>
      <c r="D1394" s="344">
        <v>16</v>
      </c>
      <c r="E1394" s="290"/>
    </row>
    <row r="1395" spans="1:5" ht="5.0999999999999996" customHeight="1">
      <c r="A1395" s="290"/>
      <c r="B1395" s="290"/>
      <c r="C1395" s="290"/>
      <c r="D1395" s="297"/>
      <c r="E1395" s="290"/>
    </row>
    <row r="1396" spans="1:5" ht="13.5">
      <c r="A1396" s="290"/>
      <c r="B1396" s="290"/>
      <c r="C1396" s="290" t="s">
        <v>22</v>
      </c>
      <c r="D1396" s="297">
        <v>2</v>
      </c>
      <c r="E1396" s="290"/>
    </row>
    <row r="1397" spans="1:5" ht="13.5">
      <c r="A1397" s="290"/>
      <c r="B1397" s="290"/>
      <c r="C1397" s="290" t="s">
        <v>23</v>
      </c>
      <c r="D1397" s="297">
        <v>1</v>
      </c>
      <c r="E1397" s="290"/>
    </row>
    <row r="1398" spans="1:5" ht="13.5">
      <c r="A1398" s="290"/>
      <c r="B1398" s="290"/>
      <c r="C1398" s="290" t="s">
        <v>24</v>
      </c>
      <c r="D1398" s="297">
        <v>1</v>
      </c>
      <c r="E1398" s="290"/>
    </row>
    <row r="1399" spans="1:5" ht="13.5">
      <c r="A1399" s="290"/>
      <c r="B1399" s="290"/>
      <c r="C1399" s="290" t="s">
        <v>26</v>
      </c>
      <c r="D1399" s="297">
        <v>2</v>
      </c>
      <c r="E1399" s="290"/>
    </row>
    <row r="1400" spans="1:5" ht="13.5">
      <c r="A1400" s="290"/>
      <c r="B1400" s="290"/>
      <c r="C1400" s="290" t="s">
        <v>27</v>
      </c>
      <c r="D1400" s="297">
        <v>2</v>
      </c>
      <c r="E1400" s="290"/>
    </row>
    <row r="1401" spans="1:5" ht="13.5">
      <c r="A1401" s="290"/>
      <c r="B1401" s="290"/>
      <c r="C1401" s="290" t="s">
        <v>28</v>
      </c>
      <c r="D1401" s="297">
        <v>1</v>
      </c>
      <c r="E1401" s="290"/>
    </row>
    <row r="1402" spans="1:5" ht="13.5">
      <c r="A1402" s="290"/>
      <c r="B1402" s="290"/>
      <c r="C1402" s="290" t="s">
        <v>29</v>
      </c>
      <c r="D1402" s="297">
        <v>3</v>
      </c>
      <c r="E1402" s="290"/>
    </row>
    <row r="1403" spans="1:5" ht="13.5">
      <c r="A1403" s="290"/>
      <c r="B1403" s="290"/>
      <c r="C1403" s="290" t="s">
        <v>30</v>
      </c>
      <c r="D1403" s="297">
        <v>2</v>
      </c>
      <c r="E1403" s="290"/>
    </row>
    <row r="1404" spans="1:5" ht="13.5">
      <c r="A1404" s="290"/>
      <c r="B1404" s="290"/>
      <c r="C1404" s="290" t="s">
        <v>31</v>
      </c>
      <c r="D1404" s="297">
        <v>2</v>
      </c>
      <c r="E1404" s="290"/>
    </row>
    <row r="1405" spans="1:5" ht="5.0999999999999996" customHeight="1">
      <c r="A1405" s="290"/>
      <c r="B1405" s="290"/>
      <c r="C1405" s="290"/>
      <c r="D1405" s="297"/>
      <c r="E1405" s="290"/>
    </row>
    <row r="1406" spans="1:5" ht="13.5">
      <c r="A1406" s="292"/>
      <c r="B1406" s="292" t="s">
        <v>197</v>
      </c>
      <c r="C1406" s="295"/>
      <c r="D1406" s="344">
        <v>24</v>
      </c>
      <c r="E1406" s="344"/>
    </row>
    <row r="1407" spans="1:5" ht="5.0999999999999996" customHeight="1">
      <c r="A1407" s="290"/>
      <c r="B1407" s="290"/>
      <c r="C1407" s="290"/>
      <c r="D1407" s="297"/>
      <c r="E1407" s="290"/>
    </row>
    <row r="1408" spans="1:5" ht="13.5">
      <c r="A1408" s="290"/>
      <c r="B1408" s="290"/>
      <c r="C1408" s="290" t="s">
        <v>21</v>
      </c>
      <c r="D1408" s="297">
        <v>1</v>
      </c>
      <c r="E1408" s="290"/>
    </row>
    <row r="1409" spans="1:5" ht="13.5">
      <c r="A1409" s="290"/>
      <c r="B1409" s="290"/>
      <c r="C1409" s="290" t="s">
        <v>22</v>
      </c>
      <c r="D1409" s="297">
        <v>4</v>
      </c>
      <c r="E1409" s="290"/>
    </row>
    <row r="1410" spans="1:5" ht="13.5">
      <c r="A1410" s="290"/>
      <c r="B1410" s="290"/>
      <c r="C1410" s="290" t="s">
        <v>24</v>
      </c>
      <c r="D1410" s="297">
        <v>2</v>
      </c>
      <c r="E1410" s="290"/>
    </row>
    <row r="1411" spans="1:5" ht="13.5">
      <c r="A1411" s="290"/>
      <c r="B1411" s="290"/>
      <c r="C1411" s="290" t="s">
        <v>25</v>
      </c>
      <c r="D1411" s="297">
        <v>2</v>
      </c>
      <c r="E1411" s="290"/>
    </row>
    <row r="1412" spans="1:5" ht="13.5">
      <c r="A1412" s="290"/>
      <c r="B1412" s="290"/>
      <c r="C1412" s="290" t="s">
        <v>26</v>
      </c>
      <c r="D1412" s="297">
        <v>1</v>
      </c>
      <c r="E1412" s="290"/>
    </row>
    <row r="1413" spans="1:5" ht="13.5">
      <c r="A1413" s="290"/>
      <c r="B1413" s="290"/>
      <c r="C1413" s="290" t="s">
        <v>27</v>
      </c>
      <c r="D1413" s="297">
        <v>1</v>
      </c>
      <c r="E1413" s="290"/>
    </row>
    <row r="1414" spans="1:5" ht="13.5">
      <c r="A1414" s="290"/>
      <c r="B1414" s="290"/>
      <c r="C1414" s="290" t="s">
        <v>28</v>
      </c>
      <c r="D1414" s="297">
        <v>2</v>
      </c>
      <c r="E1414" s="290"/>
    </row>
    <row r="1415" spans="1:5" ht="13.5">
      <c r="A1415" s="290"/>
      <c r="B1415" s="290"/>
      <c r="C1415" s="290" t="s">
        <v>29</v>
      </c>
      <c r="D1415" s="297">
        <v>4</v>
      </c>
      <c r="E1415" s="290"/>
    </row>
    <row r="1416" spans="1:5" ht="13.5">
      <c r="A1416" s="290"/>
      <c r="B1416" s="290"/>
      <c r="C1416" s="290" t="s">
        <v>31</v>
      </c>
      <c r="D1416" s="297">
        <v>2</v>
      </c>
      <c r="E1416" s="290"/>
    </row>
    <row r="1417" spans="1:5" ht="13.5">
      <c r="A1417" s="290"/>
      <c r="B1417" s="290"/>
      <c r="C1417" s="290" t="s">
        <v>32</v>
      </c>
      <c r="D1417" s="297">
        <v>5</v>
      </c>
      <c r="E1417" s="290"/>
    </row>
    <row r="1418" spans="1:5" ht="5.0999999999999996" customHeight="1">
      <c r="A1418" s="290"/>
      <c r="B1418" s="290"/>
      <c r="C1418" s="290"/>
      <c r="D1418" s="297"/>
      <c r="E1418" s="290"/>
    </row>
    <row r="1419" spans="1:5" ht="13.5">
      <c r="A1419" s="292"/>
      <c r="B1419" s="292" t="s">
        <v>198</v>
      </c>
      <c r="C1419" s="295"/>
      <c r="D1419" s="344">
        <v>36</v>
      </c>
      <c r="E1419" s="290"/>
    </row>
    <row r="1420" spans="1:5" ht="5.0999999999999996" customHeight="1">
      <c r="A1420" s="290"/>
      <c r="B1420" s="290"/>
      <c r="C1420" s="290"/>
      <c r="D1420" s="297"/>
      <c r="E1420" s="290"/>
    </row>
    <row r="1421" spans="1:5" ht="13.5">
      <c r="A1421" s="290"/>
      <c r="B1421" s="290"/>
      <c r="C1421" s="290" t="s">
        <v>21</v>
      </c>
      <c r="D1421" s="297">
        <v>1</v>
      </c>
      <c r="E1421" s="290"/>
    </row>
    <row r="1422" spans="1:5" ht="13.5">
      <c r="A1422" s="290"/>
      <c r="B1422" s="290"/>
      <c r="C1422" s="290" t="s">
        <v>22</v>
      </c>
      <c r="D1422" s="297">
        <v>3</v>
      </c>
      <c r="E1422" s="290"/>
    </row>
    <row r="1423" spans="1:5" ht="13.5">
      <c r="A1423" s="290"/>
      <c r="B1423" s="290"/>
      <c r="C1423" s="290" t="s">
        <v>23</v>
      </c>
      <c r="D1423" s="297">
        <v>5</v>
      </c>
      <c r="E1423" s="290"/>
    </row>
    <row r="1424" spans="1:5" ht="13.5">
      <c r="A1424" s="290"/>
      <c r="B1424" s="290"/>
      <c r="C1424" s="290" t="s">
        <v>24</v>
      </c>
      <c r="D1424" s="297">
        <v>4</v>
      </c>
      <c r="E1424" s="290"/>
    </row>
    <row r="1425" spans="1:5" ht="13.5">
      <c r="A1425" s="290"/>
      <c r="B1425" s="290"/>
      <c r="C1425" s="290" t="s">
        <v>25</v>
      </c>
      <c r="D1425" s="297">
        <v>1</v>
      </c>
      <c r="E1425" s="290"/>
    </row>
    <row r="1426" spans="1:5" ht="13.5">
      <c r="A1426" s="290"/>
      <c r="B1426" s="290"/>
      <c r="C1426" s="290" t="s">
        <v>26</v>
      </c>
      <c r="D1426" s="297">
        <v>2</v>
      </c>
      <c r="E1426" s="290"/>
    </row>
    <row r="1427" spans="1:5" ht="13.5">
      <c r="A1427" s="290"/>
      <c r="B1427" s="290"/>
      <c r="C1427" s="290" t="s">
        <v>27</v>
      </c>
      <c r="D1427" s="297">
        <v>2</v>
      </c>
      <c r="E1427" s="290"/>
    </row>
    <row r="1428" spans="1:5" ht="13.5">
      <c r="A1428" s="290"/>
      <c r="B1428" s="290"/>
      <c r="C1428" s="290" t="s">
        <v>28</v>
      </c>
      <c r="D1428" s="297">
        <v>8</v>
      </c>
      <c r="E1428" s="290"/>
    </row>
    <row r="1429" spans="1:5" ht="13.5">
      <c r="A1429" s="290"/>
      <c r="B1429" s="290"/>
      <c r="C1429" s="290" t="s">
        <v>30</v>
      </c>
      <c r="D1429" s="297">
        <v>5</v>
      </c>
      <c r="E1429" s="290"/>
    </row>
    <row r="1430" spans="1:5" ht="13.5">
      <c r="A1430" s="290"/>
      <c r="B1430" s="290"/>
      <c r="C1430" s="290" t="s">
        <v>31</v>
      </c>
      <c r="D1430" s="297">
        <v>4</v>
      </c>
      <c r="E1430" s="290"/>
    </row>
    <row r="1431" spans="1:5" ht="13.5">
      <c r="A1431" s="290"/>
      <c r="B1431" s="290"/>
      <c r="C1431" s="290" t="s">
        <v>32</v>
      </c>
      <c r="D1431" s="297">
        <v>1</v>
      </c>
      <c r="E1431" s="290"/>
    </row>
    <row r="1432" spans="1:5" ht="5.0999999999999996" customHeight="1">
      <c r="A1432" s="290"/>
      <c r="B1432" s="290"/>
      <c r="C1432" s="290"/>
      <c r="D1432" s="297"/>
      <c r="E1432" s="290"/>
    </row>
    <row r="1433" spans="1:5" ht="13.5">
      <c r="A1433" s="292"/>
      <c r="B1433" s="292" t="s">
        <v>199</v>
      </c>
      <c r="C1433" s="295"/>
      <c r="D1433" s="344">
        <v>100</v>
      </c>
      <c r="E1433" s="290"/>
    </row>
    <row r="1434" spans="1:5" ht="5.0999999999999996" customHeight="1">
      <c r="A1434" s="290"/>
      <c r="B1434" s="290"/>
      <c r="C1434" s="290"/>
      <c r="D1434" s="297"/>
      <c r="E1434" s="290"/>
    </row>
    <row r="1435" spans="1:5" ht="13.5">
      <c r="A1435" s="290"/>
      <c r="B1435" s="290"/>
      <c r="C1435" s="290" t="s">
        <v>21</v>
      </c>
      <c r="D1435" s="297">
        <v>15</v>
      </c>
      <c r="E1435" s="290"/>
    </row>
    <row r="1436" spans="1:5" ht="13.5">
      <c r="A1436" s="290"/>
      <c r="B1436" s="290"/>
      <c r="C1436" s="290" t="s">
        <v>22</v>
      </c>
      <c r="D1436" s="297">
        <v>6</v>
      </c>
      <c r="E1436" s="290"/>
    </row>
    <row r="1437" spans="1:5" ht="13.5">
      <c r="A1437" s="290"/>
      <c r="B1437" s="290"/>
      <c r="C1437" s="290" t="s">
        <v>23</v>
      </c>
      <c r="D1437" s="297">
        <v>6</v>
      </c>
      <c r="E1437" s="290"/>
    </row>
    <row r="1438" spans="1:5" ht="13.5">
      <c r="A1438" s="290"/>
      <c r="B1438" s="290"/>
      <c r="C1438" s="290" t="s">
        <v>24</v>
      </c>
      <c r="D1438" s="297">
        <v>5</v>
      </c>
      <c r="E1438" s="290"/>
    </row>
    <row r="1439" spans="1:5" ht="13.5">
      <c r="A1439" s="290"/>
      <c r="B1439" s="290"/>
      <c r="C1439" s="290" t="s">
        <v>25</v>
      </c>
      <c r="D1439" s="297">
        <v>9</v>
      </c>
      <c r="E1439" s="290"/>
    </row>
    <row r="1440" spans="1:5" ht="13.5">
      <c r="A1440" s="290"/>
      <c r="B1440" s="290"/>
      <c r="C1440" s="290" t="s">
        <v>26</v>
      </c>
      <c r="D1440" s="297">
        <v>6</v>
      </c>
      <c r="E1440" s="290"/>
    </row>
    <row r="1441" spans="1:5" ht="13.5">
      <c r="A1441" s="290"/>
      <c r="B1441" s="290"/>
      <c r="C1441" s="290" t="s">
        <v>27</v>
      </c>
      <c r="D1441" s="297">
        <v>9</v>
      </c>
      <c r="E1441" s="290"/>
    </row>
    <row r="1442" spans="1:5" ht="13.5">
      <c r="A1442" s="290"/>
      <c r="B1442" s="290"/>
      <c r="C1442" s="290" t="s">
        <v>28</v>
      </c>
      <c r="D1442" s="297">
        <v>5</v>
      </c>
      <c r="E1442" s="290"/>
    </row>
    <row r="1443" spans="1:5" ht="13.5">
      <c r="A1443" s="290"/>
      <c r="B1443" s="290"/>
      <c r="C1443" s="290" t="s">
        <v>29</v>
      </c>
      <c r="D1443" s="297">
        <v>10</v>
      </c>
      <c r="E1443" s="290"/>
    </row>
    <row r="1444" spans="1:5" ht="13.5">
      <c r="A1444" s="290"/>
      <c r="B1444" s="290"/>
      <c r="C1444" s="290" t="s">
        <v>30</v>
      </c>
      <c r="D1444" s="297">
        <v>6</v>
      </c>
      <c r="E1444" s="290"/>
    </row>
    <row r="1445" spans="1:5" ht="13.5">
      <c r="A1445" s="290"/>
      <c r="B1445" s="290"/>
      <c r="C1445" s="290" t="s">
        <v>31</v>
      </c>
      <c r="D1445" s="297">
        <v>12</v>
      </c>
      <c r="E1445" s="290"/>
    </row>
    <row r="1446" spans="1:5" ht="13.5">
      <c r="A1446" s="290"/>
      <c r="B1446" s="290"/>
      <c r="C1446" s="290" t="s">
        <v>32</v>
      </c>
      <c r="D1446" s="297">
        <v>11</v>
      </c>
      <c r="E1446" s="290"/>
    </row>
    <row r="1447" spans="1:5" ht="5.0999999999999996" customHeight="1">
      <c r="A1447" s="290"/>
      <c r="B1447" s="290"/>
      <c r="C1447" s="290"/>
      <c r="D1447" s="297"/>
      <c r="E1447" s="290"/>
    </row>
    <row r="1448" spans="1:5" ht="13.5">
      <c r="A1448" s="292"/>
      <c r="B1448" s="292" t="s">
        <v>200</v>
      </c>
      <c r="C1448" s="295"/>
      <c r="D1448" s="344">
        <v>55</v>
      </c>
      <c r="E1448" s="290"/>
    </row>
    <row r="1449" spans="1:5" ht="5.0999999999999996" customHeight="1">
      <c r="A1449" s="290"/>
      <c r="B1449" s="290"/>
      <c r="C1449" s="290"/>
      <c r="D1449" s="297"/>
      <c r="E1449" s="290"/>
    </row>
    <row r="1450" spans="1:5" ht="13.5">
      <c r="A1450" s="290"/>
      <c r="B1450" s="290"/>
      <c r="C1450" s="290" t="s">
        <v>21</v>
      </c>
      <c r="D1450" s="297">
        <v>2</v>
      </c>
      <c r="E1450" s="290"/>
    </row>
    <row r="1451" spans="1:5" ht="13.5">
      <c r="A1451" s="290"/>
      <c r="B1451" s="290"/>
      <c r="C1451" s="290" t="s">
        <v>22</v>
      </c>
      <c r="D1451" s="297">
        <v>4</v>
      </c>
      <c r="E1451" s="290"/>
    </row>
    <row r="1452" spans="1:5" ht="13.5">
      <c r="A1452" s="290"/>
      <c r="B1452" s="290"/>
      <c r="C1452" s="290" t="s">
        <v>23</v>
      </c>
      <c r="D1452" s="297">
        <v>4</v>
      </c>
      <c r="E1452" s="290"/>
    </row>
    <row r="1453" spans="1:5" ht="13.5">
      <c r="A1453" s="290"/>
      <c r="B1453" s="290"/>
      <c r="C1453" s="290" t="s">
        <v>24</v>
      </c>
      <c r="D1453" s="297">
        <v>3</v>
      </c>
      <c r="E1453" s="290"/>
    </row>
    <row r="1454" spans="1:5" ht="13.5">
      <c r="A1454" s="290"/>
      <c r="B1454" s="290"/>
      <c r="C1454" s="290" t="s">
        <v>25</v>
      </c>
      <c r="D1454" s="297">
        <v>3</v>
      </c>
      <c r="E1454" s="290"/>
    </row>
    <row r="1455" spans="1:5" ht="13.5">
      <c r="A1455" s="290"/>
      <c r="B1455" s="290"/>
      <c r="C1455" s="290" t="s">
        <v>26</v>
      </c>
      <c r="D1455" s="297">
        <v>10</v>
      </c>
      <c r="E1455" s="290"/>
    </row>
    <row r="1456" spans="1:5" ht="13.5">
      <c r="A1456" s="290"/>
      <c r="B1456" s="290"/>
      <c r="C1456" s="290" t="s">
        <v>27</v>
      </c>
      <c r="D1456" s="297">
        <v>4</v>
      </c>
      <c r="E1456" s="290"/>
    </row>
    <row r="1457" spans="1:5" ht="13.5">
      <c r="A1457" s="290"/>
      <c r="B1457" s="290"/>
      <c r="C1457" s="290" t="s">
        <v>28</v>
      </c>
      <c r="D1457" s="297">
        <v>5</v>
      </c>
      <c r="E1457" s="290"/>
    </row>
    <row r="1458" spans="1:5" ht="13.5">
      <c r="A1458" s="290"/>
      <c r="B1458" s="290"/>
      <c r="C1458" s="290" t="s">
        <v>29</v>
      </c>
      <c r="D1458" s="297">
        <v>2</v>
      </c>
      <c r="E1458" s="290"/>
    </row>
    <row r="1459" spans="1:5" ht="13.5">
      <c r="A1459" s="290"/>
      <c r="B1459" s="290"/>
      <c r="C1459" s="290" t="s">
        <v>30</v>
      </c>
      <c r="D1459" s="297">
        <v>5</v>
      </c>
      <c r="E1459" s="290"/>
    </row>
    <row r="1460" spans="1:5" ht="13.5">
      <c r="A1460" s="290"/>
      <c r="B1460" s="290"/>
      <c r="C1460" s="290" t="s">
        <v>31</v>
      </c>
      <c r="D1460" s="297">
        <v>6</v>
      </c>
      <c r="E1460" s="290"/>
    </row>
    <row r="1461" spans="1:5" ht="13.5">
      <c r="A1461" s="290"/>
      <c r="B1461" s="290"/>
      <c r="C1461" s="290" t="s">
        <v>32</v>
      </c>
      <c r="D1461" s="297">
        <v>7</v>
      </c>
      <c r="E1461" s="290"/>
    </row>
    <row r="1462" spans="1:5" ht="5.0999999999999996" customHeight="1">
      <c r="A1462" s="290"/>
      <c r="B1462" s="290"/>
      <c r="C1462" s="290"/>
      <c r="D1462" s="297"/>
      <c r="E1462" s="290"/>
    </row>
    <row r="1463" spans="1:5" ht="13.5">
      <c r="A1463" s="292" t="s">
        <v>101</v>
      </c>
      <c r="B1463" s="292"/>
      <c r="C1463" s="295"/>
      <c r="D1463" s="344">
        <v>159</v>
      </c>
      <c r="E1463" s="290"/>
    </row>
    <row r="1464" spans="1:5" ht="5.0999999999999996" customHeight="1">
      <c r="A1464" s="290"/>
      <c r="B1464" s="290"/>
      <c r="C1464" s="290"/>
      <c r="D1464" s="297"/>
      <c r="E1464" s="290"/>
    </row>
    <row r="1465" spans="1:5" ht="13.5">
      <c r="A1465" s="290"/>
      <c r="B1465" s="290"/>
      <c r="C1465" s="290" t="s">
        <v>21</v>
      </c>
      <c r="D1465" s="297">
        <v>15</v>
      </c>
      <c r="E1465" s="290"/>
    </row>
    <row r="1466" spans="1:5" ht="13.5">
      <c r="A1466" s="290"/>
      <c r="B1466" s="290"/>
      <c r="C1466" s="290" t="s">
        <v>22</v>
      </c>
      <c r="D1466" s="297">
        <v>12</v>
      </c>
      <c r="E1466" s="290"/>
    </row>
    <row r="1467" spans="1:5" ht="13.5">
      <c r="A1467" s="290"/>
      <c r="B1467" s="290"/>
      <c r="C1467" s="290" t="s">
        <v>23</v>
      </c>
      <c r="D1467" s="297">
        <v>15</v>
      </c>
      <c r="E1467" s="290"/>
    </row>
    <row r="1468" spans="1:5" ht="13.5">
      <c r="A1468" s="290"/>
      <c r="B1468" s="290"/>
      <c r="C1468" s="290" t="s">
        <v>24</v>
      </c>
      <c r="D1468" s="297">
        <v>9</v>
      </c>
      <c r="E1468" s="290"/>
    </row>
    <row r="1469" spans="1:5" ht="13.5">
      <c r="A1469" s="290"/>
      <c r="B1469" s="290"/>
      <c r="C1469" s="290" t="s">
        <v>25</v>
      </c>
      <c r="D1469" s="297">
        <v>16</v>
      </c>
      <c r="E1469" s="290"/>
    </row>
    <row r="1470" spans="1:5" ht="13.5">
      <c r="A1470" s="290"/>
      <c r="B1470" s="290"/>
      <c r="C1470" s="290" t="s">
        <v>26</v>
      </c>
      <c r="D1470" s="297">
        <v>16</v>
      </c>
      <c r="E1470" s="290"/>
    </row>
    <row r="1471" spans="1:5" ht="13.5">
      <c r="A1471" s="290"/>
      <c r="B1471" s="290"/>
      <c r="C1471" s="290" t="s">
        <v>27</v>
      </c>
      <c r="D1471" s="297">
        <v>27</v>
      </c>
      <c r="E1471" s="290"/>
    </row>
    <row r="1472" spans="1:5" ht="13.5">
      <c r="A1472" s="290"/>
      <c r="B1472" s="290"/>
      <c r="C1472" s="290" t="s">
        <v>28</v>
      </c>
      <c r="D1472" s="297">
        <v>16</v>
      </c>
      <c r="E1472" s="290"/>
    </row>
    <row r="1473" spans="1:5" ht="13.5">
      <c r="A1473" s="290"/>
      <c r="B1473" s="290"/>
      <c r="C1473" s="290" t="s">
        <v>29</v>
      </c>
      <c r="D1473" s="297">
        <v>12</v>
      </c>
      <c r="E1473" s="290"/>
    </row>
    <row r="1474" spans="1:5" ht="13.5">
      <c r="A1474" s="290"/>
      <c r="B1474" s="290"/>
      <c r="C1474" s="290" t="s">
        <v>30</v>
      </c>
      <c r="D1474" s="297">
        <v>5</v>
      </c>
      <c r="E1474" s="290"/>
    </row>
    <row r="1475" spans="1:5" ht="13.5">
      <c r="A1475" s="290"/>
      <c r="B1475" s="290"/>
      <c r="C1475" s="290" t="s">
        <v>31</v>
      </c>
      <c r="D1475" s="297">
        <v>6</v>
      </c>
      <c r="E1475" s="290"/>
    </row>
    <row r="1476" spans="1:5" ht="13.5">
      <c r="A1476" s="290"/>
      <c r="B1476" s="290"/>
      <c r="C1476" s="290" t="s">
        <v>32</v>
      </c>
      <c r="D1476" s="297">
        <v>10</v>
      </c>
      <c r="E1476" s="290"/>
    </row>
    <row r="1477" spans="1:5" ht="5.0999999999999996" customHeight="1">
      <c r="A1477" s="290"/>
      <c r="B1477" s="290"/>
      <c r="C1477" s="290"/>
      <c r="D1477" s="297"/>
      <c r="E1477" s="290"/>
    </row>
    <row r="1478" spans="1:5" ht="13.5">
      <c r="A1478" s="292"/>
      <c r="B1478" s="292" t="s">
        <v>202</v>
      </c>
      <c r="C1478" s="295"/>
      <c r="D1478" s="344">
        <v>130</v>
      </c>
      <c r="E1478" s="290"/>
    </row>
    <row r="1479" spans="1:5" ht="5.0999999999999996" customHeight="1">
      <c r="A1479" s="290"/>
      <c r="B1479" s="290"/>
      <c r="C1479" s="290"/>
      <c r="D1479" s="297"/>
      <c r="E1479" s="290"/>
    </row>
    <row r="1480" spans="1:5" ht="13.5">
      <c r="A1480" s="290"/>
      <c r="B1480" s="290"/>
      <c r="C1480" s="290" t="s">
        <v>21</v>
      </c>
      <c r="D1480" s="297">
        <v>10</v>
      </c>
      <c r="E1480" s="290"/>
    </row>
    <row r="1481" spans="1:5" ht="13.5">
      <c r="A1481" s="290"/>
      <c r="B1481" s="290"/>
      <c r="C1481" s="290" t="s">
        <v>22</v>
      </c>
      <c r="D1481" s="297">
        <v>12</v>
      </c>
      <c r="E1481" s="290"/>
    </row>
    <row r="1482" spans="1:5" ht="13.5">
      <c r="A1482" s="290"/>
      <c r="B1482" s="290"/>
      <c r="C1482" s="290" t="s">
        <v>23</v>
      </c>
      <c r="D1482" s="297">
        <v>13</v>
      </c>
      <c r="E1482" s="290"/>
    </row>
    <row r="1483" spans="1:5" ht="13.5">
      <c r="A1483" s="290"/>
      <c r="B1483" s="290"/>
      <c r="C1483" s="290" t="s">
        <v>24</v>
      </c>
      <c r="D1483" s="297">
        <v>8</v>
      </c>
      <c r="E1483" s="290"/>
    </row>
    <row r="1484" spans="1:5" ht="13.5">
      <c r="A1484" s="290"/>
      <c r="B1484" s="290"/>
      <c r="C1484" s="290" t="s">
        <v>25</v>
      </c>
      <c r="D1484" s="297">
        <v>14</v>
      </c>
      <c r="E1484" s="290"/>
    </row>
    <row r="1485" spans="1:5" ht="13.5">
      <c r="A1485" s="290"/>
      <c r="B1485" s="290"/>
      <c r="C1485" s="290" t="s">
        <v>26</v>
      </c>
      <c r="D1485" s="297">
        <v>10</v>
      </c>
      <c r="E1485" s="290"/>
    </row>
    <row r="1486" spans="1:5" ht="13.5">
      <c r="A1486" s="290"/>
      <c r="B1486" s="290"/>
      <c r="C1486" s="290" t="s">
        <v>27</v>
      </c>
      <c r="D1486" s="297">
        <v>20</v>
      </c>
      <c r="E1486" s="290"/>
    </row>
    <row r="1487" spans="1:5" ht="13.5">
      <c r="A1487" s="290"/>
      <c r="B1487" s="290"/>
      <c r="C1487" s="290" t="s">
        <v>28</v>
      </c>
      <c r="D1487" s="297">
        <v>13</v>
      </c>
      <c r="E1487" s="290"/>
    </row>
    <row r="1488" spans="1:5" ht="13.5">
      <c r="A1488" s="290"/>
      <c r="B1488" s="290"/>
      <c r="C1488" s="290" t="s">
        <v>29</v>
      </c>
      <c r="D1488" s="297">
        <v>9</v>
      </c>
      <c r="E1488" s="290"/>
    </row>
    <row r="1489" spans="1:5" ht="13.5">
      <c r="A1489" s="290"/>
      <c r="B1489" s="290"/>
      <c r="C1489" s="290" t="s">
        <v>30</v>
      </c>
      <c r="D1489" s="297">
        <v>5</v>
      </c>
      <c r="E1489" s="290"/>
    </row>
    <row r="1490" spans="1:5" ht="13.5">
      <c r="A1490" s="290"/>
      <c r="B1490" s="290"/>
      <c r="C1490" s="290" t="s">
        <v>31</v>
      </c>
      <c r="D1490" s="297">
        <v>6</v>
      </c>
      <c r="E1490" s="290"/>
    </row>
    <row r="1491" spans="1:5" ht="13.5">
      <c r="A1491" s="290"/>
      <c r="B1491" s="290"/>
      <c r="C1491" s="290" t="s">
        <v>32</v>
      </c>
      <c r="D1491" s="297">
        <v>10</v>
      </c>
      <c r="E1491" s="290"/>
    </row>
    <row r="1492" spans="1:5" ht="5.0999999999999996" customHeight="1">
      <c r="A1492" s="290"/>
      <c r="B1492" s="290"/>
      <c r="C1492" s="290"/>
      <c r="D1492" s="297"/>
      <c r="E1492" s="290"/>
    </row>
    <row r="1493" spans="1:5" ht="13.5">
      <c r="A1493" s="292"/>
      <c r="B1493" s="292" t="s">
        <v>203</v>
      </c>
      <c r="C1493" s="295"/>
      <c r="D1493" s="344">
        <v>16</v>
      </c>
      <c r="E1493" s="290"/>
    </row>
    <row r="1494" spans="1:5" ht="5.0999999999999996" customHeight="1">
      <c r="A1494" s="290"/>
      <c r="B1494" s="290"/>
      <c r="C1494" s="290"/>
      <c r="D1494" s="297"/>
      <c r="E1494" s="290"/>
    </row>
    <row r="1495" spans="1:5" ht="13.5">
      <c r="A1495" s="290"/>
      <c r="B1495" s="290"/>
      <c r="C1495" s="290" t="s">
        <v>21</v>
      </c>
      <c r="D1495" s="297">
        <v>4</v>
      </c>
      <c r="E1495" s="290"/>
    </row>
    <row r="1496" spans="1:5" ht="13.5">
      <c r="A1496" s="290"/>
      <c r="B1496" s="290"/>
      <c r="C1496" s="290" t="s">
        <v>24</v>
      </c>
      <c r="D1496" s="297">
        <v>1</v>
      </c>
      <c r="E1496" s="290"/>
    </row>
    <row r="1497" spans="1:5" ht="13.5">
      <c r="A1497" s="290"/>
      <c r="B1497" s="290"/>
      <c r="C1497" s="290" t="s">
        <v>25</v>
      </c>
      <c r="D1497" s="297">
        <v>1</v>
      </c>
      <c r="E1497" s="290"/>
    </row>
    <row r="1498" spans="1:5" ht="13.5">
      <c r="A1498" s="290"/>
      <c r="B1498" s="290"/>
      <c r="C1498" s="290" t="s">
        <v>26</v>
      </c>
      <c r="D1498" s="297">
        <v>3</v>
      </c>
      <c r="E1498" s="290"/>
    </row>
    <row r="1499" spans="1:5" ht="13.5">
      <c r="A1499" s="290"/>
      <c r="B1499" s="290"/>
      <c r="C1499" s="290" t="s">
        <v>27</v>
      </c>
      <c r="D1499" s="297">
        <v>2</v>
      </c>
      <c r="E1499" s="290"/>
    </row>
    <row r="1500" spans="1:5" ht="13.5">
      <c r="A1500" s="290"/>
      <c r="B1500" s="290"/>
      <c r="C1500" s="290" t="s">
        <v>28</v>
      </c>
      <c r="D1500" s="297">
        <v>2</v>
      </c>
      <c r="E1500" s="290"/>
    </row>
    <row r="1501" spans="1:5" ht="13.5">
      <c r="A1501" s="290"/>
      <c r="B1501" s="290"/>
      <c r="C1501" s="290" t="s">
        <v>29</v>
      </c>
      <c r="D1501" s="297">
        <v>3</v>
      </c>
      <c r="E1501" s="290"/>
    </row>
    <row r="1502" spans="1:5" ht="5.0999999999999996" customHeight="1">
      <c r="A1502" s="290"/>
      <c r="B1502" s="290"/>
      <c r="C1502" s="290"/>
      <c r="D1502" s="297"/>
      <c r="E1502" s="290"/>
    </row>
    <row r="1503" spans="1:5" ht="13.5">
      <c r="A1503" s="292"/>
      <c r="B1503" s="292" t="s">
        <v>204</v>
      </c>
      <c r="C1503" s="295"/>
      <c r="D1503" s="344">
        <v>13</v>
      </c>
      <c r="E1503" s="290"/>
    </row>
    <row r="1504" spans="1:5" ht="5.0999999999999996" customHeight="1">
      <c r="A1504" s="290"/>
      <c r="B1504" s="290"/>
      <c r="C1504" s="290"/>
      <c r="D1504" s="297"/>
      <c r="E1504" s="290"/>
    </row>
    <row r="1505" spans="1:5" ht="13.5">
      <c r="A1505" s="290"/>
      <c r="B1505" s="290"/>
      <c r="C1505" s="290" t="s">
        <v>21</v>
      </c>
      <c r="D1505" s="297">
        <v>1</v>
      </c>
      <c r="E1505" s="290"/>
    </row>
    <row r="1506" spans="1:5" ht="13.5">
      <c r="A1506" s="290"/>
      <c r="B1506" s="290"/>
      <c r="C1506" s="290" t="s">
        <v>23</v>
      </c>
      <c r="D1506" s="297">
        <v>2</v>
      </c>
      <c r="E1506" s="290"/>
    </row>
    <row r="1507" spans="1:5" ht="13.5">
      <c r="A1507" s="290"/>
      <c r="B1507" s="290"/>
      <c r="C1507" s="290" t="s">
        <v>25</v>
      </c>
      <c r="D1507" s="297">
        <v>1</v>
      </c>
      <c r="E1507" s="290"/>
    </row>
    <row r="1508" spans="1:5" ht="13.5">
      <c r="A1508" s="290"/>
      <c r="B1508" s="290"/>
      <c r="C1508" s="290" t="s">
        <v>26</v>
      </c>
      <c r="D1508" s="297">
        <v>3</v>
      </c>
      <c r="E1508" s="290"/>
    </row>
    <row r="1509" spans="1:5" ht="13.5">
      <c r="A1509" s="290"/>
      <c r="B1509" s="290"/>
      <c r="C1509" s="290" t="s">
        <v>27</v>
      </c>
      <c r="D1509" s="297">
        <v>5</v>
      </c>
      <c r="E1509" s="290"/>
    </row>
    <row r="1510" spans="1:5" ht="13.5">
      <c r="A1510" s="290"/>
      <c r="B1510" s="290"/>
      <c r="C1510" s="290" t="s">
        <v>28</v>
      </c>
      <c r="D1510" s="297">
        <v>1</v>
      </c>
      <c r="E1510" s="290"/>
    </row>
    <row r="1511" spans="1:5" ht="5.0999999999999996" customHeight="1">
      <c r="A1511" s="290"/>
      <c r="B1511" s="290"/>
      <c r="C1511" s="290"/>
      <c r="D1511" s="297"/>
      <c r="E1511" s="290"/>
    </row>
    <row r="1512" spans="1:5" ht="13.5">
      <c r="A1512" s="292" t="s">
        <v>102</v>
      </c>
      <c r="B1512" s="292"/>
      <c r="C1512" s="295"/>
      <c r="D1512" s="344">
        <v>310</v>
      </c>
      <c r="E1512" s="290"/>
    </row>
    <row r="1513" spans="1:5" ht="5.0999999999999996" customHeight="1">
      <c r="A1513" s="290"/>
      <c r="B1513" s="290"/>
      <c r="C1513" s="290"/>
      <c r="D1513" s="297"/>
      <c r="E1513" s="290"/>
    </row>
    <row r="1514" spans="1:5" ht="13.5">
      <c r="A1514" s="290"/>
      <c r="B1514" s="290"/>
      <c r="C1514" s="290" t="s">
        <v>21</v>
      </c>
      <c r="D1514" s="297">
        <v>26</v>
      </c>
      <c r="E1514" s="290"/>
    </row>
    <row r="1515" spans="1:5" ht="13.5">
      <c r="A1515" s="290"/>
      <c r="B1515" s="290"/>
      <c r="C1515" s="290" t="s">
        <v>22</v>
      </c>
      <c r="D1515" s="297">
        <v>20</v>
      </c>
      <c r="E1515" s="290"/>
    </row>
    <row r="1516" spans="1:5" ht="13.5">
      <c r="A1516" s="290"/>
      <c r="B1516" s="290"/>
      <c r="C1516" s="290" t="s">
        <v>23</v>
      </c>
      <c r="D1516" s="297">
        <v>34</v>
      </c>
      <c r="E1516" s="290"/>
    </row>
    <row r="1517" spans="1:5" ht="13.5">
      <c r="A1517" s="290"/>
      <c r="B1517" s="290"/>
      <c r="C1517" s="290" t="s">
        <v>24</v>
      </c>
      <c r="D1517" s="297">
        <v>24</v>
      </c>
      <c r="E1517" s="290"/>
    </row>
    <row r="1518" spans="1:5" ht="13.5">
      <c r="A1518" s="290"/>
      <c r="B1518" s="290"/>
      <c r="C1518" s="290" t="s">
        <v>25</v>
      </c>
      <c r="D1518" s="297">
        <v>26</v>
      </c>
      <c r="E1518" s="290"/>
    </row>
    <row r="1519" spans="1:5" ht="13.5">
      <c r="A1519" s="290"/>
      <c r="B1519" s="290"/>
      <c r="C1519" s="290" t="s">
        <v>26</v>
      </c>
      <c r="D1519" s="297">
        <v>27</v>
      </c>
      <c r="E1519" s="290"/>
    </row>
    <row r="1520" spans="1:5" ht="13.5">
      <c r="A1520" s="290"/>
      <c r="B1520" s="290"/>
      <c r="C1520" s="290" t="s">
        <v>27</v>
      </c>
      <c r="D1520" s="297">
        <v>26</v>
      </c>
      <c r="E1520" s="290"/>
    </row>
    <row r="1521" spans="1:5" ht="13.5">
      <c r="A1521" s="290"/>
      <c r="B1521" s="290"/>
      <c r="C1521" s="290" t="s">
        <v>28</v>
      </c>
      <c r="D1521" s="297">
        <v>32</v>
      </c>
      <c r="E1521" s="290"/>
    </row>
    <row r="1522" spans="1:5" ht="13.5">
      <c r="A1522" s="290"/>
      <c r="B1522" s="290"/>
      <c r="C1522" s="290" t="s">
        <v>29</v>
      </c>
      <c r="D1522" s="297">
        <v>17</v>
      </c>
      <c r="E1522" s="290"/>
    </row>
    <row r="1523" spans="1:5" ht="13.5">
      <c r="A1523" s="290"/>
      <c r="B1523" s="290"/>
      <c r="C1523" s="290" t="s">
        <v>30</v>
      </c>
      <c r="D1523" s="297">
        <v>33</v>
      </c>
      <c r="E1523" s="290"/>
    </row>
    <row r="1524" spans="1:5" ht="13.5">
      <c r="A1524" s="290"/>
      <c r="B1524" s="290"/>
      <c r="C1524" s="290" t="s">
        <v>31</v>
      </c>
      <c r="D1524" s="297">
        <v>26</v>
      </c>
      <c r="E1524" s="290"/>
    </row>
    <row r="1525" spans="1:5" ht="13.5">
      <c r="A1525" s="290"/>
      <c r="B1525" s="290"/>
      <c r="C1525" s="290" t="s">
        <v>32</v>
      </c>
      <c r="D1525" s="297">
        <v>19</v>
      </c>
      <c r="E1525" s="290"/>
    </row>
    <row r="1526" spans="1:5" ht="5.0999999999999996" customHeight="1">
      <c r="A1526" s="290"/>
      <c r="B1526" s="290"/>
      <c r="C1526" s="290"/>
      <c r="D1526" s="297"/>
      <c r="E1526" s="290"/>
    </row>
    <row r="1527" spans="1:5" ht="13.5">
      <c r="A1527" s="292"/>
      <c r="B1527" s="292" t="s">
        <v>205</v>
      </c>
      <c r="C1527" s="295"/>
      <c r="D1527" s="344">
        <v>185</v>
      </c>
      <c r="E1527" s="290"/>
    </row>
    <row r="1528" spans="1:5" ht="5.0999999999999996" customHeight="1">
      <c r="A1528" s="290"/>
      <c r="B1528" s="290"/>
      <c r="C1528" s="290"/>
      <c r="D1528" s="297"/>
      <c r="E1528" s="290"/>
    </row>
    <row r="1529" spans="1:5" ht="13.5">
      <c r="A1529" s="290"/>
      <c r="B1529" s="290"/>
      <c r="C1529" s="290" t="s">
        <v>21</v>
      </c>
      <c r="D1529" s="297">
        <v>14</v>
      </c>
      <c r="E1529" s="290"/>
    </row>
    <row r="1530" spans="1:5" ht="13.5">
      <c r="A1530" s="290"/>
      <c r="B1530" s="290"/>
      <c r="C1530" s="290" t="s">
        <v>22</v>
      </c>
      <c r="D1530" s="297">
        <v>11</v>
      </c>
      <c r="E1530" s="290"/>
    </row>
    <row r="1531" spans="1:5" ht="13.5">
      <c r="A1531" s="290"/>
      <c r="B1531" s="290"/>
      <c r="C1531" s="290" t="s">
        <v>23</v>
      </c>
      <c r="D1531" s="297">
        <v>25</v>
      </c>
      <c r="E1531" s="290"/>
    </row>
    <row r="1532" spans="1:5" ht="13.5">
      <c r="A1532" s="290"/>
      <c r="B1532" s="290"/>
      <c r="C1532" s="290" t="s">
        <v>24</v>
      </c>
      <c r="D1532" s="297">
        <v>13</v>
      </c>
      <c r="E1532" s="290"/>
    </row>
    <row r="1533" spans="1:5" ht="13.5">
      <c r="A1533" s="290"/>
      <c r="B1533" s="290"/>
      <c r="C1533" s="290" t="s">
        <v>25</v>
      </c>
      <c r="D1533" s="297">
        <v>16</v>
      </c>
      <c r="E1533" s="290"/>
    </row>
    <row r="1534" spans="1:5" ht="13.5">
      <c r="A1534" s="290"/>
      <c r="B1534" s="290"/>
      <c r="C1534" s="290" t="s">
        <v>26</v>
      </c>
      <c r="D1534" s="297">
        <v>14</v>
      </c>
      <c r="E1534" s="290"/>
    </row>
    <row r="1535" spans="1:5" ht="13.5">
      <c r="A1535" s="290"/>
      <c r="B1535" s="290"/>
      <c r="C1535" s="290" t="s">
        <v>27</v>
      </c>
      <c r="D1535" s="297">
        <v>14</v>
      </c>
      <c r="E1535" s="290"/>
    </row>
    <row r="1536" spans="1:5" ht="13.5">
      <c r="A1536" s="290"/>
      <c r="B1536" s="290"/>
      <c r="C1536" s="290" t="s">
        <v>28</v>
      </c>
      <c r="D1536" s="297">
        <v>18</v>
      </c>
      <c r="E1536" s="290"/>
    </row>
    <row r="1537" spans="1:5" ht="13.5">
      <c r="A1537" s="290"/>
      <c r="B1537" s="290"/>
      <c r="C1537" s="290" t="s">
        <v>29</v>
      </c>
      <c r="D1537" s="297">
        <v>5</v>
      </c>
      <c r="E1537" s="290"/>
    </row>
    <row r="1538" spans="1:5" ht="13.5">
      <c r="A1538" s="290"/>
      <c r="B1538" s="290"/>
      <c r="C1538" s="290" t="s">
        <v>30</v>
      </c>
      <c r="D1538" s="297">
        <v>23</v>
      </c>
      <c r="E1538" s="290"/>
    </row>
    <row r="1539" spans="1:5" ht="13.5">
      <c r="A1539" s="290"/>
      <c r="B1539" s="290"/>
      <c r="C1539" s="290" t="s">
        <v>31</v>
      </c>
      <c r="D1539" s="297">
        <v>19</v>
      </c>
      <c r="E1539" s="290"/>
    </row>
    <row r="1540" spans="1:5" ht="13.5">
      <c r="A1540" s="290"/>
      <c r="B1540" s="290"/>
      <c r="C1540" s="290" t="s">
        <v>32</v>
      </c>
      <c r="D1540" s="297">
        <v>13</v>
      </c>
      <c r="E1540" s="290"/>
    </row>
    <row r="1541" spans="1:5" ht="5.0999999999999996" customHeight="1">
      <c r="A1541" s="290"/>
      <c r="B1541" s="290"/>
      <c r="C1541" s="290"/>
      <c r="D1541" s="297"/>
      <c r="E1541" s="290"/>
    </row>
    <row r="1542" spans="1:5" ht="13.5">
      <c r="A1542" s="292"/>
      <c r="B1542" s="292" t="s">
        <v>206</v>
      </c>
      <c r="C1542" s="295"/>
      <c r="D1542" s="344">
        <v>81</v>
      </c>
      <c r="E1542" s="290"/>
    </row>
    <row r="1543" spans="1:5" ht="5.0999999999999996" customHeight="1">
      <c r="A1543" s="290"/>
      <c r="B1543" s="290"/>
      <c r="C1543" s="290"/>
      <c r="D1543" s="297"/>
      <c r="E1543" s="290"/>
    </row>
    <row r="1544" spans="1:5" ht="13.5">
      <c r="A1544" s="290"/>
      <c r="B1544" s="290"/>
      <c r="C1544" s="290" t="s">
        <v>21</v>
      </c>
      <c r="D1544" s="297">
        <v>9</v>
      </c>
      <c r="E1544" s="290"/>
    </row>
    <row r="1545" spans="1:5" ht="13.5">
      <c r="A1545" s="290"/>
      <c r="B1545" s="290"/>
      <c r="C1545" s="290" t="s">
        <v>22</v>
      </c>
      <c r="D1545" s="297">
        <v>6</v>
      </c>
      <c r="E1545" s="290"/>
    </row>
    <row r="1546" spans="1:5" ht="13.5">
      <c r="A1546" s="290"/>
      <c r="B1546" s="290"/>
      <c r="C1546" s="290" t="s">
        <v>23</v>
      </c>
      <c r="D1546" s="297">
        <v>8</v>
      </c>
      <c r="E1546" s="290"/>
    </row>
    <row r="1547" spans="1:5" ht="13.5">
      <c r="A1547" s="290"/>
      <c r="B1547" s="290"/>
      <c r="C1547" s="290" t="s">
        <v>24</v>
      </c>
      <c r="D1547" s="297">
        <v>6</v>
      </c>
      <c r="E1547" s="290"/>
    </row>
    <row r="1548" spans="1:5" ht="13.5">
      <c r="A1548" s="290"/>
      <c r="B1548" s="290"/>
      <c r="C1548" s="290" t="s">
        <v>25</v>
      </c>
      <c r="D1548" s="297">
        <v>4</v>
      </c>
      <c r="E1548" s="290"/>
    </row>
    <row r="1549" spans="1:5" ht="13.5">
      <c r="A1549" s="290"/>
      <c r="B1549" s="290"/>
      <c r="C1549" s="290" t="s">
        <v>26</v>
      </c>
      <c r="D1549" s="297">
        <v>6</v>
      </c>
      <c r="E1549" s="290"/>
    </row>
    <row r="1550" spans="1:5" ht="13.5">
      <c r="A1550" s="290"/>
      <c r="B1550" s="290"/>
      <c r="C1550" s="290" t="s">
        <v>27</v>
      </c>
      <c r="D1550" s="297">
        <v>8</v>
      </c>
      <c r="E1550" s="290"/>
    </row>
    <row r="1551" spans="1:5" ht="13.5">
      <c r="A1551" s="290"/>
      <c r="B1551" s="290"/>
      <c r="C1551" s="290" t="s">
        <v>28</v>
      </c>
      <c r="D1551" s="297">
        <v>10</v>
      </c>
      <c r="E1551" s="290"/>
    </row>
    <row r="1552" spans="1:5" ht="13.5">
      <c r="A1552" s="290"/>
      <c r="B1552" s="290"/>
      <c r="C1552" s="290" t="s">
        <v>29</v>
      </c>
      <c r="D1552" s="297">
        <v>10</v>
      </c>
      <c r="E1552" s="290"/>
    </row>
    <row r="1553" spans="1:5" ht="13.5">
      <c r="A1553" s="290"/>
      <c r="B1553" s="290"/>
      <c r="C1553" s="290" t="s">
        <v>30</v>
      </c>
      <c r="D1553" s="297">
        <v>6</v>
      </c>
      <c r="E1553" s="290"/>
    </row>
    <row r="1554" spans="1:5" ht="13.5">
      <c r="A1554" s="290"/>
      <c r="B1554" s="290"/>
      <c r="C1554" s="290" t="s">
        <v>31</v>
      </c>
      <c r="D1554" s="297">
        <v>4</v>
      </c>
      <c r="E1554" s="290"/>
    </row>
    <row r="1555" spans="1:5" ht="13.5">
      <c r="A1555" s="290"/>
      <c r="B1555" s="290"/>
      <c r="C1555" s="290" t="s">
        <v>32</v>
      </c>
      <c r="D1555" s="297">
        <v>4</v>
      </c>
      <c r="E1555" s="290"/>
    </row>
    <row r="1556" spans="1:5" ht="5.0999999999999996" customHeight="1">
      <c r="A1556" s="290"/>
      <c r="B1556" s="290"/>
      <c r="C1556" s="290"/>
      <c r="D1556" s="297"/>
      <c r="E1556" s="290"/>
    </row>
    <row r="1557" spans="1:5" ht="13.5">
      <c r="A1557" s="292"/>
      <c r="B1557" s="292" t="s">
        <v>207</v>
      </c>
      <c r="C1557" s="295"/>
      <c r="D1557" s="344">
        <v>44</v>
      </c>
      <c r="E1557" s="290"/>
    </row>
    <row r="1558" spans="1:5" ht="5.0999999999999996" customHeight="1">
      <c r="A1558" s="290"/>
      <c r="B1558" s="290"/>
      <c r="C1558" s="290"/>
      <c r="D1558" s="297"/>
      <c r="E1558" s="290"/>
    </row>
    <row r="1559" spans="1:5" ht="13.5">
      <c r="A1559" s="290"/>
      <c r="B1559" s="290"/>
      <c r="C1559" s="290" t="s">
        <v>21</v>
      </c>
      <c r="D1559" s="297">
        <v>3</v>
      </c>
      <c r="E1559" s="290"/>
    </row>
    <row r="1560" spans="1:5" ht="13.5">
      <c r="A1560" s="290"/>
      <c r="B1560" s="290"/>
      <c r="C1560" s="290" t="s">
        <v>22</v>
      </c>
      <c r="D1560" s="297">
        <v>3</v>
      </c>
      <c r="E1560" s="290"/>
    </row>
    <row r="1561" spans="1:5" ht="13.5">
      <c r="A1561" s="290"/>
      <c r="B1561" s="290"/>
      <c r="C1561" s="290" t="s">
        <v>23</v>
      </c>
      <c r="D1561" s="297">
        <v>1</v>
      </c>
      <c r="E1561" s="290"/>
    </row>
    <row r="1562" spans="1:5" ht="13.5">
      <c r="A1562" s="290"/>
      <c r="B1562" s="290"/>
      <c r="C1562" s="290" t="s">
        <v>24</v>
      </c>
      <c r="D1562" s="297">
        <v>5</v>
      </c>
      <c r="E1562" s="290"/>
    </row>
    <row r="1563" spans="1:5" ht="13.5">
      <c r="A1563" s="290"/>
      <c r="B1563" s="290"/>
      <c r="C1563" s="290" t="s">
        <v>25</v>
      </c>
      <c r="D1563" s="297">
        <v>6</v>
      </c>
      <c r="E1563" s="290"/>
    </row>
    <row r="1564" spans="1:5" ht="13.5">
      <c r="A1564" s="290"/>
      <c r="B1564" s="290"/>
      <c r="C1564" s="290" t="s">
        <v>26</v>
      </c>
      <c r="D1564" s="297">
        <v>7</v>
      </c>
      <c r="E1564" s="290"/>
    </row>
    <row r="1565" spans="1:5" ht="13.5">
      <c r="A1565" s="290"/>
      <c r="B1565" s="290"/>
      <c r="C1565" s="290" t="s">
        <v>27</v>
      </c>
      <c r="D1565" s="297">
        <v>4</v>
      </c>
      <c r="E1565" s="290"/>
    </row>
    <row r="1566" spans="1:5" ht="13.5">
      <c r="A1566" s="290"/>
      <c r="B1566" s="290"/>
      <c r="C1566" s="290" t="s">
        <v>28</v>
      </c>
      <c r="D1566" s="297">
        <v>4</v>
      </c>
      <c r="E1566" s="290"/>
    </row>
    <row r="1567" spans="1:5" ht="13.5">
      <c r="A1567" s="290"/>
      <c r="B1567" s="290"/>
      <c r="C1567" s="290" t="s">
        <v>29</v>
      </c>
      <c r="D1567" s="297">
        <v>2</v>
      </c>
      <c r="E1567" s="290"/>
    </row>
    <row r="1568" spans="1:5" ht="13.5">
      <c r="A1568" s="290"/>
      <c r="B1568" s="290"/>
      <c r="C1568" s="290" t="s">
        <v>30</v>
      </c>
      <c r="D1568" s="297">
        <v>4</v>
      </c>
      <c r="E1568" s="290"/>
    </row>
    <row r="1569" spans="1:5" ht="13.5">
      <c r="A1569" s="290"/>
      <c r="B1569" s="290"/>
      <c r="C1569" s="290" t="s">
        <v>31</v>
      </c>
      <c r="D1569" s="297">
        <v>3</v>
      </c>
      <c r="E1569" s="290"/>
    </row>
    <row r="1570" spans="1:5" ht="13.5">
      <c r="A1570" s="290"/>
      <c r="B1570" s="290"/>
      <c r="C1570" s="290" t="s">
        <v>32</v>
      </c>
      <c r="D1570" s="297">
        <v>2</v>
      </c>
      <c r="E1570" s="290"/>
    </row>
    <row r="1571" spans="1:5" ht="5.0999999999999996" customHeight="1">
      <c r="A1571" s="290"/>
      <c r="B1571" s="290"/>
      <c r="C1571" s="290"/>
      <c r="D1571" s="297"/>
      <c r="E1571" s="290"/>
    </row>
    <row r="1572" spans="1:5" ht="13.5">
      <c r="A1572" s="292" t="s">
        <v>103</v>
      </c>
      <c r="B1572" s="292"/>
      <c r="C1572" s="295"/>
      <c r="D1572" s="344">
        <v>804</v>
      </c>
      <c r="E1572" s="290"/>
    </row>
    <row r="1573" spans="1:5" ht="5.0999999999999996" customHeight="1">
      <c r="A1573" s="290"/>
      <c r="B1573" s="290"/>
      <c r="C1573" s="290"/>
      <c r="D1573" s="297"/>
      <c r="E1573" s="290"/>
    </row>
    <row r="1574" spans="1:5" ht="13.5">
      <c r="A1574" s="290"/>
      <c r="B1574" s="290"/>
      <c r="C1574" s="290" t="s">
        <v>21</v>
      </c>
      <c r="D1574" s="297">
        <v>51</v>
      </c>
      <c r="E1574" s="290"/>
    </row>
    <row r="1575" spans="1:5" ht="13.5">
      <c r="A1575" s="290"/>
      <c r="B1575" s="290"/>
      <c r="C1575" s="290" t="s">
        <v>22</v>
      </c>
      <c r="D1575" s="297">
        <v>54</v>
      </c>
      <c r="E1575" s="290"/>
    </row>
    <row r="1576" spans="1:5" ht="13.5">
      <c r="A1576" s="290"/>
      <c r="B1576" s="290"/>
      <c r="C1576" s="290" t="s">
        <v>23</v>
      </c>
      <c r="D1576" s="297">
        <v>87</v>
      </c>
      <c r="E1576" s="290"/>
    </row>
    <row r="1577" spans="1:5" ht="13.5">
      <c r="A1577" s="290"/>
      <c r="B1577" s="290"/>
      <c r="C1577" s="290" t="s">
        <v>24</v>
      </c>
      <c r="D1577" s="297">
        <v>58</v>
      </c>
      <c r="E1577" s="290"/>
    </row>
    <row r="1578" spans="1:5" ht="13.5">
      <c r="A1578" s="290"/>
      <c r="B1578" s="290"/>
      <c r="C1578" s="290" t="s">
        <v>25</v>
      </c>
      <c r="D1578" s="297">
        <v>68</v>
      </c>
      <c r="E1578" s="290"/>
    </row>
    <row r="1579" spans="1:5" ht="13.5">
      <c r="A1579" s="290"/>
      <c r="B1579" s="290"/>
      <c r="C1579" s="290" t="s">
        <v>26</v>
      </c>
      <c r="D1579" s="297">
        <v>59</v>
      </c>
      <c r="E1579" s="290"/>
    </row>
    <row r="1580" spans="1:5" ht="13.5">
      <c r="A1580" s="290"/>
      <c r="B1580" s="290"/>
      <c r="C1580" s="290" t="s">
        <v>27</v>
      </c>
      <c r="D1580" s="297">
        <v>74</v>
      </c>
      <c r="E1580" s="290"/>
    </row>
    <row r="1581" spans="1:5" ht="13.5">
      <c r="A1581" s="290"/>
      <c r="B1581" s="290"/>
      <c r="C1581" s="290" t="s">
        <v>28</v>
      </c>
      <c r="D1581" s="297">
        <v>72</v>
      </c>
      <c r="E1581" s="290"/>
    </row>
    <row r="1582" spans="1:5" ht="13.5">
      <c r="A1582" s="290"/>
      <c r="B1582" s="290"/>
      <c r="C1582" s="290" t="s">
        <v>29</v>
      </c>
      <c r="D1582" s="297">
        <v>74</v>
      </c>
      <c r="E1582" s="290"/>
    </row>
    <row r="1583" spans="1:5" ht="13.5">
      <c r="A1583" s="290"/>
      <c r="B1583" s="290"/>
      <c r="C1583" s="290" t="s">
        <v>30</v>
      </c>
      <c r="D1583" s="297">
        <v>87</v>
      </c>
      <c r="E1583" s="290"/>
    </row>
    <row r="1584" spans="1:5" ht="13.5">
      <c r="A1584" s="290"/>
      <c r="B1584" s="290"/>
      <c r="C1584" s="290" t="s">
        <v>31</v>
      </c>
      <c r="D1584" s="297">
        <v>60</v>
      </c>
      <c r="E1584" s="290"/>
    </row>
    <row r="1585" spans="1:5" ht="13.5">
      <c r="A1585" s="290"/>
      <c r="B1585" s="290"/>
      <c r="C1585" s="290" t="s">
        <v>32</v>
      </c>
      <c r="D1585" s="297">
        <v>60</v>
      </c>
      <c r="E1585" s="290"/>
    </row>
    <row r="1586" spans="1:5" ht="5.0999999999999996" customHeight="1">
      <c r="A1586" s="290"/>
      <c r="B1586" s="290"/>
      <c r="C1586" s="290"/>
      <c r="D1586" s="297"/>
      <c r="E1586" s="290"/>
    </row>
    <row r="1587" spans="1:5" ht="13.5">
      <c r="A1587" s="292"/>
      <c r="B1587" s="292" t="s">
        <v>208</v>
      </c>
      <c r="C1587" s="295"/>
      <c r="D1587" s="344">
        <v>775</v>
      </c>
      <c r="E1587" s="290"/>
    </row>
    <row r="1588" spans="1:5" ht="5.0999999999999996" customHeight="1">
      <c r="A1588" s="290"/>
      <c r="B1588" s="290"/>
      <c r="C1588" s="290"/>
      <c r="D1588" s="297"/>
      <c r="E1588" s="290"/>
    </row>
    <row r="1589" spans="1:5" ht="13.5">
      <c r="A1589" s="290"/>
      <c r="B1589" s="290"/>
      <c r="C1589" s="290" t="s">
        <v>21</v>
      </c>
      <c r="D1589" s="297">
        <v>50</v>
      </c>
      <c r="E1589" s="290"/>
    </row>
    <row r="1590" spans="1:5" ht="13.5">
      <c r="A1590" s="290"/>
      <c r="B1590" s="290"/>
      <c r="C1590" s="290" t="s">
        <v>22</v>
      </c>
      <c r="D1590" s="297">
        <v>52</v>
      </c>
      <c r="E1590" s="290"/>
    </row>
    <row r="1591" spans="1:5" ht="13.5">
      <c r="A1591" s="290"/>
      <c r="B1591" s="290"/>
      <c r="C1591" s="290" t="s">
        <v>23</v>
      </c>
      <c r="D1591" s="297">
        <v>84</v>
      </c>
      <c r="E1591" s="290"/>
    </row>
    <row r="1592" spans="1:5" ht="13.5">
      <c r="A1592" s="290"/>
      <c r="B1592" s="290"/>
      <c r="C1592" s="290" t="s">
        <v>24</v>
      </c>
      <c r="D1592" s="297">
        <v>53</v>
      </c>
      <c r="E1592" s="290"/>
    </row>
    <row r="1593" spans="1:5" ht="13.5">
      <c r="A1593" s="290"/>
      <c r="B1593" s="290"/>
      <c r="C1593" s="290" t="s">
        <v>25</v>
      </c>
      <c r="D1593" s="297">
        <v>65</v>
      </c>
      <c r="E1593" s="290"/>
    </row>
    <row r="1594" spans="1:5" ht="13.5">
      <c r="A1594" s="290"/>
      <c r="B1594" s="290"/>
      <c r="C1594" s="290" t="s">
        <v>26</v>
      </c>
      <c r="D1594" s="297">
        <v>59</v>
      </c>
      <c r="E1594" s="290"/>
    </row>
    <row r="1595" spans="1:5" ht="13.5">
      <c r="A1595" s="290"/>
      <c r="B1595" s="290"/>
      <c r="C1595" s="290" t="s">
        <v>27</v>
      </c>
      <c r="D1595" s="297">
        <v>73</v>
      </c>
      <c r="E1595" s="290"/>
    </row>
    <row r="1596" spans="1:5" ht="13.5">
      <c r="A1596" s="290"/>
      <c r="B1596" s="290"/>
      <c r="C1596" s="290" t="s">
        <v>28</v>
      </c>
      <c r="D1596" s="297">
        <v>69</v>
      </c>
      <c r="E1596" s="290"/>
    </row>
    <row r="1597" spans="1:5" ht="13.5">
      <c r="A1597" s="290"/>
      <c r="B1597" s="290"/>
      <c r="C1597" s="290" t="s">
        <v>29</v>
      </c>
      <c r="D1597" s="297">
        <v>70</v>
      </c>
      <c r="E1597" s="290"/>
    </row>
    <row r="1598" spans="1:5" ht="13.5">
      <c r="A1598" s="290"/>
      <c r="B1598" s="290"/>
      <c r="C1598" s="290" t="s">
        <v>30</v>
      </c>
      <c r="D1598" s="297">
        <v>82</v>
      </c>
      <c r="E1598" s="290"/>
    </row>
    <row r="1599" spans="1:5" ht="13.5">
      <c r="A1599" s="290"/>
      <c r="B1599" s="290"/>
      <c r="C1599" s="290" t="s">
        <v>31</v>
      </c>
      <c r="D1599" s="297">
        <v>59</v>
      </c>
      <c r="E1599" s="290"/>
    </row>
    <row r="1600" spans="1:5" ht="13.5">
      <c r="A1600" s="290"/>
      <c r="B1600" s="290"/>
      <c r="C1600" s="290" t="s">
        <v>32</v>
      </c>
      <c r="D1600" s="297">
        <v>59</v>
      </c>
      <c r="E1600" s="290"/>
    </row>
    <row r="1601" spans="1:5" ht="5.0999999999999996" customHeight="1">
      <c r="A1601" s="290"/>
      <c r="B1601" s="290"/>
      <c r="C1601" s="290"/>
      <c r="D1601" s="297"/>
      <c r="E1601" s="290"/>
    </row>
    <row r="1602" spans="1:5" ht="13.5">
      <c r="A1602" s="292"/>
      <c r="B1602" s="292" t="s">
        <v>209</v>
      </c>
      <c r="C1602" s="295"/>
      <c r="D1602" s="344">
        <v>18</v>
      </c>
      <c r="E1602" s="290"/>
    </row>
    <row r="1603" spans="1:5" ht="5.0999999999999996" customHeight="1">
      <c r="A1603" s="290"/>
      <c r="B1603" s="290"/>
      <c r="C1603" s="290"/>
      <c r="D1603" s="297"/>
      <c r="E1603" s="290"/>
    </row>
    <row r="1604" spans="1:5" ht="13.5">
      <c r="A1604" s="290"/>
      <c r="B1604" s="290"/>
      <c r="C1604" s="290" t="s">
        <v>21</v>
      </c>
      <c r="D1604" s="297">
        <v>1</v>
      </c>
      <c r="E1604" s="290"/>
    </row>
    <row r="1605" spans="1:5" ht="13.5">
      <c r="A1605" s="290"/>
      <c r="B1605" s="290"/>
      <c r="C1605" s="290" t="s">
        <v>22</v>
      </c>
      <c r="D1605" s="297">
        <v>1</v>
      </c>
      <c r="E1605" s="290"/>
    </row>
    <row r="1606" spans="1:5" ht="13.5">
      <c r="A1606" s="290"/>
      <c r="B1606" s="290"/>
      <c r="C1606" s="290" t="s">
        <v>23</v>
      </c>
      <c r="D1606" s="297">
        <v>2</v>
      </c>
      <c r="E1606" s="290"/>
    </row>
    <row r="1607" spans="1:5" ht="13.5">
      <c r="A1607" s="290"/>
      <c r="B1607" s="290"/>
      <c r="C1607" s="290" t="s">
        <v>24</v>
      </c>
      <c r="D1607" s="297">
        <v>4</v>
      </c>
      <c r="E1607" s="290"/>
    </row>
    <row r="1608" spans="1:5" ht="13.5">
      <c r="A1608" s="290"/>
      <c r="B1608" s="290"/>
      <c r="C1608" s="290" t="s">
        <v>25</v>
      </c>
      <c r="D1608" s="297">
        <v>2</v>
      </c>
      <c r="E1608" s="290"/>
    </row>
    <row r="1609" spans="1:5" ht="13.5">
      <c r="A1609" s="290"/>
      <c r="B1609" s="290"/>
      <c r="C1609" s="290" t="s">
        <v>27</v>
      </c>
      <c r="D1609" s="297">
        <v>1</v>
      </c>
      <c r="E1609" s="290"/>
    </row>
    <row r="1610" spans="1:5" ht="13.5">
      <c r="A1610" s="290"/>
      <c r="B1610" s="290"/>
      <c r="C1610" s="290" t="s">
        <v>28</v>
      </c>
      <c r="D1610" s="297">
        <v>2</v>
      </c>
      <c r="E1610" s="290"/>
    </row>
    <row r="1611" spans="1:5" ht="13.5">
      <c r="A1611" s="290"/>
      <c r="B1611" s="290"/>
      <c r="C1611" s="290" t="s">
        <v>29</v>
      </c>
      <c r="D1611" s="297">
        <v>1</v>
      </c>
      <c r="E1611" s="290"/>
    </row>
    <row r="1612" spans="1:5" ht="13.5">
      <c r="A1612" s="290"/>
      <c r="B1612" s="290"/>
      <c r="C1612" s="290" t="s">
        <v>30</v>
      </c>
      <c r="D1612" s="297">
        <v>3</v>
      </c>
      <c r="E1612" s="290"/>
    </row>
    <row r="1613" spans="1:5" ht="13.5">
      <c r="A1613" s="290"/>
      <c r="B1613" s="290"/>
      <c r="C1613" s="290" t="s">
        <v>32</v>
      </c>
      <c r="D1613" s="297">
        <v>1</v>
      </c>
      <c r="E1613" s="290"/>
    </row>
    <row r="1614" spans="1:5" ht="5.0999999999999996" customHeight="1">
      <c r="A1614" s="290"/>
      <c r="B1614" s="290"/>
      <c r="C1614" s="290"/>
      <c r="D1614" s="297"/>
      <c r="E1614" s="290"/>
    </row>
    <row r="1615" spans="1:5" ht="13.5">
      <c r="A1615" s="292"/>
      <c r="B1615" s="292" t="s">
        <v>210</v>
      </c>
      <c r="C1615" s="295"/>
      <c r="D1615" s="344">
        <v>11</v>
      </c>
      <c r="E1615" s="290"/>
    </row>
    <row r="1616" spans="1:5" ht="5.0999999999999996" customHeight="1">
      <c r="A1616" s="290"/>
      <c r="B1616" s="290"/>
      <c r="C1616" s="290"/>
      <c r="D1616" s="297"/>
      <c r="E1616" s="290"/>
    </row>
    <row r="1617" spans="1:5" ht="13.5">
      <c r="A1617" s="290"/>
      <c r="B1617" s="290"/>
      <c r="C1617" s="290" t="s">
        <v>22</v>
      </c>
      <c r="D1617" s="297">
        <v>1</v>
      </c>
      <c r="E1617" s="290"/>
    </row>
    <row r="1618" spans="1:5" ht="13.5">
      <c r="A1618" s="290"/>
      <c r="B1618" s="290"/>
      <c r="C1618" s="290" t="s">
        <v>23</v>
      </c>
      <c r="D1618" s="297">
        <v>1</v>
      </c>
      <c r="E1618" s="290"/>
    </row>
    <row r="1619" spans="1:5" ht="13.5">
      <c r="A1619" s="290"/>
      <c r="B1619" s="290"/>
      <c r="C1619" s="290" t="s">
        <v>24</v>
      </c>
      <c r="D1619" s="297">
        <v>1</v>
      </c>
      <c r="E1619" s="290"/>
    </row>
    <row r="1620" spans="1:5" ht="13.5">
      <c r="A1620" s="290"/>
      <c r="B1620" s="290"/>
      <c r="C1620" s="290" t="s">
        <v>25</v>
      </c>
      <c r="D1620" s="297">
        <v>1</v>
      </c>
      <c r="E1620" s="290"/>
    </row>
    <row r="1621" spans="1:5" ht="13.5">
      <c r="A1621" s="290"/>
      <c r="B1621" s="290"/>
      <c r="C1621" s="290" t="s">
        <v>28</v>
      </c>
      <c r="D1621" s="297">
        <v>1</v>
      </c>
      <c r="E1621" s="290"/>
    </row>
    <row r="1622" spans="1:5" ht="13.5">
      <c r="A1622" s="290"/>
      <c r="B1622" s="290"/>
      <c r="C1622" s="290" t="s">
        <v>29</v>
      </c>
      <c r="D1622" s="297">
        <v>3</v>
      </c>
      <c r="E1622" s="290"/>
    </row>
    <row r="1623" spans="1:5" ht="13.5">
      <c r="A1623" s="290"/>
      <c r="B1623" s="290"/>
      <c r="C1623" s="290" t="s">
        <v>30</v>
      </c>
      <c r="D1623" s="297">
        <v>2</v>
      </c>
      <c r="E1623" s="290"/>
    </row>
    <row r="1624" spans="1:5" ht="13.5">
      <c r="A1624" s="290"/>
      <c r="B1624" s="290"/>
      <c r="C1624" s="290" t="s">
        <v>31</v>
      </c>
      <c r="D1624" s="297">
        <v>1</v>
      </c>
      <c r="E1624" s="290"/>
    </row>
    <row r="1625" spans="1:5" ht="5.0999999999999996" customHeight="1">
      <c r="A1625" s="290"/>
      <c r="B1625" s="290"/>
      <c r="C1625" s="290"/>
      <c r="D1625" s="297"/>
      <c r="E1625" s="290"/>
    </row>
    <row r="1626" spans="1:5" ht="13.5">
      <c r="A1626" s="292" t="s">
        <v>104</v>
      </c>
      <c r="B1626" s="292"/>
      <c r="C1626" s="295"/>
      <c r="D1626" s="344">
        <v>121</v>
      </c>
      <c r="E1626" s="290"/>
    </row>
    <row r="1627" spans="1:5" ht="5.0999999999999996" customHeight="1">
      <c r="A1627" s="290"/>
      <c r="B1627" s="290"/>
      <c r="C1627" s="290"/>
      <c r="D1627" s="297"/>
      <c r="E1627" s="290"/>
    </row>
    <row r="1628" spans="1:5" ht="13.5">
      <c r="A1628" s="290"/>
      <c r="B1628" s="290"/>
      <c r="C1628" s="290" t="s">
        <v>21</v>
      </c>
      <c r="D1628" s="297">
        <v>8</v>
      </c>
      <c r="E1628" s="290"/>
    </row>
    <row r="1629" spans="1:5" ht="13.5">
      <c r="A1629" s="290"/>
      <c r="B1629" s="290"/>
      <c r="C1629" s="290" t="s">
        <v>22</v>
      </c>
      <c r="D1629" s="297">
        <v>11</v>
      </c>
      <c r="E1629" s="290"/>
    </row>
    <row r="1630" spans="1:5" ht="13.5">
      <c r="A1630" s="290"/>
      <c r="B1630" s="290"/>
      <c r="C1630" s="290" t="s">
        <v>23</v>
      </c>
      <c r="D1630" s="297">
        <v>11</v>
      </c>
      <c r="E1630" s="290"/>
    </row>
    <row r="1631" spans="1:5" ht="13.5">
      <c r="A1631" s="290"/>
      <c r="B1631" s="290"/>
      <c r="C1631" s="290" t="s">
        <v>24</v>
      </c>
      <c r="D1631" s="297">
        <v>12</v>
      </c>
      <c r="E1631" s="290"/>
    </row>
    <row r="1632" spans="1:5" ht="13.5">
      <c r="A1632" s="290"/>
      <c r="B1632" s="290"/>
      <c r="C1632" s="290" t="s">
        <v>25</v>
      </c>
      <c r="D1632" s="297">
        <v>8</v>
      </c>
      <c r="E1632" s="290"/>
    </row>
    <row r="1633" spans="1:5" ht="13.5">
      <c r="A1633" s="290"/>
      <c r="B1633" s="290"/>
      <c r="C1633" s="290" t="s">
        <v>26</v>
      </c>
      <c r="D1633" s="297">
        <v>11</v>
      </c>
      <c r="E1633" s="290"/>
    </row>
    <row r="1634" spans="1:5" ht="13.5">
      <c r="A1634" s="290"/>
      <c r="B1634" s="290"/>
      <c r="C1634" s="290" t="s">
        <v>27</v>
      </c>
      <c r="D1634" s="297">
        <v>7</v>
      </c>
      <c r="E1634" s="290"/>
    </row>
    <row r="1635" spans="1:5" ht="13.5">
      <c r="A1635" s="290"/>
      <c r="B1635" s="290"/>
      <c r="C1635" s="290" t="s">
        <v>28</v>
      </c>
      <c r="D1635" s="297">
        <v>18</v>
      </c>
      <c r="E1635" s="290"/>
    </row>
    <row r="1636" spans="1:5" ht="13.5">
      <c r="A1636" s="290"/>
      <c r="B1636" s="290"/>
      <c r="C1636" s="290" t="s">
        <v>29</v>
      </c>
      <c r="D1636" s="297">
        <v>6</v>
      </c>
      <c r="E1636" s="290"/>
    </row>
    <row r="1637" spans="1:5" ht="13.5">
      <c r="A1637" s="290"/>
      <c r="B1637" s="290"/>
      <c r="C1637" s="290" t="s">
        <v>30</v>
      </c>
      <c r="D1637" s="297">
        <v>10</v>
      </c>
      <c r="E1637" s="290"/>
    </row>
    <row r="1638" spans="1:5" ht="13.5">
      <c r="A1638" s="290"/>
      <c r="B1638" s="290"/>
      <c r="C1638" s="290" t="s">
        <v>31</v>
      </c>
      <c r="D1638" s="297">
        <v>14</v>
      </c>
      <c r="E1638" s="290"/>
    </row>
    <row r="1639" spans="1:5" ht="13.5">
      <c r="A1639" s="290"/>
      <c r="B1639" s="290"/>
      <c r="C1639" s="290" t="s">
        <v>32</v>
      </c>
      <c r="D1639" s="297">
        <v>5</v>
      </c>
      <c r="E1639" s="290"/>
    </row>
    <row r="1640" spans="1:5" ht="5.0999999999999996" customHeight="1">
      <c r="A1640" s="290"/>
      <c r="B1640" s="290"/>
      <c r="C1640" s="290"/>
      <c r="D1640" s="297"/>
      <c r="E1640" s="290"/>
    </row>
    <row r="1641" spans="1:5" ht="13.5">
      <c r="A1641" s="292"/>
      <c r="B1641" s="292" t="s">
        <v>104</v>
      </c>
      <c r="C1641" s="295"/>
      <c r="D1641" s="344">
        <v>33</v>
      </c>
      <c r="E1641" s="290"/>
    </row>
    <row r="1642" spans="1:5" ht="5.0999999999999996" customHeight="1">
      <c r="A1642" s="290"/>
      <c r="B1642" s="290"/>
      <c r="C1642" s="290"/>
      <c r="D1642" s="297"/>
      <c r="E1642" s="290"/>
    </row>
    <row r="1643" spans="1:5" ht="13.5">
      <c r="A1643" s="290"/>
      <c r="B1643" s="290"/>
      <c r="C1643" s="290" t="s">
        <v>21</v>
      </c>
      <c r="D1643" s="297">
        <v>1</v>
      </c>
      <c r="E1643" s="290"/>
    </row>
    <row r="1644" spans="1:5" ht="13.5">
      <c r="A1644" s="290"/>
      <c r="B1644" s="290"/>
      <c r="C1644" s="290" t="s">
        <v>22</v>
      </c>
      <c r="D1644" s="297">
        <v>3</v>
      </c>
      <c r="E1644" s="290"/>
    </row>
    <row r="1645" spans="1:5" ht="13.5">
      <c r="A1645" s="290"/>
      <c r="B1645" s="290"/>
      <c r="C1645" s="290" t="s">
        <v>23</v>
      </c>
      <c r="D1645" s="297">
        <v>4</v>
      </c>
      <c r="E1645" s="290"/>
    </row>
    <row r="1646" spans="1:5" ht="13.5">
      <c r="A1646" s="290"/>
      <c r="B1646" s="290"/>
      <c r="C1646" s="290" t="s">
        <v>24</v>
      </c>
      <c r="D1646" s="297">
        <v>4</v>
      </c>
      <c r="E1646" s="290"/>
    </row>
    <row r="1647" spans="1:5" ht="13.5">
      <c r="A1647" s="290"/>
      <c r="B1647" s="290"/>
      <c r="C1647" s="290" t="s">
        <v>25</v>
      </c>
      <c r="D1647" s="297">
        <v>3</v>
      </c>
      <c r="E1647" s="290"/>
    </row>
    <row r="1648" spans="1:5" ht="13.5">
      <c r="A1648" s="290"/>
      <c r="B1648" s="290"/>
      <c r="C1648" s="290" t="s">
        <v>26</v>
      </c>
      <c r="D1648" s="297">
        <v>1</v>
      </c>
      <c r="E1648" s="290"/>
    </row>
    <row r="1649" spans="1:5" ht="13.5">
      <c r="A1649" s="290"/>
      <c r="B1649" s="290"/>
      <c r="C1649" s="290" t="s">
        <v>27</v>
      </c>
      <c r="D1649" s="297">
        <v>2</v>
      </c>
      <c r="E1649" s="290"/>
    </row>
    <row r="1650" spans="1:5" ht="13.5">
      <c r="A1650" s="290"/>
      <c r="B1650" s="290"/>
      <c r="C1650" s="290" t="s">
        <v>28</v>
      </c>
      <c r="D1650" s="297">
        <v>7</v>
      </c>
      <c r="E1650" s="290"/>
    </row>
    <row r="1651" spans="1:5" ht="13.5">
      <c r="A1651" s="290"/>
      <c r="B1651" s="290"/>
      <c r="C1651" s="290" t="s">
        <v>29</v>
      </c>
      <c r="D1651" s="297">
        <v>2</v>
      </c>
      <c r="E1651" s="290"/>
    </row>
    <row r="1652" spans="1:5" ht="13.5">
      <c r="A1652" s="290"/>
      <c r="B1652" s="290"/>
      <c r="C1652" s="290" t="s">
        <v>30</v>
      </c>
      <c r="D1652" s="297">
        <v>1</v>
      </c>
      <c r="E1652" s="290"/>
    </row>
    <row r="1653" spans="1:5" ht="13.5">
      <c r="A1653" s="290"/>
      <c r="B1653" s="290"/>
      <c r="C1653" s="290" t="s">
        <v>31</v>
      </c>
      <c r="D1653" s="297">
        <v>4</v>
      </c>
      <c r="E1653" s="290"/>
    </row>
    <row r="1654" spans="1:5" ht="13.5">
      <c r="A1654" s="290"/>
      <c r="B1654" s="290"/>
      <c r="C1654" s="290" t="s">
        <v>32</v>
      </c>
      <c r="D1654" s="297">
        <v>1</v>
      </c>
      <c r="E1654" s="290"/>
    </row>
    <row r="1655" spans="1:5" ht="5.0999999999999996" customHeight="1">
      <c r="A1655" s="290"/>
      <c r="B1655" s="290"/>
      <c r="C1655" s="290"/>
      <c r="D1655" s="297"/>
      <c r="E1655" s="290"/>
    </row>
    <row r="1656" spans="1:5" ht="13.5">
      <c r="A1656" s="292"/>
      <c r="B1656" s="292" t="s">
        <v>211</v>
      </c>
      <c r="C1656" s="295"/>
      <c r="D1656" s="344">
        <v>39</v>
      </c>
      <c r="E1656" s="290"/>
    </row>
    <row r="1657" spans="1:5" ht="5.0999999999999996" customHeight="1">
      <c r="A1657" s="290"/>
      <c r="B1657" s="290"/>
      <c r="C1657" s="290"/>
      <c r="D1657" s="297"/>
      <c r="E1657" s="290"/>
    </row>
    <row r="1658" spans="1:5" ht="13.5">
      <c r="A1658" s="290"/>
      <c r="B1658" s="290"/>
      <c r="C1658" s="290" t="s">
        <v>21</v>
      </c>
      <c r="D1658" s="297">
        <v>6</v>
      </c>
      <c r="E1658" s="290"/>
    </row>
    <row r="1659" spans="1:5" ht="13.5">
      <c r="A1659" s="290"/>
      <c r="B1659" s="290"/>
      <c r="C1659" s="290" t="s">
        <v>22</v>
      </c>
      <c r="D1659" s="297">
        <v>2</v>
      </c>
      <c r="E1659" s="290"/>
    </row>
    <row r="1660" spans="1:5" ht="13.5">
      <c r="A1660" s="290"/>
      <c r="B1660" s="290"/>
      <c r="C1660" s="290" t="s">
        <v>23</v>
      </c>
      <c r="D1660" s="297">
        <v>6</v>
      </c>
      <c r="E1660" s="290"/>
    </row>
    <row r="1661" spans="1:5" ht="13.5">
      <c r="A1661" s="290"/>
      <c r="B1661" s="290"/>
      <c r="C1661" s="290" t="s">
        <v>24</v>
      </c>
      <c r="D1661" s="297">
        <v>4</v>
      </c>
      <c r="E1661" s="290"/>
    </row>
    <row r="1662" spans="1:5" ht="13.5">
      <c r="A1662" s="290"/>
      <c r="B1662" s="290"/>
      <c r="C1662" s="290" t="s">
        <v>25</v>
      </c>
      <c r="D1662" s="297">
        <v>3</v>
      </c>
      <c r="E1662" s="290"/>
    </row>
    <row r="1663" spans="1:5" ht="13.5">
      <c r="A1663" s="290"/>
      <c r="B1663" s="290"/>
      <c r="C1663" s="290" t="s">
        <v>26</v>
      </c>
      <c r="D1663" s="297">
        <v>5</v>
      </c>
      <c r="E1663" s="290"/>
    </row>
    <row r="1664" spans="1:5" ht="13.5">
      <c r="A1664" s="290"/>
      <c r="B1664" s="290"/>
      <c r="C1664" s="290" t="s">
        <v>28</v>
      </c>
      <c r="D1664" s="297">
        <v>1</v>
      </c>
      <c r="E1664" s="290"/>
    </row>
    <row r="1665" spans="1:5" ht="13.5">
      <c r="A1665" s="290"/>
      <c r="B1665" s="290"/>
      <c r="C1665" s="290" t="s">
        <v>30</v>
      </c>
      <c r="D1665" s="297">
        <v>5</v>
      </c>
      <c r="E1665" s="290"/>
    </row>
    <row r="1666" spans="1:5" ht="13.5">
      <c r="A1666" s="290"/>
      <c r="B1666" s="290"/>
      <c r="C1666" s="290" t="s">
        <v>31</v>
      </c>
      <c r="D1666" s="297">
        <v>5</v>
      </c>
      <c r="E1666" s="290"/>
    </row>
    <row r="1667" spans="1:5" ht="13.5">
      <c r="A1667" s="290"/>
      <c r="B1667" s="290"/>
      <c r="C1667" s="290" t="s">
        <v>32</v>
      </c>
      <c r="D1667" s="297">
        <v>2</v>
      </c>
      <c r="E1667" s="290"/>
    </row>
    <row r="1668" spans="1:5" ht="5.0999999999999996" customHeight="1">
      <c r="A1668" s="290"/>
      <c r="B1668" s="290"/>
      <c r="C1668" s="290"/>
      <c r="D1668" s="297"/>
      <c r="E1668" s="290"/>
    </row>
    <row r="1669" spans="1:5" ht="13.5">
      <c r="A1669" s="292"/>
      <c r="B1669" s="292" t="s">
        <v>212</v>
      </c>
      <c r="C1669" s="295"/>
      <c r="D1669" s="344">
        <v>20</v>
      </c>
      <c r="E1669" s="290"/>
    </row>
    <row r="1670" spans="1:5" ht="5.0999999999999996" customHeight="1">
      <c r="A1670" s="290"/>
      <c r="B1670" s="290"/>
      <c r="C1670" s="290"/>
      <c r="D1670" s="297"/>
      <c r="E1670" s="290"/>
    </row>
    <row r="1671" spans="1:5" ht="13.5">
      <c r="A1671" s="290"/>
      <c r="B1671" s="290"/>
      <c r="C1671" s="290" t="s">
        <v>23</v>
      </c>
      <c r="D1671" s="297">
        <v>1</v>
      </c>
      <c r="E1671" s="290"/>
    </row>
    <row r="1672" spans="1:5" ht="13.5">
      <c r="A1672" s="290"/>
      <c r="B1672" s="290"/>
      <c r="C1672" s="290" t="s">
        <v>24</v>
      </c>
      <c r="D1672" s="297">
        <v>2</v>
      </c>
      <c r="E1672" s="290"/>
    </row>
    <row r="1673" spans="1:5" ht="13.5">
      <c r="A1673" s="290"/>
      <c r="B1673" s="290"/>
      <c r="C1673" s="290" t="s">
        <v>25</v>
      </c>
      <c r="D1673" s="297">
        <v>1</v>
      </c>
      <c r="E1673" s="290"/>
    </row>
    <row r="1674" spans="1:5" ht="13.5">
      <c r="A1674" s="290"/>
      <c r="B1674" s="290"/>
      <c r="C1674" s="290" t="s">
        <v>26</v>
      </c>
      <c r="D1674" s="297">
        <v>5</v>
      </c>
      <c r="E1674" s="290"/>
    </row>
    <row r="1675" spans="1:5" ht="13.5">
      <c r="A1675" s="290"/>
      <c r="B1675" s="290"/>
      <c r="C1675" s="290" t="s">
        <v>27</v>
      </c>
      <c r="D1675" s="297">
        <v>2</v>
      </c>
      <c r="E1675" s="290"/>
    </row>
    <row r="1676" spans="1:5" ht="13.5">
      <c r="A1676" s="290"/>
      <c r="B1676" s="290"/>
      <c r="C1676" s="290" t="s">
        <v>29</v>
      </c>
      <c r="D1676" s="297">
        <v>3</v>
      </c>
      <c r="E1676" s="290"/>
    </row>
    <row r="1677" spans="1:5" ht="13.5">
      <c r="A1677" s="290"/>
      <c r="B1677" s="290"/>
      <c r="C1677" s="290" t="s">
        <v>30</v>
      </c>
      <c r="D1677" s="297">
        <v>3</v>
      </c>
      <c r="E1677" s="290"/>
    </row>
    <row r="1678" spans="1:5" ht="13.5">
      <c r="A1678" s="290"/>
      <c r="B1678" s="290"/>
      <c r="C1678" s="290" t="s">
        <v>31</v>
      </c>
      <c r="D1678" s="297">
        <v>2</v>
      </c>
      <c r="E1678" s="290"/>
    </row>
    <row r="1679" spans="1:5" ht="13.5">
      <c r="A1679" s="290"/>
      <c r="B1679" s="290"/>
      <c r="C1679" s="290" t="s">
        <v>32</v>
      </c>
      <c r="D1679" s="297">
        <v>1</v>
      </c>
      <c r="E1679" s="290"/>
    </row>
    <row r="1680" spans="1:5" ht="5.0999999999999996" customHeight="1">
      <c r="A1680" s="290"/>
      <c r="B1680" s="290"/>
      <c r="C1680" s="290"/>
      <c r="D1680" s="297"/>
      <c r="E1680" s="290"/>
    </row>
    <row r="1681" spans="1:5" ht="13.5">
      <c r="A1681" s="292"/>
      <c r="B1681" s="292" t="s">
        <v>213</v>
      </c>
      <c r="C1681" s="295"/>
      <c r="D1681" s="344">
        <v>29</v>
      </c>
      <c r="E1681" s="290"/>
    </row>
    <row r="1682" spans="1:5" ht="5.0999999999999996" customHeight="1">
      <c r="A1682" s="290"/>
      <c r="B1682" s="290"/>
      <c r="C1682" s="290"/>
      <c r="D1682" s="297"/>
      <c r="E1682" s="290"/>
    </row>
    <row r="1683" spans="1:5" ht="13.5">
      <c r="A1683" s="290"/>
      <c r="B1683" s="290"/>
      <c r="C1683" s="290" t="s">
        <v>21</v>
      </c>
      <c r="D1683" s="297">
        <v>1</v>
      </c>
      <c r="E1683" s="290"/>
    </row>
    <row r="1684" spans="1:5" ht="13.5">
      <c r="A1684" s="290"/>
      <c r="B1684" s="290"/>
      <c r="C1684" s="290" t="s">
        <v>22</v>
      </c>
      <c r="D1684" s="297">
        <v>6</v>
      </c>
      <c r="E1684" s="290"/>
    </row>
    <row r="1685" spans="1:5" ht="13.5">
      <c r="A1685" s="290"/>
      <c r="B1685" s="290"/>
      <c r="C1685" s="290" t="s">
        <v>24</v>
      </c>
      <c r="D1685" s="297">
        <v>2</v>
      </c>
      <c r="E1685" s="290"/>
    </row>
    <row r="1686" spans="1:5" ht="13.5">
      <c r="A1686" s="290"/>
      <c r="B1686" s="290"/>
      <c r="C1686" s="290" t="s">
        <v>25</v>
      </c>
      <c r="D1686" s="297">
        <v>1</v>
      </c>
      <c r="E1686" s="290"/>
    </row>
    <row r="1687" spans="1:5" ht="13.5">
      <c r="A1687" s="290"/>
      <c r="B1687" s="290"/>
      <c r="C1687" s="290" t="s">
        <v>27</v>
      </c>
      <c r="D1687" s="297">
        <v>3</v>
      </c>
      <c r="E1687" s="290"/>
    </row>
    <row r="1688" spans="1:5" ht="13.5">
      <c r="A1688" s="290"/>
      <c r="B1688" s="290"/>
      <c r="C1688" s="290" t="s">
        <v>28</v>
      </c>
      <c r="D1688" s="297">
        <v>10</v>
      </c>
      <c r="E1688" s="290"/>
    </row>
    <row r="1689" spans="1:5" ht="13.5">
      <c r="A1689" s="290"/>
      <c r="B1689" s="290"/>
      <c r="C1689" s="290" t="s">
        <v>29</v>
      </c>
      <c r="D1689" s="297">
        <v>1</v>
      </c>
      <c r="E1689" s="290"/>
    </row>
    <row r="1690" spans="1:5" ht="13.5">
      <c r="A1690" s="290"/>
      <c r="B1690" s="290"/>
      <c r="C1690" s="290" t="s">
        <v>30</v>
      </c>
      <c r="D1690" s="297">
        <v>1</v>
      </c>
      <c r="E1690" s="290"/>
    </row>
    <row r="1691" spans="1:5" ht="13.5">
      <c r="A1691" s="290"/>
      <c r="B1691" s="290"/>
      <c r="C1691" s="290" t="s">
        <v>31</v>
      </c>
      <c r="D1691" s="297">
        <v>3</v>
      </c>
      <c r="E1691" s="290"/>
    </row>
    <row r="1692" spans="1:5" ht="13.5">
      <c r="A1692" s="290"/>
      <c r="B1692" s="290"/>
      <c r="C1692" s="290" t="s">
        <v>32</v>
      </c>
      <c r="D1692" s="297">
        <v>1</v>
      </c>
      <c r="E1692" s="290"/>
    </row>
    <row r="1693" spans="1:5" ht="5.0999999999999996" customHeight="1">
      <c r="A1693" s="290"/>
      <c r="B1693" s="290"/>
      <c r="C1693" s="290"/>
      <c r="D1693" s="297"/>
      <c r="E1693" s="290"/>
    </row>
    <row r="1694" spans="1:5" ht="13.5">
      <c r="A1694" s="292" t="s">
        <v>105</v>
      </c>
      <c r="B1694" s="292"/>
      <c r="C1694" s="295"/>
      <c r="D1694" s="344">
        <v>172</v>
      </c>
      <c r="E1694" s="290"/>
    </row>
    <row r="1695" spans="1:5" ht="5.0999999999999996" customHeight="1">
      <c r="A1695" s="290"/>
      <c r="B1695" s="290"/>
      <c r="C1695" s="290"/>
      <c r="D1695" s="297"/>
      <c r="E1695" s="290"/>
    </row>
    <row r="1696" spans="1:5" ht="13.5">
      <c r="A1696" s="290"/>
      <c r="B1696" s="290"/>
      <c r="C1696" s="290" t="s">
        <v>21</v>
      </c>
      <c r="D1696" s="297">
        <v>11</v>
      </c>
      <c r="E1696" s="290"/>
    </row>
    <row r="1697" spans="1:5" ht="13.5">
      <c r="A1697" s="290"/>
      <c r="B1697" s="290"/>
      <c r="C1697" s="290" t="s">
        <v>22</v>
      </c>
      <c r="D1697" s="297">
        <v>14</v>
      </c>
      <c r="E1697" s="290"/>
    </row>
    <row r="1698" spans="1:5" ht="13.5">
      <c r="A1698" s="290"/>
      <c r="B1698" s="290"/>
      <c r="C1698" s="290" t="s">
        <v>23</v>
      </c>
      <c r="D1698" s="297">
        <v>18</v>
      </c>
      <c r="E1698" s="290"/>
    </row>
    <row r="1699" spans="1:5" ht="13.5">
      <c r="A1699" s="290"/>
      <c r="B1699" s="290"/>
      <c r="C1699" s="290" t="s">
        <v>24</v>
      </c>
      <c r="D1699" s="297">
        <v>15</v>
      </c>
      <c r="E1699" s="290"/>
    </row>
    <row r="1700" spans="1:5" ht="13.5">
      <c r="A1700" s="290"/>
      <c r="B1700" s="290"/>
      <c r="C1700" s="290" t="s">
        <v>25</v>
      </c>
      <c r="D1700" s="297">
        <v>8</v>
      </c>
      <c r="E1700" s="290"/>
    </row>
    <row r="1701" spans="1:5" ht="13.5">
      <c r="A1701" s="290"/>
      <c r="B1701" s="290"/>
      <c r="C1701" s="290" t="s">
        <v>26</v>
      </c>
      <c r="D1701" s="297">
        <v>20</v>
      </c>
      <c r="E1701" s="290"/>
    </row>
    <row r="1702" spans="1:5" ht="13.5">
      <c r="A1702" s="290"/>
      <c r="B1702" s="290"/>
      <c r="C1702" s="290" t="s">
        <v>27</v>
      </c>
      <c r="D1702" s="297">
        <v>14</v>
      </c>
      <c r="E1702" s="290"/>
    </row>
    <row r="1703" spans="1:5" ht="13.5">
      <c r="A1703" s="290"/>
      <c r="B1703" s="290"/>
      <c r="C1703" s="290" t="s">
        <v>28</v>
      </c>
      <c r="D1703" s="297">
        <v>9</v>
      </c>
      <c r="E1703" s="290"/>
    </row>
    <row r="1704" spans="1:5" ht="13.5">
      <c r="A1704" s="290"/>
      <c r="B1704" s="290"/>
      <c r="C1704" s="290" t="s">
        <v>29</v>
      </c>
      <c r="D1704" s="297">
        <v>14</v>
      </c>
      <c r="E1704" s="290"/>
    </row>
    <row r="1705" spans="1:5" ht="13.5">
      <c r="A1705" s="290"/>
      <c r="B1705" s="290"/>
      <c r="C1705" s="290" t="s">
        <v>30</v>
      </c>
      <c r="D1705" s="297">
        <v>18</v>
      </c>
      <c r="E1705" s="290"/>
    </row>
    <row r="1706" spans="1:5" ht="13.5">
      <c r="A1706" s="290"/>
      <c r="B1706" s="290"/>
      <c r="C1706" s="290" t="s">
        <v>31</v>
      </c>
      <c r="D1706" s="297">
        <v>11</v>
      </c>
      <c r="E1706" s="290"/>
    </row>
    <row r="1707" spans="1:5" ht="13.5">
      <c r="A1707" s="290"/>
      <c r="B1707" s="290"/>
      <c r="C1707" s="290" t="s">
        <v>32</v>
      </c>
      <c r="D1707" s="297">
        <v>20</v>
      </c>
      <c r="E1707" s="290"/>
    </row>
    <row r="1708" spans="1:5" ht="5.0999999999999996" customHeight="1">
      <c r="A1708" s="290"/>
      <c r="B1708" s="290"/>
      <c r="C1708" s="290"/>
      <c r="D1708" s="297"/>
      <c r="E1708" s="290"/>
    </row>
    <row r="1709" spans="1:5" ht="13.5">
      <c r="A1709" s="292"/>
      <c r="B1709" s="292" t="s">
        <v>452</v>
      </c>
      <c r="C1709" s="295"/>
      <c r="D1709" s="344">
        <v>148</v>
      </c>
      <c r="E1709" s="290"/>
    </row>
    <row r="1710" spans="1:5" ht="5.0999999999999996" customHeight="1">
      <c r="A1710" s="290"/>
      <c r="B1710" s="290"/>
      <c r="C1710" s="290"/>
      <c r="D1710" s="297"/>
      <c r="E1710" s="290"/>
    </row>
    <row r="1711" spans="1:5" ht="13.5">
      <c r="A1711" s="290"/>
      <c r="B1711" s="290"/>
      <c r="C1711" s="290" t="s">
        <v>21</v>
      </c>
      <c r="D1711" s="297">
        <v>7</v>
      </c>
      <c r="E1711" s="290"/>
    </row>
    <row r="1712" spans="1:5" ht="13.5">
      <c r="A1712" s="290"/>
      <c r="B1712" s="290"/>
      <c r="C1712" s="290" t="s">
        <v>22</v>
      </c>
      <c r="D1712" s="297">
        <v>12</v>
      </c>
      <c r="E1712" s="290"/>
    </row>
    <row r="1713" spans="1:5" ht="13.5">
      <c r="A1713" s="290"/>
      <c r="B1713" s="290"/>
      <c r="C1713" s="290" t="s">
        <v>23</v>
      </c>
      <c r="D1713" s="297">
        <v>16</v>
      </c>
      <c r="E1713" s="290"/>
    </row>
    <row r="1714" spans="1:5" ht="13.5">
      <c r="A1714" s="290"/>
      <c r="B1714" s="290"/>
      <c r="C1714" s="290" t="s">
        <v>24</v>
      </c>
      <c r="D1714" s="297">
        <v>14</v>
      </c>
      <c r="E1714" s="290"/>
    </row>
    <row r="1715" spans="1:5" ht="13.5">
      <c r="A1715" s="290"/>
      <c r="B1715" s="290"/>
      <c r="C1715" s="290" t="s">
        <v>25</v>
      </c>
      <c r="D1715" s="297">
        <v>8</v>
      </c>
      <c r="E1715" s="290"/>
    </row>
    <row r="1716" spans="1:5" ht="13.5">
      <c r="A1716" s="290"/>
      <c r="B1716" s="290"/>
      <c r="C1716" s="290" t="s">
        <v>26</v>
      </c>
      <c r="D1716" s="297">
        <v>19</v>
      </c>
      <c r="E1716" s="290"/>
    </row>
    <row r="1717" spans="1:5" ht="13.5">
      <c r="A1717" s="290"/>
      <c r="B1717" s="290"/>
      <c r="C1717" s="290" t="s">
        <v>27</v>
      </c>
      <c r="D1717" s="297">
        <v>13</v>
      </c>
      <c r="E1717" s="290"/>
    </row>
    <row r="1718" spans="1:5" ht="13.5">
      <c r="A1718" s="290"/>
      <c r="B1718" s="290"/>
      <c r="C1718" s="290" t="s">
        <v>28</v>
      </c>
      <c r="D1718" s="297">
        <v>8</v>
      </c>
      <c r="E1718" s="290"/>
    </row>
    <row r="1719" spans="1:5" ht="13.5">
      <c r="A1719" s="290"/>
      <c r="B1719" s="290"/>
      <c r="C1719" s="290" t="s">
        <v>29</v>
      </c>
      <c r="D1719" s="297">
        <v>11</v>
      </c>
      <c r="E1719" s="290"/>
    </row>
    <row r="1720" spans="1:5" ht="13.5">
      <c r="A1720" s="290"/>
      <c r="B1720" s="290"/>
      <c r="C1720" s="290" t="s">
        <v>30</v>
      </c>
      <c r="D1720" s="297">
        <v>14</v>
      </c>
      <c r="E1720" s="290"/>
    </row>
    <row r="1721" spans="1:5" ht="13.5">
      <c r="A1721" s="290"/>
      <c r="B1721" s="290"/>
      <c r="C1721" s="290" t="s">
        <v>31</v>
      </c>
      <c r="D1721" s="297">
        <v>9</v>
      </c>
      <c r="E1721" s="290"/>
    </row>
    <row r="1722" spans="1:5" ht="13.5">
      <c r="A1722" s="290"/>
      <c r="B1722" s="290"/>
      <c r="C1722" s="290" t="s">
        <v>32</v>
      </c>
      <c r="D1722" s="297">
        <v>17</v>
      </c>
      <c r="E1722" s="290"/>
    </row>
    <row r="1723" spans="1:5" ht="5.0999999999999996" customHeight="1">
      <c r="A1723" s="290"/>
      <c r="B1723" s="290"/>
      <c r="C1723" s="290"/>
      <c r="D1723" s="297"/>
      <c r="E1723" s="290"/>
    </row>
    <row r="1724" spans="1:5" ht="13.5">
      <c r="A1724" s="292"/>
      <c r="B1724" s="292" t="s">
        <v>214</v>
      </c>
      <c r="C1724" s="295"/>
      <c r="D1724" s="344">
        <v>21</v>
      </c>
      <c r="E1724" s="290"/>
    </row>
    <row r="1725" spans="1:5" ht="5.0999999999999996" customHeight="1">
      <c r="A1725" s="290"/>
      <c r="B1725" s="290"/>
      <c r="C1725" s="290"/>
      <c r="D1725" s="297"/>
      <c r="E1725" s="290"/>
    </row>
    <row r="1726" spans="1:5" ht="13.5">
      <c r="A1726" s="290"/>
      <c r="B1726" s="290"/>
      <c r="C1726" s="290" t="s">
        <v>21</v>
      </c>
      <c r="D1726" s="297">
        <v>3</v>
      </c>
      <c r="E1726" s="290"/>
    </row>
    <row r="1727" spans="1:5" ht="13.5">
      <c r="A1727" s="290"/>
      <c r="B1727" s="290"/>
      <c r="C1727" s="290" t="s">
        <v>22</v>
      </c>
      <c r="D1727" s="297">
        <v>1</v>
      </c>
      <c r="E1727" s="290"/>
    </row>
    <row r="1728" spans="1:5" ht="13.5">
      <c r="A1728" s="290"/>
      <c r="B1728" s="290"/>
      <c r="C1728" s="290" t="s">
        <v>23</v>
      </c>
      <c r="D1728" s="297">
        <v>1</v>
      </c>
      <c r="E1728" s="290"/>
    </row>
    <row r="1729" spans="1:5" ht="13.5">
      <c r="A1729" s="290"/>
      <c r="B1729" s="290"/>
      <c r="C1729" s="290" t="s">
        <v>24</v>
      </c>
      <c r="D1729" s="297">
        <v>1</v>
      </c>
      <c r="E1729" s="290"/>
    </row>
    <row r="1730" spans="1:5" ht="13.5">
      <c r="A1730" s="290"/>
      <c r="B1730" s="290"/>
      <c r="C1730" s="290" t="s">
        <v>26</v>
      </c>
      <c r="D1730" s="297">
        <v>1</v>
      </c>
      <c r="E1730" s="290"/>
    </row>
    <row r="1731" spans="1:5" ht="13.5">
      <c r="A1731" s="290"/>
      <c r="B1731" s="290"/>
      <c r="C1731" s="290" t="s">
        <v>27</v>
      </c>
      <c r="D1731" s="297">
        <v>1</v>
      </c>
      <c r="E1731" s="290"/>
    </row>
    <row r="1732" spans="1:5" ht="13.5">
      <c r="A1732" s="290"/>
      <c r="B1732" s="290"/>
      <c r="C1732" s="290" t="s">
        <v>28</v>
      </c>
      <c r="D1732" s="297">
        <v>1</v>
      </c>
      <c r="E1732" s="290"/>
    </row>
    <row r="1733" spans="1:5" ht="13.5">
      <c r="A1733" s="290"/>
      <c r="B1733" s="290"/>
      <c r="C1733" s="290" t="s">
        <v>29</v>
      </c>
      <c r="D1733" s="297">
        <v>3</v>
      </c>
      <c r="E1733" s="290"/>
    </row>
    <row r="1734" spans="1:5" ht="13.5">
      <c r="A1734" s="290"/>
      <c r="B1734" s="290"/>
      <c r="C1734" s="290" t="s">
        <v>30</v>
      </c>
      <c r="D1734" s="297">
        <v>4</v>
      </c>
      <c r="E1734" s="290"/>
    </row>
    <row r="1735" spans="1:5" ht="13.5">
      <c r="A1735" s="290"/>
      <c r="B1735" s="290"/>
      <c r="C1735" s="290" t="s">
        <v>31</v>
      </c>
      <c r="D1735" s="297">
        <v>2</v>
      </c>
      <c r="E1735" s="290"/>
    </row>
    <row r="1736" spans="1:5" ht="13.5">
      <c r="A1736" s="290"/>
      <c r="B1736" s="290"/>
      <c r="C1736" s="290" t="s">
        <v>32</v>
      </c>
      <c r="D1736" s="297">
        <v>3</v>
      </c>
      <c r="E1736" s="290"/>
    </row>
    <row r="1737" spans="1:5" ht="5.0999999999999996" customHeight="1">
      <c r="A1737" s="290"/>
      <c r="B1737" s="290"/>
      <c r="C1737" s="290"/>
      <c r="D1737" s="297"/>
      <c r="E1737" s="290"/>
    </row>
    <row r="1738" spans="1:5" ht="13.5">
      <c r="A1738" s="292"/>
      <c r="B1738" s="292" t="s">
        <v>215</v>
      </c>
      <c r="C1738" s="295"/>
      <c r="D1738" s="344">
        <v>3</v>
      </c>
      <c r="E1738" s="290"/>
    </row>
    <row r="1739" spans="1:5" ht="5.0999999999999996" customHeight="1">
      <c r="A1739" s="290"/>
      <c r="B1739" s="290"/>
      <c r="C1739" s="290"/>
      <c r="D1739" s="297"/>
      <c r="E1739" s="290"/>
    </row>
    <row r="1740" spans="1:5" ht="13.5">
      <c r="A1740" s="290"/>
      <c r="B1740" s="290"/>
      <c r="C1740" s="290" t="s">
        <v>21</v>
      </c>
      <c r="D1740" s="297">
        <v>1</v>
      </c>
      <c r="E1740" s="290"/>
    </row>
    <row r="1741" spans="1:5" ht="13.5">
      <c r="A1741" s="290"/>
      <c r="B1741" s="290"/>
      <c r="C1741" s="290" t="s">
        <v>22</v>
      </c>
      <c r="D1741" s="297">
        <v>1</v>
      </c>
      <c r="E1741" s="290"/>
    </row>
    <row r="1742" spans="1:5" ht="13.5">
      <c r="A1742" s="290"/>
      <c r="B1742" s="290"/>
      <c r="C1742" s="290" t="s">
        <v>23</v>
      </c>
      <c r="D1742" s="297">
        <v>1</v>
      </c>
      <c r="E1742" s="290"/>
    </row>
    <row r="1743" spans="1:5" ht="5.0999999999999996" customHeight="1">
      <c r="A1743" s="290"/>
      <c r="B1743" s="290"/>
      <c r="C1743" s="290"/>
      <c r="D1743" s="297"/>
      <c r="E1743" s="290"/>
    </row>
    <row r="1744" spans="1:5" ht="13.5">
      <c r="A1744" s="292" t="s">
        <v>106</v>
      </c>
      <c r="B1744" s="292"/>
      <c r="C1744" s="295"/>
      <c r="D1744" s="344">
        <v>503</v>
      </c>
      <c r="E1744" s="290"/>
    </row>
    <row r="1745" spans="1:5" ht="5.0999999999999996" customHeight="1">
      <c r="A1745" s="290"/>
      <c r="B1745" s="290"/>
      <c r="C1745" s="290"/>
      <c r="D1745" s="297"/>
      <c r="E1745" s="290"/>
    </row>
    <row r="1746" spans="1:5" ht="13.5">
      <c r="A1746" s="290"/>
      <c r="B1746" s="290"/>
      <c r="C1746" s="290" t="s">
        <v>21</v>
      </c>
      <c r="D1746" s="297">
        <v>27</v>
      </c>
      <c r="E1746" s="290"/>
    </row>
    <row r="1747" spans="1:5" ht="13.5">
      <c r="A1747" s="290"/>
      <c r="B1747" s="290"/>
      <c r="C1747" s="290" t="s">
        <v>22</v>
      </c>
      <c r="D1747" s="297">
        <v>39</v>
      </c>
      <c r="E1747" s="290"/>
    </row>
    <row r="1748" spans="1:5" ht="13.5">
      <c r="A1748" s="290"/>
      <c r="B1748" s="290"/>
      <c r="C1748" s="290" t="s">
        <v>23</v>
      </c>
      <c r="D1748" s="297">
        <v>36</v>
      </c>
      <c r="E1748" s="290"/>
    </row>
    <row r="1749" spans="1:5" ht="13.5">
      <c r="A1749" s="290"/>
      <c r="B1749" s="290"/>
      <c r="C1749" s="290" t="s">
        <v>24</v>
      </c>
      <c r="D1749" s="297">
        <v>66</v>
      </c>
      <c r="E1749" s="290"/>
    </row>
    <row r="1750" spans="1:5" ht="13.5">
      <c r="A1750" s="290"/>
      <c r="B1750" s="290"/>
      <c r="C1750" s="290" t="s">
        <v>25</v>
      </c>
      <c r="D1750" s="297">
        <v>55</v>
      </c>
      <c r="E1750" s="290"/>
    </row>
    <row r="1751" spans="1:5" ht="13.5">
      <c r="A1751" s="290"/>
      <c r="B1751" s="290"/>
      <c r="C1751" s="290" t="s">
        <v>26</v>
      </c>
      <c r="D1751" s="297">
        <v>25</v>
      </c>
      <c r="E1751" s="290"/>
    </row>
    <row r="1752" spans="1:5" ht="13.5">
      <c r="A1752" s="290"/>
      <c r="B1752" s="290"/>
      <c r="C1752" s="290" t="s">
        <v>27</v>
      </c>
      <c r="D1752" s="297">
        <v>45</v>
      </c>
      <c r="E1752" s="290"/>
    </row>
    <row r="1753" spans="1:5" ht="13.5">
      <c r="A1753" s="290"/>
      <c r="B1753" s="290"/>
      <c r="C1753" s="290" t="s">
        <v>28</v>
      </c>
      <c r="D1753" s="297">
        <v>48</v>
      </c>
      <c r="E1753" s="290"/>
    </row>
    <row r="1754" spans="1:5" ht="13.5">
      <c r="A1754" s="290"/>
      <c r="B1754" s="290"/>
      <c r="C1754" s="290" t="s">
        <v>29</v>
      </c>
      <c r="D1754" s="297">
        <v>56</v>
      </c>
      <c r="E1754" s="290"/>
    </row>
    <row r="1755" spans="1:5" ht="13.5">
      <c r="A1755" s="290"/>
      <c r="B1755" s="290"/>
      <c r="C1755" s="290" t="s">
        <v>30</v>
      </c>
      <c r="D1755" s="297">
        <v>35</v>
      </c>
      <c r="E1755" s="290"/>
    </row>
    <row r="1756" spans="1:5" ht="13.5">
      <c r="A1756" s="290"/>
      <c r="B1756" s="290"/>
      <c r="C1756" s="290" t="s">
        <v>31</v>
      </c>
      <c r="D1756" s="297">
        <v>39</v>
      </c>
      <c r="E1756" s="290"/>
    </row>
    <row r="1757" spans="1:5" ht="13.5">
      <c r="A1757" s="290"/>
      <c r="B1757" s="290"/>
      <c r="C1757" s="290" t="s">
        <v>32</v>
      </c>
      <c r="D1757" s="297">
        <v>32</v>
      </c>
      <c r="E1757" s="290"/>
    </row>
    <row r="1758" spans="1:5" ht="5.0999999999999996" customHeight="1">
      <c r="A1758" s="290"/>
      <c r="B1758" s="290"/>
      <c r="C1758" s="290"/>
      <c r="D1758" s="297"/>
      <c r="E1758" s="290"/>
    </row>
    <row r="1759" spans="1:5" ht="13.5">
      <c r="A1759" s="292"/>
      <c r="B1759" s="292" t="s">
        <v>106</v>
      </c>
      <c r="C1759" s="295"/>
      <c r="D1759" s="344">
        <v>503</v>
      </c>
      <c r="E1759" s="290"/>
    </row>
    <row r="1760" spans="1:5" ht="5.0999999999999996" customHeight="1">
      <c r="A1760" s="290"/>
      <c r="B1760" s="290"/>
      <c r="C1760" s="290"/>
      <c r="D1760" s="297"/>
      <c r="E1760" s="290"/>
    </row>
    <row r="1761" spans="1:5" ht="13.5">
      <c r="A1761" s="290"/>
      <c r="B1761" s="290"/>
      <c r="C1761" s="290" t="s">
        <v>21</v>
      </c>
      <c r="D1761" s="297">
        <v>27</v>
      </c>
      <c r="E1761" s="290"/>
    </row>
    <row r="1762" spans="1:5" ht="13.5">
      <c r="A1762" s="290"/>
      <c r="B1762" s="290"/>
      <c r="C1762" s="290" t="s">
        <v>22</v>
      </c>
      <c r="D1762" s="297">
        <v>39</v>
      </c>
      <c r="E1762" s="290"/>
    </row>
    <row r="1763" spans="1:5" ht="13.5">
      <c r="A1763" s="290"/>
      <c r="B1763" s="290"/>
      <c r="C1763" s="290" t="s">
        <v>23</v>
      </c>
      <c r="D1763" s="297">
        <v>36</v>
      </c>
      <c r="E1763" s="290"/>
    </row>
    <row r="1764" spans="1:5" ht="13.5">
      <c r="A1764" s="290"/>
      <c r="B1764" s="290"/>
      <c r="C1764" s="290" t="s">
        <v>24</v>
      </c>
      <c r="D1764" s="297">
        <v>66</v>
      </c>
      <c r="E1764" s="290"/>
    </row>
    <row r="1765" spans="1:5" ht="13.5">
      <c r="A1765" s="290"/>
      <c r="B1765" s="290"/>
      <c r="C1765" s="290" t="s">
        <v>25</v>
      </c>
      <c r="D1765" s="297">
        <v>55</v>
      </c>
      <c r="E1765" s="290"/>
    </row>
    <row r="1766" spans="1:5" ht="13.5">
      <c r="A1766" s="290"/>
      <c r="B1766" s="290"/>
      <c r="C1766" s="290" t="s">
        <v>26</v>
      </c>
      <c r="D1766" s="297">
        <v>25</v>
      </c>
      <c r="E1766" s="290"/>
    </row>
    <row r="1767" spans="1:5" ht="13.5">
      <c r="A1767" s="290"/>
      <c r="B1767" s="290"/>
      <c r="C1767" s="290" t="s">
        <v>27</v>
      </c>
      <c r="D1767" s="297">
        <v>45</v>
      </c>
      <c r="E1767" s="290"/>
    </row>
    <row r="1768" spans="1:5" ht="13.5">
      <c r="A1768" s="290"/>
      <c r="B1768" s="290"/>
      <c r="C1768" s="290" t="s">
        <v>28</v>
      </c>
      <c r="D1768" s="297">
        <v>48</v>
      </c>
      <c r="E1768" s="290"/>
    </row>
    <row r="1769" spans="1:5" ht="13.5">
      <c r="A1769" s="290"/>
      <c r="B1769" s="290"/>
      <c r="C1769" s="290" t="s">
        <v>29</v>
      </c>
      <c r="D1769" s="297">
        <v>56</v>
      </c>
      <c r="E1769" s="290"/>
    </row>
    <row r="1770" spans="1:5" ht="13.5">
      <c r="A1770" s="290"/>
      <c r="B1770" s="290"/>
      <c r="C1770" s="290" t="s">
        <v>30</v>
      </c>
      <c r="D1770" s="297">
        <v>35</v>
      </c>
      <c r="E1770" s="290"/>
    </row>
    <row r="1771" spans="1:5" ht="13.5">
      <c r="A1771" s="290"/>
      <c r="B1771" s="290"/>
      <c r="C1771" s="290" t="s">
        <v>31</v>
      </c>
      <c r="D1771" s="297">
        <v>39</v>
      </c>
      <c r="E1771" s="290"/>
    </row>
    <row r="1772" spans="1:5" ht="13.5">
      <c r="A1772" s="290"/>
      <c r="B1772" s="290"/>
      <c r="C1772" s="290" t="s">
        <v>32</v>
      </c>
      <c r="D1772" s="297">
        <v>32</v>
      </c>
      <c r="E1772" s="290"/>
    </row>
    <row r="1773" spans="1:5" ht="5.0999999999999996" customHeight="1">
      <c r="A1773" s="290"/>
      <c r="B1773" s="290"/>
      <c r="C1773" s="290"/>
      <c r="D1773" s="297"/>
      <c r="E1773" s="290"/>
    </row>
    <row r="1774" spans="1:5" ht="13.5">
      <c r="A1774" s="292" t="s">
        <v>107</v>
      </c>
      <c r="B1774" s="292"/>
      <c r="C1774" s="295"/>
      <c r="D1774" s="344">
        <v>2228</v>
      </c>
      <c r="E1774" s="290"/>
    </row>
    <row r="1775" spans="1:5" ht="5.0999999999999996" customHeight="1">
      <c r="A1775" s="290"/>
      <c r="B1775" s="290"/>
      <c r="C1775" s="290"/>
      <c r="D1775" s="297"/>
      <c r="E1775" s="290"/>
    </row>
    <row r="1776" spans="1:5" ht="13.5">
      <c r="A1776" s="290"/>
      <c r="B1776" s="290"/>
      <c r="C1776" s="290" t="s">
        <v>21</v>
      </c>
      <c r="D1776" s="297">
        <v>132</v>
      </c>
      <c r="E1776" s="290"/>
    </row>
    <row r="1777" spans="1:5" ht="13.5">
      <c r="A1777" s="290"/>
      <c r="B1777" s="290"/>
      <c r="C1777" s="290" t="s">
        <v>22</v>
      </c>
      <c r="D1777" s="297">
        <v>169</v>
      </c>
      <c r="E1777" s="290"/>
    </row>
    <row r="1778" spans="1:5" ht="13.5">
      <c r="A1778" s="290"/>
      <c r="B1778" s="290"/>
      <c r="C1778" s="290" t="s">
        <v>23</v>
      </c>
      <c r="D1778" s="297">
        <v>194</v>
      </c>
      <c r="E1778" s="290"/>
    </row>
    <row r="1779" spans="1:5" ht="13.5">
      <c r="A1779" s="290"/>
      <c r="B1779" s="290"/>
      <c r="C1779" s="290" t="s">
        <v>24</v>
      </c>
      <c r="D1779" s="297">
        <v>164</v>
      </c>
      <c r="E1779" s="290"/>
    </row>
    <row r="1780" spans="1:5" ht="13.5">
      <c r="A1780" s="290"/>
      <c r="B1780" s="290"/>
      <c r="C1780" s="290" t="s">
        <v>25</v>
      </c>
      <c r="D1780" s="297">
        <v>188</v>
      </c>
      <c r="E1780" s="290"/>
    </row>
    <row r="1781" spans="1:5" ht="13.5">
      <c r="A1781" s="290"/>
      <c r="B1781" s="290"/>
      <c r="C1781" s="290" t="s">
        <v>26</v>
      </c>
      <c r="D1781" s="297">
        <v>192</v>
      </c>
      <c r="E1781" s="290"/>
    </row>
    <row r="1782" spans="1:5" ht="13.5">
      <c r="A1782" s="290"/>
      <c r="B1782" s="290"/>
      <c r="C1782" s="290" t="s">
        <v>27</v>
      </c>
      <c r="D1782" s="297">
        <v>231</v>
      </c>
      <c r="E1782" s="290"/>
    </row>
    <row r="1783" spans="1:5" ht="13.5">
      <c r="A1783" s="290"/>
      <c r="B1783" s="290"/>
      <c r="C1783" s="290" t="s">
        <v>28</v>
      </c>
      <c r="D1783" s="297">
        <v>209</v>
      </c>
      <c r="E1783" s="290"/>
    </row>
    <row r="1784" spans="1:5" ht="13.5">
      <c r="A1784" s="290"/>
      <c r="B1784" s="290"/>
      <c r="C1784" s="290" t="s">
        <v>29</v>
      </c>
      <c r="D1784" s="297">
        <v>176</v>
      </c>
      <c r="E1784" s="290"/>
    </row>
    <row r="1785" spans="1:5" ht="13.5">
      <c r="A1785" s="290"/>
      <c r="B1785" s="290"/>
      <c r="C1785" s="290" t="s">
        <v>30</v>
      </c>
      <c r="D1785" s="297">
        <v>193</v>
      </c>
      <c r="E1785" s="290"/>
    </row>
    <row r="1786" spans="1:5" ht="13.5">
      <c r="A1786" s="290"/>
      <c r="B1786" s="290"/>
      <c r="C1786" s="290" t="s">
        <v>31</v>
      </c>
      <c r="D1786" s="297">
        <v>217</v>
      </c>
      <c r="E1786" s="290"/>
    </row>
    <row r="1787" spans="1:5" ht="13.5">
      <c r="A1787" s="290"/>
      <c r="B1787" s="290"/>
      <c r="C1787" s="290" t="s">
        <v>32</v>
      </c>
      <c r="D1787" s="297">
        <v>163</v>
      </c>
      <c r="E1787" s="290"/>
    </row>
    <row r="1788" spans="1:5" ht="5.0999999999999996" customHeight="1">
      <c r="A1788" s="290"/>
      <c r="B1788" s="290"/>
      <c r="C1788" s="290"/>
      <c r="D1788" s="297"/>
      <c r="E1788" s="290"/>
    </row>
    <row r="1789" spans="1:5" ht="13.5">
      <c r="A1789" s="290"/>
      <c r="B1789" s="292" t="s">
        <v>217</v>
      </c>
      <c r="C1789" s="292"/>
      <c r="D1789" s="295">
        <v>613</v>
      </c>
      <c r="E1789" s="290"/>
    </row>
    <row r="1790" spans="1:5" ht="5.0999999999999996" customHeight="1">
      <c r="A1790" s="290"/>
      <c r="B1790" s="290"/>
      <c r="C1790" s="290"/>
      <c r="D1790" s="297"/>
      <c r="E1790" s="290"/>
    </row>
    <row r="1791" spans="1:5" ht="13.5">
      <c r="A1791" s="290"/>
      <c r="B1791" s="290"/>
      <c r="C1791" s="290" t="s">
        <v>21</v>
      </c>
      <c r="D1791" s="297">
        <v>38</v>
      </c>
      <c r="E1791" s="290"/>
    </row>
    <row r="1792" spans="1:5" ht="13.5">
      <c r="A1792" s="290"/>
      <c r="B1792" s="290"/>
      <c r="C1792" s="290" t="s">
        <v>22</v>
      </c>
      <c r="D1792" s="297">
        <v>29</v>
      </c>
      <c r="E1792" s="290"/>
    </row>
    <row r="1793" spans="1:5" ht="13.5">
      <c r="A1793" s="290"/>
      <c r="B1793" s="290"/>
      <c r="C1793" s="290" t="s">
        <v>23</v>
      </c>
      <c r="D1793" s="297">
        <v>44</v>
      </c>
      <c r="E1793" s="290"/>
    </row>
    <row r="1794" spans="1:5" ht="13.5">
      <c r="A1794" s="290"/>
      <c r="B1794" s="290"/>
      <c r="C1794" s="290" t="s">
        <v>24</v>
      </c>
      <c r="D1794" s="297">
        <v>46</v>
      </c>
      <c r="E1794" s="290"/>
    </row>
    <row r="1795" spans="1:5" ht="13.5">
      <c r="A1795" s="290"/>
      <c r="B1795" s="290"/>
      <c r="C1795" s="290" t="s">
        <v>25</v>
      </c>
      <c r="D1795" s="297">
        <v>54</v>
      </c>
      <c r="E1795" s="290"/>
    </row>
    <row r="1796" spans="1:5" ht="13.5">
      <c r="A1796" s="290"/>
      <c r="B1796" s="290"/>
      <c r="C1796" s="290" t="s">
        <v>26</v>
      </c>
      <c r="D1796" s="297">
        <v>53</v>
      </c>
      <c r="E1796" s="290"/>
    </row>
    <row r="1797" spans="1:5" ht="13.5">
      <c r="A1797" s="290"/>
      <c r="B1797" s="290"/>
      <c r="C1797" s="290" t="s">
        <v>27</v>
      </c>
      <c r="D1797" s="297">
        <v>67</v>
      </c>
      <c r="E1797" s="290"/>
    </row>
    <row r="1798" spans="1:5" ht="13.5">
      <c r="A1798" s="290"/>
      <c r="B1798" s="290"/>
      <c r="C1798" s="290" t="s">
        <v>28</v>
      </c>
      <c r="D1798" s="297">
        <v>68</v>
      </c>
      <c r="E1798" s="290"/>
    </row>
    <row r="1799" spans="1:5" ht="13.5">
      <c r="A1799" s="290"/>
      <c r="B1799" s="290"/>
      <c r="C1799" s="290" t="s">
        <v>29</v>
      </c>
      <c r="D1799" s="297">
        <v>51</v>
      </c>
      <c r="E1799" s="290"/>
    </row>
    <row r="1800" spans="1:5" ht="13.5">
      <c r="A1800" s="290"/>
      <c r="B1800" s="290"/>
      <c r="C1800" s="290" t="s">
        <v>30</v>
      </c>
      <c r="D1800" s="297">
        <v>59</v>
      </c>
      <c r="E1800" s="290"/>
    </row>
    <row r="1801" spans="1:5" ht="13.5">
      <c r="A1801" s="290"/>
      <c r="B1801" s="290"/>
      <c r="C1801" s="290" t="s">
        <v>31</v>
      </c>
      <c r="D1801" s="297">
        <v>52</v>
      </c>
      <c r="E1801" s="290"/>
    </row>
    <row r="1802" spans="1:5" ht="13.5">
      <c r="A1802" s="290"/>
      <c r="B1802" s="290"/>
      <c r="C1802" s="290" t="s">
        <v>32</v>
      </c>
      <c r="D1802" s="297">
        <v>52</v>
      </c>
      <c r="E1802" s="290"/>
    </row>
    <row r="1803" spans="1:5" ht="5.0999999999999996" customHeight="1">
      <c r="A1803" s="290"/>
      <c r="B1803" s="290"/>
      <c r="C1803" s="290"/>
      <c r="D1803" s="297"/>
      <c r="E1803" s="290"/>
    </row>
    <row r="1804" spans="1:5" ht="13.5">
      <c r="A1804" s="290"/>
      <c r="B1804" s="292" t="s">
        <v>218</v>
      </c>
      <c r="C1804" s="292"/>
      <c r="D1804" s="295">
        <v>667</v>
      </c>
      <c r="E1804" s="290"/>
    </row>
    <row r="1805" spans="1:5" ht="5.0999999999999996" customHeight="1">
      <c r="A1805" s="290"/>
      <c r="B1805" s="290"/>
      <c r="C1805" s="290"/>
      <c r="D1805" s="297"/>
      <c r="E1805" s="290"/>
    </row>
    <row r="1806" spans="1:5" ht="13.5">
      <c r="A1806" s="290"/>
      <c r="B1806" s="290"/>
      <c r="C1806" s="290" t="s">
        <v>21</v>
      </c>
      <c r="D1806" s="297">
        <v>39</v>
      </c>
      <c r="E1806" s="290"/>
    </row>
    <row r="1807" spans="1:5" ht="13.5">
      <c r="A1807" s="290"/>
      <c r="B1807" s="290"/>
      <c r="C1807" s="290" t="s">
        <v>22</v>
      </c>
      <c r="D1807" s="297">
        <v>51</v>
      </c>
      <c r="E1807" s="290"/>
    </row>
    <row r="1808" spans="1:5" ht="13.5">
      <c r="A1808" s="290"/>
      <c r="B1808" s="290"/>
      <c r="C1808" s="290" t="s">
        <v>23</v>
      </c>
      <c r="D1808" s="297">
        <v>72</v>
      </c>
      <c r="E1808" s="290"/>
    </row>
    <row r="1809" spans="1:5" ht="13.5">
      <c r="A1809" s="290"/>
      <c r="B1809" s="290"/>
      <c r="C1809" s="290" t="s">
        <v>24</v>
      </c>
      <c r="D1809" s="297">
        <v>54</v>
      </c>
      <c r="E1809" s="290"/>
    </row>
    <row r="1810" spans="1:5" ht="13.5">
      <c r="A1810" s="290"/>
      <c r="B1810" s="290"/>
      <c r="C1810" s="290" t="s">
        <v>25</v>
      </c>
      <c r="D1810" s="297">
        <v>54</v>
      </c>
      <c r="E1810" s="290"/>
    </row>
    <row r="1811" spans="1:5" ht="13.5">
      <c r="A1811" s="290"/>
      <c r="B1811" s="290"/>
      <c r="C1811" s="290" t="s">
        <v>26</v>
      </c>
      <c r="D1811" s="297">
        <v>49</v>
      </c>
      <c r="E1811" s="290"/>
    </row>
    <row r="1812" spans="1:5" ht="13.5">
      <c r="A1812" s="290"/>
      <c r="B1812" s="290"/>
      <c r="C1812" s="290" t="s">
        <v>27</v>
      </c>
      <c r="D1812" s="297">
        <v>74</v>
      </c>
      <c r="E1812" s="290"/>
    </row>
    <row r="1813" spans="1:5" ht="13.5">
      <c r="A1813" s="290"/>
      <c r="B1813" s="290"/>
      <c r="C1813" s="290" t="s">
        <v>28</v>
      </c>
      <c r="D1813" s="297">
        <v>56</v>
      </c>
      <c r="E1813" s="290"/>
    </row>
    <row r="1814" spans="1:5" ht="13.5">
      <c r="A1814" s="290"/>
      <c r="B1814" s="290"/>
      <c r="C1814" s="290" t="s">
        <v>29</v>
      </c>
      <c r="D1814" s="297">
        <v>43</v>
      </c>
      <c r="E1814" s="290"/>
    </row>
    <row r="1815" spans="1:5" ht="13.5">
      <c r="A1815" s="290"/>
      <c r="B1815" s="290"/>
      <c r="C1815" s="290" t="s">
        <v>30</v>
      </c>
      <c r="D1815" s="297">
        <v>60</v>
      </c>
      <c r="E1815" s="290"/>
    </row>
    <row r="1816" spans="1:5" ht="13.5">
      <c r="A1816" s="290"/>
      <c r="B1816" s="290"/>
      <c r="C1816" s="290" t="s">
        <v>31</v>
      </c>
      <c r="D1816" s="297">
        <v>68</v>
      </c>
      <c r="E1816" s="290"/>
    </row>
    <row r="1817" spans="1:5" ht="13.5">
      <c r="A1817" s="290"/>
      <c r="B1817" s="290"/>
      <c r="C1817" s="290" t="s">
        <v>32</v>
      </c>
      <c r="D1817" s="297">
        <v>47</v>
      </c>
      <c r="E1817" s="290"/>
    </row>
    <row r="1818" spans="1:5" ht="5.0999999999999996" customHeight="1">
      <c r="A1818" s="290"/>
      <c r="B1818" s="290"/>
      <c r="C1818" s="290"/>
      <c r="D1818" s="297"/>
      <c r="E1818" s="290"/>
    </row>
    <row r="1819" spans="1:5" ht="13.5">
      <c r="A1819" s="290"/>
      <c r="B1819" s="292" t="s">
        <v>219</v>
      </c>
      <c r="C1819" s="292"/>
      <c r="D1819" s="295">
        <v>910</v>
      </c>
      <c r="E1819" s="290"/>
    </row>
    <row r="1820" spans="1:5" ht="5.0999999999999996" customHeight="1">
      <c r="A1820" s="290"/>
      <c r="B1820" s="290"/>
      <c r="C1820" s="290"/>
      <c r="D1820" s="297"/>
      <c r="E1820" s="290"/>
    </row>
    <row r="1821" spans="1:5" ht="13.5">
      <c r="A1821" s="290"/>
      <c r="B1821" s="290"/>
      <c r="C1821" s="290" t="s">
        <v>21</v>
      </c>
      <c r="D1821" s="297">
        <v>51</v>
      </c>
      <c r="E1821" s="290"/>
    </row>
    <row r="1822" spans="1:5" ht="13.5">
      <c r="A1822" s="290"/>
      <c r="B1822" s="290"/>
      <c r="C1822" s="290" t="s">
        <v>22</v>
      </c>
      <c r="D1822" s="297">
        <v>87</v>
      </c>
      <c r="E1822" s="290"/>
    </row>
    <row r="1823" spans="1:5" ht="13.5">
      <c r="A1823" s="290"/>
      <c r="B1823" s="290"/>
      <c r="C1823" s="290" t="s">
        <v>23</v>
      </c>
      <c r="D1823" s="297">
        <v>72</v>
      </c>
      <c r="E1823" s="290"/>
    </row>
    <row r="1824" spans="1:5" ht="13.5">
      <c r="A1824" s="290"/>
      <c r="B1824" s="290"/>
      <c r="C1824" s="290" t="s">
        <v>24</v>
      </c>
      <c r="D1824" s="297">
        <v>61</v>
      </c>
      <c r="E1824" s="290"/>
    </row>
    <row r="1825" spans="1:5" ht="13.5">
      <c r="A1825" s="290"/>
      <c r="B1825" s="290"/>
      <c r="C1825" s="290" t="s">
        <v>25</v>
      </c>
      <c r="D1825" s="297">
        <v>77</v>
      </c>
      <c r="E1825" s="290"/>
    </row>
    <row r="1826" spans="1:5" ht="13.5">
      <c r="A1826" s="290"/>
      <c r="B1826" s="290"/>
      <c r="C1826" s="290" t="s">
        <v>26</v>
      </c>
      <c r="D1826" s="297">
        <v>88</v>
      </c>
      <c r="E1826" s="290"/>
    </row>
    <row r="1827" spans="1:5" ht="13.5">
      <c r="A1827" s="290"/>
      <c r="B1827" s="290"/>
      <c r="C1827" s="290" t="s">
        <v>27</v>
      </c>
      <c r="D1827" s="297">
        <v>88</v>
      </c>
      <c r="E1827" s="290"/>
    </row>
    <row r="1828" spans="1:5" ht="13.5">
      <c r="A1828" s="290"/>
      <c r="B1828" s="290"/>
      <c r="C1828" s="290" t="s">
        <v>28</v>
      </c>
      <c r="D1828" s="297">
        <v>84</v>
      </c>
      <c r="E1828" s="290"/>
    </row>
    <row r="1829" spans="1:5" ht="13.5">
      <c r="A1829" s="290"/>
      <c r="B1829" s="290"/>
      <c r="C1829" s="290" t="s">
        <v>29</v>
      </c>
      <c r="D1829" s="297">
        <v>79</v>
      </c>
      <c r="E1829" s="290"/>
    </row>
    <row r="1830" spans="1:5" ht="13.5">
      <c r="A1830" s="290"/>
      <c r="B1830" s="290"/>
      <c r="C1830" s="290" t="s">
        <v>30</v>
      </c>
      <c r="D1830" s="297">
        <v>71</v>
      </c>
      <c r="E1830" s="290"/>
    </row>
    <row r="1831" spans="1:5" ht="13.5">
      <c r="A1831" s="290"/>
      <c r="B1831" s="290"/>
      <c r="C1831" s="290" t="s">
        <v>31</v>
      </c>
      <c r="D1831" s="297">
        <v>92</v>
      </c>
      <c r="E1831" s="290"/>
    </row>
    <row r="1832" spans="1:5" ht="13.5">
      <c r="A1832" s="290"/>
      <c r="B1832" s="290"/>
      <c r="C1832" s="290" t="s">
        <v>32</v>
      </c>
      <c r="D1832" s="297">
        <v>60</v>
      </c>
      <c r="E1832" s="290"/>
    </row>
    <row r="1833" spans="1:5" ht="5.0999999999999996" customHeight="1">
      <c r="A1833" s="290"/>
      <c r="B1833" s="290"/>
      <c r="C1833" s="290"/>
      <c r="D1833" s="297"/>
      <c r="E1833" s="290"/>
    </row>
    <row r="1834" spans="1:5" ht="13.5">
      <c r="A1834" s="290"/>
      <c r="B1834" s="292" t="s">
        <v>220</v>
      </c>
      <c r="C1834" s="292"/>
      <c r="D1834" s="295">
        <v>27</v>
      </c>
      <c r="E1834" s="290"/>
    </row>
    <row r="1835" spans="1:5" ht="5.0999999999999996" customHeight="1">
      <c r="A1835" s="290"/>
      <c r="B1835" s="290"/>
      <c r="C1835" s="290"/>
      <c r="D1835" s="297"/>
      <c r="E1835" s="290"/>
    </row>
    <row r="1836" spans="1:5" ht="13.5">
      <c r="A1836" s="290"/>
      <c r="B1836" s="290"/>
      <c r="C1836" s="290" t="s">
        <v>21</v>
      </c>
      <c r="D1836" s="297">
        <v>3</v>
      </c>
      <c r="E1836" s="290"/>
    </row>
    <row r="1837" spans="1:5" ht="13.5">
      <c r="A1837" s="290"/>
      <c r="B1837" s="290"/>
      <c r="C1837" s="290" t="s">
        <v>22</v>
      </c>
      <c r="D1837" s="297">
        <v>2</v>
      </c>
      <c r="E1837" s="290"/>
    </row>
    <row r="1838" spans="1:5" ht="13.5">
      <c r="A1838" s="290"/>
      <c r="B1838" s="290"/>
      <c r="C1838" s="290" t="s">
        <v>23</v>
      </c>
      <c r="D1838" s="297">
        <v>5</v>
      </c>
      <c r="E1838" s="290"/>
    </row>
    <row r="1839" spans="1:5" ht="13.5">
      <c r="A1839" s="290"/>
      <c r="B1839" s="290"/>
      <c r="C1839" s="290" t="s">
        <v>24</v>
      </c>
      <c r="D1839" s="297">
        <v>1</v>
      </c>
      <c r="E1839" s="290"/>
    </row>
    <row r="1840" spans="1:5" ht="13.5">
      <c r="A1840" s="290"/>
      <c r="B1840" s="290"/>
      <c r="C1840" s="290" t="s">
        <v>26</v>
      </c>
      <c r="D1840" s="297">
        <v>2</v>
      </c>
      <c r="E1840" s="290"/>
    </row>
    <row r="1841" spans="1:5" ht="13.5">
      <c r="A1841" s="290"/>
      <c r="B1841" s="290"/>
      <c r="C1841" s="290" t="s">
        <v>27</v>
      </c>
      <c r="D1841" s="297">
        <v>1</v>
      </c>
      <c r="E1841" s="290"/>
    </row>
    <row r="1842" spans="1:5" ht="13.5">
      <c r="A1842" s="290"/>
      <c r="B1842" s="290"/>
      <c r="C1842" s="290" t="s">
        <v>28</v>
      </c>
      <c r="D1842" s="297">
        <v>1</v>
      </c>
      <c r="E1842" s="290"/>
    </row>
    <row r="1843" spans="1:5" ht="13.5">
      <c r="A1843" s="290"/>
      <c r="B1843" s="290"/>
      <c r="C1843" s="290" t="s">
        <v>29</v>
      </c>
      <c r="D1843" s="297">
        <v>2</v>
      </c>
      <c r="E1843" s="290"/>
    </row>
    <row r="1844" spans="1:5" ht="13.5">
      <c r="A1844" s="290"/>
      <c r="B1844" s="290"/>
      <c r="C1844" s="290" t="s">
        <v>30</v>
      </c>
      <c r="D1844" s="297">
        <v>1</v>
      </c>
      <c r="E1844" s="290"/>
    </row>
    <row r="1845" spans="1:5" ht="13.5">
      <c r="A1845" s="290"/>
      <c r="B1845" s="290"/>
      <c r="C1845" s="290" t="s">
        <v>31</v>
      </c>
      <c r="D1845" s="297">
        <v>5</v>
      </c>
      <c r="E1845" s="290"/>
    </row>
    <row r="1846" spans="1:5" ht="13.5">
      <c r="A1846" s="290"/>
      <c r="B1846" s="290"/>
      <c r="C1846" s="290" t="s">
        <v>32</v>
      </c>
      <c r="D1846" s="297">
        <v>4</v>
      </c>
      <c r="E1846" s="290"/>
    </row>
    <row r="1847" spans="1:5" ht="5.0999999999999996" customHeight="1">
      <c r="A1847" s="290"/>
      <c r="B1847" s="290"/>
      <c r="C1847" s="290"/>
      <c r="D1847" s="297"/>
      <c r="E1847" s="290"/>
    </row>
    <row r="1848" spans="1:5" ht="13.5">
      <c r="A1848" s="290"/>
      <c r="B1848" s="292" t="s">
        <v>221</v>
      </c>
      <c r="C1848" s="292"/>
      <c r="D1848" s="295">
        <v>10</v>
      </c>
      <c r="E1848" s="290"/>
    </row>
    <row r="1849" spans="1:5" ht="5.0999999999999996" customHeight="1">
      <c r="A1849" s="290"/>
      <c r="B1849" s="290"/>
      <c r="C1849" s="290"/>
      <c r="D1849" s="297"/>
      <c r="E1849" s="290"/>
    </row>
    <row r="1850" spans="1:5" ht="13.5">
      <c r="A1850" s="290"/>
      <c r="B1850" s="290"/>
      <c r="C1850" s="290" t="s">
        <v>23</v>
      </c>
      <c r="D1850" s="297">
        <v>1</v>
      </c>
      <c r="E1850" s="290"/>
    </row>
    <row r="1851" spans="1:5" ht="13.5">
      <c r="A1851" s="290"/>
      <c r="B1851" s="290"/>
      <c r="C1851" s="290" t="s">
        <v>24</v>
      </c>
      <c r="D1851" s="297">
        <v>2</v>
      </c>
      <c r="E1851" s="290"/>
    </row>
    <row r="1852" spans="1:5" ht="13.5">
      <c r="A1852" s="290"/>
      <c r="B1852" s="290"/>
      <c r="C1852" s="290" t="s">
        <v>25</v>
      </c>
      <c r="D1852" s="297">
        <v>3</v>
      </c>
      <c r="E1852" s="290"/>
    </row>
    <row r="1853" spans="1:5" ht="13.5">
      <c r="A1853" s="290"/>
      <c r="B1853" s="290"/>
      <c r="C1853" s="290" t="s">
        <v>27</v>
      </c>
      <c r="D1853" s="297">
        <v>1</v>
      </c>
      <c r="E1853" s="290"/>
    </row>
    <row r="1854" spans="1:5" ht="13.5">
      <c r="A1854" s="290"/>
      <c r="B1854" s="290"/>
      <c r="C1854" s="290" t="s">
        <v>29</v>
      </c>
      <c r="D1854" s="297">
        <v>1</v>
      </c>
      <c r="E1854" s="290"/>
    </row>
    <row r="1855" spans="1:5" ht="13.5">
      <c r="A1855" s="290"/>
      <c r="B1855" s="290"/>
      <c r="C1855" s="290" t="s">
        <v>30</v>
      </c>
      <c r="D1855" s="297">
        <v>2</v>
      </c>
      <c r="E1855" s="290"/>
    </row>
    <row r="1856" spans="1:5" ht="5.0999999999999996" customHeight="1">
      <c r="A1856" s="290"/>
      <c r="B1856" s="290"/>
      <c r="C1856" s="290"/>
      <c r="D1856" s="297"/>
      <c r="E1856" s="290"/>
    </row>
    <row r="1857" spans="1:5" ht="13.5">
      <c r="A1857" s="290"/>
      <c r="B1857" s="292" t="s">
        <v>222</v>
      </c>
      <c r="C1857" s="292"/>
      <c r="D1857" s="295">
        <v>1</v>
      </c>
      <c r="E1857" s="290"/>
    </row>
    <row r="1858" spans="1:5" ht="5.0999999999999996" customHeight="1">
      <c r="A1858" s="324"/>
      <c r="B1858" s="324"/>
      <c r="C1858" s="324"/>
      <c r="D1858" s="306"/>
      <c r="E1858" s="324"/>
    </row>
    <row r="1859" spans="1:5" ht="13.5">
      <c r="A1859" s="324"/>
      <c r="B1859" s="324"/>
      <c r="C1859" s="324" t="s">
        <v>21</v>
      </c>
      <c r="D1859" s="306">
        <v>1</v>
      </c>
      <c r="E1859" s="324"/>
    </row>
    <row r="1860" spans="1:5" ht="5.0999999999999996" customHeight="1">
      <c r="A1860" s="299"/>
      <c r="B1860" s="299"/>
      <c r="C1860" s="299"/>
      <c r="D1860" s="326"/>
      <c r="E1860" s="299"/>
    </row>
    <row r="1861" spans="1:5" ht="5.0999999999999996" customHeight="1">
      <c r="A1861" s="290"/>
      <c r="B1861" s="290"/>
      <c r="C1861" s="290"/>
      <c r="D1861" s="297"/>
      <c r="E1861" s="290"/>
    </row>
    <row r="1862" spans="1:5" ht="11.25" customHeight="1">
      <c r="A1862" s="481" t="s">
        <v>71</v>
      </c>
      <c r="B1862" s="481"/>
      <c r="C1862" s="481"/>
      <c r="D1862" s="481"/>
      <c r="E1862" s="481"/>
    </row>
    <row r="1863" spans="1:5" ht="13.5">
      <c r="A1863" s="345" t="s">
        <v>231</v>
      </c>
      <c r="B1863" s="346"/>
      <c r="C1863" s="290"/>
      <c r="D1863" s="297"/>
      <c r="E1863" s="290"/>
    </row>
    <row r="1864" spans="1:5" ht="13.5">
      <c r="A1864" s="290"/>
      <c r="B1864" s="290"/>
      <c r="C1864" s="290"/>
      <c r="D1864" s="297"/>
      <c r="E1864" s="290"/>
    </row>
    <row r="1865" spans="1:5" ht="13.5">
      <c r="A1865" s="290"/>
      <c r="B1865" s="290"/>
      <c r="C1865" s="290"/>
      <c r="D1865" s="297"/>
      <c r="E1865" s="290"/>
    </row>
    <row r="1866" spans="1:5" ht="13.5">
      <c r="A1866" s="290"/>
      <c r="B1866" s="290"/>
      <c r="C1866" s="290"/>
      <c r="D1866" s="297"/>
      <c r="E1866" s="290"/>
    </row>
    <row r="1867" spans="1:5" ht="13.5">
      <c r="A1867" s="290"/>
      <c r="B1867" s="290"/>
      <c r="C1867" s="290"/>
      <c r="D1867" s="297"/>
      <c r="E1867" s="290"/>
    </row>
    <row r="1868" spans="1:5" ht="13.5">
      <c r="A1868" s="290"/>
      <c r="B1868" s="290"/>
      <c r="C1868" s="290"/>
      <c r="D1868" s="297"/>
      <c r="E1868" s="290"/>
    </row>
    <row r="1869" spans="1:5" ht="13.5">
      <c r="A1869" s="290"/>
      <c r="B1869" s="290"/>
      <c r="C1869" s="290"/>
      <c r="D1869" s="297"/>
      <c r="E1869" s="290"/>
    </row>
    <row r="1870" spans="1:5" ht="13.5">
      <c r="A1870" s="290"/>
      <c r="B1870" s="290"/>
      <c r="C1870" s="290"/>
      <c r="D1870" s="297"/>
      <c r="E1870" s="290"/>
    </row>
    <row r="1871" spans="1:5" ht="13.5">
      <c r="A1871" s="290"/>
      <c r="B1871" s="290"/>
      <c r="C1871" s="290"/>
      <c r="D1871" s="297"/>
      <c r="E1871" s="290"/>
    </row>
    <row r="1872" spans="1:5" ht="13.5">
      <c r="A1872" s="290"/>
      <c r="B1872" s="290"/>
      <c r="C1872" s="290"/>
      <c r="D1872" s="297"/>
      <c r="E1872" s="290"/>
    </row>
    <row r="1873" spans="1:5" ht="13.5">
      <c r="A1873" s="290"/>
      <c r="B1873" s="290"/>
      <c r="C1873" s="290"/>
      <c r="D1873" s="297"/>
      <c r="E1873" s="290"/>
    </row>
    <row r="1874" spans="1:5" ht="13.5">
      <c r="A1874" s="290"/>
      <c r="B1874" s="290"/>
      <c r="C1874" s="290"/>
      <c r="D1874" s="297"/>
      <c r="E1874" s="290"/>
    </row>
    <row r="1875" spans="1:5" ht="13.5">
      <c r="A1875" s="290"/>
      <c r="B1875" s="290"/>
      <c r="C1875" s="290"/>
      <c r="D1875" s="297"/>
      <c r="E1875" s="290"/>
    </row>
    <row r="1876" spans="1:5" ht="13.5">
      <c r="A1876" s="290"/>
      <c r="B1876" s="290"/>
      <c r="C1876" s="290"/>
      <c r="D1876" s="297"/>
      <c r="E1876" s="290"/>
    </row>
    <row r="1877" spans="1:5" ht="13.5">
      <c r="A1877" s="290"/>
      <c r="B1877" s="290"/>
      <c r="C1877" s="290"/>
      <c r="D1877" s="297"/>
      <c r="E1877" s="290"/>
    </row>
    <row r="1878" spans="1:5" ht="13.5">
      <c r="A1878" s="290"/>
      <c r="B1878" s="290"/>
      <c r="C1878" s="290"/>
      <c r="D1878" s="297"/>
      <c r="E1878" s="290"/>
    </row>
    <row r="1879" spans="1:5" ht="13.5">
      <c r="A1879" s="290"/>
      <c r="B1879" s="290"/>
      <c r="C1879" s="290"/>
      <c r="D1879" s="297"/>
      <c r="E1879" s="290"/>
    </row>
    <row r="1880" spans="1:5" ht="13.5">
      <c r="A1880" s="290"/>
      <c r="B1880" s="290"/>
      <c r="C1880" s="290"/>
      <c r="D1880" s="297"/>
      <c r="E1880" s="290"/>
    </row>
    <row r="1881" spans="1:5" ht="13.5">
      <c r="A1881" s="290"/>
      <c r="B1881" s="290"/>
      <c r="C1881" s="290"/>
      <c r="D1881" s="297"/>
      <c r="E1881" s="290"/>
    </row>
    <row r="1882" spans="1:5" ht="13.5">
      <c r="A1882" s="290"/>
      <c r="B1882" s="290"/>
      <c r="C1882" s="290"/>
      <c r="D1882" s="297"/>
      <c r="E1882" s="290"/>
    </row>
    <row r="1883" spans="1:5" ht="13.5">
      <c r="A1883" s="290"/>
      <c r="B1883" s="290"/>
      <c r="C1883" s="290"/>
      <c r="D1883" s="297"/>
      <c r="E1883" s="290"/>
    </row>
    <row r="1884" spans="1:5" ht="13.5">
      <c r="A1884" s="290"/>
      <c r="B1884" s="290"/>
      <c r="C1884" s="290"/>
      <c r="D1884" s="297"/>
      <c r="E1884" s="290"/>
    </row>
    <row r="1885" spans="1:5" ht="13.5">
      <c r="A1885" s="290"/>
      <c r="B1885" s="290"/>
      <c r="C1885" s="290"/>
      <c r="D1885" s="297"/>
      <c r="E1885" s="290"/>
    </row>
    <row r="1886" spans="1:5" ht="13.5">
      <c r="A1886" s="290"/>
      <c r="B1886" s="290"/>
      <c r="C1886" s="290"/>
      <c r="D1886" s="297"/>
      <c r="E1886" s="290"/>
    </row>
    <row r="1887" spans="1:5" ht="13.5">
      <c r="A1887" s="290"/>
      <c r="B1887" s="290"/>
      <c r="C1887" s="290"/>
      <c r="D1887" s="297"/>
      <c r="E1887" s="290"/>
    </row>
    <row r="1888" spans="1:5" ht="13.5">
      <c r="A1888" s="290"/>
      <c r="B1888" s="290"/>
      <c r="C1888" s="290"/>
      <c r="D1888" s="297"/>
      <c r="E1888" s="290"/>
    </row>
    <row r="1889" spans="1:5" ht="13.5">
      <c r="A1889" s="290"/>
      <c r="B1889" s="290"/>
      <c r="C1889" s="290"/>
      <c r="D1889" s="297"/>
      <c r="E1889" s="290"/>
    </row>
    <row r="1890" spans="1:5" ht="13.5">
      <c r="A1890" s="290"/>
      <c r="B1890" s="290"/>
      <c r="C1890" s="290"/>
      <c r="D1890" s="297"/>
      <c r="E1890" s="290"/>
    </row>
    <row r="1891" spans="1:5" ht="13.5">
      <c r="A1891" s="290"/>
      <c r="B1891" s="290"/>
      <c r="C1891" s="290"/>
      <c r="D1891" s="297"/>
      <c r="E1891" s="290"/>
    </row>
    <row r="1892" spans="1:5" ht="13.5">
      <c r="A1892" s="290"/>
      <c r="B1892" s="290"/>
      <c r="C1892" s="290"/>
      <c r="D1892" s="297"/>
      <c r="E1892" s="290"/>
    </row>
    <row r="1893" spans="1:5" ht="13.5">
      <c r="A1893" s="290"/>
      <c r="B1893" s="290"/>
      <c r="C1893" s="290"/>
      <c r="D1893" s="297"/>
      <c r="E1893" s="290"/>
    </row>
    <row r="1894" spans="1:5" ht="13.5">
      <c r="A1894" s="290"/>
      <c r="B1894" s="290"/>
      <c r="C1894" s="290"/>
      <c r="D1894" s="297"/>
      <c r="E1894" s="290"/>
    </row>
    <row r="1895" spans="1:5" ht="13.5">
      <c r="A1895" s="290"/>
      <c r="B1895" s="290"/>
      <c r="C1895" s="290"/>
      <c r="D1895" s="297"/>
      <c r="E1895" s="290"/>
    </row>
    <row r="1896" spans="1:5" ht="13.5">
      <c r="A1896" s="290"/>
      <c r="B1896" s="290"/>
      <c r="C1896" s="290"/>
      <c r="D1896" s="297"/>
      <c r="E1896" s="290"/>
    </row>
    <row r="1897" spans="1:5" ht="13.5">
      <c r="A1897" s="290"/>
      <c r="B1897" s="290"/>
      <c r="C1897" s="290"/>
      <c r="D1897" s="297"/>
      <c r="E1897" s="290"/>
    </row>
    <row r="1898" spans="1:5" ht="13.5">
      <c r="A1898" s="290"/>
      <c r="B1898" s="290"/>
      <c r="C1898" s="290"/>
      <c r="D1898" s="297"/>
      <c r="E1898" s="290"/>
    </row>
    <row r="1899" spans="1:5" ht="13.5">
      <c r="A1899" s="290"/>
      <c r="B1899" s="290"/>
      <c r="C1899" s="290"/>
      <c r="D1899" s="297"/>
      <c r="E1899" s="290"/>
    </row>
    <row r="1900" spans="1:5" ht="13.5">
      <c r="A1900" s="290"/>
      <c r="B1900" s="290"/>
      <c r="C1900" s="290"/>
      <c r="D1900" s="297"/>
      <c r="E1900" s="290"/>
    </row>
    <row r="1901" spans="1:5" ht="13.5">
      <c r="A1901" s="290"/>
      <c r="B1901" s="290"/>
      <c r="C1901" s="290"/>
      <c r="D1901" s="297"/>
      <c r="E1901" s="290"/>
    </row>
    <row r="1902" spans="1:5" ht="13.5">
      <c r="A1902" s="290"/>
      <c r="B1902" s="290"/>
      <c r="C1902" s="290"/>
      <c r="D1902" s="297"/>
      <c r="E1902" s="290"/>
    </row>
    <row r="1903" spans="1:5" ht="13.5">
      <c r="A1903" s="290"/>
      <c r="B1903" s="290"/>
      <c r="C1903" s="290"/>
      <c r="D1903" s="297"/>
      <c r="E1903" s="290"/>
    </row>
    <row r="1904" spans="1:5" ht="13.5">
      <c r="A1904" s="290"/>
      <c r="B1904" s="290"/>
      <c r="C1904" s="290"/>
      <c r="D1904" s="297"/>
      <c r="E1904" s="290"/>
    </row>
    <row r="1905" spans="1:5" ht="13.5">
      <c r="A1905" s="290"/>
      <c r="B1905" s="290"/>
      <c r="C1905" s="290"/>
      <c r="D1905" s="297"/>
      <c r="E1905" s="290"/>
    </row>
    <row r="1906" spans="1:5" ht="13.5">
      <c r="A1906" s="290"/>
      <c r="B1906" s="290"/>
      <c r="C1906" s="290"/>
      <c r="D1906" s="297"/>
      <c r="E1906" s="290"/>
    </row>
    <row r="1907" spans="1:5" ht="13.5">
      <c r="A1907" s="290"/>
      <c r="B1907" s="290"/>
      <c r="C1907" s="290"/>
      <c r="D1907" s="297"/>
      <c r="E1907" s="290"/>
    </row>
    <row r="1908" spans="1:5" ht="13.5">
      <c r="A1908" s="290"/>
      <c r="B1908" s="290"/>
      <c r="C1908" s="290"/>
      <c r="D1908" s="297"/>
      <c r="E1908" s="290"/>
    </row>
    <row r="1909" spans="1:5" ht="13.5">
      <c r="A1909" s="290"/>
      <c r="B1909" s="290"/>
      <c r="C1909" s="290"/>
      <c r="D1909" s="297"/>
      <c r="E1909" s="290"/>
    </row>
    <row r="1910" spans="1:5" ht="13.5">
      <c r="A1910" s="290"/>
      <c r="B1910" s="290"/>
      <c r="C1910" s="290"/>
      <c r="D1910" s="297"/>
      <c r="E1910" s="290"/>
    </row>
    <row r="1911" spans="1:5" ht="13.5">
      <c r="A1911" s="290"/>
      <c r="B1911" s="290"/>
      <c r="C1911" s="290"/>
      <c r="D1911" s="297"/>
      <c r="E1911" s="290"/>
    </row>
    <row r="1912" spans="1:5" ht="13.5">
      <c r="A1912" s="290"/>
      <c r="B1912" s="290"/>
      <c r="C1912" s="290"/>
      <c r="D1912" s="297"/>
      <c r="E1912" s="290"/>
    </row>
    <row r="1913" spans="1:5" ht="13.5">
      <c r="A1913" s="290"/>
      <c r="B1913" s="290"/>
      <c r="C1913" s="290"/>
      <c r="D1913" s="297"/>
      <c r="E1913" s="290"/>
    </row>
    <row r="1914" spans="1:5" ht="13.5">
      <c r="A1914" s="290"/>
      <c r="B1914" s="290"/>
      <c r="C1914" s="290"/>
      <c r="D1914" s="297"/>
      <c r="E1914" s="290"/>
    </row>
    <row r="1915" spans="1:5" ht="13.5">
      <c r="A1915" s="290"/>
      <c r="B1915" s="290"/>
      <c r="C1915" s="290"/>
      <c r="D1915" s="297"/>
      <c r="E1915" s="290"/>
    </row>
    <row r="1916" spans="1:5" ht="13.5">
      <c r="A1916" s="290"/>
      <c r="B1916" s="290"/>
      <c r="C1916" s="290"/>
      <c r="D1916" s="297"/>
      <c r="E1916" s="290"/>
    </row>
    <row r="1917" spans="1:5" ht="13.5">
      <c r="A1917" s="290"/>
      <c r="B1917" s="290"/>
      <c r="C1917" s="290"/>
      <c r="D1917" s="297"/>
      <c r="E1917" s="290"/>
    </row>
    <row r="1918" spans="1:5" ht="13.5">
      <c r="A1918" s="290"/>
      <c r="B1918" s="290"/>
      <c r="C1918" s="290"/>
      <c r="D1918" s="297"/>
      <c r="E1918" s="290"/>
    </row>
    <row r="1919" spans="1:5" ht="13.5">
      <c r="A1919" s="290"/>
      <c r="B1919" s="290"/>
      <c r="C1919" s="290"/>
      <c r="D1919" s="297"/>
      <c r="E1919" s="290"/>
    </row>
    <row r="1920" spans="1:5" ht="13.5">
      <c r="A1920" s="290"/>
      <c r="B1920" s="290"/>
      <c r="C1920" s="290"/>
      <c r="D1920" s="297"/>
      <c r="E1920" s="290"/>
    </row>
    <row r="1921" spans="1:5" ht="13.5">
      <c r="A1921" s="290"/>
      <c r="B1921" s="290"/>
      <c r="C1921" s="290"/>
      <c r="D1921" s="297"/>
      <c r="E1921" s="290"/>
    </row>
    <row r="1922" spans="1:5" ht="13.5">
      <c r="A1922" s="290"/>
      <c r="B1922" s="290"/>
      <c r="C1922" s="290"/>
      <c r="D1922" s="297"/>
      <c r="E1922" s="290"/>
    </row>
    <row r="1923" spans="1:5" ht="13.5">
      <c r="A1923" s="290"/>
      <c r="B1923" s="290"/>
      <c r="C1923" s="290"/>
      <c r="D1923" s="297"/>
      <c r="E1923" s="290"/>
    </row>
    <row r="1924" spans="1:5" ht="13.5">
      <c r="A1924" s="290"/>
      <c r="B1924" s="290"/>
      <c r="C1924" s="290"/>
      <c r="D1924" s="297"/>
      <c r="E1924" s="290"/>
    </row>
    <row r="1925" spans="1:5" ht="13.5">
      <c r="A1925" s="290"/>
      <c r="B1925" s="290"/>
      <c r="C1925" s="290"/>
      <c r="D1925" s="297"/>
      <c r="E1925" s="290"/>
    </row>
    <row r="1926" spans="1:5" ht="13.5">
      <c r="A1926" s="290"/>
      <c r="B1926" s="290"/>
      <c r="C1926" s="290"/>
      <c r="D1926" s="297"/>
      <c r="E1926" s="290"/>
    </row>
    <row r="1927" spans="1:5" ht="13.5">
      <c r="A1927" s="290"/>
      <c r="B1927" s="290"/>
      <c r="C1927" s="290"/>
      <c r="D1927" s="297"/>
      <c r="E1927" s="290"/>
    </row>
    <row r="1928" spans="1:5" ht="13.5">
      <c r="A1928" s="290"/>
      <c r="B1928" s="290"/>
      <c r="C1928" s="290"/>
      <c r="D1928" s="297"/>
      <c r="E1928" s="290"/>
    </row>
    <row r="1929" spans="1:5" ht="13.5">
      <c r="A1929" s="290"/>
      <c r="B1929" s="290"/>
      <c r="C1929" s="290"/>
      <c r="D1929" s="297"/>
      <c r="E1929" s="290"/>
    </row>
    <row r="1930" spans="1:5" ht="13.5">
      <c r="A1930" s="290"/>
      <c r="B1930" s="290"/>
      <c r="C1930" s="290"/>
      <c r="D1930" s="297"/>
      <c r="E1930" s="290"/>
    </row>
    <row r="1931" spans="1:5" ht="13.5">
      <c r="A1931" s="290"/>
      <c r="B1931" s="290"/>
      <c r="C1931" s="290"/>
      <c r="D1931" s="297"/>
      <c r="E1931" s="290"/>
    </row>
    <row r="1932" spans="1:5" ht="13.5">
      <c r="A1932" s="290"/>
      <c r="B1932" s="290"/>
      <c r="C1932" s="290"/>
      <c r="D1932" s="297"/>
      <c r="E1932" s="290"/>
    </row>
    <row r="1933" spans="1:5" ht="13.5">
      <c r="A1933" s="290"/>
      <c r="B1933" s="290"/>
      <c r="C1933" s="290"/>
      <c r="D1933" s="297"/>
      <c r="E1933" s="290"/>
    </row>
    <row r="1934" spans="1:5" ht="13.5">
      <c r="A1934" s="290"/>
      <c r="B1934" s="290"/>
      <c r="C1934" s="290"/>
      <c r="D1934" s="297"/>
      <c r="E1934" s="290"/>
    </row>
    <row r="1935" spans="1:5" ht="13.5">
      <c r="A1935" s="290"/>
      <c r="B1935" s="290"/>
      <c r="C1935" s="290"/>
      <c r="D1935" s="297"/>
      <c r="E1935" s="290"/>
    </row>
    <row r="1936" spans="1:5" ht="13.5">
      <c r="A1936" s="290"/>
      <c r="B1936" s="290"/>
      <c r="C1936" s="290"/>
      <c r="D1936" s="297"/>
      <c r="E1936" s="290"/>
    </row>
    <row r="1937" spans="1:5" ht="13.5">
      <c r="A1937" s="290"/>
      <c r="B1937" s="290"/>
      <c r="C1937" s="290"/>
      <c r="D1937" s="297"/>
      <c r="E1937" s="290"/>
    </row>
    <row r="1938" spans="1:5" ht="13.5">
      <c r="A1938" s="290"/>
      <c r="B1938" s="290"/>
      <c r="C1938" s="290"/>
      <c r="D1938" s="297"/>
      <c r="E1938" s="290"/>
    </row>
    <row r="1939" spans="1:5" ht="13.5">
      <c r="A1939" s="290"/>
      <c r="B1939" s="290"/>
      <c r="C1939" s="290"/>
      <c r="D1939" s="297"/>
      <c r="E1939" s="290"/>
    </row>
    <row r="1940" spans="1:5" ht="13.5">
      <c r="A1940" s="290"/>
      <c r="B1940" s="290"/>
      <c r="C1940" s="290"/>
      <c r="D1940" s="297"/>
      <c r="E1940" s="290"/>
    </row>
    <row r="1941" spans="1:5" ht="13.5">
      <c r="A1941" s="290"/>
      <c r="B1941" s="290"/>
      <c r="C1941" s="290"/>
      <c r="D1941" s="297"/>
      <c r="E1941" s="290"/>
    </row>
    <row r="1942" spans="1:5" ht="13.5">
      <c r="A1942" s="290"/>
      <c r="B1942" s="290"/>
      <c r="C1942" s="290"/>
      <c r="D1942" s="297"/>
      <c r="E1942" s="290"/>
    </row>
    <row r="1943" spans="1:5" ht="13.5">
      <c r="A1943" s="290"/>
      <c r="B1943" s="290"/>
      <c r="C1943" s="290"/>
      <c r="D1943" s="297"/>
      <c r="E1943" s="290"/>
    </row>
    <row r="1944" spans="1:5" ht="13.5">
      <c r="A1944" s="290"/>
      <c r="B1944" s="290"/>
      <c r="C1944" s="290"/>
      <c r="D1944" s="297"/>
      <c r="E1944" s="290"/>
    </row>
    <row r="1945" spans="1:5" ht="13.5">
      <c r="A1945" s="290"/>
      <c r="B1945" s="290"/>
      <c r="C1945" s="290"/>
      <c r="D1945" s="297"/>
      <c r="E1945" s="290"/>
    </row>
    <row r="1946" spans="1:5" ht="13.5">
      <c r="A1946" s="290"/>
      <c r="B1946" s="290"/>
      <c r="C1946" s="290"/>
      <c r="D1946" s="297"/>
      <c r="E1946" s="290"/>
    </row>
    <row r="1947" spans="1:5" ht="13.5">
      <c r="A1947" s="290"/>
      <c r="B1947" s="290"/>
      <c r="C1947" s="290"/>
      <c r="D1947" s="297"/>
      <c r="E1947" s="290"/>
    </row>
    <row r="1948" spans="1:5" ht="13.5">
      <c r="A1948" s="290"/>
      <c r="B1948" s="290"/>
      <c r="C1948" s="290"/>
      <c r="D1948" s="297"/>
      <c r="E1948" s="290"/>
    </row>
    <row r="1949" spans="1:5" ht="13.5">
      <c r="A1949" s="290"/>
      <c r="B1949" s="290"/>
      <c r="C1949" s="290"/>
      <c r="D1949" s="297"/>
      <c r="E1949" s="290"/>
    </row>
    <row r="1950" spans="1:5" ht="13.5">
      <c r="A1950" s="290"/>
      <c r="B1950" s="290"/>
      <c r="C1950" s="290"/>
      <c r="D1950" s="297"/>
      <c r="E1950" s="290"/>
    </row>
    <row r="1951" spans="1:5" ht="13.5">
      <c r="A1951" s="290"/>
      <c r="B1951" s="290"/>
      <c r="C1951" s="290"/>
      <c r="D1951" s="297"/>
      <c r="E1951" s="290"/>
    </row>
    <row r="1952" spans="1:5" ht="13.5">
      <c r="A1952" s="290"/>
      <c r="B1952" s="290"/>
      <c r="C1952" s="290"/>
      <c r="D1952" s="297"/>
      <c r="E1952" s="290"/>
    </row>
    <row r="1953" spans="1:5" ht="13.5">
      <c r="A1953" s="290"/>
      <c r="B1953" s="290"/>
      <c r="C1953" s="290"/>
      <c r="D1953" s="297"/>
      <c r="E1953" s="290"/>
    </row>
    <row r="1954" spans="1:5" ht="13.5">
      <c r="A1954" s="290"/>
      <c r="B1954" s="290"/>
      <c r="C1954" s="290"/>
      <c r="D1954" s="297"/>
      <c r="E1954" s="290"/>
    </row>
    <row r="1955" spans="1:5" ht="13.5">
      <c r="A1955" s="290"/>
      <c r="B1955" s="290"/>
      <c r="C1955" s="290"/>
      <c r="D1955" s="297"/>
      <c r="E1955" s="290"/>
    </row>
    <row r="1956" spans="1:5" ht="13.5">
      <c r="A1956" s="290"/>
      <c r="B1956" s="290"/>
      <c r="C1956" s="290"/>
      <c r="D1956" s="297"/>
      <c r="E1956" s="290"/>
    </row>
    <row r="1957" spans="1:5" ht="13.5">
      <c r="A1957" s="290"/>
      <c r="B1957" s="290"/>
      <c r="C1957" s="290"/>
      <c r="D1957" s="297"/>
      <c r="E1957" s="290"/>
    </row>
    <row r="1958" spans="1:5" ht="13.5">
      <c r="A1958" s="290"/>
      <c r="B1958" s="290"/>
      <c r="C1958" s="290"/>
      <c r="D1958" s="297"/>
      <c r="E1958" s="290"/>
    </row>
    <row r="1959" spans="1:5" ht="13.5">
      <c r="A1959" s="290"/>
      <c r="B1959" s="290"/>
      <c r="C1959" s="290"/>
      <c r="D1959" s="297"/>
      <c r="E1959" s="290"/>
    </row>
    <row r="1960" spans="1:5" ht="13.5">
      <c r="A1960" s="290"/>
      <c r="B1960" s="290"/>
      <c r="C1960" s="290"/>
      <c r="D1960" s="297"/>
      <c r="E1960" s="290"/>
    </row>
    <row r="1961" spans="1:5" ht="13.5">
      <c r="A1961" s="290"/>
      <c r="B1961" s="290"/>
      <c r="C1961" s="290"/>
      <c r="D1961" s="297"/>
      <c r="E1961" s="290"/>
    </row>
    <row r="1962" spans="1:5" ht="13.5">
      <c r="A1962" s="290"/>
      <c r="B1962" s="290"/>
      <c r="C1962" s="290"/>
      <c r="D1962" s="297"/>
      <c r="E1962" s="290"/>
    </row>
    <row r="1963" spans="1:5" ht="13.5">
      <c r="A1963" s="290"/>
      <c r="B1963" s="290"/>
      <c r="C1963" s="290"/>
      <c r="D1963" s="297"/>
      <c r="E1963" s="290"/>
    </row>
    <row r="1964" spans="1:5" ht="13.5">
      <c r="A1964" s="290"/>
      <c r="B1964" s="290"/>
      <c r="C1964" s="290"/>
      <c r="D1964" s="297"/>
      <c r="E1964" s="290"/>
    </row>
    <row r="1965" spans="1:5" ht="13.5">
      <c r="A1965" s="290"/>
      <c r="B1965" s="290"/>
      <c r="C1965" s="290"/>
      <c r="D1965" s="297"/>
      <c r="E1965" s="290"/>
    </row>
    <row r="1966" spans="1:5" ht="13.5">
      <c r="A1966" s="290"/>
      <c r="B1966" s="290"/>
      <c r="C1966" s="290"/>
      <c r="D1966" s="297"/>
      <c r="E1966" s="290"/>
    </row>
    <row r="1967" spans="1:5" ht="13.5">
      <c r="A1967" s="290"/>
      <c r="B1967" s="290"/>
      <c r="C1967" s="290"/>
      <c r="D1967" s="297"/>
      <c r="E1967" s="290"/>
    </row>
    <row r="1968" spans="1:5" ht="13.5">
      <c r="A1968" s="290"/>
      <c r="B1968" s="290"/>
      <c r="C1968" s="290"/>
      <c r="D1968" s="297"/>
      <c r="E1968" s="290"/>
    </row>
    <row r="1969" spans="1:5" ht="13.5">
      <c r="A1969" s="290"/>
      <c r="B1969" s="290"/>
      <c r="C1969" s="290"/>
      <c r="D1969" s="297"/>
      <c r="E1969" s="290"/>
    </row>
    <row r="1970" spans="1:5" ht="13.5">
      <c r="A1970" s="290"/>
      <c r="B1970" s="290"/>
      <c r="C1970" s="290"/>
      <c r="D1970" s="297"/>
      <c r="E1970" s="290"/>
    </row>
    <row r="1971" spans="1:5" ht="13.5">
      <c r="A1971" s="290"/>
      <c r="B1971" s="290"/>
      <c r="C1971" s="290"/>
      <c r="D1971" s="297"/>
      <c r="E1971" s="290"/>
    </row>
    <row r="1972" spans="1:5" ht="13.5">
      <c r="A1972" s="290"/>
      <c r="B1972" s="290"/>
      <c r="C1972" s="290"/>
      <c r="D1972" s="297"/>
      <c r="E1972" s="290"/>
    </row>
    <row r="1973" spans="1:5" ht="13.5">
      <c r="A1973" s="290"/>
      <c r="B1973" s="290"/>
      <c r="C1973" s="290"/>
      <c r="D1973" s="297"/>
      <c r="E1973" s="290"/>
    </row>
    <row r="1974" spans="1:5" ht="13.5">
      <c r="A1974" s="290"/>
      <c r="B1974" s="290"/>
      <c r="C1974" s="290"/>
      <c r="D1974" s="297"/>
      <c r="E1974" s="290"/>
    </row>
    <row r="1975" spans="1:5" ht="13.5">
      <c r="A1975" s="290"/>
      <c r="B1975" s="290"/>
      <c r="C1975" s="290"/>
      <c r="D1975" s="297"/>
      <c r="E1975" s="290"/>
    </row>
    <row r="1976" spans="1:5" ht="13.5">
      <c r="A1976" s="290"/>
      <c r="B1976" s="290"/>
      <c r="C1976" s="290"/>
      <c r="D1976" s="297"/>
      <c r="E1976" s="290"/>
    </row>
    <row r="1977" spans="1:5" ht="13.5">
      <c r="A1977" s="290"/>
      <c r="B1977" s="290"/>
      <c r="C1977" s="290"/>
      <c r="D1977" s="297"/>
      <c r="E1977" s="290"/>
    </row>
    <row r="1978" spans="1:5" ht="13.5">
      <c r="A1978" s="290"/>
      <c r="B1978" s="290"/>
      <c r="C1978" s="290"/>
      <c r="D1978" s="297"/>
      <c r="E1978" s="290"/>
    </row>
    <row r="1979" spans="1:5" ht="13.5">
      <c r="A1979" s="290"/>
      <c r="B1979" s="290"/>
      <c r="C1979" s="290"/>
      <c r="D1979" s="297"/>
      <c r="E1979" s="290"/>
    </row>
    <row r="1980" spans="1:5" ht="13.5">
      <c r="A1980" s="290"/>
      <c r="B1980" s="290"/>
      <c r="C1980" s="290"/>
      <c r="D1980" s="297"/>
      <c r="E1980" s="290"/>
    </row>
    <row r="1981" spans="1:5" ht="13.5">
      <c r="A1981" s="290"/>
      <c r="B1981" s="290"/>
      <c r="C1981" s="290"/>
      <c r="D1981" s="297"/>
      <c r="E1981" s="290"/>
    </row>
    <row r="1982" spans="1:5" ht="13.5">
      <c r="A1982" s="290"/>
      <c r="B1982" s="290"/>
      <c r="C1982" s="290"/>
      <c r="D1982" s="297"/>
      <c r="E1982" s="290"/>
    </row>
    <row r="1983" spans="1:5" ht="13.5">
      <c r="A1983" s="290"/>
      <c r="B1983" s="290"/>
      <c r="C1983" s="290"/>
      <c r="D1983" s="297"/>
      <c r="E1983" s="290"/>
    </row>
    <row r="1984" spans="1:5" ht="13.5">
      <c r="A1984" s="290"/>
      <c r="B1984" s="290"/>
      <c r="C1984" s="290"/>
      <c r="D1984" s="297"/>
      <c r="E1984" s="290"/>
    </row>
    <row r="1985" spans="1:5" ht="13.5">
      <c r="A1985" s="290"/>
      <c r="B1985" s="290"/>
      <c r="C1985" s="290"/>
      <c r="D1985" s="297"/>
      <c r="E1985" s="290"/>
    </row>
    <row r="1986" spans="1:5" ht="13.5">
      <c r="A1986" s="290"/>
      <c r="B1986" s="290"/>
      <c r="C1986" s="290"/>
      <c r="D1986" s="297"/>
      <c r="E1986" s="290"/>
    </row>
    <row r="1987" spans="1:5" ht="13.5">
      <c r="A1987" s="290"/>
      <c r="B1987" s="290"/>
      <c r="C1987" s="290"/>
      <c r="D1987" s="297"/>
      <c r="E1987" s="290"/>
    </row>
    <row r="1988" spans="1:5" ht="13.5">
      <c r="A1988" s="290"/>
      <c r="B1988" s="290"/>
      <c r="C1988" s="290"/>
      <c r="D1988" s="297"/>
      <c r="E1988" s="290"/>
    </row>
    <row r="1989" spans="1:5" ht="13.5">
      <c r="A1989" s="290"/>
      <c r="B1989" s="290"/>
      <c r="C1989" s="290"/>
      <c r="D1989" s="297"/>
      <c r="E1989" s="290"/>
    </row>
    <row r="1990" spans="1:5" ht="13.5">
      <c r="A1990" s="290"/>
      <c r="B1990" s="290"/>
      <c r="C1990" s="290"/>
      <c r="D1990" s="297"/>
      <c r="E1990" s="290"/>
    </row>
    <row r="1991" spans="1:5" ht="13.5">
      <c r="A1991" s="290"/>
      <c r="B1991" s="290"/>
      <c r="C1991" s="290"/>
      <c r="D1991" s="297"/>
      <c r="E1991" s="290"/>
    </row>
    <row r="1992" spans="1:5" ht="13.5">
      <c r="A1992" s="290"/>
      <c r="B1992" s="290"/>
      <c r="C1992" s="290"/>
      <c r="D1992" s="297"/>
      <c r="E1992" s="290"/>
    </row>
    <row r="1993" spans="1:5" ht="13.5">
      <c r="A1993" s="290"/>
      <c r="B1993" s="290"/>
      <c r="C1993" s="290"/>
      <c r="D1993" s="297"/>
      <c r="E1993" s="290"/>
    </row>
    <row r="1994" spans="1:5" ht="13.5">
      <c r="A1994" s="290"/>
      <c r="B1994" s="290"/>
      <c r="C1994" s="290"/>
      <c r="D1994" s="297"/>
      <c r="E1994" s="290"/>
    </row>
    <row r="1995" spans="1:5" ht="13.5">
      <c r="A1995" s="290"/>
      <c r="B1995" s="290"/>
      <c r="C1995" s="290"/>
      <c r="D1995" s="297"/>
      <c r="E1995" s="290"/>
    </row>
    <row r="1996" spans="1:5" ht="13.5">
      <c r="A1996" s="290"/>
      <c r="B1996" s="290"/>
      <c r="C1996" s="290"/>
      <c r="D1996" s="297"/>
      <c r="E1996" s="290"/>
    </row>
    <row r="1997" spans="1:5" ht="13.5">
      <c r="A1997" s="290"/>
      <c r="B1997" s="290"/>
      <c r="C1997" s="290"/>
      <c r="D1997" s="297"/>
      <c r="E1997" s="290"/>
    </row>
    <row r="1998" spans="1:5" ht="13.5">
      <c r="A1998" s="290"/>
      <c r="B1998" s="290"/>
      <c r="C1998" s="290"/>
      <c r="D1998" s="297"/>
      <c r="E1998" s="290"/>
    </row>
    <row r="1999" spans="1:5" ht="13.5">
      <c r="A1999" s="290"/>
      <c r="B1999" s="290"/>
      <c r="C1999" s="290"/>
      <c r="D1999" s="297"/>
      <c r="E1999" s="290"/>
    </row>
    <row r="2000" spans="1:5" ht="13.5">
      <c r="A2000" s="290"/>
      <c r="B2000" s="290"/>
      <c r="C2000" s="290"/>
      <c r="D2000" s="297"/>
      <c r="E2000" s="290"/>
    </row>
    <row r="2001" spans="1:5" ht="13.5">
      <c r="A2001" s="290"/>
      <c r="B2001" s="290"/>
      <c r="C2001" s="290"/>
      <c r="D2001" s="297"/>
      <c r="E2001" s="290"/>
    </row>
    <row r="2002" spans="1:5" ht="13.5">
      <c r="A2002" s="290"/>
      <c r="B2002" s="290"/>
      <c r="C2002" s="290"/>
      <c r="D2002" s="297"/>
      <c r="E2002" s="290"/>
    </row>
    <row r="2003" spans="1:5" ht="13.5">
      <c r="A2003" s="290"/>
      <c r="B2003" s="290"/>
      <c r="C2003" s="290"/>
      <c r="D2003" s="297"/>
      <c r="E2003" s="290"/>
    </row>
    <row r="2004" spans="1:5" ht="13.5">
      <c r="A2004" s="290"/>
      <c r="B2004" s="290"/>
      <c r="C2004" s="290"/>
      <c r="D2004" s="297"/>
      <c r="E2004" s="290"/>
    </row>
    <row r="2005" spans="1:5" ht="13.5">
      <c r="A2005" s="290"/>
      <c r="B2005" s="290"/>
      <c r="C2005" s="290"/>
      <c r="D2005" s="297"/>
      <c r="E2005" s="290"/>
    </row>
    <row r="2006" spans="1:5" ht="13.5">
      <c r="A2006" s="290"/>
      <c r="B2006" s="290"/>
      <c r="C2006" s="290"/>
      <c r="D2006" s="297"/>
      <c r="E2006" s="290"/>
    </row>
    <row r="2007" spans="1:5" ht="13.5">
      <c r="A2007" s="290"/>
      <c r="B2007" s="290"/>
      <c r="C2007" s="290"/>
      <c r="D2007" s="297"/>
      <c r="E2007" s="290"/>
    </row>
    <row r="2008" spans="1:5" ht="13.5">
      <c r="A2008" s="290"/>
      <c r="B2008" s="290"/>
      <c r="C2008" s="290"/>
      <c r="D2008" s="297"/>
      <c r="E2008" s="290"/>
    </row>
    <row r="2009" spans="1:5" ht="13.5">
      <c r="A2009" s="290"/>
      <c r="B2009" s="290"/>
      <c r="C2009" s="290"/>
      <c r="D2009" s="297"/>
      <c r="E2009" s="290"/>
    </row>
    <row r="2010" spans="1:5" ht="13.5">
      <c r="A2010" s="290"/>
      <c r="B2010" s="290"/>
      <c r="C2010" s="290"/>
      <c r="D2010" s="297"/>
      <c r="E2010" s="290"/>
    </row>
    <row r="2011" spans="1:5" ht="13.5">
      <c r="A2011" s="290"/>
      <c r="B2011" s="290"/>
      <c r="C2011" s="290"/>
      <c r="D2011" s="297"/>
      <c r="E2011" s="290"/>
    </row>
    <row r="2012" spans="1:5" ht="13.5">
      <c r="A2012" s="290"/>
      <c r="B2012" s="290"/>
      <c r="C2012" s="290"/>
      <c r="D2012" s="297"/>
      <c r="E2012" s="290"/>
    </row>
    <row r="2013" spans="1:5" ht="13.5">
      <c r="A2013" s="290"/>
      <c r="B2013" s="290"/>
      <c r="C2013" s="290"/>
      <c r="D2013" s="297"/>
      <c r="E2013" s="290"/>
    </row>
    <row r="2014" spans="1:5" ht="13.5">
      <c r="A2014" s="290"/>
      <c r="B2014" s="290"/>
      <c r="C2014" s="290"/>
      <c r="D2014" s="297"/>
      <c r="E2014" s="290"/>
    </row>
    <row r="2015" spans="1:5" ht="13.5">
      <c r="A2015" s="290"/>
      <c r="B2015" s="290"/>
      <c r="C2015" s="290"/>
      <c r="D2015" s="297"/>
      <c r="E2015" s="290"/>
    </row>
    <row r="2016" spans="1:5" ht="13.5">
      <c r="A2016" s="290"/>
      <c r="B2016" s="290"/>
      <c r="C2016" s="290"/>
      <c r="D2016" s="297"/>
      <c r="E2016" s="290"/>
    </row>
    <row r="2017" spans="1:5" ht="13.5">
      <c r="A2017" s="290"/>
      <c r="B2017" s="290"/>
      <c r="C2017" s="290"/>
      <c r="D2017" s="297"/>
      <c r="E2017" s="290"/>
    </row>
    <row r="2018" spans="1:5" ht="13.5">
      <c r="A2018" s="290"/>
      <c r="B2018" s="290"/>
      <c r="C2018" s="290"/>
      <c r="D2018" s="297"/>
      <c r="E2018" s="290"/>
    </row>
    <row r="2019" spans="1:5" ht="13.5">
      <c r="A2019" s="290"/>
      <c r="B2019" s="290"/>
      <c r="C2019" s="290"/>
      <c r="D2019" s="297"/>
      <c r="E2019" s="290"/>
    </row>
    <row r="2020" spans="1:5" ht="13.5">
      <c r="A2020" s="290"/>
      <c r="B2020" s="290"/>
      <c r="C2020" s="290"/>
      <c r="D2020" s="297"/>
      <c r="E2020" s="290"/>
    </row>
    <row r="2021" spans="1:5" ht="13.5">
      <c r="A2021" s="290"/>
      <c r="B2021" s="290"/>
      <c r="C2021" s="290"/>
      <c r="D2021" s="297"/>
      <c r="E2021" s="290"/>
    </row>
    <row r="2022" spans="1:5" ht="13.5">
      <c r="A2022" s="290"/>
      <c r="B2022" s="290"/>
      <c r="C2022" s="290"/>
      <c r="D2022" s="297"/>
      <c r="E2022" s="290"/>
    </row>
    <row r="2023" spans="1:5" ht="13.5">
      <c r="A2023" s="290"/>
      <c r="B2023" s="290"/>
      <c r="C2023" s="290"/>
      <c r="D2023" s="297"/>
      <c r="E2023" s="290"/>
    </row>
    <row r="2024" spans="1:5" ht="13.5">
      <c r="A2024" s="290"/>
      <c r="B2024" s="290"/>
      <c r="C2024" s="290"/>
      <c r="D2024" s="297"/>
      <c r="E2024" s="290"/>
    </row>
    <row r="2025" spans="1:5" ht="13.5">
      <c r="A2025" s="290"/>
      <c r="B2025" s="290"/>
      <c r="C2025" s="290"/>
      <c r="D2025" s="297"/>
      <c r="E2025" s="290"/>
    </row>
    <row r="2026" spans="1:5" ht="13.5">
      <c r="A2026" s="290"/>
      <c r="B2026" s="290"/>
      <c r="C2026" s="290"/>
      <c r="D2026" s="297"/>
      <c r="E2026" s="290"/>
    </row>
    <row r="2027" spans="1:5" ht="13.5">
      <c r="A2027" s="290"/>
      <c r="B2027" s="290"/>
      <c r="C2027" s="290"/>
      <c r="D2027" s="297"/>
      <c r="E2027" s="290"/>
    </row>
    <row r="2028" spans="1:5" ht="13.5">
      <c r="A2028" s="290"/>
      <c r="B2028" s="290"/>
      <c r="C2028" s="290"/>
      <c r="D2028" s="297"/>
      <c r="E2028" s="290"/>
    </row>
    <row r="2029" spans="1:5" ht="13.5">
      <c r="A2029" s="290"/>
      <c r="B2029" s="290"/>
      <c r="C2029" s="290"/>
      <c r="D2029" s="297"/>
      <c r="E2029" s="290"/>
    </row>
    <row r="2030" spans="1:5" ht="13.5">
      <c r="A2030" s="290"/>
      <c r="B2030" s="290"/>
      <c r="C2030" s="290"/>
      <c r="D2030" s="297"/>
      <c r="E2030" s="290"/>
    </row>
    <row r="2031" spans="1:5" ht="13.5">
      <c r="A2031" s="290"/>
      <c r="B2031" s="290"/>
      <c r="C2031" s="290"/>
      <c r="D2031" s="297"/>
      <c r="E2031" s="290"/>
    </row>
    <row r="2032" spans="1:5" ht="13.5">
      <c r="A2032" s="290"/>
      <c r="B2032" s="290"/>
      <c r="C2032" s="290"/>
      <c r="D2032" s="297"/>
      <c r="E2032" s="290"/>
    </row>
    <row r="2033" spans="1:5" ht="13.5">
      <c r="A2033" s="290"/>
      <c r="B2033" s="290"/>
      <c r="C2033" s="290"/>
      <c r="D2033" s="297"/>
      <c r="E2033" s="290"/>
    </row>
    <row r="2034" spans="1:5" ht="13.5">
      <c r="A2034" s="290"/>
      <c r="B2034" s="290"/>
      <c r="C2034" s="290"/>
      <c r="D2034" s="297"/>
      <c r="E2034" s="290"/>
    </row>
    <row r="2035" spans="1:5" ht="13.5">
      <c r="A2035" s="290"/>
      <c r="B2035" s="290"/>
      <c r="C2035" s="290"/>
      <c r="D2035" s="297"/>
      <c r="E2035" s="290"/>
    </row>
    <row r="2036" spans="1:5" ht="13.5">
      <c r="A2036" s="290"/>
      <c r="B2036" s="290"/>
      <c r="C2036" s="290"/>
      <c r="D2036" s="297"/>
      <c r="E2036" s="290"/>
    </row>
    <row r="2037" spans="1:5" ht="13.5">
      <c r="A2037" s="290"/>
      <c r="B2037" s="290"/>
      <c r="C2037" s="290"/>
      <c r="D2037" s="297"/>
      <c r="E2037" s="290"/>
    </row>
    <row r="2038" spans="1:5" ht="13.5">
      <c r="A2038" s="290"/>
      <c r="B2038" s="290"/>
      <c r="C2038" s="290"/>
      <c r="D2038" s="297"/>
      <c r="E2038" s="290"/>
    </row>
    <row r="2039" spans="1:5" ht="13.5">
      <c r="A2039" s="290"/>
      <c r="B2039" s="290"/>
      <c r="C2039" s="290"/>
      <c r="D2039" s="297"/>
      <c r="E2039" s="290"/>
    </row>
    <row r="2040" spans="1:5" ht="13.5">
      <c r="A2040" s="290"/>
      <c r="B2040" s="290"/>
      <c r="C2040" s="290"/>
      <c r="D2040" s="297"/>
      <c r="E2040" s="290"/>
    </row>
    <row r="2041" spans="1:5" ht="13.5">
      <c r="A2041" s="290"/>
      <c r="B2041" s="290"/>
      <c r="C2041" s="290"/>
      <c r="D2041" s="297"/>
      <c r="E2041" s="290"/>
    </row>
    <row r="2042" spans="1:5" ht="13.5">
      <c r="A2042" s="290"/>
      <c r="B2042" s="290"/>
      <c r="C2042" s="290"/>
      <c r="D2042" s="297"/>
      <c r="E2042" s="290"/>
    </row>
    <row r="2043" spans="1:5" ht="13.5">
      <c r="A2043" s="290"/>
      <c r="B2043" s="290"/>
      <c r="C2043" s="290"/>
      <c r="D2043" s="297"/>
      <c r="E2043" s="290"/>
    </row>
    <row r="2044" spans="1:5" ht="13.5">
      <c r="A2044" s="290"/>
      <c r="B2044" s="290"/>
      <c r="C2044" s="290"/>
      <c r="D2044" s="297"/>
      <c r="E2044" s="290"/>
    </row>
    <row r="2045" spans="1:5" ht="13.5">
      <c r="A2045" s="290"/>
      <c r="B2045" s="290"/>
      <c r="C2045" s="290"/>
      <c r="D2045" s="297"/>
      <c r="E2045" s="290"/>
    </row>
    <row r="2046" spans="1:5" ht="13.5">
      <c r="A2046" s="290"/>
      <c r="B2046" s="290"/>
      <c r="C2046" s="290"/>
      <c r="D2046" s="297"/>
      <c r="E2046" s="290"/>
    </row>
    <row r="2047" spans="1:5" ht="13.5">
      <c r="A2047" s="290"/>
      <c r="B2047" s="290"/>
      <c r="C2047" s="290"/>
      <c r="D2047" s="297"/>
      <c r="E2047" s="290"/>
    </row>
    <row r="2048" spans="1:5" ht="13.5">
      <c r="A2048" s="290"/>
      <c r="B2048" s="290"/>
      <c r="C2048" s="290"/>
      <c r="D2048" s="297"/>
      <c r="E2048" s="290"/>
    </row>
    <row r="2049" spans="1:5" ht="13.5">
      <c r="A2049" s="290"/>
      <c r="B2049" s="290"/>
      <c r="C2049" s="290"/>
      <c r="D2049" s="297"/>
      <c r="E2049" s="290"/>
    </row>
    <row r="2050" spans="1:5" ht="13.5">
      <c r="A2050" s="290"/>
      <c r="B2050" s="290"/>
      <c r="C2050" s="290"/>
      <c r="D2050" s="297"/>
      <c r="E2050" s="290"/>
    </row>
    <row r="2051" spans="1:5" ht="13.5">
      <c r="A2051" s="290"/>
      <c r="B2051" s="290"/>
      <c r="C2051" s="290"/>
      <c r="D2051" s="297"/>
      <c r="E2051" s="290"/>
    </row>
    <row r="2052" spans="1:5" ht="13.5">
      <c r="A2052" s="290"/>
      <c r="B2052" s="290"/>
      <c r="C2052" s="290"/>
      <c r="D2052" s="297"/>
      <c r="E2052" s="290"/>
    </row>
    <row r="2053" spans="1:5" ht="13.5">
      <c r="A2053" s="290"/>
      <c r="B2053" s="290"/>
      <c r="C2053" s="290"/>
      <c r="D2053" s="297"/>
      <c r="E2053" s="290"/>
    </row>
    <row r="2054" spans="1:5" ht="13.5">
      <c r="A2054" s="290"/>
      <c r="B2054" s="290"/>
      <c r="C2054" s="290"/>
      <c r="D2054" s="297"/>
      <c r="E2054" s="290"/>
    </row>
    <row r="2055" spans="1:5">
      <c r="D2055" s="319"/>
    </row>
    <row r="2056" spans="1:5">
      <c r="D2056" s="319"/>
    </row>
    <row r="2057" spans="1:5">
      <c r="D2057" s="319"/>
    </row>
    <row r="2058" spans="1:5">
      <c r="D2058" s="319"/>
    </row>
    <row r="2059" spans="1:5">
      <c r="D2059" s="319"/>
    </row>
    <row r="2060" spans="1:5">
      <c r="D2060" s="319"/>
    </row>
    <row r="2061" spans="1:5">
      <c r="D2061" s="319"/>
    </row>
    <row r="2062" spans="1:5">
      <c r="D2062" s="319"/>
    </row>
    <row r="2063" spans="1:5">
      <c r="D2063" s="319"/>
    </row>
    <row r="2064" spans="1:5">
      <c r="D2064" s="319"/>
    </row>
    <row r="2065" spans="4:4">
      <c r="D2065" s="319"/>
    </row>
    <row r="2066" spans="4:4">
      <c r="D2066" s="319"/>
    </row>
    <row r="2067" spans="4:4">
      <c r="D2067" s="319"/>
    </row>
    <row r="2068" spans="4:4">
      <c r="D2068" s="319"/>
    </row>
    <row r="2069" spans="4:4">
      <c r="D2069" s="319"/>
    </row>
    <row r="2070" spans="4:4">
      <c r="D2070" s="319"/>
    </row>
    <row r="2071" spans="4:4">
      <c r="D2071" s="319"/>
    </row>
    <row r="2072" spans="4:4">
      <c r="D2072" s="319"/>
    </row>
    <row r="2073" spans="4:4">
      <c r="D2073" s="319"/>
    </row>
    <row r="2074" spans="4:4">
      <c r="D2074" s="319"/>
    </row>
    <row r="2075" spans="4:4">
      <c r="D2075" s="319"/>
    </row>
    <row r="2076" spans="4:4">
      <c r="D2076" s="319"/>
    </row>
    <row r="2077" spans="4:4">
      <c r="D2077" s="319"/>
    </row>
    <row r="2078" spans="4:4">
      <c r="D2078" s="319"/>
    </row>
    <row r="2079" spans="4:4">
      <c r="D2079" s="319"/>
    </row>
    <row r="2080" spans="4:4">
      <c r="D2080" s="319"/>
    </row>
    <row r="2081" spans="4:4">
      <c r="D2081" s="319"/>
    </row>
    <row r="2082" spans="4:4">
      <c r="D2082" s="319"/>
    </row>
    <row r="2083" spans="4:4">
      <c r="D2083" s="319"/>
    </row>
    <row r="2084" spans="4:4">
      <c r="D2084" s="319"/>
    </row>
    <row r="2085" spans="4:4">
      <c r="D2085" s="319"/>
    </row>
    <row r="2086" spans="4:4">
      <c r="D2086" s="319"/>
    </row>
    <row r="2087" spans="4:4">
      <c r="D2087" s="319"/>
    </row>
    <row r="2088" spans="4:4">
      <c r="D2088" s="319"/>
    </row>
  </sheetData>
  <mergeCells count="5">
    <mergeCell ref="A6:C6"/>
    <mergeCell ref="A1862:E1862"/>
    <mergeCell ref="A2:D2"/>
    <mergeCell ref="A3:D3"/>
    <mergeCell ref="A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48</vt:i4>
      </vt:variant>
      <vt:variant>
        <vt:lpstr>Rangos con nombre</vt:lpstr>
      </vt:variant>
      <vt:variant>
        <vt:i4>37</vt:i4>
      </vt:variant>
    </vt:vector>
  </HeadingPairs>
  <TitlesOfParts>
    <vt:vector size="85" baseType="lpstr">
      <vt:lpstr>Indice</vt:lpstr>
      <vt:lpstr>Cuadros de nacimiento</vt:lpstr>
      <vt:lpstr>1.1</vt:lpstr>
      <vt:lpstr>1.2</vt:lpstr>
      <vt:lpstr>1.3</vt:lpstr>
      <vt:lpstr>1.4</vt:lpstr>
      <vt:lpstr>1.5</vt:lpstr>
      <vt:lpstr>1.6</vt:lpstr>
      <vt:lpstr>1,7</vt:lpstr>
      <vt:lpstr>1.8</vt:lpstr>
      <vt:lpstr>1.9</vt:lpstr>
      <vt:lpstr>1.10</vt:lpstr>
      <vt:lpstr>1.11</vt:lpstr>
      <vt:lpstr>1.12</vt:lpstr>
      <vt:lpstr>1.13</vt:lpstr>
      <vt:lpstr>1.14</vt:lpstr>
      <vt:lpstr>1.15</vt:lpstr>
      <vt:lpstr>1.16</vt:lpstr>
      <vt:lpstr>Cuadros de defunciones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  <vt:lpstr>Cuadros de matrimonios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Cuadros de divorcios</vt:lpstr>
      <vt:lpstr>4.1</vt:lpstr>
      <vt:lpstr>4.2</vt:lpstr>
      <vt:lpstr>4.3</vt:lpstr>
      <vt:lpstr>4.4</vt:lpstr>
      <vt:lpstr>4.5</vt:lpstr>
      <vt:lpstr>4.6</vt:lpstr>
      <vt:lpstr>4.7</vt:lpstr>
      <vt:lpstr>4.8</vt:lpstr>
      <vt:lpstr>'1.1'!Área_de_impresión</vt:lpstr>
      <vt:lpstr>'1.10'!Área_de_impresión</vt:lpstr>
      <vt:lpstr>'1.12'!Área_de_impresión</vt:lpstr>
      <vt:lpstr>'1.13'!Área_de_impresión</vt:lpstr>
      <vt:lpstr>'1.14'!Área_de_impresión</vt:lpstr>
      <vt:lpstr>'1.15'!Área_de_impresión</vt:lpstr>
      <vt:lpstr>'1.16'!Área_de_impresión</vt:lpstr>
      <vt:lpstr>'1.2'!Área_de_impresión</vt:lpstr>
      <vt:lpstr>'1.3'!Área_de_impresión</vt:lpstr>
      <vt:lpstr>'1.4'!Área_de_impresión</vt:lpstr>
      <vt:lpstr>'1.5'!Área_de_impresión</vt:lpstr>
      <vt:lpstr>'1.6'!Área_de_impresión</vt:lpstr>
      <vt:lpstr>'1.8'!Área_de_impresión</vt:lpstr>
      <vt:lpstr>'1.9'!Área_de_impresión</vt:lpstr>
      <vt:lpstr>'2.1'!Área_de_impresión</vt:lpstr>
      <vt:lpstr>'2.3'!Área_de_impresión</vt:lpstr>
      <vt:lpstr>'3.1'!Área_de_impresión</vt:lpstr>
      <vt:lpstr>'3.2'!Área_de_impresión</vt:lpstr>
      <vt:lpstr>'3.3'!Área_de_impresión</vt:lpstr>
      <vt:lpstr>'3.4'!Área_de_impresión</vt:lpstr>
      <vt:lpstr>'3.5'!Área_de_impresión</vt:lpstr>
      <vt:lpstr>'3.6'!Área_de_impresión</vt:lpstr>
      <vt:lpstr>'3.8'!Área_de_impresión</vt:lpstr>
      <vt:lpstr>'4.1'!Área_de_impresión</vt:lpstr>
      <vt:lpstr>'4.2'!Área_de_impresión</vt:lpstr>
      <vt:lpstr>'4.4'!Área_de_impresión</vt:lpstr>
      <vt:lpstr>'4.5'!Área_de_impresión</vt:lpstr>
      <vt:lpstr>'Cuadros de defunciones'!Área_de_impresión</vt:lpstr>
      <vt:lpstr>'Cuadros de divorcios'!Área_de_impresión</vt:lpstr>
      <vt:lpstr>'Cuadros de matrimonios'!Área_de_impresión</vt:lpstr>
      <vt:lpstr>'Cuadros de nacimiento'!Área_de_impresión</vt:lpstr>
      <vt:lpstr>Indice!Área_de_impresión</vt:lpstr>
      <vt:lpstr>'1.10'!Títulos_a_imprimir</vt:lpstr>
      <vt:lpstr>'1.12'!Títulos_a_imprimir</vt:lpstr>
      <vt:lpstr>'1.15'!Títulos_a_imprimir</vt:lpstr>
      <vt:lpstr>'3.6'!Títulos_a_imprimir</vt:lpstr>
      <vt:lpstr>'Cuadros de nacimiento'!Títulos_a_imprimir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PAlvarez</dc:creator>
  <cp:lastModifiedBy>raysa.hernandez</cp:lastModifiedBy>
  <cp:lastPrinted>2010-11-18T15:09:48Z</cp:lastPrinted>
  <dcterms:created xsi:type="dcterms:W3CDTF">2009-05-08T15:47:55Z</dcterms:created>
  <dcterms:modified xsi:type="dcterms:W3CDTF">2012-01-04T19:08:05Z</dcterms:modified>
</cp:coreProperties>
</file>