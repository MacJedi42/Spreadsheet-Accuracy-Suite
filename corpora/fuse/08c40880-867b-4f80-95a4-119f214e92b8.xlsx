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30" yWindow="525" windowWidth="17940" windowHeight="7365"/>
  </bookViews>
  <sheets>
    <sheet name="GSA Forecast" sheetId="1" r:id="rId1"/>
    <sheet name="FY14 Leases" sheetId="4" r:id="rId2"/>
    <sheet name="GSA Schedules" sheetId="5" r:id="rId3"/>
    <sheet name="Forecast Legend" sheetId="3" r:id="rId4"/>
  </sheets>
  <externalReferences>
    <externalReference r:id="rId5"/>
    <externalReference r:id="rId6"/>
    <externalReference r:id="rId7"/>
  </externalReferences>
  <definedNames>
    <definedName name="_xlnm._FilterDatabase" localSheetId="1" hidden="1">'FY14 Leases'!$A$6:$P$121</definedName>
    <definedName name="_xlnm._FilterDatabase" localSheetId="0" hidden="1">'GSA Forecast'!$A$105:$AA$1081</definedName>
    <definedName name="NamedRange1">'GSA Forecast'!$A$384:$AA$385</definedName>
  </definedNames>
  <calcPr calcId="125725"/>
</workbook>
</file>

<file path=xl/calcChain.xml><?xml version="1.0" encoding="utf-8"?>
<calcChain xmlns="http://schemas.openxmlformats.org/spreadsheetml/2006/main">
  <c r="M1082" i="1"/>
  <c r="V1061" l="1"/>
  <c r="V1060"/>
  <c r="V1059"/>
  <c r="A77" i="3"/>
  <c r="A57"/>
  <c r="A54"/>
  <c r="A50"/>
  <c r="A48"/>
  <c r="A11"/>
  <c r="V995" i="1"/>
  <c r="V994"/>
  <c r="V993"/>
  <c r="V992"/>
  <c r="V991"/>
  <c r="V990"/>
  <c r="V989"/>
  <c r="V988"/>
  <c r="V987"/>
  <c r="V986"/>
  <c r="V984"/>
  <c r="V983"/>
  <c r="V982"/>
  <c r="V981"/>
  <c r="V980"/>
  <c r="V979"/>
  <c r="V978"/>
  <c r="V977"/>
  <c r="V976"/>
  <c r="V975"/>
  <c r="V974"/>
  <c r="V973"/>
  <c r="V972"/>
  <c r="V971"/>
  <c r="V970"/>
  <c r="V969"/>
  <c r="V779"/>
  <c r="V778"/>
  <c r="V777"/>
  <c r="V776"/>
  <c r="V775"/>
  <c r="V774"/>
  <c r="V773"/>
  <c r="V772"/>
  <c r="V771"/>
  <c r="V770"/>
  <c r="V769"/>
  <c r="V768"/>
  <c r="V767"/>
  <c r="V766"/>
  <c r="V765"/>
  <c r="V764"/>
  <c r="V763"/>
  <c r="V762"/>
  <c r="V761"/>
  <c r="V760"/>
  <c r="V759"/>
  <c r="V758"/>
  <c r="V757"/>
  <c r="V756"/>
  <c r="V755"/>
  <c r="V754"/>
  <c r="V753"/>
  <c r="V752"/>
  <c r="N727"/>
  <c r="E727"/>
  <c r="N726"/>
  <c r="N725"/>
  <c r="N724"/>
  <c r="N1082" s="1"/>
  <c r="V381"/>
  <c r="H21"/>
  <c r="Z724"/>
  <c r="Z725" s="1"/>
  <c r="Z726" s="1"/>
  <c r="Z727" s="1"/>
  <c r="F725"/>
</calcChain>
</file>

<file path=xl/sharedStrings.xml><?xml version="1.0" encoding="utf-8"?>
<sst xmlns="http://schemas.openxmlformats.org/spreadsheetml/2006/main" count="20987" uniqueCount="3478">
  <si>
    <t>GSA
Organization</t>
  </si>
  <si>
    <t>Region</t>
  </si>
  <si>
    <t>Award Status</t>
  </si>
  <si>
    <t>Product or Service Description</t>
  </si>
  <si>
    <t>Procurement Classification Code</t>
  </si>
  <si>
    <t>Place of Performance
(City)</t>
  </si>
  <si>
    <t>Place of Performance
(State)</t>
  </si>
  <si>
    <t>Primary NAICS Code</t>
  </si>
  <si>
    <t>Socioeconomic Category</t>
  </si>
  <si>
    <t>Contract Type</t>
  </si>
  <si>
    <t>Acquisition Strategy</t>
  </si>
  <si>
    <t>Socioeconomic and Acquisition Strategy Rationale</t>
  </si>
  <si>
    <t>Estimated Contract Value
(Minimum)</t>
  </si>
  <si>
    <t>Estimated Contract Value
(Maximum)</t>
  </si>
  <si>
    <t>Is procurement under $25K?</t>
  </si>
  <si>
    <t>Incumbent Contractor Name
(if applicable)</t>
  </si>
  <si>
    <t>New Requirement
or Exercise of Option</t>
  </si>
  <si>
    <t>Quarter
(for initial procurement)</t>
  </si>
  <si>
    <t>Fiscal Year</t>
  </si>
  <si>
    <t>Point of Contact
(Name)</t>
  </si>
  <si>
    <t>Point of Contact
(Phone Number)</t>
  </si>
  <si>
    <t>Point of Contact
(Email Address)</t>
  </si>
  <si>
    <t>OSBU Small Business Technical Advisor (SBTA)</t>
  </si>
  <si>
    <t>Estimated Solicitation Date</t>
  </si>
  <si>
    <t>Target Award Date</t>
  </si>
  <si>
    <t>Ultimate Contract End Date</t>
  </si>
  <si>
    <t>Additional Information</t>
  </si>
  <si>
    <t>CBCA-Civilian Board of Contract Appeals</t>
  </si>
  <si>
    <t>R4-Southeast Sunbelt Region</t>
  </si>
  <si>
    <t>Drafting Solicitation</t>
  </si>
  <si>
    <t>D-Information technology services, including telecommunications services</t>
  </si>
  <si>
    <t>AZ</t>
  </si>
  <si>
    <t>Small Disadvantaged Business</t>
  </si>
  <si>
    <t>VA Federal Supply Schedule</t>
  </si>
  <si>
    <t>IDIQ</t>
  </si>
  <si>
    <t>4th Quarter</t>
  </si>
  <si>
    <t>Janice Bracey, 212-264-1235 janice.bracey@gsa.gov</t>
  </si>
  <si>
    <t>CFO-Chief Financial Officer</t>
  </si>
  <si>
    <t>R5-Great Lakes Region</t>
  </si>
  <si>
    <t>Planning</t>
  </si>
  <si>
    <t>E-Purchase of structures &amp; facilities</t>
  </si>
  <si>
    <t>AR</t>
  </si>
  <si>
    <t>Woman-Owned Small Business</t>
  </si>
  <si>
    <t>Basic Ordering Agreement</t>
  </si>
  <si>
    <t>Negotiated</t>
  </si>
  <si>
    <t>Not Determined</t>
  </si>
  <si>
    <t>Mari McNally, 215-446-4934, mari.mcnally@gsa.gov</t>
  </si>
  <si>
    <t>CIA-Congressional &amp; Intergovernmental Affairs</t>
  </si>
  <si>
    <t>R6-The Heartland Region</t>
  </si>
  <si>
    <t>F-Natural resrouces &amp; conservation services</t>
  </si>
  <si>
    <t>CA</t>
  </si>
  <si>
    <t>HUBZone Small Business</t>
  </si>
  <si>
    <t>Blanket Purchase Agreement-BPA</t>
  </si>
  <si>
    <t>Sealed Bid</t>
  </si>
  <si>
    <t>Millie Quinley, 404-331-1053, millie.quinley@gsa.gov</t>
  </si>
  <si>
    <t>CIO-Office of the Chief Information Officer</t>
  </si>
  <si>
    <t>R7-Greater Southwest Region</t>
  </si>
  <si>
    <t>G-Social services</t>
  </si>
  <si>
    <t>CO</t>
  </si>
  <si>
    <t>Service Disabled Veteran-owned Small Business</t>
  </si>
  <si>
    <t>Multi-Agency Contract</t>
  </si>
  <si>
    <t>GSA Schedule</t>
  </si>
  <si>
    <t>Stephanie Wilson-Coleman, 312-886-8194, stephanie.wilson-coleman@gsa.gov</t>
  </si>
  <si>
    <t>CPO-Office of the Chief People Officer</t>
  </si>
  <si>
    <t>R8-Rocky Mountain Region</t>
  </si>
  <si>
    <t>H-Quality control, testing &amp; inspection services</t>
  </si>
  <si>
    <t>CT</t>
  </si>
  <si>
    <t>Other Than Small</t>
  </si>
  <si>
    <t>BPA Call</t>
  </si>
  <si>
    <t>Set-Aside</t>
  </si>
  <si>
    <t>Lee Tittle, 816-926-7016, lee.tittle@gsa.gov</t>
  </si>
  <si>
    <t>FAS-Federal Acquisition Service</t>
  </si>
  <si>
    <t>R2-Northeast and Caribbean Region</t>
  </si>
  <si>
    <t>Cancelled</t>
  </si>
  <si>
    <t>B-Special studies and analysis - not R&amp;D</t>
  </si>
  <si>
    <t>AK</t>
  </si>
  <si>
    <t>Section 8(a)</t>
  </si>
  <si>
    <t>Indefinite Delivery Contract-IDC</t>
  </si>
  <si>
    <t>Full and Open</t>
  </si>
  <si>
    <t>No</t>
  </si>
  <si>
    <t>2nd Quarter</t>
  </si>
  <si>
    <t>Kevin Pope, 202-501-0246, kevin.pope@gsa.gov</t>
  </si>
  <si>
    <t>IAD-Internal Acquisition Division</t>
  </si>
  <si>
    <t>T-Photographic, mapping, printing &amp; publication services</t>
  </si>
  <si>
    <t>IN</t>
  </si>
  <si>
    <t>Cost Plus Award Fee</t>
  </si>
  <si>
    <t>OAS-Office of Administrative Services</t>
  </si>
  <si>
    <t>R9-Pacific Rim Region</t>
  </si>
  <si>
    <t>J-Maintenance, repair &amp; rebuilding of equipment</t>
  </si>
  <si>
    <t>DE</t>
  </si>
  <si>
    <t>Purchase Order</t>
  </si>
  <si>
    <t>To Be Determined (TBD)</t>
  </si>
  <si>
    <t>Albert Garza, 817-978-2828, albert.garza@gsa.gov</t>
  </si>
  <si>
    <t>OCAO-Office of the Chief Acquisition Officer</t>
  </si>
  <si>
    <t>R3-Mid-Atlantic Region</t>
  </si>
  <si>
    <t>Solicitation Issued</t>
  </si>
  <si>
    <t>C-Architect and engineering services</t>
  </si>
  <si>
    <t>AS</t>
  </si>
  <si>
    <t>Small Business</t>
  </si>
  <si>
    <t>A/E Procedures</t>
  </si>
  <si>
    <t>3rd Quarter</t>
  </si>
  <si>
    <t>Jerry Smith, 617-565-8102, jerry.smith@gsa.gov</t>
  </si>
  <si>
    <t>OCM-Office of Communications and Marketing</t>
  </si>
  <si>
    <t>NCR-National Capital Region</t>
  </si>
  <si>
    <t>L-Technical representative services</t>
  </si>
  <si>
    <t>FM</t>
  </si>
  <si>
    <t>Definitive Contract</t>
  </si>
  <si>
    <t>Pamela Smith-Cressel, 213-894-3210, pam.smith-cressel@gsa.gov</t>
  </si>
  <si>
    <t>OCR-Office of Civil Rights</t>
  </si>
  <si>
    <t>R10-Northwest Arctic Region</t>
  </si>
  <si>
    <t>K-Modification of equipment</t>
  </si>
  <si>
    <t>DC</t>
  </si>
  <si>
    <t>Delivery Order</t>
  </si>
  <si>
    <t>Partial Small Business Set-Aside</t>
  </si>
  <si>
    <t>Pennie Estrada, 303-236-7409, pennie.estrada@gsa.gov</t>
  </si>
  <si>
    <t>OCSIT-Office of Citizen Services and Innovative Technologies</t>
  </si>
  <si>
    <t>Central Office</t>
  </si>
  <si>
    <t>M-Operation of Government-owned facilities</t>
  </si>
  <si>
    <t>FL</t>
  </si>
  <si>
    <t>Fixed Price Redetermination</t>
  </si>
  <si>
    <t>Kenyon Taylor, 253-931-7956, kenyon.taylor@gsa.gov</t>
  </si>
  <si>
    <t>OERR-Office of Emergency Response and Recovery</t>
  </si>
  <si>
    <t>N-Installation of equipment</t>
  </si>
  <si>
    <t>GA</t>
  </si>
  <si>
    <t>Fixed Price Level of Effort</t>
  </si>
  <si>
    <t>Judith Stackhouse, 202-708-5804, judith.stackhouse@gsa.gov</t>
  </si>
  <si>
    <t>OGC-Office of General Counsel</t>
  </si>
  <si>
    <t>P-Salvage services</t>
  </si>
  <si>
    <t>GU</t>
  </si>
  <si>
    <t>Firm Fixed Price</t>
  </si>
  <si>
    <t>OGP-Office of Government-wide Policy</t>
  </si>
  <si>
    <t>Q-Medical services</t>
  </si>
  <si>
    <t>HI</t>
  </si>
  <si>
    <t>Fixed Price with Economic Price Adjustment</t>
  </si>
  <si>
    <t>OIG-Office of Inspector General</t>
  </si>
  <si>
    <t>R-Professional, administrative, and management support services</t>
  </si>
  <si>
    <t>ID</t>
  </si>
  <si>
    <t>Fixed Price Incentive</t>
  </si>
  <si>
    <t>OSBU-Office of Small Business Utilization</t>
  </si>
  <si>
    <t>S-Utilities and housekeeping services</t>
  </si>
  <si>
    <t>IL</t>
  </si>
  <si>
    <t>Fixed Price Award Fee</t>
  </si>
  <si>
    <t>PBS-Public Buildings Service</t>
  </si>
  <si>
    <t>R1-New England Region</t>
  </si>
  <si>
    <t>Awarded</t>
  </si>
  <si>
    <t>A-Research &amp; Development</t>
  </si>
  <si>
    <t>AL</t>
  </si>
  <si>
    <t>Government-wide Agency Contract-GWAC</t>
  </si>
  <si>
    <t>Sole Source</t>
  </si>
  <si>
    <t>Yes</t>
  </si>
  <si>
    <t>1st Quarter</t>
  </si>
  <si>
    <t>Dewayne Carter, 703-605-2587, dewayne.carter@gsa.gov</t>
  </si>
  <si>
    <t>U-Education &amp; training services</t>
  </si>
  <si>
    <t>IA</t>
  </si>
  <si>
    <t>Cost No Fee</t>
  </si>
  <si>
    <t>W-Lease or Rental of equipment</t>
  </si>
  <si>
    <t>KS</t>
  </si>
  <si>
    <t>Cost Sharing</t>
  </si>
  <si>
    <t>X-Lease or rental of facilities</t>
  </si>
  <si>
    <t>KY</t>
  </si>
  <si>
    <t>Cost Plus Fixed Fee</t>
  </si>
  <si>
    <t>Y-Construction of structures and facilities</t>
  </si>
  <si>
    <t>LA</t>
  </si>
  <si>
    <t>Cost Plus Incentive Fee</t>
  </si>
  <si>
    <t>Z-Maintenance, repair, and alteration of real property</t>
  </si>
  <si>
    <t>ME</t>
  </si>
  <si>
    <t>Time and Materials</t>
  </si>
  <si>
    <t>10-Weapons</t>
  </si>
  <si>
    <t>MH</t>
  </si>
  <si>
    <t>Labor Hours</t>
  </si>
  <si>
    <t>11-Nuclear ordnance</t>
  </si>
  <si>
    <t>MD</t>
  </si>
  <si>
    <t>Order Dependent</t>
  </si>
  <si>
    <t>12-Fire control equipment</t>
  </si>
  <si>
    <t>MA</t>
  </si>
  <si>
    <t>Ability One</t>
  </si>
  <si>
    <t>13-Ammunition &amp; explosives</t>
  </si>
  <si>
    <t>MI</t>
  </si>
  <si>
    <t>14-Guided missiles</t>
  </si>
  <si>
    <t>MN</t>
  </si>
  <si>
    <t>15-Aircraft &amp; airframe  structural components</t>
  </si>
  <si>
    <t>MS</t>
  </si>
  <si>
    <t>16-Aircraft components &amp; accessories</t>
  </si>
  <si>
    <t>MO</t>
  </si>
  <si>
    <t>17-Aircraft launching, landing &amp; ground handling equipment</t>
  </si>
  <si>
    <t>MT</t>
  </si>
  <si>
    <t>18-Space vehicles</t>
  </si>
  <si>
    <t>NE</t>
  </si>
  <si>
    <t>19-Ships, small craft, pontoons &amp; floating docks</t>
  </si>
  <si>
    <t>NV</t>
  </si>
  <si>
    <t>20-Ship and marine equipment</t>
  </si>
  <si>
    <t>NH</t>
  </si>
  <si>
    <t>22-Railway equipment</t>
  </si>
  <si>
    <t>NJ</t>
  </si>
  <si>
    <t>23-Ground effects vehicles, motor vehicles, trailers &amp; cycles</t>
  </si>
  <si>
    <t>NM</t>
  </si>
  <si>
    <t>24-Tractors</t>
  </si>
  <si>
    <t>NY</t>
  </si>
  <si>
    <t>25-Vehicular equipment components</t>
  </si>
  <si>
    <t>NC</t>
  </si>
  <si>
    <t>26-Tires and tubes</t>
  </si>
  <si>
    <t>ND</t>
  </si>
  <si>
    <t>28-Engines, turbines &amp; components</t>
  </si>
  <si>
    <t>MP</t>
  </si>
  <si>
    <t>29-Engine accessories</t>
  </si>
  <si>
    <t>OH</t>
  </si>
  <si>
    <t>30-Mechanical power transmission equipment</t>
  </si>
  <si>
    <t>OK</t>
  </si>
  <si>
    <t>31-Bearings</t>
  </si>
  <si>
    <t>OR</t>
  </si>
  <si>
    <t>32-Woodworking machinery and equipment</t>
  </si>
  <si>
    <t>PW</t>
  </si>
  <si>
    <t>34-Metalworking machinery</t>
  </si>
  <si>
    <t>PA</t>
  </si>
  <si>
    <t>35-Service and trade equipment</t>
  </si>
  <si>
    <t>PR</t>
  </si>
  <si>
    <t>36-Special industry machinery</t>
  </si>
  <si>
    <t>RI</t>
  </si>
  <si>
    <t>37-Agricultural machinery &amp; equipment</t>
  </si>
  <si>
    <t>SC</t>
  </si>
  <si>
    <t>38-Construction, mining, excavating &amp; highway maintenance equipment</t>
  </si>
  <si>
    <t>SD</t>
  </si>
  <si>
    <t>39-Materials handling equipment</t>
  </si>
  <si>
    <t>TN</t>
  </si>
  <si>
    <t>40-Rope, cable, chain &amp; fittings</t>
  </si>
  <si>
    <t>TX</t>
  </si>
  <si>
    <t>41-Refrigeration, air-conditioning &amp; air circulating equipment</t>
  </si>
  <si>
    <t>UT</t>
  </si>
  <si>
    <t>42-Fire fighting, rescue &amp; safety equipment</t>
  </si>
  <si>
    <t>VT</t>
  </si>
  <si>
    <t>43-Pumps &amp; compressors</t>
  </si>
  <si>
    <t>VI</t>
  </si>
  <si>
    <t>44-Furnace, steam plant &amp; drying equipment; &amp; nuclear reactors</t>
  </si>
  <si>
    <t>VA</t>
  </si>
  <si>
    <t>45-Plumbing, heating, &amp; sanitation equipment</t>
  </si>
  <si>
    <t>WA</t>
  </si>
  <si>
    <t>46-Water purification &amp; sewage treatment equipment</t>
  </si>
  <si>
    <t>WV</t>
  </si>
  <si>
    <t>47-Pipe, tubing, hose &amp; fittings</t>
  </si>
  <si>
    <t>WI</t>
  </si>
  <si>
    <t>48-Valves</t>
  </si>
  <si>
    <t>WY</t>
  </si>
  <si>
    <t>49-Maintenance &amp; repair shop equipment</t>
  </si>
  <si>
    <t>VARIOUS LOCATIONS</t>
  </si>
  <si>
    <t>51-Hand tools</t>
  </si>
  <si>
    <t>NATIONWIDE</t>
  </si>
  <si>
    <t>52-Measuring tools</t>
  </si>
  <si>
    <t>53-Hardware &amp; abrasives</t>
  </si>
  <si>
    <t>54-Prefabricated structures and scaffolding</t>
  </si>
  <si>
    <t>55-Lumber, millwork, plywood &amp; veneer</t>
  </si>
  <si>
    <t>56-Construction &amp; building materials</t>
  </si>
  <si>
    <t>58-Communication, detection, &amp; coherent radiation equipment</t>
  </si>
  <si>
    <t>59-Electrical and electronic equipment components</t>
  </si>
  <si>
    <t>60-Fiber optics materials, components, assemblies &amp; accessories</t>
  </si>
  <si>
    <t>61-Electric wire &amp; power &amp; distribution equipment</t>
  </si>
  <si>
    <t>62-Lighting fixtures &amp; lamps</t>
  </si>
  <si>
    <t>63-Alarm, signal &amp; security detection equipment</t>
  </si>
  <si>
    <t>65-Medical, dental &amp; veterinary equipment &amp; supplies</t>
  </si>
  <si>
    <t>66-Instruments &amp; laboratory equipment</t>
  </si>
  <si>
    <t>67-Photographic equipment</t>
  </si>
  <si>
    <t>68-Chemicals &amp; chemical products</t>
  </si>
  <si>
    <t>69-Training aids &amp; devices</t>
  </si>
  <si>
    <t>70-General purpose information technology equipment</t>
  </si>
  <si>
    <t>71-Furniture</t>
  </si>
  <si>
    <t>72-Household &amp; commercial furnishings &amp; appliances</t>
  </si>
  <si>
    <t>73-Food preparation and serving equipment</t>
  </si>
  <si>
    <t>74-Office machines, text processing systems &amp; visible record equipment</t>
  </si>
  <si>
    <t>75-Office supplies and devices</t>
  </si>
  <si>
    <t>76-Books, maps &amp; other publications</t>
  </si>
  <si>
    <t>77-Musical instruments, phonographs &amp; home-type radios</t>
  </si>
  <si>
    <t>78-Recreational &amp; athletic equipment</t>
  </si>
  <si>
    <t>79-Cleaning equipment and supplies</t>
  </si>
  <si>
    <t>80-Brushes, paints, sealers &amp; adhesives</t>
  </si>
  <si>
    <t>81-Containers, packaging, &amp; packing supplies</t>
  </si>
  <si>
    <t>83-Textiles, leather, furs, apparel &amp; shoe findings, tents &amp; flags</t>
  </si>
  <si>
    <t>84-Clothing, individual equipment &amp; insignia</t>
  </si>
  <si>
    <t>85-Toiletries</t>
  </si>
  <si>
    <t>87-Agricultural supplies</t>
  </si>
  <si>
    <t>88-Live animals</t>
  </si>
  <si>
    <t>89-Subsistence</t>
  </si>
  <si>
    <t>91-Fuels, lubricants, oils &amp; waxes</t>
  </si>
  <si>
    <t>93-Nonmetallic fabricated materials</t>
  </si>
  <si>
    <t>94-Nonmetallic crude materials</t>
  </si>
  <si>
    <t>95-Metal bars, sheets &amp; shapes</t>
  </si>
  <si>
    <t>96-Ores, minerals &amp; their primary products</t>
  </si>
  <si>
    <t>99-Miscellaneous</t>
  </si>
  <si>
    <t>In Process</t>
  </si>
  <si>
    <t>Performance Management / Initiatives and Culture Change Management</t>
  </si>
  <si>
    <t>R - Professional, administrative and management support services</t>
  </si>
  <si>
    <t>Washington</t>
  </si>
  <si>
    <t>8(a)</t>
  </si>
  <si>
    <t>Fixed Price</t>
  </si>
  <si>
    <t>Open Market</t>
  </si>
  <si>
    <t>Eagle Hill Consulting LLC</t>
  </si>
  <si>
    <t>New Requirement</t>
  </si>
  <si>
    <t>2nd quarter</t>
  </si>
  <si>
    <t>Mary Barnes</t>
  </si>
  <si>
    <t>mary.barnes@gsa.gov</t>
  </si>
  <si>
    <t>January 2014</t>
  </si>
  <si>
    <t>This requirement will have a one year base period and two one year option periods.</t>
  </si>
  <si>
    <t>FLEET vehicle marshaling service</t>
  </si>
  <si>
    <t>None</t>
  </si>
  <si>
    <t>N/A</t>
  </si>
  <si>
    <t>Jason Portillo</t>
  </si>
  <si>
    <t>415.522.2836</t>
  </si>
  <si>
    <t>jason.portillo@gsa.gov</t>
  </si>
  <si>
    <t>November 2013</t>
  </si>
  <si>
    <t>December 2013</t>
  </si>
  <si>
    <t>December 2017</t>
  </si>
  <si>
    <t>This requirement will have a one year base period and four one year option periods.</t>
  </si>
  <si>
    <t>Continuous Process Improvement</t>
  </si>
  <si>
    <t>BPA</t>
  </si>
  <si>
    <t>Scott Macrae</t>
  </si>
  <si>
    <t>(703) 605-9306</t>
  </si>
  <si>
    <t>scott.macrae@gsa.gov</t>
  </si>
  <si>
    <t>January 2018</t>
  </si>
  <si>
    <t>Redundant Power Supplies for VPN Appliances</t>
  </si>
  <si>
    <t>Unknown</t>
  </si>
  <si>
    <t>NFF Inc.</t>
  </si>
  <si>
    <t>Leif Albertson</t>
  </si>
  <si>
    <t>857-246-6571</t>
  </si>
  <si>
    <t>leif.albertson@gsa.gov</t>
  </si>
  <si>
    <t>In process</t>
  </si>
  <si>
    <t>Captioning &amp;Transcription,  CART, Sign Language Interpreter Services</t>
  </si>
  <si>
    <t>Time and Material Multiple Vendor</t>
  </si>
  <si>
    <t>GWAC</t>
  </si>
  <si>
    <t>Quentis Scott</t>
  </si>
  <si>
    <t>Construction Managment Studies (IDIQ)</t>
  </si>
  <si>
    <t>Architect and Engineer Services</t>
  </si>
  <si>
    <t>Small business</t>
  </si>
  <si>
    <t>10 vendors on this IDIQ</t>
  </si>
  <si>
    <t>Fred Miller</t>
  </si>
  <si>
    <t>202-501-9096</t>
  </si>
  <si>
    <t>Fred.miller@ga.gov</t>
  </si>
  <si>
    <t>12/2013</t>
  </si>
  <si>
    <t>1/2014</t>
  </si>
  <si>
    <t>MEP (IDIQ)</t>
  </si>
  <si>
    <t>3 vendors</t>
  </si>
  <si>
    <t>Bose Thomas</t>
  </si>
  <si>
    <t>202-482-7346</t>
  </si>
  <si>
    <t>Construction Reseal &amp; Paint Historic Federal Building</t>
  </si>
  <si>
    <t>Anchorage</t>
  </si>
  <si>
    <t>8(a) SDB Alaska Native Owned Business</t>
  </si>
  <si>
    <t/>
  </si>
  <si>
    <t>NA</t>
  </si>
  <si>
    <t>TBD</t>
  </si>
  <si>
    <t>amy.heusser@gsa.gov</t>
  </si>
  <si>
    <t>Construction/alteration NRCS Tenant Improvements, New Federal Building</t>
  </si>
  <si>
    <t>LPTA</t>
  </si>
  <si>
    <t>Grounds Maintenance</t>
  </si>
  <si>
    <t>Small Business Set-Aside</t>
  </si>
  <si>
    <t>CUSTOM CUT LANDSCAPE &amp; IRRIGATION CO</t>
  </si>
  <si>
    <t>Mae Smith</t>
  </si>
  <si>
    <t>253-931-7479</t>
  </si>
  <si>
    <t>mae.smith@gsa.gov</t>
  </si>
  <si>
    <t>Border Station Grounds</t>
  </si>
  <si>
    <t>Custodial Services</t>
  </si>
  <si>
    <t>Seattle</t>
  </si>
  <si>
    <t>Hughes Group</t>
  </si>
  <si>
    <t>FCS Commercial Janitorial</t>
  </si>
  <si>
    <t>Replace Fire Alarm System - DB</t>
  </si>
  <si>
    <t>Portland</t>
  </si>
  <si>
    <t>Restoration and Cleaning of Exterior Sandstone - Solomon Courthouse</t>
  </si>
  <si>
    <t>Non-Competitive 8(a)</t>
  </si>
  <si>
    <t>Lonnie Cummings</t>
  </si>
  <si>
    <t>503-326-4919</t>
  </si>
  <si>
    <t>lonnie.cummings@gsa.gov</t>
  </si>
  <si>
    <t>Eugene</t>
  </si>
  <si>
    <t>Task Order issued uner existing O&amp;M contract</t>
  </si>
  <si>
    <t>Less than $25K</t>
  </si>
  <si>
    <t>Replace Fire Alarm System</t>
  </si>
  <si>
    <t>02/29/2014</t>
  </si>
  <si>
    <t>Currently in planning phase</t>
  </si>
  <si>
    <t>Upgrade Elevator - Vancouver Federal Building</t>
  </si>
  <si>
    <t>Vancouver</t>
  </si>
  <si>
    <t>Reinstall Parapet Cap and Roof Pavers</t>
  </si>
  <si>
    <t>Bill Birmingham</t>
  </si>
  <si>
    <t>503-326-6696</t>
  </si>
  <si>
    <t>bill.birmingham@gsa.gov</t>
  </si>
  <si>
    <t>Currnetly in planning phase</t>
  </si>
  <si>
    <t>Modernize Public Passenger Elevator</t>
  </si>
  <si>
    <t>Medford</t>
  </si>
  <si>
    <t>503-236-6696</t>
  </si>
  <si>
    <t>Initial Space Alternation - SBA</t>
  </si>
  <si>
    <t>MATOC</t>
  </si>
  <si>
    <t>Initial Space Alternation - FMCS</t>
  </si>
  <si>
    <t>Restore Stonework and Chimneys-Pioneer Courthouse</t>
  </si>
  <si>
    <t>NO</t>
  </si>
  <si>
    <t>Judy Tomlinson</t>
  </si>
  <si>
    <t>(253) 931-7657</t>
  </si>
  <si>
    <t>judy.tomlinson@gsa.gov</t>
  </si>
  <si>
    <t>PIONEER CH STONEWORK (CMa)</t>
  </si>
  <si>
    <t>judy Tomlinson</t>
  </si>
  <si>
    <t>Currently in Planning Phase</t>
  </si>
  <si>
    <t>Pioneer CH Replace Concrete Moat (CMa)</t>
  </si>
  <si>
    <t>Pioneer CH Replace Concrete Moat (DB)</t>
  </si>
  <si>
    <t>Currently In planning Phase</t>
  </si>
  <si>
    <t>Pioneer CH Repair Canopy Roof (CMa)</t>
  </si>
  <si>
    <t>Pioneer CH Repair Canopy Roof (DB)</t>
  </si>
  <si>
    <t>Juneau F/A Replacement (DB)</t>
  </si>
  <si>
    <t>Juneau</t>
  </si>
  <si>
    <t>Rick Risso</t>
  </si>
  <si>
    <t>(253) 931-7309</t>
  </si>
  <si>
    <t>richard.risso@gsa.gov</t>
  </si>
  <si>
    <t>Juneau F/A Replacement (CMA)</t>
  </si>
  <si>
    <t>Ketchikan F/A Replacement (CMa)</t>
  </si>
  <si>
    <t>FAIRBANKS FIRE ALARM (CMa)</t>
  </si>
  <si>
    <t>Fairbanks</t>
  </si>
  <si>
    <t>Richland FB - Elevators and Switch Gear (DB)</t>
  </si>
  <si>
    <t>Richland</t>
  </si>
  <si>
    <t>More than $10,000,000</t>
  </si>
  <si>
    <t>Dawn Ashton</t>
  </si>
  <si>
    <t>(253) 931-7784</t>
  </si>
  <si>
    <t>dawn.ashton@gsa.gov</t>
  </si>
  <si>
    <t>Richland FB - Elevators and Switch Gear (CMA)</t>
  </si>
  <si>
    <t>Fairbanks HSPD Upgrade</t>
  </si>
  <si>
    <t>Faribanks</t>
  </si>
  <si>
    <t>Sue Saucier</t>
  </si>
  <si>
    <t>sue.saucier@gsa.gov</t>
  </si>
  <si>
    <t>Anchorage HSPD 12 Upgrade FB, CH and Annex</t>
  </si>
  <si>
    <t>Ketchikan F/A Replacement (DB)</t>
  </si>
  <si>
    <t>Fairbanks HVAC/R Upgrade (CMa)</t>
  </si>
  <si>
    <t>Fairbanks HVAC/R Upgrade (DB)</t>
  </si>
  <si>
    <t>Baker City</t>
  </si>
  <si>
    <t>To be Determined</t>
  </si>
  <si>
    <t>Liz Thorstad</t>
  </si>
  <si>
    <t>509-353-2461</t>
  </si>
  <si>
    <t>elizabeth.thorstad@gsa.gov</t>
  </si>
  <si>
    <t>5/2013</t>
  </si>
  <si>
    <t>6/2014</t>
  </si>
  <si>
    <t>JFB IRS CI Shell and TI</t>
  </si>
  <si>
    <t>To be determined (TBD)</t>
  </si>
  <si>
    <t>To be determined</t>
  </si>
  <si>
    <t>Doug Everley</t>
  </si>
  <si>
    <t>206-220-5054</t>
  </si>
  <si>
    <t>Doug.everley@gsa.gov</t>
  </si>
  <si>
    <t>03/2014</t>
  </si>
  <si>
    <t>JFB VA Shell &amp; TI</t>
  </si>
  <si>
    <t>02/2014</t>
  </si>
  <si>
    <t>04/2014</t>
  </si>
  <si>
    <t>JFB  FPS Shell &amp; TI</t>
  </si>
  <si>
    <t>NAK Exterior Restoration</t>
  </si>
  <si>
    <t>05/2014</t>
  </si>
  <si>
    <t>07/2014</t>
  </si>
  <si>
    <t>Fire Alarm Deficiencies</t>
  </si>
  <si>
    <t>Spokane</t>
  </si>
  <si>
    <t>Paint &amp; Carpet for Senator Cantwell</t>
  </si>
  <si>
    <t>2/2014</t>
  </si>
  <si>
    <t>3/2014</t>
  </si>
  <si>
    <t>Remove Damaged VAT and Replace</t>
  </si>
  <si>
    <t>Wenatchee</t>
  </si>
  <si>
    <t>Water Damage</t>
  </si>
  <si>
    <t>Historic Preservation Program Conservatin Studies</t>
  </si>
  <si>
    <t>various</t>
  </si>
  <si>
    <t>Water Audits</t>
  </si>
  <si>
    <t>Ashrae 62.1 Studies</t>
  </si>
  <si>
    <t>On-Site Renewable Energy Studies</t>
  </si>
  <si>
    <t>US Courthouse Envelope Integrity Study</t>
  </si>
  <si>
    <t>FOB Domestic Hot Water Study</t>
  </si>
  <si>
    <t>FOB Domestic HVAC Study</t>
  </si>
  <si>
    <t>Nakamura Courthouse HVAC Study</t>
  </si>
  <si>
    <t>Hatfield Envelope Integrity Study</t>
  </si>
  <si>
    <t>R10-Northwest/Arctic Region</t>
  </si>
  <si>
    <t>Streamlined Alaska Local Service Agreement</t>
  </si>
  <si>
    <t>n/a</t>
  </si>
  <si>
    <t>Kimberlee Wallentine</t>
  </si>
  <si>
    <t>253 931 7183</t>
  </si>
  <si>
    <t>kimberlee.wallentine@gsa.gov</t>
  </si>
  <si>
    <t>Telecommunications Services</t>
  </si>
  <si>
    <t>Temporary Clerical Services</t>
  </si>
  <si>
    <t>Elmendorf AFB</t>
  </si>
  <si>
    <t>TAPS Schedule</t>
  </si>
  <si>
    <t>Multiple Award Schedule</t>
  </si>
  <si>
    <t>Bounce Quarry</t>
  </si>
  <si>
    <t>253 931 7552</t>
  </si>
  <si>
    <t>bounce.quarry@gsa.gov</t>
  </si>
  <si>
    <t>Temporary services to cover GSS Alaska Warehouse support services (Note:  Resolicitation is not expected at this time)</t>
  </si>
  <si>
    <t>Legal Subscriptions</t>
  </si>
  <si>
    <t>Auburn</t>
  </si>
  <si>
    <t>West Publishing</t>
  </si>
  <si>
    <t>Timothy Townsend</t>
  </si>
  <si>
    <t>253 931 7472</t>
  </si>
  <si>
    <t>timothy.townsend@gsa.gov</t>
  </si>
  <si>
    <t>Yearly Legal subscriptions</t>
  </si>
  <si>
    <t>Alaska Statewide Contract</t>
  </si>
  <si>
    <t>Alaska Communications Systems (ACS)</t>
  </si>
  <si>
    <t>Exercise of Final Option Period</t>
  </si>
  <si>
    <t>Kayleen Huggart</t>
  </si>
  <si>
    <t>253 931 7530</t>
  </si>
  <si>
    <t>kayleen.huggart@gsa.gov</t>
  </si>
  <si>
    <t>Final option period</t>
  </si>
  <si>
    <t>DIPS Contract</t>
  </si>
  <si>
    <t>Qwest</t>
  </si>
  <si>
    <t>New award</t>
  </si>
  <si>
    <t>Telecommunication Equipment Asset Management (TEAM) support of GSA R10 PBX Systems</t>
  </si>
  <si>
    <t>Connections II Small Business Set-Aside</t>
  </si>
  <si>
    <t>GTRI</t>
  </si>
  <si>
    <t>New Task Order replacing GASP Contract.  3 month transition period, 2 year base period and 4 one year option periods.</t>
  </si>
  <si>
    <t>ASI Subscription</t>
  </si>
  <si>
    <t>Task Order under existing ID/IQ Contract</t>
  </si>
  <si>
    <t>Existing ID/IQ</t>
  </si>
  <si>
    <t>New ASI Subscriptions in process (renewal likely)</t>
  </si>
  <si>
    <t>Waiting Legal approval of solicitation</t>
  </si>
  <si>
    <t>Mechanical maintenance</t>
  </si>
  <si>
    <t>Maintenance &amp; Repairs</t>
  </si>
  <si>
    <t>PR, VI</t>
  </si>
  <si>
    <t>Total SET ASIDE</t>
  </si>
  <si>
    <t>Negotiated Contract</t>
  </si>
  <si>
    <t>Solicit Small Business</t>
  </si>
  <si>
    <t>New Award</t>
  </si>
  <si>
    <t>Olga Rodriguez</t>
  </si>
  <si>
    <t>787-766-6169</t>
  </si>
  <si>
    <t>olga.rodriguez@gsa.gov</t>
  </si>
  <si>
    <t>Consolidated O&amp;M</t>
  </si>
  <si>
    <t>Procurement Plan being developed</t>
  </si>
  <si>
    <t>Construction</t>
  </si>
  <si>
    <t>St. Croix</t>
  </si>
  <si>
    <t>Construction NOAA Backfill Vacant Space</t>
  </si>
  <si>
    <t>Construction Services</t>
  </si>
  <si>
    <t>Cleaning seepage pit STX</t>
  </si>
  <si>
    <t>Requirements Being Developed</t>
  </si>
  <si>
    <t>Moving Services</t>
  </si>
  <si>
    <t>Service</t>
  </si>
  <si>
    <t>Central Islip</t>
  </si>
  <si>
    <t>Compete between FAS Schedule Vendors - Contracts already exist</t>
  </si>
  <si>
    <t>Requirements being developed</t>
  </si>
  <si>
    <t>Leasing/Office space</t>
  </si>
  <si>
    <t>Lessors of Other Real Estate Property</t>
  </si>
  <si>
    <t>Mayaguez</t>
  </si>
  <si>
    <t>Full and Open Comp.</t>
  </si>
  <si>
    <t>Park Plaza Annex, Mayaguez, PR</t>
  </si>
  <si>
    <t>Nel E. Morales</t>
  </si>
  <si>
    <t>787-294-1653</t>
  </si>
  <si>
    <t>nel.morales@gsa.gov</t>
  </si>
  <si>
    <t>April 2014</t>
  </si>
  <si>
    <t>RFP being developed</t>
  </si>
  <si>
    <t>Repair and Alterations</t>
  </si>
  <si>
    <t>Maintenance and repair</t>
  </si>
  <si>
    <t>Brooklyn</t>
  </si>
  <si>
    <t>FedBizOpps and it will be negotiated</t>
  </si>
  <si>
    <t>Full and Open Competition after exclusion.  More small businesses can participate</t>
  </si>
  <si>
    <t>Roxanne Micca</t>
  </si>
  <si>
    <t>718-510-1819</t>
  </si>
  <si>
    <t>roxanne.micca@gsa.gov</t>
  </si>
  <si>
    <t>AV Closets 225 Cadman Plaza</t>
  </si>
  <si>
    <t>Chair lift for 271 Cadman Plaza</t>
  </si>
  <si>
    <t>8(a) Small Business</t>
  </si>
  <si>
    <t>Want 8(a) participation</t>
  </si>
  <si>
    <t>Acoustical Ceiling Tiles</t>
  </si>
  <si>
    <t>Window Washing Cert. and Equipment</t>
  </si>
  <si>
    <t>GSA Advantage</t>
  </si>
  <si>
    <t>LED Lighting Project</t>
  </si>
  <si>
    <t>RFP Completed</t>
  </si>
  <si>
    <t>Albany</t>
  </si>
  <si>
    <t>yes</t>
  </si>
  <si>
    <t>Matthew Murphy</t>
  </si>
  <si>
    <t>518-708-6160</t>
  </si>
  <si>
    <t>matthew.murphy@gsa.gov</t>
  </si>
  <si>
    <t>Small Disadvantage Business</t>
  </si>
  <si>
    <t>FedBiz Opps</t>
  </si>
  <si>
    <t>Matthew.murphy@gsa.gov</t>
  </si>
  <si>
    <t>RFP to be sent out</t>
  </si>
  <si>
    <t>Space Build Out</t>
  </si>
  <si>
    <t>Carpeting</t>
  </si>
  <si>
    <t>RFP Sent Out</t>
  </si>
  <si>
    <t>Develop RFP</t>
  </si>
  <si>
    <t>Security Devices</t>
  </si>
  <si>
    <t>Electrical</t>
  </si>
  <si>
    <t>Janitorial and Related Services</t>
  </si>
  <si>
    <t>Janitorial</t>
  </si>
  <si>
    <t>Champlain</t>
  </si>
  <si>
    <t>Ayeda Gebrehiwot</t>
  </si>
  <si>
    <t>518-298-3264 ex110</t>
  </si>
  <si>
    <t>ayeda.gebrehiwot@gsa.gov</t>
  </si>
  <si>
    <t>Award issued on 10/31/13</t>
  </si>
  <si>
    <t>RFQ will go out 11/5/13</t>
  </si>
  <si>
    <t>Heating system inspection</t>
  </si>
  <si>
    <t>Heating system Inspection</t>
  </si>
  <si>
    <t>Pre-award stage/Acq plan</t>
  </si>
  <si>
    <t>Asphalt repair</t>
  </si>
  <si>
    <t>weather permit</t>
  </si>
  <si>
    <t>Roof Repair</t>
  </si>
  <si>
    <t>Warehouse repair</t>
  </si>
  <si>
    <t>Storm Drain Repair</t>
  </si>
  <si>
    <t>Replace Windows</t>
  </si>
  <si>
    <t>Street light replace fixtures LED</t>
  </si>
  <si>
    <t>Interior repairs</t>
  </si>
  <si>
    <t>Water Infltration Remediation</t>
  </si>
  <si>
    <t>Newark</t>
  </si>
  <si>
    <t>N\A</t>
  </si>
  <si>
    <t>no</t>
  </si>
  <si>
    <t>3rd quarter</t>
  </si>
  <si>
    <t>David Cassert</t>
  </si>
  <si>
    <t>david.cassert@gsa.gov</t>
  </si>
  <si>
    <t>1st quarter</t>
  </si>
  <si>
    <t>Rochester</t>
  </si>
  <si>
    <t>Kim Hallman</t>
  </si>
  <si>
    <t>kim.hallman@gsa.gov</t>
  </si>
  <si>
    <t>Window Replacement</t>
  </si>
  <si>
    <t>D. Cassert</t>
  </si>
  <si>
    <t>Solicitation Phase</t>
  </si>
  <si>
    <t>New Rochelle</t>
  </si>
  <si>
    <t>FBO / Negotiated</t>
  </si>
  <si>
    <t>White Star Management, LLC</t>
  </si>
  <si>
    <t>Paul Koch</t>
  </si>
  <si>
    <t>212.264.9388</t>
  </si>
  <si>
    <t>paul.koch@gsa.gov</t>
  </si>
  <si>
    <t>Pre-award</t>
  </si>
  <si>
    <t>New York</t>
  </si>
  <si>
    <t>17-19 West 34th Street Realty Co., LLC</t>
  </si>
  <si>
    <t>Dmitriy Betser</t>
  </si>
  <si>
    <t>212-264-1707</t>
  </si>
  <si>
    <t>dmitriy.betser@gsa.gov</t>
  </si>
  <si>
    <t>3rd QTR 2013</t>
  </si>
  <si>
    <t>lease for FERC</t>
  </si>
  <si>
    <t>SLG Tower 45, LLC</t>
  </si>
  <si>
    <t>lease for NLRB</t>
  </si>
  <si>
    <t>Replace fire command software</t>
  </si>
  <si>
    <t>Bob Granato</t>
  </si>
  <si>
    <t>212-264-3544</t>
  </si>
  <si>
    <t>Robert.Granato@gsa.gov</t>
  </si>
  <si>
    <t>Roof Replacement</t>
  </si>
  <si>
    <t>Elevator Modernization</t>
  </si>
  <si>
    <t>MAS</t>
  </si>
  <si>
    <t>Upgrade Frt &amp; Pas Elevators</t>
  </si>
  <si>
    <t>Caulk/Repoint Masonary Bldg Exterior</t>
  </si>
  <si>
    <t>Chiller Repair</t>
  </si>
  <si>
    <t>Upgrade CT Cells</t>
  </si>
  <si>
    <t>Install emergency lighting in the post office</t>
  </si>
  <si>
    <t>Repair expose gas line</t>
  </si>
  <si>
    <t>Replace PLC units on CHP</t>
  </si>
  <si>
    <t>IRS build-out 3rd floor</t>
  </si>
  <si>
    <t>IRS build-out 12th floor</t>
  </si>
  <si>
    <t>Main Lobby Alterations</t>
  </si>
  <si>
    <t>Bathroom Upgrade - West side</t>
  </si>
  <si>
    <t>Window replacement</t>
  </si>
  <si>
    <t>Install EMGEN load banks</t>
  </si>
  <si>
    <t>Sump pump replacement</t>
  </si>
  <si>
    <t>IRS 31st Floor Build Out</t>
  </si>
  <si>
    <t>Awarded on 03-01-2013</t>
  </si>
  <si>
    <t>Data &amp; Billing Mgt services for the Portfolio Mgt Div.</t>
  </si>
  <si>
    <t>MTI, INC.</t>
  </si>
  <si>
    <t>Catherine Cooke</t>
  </si>
  <si>
    <t>212-264-1254</t>
  </si>
  <si>
    <t>catherine.cooke@gsa.gov</t>
  </si>
  <si>
    <t>Awarded on 07-10-2011</t>
  </si>
  <si>
    <t>IDIQ - ASBESTOS  &amp; LEAD ABATEMENT - PROJECT MONITORING (INDUSTRIAL HYGIENIST SERVICES) FOR REGION 02</t>
  </si>
  <si>
    <t>8(a) Woman Owned Small Business</t>
  </si>
  <si>
    <t>CLASSIC ENVIRONMENTAL, INC.</t>
  </si>
  <si>
    <t>Awarded on 9/29/2010</t>
  </si>
  <si>
    <t>Financial Services</t>
  </si>
  <si>
    <t>GSA Schedule Open Competition</t>
  </si>
  <si>
    <t>Daniel Eke and Associates, P.C.</t>
  </si>
  <si>
    <t>Judy Lee</t>
  </si>
  <si>
    <t>judy.lee@gsa.gov</t>
  </si>
  <si>
    <t>Developing Requirements</t>
  </si>
  <si>
    <t>GC for FBI 25th Floor 2B</t>
  </si>
  <si>
    <t>Bruce Cooper</t>
  </si>
  <si>
    <t>(212) 264-4222</t>
  </si>
  <si>
    <t>anthony.cooper@gsa.gov</t>
  </si>
  <si>
    <t>Security Enhancement</t>
  </si>
  <si>
    <t>Patricia Wright</t>
  </si>
  <si>
    <t>212-264-4276</t>
  </si>
  <si>
    <t>patricia.wright@gsa.gov</t>
  </si>
  <si>
    <t>waiting for Legal review</t>
  </si>
  <si>
    <t>Construction Services for the New Entrance Pavilion</t>
  </si>
  <si>
    <t>Miriam Lopez</t>
  </si>
  <si>
    <t>212-264-9491</t>
  </si>
  <si>
    <t>miriam.lopez@gsa.gov</t>
  </si>
  <si>
    <t>12/2014</t>
  </si>
  <si>
    <t>DHS-ICE 4th Floor Reduction and Realignment</t>
  </si>
  <si>
    <t>Pre-solicitation Stage/ Legal Review</t>
  </si>
  <si>
    <t>IDIQ for Architect/ Engineering Services</t>
  </si>
  <si>
    <t>541310, Architectual Services</t>
  </si>
  <si>
    <t>Multiple Award- Unrestricted and Small Business Set-aside</t>
  </si>
  <si>
    <t>Multiple Award IDIQ- Open Competition and Small Business Set-aside</t>
  </si>
  <si>
    <t>FedBizOpps Sources Sought Notice Results</t>
  </si>
  <si>
    <t>Multiple Award- Goshow Architects, Gruzen Samton Architects, Wank Adams Slavin Associates</t>
  </si>
  <si>
    <t>Hillary Gonzalez</t>
  </si>
  <si>
    <t>787-766-6511</t>
  </si>
  <si>
    <t>hillary.gonzalez@gsa.gov</t>
  </si>
  <si>
    <t>Solictation Phase</t>
  </si>
  <si>
    <t>BPA for Cost Estimating Services</t>
  </si>
  <si>
    <t>Services</t>
  </si>
  <si>
    <t>541990, All other Professional, Scientific, and Technical Services</t>
  </si>
  <si>
    <t>Unrestricted- Federal Supply Schedules</t>
  </si>
  <si>
    <t>FSS BPA</t>
  </si>
  <si>
    <t>FSS</t>
  </si>
  <si>
    <t>SSA Relocation Services</t>
  </si>
  <si>
    <t>Yauco</t>
  </si>
  <si>
    <t>Javier Perez-Martinez</t>
  </si>
  <si>
    <t>787-766-5121</t>
  </si>
  <si>
    <t>javier.perezmartinez@gsa.gov</t>
  </si>
  <si>
    <t>New Air ductwork for Comp room</t>
  </si>
  <si>
    <t>Hato Rey</t>
  </si>
  <si>
    <t>$15, 998.92</t>
  </si>
  <si>
    <t>Removal of A/C Ductwork</t>
  </si>
  <si>
    <t>Paint and Extras ST. Thomas Bldg</t>
  </si>
  <si>
    <t>ST. Thomas</t>
  </si>
  <si>
    <t>Installation Electrical Outlets</t>
  </si>
  <si>
    <t>Improvement Storage Facility</t>
  </si>
  <si>
    <t>SSA Field Office Relocation</t>
  </si>
  <si>
    <t>ST. Croix</t>
  </si>
  <si>
    <t>FPS Office Renovation</t>
  </si>
  <si>
    <t>Carpet &amp; Carpet Installation JAG</t>
  </si>
  <si>
    <t>Installation of Light Post RFCC</t>
  </si>
  <si>
    <t>Installation (20) Electrical Outlets</t>
  </si>
  <si>
    <t>FBI A/C &amp; Electrical Installation</t>
  </si>
  <si>
    <t>USMS STT Office Reconfiguration</t>
  </si>
  <si>
    <t>SSA Carpet Replacement</t>
  </si>
  <si>
    <t>Fence &amp; CCTU System</t>
  </si>
  <si>
    <t>Aguada</t>
  </si>
  <si>
    <t>Gov. Gate Installation</t>
  </si>
  <si>
    <t>Equipment Relocation</t>
  </si>
  <si>
    <t>Emergency Elevator Repair</t>
  </si>
  <si>
    <t>Secure Room Door</t>
  </si>
  <si>
    <t>Gauyanbo</t>
  </si>
  <si>
    <t>Repairs to GM-2 Medium Vacumm Breaker</t>
  </si>
  <si>
    <t>Repair &amp; Waterproofing Basement</t>
  </si>
  <si>
    <t>Awarded 10/29/2013</t>
  </si>
  <si>
    <t>Courthouse Preassure Wash</t>
  </si>
  <si>
    <t>Awarded 10/24/2013</t>
  </si>
  <si>
    <t>Office Renovation</t>
  </si>
  <si>
    <t>Pre-solicitation</t>
  </si>
  <si>
    <t>Lease</t>
  </si>
  <si>
    <t>Bronx</t>
  </si>
  <si>
    <t>Full and Open Competition</t>
  </si>
  <si>
    <t>Scott Elgart</t>
  </si>
  <si>
    <t>212-264-4200</t>
  </si>
  <si>
    <t>scott.elgart@gsa.gov</t>
  </si>
  <si>
    <t>White Plains</t>
  </si>
  <si>
    <t>Courthouse Bollards</t>
  </si>
  <si>
    <t>Claudia Rivera</t>
  </si>
  <si>
    <t>212-264-5244</t>
  </si>
  <si>
    <t>claudia.rivera@gsa.gov</t>
  </si>
  <si>
    <t>Pre-Award</t>
  </si>
  <si>
    <t>Parking</t>
  </si>
  <si>
    <t>Claremont Newark</t>
  </si>
  <si>
    <t>Walter Moldovan</t>
  </si>
  <si>
    <t>212-264-4206</t>
  </si>
  <si>
    <t>walter.moldovan@gsa.gov</t>
  </si>
  <si>
    <t>In Development</t>
  </si>
  <si>
    <t>Replace VFD Drives on AHU #3and #4</t>
  </si>
  <si>
    <t>Bluefield</t>
  </si>
  <si>
    <t>O&amp;M Contractor</t>
  </si>
  <si>
    <t>Set Aside</t>
  </si>
  <si>
    <t>Blair Hayes</t>
  </si>
  <si>
    <t>(304) 347-5155</t>
  </si>
  <si>
    <t>blair.hayes@gsa.gov</t>
  </si>
  <si>
    <t>PreSolicitation</t>
  </si>
  <si>
    <t>Replace (2) 60 ton air cooled chillers</t>
  </si>
  <si>
    <t>Wheeling</t>
  </si>
  <si>
    <t>Window Caulking</t>
  </si>
  <si>
    <t>Martinsburg</t>
  </si>
  <si>
    <t>Award was set aside for small business based on market research</t>
  </si>
  <si>
    <t>Exterior Painting</t>
  </si>
  <si>
    <t>Replace Fuel Ouil Piping and Dunnage</t>
  </si>
  <si>
    <t>Replace Cafeteria Sewage Pumps</t>
  </si>
  <si>
    <t>Replacement of front glass sliding door</t>
  </si>
  <si>
    <t>Abingdon</t>
  </si>
  <si>
    <t>IDIQ Contractor</t>
  </si>
  <si>
    <t>Concrete Repairs</t>
  </si>
  <si>
    <t>Elkins</t>
  </si>
  <si>
    <t>Award set aside for Section 8(a) contractor</t>
  </si>
  <si>
    <t>Paint Canopy in parking lot</t>
  </si>
  <si>
    <t>Replace Sumps and Controls</t>
  </si>
  <si>
    <t>Cyclical Maintenance</t>
  </si>
  <si>
    <t>Plaster repair and paint</t>
  </si>
  <si>
    <t>Wood Restoration</t>
  </si>
  <si>
    <t>Replace Concrete steps</t>
  </si>
  <si>
    <t>Roanoke</t>
  </si>
  <si>
    <t>Philadelphia</t>
  </si>
  <si>
    <t>Required market research to determine qualified contractor</t>
  </si>
  <si>
    <t>New</t>
  </si>
  <si>
    <t>Joseph Stephenson</t>
  </si>
  <si>
    <t>joseph.stephenson</t>
  </si>
  <si>
    <t>Mike Reed</t>
  </si>
  <si>
    <t>215-861-3611</t>
  </si>
  <si>
    <t>Mike.Reed@gsa.gov</t>
  </si>
  <si>
    <t>Contractor Executed IUID Part Marking Project</t>
  </si>
  <si>
    <t>WPAFB</t>
  </si>
  <si>
    <t>Based on Market Research Results</t>
  </si>
  <si>
    <t>Deloitte Consulting</t>
  </si>
  <si>
    <t>Yjuania Still</t>
  </si>
  <si>
    <t>618-622-5809</t>
  </si>
  <si>
    <t>yjuania.still@gsa.gov</t>
  </si>
  <si>
    <t>Maureen Cruz, 312-353-5384, maureen.cruz@gsa.gov</t>
  </si>
  <si>
    <t>F-16 Program Office</t>
  </si>
  <si>
    <t>WPAFB and other CONUS or OCONUS locations</t>
  </si>
  <si>
    <t>Not determined</t>
  </si>
  <si>
    <t>Program and Project Management Services</t>
  </si>
  <si>
    <t>Kansas City</t>
  </si>
  <si>
    <t>QSDM-J9-131930-A (8040)</t>
  </si>
  <si>
    <t>Paula Schulte</t>
  </si>
  <si>
    <t>paula.schulte@gsa.gov</t>
  </si>
  <si>
    <t>QSDM-J9-131920-A (8040)</t>
  </si>
  <si>
    <t>QSDM-B2-131660-A (8030)</t>
  </si>
  <si>
    <t>Brian Johnson</t>
  </si>
  <si>
    <t>brian.johnson@gsa.gov</t>
  </si>
  <si>
    <t>QSDM-B2-131650-A (8030)</t>
  </si>
  <si>
    <t>Market research performed shows that there is not a reasonable expectation of receiving quotes from at least two responsible small business concerns quoting the product of different small business concerns.</t>
  </si>
  <si>
    <t>QSDM-B2-131880-A (8030)</t>
  </si>
  <si>
    <t>QSDM-B2-131950-A (8030)</t>
  </si>
  <si>
    <t>QSDM-H8-131850-A (8010)</t>
  </si>
  <si>
    <t>Sarah Baer</t>
  </si>
  <si>
    <t>sarah.baer@gsa.gov</t>
  </si>
  <si>
    <t>QSDM-H8-131830-A (8010)</t>
  </si>
  <si>
    <t>QSDM-J7-131800-A (8010)</t>
  </si>
  <si>
    <t>Katie Hutton</t>
  </si>
  <si>
    <t>katie.hutton@gsa.gov</t>
  </si>
  <si>
    <t>QSDM-J7-131760-A (8010)</t>
  </si>
  <si>
    <t>QSDM-J7-131770-A (8010)</t>
  </si>
  <si>
    <t>We award on item by item basis. For one NSN, market research performed shows that there is a reasonable expectation of receiving quotes from at least two responsible small business concerns quoting the product of different small business concerns. For remaining NSNs market research performed shows that there is not a reasonable expectation of receiving quotes from at least two responsible small business concerns quoting the product of different small business concerns.</t>
  </si>
  <si>
    <t>QSDM-J7-131780-A (8010)</t>
  </si>
  <si>
    <t>QSDM-J7-131810-A (8010)</t>
  </si>
  <si>
    <t>QSDM-J7-131750-A (8010)</t>
  </si>
  <si>
    <t>QSDM-B8-131620-A(8030)</t>
  </si>
  <si>
    <t>Kathy Vannatta</t>
  </si>
  <si>
    <t>kathy.vannatta@gsa.gov</t>
  </si>
  <si>
    <t>QSDM-B8-131610-A (8020)</t>
  </si>
  <si>
    <t>QSDM-B8-131680-A (8020)</t>
  </si>
  <si>
    <t>FSC 5180  Misc Tool Kits</t>
  </si>
  <si>
    <t>Various</t>
  </si>
  <si>
    <t>SBSA, BPA (FAR 13), based on RFI and PIN Market survey</t>
  </si>
  <si>
    <t>Fran Bock-Waldo</t>
  </si>
  <si>
    <t>816-926-6827</t>
  </si>
  <si>
    <t>fran.bockwaldo@gsa.gov</t>
  </si>
  <si>
    <t>FSC 5120    Misc Tools</t>
  </si>
  <si>
    <t>Not set aside - BPA against MAS - based on market research - nonmanufacturing rule</t>
  </si>
  <si>
    <t>Nathan Kreoger</t>
  </si>
  <si>
    <t>816-823-1350</t>
  </si>
  <si>
    <t>nathan.kreoger@gsa.gov</t>
  </si>
  <si>
    <t>closes 11/22/13   issued on E-buy 9/30/13</t>
  </si>
  <si>
    <t>FSC 5120</t>
  </si>
  <si>
    <t>Amy Stucker</t>
  </si>
  <si>
    <t>816-926-3797</t>
  </si>
  <si>
    <t>Amy.Stucker@gsa.gov</t>
  </si>
  <si>
    <t>FSC 5210 Misc measuring Tools</t>
  </si>
  <si>
    <t>Mariannne Schrik</t>
  </si>
  <si>
    <t>816-823-1860</t>
  </si>
  <si>
    <t>marianne.schrik@gsa.gov</t>
  </si>
  <si>
    <t>FSC 5110</t>
  </si>
  <si>
    <t>FSC 5133  Drill bits, counterbores, etc</t>
  </si>
  <si>
    <t>FSC 5130 Power Tools</t>
  </si>
  <si>
    <t>Margaret Daniells</t>
  </si>
  <si>
    <t>816-823-1325</t>
  </si>
  <si>
    <t>marty.daniells@gsa.gov</t>
  </si>
  <si>
    <t>FSC 5140 Tool Bags/Boxes</t>
  </si>
  <si>
    <t>Katie Norton</t>
  </si>
  <si>
    <t>816-926-3582</t>
  </si>
  <si>
    <t>katie.norton@gsa.gov</t>
  </si>
  <si>
    <t>FSC 5180  Misc Tool Kit components - replacement contract</t>
  </si>
  <si>
    <t>New requirement for GSA, recompete of Army Tool kit and components</t>
  </si>
  <si>
    <t>Working on RFI to be posted soon</t>
  </si>
  <si>
    <t>FSC 5180 Misc Tool kit replacement contract</t>
  </si>
  <si>
    <t>Still in initial planning phase</t>
  </si>
  <si>
    <t>Fire Protection Services</t>
  </si>
  <si>
    <t>Omaha</t>
  </si>
  <si>
    <t>Other Than Small Business</t>
  </si>
  <si>
    <t>Simplex Grinnell</t>
  </si>
  <si>
    <t>Exercise Option</t>
  </si>
  <si>
    <t>816-823-2243</t>
  </si>
  <si>
    <t>christy.pearce@gsa.gov</t>
  </si>
  <si>
    <t>exercise Option</t>
  </si>
  <si>
    <t>Alexandria</t>
  </si>
  <si>
    <t>Services/Location is on the Procurement List.  Source America/AbilityOne Program</t>
  </si>
  <si>
    <t>LOUISIANA INDUSTRIES FOR THE DISABLED INC</t>
  </si>
  <si>
    <t>Exercise of Option</t>
  </si>
  <si>
    <t>Matthew Phillips</t>
  </si>
  <si>
    <t>817-978-0295</t>
  </si>
  <si>
    <t>matthew.phillips@gsa.gov</t>
  </si>
  <si>
    <t>Exercise Option to GS07P10JUC0092.</t>
  </si>
  <si>
    <t>Goodwill Industries of Fort Worth</t>
  </si>
  <si>
    <t>John Davis</t>
  </si>
  <si>
    <t>817-978-7476</t>
  </si>
  <si>
    <t>Johne.davis@gsa.gov</t>
  </si>
  <si>
    <t>Exercise Option to GS-07P-11-UT-C-0004.To be bilateral - add LOGO clause.</t>
  </si>
  <si>
    <t>Monroe</t>
  </si>
  <si>
    <t>GOODWILL INDUSTRIES OF NORTH LOUISIANA, INC.</t>
  </si>
  <si>
    <t>Exercise Option to GS07P10JUC0117.  Preliminary Notice to be sent by 7/1/14.  To be bilateral - add LOGO clause.</t>
  </si>
  <si>
    <t>Lufkin</t>
  </si>
  <si>
    <t>BURKE CENTER</t>
  </si>
  <si>
    <t>Exercise Option to GS07P10JUC0120.</t>
  </si>
  <si>
    <t>Fort Worth</t>
  </si>
  <si>
    <t>NSR-Integrity</t>
  </si>
  <si>
    <t>Exercise Option to GS07P10JUD0139. Preliminary Notice to be sent NLT 7/1/14 if option is to be execised.</t>
  </si>
  <si>
    <t>Full Maintenance Services</t>
  </si>
  <si>
    <t>Las Cruces &amp; Roswell</t>
  </si>
  <si>
    <t>Northern Management</t>
  </si>
  <si>
    <t>Myrtis Robinson</t>
  </si>
  <si>
    <t>501-707-2395</t>
  </si>
  <si>
    <t>Myrtis.robinson@gsa.gov</t>
  </si>
  <si>
    <t>Exercise Option on GS07P08UFA0002.</t>
  </si>
  <si>
    <t>Baton Rouge, Lafayette, Houma</t>
  </si>
  <si>
    <t>GSA Schedule 03 FAC BPA</t>
  </si>
  <si>
    <t>WW Contractors</t>
  </si>
  <si>
    <t>New Call Order</t>
  </si>
  <si>
    <t>GSA Schedule BPA GS07P11JUA0006.</t>
  </si>
  <si>
    <t>DHS - IDS Installation</t>
  </si>
  <si>
    <t>Albuquerque</t>
  </si>
  <si>
    <t>Erika Wilburn-Campbell</t>
  </si>
  <si>
    <t>817.850.8128</t>
  </si>
  <si>
    <t>erika.wilburn-campbell@gsa.gov</t>
  </si>
  <si>
    <t>238210--Electrical Contractors and Other Wiring Installation</t>
  </si>
  <si>
    <t>Oklahoma City</t>
  </si>
  <si>
    <t>Jean Pitts</t>
  </si>
  <si>
    <t>405-231-4186</t>
  </si>
  <si>
    <t>jean.pitts@gsa.gov</t>
  </si>
  <si>
    <t>Purchase Decision - Best Value</t>
  </si>
  <si>
    <t>Solicitation--November 15</t>
  </si>
  <si>
    <t>Award--December 15</t>
  </si>
  <si>
    <t>Construction - Renovate FDA Offices</t>
  </si>
  <si>
    <t>Construction - Renovate SBA Offices</t>
  </si>
  <si>
    <t>Construction - Provide Force Protection</t>
  </si>
  <si>
    <t>Tulsa</t>
  </si>
  <si>
    <t>Dot Hill</t>
  </si>
  <si>
    <t>405-231-4488</t>
  </si>
  <si>
    <t>dot.hill@gsa.gov</t>
  </si>
  <si>
    <t>Muskogee</t>
  </si>
  <si>
    <t>Construction - Correct Bldg. Air Handling Operations</t>
  </si>
  <si>
    <t>Construction - Roof Replacement</t>
  </si>
  <si>
    <t>New Orleans</t>
  </si>
  <si>
    <t>Pride Industries, Inc.</t>
  </si>
  <si>
    <t>matt.phillips@gsa.gov</t>
  </si>
  <si>
    <t>Austin, San Antonio, Waco and Pearsall</t>
  </si>
  <si>
    <t>Award  will be set-aside for SDVOSB based on market research</t>
  </si>
  <si>
    <t>L B &amp; B and J &amp; J Maintenance</t>
  </si>
  <si>
    <t>Stephen Carroll</t>
  </si>
  <si>
    <t>817-978-0609</t>
  </si>
  <si>
    <t>stephen.carroll@gsa.gov</t>
  </si>
  <si>
    <t>Purchase Decision - Best Value Trade-Off</t>
  </si>
  <si>
    <t>Corpus Christi and Victoria</t>
  </si>
  <si>
    <t>Market Research for type of SB Set-Aside is on-going.  Sources Sought published 9/10/13.</t>
  </si>
  <si>
    <t>L B &amp; B</t>
  </si>
  <si>
    <t>Patrick Chapman</t>
  </si>
  <si>
    <t>817-978-7012</t>
  </si>
  <si>
    <t>patrick.chapman@gsa.gov</t>
  </si>
  <si>
    <t>Custodial and Ground Maintenance Services</t>
  </si>
  <si>
    <t>Del Rio</t>
  </si>
  <si>
    <t>EML</t>
  </si>
  <si>
    <t>Ky Nguyen-Zubroksi</t>
  </si>
  <si>
    <t>817-850-8479</t>
  </si>
  <si>
    <t>ky-giao.nguyen-zubroski@gsa.gov</t>
  </si>
  <si>
    <t>8(a) sole source - negotiated.</t>
  </si>
  <si>
    <t>Houston</t>
  </si>
  <si>
    <t>On Our Own Services, Inc.</t>
  </si>
  <si>
    <t>AbilityOne Program</t>
  </si>
  <si>
    <t>Fort Smith</t>
  </si>
  <si>
    <t>ABILITIES UNLIMITED INCORPORATED</t>
  </si>
  <si>
    <t>myrtis.robinson@gsa.gov</t>
  </si>
  <si>
    <t>Shreveport</t>
  </si>
  <si>
    <t>TRESCO INC</t>
  </si>
  <si>
    <t>Custodial  Services</t>
  </si>
  <si>
    <t>DALE ROGERS TRAINING CENTER, INC.</t>
  </si>
  <si>
    <t>GOLDEN RULE INDUSTRIES OF MUSKOGEE, INC.</t>
  </si>
  <si>
    <t>El Paso</t>
  </si>
  <si>
    <t>TRAINING, REHABILITATION,</t>
  </si>
  <si>
    <t>Ftness Center Operation</t>
  </si>
  <si>
    <t>R-Professional, Administrative, Management Support services</t>
  </si>
  <si>
    <t>johne.davis@gsa.gov</t>
  </si>
  <si>
    <t>Services provided by FOH until 07/13</t>
  </si>
  <si>
    <t>Operations and Maintenance Services</t>
  </si>
  <si>
    <t>Brownsville &amp; Los Indios</t>
  </si>
  <si>
    <t>Set aside for small business based on market research</t>
  </si>
  <si>
    <t>AMF</t>
  </si>
  <si>
    <t>Purchase Decision - Best Value Trade-Off: Solicitiation No. GS-07P-13-JU-D-0021</t>
  </si>
  <si>
    <t>General Construction / Alterations</t>
  </si>
  <si>
    <t>Austin</t>
  </si>
  <si>
    <t>Task Order limitation is $500,000 and these are primarily for small projects, market research found a great deal of Small Business vendors.</t>
  </si>
  <si>
    <t>Carolina McGillick</t>
  </si>
  <si>
    <t>817-850-5579</t>
  </si>
  <si>
    <t>carolina.mcgillick@gsa.gov</t>
  </si>
  <si>
    <t>El Paso &amp; Border Region</t>
  </si>
  <si>
    <t>Isaac Karto</t>
  </si>
  <si>
    <t>817-505-5020</t>
  </si>
  <si>
    <t>isaac.karto@gsa.gov</t>
  </si>
  <si>
    <t>West Texas</t>
  </si>
  <si>
    <t>Task Order limitation is $500,000 and these are primarily for small projects, market research found a great deal of 8(a) vendors.</t>
  </si>
  <si>
    <t>San Antonio &amp; Border Region</t>
  </si>
  <si>
    <t>General Construction / Alterations - El Paso Courthouse ISA for SSA-ODAR</t>
  </si>
  <si>
    <t>Dave Matthews</t>
  </si>
  <si>
    <t>817-978-0229</t>
  </si>
  <si>
    <t>david.matthews@gsa.gov</t>
  </si>
  <si>
    <t>Method of solicitation not yet determined.</t>
  </si>
  <si>
    <t>General Construction / Alterations - El Paso Courthouse ISA for SSA-ODAR - Elevator upgrade at the old El Paso Courthouse</t>
  </si>
  <si>
    <t>McAllen &amp; Border Region</t>
  </si>
  <si>
    <t>Environmental and Consulting Services</t>
  </si>
  <si>
    <t>Q2 Environmental Services, JV</t>
  </si>
  <si>
    <t>Trevor Simon</t>
  </si>
  <si>
    <t>817-978-0122</t>
  </si>
  <si>
    <t>trevor.simon@gsa.gov</t>
  </si>
  <si>
    <t>Houston &amp; SE Texas</t>
  </si>
  <si>
    <t>PDG, Inc.</t>
  </si>
  <si>
    <t>Cyntergy AEC</t>
  </si>
  <si>
    <t>Parkhill Smith &amp; Cooper, Inc.</t>
  </si>
  <si>
    <t>Nationwide AE IDIQs</t>
  </si>
  <si>
    <t>To Be Determined</t>
  </si>
  <si>
    <t>David Holland</t>
  </si>
  <si>
    <t>817-850-5532</t>
  </si>
  <si>
    <t>david.e.holland@gsa.gov</t>
  </si>
  <si>
    <t>USMS Server Room Alterations</t>
  </si>
  <si>
    <t>Probation - Roswell Expansion</t>
  </si>
  <si>
    <t>Roswell</t>
  </si>
  <si>
    <t>Dolores Montoya</t>
  </si>
  <si>
    <t>505-248-7323</t>
  </si>
  <si>
    <t>dolores.montoya@gsa.gov</t>
  </si>
  <si>
    <t>USMS Hi-Speed doors</t>
  </si>
  <si>
    <t>Las Cruces</t>
  </si>
  <si>
    <t>HDHS/IDS Installation</t>
  </si>
  <si>
    <t>02/30/2014</t>
  </si>
  <si>
    <t>GSA Fire Pump Test Header</t>
  </si>
  <si>
    <t>GSA Replace existing Flourescent Fixtures</t>
  </si>
  <si>
    <t>GSA-Upgrade Lighting in main Lobby</t>
  </si>
  <si>
    <t>To be Determines</t>
  </si>
  <si>
    <t>Refrigerant Leak Dedector</t>
  </si>
  <si>
    <t>GSA- Replace Transformer</t>
  </si>
  <si>
    <t>Santa Fe</t>
  </si>
  <si>
    <t>Probation renovations</t>
  </si>
  <si>
    <t>Joseph Grainey</t>
  </si>
  <si>
    <t>(505) 248-7356</t>
  </si>
  <si>
    <t>joseph.grainey@gsa.gov</t>
  </si>
  <si>
    <t>Currently in planning Phase</t>
  </si>
  <si>
    <t>USMS Office renovations</t>
  </si>
  <si>
    <t>$500,000No</t>
  </si>
  <si>
    <t>5/30/2014TBD</t>
  </si>
  <si>
    <t>DHS/IDS Installation</t>
  </si>
  <si>
    <t>USMS- Server room Alterations</t>
  </si>
  <si>
    <t>2/30/2014</t>
  </si>
  <si>
    <t>Probation- Roswell Expansion</t>
  </si>
  <si>
    <t>USMS Server room Alterations</t>
  </si>
  <si>
    <t>USMS Hi- Speed Doors</t>
  </si>
  <si>
    <t>GSA Fire Pump Header</t>
  </si>
  <si>
    <t>Currently In Planning Phase</t>
  </si>
  <si>
    <t>Historic Window Installation</t>
  </si>
  <si>
    <t>Install Chillers</t>
  </si>
  <si>
    <t>Little Rock</t>
  </si>
  <si>
    <t>U.S. Custom House, Marble Hall HVAC Repairs</t>
  </si>
  <si>
    <t>Renovation of Agency Space in Building 21B</t>
  </si>
  <si>
    <t>Lakewood</t>
  </si>
  <si>
    <t>SDVOSB or HUBZone</t>
  </si>
  <si>
    <t>Laura Magee</t>
  </si>
  <si>
    <t>303-236-2834</t>
  </si>
  <si>
    <t>laura.magee@gsa.gov</t>
  </si>
  <si>
    <t>Renovate the Exhaust System in Building 20</t>
  </si>
  <si>
    <t>Shannon Sweeney</t>
  </si>
  <si>
    <t>303-236-2577</t>
  </si>
  <si>
    <t>shannon.sweeney@gsa.gov</t>
  </si>
  <si>
    <t>Tenant Improvement for USBS Building 53, F&amp;G Wing</t>
  </si>
  <si>
    <t>Agency wanted to widen opportunities to more businesses</t>
  </si>
  <si>
    <t>Susan Protho</t>
  </si>
  <si>
    <t>303-236-2570</t>
  </si>
  <si>
    <t>susan.protho@gsa.gov</t>
  </si>
  <si>
    <t>Install Data Data Cabling for USDA NFC in Building</t>
  </si>
  <si>
    <t>Sole Source Section 8(a)</t>
  </si>
  <si>
    <t>Aaron Adams</t>
  </si>
  <si>
    <t>303-236-0676</t>
  </si>
  <si>
    <t>aaron.adams@gsa.gov</t>
  </si>
  <si>
    <t>Custodial</t>
  </si>
  <si>
    <t>SDVOSB</t>
  </si>
  <si>
    <t>Two Separate Contracts - Consolidation of Sparkle Warner Joint Venture and Alcazar Trades, Inc.</t>
  </si>
  <si>
    <t>End of Extension</t>
  </si>
  <si>
    <t>Section 8(a) Competitive</t>
  </si>
  <si>
    <t>AJ'sCleaning</t>
  </si>
  <si>
    <t>Mire Whittenburg</t>
  </si>
  <si>
    <t>303-236-0967</t>
  </si>
  <si>
    <t>mire.whittenburg@gsa.gov</t>
  </si>
  <si>
    <t>Landscaping and Snow Removal</t>
  </si>
  <si>
    <t>Denver, Boulder, and Fort Collins</t>
  </si>
  <si>
    <t>Lack of interest, no small businesses available that could perform the work</t>
  </si>
  <si>
    <t>Two Separate Contracts - Consolidation of PM Services and TP Enterprises</t>
  </si>
  <si>
    <t>Courtney Westlie</t>
  </si>
  <si>
    <t>303-587-1910</t>
  </si>
  <si>
    <t>courtney.westlie@gsa.gov</t>
  </si>
  <si>
    <t>High Voltage Maintenance Services</t>
  </si>
  <si>
    <t>No small businesses found that could perform the work.</t>
  </si>
  <si>
    <t>Sturgeon Electric Company, Inc.</t>
  </si>
  <si>
    <t>Aleut Facilities Support Services, LLC</t>
  </si>
  <si>
    <t>Jill Long</t>
  </si>
  <si>
    <t>303-236-2953</t>
  </si>
  <si>
    <t>jill.long@gsa.gov</t>
  </si>
  <si>
    <t>To Be Awarded</t>
  </si>
  <si>
    <t>Mechanical Maintenance</t>
  </si>
  <si>
    <t>Springfield</t>
  </si>
  <si>
    <t>Construction, Inc</t>
  </si>
  <si>
    <t>Jane Doe</t>
  </si>
  <si>
    <t>617-565-0000</t>
  </si>
  <si>
    <t>Furniture Purchase</t>
  </si>
  <si>
    <t>Len Wilson</t>
  </si>
  <si>
    <t>303-236-2839</t>
  </si>
  <si>
    <t>len.wilson@gsa.gov</t>
  </si>
  <si>
    <t>Concrete Facade Repair</t>
  </si>
  <si>
    <t>Santa Ana</t>
  </si>
  <si>
    <t>Acq Planning ongoing</t>
  </si>
  <si>
    <t>Heather Caney</t>
  </si>
  <si>
    <t>619-557-7720</t>
  </si>
  <si>
    <t>heather.caney@gsa.gov</t>
  </si>
  <si>
    <t>Basement Expansion Design</t>
  </si>
  <si>
    <t>Los Angeles</t>
  </si>
  <si>
    <t>Fang Vilaylak</t>
  </si>
  <si>
    <t>213-894-0314</t>
  </si>
  <si>
    <t>fang.vilaylak@gsa.gov</t>
  </si>
  <si>
    <t>Install New Low Load Chiller</t>
  </si>
  <si>
    <t>8(a) Contractor</t>
  </si>
  <si>
    <t>Fire Alarm Repair</t>
  </si>
  <si>
    <t>Option</t>
  </si>
  <si>
    <t>Mary Chin</t>
  </si>
  <si>
    <t>415-522-3356</t>
  </si>
  <si>
    <t>mary.chin@gsa.gov</t>
  </si>
  <si>
    <t>New Contract. Will attempt to seek out 8(a) Vendors with dual credit for either HUB, SDVOB or Woman owned status</t>
  </si>
  <si>
    <t>purchase Decision - Best Value</t>
  </si>
  <si>
    <t>Brian Tang</t>
  </si>
  <si>
    <t>415-522-3362</t>
  </si>
  <si>
    <t>brian.tang@gsa.gov</t>
  </si>
  <si>
    <t>San Bruno</t>
  </si>
  <si>
    <t>Tucson</t>
  </si>
  <si>
    <t>Joshua Chung</t>
  </si>
  <si>
    <t>415-522-2852</t>
  </si>
  <si>
    <t>joshua.chung@gsa.gov</t>
  </si>
  <si>
    <t>Tania Ramsay</t>
  </si>
  <si>
    <t>415-522-3354</t>
  </si>
  <si>
    <t>tania.ramsay@gsa.gov</t>
  </si>
  <si>
    <t>Nogales</t>
  </si>
  <si>
    <t>Phoenix</t>
  </si>
  <si>
    <t>Appraisal Services - Fair Annual Rent (FAR) Appraisal Program</t>
  </si>
  <si>
    <t>Sources sought, FEDBIZOPS</t>
  </si>
  <si>
    <t>Morris Angell</t>
  </si>
  <si>
    <t>415-522-3473</t>
  </si>
  <si>
    <t>morris.angell@gsa.gov</t>
  </si>
  <si>
    <t>Purchase Decision-Best Value</t>
  </si>
  <si>
    <t>operations and Maintenance Services</t>
  </si>
  <si>
    <t>Calexico/Otay Mesa</t>
  </si>
  <si>
    <t>KCORP</t>
  </si>
  <si>
    <t>Purchase Decision- Best Value</t>
  </si>
  <si>
    <t>Urban Services Group</t>
  </si>
  <si>
    <t>San Ysidro</t>
  </si>
  <si>
    <t>Christopher Lee</t>
  </si>
  <si>
    <t>415-522-2877</t>
  </si>
  <si>
    <t>christopher.lee@gsa.gov</t>
  </si>
  <si>
    <t>SDVOB</t>
  </si>
  <si>
    <t>Lynn Nixon</t>
  </si>
  <si>
    <t>602-514-7433</t>
  </si>
  <si>
    <t>Lynn.Nixon@gsa.gov</t>
  </si>
  <si>
    <t>Replace HVAC unit</t>
  </si>
  <si>
    <t>Reno</t>
  </si>
  <si>
    <t>Barb Peyton</t>
  </si>
  <si>
    <t>702-388-6041</t>
  </si>
  <si>
    <t>barbara.peyton@gsa.gov</t>
  </si>
  <si>
    <t>San Francisco</t>
  </si>
  <si>
    <t>Green Genes</t>
  </si>
  <si>
    <t>Jason Cawthorne</t>
  </si>
  <si>
    <t>415-436-7971</t>
  </si>
  <si>
    <t>jason.cawthorne@gsa.gov</t>
  </si>
  <si>
    <t>Replace Domestic Hot water Heater</t>
  </si>
  <si>
    <t>Norma Quon</t>
  </si>
  <si>
    <t>213-894-3573</t>
  </si>
  <si>
    <t>norma.quon@gsa.gov</t>
  </si>
  <si>
    <t>Replace Sprinkler Valves</t>
  </si>
  <si>
    <t>Pasadena</t>
  </si>
  <si>
    <t>Other than Small</t>
  </si>
  <si>
    <t>WMB</t>
  </si>
  <si>
    <t>Various Construction Projects</t>
  </si>
  <si>
    <t>Various IDIQ Contractors</t>
  </si>
  <si>
    <t>Fire Life Safety System Upgrade</t>
  </si>
  <si>
    <t>David Burks</t>
  </si>
  <si>
    <t>775-784-5453</t>
  </si>
  <si>
    <t>david.burks@gsa.gov</t>
  </si>
  <si>
    <t>First Floor Secondary Exit and Stair</t>
  </si>
  <si>
    <t>RVS, USAO, 4th Floor</t>
  </si>
  <si>
    <t>San Diego</t>
  </si>
  <si>
    <t>Sharon Howerton</t>
  </si>
  <si>
    <t>619-557-6274</t>
  </si>
  <si>
    <t>sharon.howerton@gsa.gov</t>
  </si>
  <si>
    <t>Install roof drains</t>
  </si>
  <si>
    <t>Laguna Niguel</t>
  </si>
  <si>
    <t>Tina Hingorani</t>
  </si>
  <si>
    <t>949-360-2014</t>
  </si>
  <si>
    <t>tina.hingorani@gsa.gov</t>
  </si>
  <si>
    <t>Replace volt cables that feed main switchgear</t>
  </si>
  <si>
    <t>NOAA RVS</t>
  </si>
  <si>
    <t>Long Beach</t>
  </si>
  <si>
    <t>Air handler - coil base replacement</t>
  </si>
  <si>
    <t>Fire Alarm Design</t>
  </si>
  <si>
    <t>AHU Coil Replacement</t>
  </si>
  <si>
    <t>Henry Huynh</t>
  </si>
  <si>
    <t>213-894-8680</t>
  </si>
  <si>
    <t>henry.huynh@gsa.gov</t>
  </si>
  <si>
    <t>Install New Fire Alarm</t>
  </si>
  <si>
    <t>Emergency Generator</t>
  </si>
  <si>
    <t>Chief Counsels Suite Design</t>
  </si>
  <si>
    <t>TES Tank</t>
  </si>
  <si>
    <t>Short Term Car Rental</t>
  </si>
  <si>
    <t>North Haven</t>
  </si>
  <si>
    <t>BPA / MAS</t>
  </si>
  <si>
    <t>Unrestricted to maximize competition</t>
  </si>
  <si>
    <t>N</t>
  </si>
  <si>
    <t>Acme Auto Leasing</t>
  </si>
  <si>
    <t>Jeff Meyers</t>
  </si>
  <si>
    <t>703-605-2951</t>
  </si>
  <si>
    <t>jeffrey.meyers@gsa.gov</t>
  </si>
  <si>
    <t>Parsippany</t>
  </si>
  <si>
    <t>Avis Rent a Car</t>
  </si>
  <si>
    <t>St Louis</t>
  </si>
  <si>
    <t>EAN Holdings, LLC (Enterprise Rent-a-Car)</t>
  </si>
  <si>
    <t>The Hertz Corporation</t>
  </si>
  <si>
    <t>Belton</t>
  </si>
  <si>
    <t>Matran, Inc.</t>
  </si>
  <si>
    <t>Reading</t>
  </si>
  <si>
    <t>Penske Truck Leasing Co, LP</t>
  </si>
  <si>
    <t>Lake Charles</t>
  </si>
  <si>
    <t>Premier Leasing, Inc.</t>
  </si>
  <si>
    <t>Miami</t>
  </si>
  <si>
    <t>Ryder Truck Rental, Inc.</t>
  </si>
  <si>
    <t>Boston</t>
  </si>
  <si>
    <t>Mobility, Inc (Zipcar)</t>
  </si>
  <si>
    <t>Dollar Thrifty Auto Group, Inc.</t>
  </si>
  <si>
    <t>Equipment Short Term Rental</t>
  </si>
  <si>
    <t>Neff Rental</t>
  </si>
  <si>
    <t>Park Ridge</t>
  </si>
  <si>
    <t>Hertz Equipment Rental Corp</t>
  </si>
  <si>
    <t>Virginia Beach</t>
  </si>
  <si>
    <t>MJL Enterprises LLC</t>
  </si>
  <si>
    <t>Scottsdale</t>
  </si>
  <si>
    <t>United Rentals, Inc.</t>
  </si>
  <si>
    <t>GSA Fleet Auction &amp; Marshalling Services</t>
  </si>
  <si>
    <t>Leesville</t>
  </si>
  <si>
    <t>Full &amp; Open</t>
  </si>
  <si>
    <t>Rawls AA</t>
  </si>
  <si>
    <t>Chattanooga</t>
  </si>
  <si>
    <t>Acacia Chattanooga Vehicle Auction</t>
  </si>
  <si>
    <t>Billings</t>
  </si>
  <si>
    <t>Auto Auction Montana</t>
  </si>
  <si>
    <t>Denver</t>
  </si>
  <si>
    <t>Dickensheet &amp; Assoc</t>
  </si>
  <si>
    <t>Akron</t>
  </si>
  <si>
    <t>Akron AA</t>
  </si>
  <si>
    <t>Oklahoma Auto Exchange</t>
  </si>
  <si>
    <t>Columbia</t>
  </si>
  <si>
    <t>Missouri Auto Auction</t>
  </si>
  <si>
    <t>Rio Linda</t>
  </si>
  <si>
    <t>Brashers Sac Auto Auction</t>
  </si>
  <si>
    <t>Port Madre</t>
  </si>
  <si>
    <t>PASHA</t>
  </si>
  <si>
    <t>Norwalk</t>
  </si>
  <si>
    <t>Norwalk AA</t>
  </si>
  <si>
    <t>Nampa</t>
  </si>
  <si>
    <t>Dealers Auto Auction of Idaho</t>
  </si>
  <si>
    <t>Pasco</t>
  </si>
  <si>
    <t>Action Auto Services</t>
  </si>
  <si>
    <t>Dealers Auto Auction of Alaska</t>
  </si>
  <si>
    <t>Brasher's Northwest Auto Auction</t>
  </si>
  <si>
    <t>Brashers Cascade</t>
  </si>
  <si>
    <t>Bremerton</t>
  </si>
  <si>
    <t>Skookum Contract Services</t>
  </si>
  <si>
    <t>Pearl</t>
  </si>
  <si>
    <t>Mid South Auction (Rea Brother's)</t>
  </si>
  <si>
    <t>Bel Air</t>
  </si>
  <si>
    <t>BSC America (Bel Air)</t>
  </si>
  <si>
    <t>Mountain State Auto Auction (Cap City)</t>
  </si>
  <si>
    <t>Dealers Auto Auction of Oklahoma</t>
  </si>
  <si>
    <t>San Antonio</t>
  </si>
  <si>
    <t>Sparkling City Auto Auction</t>
  </si>
  <si>
    <t>Londonderry</t>
  </si>
  <si>
    <t>Auto Auction of New England</t>
  </si>
  <si>
    <t>Hamdem</t>
  </si>
  <si>
    <t>Central Auto Auction</t>
  </si>
  <si>
    <t>Ft Wayne</t>
  </si>
  <si>
    <t>Indiana Auto Auction</t>
  </si>
  <si>
    <t>Kansas City Auto Auction</t>
  </si>
  <si>
    <t>Memphis</t>
  </si>
  <si>
    <t>Memphis Auto Auction</t>
  </si>
  <si>
    <t>Syracuse</t>
  </si>
  <si>
    <t>Liberty Collision</t>
  </si>
  <si>
    <t>Columbus</t>
  </si>
  <si>
    <t>Columbus Fair Auto Auction</t>
  </si>
  <si>
    <t>Waverly</t>
  </si>
  <si>
    <t>Lincoln Auto Auction</t>
  </si>
  <si>
    <t>El Paso Independent Auto Auction</t>
  </si>
  <si>
    <t>Alcon</t>
  </si>
  <si>
    <t>Airport Auto Auction</t>
  </si>
  <si>
    <t>Tallahasasee</t>
  </si>
  <si>
    <t>Tallahasasee Auto Auction</t>
  </si>
  <si>
    <t>York Haven</t>
  </si>
  <si>
    <t>Penn Detroit Diesel Allison</t>
  </si>
  <si>
    <t>Metro Auto Auction</t>
  </si>
  <si>
    <t>Salt Lake City</t>
  </si>
  <si>
    <t>Brashers Salt Lake Auto Auction</t>
  </si>
  <si>
    <t>Tuscon</t>
  </si>
  <si>
    <t>FABCO Enterprises, Inc.</t>
  </si>
  <si>
    <t>Scranton</t>
  </si>
  <si>
    <t>Northeast Pennsylvania Auto Auction</t>
  </si>
  <si>
    <t>Greenville</t>
  </si>
  <si>
    <t>Greenville Auto Auction</t>
  </si>
  <si>
    <t>Jacksonville</t>
  </si>
  <si>
    <t>Amports</t>
  </si>
  <si>
    <t>Farmington</t>
  </si>
  <si>
    <t>Farmington Auto Auction</t>
  </si>
  <si>
    <t>Chippewa Falls</t>
  </si>
  <si>
    <t>Western Wisconsin Auto Auction</t>
  </si>
  <si>
    <t>New York Mills</t>
  </si>
  <si>
    <t>Mid State Auto Auction, Inc.</t>
  </si>
  <si>
    <t>Oceanside</t>
  </si>
  <si>
    <t>S&amp;R Towing</t>
  </si>
  <si>
    <t>Milan</t>
  </si>
  <si>
    <t>Greater Quad City Auto Auction</t>
  </si>
  <si>
    <t>Gaylord</t>
  </si>
  <si>
    <t>Alpine Auto Auction of Gaylord</t>
  </si>
  <si>
    <t>Tidewater Auto Auction</t>
  </si>
  <si>
    <t>City Enterprise, LLC</t>
  </si>
  <si>
    <t>I66 Auto Auction</t>
  </si>
  <si>
    <t>Clarence</t>
  </si>
  <si>
    <t>Main Mobility, Inc.</t>
  </si>
  <si>
    <t>Missouri Auto Dealers Exchange</t>
  </si>
  <si>
    <t>New Stanton</t>
  </si>
  <si>
    <t>Pittsburgh Independent Auto Auction</t>
  </si>
  <si>
    <t>Schmitt's Superior Classics</t>
  </si>
  <si>
    <t>Houston Auto Auction</t>
  </si>
  <si>
    <t>Hamden</t>
  </si>
  <si>
    <t>Spray Master Auto Body</t>
  </si>
  <si>
    <t>Conshohocken</t>
  </si>
  <si>
    <t>Carriage Trade Public Auto Auction</t>
  </si>
  <si>
    <t>Carolina</t>
  </si>
  <si>
    <t>Prime Air Corp</t>
  </si>
  <si>
    <t>Sierra Auction</t>
  </si>
  <si>
    <t>GSA Fleet - Admin support</t>
  </si>
  <si>
    <t>TX, CA, GA</t>
  </si>
  <si>
    <t>Full &amp; Open / BPA / Task Order</t>
  </si>
  <si>
    <t>Unrestricted to maximize competition, but at the time of award, the vendors was a WOSB</t>
  </si>
  <si>
    <t>GCS Admin Suppport</t>
  </si>
  <si>
    <t>GSA Fleet - Afghanistan Support</t>
  </si>
  <si>
    <t>USFOR-A / Centcom - Afghanistan</t>
  </si>
  <si>
    <t>GCS Admin support</t>
  </si>
  <si>
    <t>GSA Fleet - Admin Support</t>
  </si>
  <si>
    <t>GCS Admin Support</t>
  </si>
  <si>
    <t>GSA Fleet - Used Vehicle Market Value Research Tool</t>
  </si>
  <si>
    <t>Gainsville</t>
  </si>
  <si>
    <t>Sole source acquisition - only one source</t>
  </si>
  <si>
    <t>BlackBook</t>
  </si>
  <si>
    <t>GSA Fleet Vehicle Residual Value  Research Tool</t>
  </si>
  <si>
    <t>Santa Barbara</t>
  </si>
  <si>
    <t>$28.000.00</t>
  </si>
  <si>
    <t>Residual Forecasting</t>
  </si>
  <si>
    <t>On line automotive repair manuals</t>
  </si>
  <si>
    <t>Poway</t>
  </si>
  <si>
    <t>Mitchell Repair Information Co. LLC</t>
  </si>
  <si>
    <t>Licensing agreement for resale vehicle tracking</t>
  </si>
  <si>
    <t>Atlanta</t>
  </si>
  <si>
    <t>AutoIMS</t>
  </si>
  <si>
    <t>Stolen Vehicle Tracking System</t>
  </si>
  <si>
    <t>Sole source acquisition - licensing agreement</t>
  </si>
  <si>
    <t>National Law Enforcement Tele-Communications System (NLETS)</t>
  </si>
  <si>
    <t>On line Driver Safety Training</t>
  </si>
  <si>
    <t>Merrifield</t>
  </si>
  <si>
    <t>National Safety Council</t>
  </si>
  <si>
    <t>Document Imaging</t>
  </si>
  <si>
    <t>Dayton</t>
  </si>
  <si>
    <t>Integrated Solutions &amp; Services</t>
  </si>
  <si>
    <t>Car Sharing</t>
  </si>
  <si>
    <t>Reston</t>
  </si>
  <si>
    <t>Government Marketing &amp; Procurement</t>
  </si>
  <si>
    <t>GSA Fleet Refueling Vehicles</t>
  </si>
  <si>
    <t>Reidsville</t>
  </si>
  <si>
    <t>Isometrics GS-30F-1032D</t>
  </si>
  <si>
    <t>GSA Fleet Trailers</t>
  </si>
  <si>
    <t>Bradenton</t>
  </si>
  <si>
    <t>Globe Trailer 0027R</t>
  </si>
  <si>
    <t>Marysville</t>
  </si>
  <si>
    <t>Landoll 0016L</t>
  </si>
  <si>
    <t>Tampa</t>
  </si>
  <si>
    <t>Federal Contracts Corp</t>
  </si>
  <si>
    <t>Baton Rouge</t>
  </si>
  <si>
    <t>H&amp;E Equpment Service</t>
  </si>
  <si>
    <t>Fort Mill</t>
  </si>
  <si>
    <t>Sunbelt Rentals, Inc.</t>
  </si>
  <si>
    <t>Contract Support Services for Acquisition Support</t>
  </si>
  <si>
    <t>LH</t>
  </si>
  <si>
    <t>Alina Sadoveanu</t>
  </si>
  <si>
    <t>703-603-8490</t>
  </si>
  <si>
    <t>Alina.Sadoveanu@gsa.gov</t>
  </si>
  <si>
    <t>BPA ends on Jan 2017</t>
  </si>
  <si>
    <t>GSA SmartPay Virtual Training</t>
  </si>
  <si>
    <t>Joe Swisher</t>
  </si>
  <si>
    <t>703-603-8202</t>
  </si>
  <si>
    <t>joseph.swisher@gsa.gov</t>
  </si>
  <si>
    <t>GSA SmartPay Website and Online Training</t>
  </si>
  <si>
    <t>Omnistudio</t>
  </si>
  <si>
    <t>Award</t>
  </si>
  <si>
    <t>Professional Services Support for GSA SmartPay PMO</t>
  </si>
  <si>
    <t>OmniStudio</t>
  </si>
  <si>
    <t>Gregory Pope</t>
  </si>
  <si>
    <t>703-603-2153</t>
  </si>
  <si>
    <t>gregory.pope@gsa.gov</t>
  </si>
  <si>
    <t>IT Professional Services for 3rd Party Payment and Transportation Management Services</t>
  </si>
  <si>
    <t>Vector Consulting</t>
  </si>
  <si>
    <t>Michelle Petryszyn</t>
  </si>
  <si>
    <t>703-785-8498</t>
  </si>
  <si>
    <t>michelle.petryszyn@gsa.gov</t>
  </si>
  <si>
    <t>TMSS Pre-Payment Audit Services</t>
  </si>
  <si>
    <t>MAS is set aside</t>
  </si>
  <si>
    <t>National Traffic</t>
  </si>
  <si>
    <t>ERRC Targeted Research &amp; Consulting Support</t>
  </si>
  <si>
    <t>Mercury Inc.</t>
  </si>
  <si>
    <t>SME Support for CPP - Data Analysis of Nonstop Service &amp; International Markets</t>
  </si>
  <si>
    <t>Buford</t>
  </si>
  <si>
    <t>Innovata, LLC</t>
  </si>
  <si>
    <t>Kwanita Brown</t>
  </si>
  <si>
    <t>703-605-2987</t>
  </si>
  <si>
    <t>kwanita.brown@gsa.gov</t>
  </si>
  <si>
    <t>SME Support for Center for Travel and Transportation PMO - Security</t>
  </si>
  <si>
    <t>Silomasters</t>
  </si>
  <si>
    <t>Mary Moran</t>
  </si>
  <si>
    <t>703-605-3116</t>
  </si>
  <si>
    <t>mary.moran@gsa.gov</t>
  </si>
  <si>
    <t>SME Support for Center for Travel and Transportation PMO - Contract Administartion</t>
  </si>
  <si>
    <t>CACI</t>
  </si>
  <si>
    <t>SME Support for Center for Travel and Transportation - Program Management</t>
  </si>
  <si>
    <t>DELL</t>
  </si>
  <si>
    <t>SME Support for Center for Travel and Transportation - Travel SME Consulting</t>
  </si>
  <si>
    <t>Travel Tech Consulting</t>
  </si>
  <si>
    <t>Center for Travel and Transportation - Data Archive and Analysis</t>
  </si>
  <si>
    <t>TRX</t>
  </si>
  <si>
    <t>Feb 2014</t>
  </si>
  <si>
    <t>Sep 2014</t>
  </si>
  <si>
    <t>Facility Engineering Support Services</t>
  </si>
  <si>
    <t>States of Kansas, Missouri, Iowa, and Nebraska</t>
  </si>
  <si>
    <t>Facility Engineering Associates, P.C.</t>
  </si>
  <si>
    <t>Matt Allen</t>
  </si>
  <si>
    <t>816-823-2175</t>
  </si>
  <si>
    <t>matt.allen@gsa.gov</t>
  </si>
  <si>
    <t>Combined Environmental</t>
  </si>
  <si>
    <t>Occu-Tec, Inc.</t>
  </si>
  <si>
    <t>Rolf Jensen &amp; Associates, Inc.</t>
  </si>
  <si>
    <t>Diaster Recovery Services</t>
  </si>
  <si>
    <t>Polygon U.S. Corporation</t>
  </si>
  <si>
    <t>Lab Analysis Services</t>
  </si>
  <si>
    <t>Bureau Veritas North America, Inc.</t>
  </si>
  <si>
    <t>Office Relocation Services</t>
  </si>
  <si>
    <t>V-Transportation/Travel/Relocation</t>
  </si>
  <si>
    <t>Superior Moving Service</t>
  </si>
  <si>
    <t>Environmental Services</t>
  </si>
  <si>
    <t>Terracon Consultants</t>
  </si>
  <si>
    <t>Terrance Cowley</t>
  </si>
  <si>
    <t>816-926-6905</t>
  </si>
  <si>
    <t>terrance.cowley@gsa.gov</t>
  </si>
  <si>
    <t>Sioux City</t>
  </si>
  <si>
    <t>CMC and Maintenance</t>
  </si>
  <si>
    <t>Crystal Martin</t>
  </si>
  <si>
    <t>816-926-7571</t>
  </si>
  <si>
    <t>crystal.martin@gsa.gov</t>
  </si>
  <si>
    <t>Hannibal</t>
  </si>
  <si>
    <t>Mandatory Source- NISH</t>
  </si>
  <si>
    <t>Learning Opportunity/Quality Works, Inc.</t>
  </si>
  <si>
    <t>Cape Girardeau</t>
  </si>
  <si>
    <t>Cape Girardeau Community Sheltered Workshop dba VIP Industries</t>
  </si>
  <si>
    <t>St. Louis</t>
  </si>
  <si>
    <t>Small Business - 8(a) Competitive</t>
  </si>
  <si>
    <t>NHS-ATI Joint Venture GSA-KC</t>
  </si>
  <si>
    <t>LB&amp;B Associates</t>
  </si>
  <si>
    <t>Copier Maintenance Service</t>
  </si>
  <si>
    <t>Konica Minolta Business Solutions</t>
  </si>
  <si>
    <t>Mail room services</t>
  </si>
  <si>
    <t>JobOne</t>
  </si>
  <si>
    <t>Christy Pearce</t>
  </si>
  <si>
    <t>The Helping Hand of Goodwill</t>
  </si>
  <si>
    <t>Goodwill Speciality</t>
  </si>
  <si>
    <t>Small Business - 8(a)</t>
  </si>
  <si>
    <t>L&amp;J Building Maintenance</t>
  </si>
  <si>
    <t>Stacie Welte</t>
  </si>
  <si>
    <t>816-823-3393</t>
  </si>
  <si>
    <t>stacie.welte@gsa.gov</t>
  </si>
  <si>
    <t>Des Moines</t>
  </si>
  <si>
    <t>Goodwill Solutions, Inc.</t>
  </si>
  <si>
    <t>Stacie.welte@gsa.gov</t>
  </si>
  <si>
    <t>Complete Maintenance</t>
  </si>
  <si>
    <t>janitorial and Related Services</t>
  </si>
  <si>
    <t>Topeka</t>
  </si>
  <si>
    <t>NAM LLC</t>
  </si>
  <si>
    <t>Peggy Cobb</t>
  </si>
  <si>
    <t>816-823-2206</t>
  </si>
  <si>
    <t>peggy.cobb@gsa.gov</t>
  </si>
  <si>
    <t>Wichita</t>
  </si>
  <si>
    <t>P. Moore &amp; L. Williams JV</t>
  </si>
  <si>
    <t>Pittsburg</t>
  </si>
  <si>
    <t>Topeka and Wichita</t>
  </si>
  <si>
    <t>$5,900.000.00</t>
  </si>
  <si>
    <t>Urban Services</t>
  </si>
  <si>
    <t>Davenport and Iowa City</t>
  </si>
  <si>
    <t>Overland</t>
  </si>
  <si>
    <t>Challenge Unlimited, Inc</t>
  </si>
  <si>
    <t>Shannon Thomas</t>
  </si>
  <si>
    <t>816-926-1885</t>
  </si>
  <si>
    <t>shannon.thomas@gsa.gov</t>
  </si>
  <si>
    <t>Iowa City and Davenport</t>
  </si>
  <si>
    <t>Small Business Set Aside</t>
  </si>
  <si>
    <t>DLPI Joint Venture</t>
  </si>
  <si>
    <t>LB&amp;B Associates, Inc</t>
  </si>
  <si>
    <t>Cedar Rapids</t>
  </si>
  <si>
    <t>Lawn and Grounds Maintenance</t>
  </si>
  <si>
    <t>St. Louis and Overland</t>
  </si>
  <si>
    <t>Ideal Landscape Group</t>
  </si>
  <si>
    <t>Solid Waste Removal</t>
  </si>
  <si>
    <t>Deffenbaugh Industries</t>
  </si>
  <si>
    <t>Lincoln</t>
  </si>
  <si>
    <t>Mandatory - NISH</t>
  </si>
  <si>
    <t>Goodwill Specialty Services, Inc.</t>
  </si>
  <si>
    <t>Small Business 8A</t>
  </si>
  <si>
    <t>Wilson Five Service Group</t>
  </si>
  <si>
    <t>Solid Waste Disposal</t>
  </si>
  <si>
    <t>Deffenbaugh</t>
  </si>
  <si>
    <t>Reprocurement</t>
  </si>
  <si>
    <t>Alex Wrisinger</t>
  </si>
  <si>
    <t>816-823-3220</t>
  </si>
  <si>
    <t>alex.wrisinger@gsa.gov</t>
  </si>
  <si>
    <t>Lawn &amp; Grounds Maintenance</t>
  </si>
  <si>
    <t>Konrady's Lawn and Landscape</t>
  </si>
  <si>
    <t>Mandatory Source - Ability One</t>
  </si>
  <si>
    <t>Administrative Support Services</t>
  </si>
  <si>
    <t>One Federal Solution</t>
  </si>
  <si>
    <t>O&amp;M</t>
  </si>
  <si>
    <t>Jefferson City</t>
  </si>
  <si>
    <t>Wilson 5</t>
  </si>
  <si>
    <t>Snow Removal</t>
  </si>
  <si>
    <t>Lotus Lawncare and Services</t>
  </si>
  <si>
    <t>MGI</t>
  </si>
  <si>
    <t>Exercise Follow-On</t>
  </si>
  <si>
    <t>Hai H. Nguyen</t>
  </si>
  <si>
    <t>816.823.2212</t>
  </si>
  <si>
    <t>hai.nguyen@gsa.gov</t>
  </si>
  <si>
    <t>World Management</t>
  </si>
  <si>
    <t>Waste Management of St. Louis</t>
  </si>
  <si>
    <t>Siemens Building Technologies, Inc.</t>
  </si>
  <si>
    <t>Tech Electronics</t>
  </si>
  <si>
    <t>Community Improvement District Services</t>
  </si>
  <si>
    <t>Downtown KC Community Improvement District</t>
  </si>
  <si>
    <t>Hai.nguyen@gsa.gov</t>
  </si>
  <si>
    <t>Downtown Shareholders of KC, KS</t>
  </si>
  <si>
    <t>The Partnership for Downtown St. Louis</t>
  </si>
  <si>
    <t>Relocation Services</t>
  </si>
  <si>
    <t>A current contract in place, vendor familiar with building, and staff already cleared.</t>
  </si>
  <si>
    <t>Superior Moving Service Inc.</t>
  </si>
  <si>
    <t>Lea Avila</t>
  </si>
  <si>
    <t>816-426-3963</t>
  </si>
  <si>
    <t>lea.avila@gsa.gov</t>
  </si>
  <si>
    <t>Sound Dampening/Masking System</t>
  </si>
  <si>
    <t>Circulate business opportunities with small business community</t>
  </si>
  <si>
    <t>Sound Products Inc.</t>
  </si>
  <si>
    <t>Richard Sanders</t>
  </si>
  <si>
    <t>richard.sanders@gsa.gov</t>
  </si>
  <si>
    <t>Structural Modifications &amp; Electrical Improvements</t>
  </si>
  <si>
    <t>Vazquez Commercial Contracting, LLC</t>
  </si>
  <si>
    <t>Robert Petkoff</t>
  </si>
  <si>
    <t>robert.petkoff@gsa.gov</t>
  </si>
  <si>
    <t>Exterior Improvements</t>
  </si>
  <si>
    <t>Gerry Wilson</t>
  </si>
  <si>
    <t>gerry.wilson@gsa.gov</t>
  </si>
  <si>
    <t>Interior Improvements</t>
  </si>
  <si>
    <t>Louver Infiltration</t>
  </si>
  <si>
    <t>Recapture Basement at Zorinsky</t>
  </si>
  <si>
    <t>Shawn Starostka</t>
  </si>
  <si>
    <t>402-221-4714</t>
  </si>
  <si>
    <t>shawn.starostka@gsa.gov</t>
  </si>
  <si>
    <t>Airshaft Insulation Removal at Zorinsky</t>
  </si>
  <si>
    <t>NPS CRAC Unit Removal/Install at Denney</t>
  </si>
  <si>
    <t>3rd Floor Common Area Finishes at Denney</t>
  </si>
  <si>
    <t>Dot / FHWA Card Reader Installation</t>
  </si>
  <si>
    <t>Crestridge 2004, LLC</t>
  </si>
  <si>
    <t>Jason Parker</t>
  </si>
  <si>
    <t>785-295-2555</t>
  </si>
  <si>
    <t>Jason.Parker@gsa.gov</t>
  </si>
  <si>
    <t>The Lessor (Doug Bassett) has first right of refusal and has accepted the work.</t>
  </si>
  <si>
    <t>Planned Maintenance for Air Handlers</t>
  </si>
  <si>
    <t>Lees Summit</t>
  </si>
  <si>
    <t>Proprietary equipment</t>
  </si>
  <si>
    <t>Edwards McDowall Inc.</t>
  </si>
  <si>
    <t>Mo Curdy</t>
  </si>
  <si>
    <t>816-823-2239</t>
  </si>
  <si>
    <t>mareen.curdy@gsa.gov</t>
  </si>
  <si>
    <t>BA80, NARA</t>
  </si>
  <si>
    <t>Fire Alarm Maintenance</t>
  </si>
  <si>
    <t>Siemens Industries</t>
  </si>
  <si>
    <t>Fire Alarm Mtnce - Building 41, 1500 E. Bannniste Road</t>
  </si>
  <si>
    <t>Fire Alarm Mtcne - 8930 Ward Parkway, Kansas City, MO</t>
  </si>
  <si>
    <t>Fire Control Panels</t>
  </si>
  <si>
    <t>Vazquez Commerical Contracting</t>
  </si>
  <si>
    <t>2306 E. Bannister Road, BA 54</t>
  </si>
  <si>
    <t>Small Business goal</t>
  </si>
  <si>
    <t>Nam Brooks</t>
  </si>
  <si>
    <t>80 Lafayette, Jefferson City, MO</t>
  </si>
  <si>
    <t>McGee Hauling</t>
  </si>
  <si>
    <t>1500/2306/2312 E. Bannister Road, KCMO</t>
  </si>
  <si>
    <t>H&amp;W Building Maintenance</t>
  </si>
  <si>
    <t>8930 Ward Parkway, KCMO</t>
  </si>
  <si>
    <t>Fall Clean Up</t>
  </si>
  <si>
    <t>Konrady's</t>
  </si>
  <si>
    <t>Install a Fitness Room Floor for US Probation</t>
  </si>
  <si>
    <t>Davenport</t>
  </si>
  <si>
    <t>The Wilson Group</t>
  </si>
  <si>
    <t>Kathy Routson-Jones</t>
  </si>
  <si>
    <t>515-284-4043</t>
  </si>
  <si>
    <t>kathy.routsonjones@gsa.gov</t>
  </si>
  <si>
    <t>Install PACS System</t>
  </si>
  <si>
    <t>Previous Knowledge of project</t>
  </si>
  <si>
    <t>EmbarkIT, Inc.</t>
  </si>
  <si>
    <t>CMC&amp; Maintenance, Inc.</t>
  </si>
  <si>
    <t>Iowa City &amp; Davenport</t>
  </si>
  <si>
    <t>Goodwill Solutions</t>
  </si>
  <si>
    <t>lee Tittle, 816-926-7016, lee.tittle@gsa.gov</t>
  </si>
  <si>
    <t>Constructing a conference Room</t>
  </si>
  <si>
    <t>Open Market for competition</t>
  </si>
  <si>
    <t>Building office for FPS</t>
  </si>
  <si>
    <t>Space Alterations for VA</t>
  </si>
  <si>
    <t>Add walls to current space</t>
  </si>
  <si>
    <t>Lessor</t>
  </si>
  <si>
    <t>Move agency from 929 to 891</t>
  </si>
  <si>
    <t>Purchase and install Conference room door</t>
  </si>
  <si>
    <t>Install hardwood floor</t>
  </si>
  <si>
    <t>Electrical work</t>
  </si>
  <si>
    <t>Soiux City</t>
  </si>
  <si>
    <t>N0737629 - USDA Space Reduction</t>
  </si>
  <si>
    <t>Christopher Cox</t>
  </si>
  <si>
    <t>816.926.7894</t>
  </si>
  <si>
    <t>christopher.cox@gsa.gov</t>
  </si>
  <si>
    <t>RIA0146 - USDA GIPSA Space Reduction</t>
  </si>
  <si>
    <t>RIA00153 - HUD Forced Move</t>
  </si>
  <si>
    <t>RIA00142 - DHS ICE Expansion</t>
  </si>
  <si>
    <t>RMO00546 - BAS &amp; Electrical Improvements</t>
  </si>
  <si>
    <t>Eric Bowie</t>
  </si>
  <si>
    <t>816-926-5029</t>
  </si>
  <si>
    <t>eric.bowie@gsa.gov</t>
  </si>
  <si>
    <t>RMO00575 - New Boilers</t>
  </si>
  <si>
    <t>Vickie Ford</t>
  </si>
  <si>
    <t>816-823-2247</t>
  </si>
  <si>
    <t>vickie.ford@gsa.gov</t>
  </si>
  <si>
    <t>RMO00530 - VSR-USDA NITC</t>
  </si>
  <si>
    <t>SSA Barrier</t>
  </si>
  <si>
    <t>Chad Jasper</t>
  </si>
  <si>
    <t>816.823.2171</t>
  </si>
  <si>
    <t>chad.jasper@gsa.gov</t>
  </si>
  <si>
    <t>RNE00075 - SSA Space Renovation</t>
  </si>
  <si>
    <t>North Platte</t>
  </si>
  <si>
    <t>Peggy Jewett</t>
  </si>
  <si>
    <t>816.823.2266</t>
  </si>
  <si>
    <t>peggy.jewett@gsa.gov</t>
  </si>
  <si>
    <t>Multiple Award Architectural/Engineering Services</t>
  </si>
  <si>
    <t>Exercising Options</t>
  </si>
  <si>
    <t>Multiple Contractors</t>
  </si>
  <si>
    <t>Varied Dates</t>
  </si>
  <si>
    <t>Contruction Services - Multiple Award IDIQ Construction Contract</t>
  </si>
  <si>
    <t>Chris Cox</t>
  </si>
  <si>
    <t>Construction Services - Multiple Award IDIQ Term Construction Contract</t>
  </si>
  <si>
    <t>Construction Services - IDIQ Term Construction Contract</t>
  </si>
  <si>
    <t>To be awarded</t>
  </si>
  <si>
    <t>Nitrogen System Fire Suppression - Eagleton</t>
  </si>
  <si>
    <t>Kris Hundsdorfer</t>
  </si>
  <si>
    <t>314-539-7305</t>
  </si>
  <si>
    <t>kris.hundsdorfer@gsa.gov</t>
  </si>
  <si>
    <t>BAS/Electrical Repairs - Limbaugh Courthouse</t>
  </si>
  <si>
    <t>CRAC Unit Repairs- Limbaugh Courthouse</t>
  </si>
  <si>
    <t>Water Sensor Project- Limbaugh Courthouse</t>
  </si>
  <si>
    <t>Curtain Wall Repairs- Limbaugh Courthouse</t>
  </si>
  <si>
    <t>Humidification Repairs- Limbaugh Courthouse</t>
  </si>
  <si>
    <t>Sharon Schuler</t>
  </si>
  <si>
    <t>sharon.schuler@gsa.gov</t>
  </si>
  <si>
    <t>Elevator Safety Phones - Limbaugh Courthouse</t>
  </si>
  <si>
    <t>Stanley</t>
  </si>
  <si>
    <t>Fire Alarm Maintenance - Limbaugh Courthouse</t>
  </si>
  <si>
    <t>314-539-7316</t>
  </si>
  <si>
    <t>Fire Alarm Monitoring - Limbaugh Courthouse</t>
  </si>
  <si>
    <t>Urban Maintenance</t>
  </si>
  <si>
    <t>Partnership for Downtown St. Louis</t>
  </si>
  <si>
    <t>Tom Yochim</t>
  </si>
  <si>
    <t>tom.yochim@gsa.gov</t>
  </si>
  <si>
    <t>International Systems of America</t>
  </si>
  <si>
    <t>USPO Lab Modifications</t>
  </si>
  <si>
    <t>US Pretrial Space Release</t>
  </si>
  <si>
    <t>Daycare Upgrades</t>
  </si>
  <si>
    <t>DOL Space Refresh</t>
  </si>
  <si>
    <t>Cafeteria Kitchen Floors</t>
  </si>
  <si>
    <t>PBS/FAS Consolidation</t>
  </si>
  <si>
    <t>VA Office Renovation 3rd floor @ RAY</t>
  </si>
  <si>
    <t>ATF-Carpet &amp; Paint @ RAY</t>
  </si>
  <si>
    <t>USCG-Installation of new carpet in COOP space 8th floor @ RAY</t>
  </si>
  <si>
    <t>USCG-Installation of new ceiling hung A/C in Annex @ RAY</t>
  </si>
  <si>
    <t>USCG-Installation of (2) new lock sets Sector 7th floor @ RAY</t>
  </si>
  <si>
    <t>USCG-Replacement of slot diffusers w/ lay-in diffusers in COOP Space @ RAY</t>
  </si>
  <si>
    <t>USCG-Space Alterations 7th floor Sector Space @ RAY</t>
  </si>
  <si>
    <t>IRS-Replace capacitors in UPS in Data Center @ RAY</t>
  </si>
  <si>
    <t>IRS-Replace Check Valve in Fire System Pre-action System Data Center @ RAY</t>
  </si>
  <si>
    <t>USCG-Repairs to pre-action system &amp; piping flush @ RAY</t>
  </si>
  <si>
    <t>CSC-Sprinkler piping flush pre-action system data center @ RAY</t>
  </si>
  <si>
    <t>IRS-UPS&amp;PDU Maintenance FY14 @ RAY</t>
  </si>
  <si>
    <t>IRS-Simplex Fire System Panel Maintenance FY14 @ RAY</t>
  </si>
  <si>
    <t>COE-Simplex Fire System Panel Maintenace FY14 @ RAY</t>
  </si>
  <si>
    <t>Food Compost Recycling - RAY Federal Building</t>
  </si>
  <si>
    <t>Fire Alarm Maintenance @ RAY</t>
  </si>
  <si>
    <t>CO2 Sensor Repair - Limbaugh Courthouse</t>
  </si>
  <si>
    <t>Turnkey  remove &amp; replace 750 ton cooled chiller, Fritz Lanham FB, Ft. Worth TX</t>
  </si>
  <si>
    <t>Ft. Worth</t>
  </si>
  <si>
    <t>Niki Wilson</t>
  </si>
  <si>
    <t>817-978-6185</t>
  </si>
  <si>
    <t>niki.wilson@gsa.gov</t>
  </si>
  <si>
    <t>Lead Abatement</t>
  </si>
  <si>
    <t>Ogden</t>
  </si>
  <si>
    <t>Market research for different 8(a)s that have done similar work for us before.</t>
  </si>
  <si>
    <t>Jeffrey Rich</t>
  </si>
  <si>
    <t>801.524.4133</t>
  </si>
  <si>
    <t>jeffrey.rich@gsa.gov</t>
  </si>
  <si>
    <t>Fire Panel Replacement</t>
  </si>
  <si>
    <t>Provo</t>
  </si>
  <si>
    <t>This project will be looked at to compete amongst small businesses in the local area.</t>
  </si>
  <si>
    <t>Jerry Silver</t>
  </si>
  <si>
    <t>801.524.5260</t>
  </si>
  <si>
    <t>gerald.silver@gsa.gov</t>
  </si>
  <si>
    <t>Main Switch Gear Replacement</t>
  </si>
  <si>
    <t>This project will be competed amongst local small business in the area</t>
  </si>
  <si>
    <t>Jessica Pimentel</t>
  </si>
  <si>
    <t>jessica.pimentel@gsa.gov</t>
  </si>
  <si>
    <t>Cooling Tower Retrofit</t>
  </si>
  <si>
    <t>This project will be set-aside to 8(a) contractors in the local area that focus on HVAC work.</t>
  </si>
  <si>
    <t>Motor Replacement</t>
  </si>
  <si>
    <t>8(a) with electrical background will be sought after</t>
  </si>
  <si>
    <t>Replace Air Dampers</t>
  </si>
  <si>
    <t>8(a) with HVAC specialty will be sought after for htis work.</t>
  </si>
  <si>
    <t>New Phones for Fire System</t>
  </si>
  <si>
    <t>Market research will be performed to choose a qualified 8(a) to perform this work.</t>
  </si>
  <si>
    <t>Project will be competed amongst local small businesses in the area.</t>
  </si>
  <si>
    <t>Exterior Stucco Repair</t>
  </si>
  <si>
    <t>St. George</t>
  </si>
  <si>
    <t>Upgrade BAS</t>
  </si>
  <si>
    <t>Remove Boiler</t>
  </si>
  <si>
    <t>Remove Heat Pump</t>
  </si>
  <si>
    <t>Project will be awarded to an 8(a) that specializes in HVAC work.</t>
  </si>
  <si>
    <t>Replace Generator Switch</t>
  </si>
  <si>
    <t>Awarded will be looked to be given to an 8(a) that specializes in electric</t>
  </si>
  <si>
    <t>Outside Air Damper Replacement</t>
  </si>
  <si>
    <t>Market reasearch to decide a qualified 8(a) for this work</t>
  </si>
  <si>
    <t>Pipe Work</t>
  </si>
  <si>
    <t>Replace Exterior Air Dampers</t>
  </si>
  <si>
    <t>Market research to decide a qualified 8(a) in the area for the work.</t>
  </si>
  <si>
    <t>Gerald Silver</t>
  </si>
  <si>
    <t>Building Construction</t>
  </si>
  <si>
    <t>Compete amongst small businesses in the local area</t>
  </si>
  <si>
    <t>Office Remodel</t>
  </si>
  <si>
    <t>Set-aside to an 8(a) that was working on this project bust was cancelled due to funding issues</t>
  </si>
  <si>
    <t>A/C Replacement</t>
  </si>
  <si>
    <t>Award will be given to an 8(a) that specializes in electrical work.</t>
  </si>
  <si>
    <t>ACM Removal</t>
  </si>
  <si>
    <t>Cheyenne</t>
  </si>
  <si>
    <t>Jennifer Canfield</t>
  </si>
  <si>
    <t>307-261-6427</t>
  </si>
  <si>
    <t>jennifer.canfield@gsa.gov</t>
  </si>
  <si>
    <t>Paint Corridors</t>
  </si>
  <si>
    <t>Casper</t>
  </si>
  <si>
    <t>Storage Room Renovation</t>
  </si>
  <si>
    <t>Asphalt Repair</t>
  </si>
  <si>
    <t>Raymond</t>
  </si>
  <si>
    <t>Set aside based on market research</t>
  </si>
  <si>
    <t>Monique Tucny</t>
  </si>
  <si>
    <t>303-236-2800</t>
  </si>
  <si>
    <t>monique.tucny@gsa.gov</t>
  </si>
  <si>
    <t>Project will be competed amongst local small businesses in the area if available.</t>
  </si>
  <si>
    <t>Kristen Feickert</t>
  </si>
  <si>
    <t>605-226-7301</t>
  </si>
  <si>
    <t>kristen.feickert@gsa.gov</t>
  </si>
  <si>
    <t>Install 3 Ceiling Heaters</t>
  </si>
  <si>
    <t>Aberdeen</t>
  </si>
  <si>
    <t>Sprinkler System Corrections</t>
  </si>
  <si>
    <t>Bozeman</t>
  </si>
  <si>
    <t>Shawna Horvath</t>
  </si>
  <si>
    <t>406-441-1260 x2</t>
  </si>
  <si>
    <t>shawna.horvath@gsa.gov</t>
  </si>
  <si>
    <t>Space Reduction Project - for the US Postal Service</t>
  </si>
  <si>
    <t>Cheney FB Air Damper replacement</t>
  </si>
  <si>
    <t>Market research</t>
  </si>
  <si>
    <t>Repaint Exterior Window Frames</t>
  </si>
  <si>
    <t>Butte</t>
  </si>
  <si>
    <t>Repair Steps (#3)</t>
  </si>
  <si>
    <t>Missoula</t>
  </si>
  <si>
    <t>Working on Market Research</t>
  </si>
  <si>
    <t>Install Water Heater</t>
  </si>
  <si>
    <t>Agency move/relocation</t>
  </si>
  <si>
    <t>Bismarck</t>
  </si>
  <si>
    <t>Kenya Freeman</t>
  </si>
  <si>
    <t>303-236-2003</t>
  </si>
  <si>
    <t>kenya.freema@gsa.gov</t>
  </si>
  <si>
    <t>O&amp;M/custodial</t>
  </si>
  <si>
    <t>Madison Services, Inc.</t>
  </si>
  <si>
    <t>Pam Burley</t>
  </si>
  <si>
    <t>303-236-1103</t>
  </si>
  <si>
    <t>pam.burley@gsa.gov</t>
  </si>
  <si>
    <t>Replace generator</t>
  </si>
  <si>
    <t>St. John</t>
  </si>
  <si>
    <t>Replace cracked windows</t>
  </si>
  <si>
    <t>Repair/repaint window trim</t>
  </si>
  <si>
    <t>Pembina</t>
  </si>
  <si>
    <t>Repair windows</t>
  </si>
  <si>
    <t>Ambrose</t>
  </si>
  <si>
    <t>Repair crumbling facade</t>
  </si>
  <si>
    <t>Facility upgrades</t>
  </si>
  <si>
    <t>Dunseith</t>
  </si>
  <si>
    <t>set aside based on market research</t>
  </si>
  <si>
    <t>Snow removal</t>
  </si>
  <si>
    <t>Fargo</t>
  </si>
  <si>
    <t>Smithco, Inc.</t>
  </si>
  <si>
    <t>Electrical replacement</t>
  </si>
  <si>
    <t>market research</t>
  </si>
  <si>
    <t>Lee Davis</t>
  </si>
  <si>
    <t>303-236-2838</t>
  </si>
  <si>
    <t>lee.davis@gsa.gov</t>
  </si>
  <si>
    <t>Abatement</t>
  </si>
  <si>
    <t>Storm drain repair</t>
  </si>
  <si>
    <t>Sioux Falls</t>
  </si>
  <si>
    <t>Construction - Chiller</t>
  </si>
  <si>
    <t>New Haven</t>
  </si>
  <si>
    <t>IDIQ Task order</t>
  </si>
  <si>
    <t>Justin Zagorski</t>
  </si>
  <si>
    <t>617-565-5822</t>
  </si>
  <si>
    <t>justin.zagorski@gsa.gov</t>
  </si>
  <si>
    <t>Construction - DOL/OSHA</t>
  </si>
  <si>
    <t>Bridgeport</t>
  </si>
  <si>
    <t>Construction- Judges Chambers</t>
  </si>
  <si>
    <t>Construction- VHA</t>
  </si>
  <si>
    <t>Fitchburg</t>
  </si>
  <si>
    <t>Janitorial Services</t>
  </si>
  <si>
    <t>Hartford</t>
  </si>
  <si>
    <t>IDIQ contract</t>
  </si>
  <si>
    <t>Source America</t>
  </si>
  <si>
    <t>CW Resources</t>
  </si>
  <si>
    <t>Fall River</t>
  </si>
  <si>
    <t>Hillside Nursery</t>
  </si>
  <si>
    <t>Betty Tejada</t>
  </si>
  <si>
    <t>401-528-5459</t>
  </si>
  <si>
    <t>betty.tejada@gsa.gov</t>
  </si>
  <si>
    <t>Torrington</t>
  </si>
  <si>
    <t>Woolford Lawn</t>
  </si>
  <si>
    <t>Grounds Care</t>
  </si>
  <si>
    <t>Oil Delivery Services</t>
  </si>
  <si>
    <t>New Bedford</t>
  </si>
  <si>
    <t>East Coast Petroleum</t>
  </si>
  <si>
    <t>Worcester</t>
  </si>
  <si>
    <t>Elevator Maintenance</t>
  </si>
  <si>
    <t>Schindler Elevator</t>
  </si>
  <si>
    <t>Painting</t>
  </si>
  <si>
    <t>Providence</t>
  </si>
  <si>
    <t>Jerry Walsh</t>
  </si>
  <si>
    <t>401-528-4206</t>
  </si>
  <si>
    <t>gerald.walsh@gsa.gov</t>
  </si>
  <si>
    <t>pBS-Public Buildings Service</t>
  </si>
  <si>
    <t>Tile work</t>
  </si>
  <si>
    <t>Frank Vecchitto</t>
  </si>
  <si>
    <t>frank.vecchitto@gsa.gov</t>
  </si>
  <si>
    <t>Relocation</t>
  </si>
  <si>
    <t>Framinghame</t>
  </si>
  <si>
    <t>David Hall</t>
  </si>
  <si>
    <t>401-528-5436</t>
  </si>
  <si>
    <t>david.hall@gsa.gov</t>
  </si>
  <si>
    <t>Tom Anderson</t>
  </si>
  <si>
    <t>860-240-2651</t>
  </si>
  <si>
    <t>tom.anderson@gsa.gov</t>
  </si>
  <si>
    <t>painting</t>
  </si>
  <si>
    <t>Alterations</t>
  </si>
  <si>
    <t>Design/PCCS- SSA Hearing Office</t>
  </si>
  <si>
    <t>Dan Cremone</t>
  </si>
  <si>
    <t>617-565-1094</t>
  </si>
  <si>
    <t>daniel.cremone@gsa.gov</t>
  </si>
  <si>
    <t>Fall Arrest Anchor System</t>
  </si>
  <si>
    <t>Option to Prior IDIQ DO</t>
  </si>
  <si>
    <t>LZ Perimeter Security</t>
  </si>
  <si>
    <t>Expand Public Security Entrance</t>
  </si>
  <si>
    <t>DHS/FPS 9th Floor Renovation</t>
  </si>
  <si>
    <t>SSA 5th floor renovation</t>
  </si>
  <si>
    <t>JFK Landscaping</t>
  </si>
  <si>
    <t>Base Plus 4 one year options</t>
  </si>
  <si>
    <t>Window Washing</t>
  </si>
  <si>
    <t>7th Floor Judge Droney Chambers</t>
  </si>
  <si>
    <t>413 244 9167</t>
  </si>
  <si>
    <t>US Bankruptscy Alterations</t>
  </si>
  <si>
    <t>Structured Cable Upgrade BPT</t>
  </si>
  <si>
    <t>Structured Cable Upgrade New Haven</t>
  </si>
  <si>
    <t>Courtroom #2 New Haven</t>
  </si>
  <si>
    <t>Historic Courtroom #3 Lee</t>
  </si>
  <si>
    <t>2/29/2014</t>
  </si>
  <si>
    <t>Springfield 1550 Cell Renovations</t>
  </si>
  <si>
    <t>Torrington SSA Barrier Wall</t>
  </si>
  <si>
    <t>HHIS ISA Cotter</t>
  </si>
  <si>
    <t>ISA SSA Bridgeport</t>
  </si>
  <si>
    <t>USMS Elevators</t>
  </si>
  <si>
    <t>Replace cooling towers</t>
  </si>
  <si>
    <t>Cyclical painting - public hallways</t>
  </si>
  <si>
    <t>Exterior painting</t>
  </si>
  <si>
    <t>Donohue</t>
  </si>
  <si>
    <t>Paint common areas</t>
  </si>
  <si>
    <t>Replace water heater</t>
  </si>
  <si>
    <t>Envolope Leak Repair</t>
  </si>
  <si>
    <t>Giaimo</t>
  </si>
  <si>
    <t>Replace gate system</t>
  </si>
  <si>
    <t>Hastings Kieth</t>
  </si>
  <si>
    <t>Exterior repairs</t>
  </si>
  <si>
    <t>Lee Chiller Compressor</t>
  </si>
  <si>
    <t>Exterior Envolope Repair</t>
  </si>
  <si>
    <t>McMahon</t>
  </si>
  <si>
    <t>Study Repair Rear Loading Dock Overhang</t>
  </si>
  <si>
    <t>Pastore</t>
  </si>
  <si>
    <t>Paint Loading Dock</t>
  </si>
  <si>
    <t>Reconfigure 60 Ton Chiller Pipe</t>
  </si>
  <si>
    <t>CO2 monitoring</t>
  </si>
  <si>
    <t>Paint basement machine room walls</t>
  </si>
  <si>
    <t>IT equipment</t>
  </si>
  <si>
    <t>OCIO- IOM</t>
  </si>
  <si>
    <t>Xendesktop Software Renewal</t>
  </si>
  <si>
    <t>gernard.bernard@gsa.gov</t>
  </si>
  <si>
    <t>Office Furniture</t>
  </si>
  <si>
    <t>R10 Admin Bldg Potable Water</t>
  </si>
  <si>
    <t>Alesia Benton</t>
  </si>
  <si>
    <t>253.931.7470</t>
  </si>
  <si>
    <t>alesia.benton@gsa.gov</t>
  </si>
  <si>
    <t>R10 Building Blocks CDC - Carpet and Paint</t>
  </si>
  <si>
    <t>R10 Building Fire Alarm</t>
  </si>
  <si>
    <t>Blacktop Replacement</t>
  </si>
  <si>
    <t>Blaine</t>
  </si>
  <si>
    <t>Repair Drain Covers/Vault</t>
  </si>
  <si>
    <t>253.931.7471</t>
  </si>
  <si>
    <t>Mechanical Section of Roof</t>
  </si>
  <si>
    <t>Lynden</t>
  </si>
  <si>
    <t>253.931.7472</t>
  </si>
  <si>
    <t>TUS Carpet Replacement</t>
  </si>
  <si>
    <t>Tacoma</t>
  </si>
  <si>
    <t>253.931.7473</t>
  </si>
  <si>
    <t>Cooling Tower Repairs</t>
  </si>
  <si>
    <t>253.931.7474</t>
  </si>
  <si>
    <t>Vericone Fans Replace with VFDs</t>
  </si>
  <si>
    <t>253.931.7475</t>
  </si>
  <si>
    <t>open for proposal/solicitation submission</t>
  </si>
  <si>
    <t>36 - THE OFFICE, IMAGING AND DOCUMENT SOLUTION</t>
  </si>
  <si>
    <t>GSA Schedules</t>
  </si>
  <si>
    <t>Steven Lozada</t>
  </si>
  <si>
    <t>215-446-5040</t>
  </si>
  <si>
    <t>steven.lozada@gsa.gov</t>
  </si>
  <si>
    <t>MAS open solicitation</t>
  </si>
  <si>
    <t>58- Professional Audio/Video, Telemetry/Tracking, Recording/Repoducting, and Signal Data Solutions</t>
  </si>
  <si>
    <t>Anthony Docimo</t>
  </si>
  <si>
    <t>215-446-5018</t>
  </si>
  <si>
    <t>anthony.docimo@gsa.gov</t>
  </si>
  <si>
    <t>72 - Furnishing and Floor Coverings</t>
  </si>
  <si>
    <t>James Boyle</t>
  </si>
  <si>
    <t>215-446-5057</t>
  </si>
  <si>
    <t>james.boyle@gsa.gov</t>
  </si>
  <si>
    <t>71 FURNITURE</t>
  </si>
  <si>
    <t>Lee Goodwyn, Jr.</t>
  </si>
  <si>
    <t>703-605-9217</t>
  </si>
  <si>
    <t>lee.goodwyn@gsa.gov</t>
  </si>
  <si>
    <t>71 llK COMPREHENSIVE FURNITURE MANAGEMENT SERVICES (CFMS)</t>
  </si>
  <si>
    <t>71 IIK</t>
  </si>
  <si>
    <t>Jessica Guadalupe</t>
  </si>
  <si>
    <t>215-446-5028</t>
  </si>
  <si>
    <t>jessica.guadalupe@gsa.gov</t>
  </si>
  <si>
    <t>78  SPORTS, PROMOTIONAL, OUTDOOR, RECREATION, TROPHIES AND SIGNS (SPORTS) - Sports equipment and supplies, fitness equipment, sounds of music, child's play, sports clothing and accessories, safety zone products, camping and hiking equipment, park and playground equipment, wheel and track vehicles, recreational watercraft, flags, awards, trophies, presentations, promotional products, briefcases and carrying cases, trade show displays and exhibit systems and all related products and service.</t>
  </si>
  <si>
    <t>Meghan Whipkey</t>
  </si>
  <si>
    <t>215-446-5023</t>
  </si>
  <si>
    <t>meghan.whipkey@gsa.gov</t>
  </si>
  <si>
    <t>SOLICITATION PENDING</t>
  </si>
  <si>
    <t>A&amp;AS Support</t>
  </si>
  <si>
    <t>Desiree Williams</t>
  </si>
  <si>
    <t>937-431-5531</t>
  </si>
  <si>
    <t>desiree.williams@gsa.gov</t>
  </si>
  <si>
    <t>follow on BPA for NASIC, WPAFB</t>
  </si>
  <si>
    <t>SBIR PROGRAM PHASE III</t>
  </si>
  <si>
    <t>SBIR Program for USAF, WPAFB</t>
  </si>
  <si>
    <t>Follow on</t>
  </si>
  <si>
    <t>C-17 Contract to be solicited as small business set-aside under FSS MOBIS 874 7</t>
  </si>
  <si>
    <t>Arlington</t>
  </si>
  <si>
    <t>Follow on contracts</t>
  </si>
  <si>
    <t>Follow on contracts for SIGAR Financial Audits under FSS 520 7</t>
  </si>
  <si>
    <t>Internal Contractor Support</t>
  </si>
  <si>
    <t>D316</t>
  </si>
  <si>
    <t>8(a) Directed Buy</t>
  </si>
  <si>
    <t>Joyce Mayberry</t>
  </si>
  <si>
    <t>404-224-2202</t>
  </si>
  <si>
    <t>joyce.mayberry@gsa.gov</t>
  </si>
  <si>
    <t>Rebecca Vanover, 404-331-3374, Rebecca.Vanover@gsa.gov</t>
  </si>
  <si>
    <t>Daniel Jenkins</t>
  </si>
  <si>
    <t>803-905-9749</t>
  </si>
  <si>
    <t>Daniel.Jenkins@gsa.gov</t>
  </si>
  <si>
    <t>R710</t>
  </si>
  <si>
    <t>Melissa Suggs</t>
  </si>
  <si>
    <t>404-526-3104</t>
  </si>
  <si>
    <t>Melissa.Suggs@gsa.gov</t>
  </si>
  <si>
    <t>Vehicle Services (Fleet)</t>
  </si>
  <si>
    <t>V-Transportation, Travel, Relocation-Motor</t>
  </si>
  <si>
    <t>Lessville</t>
  </si>
  <si>
    <t>Competitive</t>
  </si>
  <si>
    <t>Cassandra Jones</t>
  </si>
  <si>
    <t>440-331-5318</t>
  </si>
  <si>
    <t>Cassandra.Jones@gsa.gov</t>
  </si>
  <si>
    <t>Sanford</t>
  </si>
  <si>
    <t>Open Market - Single Award IDIQ</t>
  </si>
  <si>
    <t>Marshalling Services (Fleet)</t>
  </si>
  <si>
    <t>Multiple</t>
  </si>
  <si>
    <t>Chicagoland A/E Services IDIQ</t>
  </si>
  <si>
    <t>Northern IL, Northwest Indiana</t>
  </si>
  <si>
    <t>Small Business set-aside</t>
  </si>
  <si>
    <t>Deborah Durkins</t>
  </si>
  <si>
    <t>(312) 886-6932</t>
  </si>
  <si>
    <t>deborah.durkins@gsa.gov</t>
  </si>
  <si>
    <t>This notice is for informational purposes only and does not represent a new award opportunity this year.  GSA is exercising an option for an existing contract.</t>
  </si>
  <si>
    <t>Mechanical and Maintenance Services</t>
  </si>
  <si>
    <t>All Business Concerns</t>
  </si>
  <si>
    <t>Edgar Delgado</t>
  </si>
  <si>
    <t>(312) 353-8797</t>
  </si>
  <si>
    <t>Edgar.Delgado@gsa.gov</t>
  </si>
  <si>
    <t>The solicitation was posted on FBO.gov</t>
  </si>
  <si>
    <t>Recovery - IDIQ for Repair and Alterations - CMc Services - Chicagoland</t>
  </si>
  <si>
    <t>Erica Bradbury</t>
  </si>
  <si>
    <t>(312) 886-7876</t>
  </si>
  <si>
    <t>erica.bradbury@gsa.gov</t>
  </si>
  <si>
    <t>Chicagoland Repair &amp; Alterations IDIQ</t>
  </si>
  <si>
    <t>Greg Oprian</t>
  </si>
  <si>
    <t>312-353-3476</t>
  </si>
  <si>
    <t>gregory.oprian@gsa.gov</t>
  </si>
  <si>
    <t>IDIQ Project Management</t>
  </si>
  <si>
    <t>$2,00,000</t>
  </si>
  <si>
    <t>Zimmerman</t>
  </si>
  <si>
    <t>Exercise Option 3</t>
  </si>
  <si>
    <t>Joann Works</t>
  </si>
  <si>
    <t>(312) 886-1992</t>
  </si>
  <si>
    <t>joann.works@gsa.gov</t>
  </si>
  <si>
    <t>Unified Business</t>
  </si>
  <si>
    <t>R5 CPSC Regionwide Construction and Related Services IDIQ</t>
  </si>
  <si>
    <t>Multiple Awardees</t>
  </si>
  <si>
    <t>Johanna Lujano</t>
  </si>
  <si>
    <t>312-353-7659</t>
  </si>
  <si>
    <t>johanna.lujano@gsa.gov</t>
  </si>
  <si>
    <t>R5 CPSC Regionwide Space Planning IDIQ contract</t>
  </si>
  <si>
    <t>Exercise Option 2</t>
  </si>
  <si>
    <t>Regionwide Supplemental AE</t>
  </si>
  <si>
    <t>Jennifer Calik</t>
  </si>
  <si>
    <t>312.353.6090</t>
  </si>
  <si>
    <t>jennifer.calik@gsa.gov</t>
  </si>
  <si>
    <t>April 2019</t>
  </si>
  <si>
    <t>R5 Relocation Services</t>
  </si>
  <si>
    <t>Small Business Set-aside</t>
  </si>
  <si>
    <t>August 2014</t>
  </si>
  <si>
    <t>August 2015</t>
  </si>
  <si>
    <t>Central Support Services</t>
  </si>
  <si>
    <t>NN-RDS, LLC</t>
  </si>
  <si>
    <t>Phyllis Pirtle</t>
  </si>
  <si>
    <t>312-385-3031</t>
  </si>
  <si>
    <t>phyllis.pirtle@gsa.gov</t>
  </si>
  <si>
    <t>March 2014</t>
  </si>
  <si>
    <t>March 2016</t>
  </si>
  <si>
    <t>State of Ohio IDIQ Repair &amp; Alterations</t>
  </si>
  <si>
    <t>Partial Set-aside</t>
  </si>
  <si>
    <t>Partial small business set-aside</t>
  </si>
  <si>
    <t>Andrew Latta</t>
  </si>
  <si>
    <t>(513) 246-4420</t>
  </si>
  <si>
    <t>Andrew.latta@gsa.gov</t>
  </si>
  <si>
    <t>Option Exercised 11/28/12</t>
  </si>
  <si>
    <t>This entry is for informational purposes only.  This notice does not represent a project opportunity. GSA is exercising an option for an existing contract.</t>
  </si>
  <si>
    <t>Janitorial &amp; Related Services</t>
  </si>
  <si>
    <t>Lafayette</t>
  </si>
  <si>
    <t>CMC &amp; Maintenance</t>
  </si>
  <si>
    <t>Brittany Morrow</t>
  </si>
  <si>
    <t>317.510.6907</t>
  </si>
  <si>
    <t>brittany.morrow@gsa.gov</t>
  </si>
  <si>
    <t>BPA was awarded on November 26, 2012 to Commercial Facilities Management, Inc.</t>
  </si>
  <si>
    <t>Operations &amp; Mechanical Maintenance Services</t>
  </si>
  <si>
    <t>Commercial Facilities Management, Inc.</t>
  </si>
  <si>
    <t>So. IL / IN Architecture and Engineering Services IDIQ</t>
  </si>
  <si>
    <t>So. IL/IN</t>
  </si>
  <si>
    <t>Brenner Design</t>
  </si>
  <si>
    <t>(317) 510-6907</t>
  </si>
  <si>
    <t>This notice is for informational purposes only and does not represent a new award opportunity. GSA is exercising an option for an existing contract.</t>
  </si>
  <si>
    <t>Exterior Painting-South Elevation</t>
  </si>
  <si>
    <t>Indianapolis</t>
  </si>
  <si>
    <t>Firm-Fixed</t>
  </si>
  <si>
    <t>Debbie Ethell</t>
  </si>
  <si>
    <t>217-492-4573</t>
  </si>
  <si>
    <t>debbie.ethell@gsa.gov</t>
  </si>
  <si>
    <t>The solicitation will be posted on FBO.gov.</t>
  </si>
  <si>
    <t>Murphy Elevator Company</t>
  </si>
  <si>
    <t>Dry Dock Fire Sprinkler Pipe Replacement</t>
  </si>
  <si>
    <t>The soliciation will be posted on FBO.gov</t>
  </si>
  <si>
    <t>FWAI Architects, Inc</t>
  </si>
  <si>
    <t>(217) 492-4573</t>
  </si>
  <si>
    <t>IDIQ Repair &amp; Alterations, Southern/Central Indiana</t>
  </si>
  <si>
    <t>FH Paschen LLC</t>
  </si>
  <si>
    <t>KPH Construction Group. Ltd.</t>
  </si>
  <si>
    <t>Artisan Construction</t>
  </si>
  <si>
    <t>HJ Lyness</t>
  </si>
  <si>
    <t>Brock Construction</t>
  </si>
  <si>
    <t>Elevator Preventive Maintenance</t>
  </si>
  <si>
    <t>Benton &amp; Mt. Vernon</t>
  </si>
  <si>
    <t>FSS procurement</t>
  </si>
  <si>
    <t>Kone, Inc.</t>
  </si>
  <si>
    <t>Jason Gietl</t>
  </si>
  <si>
    <t>217-492-4088</t>
  </si>
  <si>
    <t>jason.gietl@gsa.gov</t>
  </si>
  <si>
    <t>FSS Procurement</t>
  </si>
  <si>
    <t>East St. Louis</t>
  </si>
  <si>
    <t>Thyssenkrupp</t>
  </si>
  <si>
    <t>This service will be procured through FSS</t>
  </si>
  <si>
    <t>Benton, Mt. Vernon</t>
  </si>
  <si>
    <t>Kone Inc</t>
  </si>
  <si>
    <t>Jesse Jones</t>
  </si>
  <si>
    <t>217-492-4290</t>
  </si>
  <si>
    <t>jesse.jones@gsa.gov</t>
  </si>
  <si>
    <t>Peoria</t>
  </si>
  <si>
    <t>ThyssenKrupp</t>
  </si>
  <si>
    <t>indefinite Delivery Contract-IDC</t>
  </si>
  <si>
    <t>BHS Services</t>
  </si>
  <si>
    <t>Justin Costello</t>
  </si>
  <si>
    <t>217-492-4086</t>
  </si>
  <si>
    <t>justin.costello@gsa.gov</t>
  </si>
  <si>
    <t>Bailey Edward Design</t>
  </si>
  <si>
    <t>(217) 492-4086</t>
  </si>
  <si>
    <t>This is being solicited via FSS, will be 1 year base w/ 4 options.</t>
  </si>
  <si>
    <t>Benton</t>
  </si>
  <si>
    <t>11/31/2018</t>
  </si>
  <si>
    <t>Danville &amp; Urbana</t>
  </si>
  <si>
    <t>State of Ohio Architect and Engineering IDIQ</t>
  </si>
  <si>
    <t>Kimberly Bogan-Ridley</t>
  </si>
  <si>
    <t>312-353-4221</t>
  </si>
  <si>
    <t>kim.bogan-ridley@gsa.gov</t>
  </si>
  <si>
    <t>Mechanical Operations &amp; Maintenance Services</t>
  </si>
  <si>
    <t>Cleveland</t>
  </si>
  <si>
    <t>AMF Mechanical Corp.</t>
  </si>
  <si>
    <t>Sarah Zemanek</t>
  </si>
  <si>
    <t>216-522-2325</t>
  </si>
  <si>
    <t>sarah.zemanek@gsa.gov</t>
  </si>
  <si>
    <t>Cincinnati</t>
  </si>
  <si>
    <t>Bridgette Fed-Jasper</t>
  </si>
  <si>
    <t>312 353 7670</t>
  </si>
  <si>
    <t>Bridgette.fed-jasper@gsa.gov</t>
  </si>
  <si>
    <t>Minnesota and Wisconsin Architect and Engineering IDIQ Contract</t>
  </si>
  <si>
    <t>Meyer, Scherer &amp; Rockcastle, Ltd</t>
  </si>
  <si>
    <t>Alicia Lerum</t>
  </si>
  <si>
    <t>alicia.lerum@gsa.gov</t>
  </si>
  <si>
    <t>DLR Group</t>
  </si>
  <si>
    <t>Performa, Inc.</t>
  </si>
  <si>
    <t>St. Paul</t>
  </si>
  <si>
    <t>612-725-3018</t>
  </si>
  <si>
    <t>Elevator &amp; Escalator Maintenance</t>
  </si>
  <si>
    <t>Mpls</t>
  </si>
  <si>
    <t>O&amp;M Services</t>
  </si>
  <si>
    <t>Lansing</t>
  </si>
  <si>
    <t>ADVANTAGE MECHANICAL-REFRIGERATION, INC.</t>
  </si>
  <si>
    <t>Shawna Ramthun</t>
  </si>
  <si>
    <t>616-732-2701</t>
  </si>
  <si>
    <t>shawna.ramthun@gsa.gov</t>
  </si>
  <si>
    <t>Flowsense LLC</t>
  </si>
  <si>
    <t>Brian Bogucki</t>
  </si>
  <si>
    <t>312-353-9629</t>
  </si>
  <si>
    <t>brian.bogucki@gsa.gov</t>
  </si>
  <si>
    <t>Madison</t>
  </si>
  <si>
    <t>Madison Area Rehabilitation Centers</t>
  </si>
  <si>
    <t>Della Ljungkull</t>
  </si>
  <si>
    <t>612-725-3288</t>
  </si>
  <si>
    <t>della.ljungkull@gsa.gov</t>
  </si>
  <si>
    <t>Michigan Repair/Alteration/Construction IDIQ</t>
  </si>
  <si>
    <t>Aleshia Brooks</t>
  </si>
  <si>
    <t>313-317-9610</t>
  </si>
  <si>
    <t>aleshia.brooks@gsa.gov</t>
  </si>
  <si>
    <t>Kalamazoo, Grand Rapids &amp; Lansing</t>
  </si>
  <si>
    <t>B &amp; V MECHANICAL, INC. &amp; ADVANTAGE MECHANICAL REFRIGERATION INC.</t>
  </si>
  <si>
    <t>Lorraine Scott</t>
  </si>
  <si>
    <t>312-353-5855</t>
  </si>
  <si>
    <t>lorraine.scott@gsa.gov</t>
  </si>
  <si>
    <t>New follow on requirement</t>
  </si>
  <si>
    <t>Battle Creek</t>
  </si>
  <si>
    <t>Commercial Facilities Management</t>
  </si>
  <si>
    <t>Joslann Igoe</t>
  </si>
  <si>
    <t>616-458-5684</t>
  </si>
  <si>
    <t>joslann.igoe@gsa.gov</t>
  </si>
  <si>
    <t>Julie Snow Architects Inc.</t>
  </si>
  <si>
    <t>Duluth</t>
  </si>
  <si>
    <t>CNV Services</t>
  </si>
  <si>
    <t>Rosie Buchalski</t>
  </si>
  <si>
    <t>312-353-5634</t>
  </si>
  <si>
    <t>rosie.buchalski@gsa.gov</t>
  </si>
  <si>
    <t>Hammel, Green and Abrahamson, Inc.</t>
  </si>
  <si>
    <t>Michigan A/E Services IDIQ</t>
  </si>
  <si>
    <t>Joseph Daniero</t>
  </si>
  <si>
    <t>616-456-2695</t>
  </si>
  <si>
    <t>joe.daniero@gsa.gov</t>
  </si>
  <si>
    <t>RTW Enterprises</t>
  </si>
  <si>
    <t>(612) 725-1863</t>
  </si>
  <si>
    <t>Ft. Snelling and Eau Claire</t>
  </si>
  <si>
    <t>CNV Services, Inc.</t>
  </si>
  <si>
    <t>Exercise of Option 3</t>
  </si>
  <si>
    <t>Rosemarie Buchalski</t>
  </si>
  <si>
    <t>Minneapolis</t>
  </si>
  <si>
    <t>CMC and Maintainance, Inc.</t>
  </si>
  <si>
    <t>Exercise of Option 2</t>
  </si>
  <si>
    <t>Ron Sieben</t>
  </si>
  <si>
    <t>ronald.sieben@gsa.gov</t>
  </si>
  <si>
    <t>IDIQ Repair and alterations</t>
  </si>
  <si>
    <t>Duluth/Superior Metro Area</t>
  </si>
  <si>
    <t>612-725-3814</t>
  </si>
  <si>
    <t>rosemarie.buchalski@gsa.gov</t>
  </si>
  <si>
    <t>SE Wisconsin, Including Madison</t>
  </si>
  <si>
    <t>Susan J. Williams</t>
  </si>
  <si>
    <t>414-297-1023</t>
  </si>
  <si>
    <t>susan.williams@gsa.gov</t>
  </si>
  <si>
    <t>Milwaukee</t>
  </si>
  <si>
    <t>Ft. Snelling,Minneapolis</t>
  </si>
  <si>
    <t>Minnehaha Falls</t>
  </si>
  <si>
    <t>Open</t>
  </si>
  <si>
    <t>Y1AA</t>
  </si>
  <si>
    <t>Michael Vrobel</t>
  </si>
  <si>
    <t>(202) 273-4796</t>
  </si>
  <si>
    <t>michael.vrobel@gsa.gov</t>
  </si>
  <si>
    <t>Judith Stackhouse-Jordan, 
(202) 708-5804, judith.stackhouse@gsa.gov</t>
  </si>
  <si>
    <t>O &amp; M Maintenance</t>
  </si>
  <si>
    <t>Planned</t>
  </si>
  <si>
    <t>Z2AA</t>
  </si>
  <si>
    <t>Tamara Brown</t>
  </si>
  <si>
    <t>202-494-7387</t>
  </si>
  <si>
    <t>tamara.brown@gsa.gov</t>
  </si>
  <si>
    <t>SOUTH PLAZA WATERPROOFING &amp; GARAGE SOFFIT REPAIRS</t>
  </si>
  <si>
    <t>MOTOR STARTERS</t>
  </si>
  <si>
    <t>Procure New Antefixae, Reinforce &amp; Install</t>
  </si>
  <si>
    <t>Waterproofing and concrete repair</t>
  </si>
  <si>
    <t>FREIGHT ELEVATOR MOTOR REPAIRS</t>
  </si>
  <si>
    <t>UPGRADE SIEMENS ENERGY MANAGEMENT CONTROL SYSTEM (EMCS)</t>
  </si>
  <si>
    <t>DAY CARE SECURITY CAMERAS</t>
  </si>
  <si>
    <t>REPLACE WINDOWS</t>
  </si>
  <si>
    <t>MONITORING &amp; EXTRACTION WELLS</t>
  </si>
  <si>
    <t>Jerome Lofton</t>
  </si>
  <si>
    <t>(240) 832-1456</t>
  </si>
  <si>
    <t>jerome.lofton@gsa.gov</t>
  </si>
  <si>
    <t>7313 Water Intrusion Repairs</t>
  </si>
  <si>
    <t>Fire Seperation Doors</t>
  </si>
  <si>
    <t>EARTHQUAKE DAMAGE REPAIRS / MOD</t>
  </si>
  <si>
    <t>Robert L. Lawrence</t>
  </si>
  <si>
    <t>202-260-0331</t>
  </si>
  <si>
    <t>robert.lawrence@gsa.gov</t>
  </si>
  <si>
    <t>COLONNADE CEILING REPAIRS</t>
  </si>
  <si>
    <t>CYCLICAL FINISH ENHANCEMENTS - FY2014</t>
  </si>
  <si>
    <t>ADDITIONAL TOWERS FOR NORTH COURT PLANT</t>
  </si>
  <si>
    <t>Concrete Repairs @ Vehicle Ramp &amp; Loading Dock</t>
  </si>
  <si>
    <t>SOUTH BANK &amp; FREIGHT ELEVATOR UPGRADE</t>
  </si>
  <si>
    <t>AHU UNDER VISITORS OFFICE</t>
  </si>
  <si>
    <t>NEW COOLING TOWER</t>
  </si>
  <si>
    <t>STAIRWELL AIR SYSTEM</t>
  </si>
  <si>
    <t>SECOND MEANS OF EGRESS FROM THE 2ND FLOOR</t>
  </si>
  <si>
    <t>TRANSFORMER ROOM LEAK REPAIRS</t>
  </si>
  <si>
    <t>Foam extinguishing system for oil tanks</t>
  </si>
  <si>
    <t>To assist in meeting agency goals</t>
  </si>
  <si>
    <t>Michael Albritton</t>
  </si>
  <si>
    <t>(202) 708-4983</t>
  </si>
  <si>
    <t>michael.albritton@gsa.gov</t>
  </si>
  <si>
    <t>General Boilers Repair</t>
  </si>
  <si>
    <t>General Steam Plant Repairs</t>
  </si>
  <si>
    <t>Maintenance Repair with multiple contracts</t>
  </si>
  <si>
    <t>General Chiller Plant Repairs</t>
  </si>
  <si>
    <t>General Roof Repairs</t>
  </si>
  <si>
    <t>General Chillers Repair</t>
  </si>
  <si>
    <t>Emergency Exit Staircase for CHRP</t>
  </si>
  <si>
    <t>Concrete repairs</t>
  </si>
  <si>
    <t>Greg Westphal</t>
  </si>
  <si>
    <t>(202) 337-6406</t>
  </si>
  <si>
    <t>greg.westphal@gsa.gov</t>
  </si>
  <si>
    <t>Trap return line replacement</t>
  </si>
  <si>
    <t>TECHNICAL ASSISTANCE  PANEL</t>
  </si>
  <si>
    <t>YES</t>
  </si>
  <si>
    <t>Elaina Walker</t>
  </si>
  <si>
    <t>202-260-4388</t>
  </si>
  <si>
    <t>elaina.walker@gsa.gov</t>
  </si>
  <si>
    <t>HVAC SYSTEM UPGRADE</t>
  </si>
  <si>
    <t>FIRST IMPRESSIONS ENTRANCE AND LOBBY RENOVATIONS</t>
  </si>
  <si>
    <t>WHAC / LIBRARY RENOVATIONS</t>
  </si>
  <si>
    <t>WOOD WORK THROUGHOUT 1ST FLOOR ENTRANCE AREA</t>
  </si>
  <si>
    <t>DUCT WORK REPAIRS / DESIGN</t>
  </si>
  <si>
    <t>2ND FLOOR FAN COIL UNITS</t>
  </si>
  <si>
    <t>DOMESTIC HOT WATER TANK REPLACEMENT AND ASSOCIATED PIPING</t>
  </si>
  <si>
    <t>HISTORIC LIGHTING IN LOBBIES</t>
  </si>
  <si>
    <t>EXTERIOR SETTLEMENT CORRECTION</t>
  </si>
  <si>
    <t>REPLACE VAV BOXES</t>
  </si>
  <si>
    <t>SEWAGE LIFT STATION REPAIR</t>
  </si>
  <si>
    <t>EXPAND NORTH COURT VAULT ELECTRICAL CLOSET</t>
  </si>
  <si>
    <t>DOMESTIC HOT WATER SYSTEM / UPGRADE CONTROLLER</t>
  </si>
  <si>
    <t>ROOF AND RAIN LEADER REPAIRS</t>
  </si>
  <si>
    <t>DOMESTIC WATER ASSEMBLY REPLACEMENT</t>
  </si>
  <si>
    <t>STEAM STATION REPLACEMENT</t>
  </si>
  <si>
    <t>REPLACE STEAM TO HOT WATER CONVERTERS</t>
  </si>
  <si>
    <t>ELECTRICAL UPGRADE</t>
  </si>
  <si>
    <t>FIRE ALARM DEVICE ADDITIONS</t>
  </si>
  <si>
    <t>EMERGENCY LIGHTING</t>
  </si>
  <si>
    <t>award to be made in 2014</t>
  </si>
  <si>
    <t>Structual Column Repair</t>
  </si>
  <si>
    <t>Flagstone Repair</t>
  </si>
  <si>
    <t>Replace Constant Speed DW pumps</t>
  </si>
  <si>
    <t>award to be made in 2013</t>
  </si>
  <si>
    <t>Mechanical Deficiencies</t>
  </si>
  <si>
    <t>Storm Drain Line Repair</t>
  </si>
  <si>
    <t>11/2013</t>
  </si>
  <si>
    <t>Turnstyle Replacement</t>
  </si>
  <si>
    <t>Rebuild Steam PRV's</t>
  </si>
  <si>
    <t>EDA ISA</t>
  </si>
  <si>
    <t>05/2013</t>
  </si>
  <si>
    <t>03/2013</t>
  </si>
  <si>
    <t>Cooling Tower Refurb</t>
  </si>
  <si>
    <t>01/2014</t>
  </si>
  <si>
    <t>Building Envelope Improvements</t>
  </si>
  <si>
    <t>DDC Systems Control Upgrades</t>
  </si>
  <si>
    <t>Concrete Replacement</t>
  </si>
  <si>
    <t>Planning; Budget Proposal Submitted to CPO</t>
  </si>
  <si>
    <t>Project Management Training</t>
  </si>
  <si>
    <t>BPA with U4P</t>
  </si>
  <si>
    <t>U4P with ESI</t>
  </si>
  <si>
    <t>2nd/3rd Quarter</t>
  </si>
  <si>
    <t>Tina Atkins</t>
  </si>
  <si>
    <t>816-806-5141</t>
  </si>
  <si>
    <t>tina.atkins@gsa.gov</t>
  </si>
  <si>
    <t>On Site maintenance andrepair of GSA Fleet Vehicles</t>
  </si>
  <si>
    <t>J023</t>
  </si>
  <si>
    <t>White Sands Missile range</t>
  </si>
  <si>
    <t>Competitive Negoitiation</t>
  </si>
  <si>
    <t>Nations Auto Center</t>
  </si>
  <si>
    <t>J.D. Dunne</t>
  </si>
  <si>
    <t>(817) 771-4290</t>
  </si>
  <si>
    <t>joe.dunne@gsa.gov</t>
  </si>
  <si>
    <t>June 2014</t>
  </si>
  <si>
    <t>Base Awarded</t>
  </si>
  <si>
    <t>Acq and Tech Spt</t>
  </si>
  <si>
    <t>BG000</t>
  </si>
  <si>
    <t>BPA - FFP</t>
  </si>
  <si>
    <t>100% Set Aside for SDVOSB under Schedules</t>
  </si>
  <si>
    <t>Integrity</t>
  </si>
  <si>
    <t>Awarded base period effective 10/1/13</t>
  </si>
  <si>
    <t>Brian Platenburg</t>
  </si>
  <si>
    <t>817/850-5503</t>
  </si>
  <si>
    <t>brian.platenburg@gsa.gov</t>
  </si>
  <si>
    <t>Acquistion Support</t>
  </si>
  <si>
    <t>HR000</t>
  </si>
  <si>
    <t>Veterans Management Services Inc</t>
  </si>
  <si>
    <t>Follow on requirement awarded to new contractor for base period effective 10/1/13 with four options through FY 18</t>
  </si>
  <si>
    <t>Brian Platenburg, CO and Jamie Davis, GSAC COR</t>
  </si>
  <si>
    <t>817-850-8162 (COR)</t>
  </si>
  <si>
    <t>jamie.davis@gsa.gov</t>
  </si>
  <si>
    <t>Awarded 9/23/2013</t>
  </si>
  <si>
    <t>9/30/2018 if all options are exercised</t>
  </si>
  <si>
    <t>Funding office is GSS Central Office and may also be reported there where they are obligating the dollars/ remove this entry if it is a duplication</t>
  </si>
  <si>
    <t>BUILDINGS AND BUILDING MATERIALS/INDUSTRIAL SERVICES AND SUPPLIES</t>
  </si>
  <si>
    <t>Fixed Price with EPA</t>
  </si>
  <si>
    <t>open to multiple vendors</t>
  </si>
  <si>
    <t>Both</t>
  </si>
  <si>
    <t>all years</t>
  </si>
  <si>
    <t>Jamie Davis, GSAC</t>
  </si>
  <si>
    <t>817-850-8162</t>
  </si>
  <si>
    <t>On Going</t>
  </si>
  <si>
    <t>Multiple Award Schedules;IDIQs; no dollars obligated against them at Schedule level</t>
  </si>
  <si>
    <t>SCIENTIFIC EQUIPMENT AND SERVICES</t>
  </si>
  <si>
    <t>FOOD SERVICE, HOSPITALITY, CLEANING EQUIPMENT AND SUPPLIES, CHEMICALS AND SERVICES</t>
  </si>
  <si>
    <t>TOTAL SOLUTIONS FOR LAW ENFORCEMENT, SECURITY, FACILITIES MANAGEMENT, FIRE, RESCUE, CLOTHING, MARINE CRAFT AND EMERGENCY/DISASTER RESPONSE</t>
  </si>
  <si>
    <t>ADVERTISING &amp; INTEGRATED MARKETING SOLUTIONS (AIMS)</t>
  </si>
  <si>
    <t>Four (4) Interagency Agreements: Oak Ridge National Labs, National Renewable Energy Lab, Lawrence Berkeley National Lab, and Pacific Northwest National Lab</t>
  </si>
  <si>
    <t>IAA</t>
  </si>
  <si>
    <t>ORNL, LBNL, PNNL, NREL</t>
  </si>
  <si>
    <t>Julisa Mandeville,
Kevin Powell</t>
  </si>
  <si>
    <t>202-641-8339</t>
  </si>
  <si>
    <t>julisa.mandeville@gsa.gov, kevin.powell@gsa.gov</t>
  </si>
  <si>
    <t>Our existing IAAs expired at the end of FY2013.  We would like to create new ones with long-term expiration dates so that Green Proving Ground can continue to leverage the National Labs for 3rd party technology evaluations.</t>
  </si>
  <si>
    <t>Execute option on existing task order</t>
  </si>
  <si>
    <t>Fixed price</t>
  </si>
  <si>
    <t>BPA task order</t>
  </si>
  <si>
    <t>Noblis</t>
  </si>
  <si>
    <t>Execute option on existing contract</t>
  </si>
  <si>
    <t>Virtual</t>
  </si>
  <si>
    <t>Small Biz Set Aside RFP</t>
  </si>
  <si>
    <t>Tenfold</t>
  </si>
  <si>
    <t>September 2014</t>
  </si>
  <si>
    <t>September 2015</t>
  </si>
  <si>
    <t>Third party scoring and review of GPG technology submissions</t>
  </si>
  <si>
    <t>National Renewable Energy Labs</t>
  </si>
  <si>
    <t>Climate Adaption</t>
  </si>
  <si>
    <t>new requirement</t>
  </si>
  <si>
    <t>Rose Rivera</t>
  </si>
  <si>
    <t>703-605-9029</t>
  </si>
  <si>
    <t>rose.rivera@gsa.gov</t>
  </si>
  <si>
    <t>Legal Database Subscription</t>
  </si>
  <si>
    <t>Limited sources competition amongst legal database subscription providers; however, socioeconomic status was considered.</t>
  </si>
  <si>
    <t>LexisNexis</t>
  </si>
  <si>
    <t>Portal Support</t>
  </si>
  <si>
    <t>Information Experts, Inc.</t>
  </si>
  <si>
    <t>FPDS-NG Support</t>
  </si>
  <si>
    <t>Incumbent small business met all requirements to continue support.</t>
  </si>
  <si>
    <t>P3 Solutions, Inc.</t>
  </si>
  <si>
    <t>MAS SME for Courseware Development</t>
  </si>
  <si>
    <t>Incumbent met all requirements to continue support</t>
  </si>
  <si>
    <t>ASI Government</t>
  </si>
  <si>
    <t>GSA Step Newsletter</t>
  </si>
  <si>
    <t>Incumbent small buisiness met all the requirements to continue support</t>
  </si>
  <si>
    <t>Wild Onion Design, Inc.</t>
  </si>
  <si>
    <t>Administrative Support</t>
  </si>
  <si>
    <t>Aspen of DC</t>
  </si>
  <si>
    <t>User Guide Development</t>
  </si>
  <si>
    <t>Elucid, Inc</t>
  </si>
  <si>
    <t>Pathways to Success and New Contractor Orientation</t>
  </si>
  <si>
    <t>I-Link Solutions</t>
  </si>
  <si>
    <t>Release Notes</t>
  </si>
  <si>
    <t>Full and Open - MAS 70 schedule</t>
  </si>
  <si>
    <t>Elucid Soluctions, Inc.</t>
  </si>
  <si>
    <t>VAO Subscription</t>
  </si>
  <si>
    <t>Full and Open - MAS MOBIS schedule</t>
  </si>
  <si>
    <t>ASI Government, Inc.</t>
  </si>
  <si>
    <t>SM for MAS Program Support</t>
  </si>
  <si>
    <t>STARS II</t>
  </si>
  <si>
    <t>Radus Software, LLC</t>
  </si>
  <si>
    <t>SM for Business Acquisition Systems</t>
  </si>
  <si>
    <t>Screening Life Cycle Analysis of High Environmental Impact Sectors</t>
  </si>
  <si>
    <t>IERS</t>
  </si>
  <si>
    <t>Green Products Compulation</t>
  </si>
  <si>
    <t>TO against Single Award BPA</t>
  </si>
  <si>
    <t>Noblis, Inc.</t>
  </si>
  <si>
    <t>Communications Support</t>
  </si>
  <si>
    <t>IAE in Central Office</t>
  </si>
  <si>
    <t>SAM Production Hardware Support  (Dell, CheckPoint)</t>
  </si>
  <si>
    <t>Sterling</t>
  </si>
  <si>
    <t>GSA BPA</t>
  </si>
  <si>
    <t>Intelligent Decisions, Inc.</t>
  </si>
  <si>
    <t>New requirement</t>
  </si>
  <si>
    <t>Priscilla Owens</t>
  </si>
  <si>
    <t>703-605-3408</t>
  </si>
  <si>
    <t>SourceFire defense center - hardware maintenance (production)</t>
  </si>
  <si>
    <t>UNICOM Government, Inc. (formerly GTSI Corp.)</t>
  </si>
  <si>
    <t>Tenable security center - hardware maintenance (production)</t>
  </si>
  <si>
    <t>UNICOM Government, Inc.</t>
  </si>
  <si>
    <t>Cryptographic Key Management - new hardware purchase (production)</t>
  </si>
  <si>
    <t>SAM Non-Production Hardware Support (CheckPoint, Cisco, Dell)</t>
  </si>
  <si>
    <t>F5 BigIP - hardware maintenance (non-production)</t>
  </si>
  <si>
    <t>MS SQL Server 2008 - Software Maintenance (production)</t>
  </si>
  <si>
    <t>AT Networks</t>
  </si>
  <si>
    <t>Oracle Production software (TOAD, Tuning Pack, Diagnostic Pack)</t>
  </si>
  <si>
    <t>DLT Solutions, LLC</t>
  </si>
  <si>
    <t>Webtrends - analytics tool (production)</t>
  </si>
  <si>
    <t>DBSight - license purchase (production)</t>
  </si>
  <si>
    <t>Entrust SSL Certs - Software Maintenance (non-production)</t>
  </si>
  <si>
    <t>Directly from Entrust</t>
  </si>
  <si>
    <t>HP Web Inspect - Software Maintenance (non-production)</t>
  </si>
  <si>
    <t>Tripwire  - Software Maintenance (non-production)</t>
  </si>
  <si>
    <t>IBM Non-Production Software Maintenance (Proventia, Site Protector, Rational)</t>
  </si>
  <si>
    <t>AppDetectivePro Suite - Software Maintenance (non-production)</t>
  </si>
  <si>
    <t>DBSight - Software Maintenance (non-production)</t>
  </si>
  <si>
    <t>Oracle Non-Production software (Database Enterprise, additional licenses)</t>
  </si>
  <si>
    <t>priscilla.owens@gsa.gov</t>
  </si>
  <si>
    <t>Ping Identity - Software Maintenance (non-production)</t>
  </si>
  <si>
    <t>RedHat software - Software Maintenance (non-production)</t>
  </si>
  <si>
    <t>VMWare Vsphere - Software Maintenance (non-production)</t>
  </si>
  <si>
    <t>CA ArcServ backup software - Software Maintenance (non-production)</t>
  </si>
  <si>
    <t>Symantec Endpoint Antivirus - Software Maintenance (non-production)</t>
  </si>
  <si>
    <t>Oracle Transparent Data Encryption Software</t>
  </si>
  <si>
    <t>Common Services - identity management, data management and warehouse, search, hosting, API management</t>
  </si>
  <si>
    <t>Q4 FY14</t>
  </si>
  <si>
    <t>FY19</t>
  </si>
  <si>
    <t>Technical Governance - build API, integrate development efforts, etc.</t>
  </si>
  <si>
    <t>FPDS/USASpending C&amp;A Services</t>
  </si>
  <si>
    <t>Liquid XML Studio Developer Bundle</t>
  </si>
  <si>
    <t>FY 19</t>
  </si>
  <si>
    <t>Accessibility Support</t>
  </si>
  <si>
    <t>Wash</t>
  </si>
  <si>
    <t>Most economical and time-efficient method was to acquire services against GSA Schedule contract</t>
  </si>
  <si>
    <t>Premier</t>
  </si>
  <si>
    <t>Nina Malakouti</t>
  </si>
  <si>
    <t>703-605-2742</t>
  </si>
  <si>
    <t>nina.malakouti@gsa.gov</t>
  </si>
  <si>
    <t>Acquisition Support</t>
  </si>
  <si>
    <t>GSA Schedule/BPA Order</t>
  </si>
  <si>
    <t>Jill Thomas</t>
  </si>
  <si>
    <t> 817-850-5581</t>
  </si>
  <si>
    <t>jill.thomas@gsa.gov</t>
  </si>
  <si>
    <t>Program Management Support</t>
  </si>
  <si>
    <t>Labor Hour</t>
  </si>
  <si>
    <t>Highmark</t>
  </si>
  <si>
    <t>Morgan Phillips-Snyder</t>
  </si>
  <si>
    <t>703-605-3137</t>
  </si>
  <si>
    <t>morgan.phillipssnyder@gsa.gov</t>
  </si>
  <si>
    <t>Digitization</t>
  </si>
  <si>
    <t>DC &amp; TX</t>
  </si>
  <si>
    <t>Labat-Anderson</t>
  </si>
  <si>
    <t>Dennis Harrison</t>
  </si>
  <si>
    <t>File Accessibility</t>
  </si>
  <si>
    <t>MTSI</t>
  </si>
  <si>
    <t>Carmen Calloway</t>
  </si>
  <si>
    <t>Paralegal Support</t>
  </si>
  <si>
    <t>Juristat</t>
  </si>
  <si>
    <t>Central Office/R6</t>
  </si>
  <si>
    <t>Backoffice Support</t>
  </si>
  <si>
    <t>8(a) follow on</t>
  </si>
  <si>
    <t>PSRI</t>
  </si>
  <si>
    <t>Follow On</t>
  </si>
  <si>
    <t>Matt verhulst</t>
  </si>
  <si>
    <t>816-926-1366</t>
  </si>
  <si>
    <t>matthew.verhulst.gov</t>
  </si>
  <si>
    <t>COMSATCOM Contract Administration and Acquisition Support Services</t>
  </si>
  <si>
    <t>Fairfax</t>
  </si>
  <si>
    <t>Order placed against a multiple award BPA.  Awardees include one (1) small business and two (2) large businesses.</t>
  </si>
  <si>
    <t>Jong Lee</t>
  </si>
  <si>
    <t>(703) 306-6414</t>
  </si>
  <si>
    <t>jong.lee@gsa.gov</t>
  </si>
  <si>
    <t>Regional Business and Financial Support Services</t>
  </si>
  <si>
    <t>Emmanuel Osei Darko</t>
  </si>
  <si>
    <t>(703) 306-6220</t>
  </si>
  <si>
    <t>emmanuel.oseidarko@gsa.gov</t>
  </si>
  <si>
    <t>Regional Technical and Program Mgmt Support</t>
  </si>
  <si>
    <t>NS2020 Systems Provisioning</t>
  </si>
  <si>
    <t>Telecommunications Program and Operations Support</t>
  </si>
  <si>
    <t>Chantilly</t>
  </si>
  <si>
    <t>Fair Opportunity under MA/IDIQ</t>
  </si>
  <si>
    <t>Fair Opportunity under an existing MA IDIQ - There are no small business contractors out of eight (8).Task Order under Multiple Award Connections II (CNX II) IDIQ.</t>
  </si>
  <si>
    <t>Apptis, Inc.</t>
  </si>
  <si>
    <t>Tracey Embry</t>
  </si>
  <si>
    <t>(703) 306-7041</t>
  </si>
  <si>
    <t>tracey.embry@gsa.gov</t>
  </si>
  <si>
    <t>Task Order under Multiple Award Connections II (CNX II) IDIQ.</t>
  </si>
  <si>
    <t>GSA DEDICATED AGENCY REPRESENTATIVE (DAR)
POLICY SUPPORT</t>
  </si>
  <si>
    <t>Task Order under FSS MOBIS 874-1 and 874-7</t>
  </si>
  <si>
    <t>DELOITTE CONSULTING LLP</t>
  </si>
  <si>
    <t>Technical, Analytical, and Coordination Support (TACS)</t>
  </si>
  <si>
    <t>Task Order under FSS MOBIS 874-2.</t>
  </si>
  <si>
    <t>COMPUTER SCIENCES CORPORATION (CSC)</t>
  </si>
  <si>
    <t>Tariff Database Software Information Tool</t>
  </si>
  <si>
    <t>Purchase order</t>
  </si>
  <si>
    <t>Global Capacity, Inc.</t>
  </si>
  <si>
    <t>Terri Stoddard</t>
  </si>
  <si>
    <t>(571) 337- 6025</t>
  </si>
  <si>
    <t>terri.stoddard@gsa.gov</t>
  </si>
  <si>
    <t>3/2010</t>
  </si>
  <si>
    <t>4/2010</t>
  </si>
  <si>
    <t>4/2015</t>
  </si>
  <si>
    <t>Assisted Aquistion Services for Department of Commerce- FirstNet</t>
  </si>
  <si>
    <t>BPA Call placed against a single award BPA. (Task Order)</t>
  </si>
  <si>
    <t>BPA Holder is a woman-owned small business</t>
  </si>
  <si>
    <t>Integrity Management Consulting, Inc.</t>
  </si>
  <si>
    <t>Dinaira Borba</t>
  </si>
  <si>
    <t>(703) 306-6285</t>
  </si>
  <si>
    <t>dinaira.borba@gsa.gov</t>
  </si>
  <si>
    <t>Reimbursable</t>
  </si>
  <si>
    <t>DOC</t>
  </si>
  <si>
    <t>National Hosting Center II Recompete</t>
  </si>
  <si>
    <t>Hybrid - Fixed Price and Labor Hours</t>
  </si>
  <si>
    <t>Services to provide Interactive Training via Satellite (GETN)</t>
  </si>
  <si>
    <t>Fair Opportunity under an existing MA IDIQ - There are no small business contractors out of eight (8).</t>
  </si>
  <si>
    <t>CS2 MA/IDIQ Contract Holders</t>
  </si>
  <si>
    <t>Jenni Lewis</t>
  </si>
  <si>
    <t>(703) 269-7749</t>
  </si>
  <si>
    <t>jenni.lewis@gsa.gov</t>
  </si>
  <si>
    <t>Integrated Technology Services Business Operations</t>
  </si>
  <si>
    <t>TBD (SDVOSB or HubZone)</t>
  </si>
  <si>
    <t>Angela Chiu</t>
  </si>
  <si>
    <t>703-306-6376</t>
  </si>
  <si>
    <t>angela.chiu@gsa.gov</t>
  </si>
  <si>
    <t>Connections II Program Support</t>
  </si>
  <si>
    <t>BPA Call placed against 3 multiple award TAASS BPA. (Task Order)</t>
  </si>
  <si>
    <t>Wireless Program Support</t>
  </si>
  <si>
    <t>WITS 3 Support</t>
  </si>
  <si>
    <t>WITS - MATRIX Acquisition Support</t>
  </si>
  <si>
    <t>Network Hosting Center (NHC)</t>
  </si>
  <si>
    <t>Focus Group Support</t>
  </si>
  <si>
    <t>Firm Fixed Price - Labor Hours</t>
  </si>
  <si>
    <t>BPA GSA-QCOA-06-2011 dated 2/3/2011 Task Order QP0018396</t>
  </si>
  <si>
    <t>PricewaterhouseCoopers, LLP</t>
  </si>
  <si>
    <t>Sandra J. Brooks</t>
  </si>
  <si>
    <t>703-603-8176</t>
  </si>
  <si>
    <t>sandra.brooks@gsa.gov</t>
  </si>
  <si>
    <t>FY14 Communications Plan Analysis</t>
  </si>
  <si>
    <t>BPA GSA-QCOB-01-2010 dated 12/21/2010 Task Order QP0019399</t>
  </si>
  <si>
    <t>Sage Communications</t>
  </si>
  <si>
    <t>FY14 Social Media Interact.GSA - Technical Support for Drupal Code</t>
  </si>
  <si>
    <t>BPA GSA-QCOB-01-2010 dated 12/21/2010 Task Order QP0019398</t>
  </si>
  <si>
    <t>Market Profile Subscription Services</t>
  </si>
  <si>
    <t>Open Market - Task Order QP0019360</t>
  </si>
  <si>
    <t>Deltek Systems</t>
  </si>
  <si>
    <t>FY14 CART &amp; CRM Services - FAS Survey Program</t>
  </si>
  <si>
    <t>BPA GSA-QCOA-01-2009 dated 06/26/2009 Task Order QP0019379</t>
  </si>
  <si>
    <t>Unisys Corporation</t>
  </si>
  <si>
    <t>FY14 Business Intelligence - Continued Support CART &amp; CRM Services</t>
  </si>
  <si>
    <t>BPA GSA-QCOA-01-2009 dated 06/26/2009 Task Order QP0019394</t>
  </si>
  <si>
    <t>Data Visualization</t>
  </si>
  <si>
    <t>BPA GSA-QCOA-01-2009 dated 06/26/2009 Task Order QP0019400</t>
  </si>
  <si>
    <t>Applications, maintenance, enhancements, and operations support (for FAS IT).</t>
  </si>
  <si>
    <t>CPAF / FFP</t>
  </si>
  <si>
    <t>Alliant Small Business</t>
  </si>
  <si>
    <t>Michael Donaldson</t>
  </si>
  <si>
    <t>(202) 208-0513</t>
  </si>
  <si>
    <t>michael.donaldson@gsa.gov</t>
  </si>
  <si>
    <t>4/2014</t>
  </si>
  <si>
    <t>4/2019</t>
  </si>
  <si>
    <t>CIO / Office of the Chief Information Security Officer</t>
  </si>
  <si>
    <t>Security Operations, Engineering and A&amp;A support</t>
  </si>
  <si>
    <t>Consolidation of 3 similar expiring orders serving 7 S/SOs where incumbent small business has demonstrated ability to perform work</t>
  </si>
  <si>
    <t>Telos Corporation, TWM Associates, Computer Technology Associates</t>
  </si>
  <si>
    <t>5/2014</t>
  </si>
  <si>
    <t>5/2019</t>
  </si>
  <si>
    <t>GSA Assist (Application Development / O&amp;M)</t>
  </si>
  <si>
    <t>Contractor Location</t>
  </si>
  <si>
    <t>TechFlow</t>
  </si>
  <si>
    <t>ATM/VSC/ADV Helpdesk</t>
  </si>
  <si>
    <t>VETS</t>
  </si>
  <si>
    <t>OBXTek</t>
  </si>
  <si>
    <t>BCoE</t>
  </si>
  <si>
    <t>8(a) STARS II</t>
  </si>
  <si>
    <t>Enterprise Solutions</t>
  </si>
  <si>
    <t>eCRM Bridge</t>
  </si>
  <si>
    <t>Schedule 70</t>
  </si>
  <si>
    <t>Bridge contract to allow time for a successful 8(a) Stars II award for the re-compete.</t>
  </si>
  <si>
    <t>Citizent</t>
  </si>
  <si>
    <t>eCRM Re-Compete</t>
  </si>
  <si>
    <t>Directed 8(a) Stars II Award</t>
  </si>
  <si>
    <t>Consolidated Help Desk</t>
  </si>
  <si>
    <t>Access Systems</t>
  </si>
  <si>
    <t>Directed 8 (a) Stars</t>
  </si>
  <si>
    <t>Central Office/GSS/AO-SO</t>
  </si>
  <si>
    <t>Acquisition Support Services - AO</t>
  </si>
  <si>
    <t>Task Order</t>
  </si>
  <si>
    <t>Integrity Management</t>
  </si>
  <si>
    <t>BridgetteOverbey</t>
  </si>
  <si>
    <t>(703) 605-2671</t>
  </si>
  <si>
    <t>bridgette.overbey@gsa.gov</t>
  </si>
  <si>
    <t>Acquisition Support Services - OASIS</t>
  </si>
  <si>
    <t>Acquisition Support Services - Region 2</t>
  </si>
  <si>
    <t>Central Office/GSS/ESCS/RO</t>
  </si>
  <si>
    <t>GECO/Store Portal Development and O&amp;M for GSS' Point of Sale System</t>
  </si>
  <si>
    <t>Task Order (8(a) STARS II)</t>
  </si>
  <si>
    <t>8(a) Set-Aside</t>
  </si>
  <si>
    <t>AMATEA</t>
  </si>
  <si>
    <t>Laurel Weiskopf</t>
  </si>
  <si>
    <t>(703) 605-5721</t>
  </si>
  <si>
    <t>laurel.weiskopf@gsa.gov</t>
  </si>
  <si>
    <t>Central Office/ESCS/RO</t>
  </si>
  <si>
    <t>4PL for Guam/HI - Office Supplies</t>
  </si>
  <si>
    <t>Office Depot</t>
  </si>
  <si>
    <t>Jeffrey Chance</t>
  </si>
  <si>
    <t>(703) 605-1833</t>
  </si>
  <si>
    <t>jeffrey.chance@gsa.gov</t>
  </si>
  <si>
    <t>4PL for Guam/HI - MRO</t>
  </si>
  <si>
    <t>W. W. Grainger</t>
  </si>
  <si>
    <t>Guam Store Services</t>
  </si>
  <si>
    <t>SourceAmerica Nonprofit</t>
  </si>
  <si>
    <t>AbilityOne Set-Aside</t>
  </si>
  <si>
    <t>PARI/Source America</t>
  </si>
  <si>
    <t>David Treichler</t>
  </si>
  <si>
    <t>(703) 603-8180</t>
  </si>
  <si>
    <t>david.treichler@gsa.gov</t>
  </si>
  <si>
    <t>4PL for USMC - Office Products</t>
  </si>
  <si>
    <t>Deborah Joeckel</t>
  </si>
  <si>
    <t>(404) 215-6739</t>
  </si>
  <si>
    <t>deborah.jeockel@gsa.gov</t>
  </si>
  <si>
    <t>4PL for Fleet Readiness Centers - Industrial Supplies &amp; Tools</t>
  </si>
  <si>
    <t>4PL for USCG Curtis Bay - Industrial Supplies &amp; Tools</t>
  </si>
  <si>
    <t>Central Office/AO-SO</t>
  </si>
  <si>
    <t>Option Exercised</t>
  </si>
  <si>
    <t>Sharpe Contract Labor</t>
  </si>
  <si>
    <t>Facilities Management</t>
  </si>
  <si>
    <t>Sharpe</t>
  </si>
  <si>
    <t>OTHER</t>
  </si>
  <si>
    <t>MANCON INC.</t>
  </si>
  <si>
    <t>Stephen Smith</t>
  </si>
  <si>
    <t>703-605-2844</t>
  </si>
  <si>
    <t>stephena.smith@gsa.gov</t>
  </si>
  <si>
    <t>Option: January 2014</t>
  </si>
  <si>
    <t>Established; BPA No. QSDBJA-20-EL-2010</t>
  </si>
  <si>
    <t>Center for Supply Acquisitions Professional Engineering Support</t>
  </si>
  <si>
    <t>R-Professional administrative, and management support services</t>
  </si>
  <si>
    <t>New York, Kansas City &amp; Fort Worth</t>
  </si>
  <si>
    <t>NY, MO &amp; TX</t>
  </si>
  <si>
    <t>LOUIS BERGER LOGISTICS SERVICES, INC.</t>
  </si>
  <si>
    <t>Carlton Benton</t>
  </si>
  <si>
    <t>703-605-2794</t>
  </si>
  <si>
    <t>carlton.benton@gsa.gov</t>
  </si>
  <si>
    <t>Option; May 2014</t>
  </si>
  <si>
    <t>End Date; May 2016</t>
  </si>
  <si>
    <t>Burlington Contract Labor</t>
  </si>
  <si>
    <t>Burlington</t>
  </si>
  <si>
    <t>SDB 8(a)</t>
  </si>
  <si>
    <t>Alutiiq Inc.</t>
  </si>
  <si>
    <t>Burlington Export Contract Labor</t>
  </si>
  <si>
    <t>Burlington Contractual Services</t>
  </si>
  <si>
    <t>Burlington Export Contractual Services</t>
  </si>
  <si>
    <t>Acquisition will be issued in FY14</t>
  </si>
  <si>
    <t>Enhanced Data Management Services</t>
  </si>
  <si>
    <t>XSB, Inc.</t>
  </si>
  <si>
    <t>THE OFFICE, IMAGING AND DOCUMENT SOLUTION</t>
  </si>
  <si>
    <t>GSA FORECAST OF CONTRACTING OPPORTUNITIES LEGEND</t>
  </si>
  <si>
    <t> </t>
  </si>
  <si>
    <t>FORECAST DATA ELEMENTS</t>
  </si>
  <si>
    <t>GSA Organization - office requesting the procurement</t>
  </si>
  <si>
    <t>Region - office location</t>
  </si>
  <si>
    <t>Award Status - awarded to a contractor, in the process of awarding, or open for proposal/solicitation submission</t>
  </si>
  <si>
    <t>Product or Service Description - type of product to be provided or service to be performed</t>
  </si>
  <si>
    <t>Procurement Classification Code - identifies specific work in an industry</t>
  </si>
  <si>
    <t>Place of Performance (City/State) - business location or where product is manufactured</t>
  </si>
  <si>
    <t>North American Industrial Classification Code - the standard used by Federal statistical agencies in classifying business establishments for the purpose of collecting, analyzing, and</t>
  </si>
  <si>
    <t>and publishing statistical data related to the U.S. business economy</t>
  </si>
  <si>
    <t>Contract Type - Type of procurement such as Firm Fixed Price, Fee, etc.</t>
  </si>
  <si>
    <t>Acquisition Strategy - Procurement type (set-aside, GSA Schedules, etc.)</t>
  </si>
  <si>
    <t>Socioeconomic and Acquisition Strategy Rationale – justification provided when small business not selected</t>
  </si>
  <si>
    <t>Estimated Contract Value (Minimum/Maximum) - cost based on work to be performed and price analysis</t>
  </si>
  <si>
    <t>Incumbent Contractor Name - current contract holder</t>
  </si>
  <si>
    <t>New Requirement or Exercise of Option - new opportunity or extending a previously awarded contract</t>
  </si>
  <si>
    <t>Quarter (for Initial procurement) – anticipated fiscal year quarter for award to be made</t>
  </si>
  <si>
    <t>Fiscal Year – October 1 to September 30 (one fiscal year)</t>
  </si>
  <si>
    <t>Point of Contact (name, phone number, email address) - Project/Program Manager, Contract Specialist, or Contracting Office</t>
  </si>
  <si>
    <t>ACRONYMS</t>
  </si>
  <si>
    <t>AAS - Assisted Acquisition Services</t>
  </si>
  <si>
    <t>CO - Contracting Officer</t>
  </si>
  <si>
    <t>IAE - Integrated Award Environment</t>
  </si>
  <si>
    <t>IDIQ - Indefinite Delivery Indefinite Quantity</t>
  </si>
  <si>
    <t>LPTA - Low Price/Technically Acceptable</t>
  </si>
  <si>
    <t>R3 - Region 3 Mid-Atlantic (Pennsylvania, Delaware, West Virginia, Maryland (excluding Montgomery and Prince George’s Counties), New Jersey (southern), Virginian (excluding the cities</t>
  </si>
  <si>
    <t>of Falls Church and Alexandria and Fairfax, Arlington, Loudoun and Prince William counties), Europe, Africa and the Middle East)</t>
  </si>
  <si>
    <t>R4 - Region 4 Southeast Sunbelt (Alabama, Florida, Georgia, Kentucky, Mississippi, North Carolina, South Carolina, Tennessee)</t>
  </si>
  <si>
    <t>R5 - Region 5 Great Lakes(Illinois, Indiana, Michigan, Minnesota, Ohio, Wisconsin)</t>
  </si>
  <si>
    <t>R6 - Region 6 The Heartland (Kansas, Missouri, Iowa, Nebraska)</t>
  </si>
  <si>
    <t>R7 - Region 7 Greater Southwest (Texas, Arkansas, Louisiana, New Mexico, Oklahoma, Central and South America)</t>
  </si>
  <si>
    <t>R8 - Region 8 Rocky Mountain (Colorado, Montana, North Dakota, South Dakota, Utah, Wyoming)</t>
  </si>
  <si>
    <t>R9 - Region 9 Pacific Rim (Arizona, California, Hawaii, Nevada, American Samoa, Commonwealth of the Northern Mariana Islands, Diego Garcia, Guam, mainland Japan and Okinawa,</t>
  </si>
  <si>
    <t>the Republic of Korea, Saipan, Singapore)</t>
  </si>
  <si>
    <t>R10 - Region 10 Northwest/Arctic (Washington, Alaska, Idaho, Oregon)</t>
  </si>
  <si>
    <t>NCR – National Capital Region (District of Columbia and the nearby Metropolitan Areas of Maryland (Montgomery and Prince Georges Counties), Virginia (Cities of Alexandria, Fairfax,</t>
  </si>
  <si>
    <t>and Falls Church and Arlington, Fairfax, Loudoun, and Prince William Counties)</t>
  </si>
  <si>
    <t>CO - Central Office</t>
  </si>
  <si>
    <t>DEFINITION OF TERMS</t>
  </si>
  <si>
    <t>a small business owned and controlled by a socially and economically disadvantaged individual.</t>
  </si>
  <si>
    <t>(Historically Underutilized Business Zones) - a program that helps small businesses in urban and rural communities gain preferential access to federal procurement opportunities.</t>
  </si>
  <si>
    <t>These preferences go to small businesses that obtain HUBZone certification in part by employing staff who live in a HUBZone. The company must also maintain a "principal office"</t>
  </si>
  <si>
    <t>in one of these specially designated areas.</t>
  </si>
  <si>
    <t>(Woman Owned Small Business) - a firm must be at least 51% owned and controlled by one or more women, and primarily managed by one or more women.  The firm must be “small” in its</t>
  </si>
  <si>
    <t>primary industry in accordance with SBA’s size standards for that industry.</t>
  </si>
  <si>
    <t>(Service Disabled Veteran Owned Small Business) – an SDVOSB must have a service-connected disability that has been determined by the Department of Veterans Affairs or Department of</t>
  </si>
  <si>
    <t>Defense, business must be small under the North American Industry Classification System (NAICS) code assigned to the procurement, the SDV must unconditionally own 51% of the business,</t>
  </si>
  <si>
    <t>must control the management and daily operations of the SDVOSBC and the SDV must hold the highest officer position in the SDVOSBC.</t>
  </si>
  <si>
    <t>Firm Fixed Price - contract price is the price bid, with no incentives or fees added. Cost responsibility is placed wholly on the contractor. The preferred type when cost risk is minimal,</t>
  </si>
  <si>
    <t>or can be predicted with an acceptable degree of certainty.</t>
  </si>
  <si>
    <t>Blanket Purchase Agreement - used to fill anticipated repetitive needs for supplies and services.</t>
  </si>
  <si>
    <t>Fixed Price with Economic Price Adjustment - use is appropriate to protect both the Government and the contractor when there is serious doubt about the stability of labor or material prices</t>
  </si>
  <si>
    <t>during the life of the contract. Price adjustment provisions can provide for both upward and downward adjustments.</t>
  </si>
  <si>
    <t>Indefinite Delivery Contract - (IDC) is a vehicle that has been awarded to one or more vendors to facilitate the delivery of supply and service orders.</t>
  </si>
  <si>
    <t>Definitive Contract - a mutually binding legal relationship obligating the seller to furnish the supplies or services (including construction) and the buyer to pay for them.</t>
  </si>
  <si>
    <t>Set-aside - the reserving of an acquisition exclusively for participation by small business concerns who qualify under the appropriate North American Industry Classification System (NAICS) code</t>
  </si>
  <si>
    <t>Labor Hour - a variation of the time-and-materials contract, differing only in that materials are not supplied by the contractor</t>
  </si>
  <si>
    <t>Basic Ordering Agreement - a written instrument of understanding, negotiated between an agency, contracting activity, or contracting office and a contractor, that contains</t>
  </si>
  <si>
    <t>(1) terms and clauses applying to future contracts (orders) between the parties during its term, (2) a description, as specific as practicable, of supplies or services to be provided, and</t>
  </si>
  <si>
    <t>(3) methods for pricing, issuing, and delivering future orders under the basic ordering agreement.  A basic ordering agreement is not a contract.</t>
  </si>
  <si>
    <t>Negotiated – A contract awarded using other than sealed bidding procedures</t>
  </si>
  <si>
    <t>Sole Source - a contract for the purchase of supplies or services that is entered into or proposed to be entered into by an agency after soliciting and negotiating with only one source</t>
  </si>
  <si>
    <t>also known as Multiple Award Schedules, are indefinite delivery, indefinite quantity (IDIQ), long-term contracts under the General Services Administration's Multiple Award Schedule (MAS) Program</t>
  </si>
  <si>
    <t>Definitions/Key:</t>
  </si>
  <si>
    <t>Fully Serviced Lease - a lease that includes all services and utilities (janitorial, electric, HVAC, elevators,etc. ) that comprise operating cost expenses.</t>
  </si>
  <si>
    <t>RSF - Rentable Square Feet</t>
  </si>
  <si>
    <t>RGA - Responsible Government Associate</t>
  </si>
  <si>
    <t>Lease Num</t>
  </si>
  <si>
    <t>City</t>
  </si>
  <si>
    <t>State</t>
  </si>
  <si>
    <t>Field Office Name</t>
  </si>
  <si>
    <t>Lease Effective</t>
  </si>
  <si>
    <t>Lease Expiration</t>
  </si>
  <si>
    <t>Fully Serviced</t>
  </si>
  <si>
    <t>Solicitation Procedure</t>
  </si>
  <si>
    <t>Lease Agreement RSF</t>
  </si>
  <si>
    <t>Current Operating Rent</t>
  </si>
  <si>
    <t>Current Net Rent</t>
  </si>
  <si>
    <t>Current Annual Rent</t>
  </si>
  <si>
    <t>RGA First Name</t>
  </si>
  <si>
    <t>RGA LastName</t>
  </si>
  <si>
    <t>RGA Email</t>
  </si>
  <si>
    <t>LMA04280</t>
  </si>
  <si>
    <t>NORWOOD</t>
  </si>
  <si>
    <t>BOSTON SERVICE CENTER</t>
  </si>
  <si>
    <t>Negotiated Proposal</t>
  </si>
  <si>
    <t>Richardt</t>
  </si>
  <si>
    <t>Reynolds</t>
  </si>
  <si>
    <t>richardt.reynolds@gsa.gov</t>
  </si>
  <si>
    <t>LMA04088</t>
  </si>
  <si>
    <t>WILMINGTON</t>
  </si>
  <si>
    <t>Mark</t>
  </si>
  <si>
    <t>Shinto</t>
  </si>
  <si>
    <t>mark.shinto@gsa.gov</t>
  </si>
  <si>
    <t>LCT04625</t>
  </si>
  <si>
    <t>WINDSOR LOCKS</t>
  </si>
  <si>
    <t>SOUTH SERVICE CENTER</t>
  </si>
  <si>
    <t>Ginette</t>
  </si>
  <si>
    <t>Saintus</t>
  </si>
  <si>
    <t>ginette.saintus@gsa.gov</t>
  </si>
  <si>
    <t>LMA03784</t>
  </si>
  <si>
    <t>BOSTON</t>
  </si>
  <si>
    <t>LNY23124</t>
  </si>
  <si>
    <t>NEW YORK-MANHATTAN</t>
  </si>
  <si>
    <t>MANHATTAN SERVICE CENTER</t>
  </si>
  <si>
    <t>Charles</t>
  </si>
  <si>
    <t>Vitale</t>
  </si>
  <si>
    <t>charles.vitale@gsa.gov</t>
  </si>
  <si>
    <t>LNY23383</t>
  </si>
  <si>
    <t>NEW YORK-QUEENS</t>
  </si>
  <si>
    <t>BROOKLYN SERVICE CENTER</t>
  </si>
  <si>
    <t>Michelle</t>
  </si>
  <si>
    <t>Jackson</t>
  </si>
  <si>
    <t>michelle.jackson@gsa.gov</t>
  </si>
  <si>
    <t>LNY19222</t>
  </si>
  <si>
    <t>NIAGARA FALLS</t>
  </si>
  <si>
    <t>UPSTATE SERVICE CENTER</t>
  </si>
  <si>
    <t>Theresa</t>
  </si>
  <si>
    <t>Harmon</t>
  </si>
  <si>
    <t>theresa.harmon@gsa.gov</t>
  </si>
  <si>
    <t>LNY22901</t>
  </si>
  <si>
    <t>NEW YORK-BRONX</t>
  </si>
  <si>
    <t>Jessica</t>
  </si>
  <si>
    <t>Delossantos</t>
  </si>
  <si>
    <t>jessica.delossantos@gsa.gov</t>
  </si>
  <si>
    <t>LNY23006</t>
  </si>
  <si>
    <t>NEW ROCHELLE</t>
  </si>
  <si>
    <t>Ron</t>
  </si>
  <si>
    <t>Feist</t>
  </si>
  <si>
    <t>LNY23336</t>
  </si>
  <si>
    <t>Scott</t>
  </si>
  <si>
    <t>Elgart</t>
  </si>
  <si>
    <t>LNY23213</t>
  </si>
  <si>
    <t>NEW YORK-RICHMOND</t>
  </si>
  <si>
    <t>NEW JERSEY SERVICE CENTER</t>
  </si>
  <si>
    <t>Dmitriy</t>
  </si>
  <si>
    <t>Betser</t>
  </si>
  <si>
    <t>LNJ23267</t>
  </si>
  <si>
    <t>NEWARK</t>
  </si>
  <si>
    <t>Daniel</t>
  </si>
  <si>
    <t>Latendresse</t>
  </si>
  <si>
    <t>daniel.latendresse@gsa.gov</t>
  </si>
  <si>
    <t>LNY23008</t>
  </si>
  <si>
    <t>WHITE PLAINS</t>
  </si>
  <si>
    <t>LNY22792</t>
  </si>
  <si>
    <t>Banfield</t>
  </si>
  <si>
    <t>Smith</t>
  </si>
  <si>
    <t>banfield.smith@gsa.gov</t>
  </si>
  <si>
    <t>LNJ23065</t>
  </si>
  <si>
    <t>Stephen</t>
  </si>
  <si>
    <t>Janssen</t>
  </si>
  <si>
    <t>stephen.janssen@gsa.gov</t>
  </si>
  <si>
    <t>LNJ23276</t>
  </si>
  <si>
    <t>PARSIPPANY</t>
  </si>
  <si>
    <t>kazi.rizvi@gsa.gov</t>
  </si>
  <si>
    <t>LNJ23013</t>
  </si>
  <si>
    <t>WEST PATERSON</t>
  </si>
  <si>
    <t>Queenebony</t>
  </si>
  <si>
    <t>Ali</t>
  </si>
  <si>
    <t>queenebony.ali@gsa.gov</t>
  </si>
  <si>
    <t>LNY22753</t>
  </si>
  <si>
    <t>BUFFALO</t>
  </si>
  <si>
    <t>LNY22689</t>
  </si>
  <si>
    <t>LNY23294</t>
  </si>
  <si>
    <t>LNY23300</t>
  </si>
  <si>
    <t>AMHERST</t>
  </si>
  <si>
    <t>Eduardo</t>
  </si>
  <si>
    <t>Vidal</t>
  </si>
  <si>
    <t>eduardo.vidal@gsa.gov</t>
  </si>
  <si>
    <t>LNY23244</t>
  </si>
  <si>
    <t>LNY23204</t>
  </si>
  <si>
    <t>LNY23216</t>
  </si>
  <si>
    <t>LNY22955</t>
  </si>
  <si>
    <t>ALBANY</t>
  </si>
  <si>
    <t>Akeemah</t>
  </si>
  <si>
    <t>akeemah.smith@gsa.gov</t>
  </si>
  <si>
    <t>LNY22959</t>
  </si>
  <si>
    <t>LNY23568</t>
  </si>
  <si>
    <t>LVI18871</t>
  </si>
  <si>
    <t>CHRISTIANSTED</t>
  </si>
  <si>
    <t>CARIBBEAN SERVICE CENTER</t>
  </si>
  <si>
    <t>Carmen</t>
  </si>
  <si>
    <t>Hernandez</t>
  </si>
  <si>
    <t>carmen.hernandez@gsa.gov</t>
  </si>
  <si>
    <t>LNY22757</t>
  </si>
  <si>
    <t>ROCHESTER</t>
  </si>
  <si>
    <t>Jason</t>
  </si>
  <si>
    <t>Clayton</t>
  </si>
  <si>
    <t>jason.clayton@gsa.gov</t>
  </si>
  <si>
    <t>LNY22759</t>
  </si>
  <si>
    <t>CORNING</t>
  </si>
  <si>
    <t>LPR18997</t>
  </si>
  <si>
    <t>SAN JUAN</t>
  </si>
  <si>
    <t>Ana</t>
  </si>
  <si>
    <t>Delosreyes</t>
  </si>
  <si>
    <t>ana.delosreyes@gsa.gov</t>
  </si>
  <si>
    <t>LPR18936</t>
  </si>
  <si>
    <t>GUAYNABO</t>
  </si>
  <si>
    <t>Allison</t>
  </si>
  <si>
    <t>Arias</t>
  </si>
  <si>
    <t>LNJ22711</t>
  </si>
  <si>
    <t>Rebecca</t>
  </si>
  <si>
    <t>Kaplan</t>
  </si>
  <si>
    <t>rebecca.kaplan@gsa.gov</t>
  </si>
  <si>
    <t>LNY23139</t>
  </si>
  <si>
    <t>JAMESTOWN</t>
  </si>
  <si>
    <t>Kevin</t>
  </si>
  <si>
    <t>Fahey</t>
  </si>
  <si>
    <t>kevin.fahey@gsa.gov</t>
  </si>
  <si>
    <t>LNY22801</t>
  </si>
  <si>
    <t>Susan</t>
  </si>
  <si>
    <t>Sobrepena</t>
  </si>
  <si>
    <t>susan.sobrepena@gsa.gov</t>
  </si>
  <si>
    <t>LNY23168</t>
  </si>
  <si>
    <t>LNY22914</t>
  </si>
  <si>
    <t>LNY23111</t>
  </si>
  <si>
    <t>LATHAM</t>
  </si>
  <si>
    <t>Shawn</t>
  </si>
  <si>
    <t>shawn.ambrose@gsa.gov</t>
  </si>
  <si>
    <t>LNY22725</t>
  </si>
  <si>
    <t>LNY15370</t>
  </si>
  <si>
    <t>Amy</t>
  </si>
  <si>
    <t>Waugh</t>
  </si>
  <si>
    <t>LNJ22574</t>
  </si>
  <si>
    <t>HOBOKEN</t>
  </si>
  <si>
    <t>LNY22975</t>
  </si>
  <si>
    <t>HOLTSVILLE</t>
  </si>
  <si>
    <t>Alfonso</t>
  </si>
  <si>
    <t>Yau</t>
  </si>
  <si>
    <t>alfonso.yau@gsa.gov</t>
  </si>
  <si>
    <t>LNY22594</t>
  </si>
  <si>
    <t>LNY22680</t>
  </si>
  <si>
    <t>LNY23302</t>
  </si>
  <si>
    <t>NEW YORK-KINGS</t>
  </si>
  <si>
    <t>LPR19138</t>
  </si>
  <si>
    <t>Wanda</t>
  </si>
  <si>
    <t>Cadilla</t>
  </si>
  <si>
    <t>wanda.cadilla@gsa.gov</t>
  </si>
  <si>
    <t>LNY22813</t>
  </si>
  <si>
    <t>MELVILLE</t>
  </si>
  <si>
    <t>Marcus</t>
  </si>
  <si>
    <t>Skinner</t>
  </si>
  <si>
    <t>LNJ20139</t>
  </si>
  <si>
    <t>TRENTON</t>
  </si>
  <si>
    <t>DELAWARE VALLEY FIELD OFFICE</t>
  </si>
  <si>
    <t>Douglas</t>
  </si>
  <si>
    <t>Morrell</t>
  </si>
  <si>
    <t>douglas.morrell@gsa.gov</t>
  </si>
  <si>
    <t>LNJ80717</t>
  </si>
  <si>
    <t>SOMERVILLE</t>
  </si>
  <si>
    <t>Paula</t>
  </si>
  <si>
    <t>Barker</t>
  </si>
  <si>
    <t>sandro.ruiz@gsa.gov</t>
  </si>
  <si>
    <t>LNJ80765</t>
  </si>
  <si>
    <t>HAMILTON SQUARE</t>
  </si>
  <si>
    <t>Stephan</t>
  </si>
  <si>
    <t>Yurchak</t>
  </si>
  <si>
    <t>eileen.marengo@gsa.gov</t>
  </si>
  <si>
    <t>LMD09335</t>
  </si>
  <si>
    <t>FRIENDSHIP AIRPORT</t>
  </si>
  <si>
    <t>BALTIMORE FIELD OFFICE (MD)</t>
  </si>
  <si>
    <t>Kory</t>
  </si>
  <si>
    <t>Hochler</t>
  </si>
  <si>
    <t>joseph.stephenson@gsa.gov</t>
  </si>
  <si>
    <t>LPA10258</t>
  </si>
  <si>
    <t>BOYERS</t>
  </si>
  <si>
    <t>PITTSBURGH FIELD OFFICE (PA)</t>
  </si>
  <si>
    <t>Maya</t>
  </si>
  <si>
    <t>Godelman</t>
  </si>
  <si>
    <t>maya.godelman@gsa.gov</t>
  </si>
  <si>
    <t>LPA79052</t>
  </si>
  <si>
    <t>timothy.wells@gsa.gov</t>
  </si>
  <si>
    <t>LPA03447</t>
  </si>
  <si>
    <t>LSC31158</t>
  </si>
  <si>
    <t>BEAUFORT</t>
  </si>
  <si>
    <t>COLUMBIA PMC (SC)</t>
  </si>
  <si>
    <t>dominic.small@gsa.gov</t>
  </si>
  <si>
    <t>LTN43072</t>
  </si>
  <si>
    <t>ALCOA</t>
  </si>
  <si>
    <t>NASHVILLE PMC (TN)</t>
  </si>
  <si>
    <t>Randell</t>
  </si>
  <si>
    <t>Mills</t>
  </si>
  <si>
    <t>randell.mills@gsa.gov</t>
  </si>
  <si>
    <t>LKY31332</t>
  </si>
  <si>
    <t>COVINGTON</t>
  </si>
  <si>
    <t>LOUISVILLE PMC (KY)</t>
  </si>
  <si>
    <t>Shontise</t>
  </si>
  <si>
    <t>Mangham</t>
  </si>
  <si>
    <t>shontise.mangham@gsa.gov</t>
  </si>
  <si>
    <t>LKY61078</t>
  </si>
  <si>
    <t>HEBRON</t>
  </si>
  <si>
    <t>Simplified Acquisition</t>
  </si>
  <si>
    <t>LIL17995</t>
  </si>
  <si>
    <t>ORLAND PARK</t>
  </si>
  <si>
    <t>GC SC LEASING OFFICE</t>
  </si>
  <si>
    <t>Malinda</t>
  </si>
  <si>
    <t>Pennington</t>
  </si>
  <si>
    <t>malinda.pennington@gsa.gov</t>
  </si>
  <si>
    <t>LIL16282</t>
  </si>
  <si>
    <t>CHICAGO</t>
  </si>
  <si>
    <t>Melissa</t>
  </si>
  <si>
    <t>Mckenna</t>
  </si>
  <si>
    <t>melissa.mckenna@gsa.gov</t>
  </si>
  <si>
    <t>LIL16355</t>
  </si>
  <si>
    <t>JOLIET</t>
  </si>
  <si>
    <t>Clair</t>
  </si>
  <si>
    <t>Jones</t>
  </si>
  <si>
    <t>clair.jones@gsa.gov</t>
  </si>
  <si>
    <t>LIL17836</t>
  </si>
  <si>
    <t>LISLE</t>
  </si>
  <si>
    <t>Tina</t>
  </si>
  <si>
    <t>Church</t>
  </si>
  <si>
    <t>tina.church@gsa.gov</t>
  </si>
  <si>
    <t>LIL16960</t>
  </si>
  <si>
    <t>LIL17387</t>
  </si>
  <si>
    <t>ROSEMONT</t>
  </si>
  <si>
    <t>Marilyn</t>
  </si>
  <si>
    <t>Fornell</t>
  </si>
  <si>
    <t>marilyn.fornell@gsa.gov</t>
  </si>
  <si>
    <t>LIN16967</t>
  </si>
  <si>
    <t>LAFAYETTE</t>
  </si>
  <si>
    <t>SIL-IN SC NORTHERN INDIANA FO</t>
  </si>
  <si>
    <t>June</t>
  </si>
  <si>
    <t>Beecham</t>
  </si>
  <si>
    <t>june.beecham@gsa.gov</t>
  </si>
  <si>
    <t>LIL17280</t>
  </si>
  <si>
    <t>OAKBROOK TERRACE</t>
  </si>
  <si>
    <t>LOH16335</t>
  </si>
  <si>
    <t>CINCINNATI</t>
  </si>
  <si>
    <t>OH SC CINCINNATI FO</t>
  </si>
  <si>
    <t>Elizabeth</t>
  </si>
  <si>
    <t>Loggins</t>
  </si>
  <si>
    <t>elizabeth.loggins@gsa.gov</t>
  </si>
  <si>
    <t>LOH18610</t>
  </si>
  <si>
    <t>CLEVELAND</t>
  </si>
  <si>
    <t>OH SC CLEVELAND COURTHOUSES FO</t>
  </si>
  <si>
    <t>Kovas</t>
  </si>
  <si>
    <t>Palubinskas</t>
  </si>
  <si>
    <t>kovas.palubinskas@gsa.gov</t>
  </si>
  <si>
    <t>LOH15001</t>
  </si>
  <si>
    <t>WESTLAKE</t>
  </si>
  <si>
    <t>Peggy</t>
  </si>
  <si>
    <t>Ivarra</t>
  </si>
  <si>
    <t>peggy.ivarra@gsa.gov</t>
  </si>
  <si>
    <t>LMI17139</t>
  </si>
  <si>
    <t>WYOMING</t>
  </si>
  <si>
    <t>MI SC GRAND RAPIDS FO</t>
  </si>
  <si>
    <t>Deborah</t>
  </si>
  <si>
    <t>Threets</t>
  </si>
  <si>
    <t>deborah.threets@gsa.gov</t>
  </si>
  <si>
    <t>LOH15749</t>
  </si>
  <si>
    <t>INDEPENDENCE</t>
  </si>
  <si>
    <t>Thomas</t>
  </si>
  <si>
    <t>Nisivaco</t>
  </si>
  <si>
    <t>thomas.nisivaco@gsa.gov</t>
  </si>
  <si>
    <t>LIL16774</t>
  </si>
  <si>
    <t>LIL15518</t>
  </si>
  <si>
    <t>Jean</t>
  </si>
  <si>
    <t>Dawson</t>
  </si>
  <si>
    <t>jean.dawson@gsa.gov</t>
  </si>
  <si>
    <t>LIL16977</t>
  </si>
  <si>
    <t>Jerry</t>
  </si>
  <si>
    <t>Helland</t>
  </si>
  <si>
    <t>jerry.helland@gsa.gov</t>
  </si>
  <si>
    <t>LIL15609</t>
  </si>
  <si>
    <t>LIL17187</t>
  </si>
  <si>
    <t>Zlata</t>
  </si>
  <si>
    <t>Godsel</t>
  </si>
  <si>
    <t>zlata.godsel@gsa.gov</t>
  </si>
  <si>
    <t>LIL17283</t>
  </si>
  <si>
    <t>LIL16502</t>
  </si>
  <si>
    <t>EVANSTON</t>
  </si>
  <si>
    <t>LIL18318</t>
  </si>
  <si>
    <t>ROCKFORD</t>
  </si>
  <si>
    <t>GC SC CLARK FO</t>
  </si>
  <si>
    <t>LIL17018</t>
  </si>
  <si>
    <t>LIL17077</t>
  </si>
  <si>
    <t>LIL15891</t>
  </si>
  <si>
    <t>LMO70102</t>
  </si>
  <si>
    <t>KANSAS CITY</t>
  </si>
  <si>
    <t>KANSAS CITY SOUTH OFFICE</t>
  </si>
  <si>
    <t>Matthew</t>
  </si>
  <si>
    <t>Helmering</t>
  </si>
  <si>
    <t>matthew.helmering@gsa.gov</t>
  </si>
  <si>
    <t>LMO29988</t>
  </si>
  <si>
    <t>SAINT LOUIS</t>
  </si>
  <si>
    <t>DOWNTOWN ST. LOUIS OFFICE</t>
  </si>
  <si>
    <t>Jeanette</t>
  </si>
  <si>
    <t>Torres</t>
  </si>
  <si>
    <t>steven.freund@gsa.gov</t>
  </si>
  <si>
    <t>LTX11482</t>
  </si>
  <si>
    <t>HIDALGO</t>
  </si>
  <si>
    <t>BORDER SERVICE CENTER (7PO-2)</t>
  </si>
  <si>
    <t>Jim</t>
  </si>
  <si>
    <t>Plaga</t>
  </si>
  <si>
    <t>jim.plaga@gsa.gov</t>
  </si>
  <si>
    <t>LTX14711</t>
  </si>
  <si>
    <t>EL PASO</t>
  </si>
  <si>
    <t>Michael</t>
  </si>
  <si>
    <t>Sianan</t>
  </si>
  <si>
    <t>LTX15423</t>
  </si>
  <si>
    <t>HOUSTON</t>
  </si>
  <si>
    <t>SOUTH CENTRAL TEXAS SERVICE CENTER (7PO-5)</t>
  </si>
  <si>
    <t>Shelli</t>
  </si>
  <si>
    <t>Patterson</t>
  </si>
  <si>
    <t>shelli.patterson@gsa.gov</t>
  </si>
  <si>
    <t>LCO14722</t>
  </si>
  <si>
    <t>DENVER</t>
  </si>
  <si>
    <t>COLORADO FIELD OFFICE</t>
  </si>
  <si>
    <t>Donald</t>
  </si>
  <si>
    <t>Crawford</t>
  </si>
  <si>
    <t>jeri.kullas@gsa.gov</t>
  </si>
  <si>
    <t>LMT14441</t>
  </si>
  <si>
    <t>MISSOULA</t>
  </si>
  <si>
    <t>MONTANA FIELD OFFICE</t>
  </si>
  <si>
    <t>Sylvia</t>
  </si>
  <si>
    <t>Marquez</t>
  </si>
  <si>
    <t>sylvia.marquez@gsa.gov</t>
  </si>
  <si>
    <t>LCA91730</t>
  </si>
  <si>
    <t>ALAMEDA</t>
  </si>
  <si>
    <t>EAST BAY FIELD OFFICE (CA)</t>
  </si>
  <si>
    <t>Casas</t>
  </si>
  <si>
    <t>gabriel.shuken@gsa.gov</t>
  </si>
  <si>
    <t>LCA01282</t>
  </si>
  <si>
    <t>SAN JOSE</t>
  </si>
  <si>
    <t>CENTRAL CALIFORNIA FIELD OFFICE (CA)</t>
  </si>
  <si>
    <t>Frances</t>
  </si>
  <si>
    <t>Manning</t>
  </si>
  <si>
    <t>elaine.styer@gsa.gov</t>
  </si>
  <si>
    <t>LCA99110</t>
  </si>
  <si>
    <t>LOS ANGELES</t>
  </si>
  <si>
    <t>WEST LOS ANGELES FIELD OFFICE (CA)</t>
  </si>
  <si>
    <t>Samantha</t>
  </si>
  <si>
    <t>Singleton</t>
  </si>
  <si>
    <t>samantha.singleton@gsa.gov</t>
  </si>
  <si>
    <t>LHI01357</t>
  </si>
  <si>
    <t>LIHUE</t>
  </si>
  <si>
    <t>HONOLULU FIELD OFFICE (HI)</t>
  </si>
  <si>
    <t>Khari</t>
  </si>
  <si>
    <t>Lane</t>
  </si>
  <si>
    <t>khari.lane@gsa.gov</t>
  </si>
  <si>
    <t>LAZ98152</t>
  </si>
  <si>
    <t>PHOENIX</t>
  </si>
  <si>
    <t>PHOENIX FIELD OFFICE (AZ)</t>
  </si>
  <si>
    <t>Dinquel</t>
  </si>
  <si>
    <t>susan.dinquel@gsa.gov</t>
  </si>
  <si>
    <t>LAK06840</t>
  </si>
  <si>
    <t>FAIRBANKS</t>
  </si>
  <si>
    <t>NORTHERN SERVICE CENTER</t>
  </si>
  <si>
    <t>Gregory</t>
  </si>
  <si>
    <t>Cummings</t>
  </si>
  <si>
    <t>gregory.cummings@gsa.gov</t>
  </si>
  <si>
    <t>LWA07135</t>
  </si>
  <si>
    <t>SEATTLE</t>
  </si>
  <si>
    <t>SEATTLE METRO SERVICE CENTER</t>
  </si>
  <si>
    <t>Kurt</t>
  </si>
  <si>
    <t>Ramick</t>
  </si>
  <si>
    <t>amy.anderson@gsa.gov</t>
  </si>
  <si>
    <t>LMD30126</t>
  </si>
  <si>
    <t>ROCKVILLE</t>
  </si>
  <si>
    <t>METROPOLITAN SERVICES DIVISION</t>
  </si>
  <si>
    <t>David</t>
  </si>
  <si>
    <t>Mead</t>
  </si>
  <si>
    <t>david.mead@gsa.gov</t>
  </si>
  <si>
    <t>LMD01789</t>
  </si>
  <si>
    <t>SILVER SPRING</t>
  </si>
  <si>
    <t>Pindell</t>
  </si>
  <si>
    <t>michelle.pindell@gsa.gov</t>
  </si>
  <si>
    <t>LMD02344</t>
  </si>
  <si>
    <t>TRIANGLE SERVICES DIVISION</t>
  </si>
  <si>
    <t>Logan</t>
  </si>
  <si>
    <t>Gallagher</t>
  </si>
  <si>
    <t>logan.gallagher@gsa.gov</t>
  </si>
  <si>
    <t>LMD20700</t>
  </si>
  <si>
    <t>LMD30120</t>
  </si>
  <si>
    <t>GAITHERSBURG</t>
  </si>
  <si>
    <t>Rodolfo</t>
  </si>
  <si>
    <t>Dimayuga</t>
  </si>
  <si>
    <t>rodolfo.dimayuga@gsa.gov</t>
  </si>
  <si>
    <t>LMD90153</t>
  </si>
  <si>
    <t>Meredith</t>
  </si>
  <si>
    <t>LVA02099</t>
  </si>
  <si>
    <t>ALEXANDRIA</t>
  </si>
  <si>
    <t>DC SERVICES DIVISION</t>
  </si>
  <si>
    <t>Otten</t>
  </si>
  <si>
    <t>gregory.otten@gsa.gov</t>
  </si>
  <si>
    <t>LMD20721</t>
  </si>
  <si>
    <t>HYATTSVILLE</t>
  </si>
  <si>
    <t>Luke</t>
  </si>
  <si>
    <t>Pragle</t>
  </si>
  <si>
    <t>chevonne.lee@gsa.gov</t>
  </si>
  <si>
    <t>LMD01640</t>
  </si>
  <si>
    <t>BRANDYWINE</t>
  </si>
  <si>
    <t>Eric</t>
  </si>
  <si>
    <t>Lefteroff</t>
  </si>
  <si>
    <t>LVA02140</t>
  </si>
  <si>
    <t>Megan</t>
  </si>
  <si>
    <t>Stefani</t>
  </si>
  <si>
    <t>donald.scoggins@gsa.gov</t>
  </si>
  <si>
    <t>LVA01755</t>
  </si>
  <si>
    <t>LORTON</t>
  </si>
  <si>
    <t>Marcia</t>
  </si>
  <si>
    <t>Parkes</t>
  </si>
  <si>
    <t>marcia.parkes@gsa.gov</t>
  </si>
  <si>
    <t>LMD30083</t>
  </si>
  <si>
    <t>Anthony</t>
  </si>
  <si>
    <t>Bezich</t>
  </si>
  <si>
    <t>LDC02109</t>
  </si>
  <si>
    <t>WASHINGTON</t>
  </si>
  <si>
    <t>LMD01745</t>
  </si>
  <si>
    <t>CAPITOL HEIGHTS</t>
  </si>
  <si>
    <t>LVA01523</t>
  </si>
  <si>
    <t>SPRINGFIELD</t>
  </si>
  <si>
    <t>POTOMAC SERVICES DIVISION</t>
  </si>
  <si>
    <t>Anna</t>
  </si>
  <si>
    <t>Cafoncelli</t>
  </si>
  <si>
    <t>anna.cafoncelli@gsa.gov</t>
  </si>
  <si>
    <t>LDC70254</t>
  </si>
  <si>
    <t>Sean</t>
  </si>
  <si>
    <t>Mcneal</t>
  </si>
  <si>
    <t>sean.mcneal@gsa.gov</t>
  </si>
  <si>
    <t>LVA02029</t>
  </si>
  <si>
    <t>Dan</t>
  </si>
  <si>
    <t>Mcpherson</t>
  </si>
  <si>
    <t>glenn.harvey@gsa.gov</t>
  </si>
  <si>
    <t>LMD10190</t>
  </si>
  <si>
    <t>BETHESDA</t>
  </si>
  <si>
    <t>Craig</t>
  </si>
  <si>
    <t>mary.morrison@gsa.gov</t>
  </si>
  <si>
    <t>LVA01805</t>
  </si>
  <si>
    <t>audrie.woody@gsa.gov</t>
  </si>
  <si>
    <t>Source</t>
  </si>
  <si>
    <t>Description</t>
  </si>
  <si>
    <t>Click here for info on BPA ordering procedures.</t>
  </si>
  <si>
    <t>00CORP</t>
  </si>
  <si>
    <t>03FAC</t>
  </si>
  <si>
    <t>Click here to view Comprehensive Professional Energy Services</t>
  </si>
  <si>
    <t>23 V</t>
  </si>
  <si>
    <t>When using this schedule, you can access vendors directly to place an order for vehicles or accessories or you can contact GSA to place the order on your behalf! More information on these options is available through our CARS line at 703-605-CARS (2277). The following vehicles and accessories are available under GSA Schedule: Aerial Devices and Digger/Derricks; Construction Equipment, Road and Snow Maintenance; Fire Trucks; Low Speed Vehicles (Gas or Electric); Mobile Command Centers; Remanufactured Engines; Snow Maintenance Equipment; Tankers; Tires; Trailers; Trash Collectors and Recycling Vehicles; Truck Bodies; and Vehicle Accessories and Equipment.</t>
  </si>
  <si>
    <t>Click here to view GSA BPAs for Domestic Delivery Services</t>
  </si>
  <si>
    <t>51 V</t>
  </si>
  <si>
    <t>Click here to view GSA BPAs for Credit Monitoring Services and Independent Risk Analysis Services</t>
  </si>
  <si>
    <t>58 I</t>
  </si>
  <si>
    <t>PROFESSIONAL AUDIO/VIDEO TELEMETRY/TRACKING, RECORDING/REPRODUCING AND SIGNAL DATA SOLUTIONS</t>
  </si>
  <si>
    <t>Click here to view GSA BPAs for Emergency Lodging Services</t>
  </si>
  <si>
    <t>621 I</t>
  </si>
  <si>
    <t>PROFESSIONAL AND ALLIED HEALTHCARE STAFFING SERVICES</t>
  </si>
  <si>
    <t>621 II</t>
  </si>
  <si>
    <t>MEDICAL LABORATORY TESTING AND ANALYSIS SERVICES</t>
  </si>
  <si>
    <t>65 I B</t>
  </si>
  <si>
    <t>65 II A</t>
  </si>
  <si>
    <t>MEDICAL EQUIPMENT AND SUPPLIES</t>
  </si>
  <si>
    <t>65 II C</t>
  </si>
  <si>
    <t>DENTAL EQUIPMENT AND SUPPLIES</t>
  </si>
  <si>
    <t>65 II F</t>
  </si>
  <si>
    <t>65 V A</t>
  </si>
  <si>
    <t>65 VII</t>
  </si>
  <si>
    <t>INVITRO DIAGNOSTICS, REAGENTS, TEST KITS AND TEST SETS</t>
  </si>
  <si>
    <t>66 III</t>
  </si>
  <si>
    <t>CLINICAL ANALYZERS, LABORATORY, COST-PER-TEST</t>
  </si>
  <si>
    <t>PHOTOGRAPHIC EQUIPMENT - CAMERAS, PHOTOGRAPHIC PRINTERS AND RELATED SUPPLIES &amp; SERVICES (DIGITAL AND FILM-BASED)</t>
  </si>
  <si>
    <t>FURNITURE</t>
  </si>
  <si>
    <t>71 II K</t>
  </si>
  <si>
    <t>COMPREHENSIVE FURNITURE MANAGEMENT SERVICES (CFMS)</t>
  </si>
  <si>
    <t>FURNISHING AND FLOOR COVERINGS</t>
  </si>
  <si>
    <t>738 II</t>
  </si>
  <si>
    <t>738 X</t>
  </si>
  <si>
    <t>HUMAN RESOURCES &amp; EQUAL EMPLOYMENT OPPORTUNITY SERVICES</t>
  </si>
  <si>
    <t>LEASING OF AUTOMOBILES AND LIGHT TRUCKS</t>
  </si>
  <si>
    <t>PUBLICATION MEDIA</t>
  </si>
  <si>
    <t>81 I B</t>
  </si>
  <si>
    <t>PROFESSIONAL ENGINEERING SERVICES</t>
  </si>
  <si>
    <t>874 V</t>
  </si>
  <si>
    <t>LOGISTICS WORLDWIDE (LOGWORLD)</t>
  </si>
  <si>
    <t>ENVIRONMENTAL SERVICES</t>
  </si>
  <si>
    <t>SBA Certified 8(a), SDB, Woman-Owned, HUBZONE, Small Business</t>
  </si>
  <si>
    <t>Procurevis</t>
  </si>
  <si>
    <t>An-gi Lipford</t>
  </si>
  <si>
    <t>202-501-9150</t>
  </si>
  <si>
    <t>GS-1-00-11-AA-0076; Exercise Option 1 (5/1/14-4/30/15) - Susan</t>
  </si>
  <si>
    <t>SDB, Woman Owned</t>
  </si>
  <si>
    <t>MidTown Personnel</t>
  </si>
  <si>
    <t>GS-07F-0539N; ZsaZsa</t>
  </si>
  <si>
    <t>CMS Q&amp;M SME Support</t>
  </si>
  <si>
    <t>CTAC</t>
  </si>
  <si>
    <t>Wanda Peterson-Parker</t>
  </si>
  <si>
    <t>GS-35F-4904G; Exercise Option Period 4 (9/30/13-3/29-14)</t>
  </si>
  <si>
    <t>Revision of the 2015 Consumer Action Handbook</t>
  </si>
  <si>
    <t>Schedule 541</t>
  </si>
  <si>
    <t>Marietta Jelks</t>
  </si>
  <si>
    <t>202-501-0984</t>
  </si>
  <si>
    <t>marietta.jelks@gsa.gov</t>
  </si>
  <si>
    <t>Recompete- in fy 2014, but the filter on column S (fiscal year) won't allow me to insert 2014 instead of 2013</t>
  </si>
  <si>
    <t>BPA for mailing list services</t>
  </si>
  <si>
    <t>Hamilton &amp; Bond</t>
  </si>
  <si>
    <t>Carolyn Cihelka</t>
  </si>
  <si>
    <t>202-219-1749</t>
  </si>
  <si>
    <t>carolyn.cihelka@gsa.gov</t>
  </si>
  <si>
    <t>Administrative Support Recompete</t>
  </si>
  <si>
    <t>Procurevis, Midtown</t>
  </si>
  <si>
    <t>Cynthia Gilbert</t>
  </si>
  <si>
    <t>202-253-7780</t>
  </si>
  <si>
    <t>cynthia.gilbert @gsa.gov</t>
  </si>
  <si>
    <t>DGU Recompete</t>
  </si>
  <si>
    <t>Alycia Piazza</t>
  </si>
  <si>
    <t>alycia.piazza@gsa.gov</t>
  </si>
  <si>
    <t>National Contact Center</t>
  </si>
  <si>
    <t>Anticipated waiver of small business set-aside requirement.</t>
  </si>
  <si>
    <t>USA Contact IDIQ</t>
  </si>
  <si>
    <t>Sykes</t>
  </si>
  <si>
    <t>All option periods on current contract have been exercised.</t>
  </si>
  <si>
    <t>Tonya Beres</t>
  </si>
  <si>
    <t>202-253-8981</t>
  </si>
  <si>
    <t>tonya.beres@gsa.gov</t>
  </si>
  <si>
    <t>May 2014</t>
  </si>
  <si>
    <t>September 2019</t>
  </si>
  <si>
    <t>We are researching whether we can change our contracting cycle so it does  not coincide with end of fiscal year.  To be determined after discussion with CO.</t>
  </si>
  <si>
    <t>USA Contact</t>
  </si>
  <si>
    <t>Web Development Support - Challenges</t>
  </si>
  <si>
    <t>541 4G (Challenge and Competition Services)</t>
  </si>
  <si>
    <t>ChallengePost</t>
  </si>
  <si>
    <t>Karen Trebon</t>
  </si>
  <si>
    <t>202-501-1802</t>
  </si>
  <si>
    <t>karen.trebon@gsa.gov</t>
  </si>
  <si>
    <t>Challenge.gov 2.0</t>
  </si>
  <si>
    <t>Web Content Support - HowTo.gov</t>
  </si>
  <si>
    <t>Natalie Davidson</t>
  </si>
  <si>
    <t>natalie.davidson@gsa.gov</t>
  </si>
  <si>
    <t>Web Design Support - HowTo.gov</t>
  </si>
  <si>
    <t>Information Technology (IT) Technical Support Services-several</t>
  </si>
  <si>
    <t>D-Information technology services</t>
  </si>
  <si>
    <t>REI</t>
  </si>
  <si>
    <t>202-501-4037</t>
  </si>
  <si>
    <t>wanda.peterson-parker@gsa.gov</t>
  </si>
  <si>
    <t>Subscription - Google Analytics Premium</t>
  </si>
  <si>
    <t>E-Nor</t>
  </si>
  <si>
    <t>exercise of option</t>
  </si>
  <si>
    <t>Curriculum Development Requirements</t>
  </si>
  <si>
    <t>Interagency Agreement with Veterans Affairs Acquisition Academy</t>
  </si>
  <si>
    <t>Strategic sourcing initiative government-wide</t>
  </si>
  <si>
    <t>Bonnie Hanger</t>
  </si>
  <si>
    <t>(202) 357-9635</t>
  </si>
  <si>
    <t>bonnie.hanger@gsa.gov</t>
  </si>
  <si>
    <t>multiple requirements will be competed using fair opportunity procedures</t>
  </si>
  <si>
    <t>Multiple Award Contract for Acquisition Workforce Training Delivery</t>
  </si>
  <si>
    <t>solicitation protested during FY 13, awards pending Counsel review</t>
  </si>
  <si>
    <t>Program Support Services</t>
  </si>
  <si>
    <t>Interagency Agreement with NIST</t>
  </si>
  <si>
    <t>Continuation of existing agreement</t>
  </si>
  <si>
    <t>Annual Requirement</t>
  </si>
  <si>
    <t>Software License Renewal - IT Optimizer</t>
  </si>
  <si>
    <t>D- information technology services, including telecommunications services</t>
  </si>
  <si>
    <t>Consulting Portal</t>
  </si>
  <si>
    <t>202-357-9635</t>
  </si>
  <si>
    <t>Software License Renewal -ITIL</t>
  </si>
  <si>
    <t>ProTelComm LLC</t>
  </si>
  <si>
    <t xml:space="preserve">Professional Services  </t>
  </si>
  <si>
    <t>Chris Hamm</t>
  </si>
  <si>
    <t>chris.hamm@gsa.gov</t>
  </si>
  <si>
    <t>PBS - Leasing Division</t>
  </si>
  <si>
    <t>GSA FY 2014 Forecast of Contracting Opportunities</t>
  </si>
  <si>
    <t>quentis.scott@gsa.gov</t>
  </si>
  <si>
    <t>(202) 208-4134</t>
  </si>
  <si>
    <t>2689 Under review; CIO/FAS IT</t>
  </si>
  <si>
    <t>Chief Information Office</t>
  </si>
  <si>
    <t>Chief Information Office / FAS Applications</t>
  </si>
  <si>
    <t>This requirement will have a one year base period and four one year option periods; Office of Strategy Management</t>
  </si>
  <si>
    <t>ODC</t>
  </si>
  <si>
    <t>bose.thomas@gsa.gov</t>
  </si>
  <si>
    <t>PBS - Acquistion Management</t>
  </si>
  <si>
    <t>Secure FBI Parking; PBS - Leasing Division</t>
  </si>
  <si>
    <t>Award to be made in 2014; dependent on budget; PBS - Global Project Management</t>
  </si>
  <si>
    <t>857-246-6568</t>
  </si>
  <si>
    <t>Gerard Bernard</t>
  </si>
  <si>
    <t>571-340-1059</t>
  </si>
  <si>
    <t>Multiple Award IDIQ contract; TMVCS</t>
  </si>
  <si>
    <t>Office of Travel, Motor Vehicle, and Card Services (TMVCS)</t>
  </si>
  <si>
    <t>Small business data dashboard</t>
  </si>
  <si>
    <t>Interior Work: Painting, Floor abatement, ceiling repair</t>
  </si>
  <si>
    <t>St. Thomas</t>
  </si>
  <si>
    <t>Guaynabo</t>
  </si>
  <si>
    <t>Varioius</t>
  </si>
  <si>
    <t>Afghanistan</t>
  </si>
  <si>
    <t>Legal subscriptions</t>
  </si>
  <si>
    <t>CA, NV, AZ</t>
  </si>
  <si>
    <t xml:space="preserve">Ft. Worth </t>
  </si>
  <si>
    <t>St. Albans</t>
  </si>
  <si>
    <t>St. Joseph</t>
  </si>
  <si>
    <t>Ft. Worth, Lompac, Atlanta</t>
  </si>
  <si>
    <t>KS, MO, NE</t>
  </si>
  <si>
    <t>IA, KS, MO</t>
  </si>
  <si>
    <t>Washington &amp; Ft. Worth</t>
  </si>
  <si>
    <t>NY, Northern NJ, PR, USVI</t>
  </si>
  <si>
    <t>NY, Northern NJ</t>
  </si>
  <si>
    <t>AR, LA, NM, OK, TX</t>
  </si>
  <si>
    <t>Land Points of Entry (LPOEs)</t>
  </si>
  <si>
    <t>William R. Cotter Federal Building</t>
  </si>
  <si>
    <t>Richard C. Lee U.S. Courthouse</t>
  </si>
  <si>
    <t>Philip J. Philbin Federal Building</t>
  </si>
  <si>
    <t>Abraham A. Ribicoff Federal Building and U.S. Courthouse</t>
  </si>
  <si>
    <t>Michigan</t>
  </si>
  <si>
    <t>Minnesota</t>
  </si>
  <si>
    <t>Wisconsin</t>
  </si>
  <si>
    <t>IL, IN, MI, MN, OH, WI</t>
  </si>
  <si>
    <t>MN, WI</t>
  </si>
  <si>
    <t>Veteran-owned Small Business</t>
  </si>
  <si>
    <t>Solicitations Pending</t>
  </si>
  <si>
    <t>Anticipated waiver of small business set-aside requirement</t>
  </si>
  <si>
    <t>Project still in Pre-Design Phase</t>
  </si>
  <si>
    <t>Design Phase</t>
  </si>
  <si>
    <t>Open to all categories</t>
  </si>
  <si>
    <t>SDVOSB - HUBZone</t>
  </si>
  <si>
    <t>Woman-Owned Small Business/8(a)</t>
  </si>
  <si>
    <t>Firm Fixed Price Set Aside</t>
  </si>
  <si>
    <t>Firm Fixed Price-IDIQ</t>
  </si>
  <si>
    <t>Firm Fixed Price - DQ</t>
  </si>
  <si>
    <t>Firm Fixed Price - EPA-IDIQ</t>
  </si>
  <si>
    <t>Firm Fixed Price - IDIQ</t>
  </si>
  <si>
    <t>Firm Fixed Price/Time and Materials</t>
  </si>
  <si>
    <t>Firm Fixed Price Call Order placed against a BPA</t>
  </si>
  <si>
    <t>Firm Fixed Price/Labor Hour</t>
  </si>
  <si>
    <t>Fixed Price-EPA-IDIQ</t>
  </si>
  <si>
    <t>HUBZone</t>
  </si>
  <si>
    <t>8(a) STARS</t>
  </si>
  <si>
    <t>100% Set Aside (has been set aside for 15 years, anticipate at least 2 qualified sources)</t>
  </si>
  <si>
    <t>Based on previous procurement done against MAS as a BPA, lack of offers, will resolicit on open market</t>
  </si>
  <si>
    <t>Not determined at this time</t>
  </si>
  <si>
    <t>Depends on awardee</t>
  </si>
  <si>
    <t xml:space="preserve">8(a)/HUBZone </t>
  </si>
  <si>
    <t>8(a)/HUBZone goal</t>
  </si>
  <si>
    <t>8(a) set aside</t>
  </si>
  <si>
    <t>8(a) STARS II helps the govt fulfill small business contracting and IT requirements</t>
  </si>
  <si>
    <t>Replacement of Pneumatic Control Panel</t>
  </si>
  <si>
    <t>Exercise of Option 4 - last option year</t>
  </si>
  <si>
    <t>New requirement, or recompete of expiring BPAS</t>
  </si>
  <si>
    <t>Exercise of Option up to 6 months</t>
  </si>
  <si>
    <t xml:space="preserve">Exercise of Option </t>
  </si>
  <si>
    <t>Exercise of Option 4</t>
  </si>
  <si>
    <t>Exercise of Option 1</t>
  </si>
  <si>
    <t>Excercise of Option 4</t>
  </si>
  <si>
    <t>Excercise of Option 1</t>
  </si>
  <si>
    <t>Exercise of Option (will re-compete for FY15)</t>
  </si>
  <si>
    <t>Exercise of Option on 10/1/13</t>
  </si>
  <si>
    <t>Exercise of Option by 12/25/13</t>
  </si>
  <si>
    <t>New Requirement - Option to be exercised January 2014</t>
  </si>
  <si>
    <t>New Requirement - Option to be exercised March 2014</t>
  </si>
  <si>
    <t>Robert Herman</t>
  </si>
  <si>
    <t>Amy Heusser, Contracting Officer</t>
  </si>
  <si>
    <t>(907) 271-3741</t>
  </si>
  <si>
    <t>(202) 630-4266</t>
  </si>
  <si>
    <t>(215) 446-5783</t>
  </si>
  <si>
    <t>(816) 926-1298</t>
  </si>
  <si>
    <t>(816) 823-4036</t>
  </si>
  <si>
    <t>(816) 823-1291</t>
  </si>
  <si>
    <t>(816) 926-3362</t>
  </si>
  <si>
    <t>(816) 823-1718</t>
  </si>
  <si>
    <t>(203) 773-2347</t>
  </si>
  <si>
    <t>(312) 353-5634</t>
  </si>
  <si>
    <t>(703) 605-2720</t>
  </si>
  <si>
    <t>(703) 605-3450</t>
  </si>
  <si>
    <t>(202) 219-1487</t>
  </si>
  <si>
    <t>(202) 219-2370</t>
  </si>
  <si>
    <t>dennis.harrison@gsa.gov</t>
  </si>
  <si>
    <t>carmen.calloway@gsa.gov</t>
  </si>
  <si>
    <t>Solicitation Pending</t>
  </si>
  <si>
    <t xml:space="preserve">N/A </t>
  </si>
  <si>
    <t>Completed</t>
  </si>
  <si>
    <r>
      <rPr>
        <b/>
        <sz val="11"/>
        <color rgb="FF000000"/>
        <rFont val="Calibri"/>
        <family val="2"/>
      </rPr>
      <t>O&amp;M</t>
    </r>
    <r>
      <rPr>
        <sz val="11"/>
        <color rgb="FF000000"/>
        <rFont val="Calibri"/>
        <family val="2"/>
      </rPr>
      <t xml:space="preserve"> - Operation and Maintenance</t>
    </r>
  </si>
  <si>
    <r>
      <rPr>
        <b/>
        <sz val="11"/>
        <color rgb="FF000000"/>
        <rFont val="Calibri"/>
        <family val="2"/>
      </rPr>
      <t xml:space="preserve">IDIQ </t>
    </r>
    <r>
      <rPr>
        <sz val="11"/>
        <color rgb="FF000000"/>
        <rFont val="Calibri"/>
        <family val="2"/>
      </rPr>
      <t>- Indefinite Delivery Indefinite Quantity</t>
    </r>
  </si>
  <si>
    <t>Various Dates</t>
  </si>
  <si>
    <t>5th Quarter</t>
  </si>
  <si>
    <r>
      <rPr>
        <b/>
        <sz val="10"/>
        <color rgb="FF000000"/>
        <rFont val="Arial"/>
        <family val="2"/>
      </rPr>
      <t>AUTOMOTIVE SUPERSTORE</t>
    </r>
    <r>
      <rPr>
        <sz val="10"/>
        <color rgb="FF000000"/>
        <rFont val="Arial"/>
      </rPr>
      <t> - GSA purchases many types of new vehicles and vehicle related products for government agencies and DoD. Use AutoChoice to purchase: Alternative fuel vehicles; Ambulances; Buses; Light trucks; Light trucks - vocational; Medium and heavy trucks; Sedans; Wheelchair vans; Wreckers and carriers. </t>
    </r>
  </si>
  <si>
    <r>
      <rPr>
        <b/>
        <sz val="10"/>
        <color theme="1"/>
        <rFont val="Arial"/>
        <family val="2"/>
      </rPr>
      <t>THE CONSOLIDATED SCHEDULE</t>
    </r>
    <r>
      <rPr>
        <sz val="10"/>
        <color theme="1"/>
        <rFont val="Arial"/>
        <family val="2"/>
      </rPr>
      <t> - The Consolidated Schedule provides a streamlined approach to fulfilling requirements that fall within the scope of more than one schedule for acquiring a total solution. Contractors under this schedule hold a single contract that includes two or more combined services from schedules.</t>
    </r>
  </si>
  <si>
    <r>
      <rPr>
        <b/>
        <sz val="10"/>
        <color theme="1"/>
        <rFont val="Arial"/>
        <family val="2"/>
      </rPr>
      <t>Multiple Award Scheudle (MAS) Blanket Purchase Agreements (BPAs)</t>
    </r>
    <r>
      <rPr>
        <sz val="10"/>
        <color theme="1"/>
        <rFont val="Arial"/>
        <family val="2"/>
      </rPr>
      <t> - In order to support agencies with their strategic sourcing requirements, GSA is developing a number of MAS Blanket Purchase Agreements for selected commodities and services. These BPAs can be used by all agencies to fulfill requirements. MAS BPAs leverage the government's buying power and achieve significant cost savings through the aggregating of federal demand. </t>
    </r>
  </si>
  <si>
    <t>Multiple Award Schedule (MAS) List</t>
  </si>
  <si>
    <t>TRANSPORTATION, DELIVERY AND RELOCATION SOLUTIONS </t>
  </si>
  <si>
    <r>
      <rPr>
        <b/>
        <sz val="10"/>
        <rFont val="Arial"/>
        <family val="2"/>
      </rPr>
      <t>HARDWARE SUPERSTORE </t>
    </r>
    <r>
      <rPr>
        <sz val="10"/>
        <color rgb="FF000000"/>
        <rFont val="Arial"/>
        <family val="2"/>
      </rPr>
      <t>- Includes Household and Office Appliances; Commercial Coatings, Adhesives, Sealants and Lubricants; Hardware Store Catalog and Store Front; Lawn and Garden Equipment, Machinery and Implements; Rental and Leasing (as pertains to products offered under this schedule); Tools, Tool Kits, Tool Boxes; Woodworking and Metal Working Machinery; All Parts and Accessories Related to Products Offered Under This Schedule.</t>
    </r>
  </si>
  <si>
    <r>
      <rPr>
        <b/>
        <sz val="10"/>
        <rFont val="Arial"/>
        <family val="2"/>
      </rPr>
      <t>FINANCIAL AND BUSINESS SOLUTIONS (FABS)</t>
    </r>
    <r>
      <rPr>
        <sz val="10"/>
        <rFont val="Arial"/>
        <family val="2"/>
      </rPr>
      <t> - This Multiple Award Schedule provides Federal agencies with direct access to commercial experts that can thoroughly address the needs of the Federal financial community. FABS not only gives you access to a multitude of professional financial services, but also provides you with the ability to customize the services to meet your specific needs. The FABS schedule allows for choice, flexibility, ease-of-use and access to quality firms in the financial arena.</t>
    </r>
  </si>
  <si>
    <r>
      <rPr>
        <b/>
        <sz val="10"/>
        <rFont val="Arial"/>
        <family val="2"/>
      </rPr>
      <t>BUILDINGS AND BUILDING MATERIALS/INDUSTRIAL SERVICES AND SUPPLIES</t>
    </r>
    <r>
      <rPr>
        <sz val="10"/>
        <rFont val="Arial"/>
        <family val="2"/>
      </rPr>
      <t> - This Schedule provides a full range of commercial products and services covering such areas as buildings and building materials/industrial services and supplies. In addition, this program offers energy saving building supplies, alternative energy solutions, and related services.</t>
    </r>
  </si>
  <si>
    <t>TRAVEL SERVICES SOLUTIONS </t>
  </si>
  <si>
    <r>
      <rPr>
        <b/>
        <sz val="10"/>
        <rFont val="Arial"/>
        <family val="2"/>
      </rPr>
      <t>PHARMACEUTICALS AND DRUGS</t>
    </r>
    <r>
      <rPr>
        <sz val="10"/>
        <rFont val="Arial"/>
        <family val="2"/>
      </rPr>
      <t> - Includes Antiseptic Liquid Skin Cleansing Detergents and Soaps, Dispensers and Accessories.</t>
    </r>
  </si>
  <si>
    <r>
      <rPr>
        <b/>
        <sz val="10"/>
        <rFont val="Arial"/>
        <family val="2"/>
      </rPr>
      <t>PATIENT MOBILITY DEVICES </t>
    </r>
    <r>
      <rPr>
        <sz val="10"/>
        <rFont val="Arial"/>
        <family val="2"/>
      </rPr>
      <t>- Includes Wheelchairs, scooters, walkers.</t>
    </r>
  </si>
  <si>
    <r>
      <rPr>
        <b/>
        <sz val="10"/>
        <rFont val="Arial"/>
        <family val="2"/>
      </rPr>
      <t>X-RAY EQUIPMENT AND SUPPLIES</t>
    </r>
    <r>
      <rPr>
        <sz val="10"/>
        <rFont val="Arial"/>
        <family val="2"/>
      </rPr>
      <t> - Includes medical and dental x-ray film.</t>
    </r>
  </si>
  <si>
    <r>
      <rPr>
        <b/>
        <sz val="10"/>
        <rFont val="Arial"/>
        <family val="2"/>
      </rPr>
      <t>SCIENTIFIC EQUIPMENT AND SERVICES</t>
    </r>
    <r>
      <rPr>
        <sz val="10"/>
        <rFont val="Arial"/>
        <family val="2"/>
      </rPr>
      <t> - Test and Measurement Equipment, Unmanned Scientific Vehicles; Laboratory Instruments, Furnishings and LIMS; Geophysical and Environmental Analysis Equipment; and Mechanical, Chemical, Electrical, and Geophysical Testing Services</t>
    </r>
  </si>
  <si>
    <r>
      <rPr>
        <b/>
        <sz val="10"/>
        <rFont val="Arial"/>
        <family val="2"/>
      </rPr>
      <t>FOOD SERVICE, HOSPITALITY, CLEANING EQUIPMENT AND SUPPLIES, CHEMICALS AND SERVICES</t>
    </r>
    <r>
      <rPr>
        <sz val="10"/>
        <rFont val="Arial"/>
        <family val="2"/>
      </rPr>
      <t> - offers a variety of cleaning equipment and accessories, and cleaning products for daily cleaning - products that keep facilities clean in an environmentally friendly manner. Housing Managers and Facility Managers will enjoy the full range of Hospitality Solutions under this Schedule. In addition, all food service needs from eating utensils to an entire custom designed food court kiosk concept that supports new branding initiatives are available.</t>
    </r>
  </si>
  <si>
    <r>
      <rPr>
        <b/>
        <sz val="10"/>
        <rFont val="Arial"/>
        <family val="2"/>
      </rPr>
      <t>OFFICE PRODUCTS/SUPPLIES AND SERVICES AND NEW PRODUCTS/TECHNOLOGY</t>
    </r>
    <r>
      <rPr>
        <sz val="10"/>
        <rFont val="Arial"/>
        <family val="2"/>
      </rPr>
      <t> - Includes Videotapes, Audiotapes, Tape Cartridges, Diskettes/Optical Disks, Disk Packs, Disk Cartridges, Anti-Glare Screens, Cleaning Equipment &amp; Supplies, Ergonomic Devices, Next Day Desktop Delivery of Office Supplies, and Restroom Products such as Roll Toilet Tissue Dispensers, Toilet Tissue, Paper Towels, Toilet Seat Covers, Facial Tissues, and Soaps for Restroom Dispensers.</t>
    </r>
  </si>
  <si>
    <t>LANGUAGE SERVICES</t>
  </si>
  <si>
    <r>
      <rPr>
        <b/>
        <sz val="10"/>
        <rFont val="Arial"/>
        <family val="2"/>
      </rPr>
      <t>SPORTS, PROMOTIONAL, OUTDOOR, RECREATION, TROPHIES AND SIGNS (SPORTS) </t>
    </r>
    <r>
      <rPr>
        <sz val="10"/>
        <rFont val="Arial"/>
        <family val="2"/>
      </rPr>
      <t>- Sports equipment and supplies, fitness equipment, sounds of music, child's play, sports clothing and accessories, safety zone products, camping and hiking equipment, park and playground equipment, wheel and track vehicles, recreational watercraft, flags, awards, trophies, presentations, promotional products, briefcases and carrying cases, trade show displays and exhibit systems and all related products and service.</t>
    </r>
  </si>
  <si>
    <r>
      <rPr>
        <b/>
        <sz val="10"/>
        <rFont val="Arial"/>
        <family val="2"/>
      </rPr>
      <t>SHIPPING, PACKAGING AND PACKING SUPPLIES</t>
    </r>
    <r>
      <rPr>
        <sz val="10"/>
        <rFont val="Arial"/>
        <family val="2"/>
      </rPr>
      <t> - Bags, Sacks, Cartons, Crates, Packaging And Packing Bulk Material</t>
    </r>
  </si>
  <si>
    <r>
      <rPr>
        <b/>
        <sz val="10"/>
        <color theme="1"/>
        <rFont val="Arial"/>
        <family val="2"/>
      </rPr>
      <t>FACILITIES MAINTENANCE AND MANAGEMENT </t>
    </r>
    <r>
      <rPr>
        <sz val="10"/>
        <color theme="1"/>
        <rFont val="Arial"/>
        <family val="2"/>
      </rPr>
      <t>- GSA offers a vast array of innovative, customer-focused facilities products and services. Facilities Maintenance and Management, Schedule number 03FAC, is a Multiple Award Schedule that provides federal agencies a streamlined procurement device to acquire all of the services necessary to maintain and manage a facility.</t>
    </r>
  </si>
  <si>
    <t>MISSION ORIENTED BUSINESS INTEGRATED SERVICES (MOBIS)</t>
  </si>
  <si>
    <t>TEMPORARY ADMINISTRATIVE AND PROFESSIONAL STAFFING (TAPS)</t>
  </si>
  <si>
    <t>GENERAL PURPOSE COMMERCIAL INFORMATION TECHNOLOGY EQUIPMENT, SOFTWARE, AND SERVICES</t>
  </si>
  <si>
    <t>The GSA Schedules program is the premier acquisition vehicle in government, with approximately $50 billion a year in spending or 10 percent of overall federal procurement spending. GSA Schedules are fast, easy, and effective contracting vehicles for both customers and vendors. For GSA Schedules, GSA establishes long-term, governmentwide contracts with commercial companies to provide access to millions of commercial products and services at volume discount pricing.</t>
  </si>
  <si>
    <t>For Vendors - Getting on Schedule</t>
  </si>
</sst>
</file>

<file path=xl/styles.xml><?xml version="1.0" encoding="utf-8"?>
<styleSheet xmlns="http://schemas.openxmlformats.org/spreadsheetml/2006/main">
  <numFmts count="3">
    <numFmt numFmtId="8" formatCode="&quot;$&quot;#,##0.00_);[Red]\(&quot;$&quot;#,##0.00\)"/>
    <numFmt numFmtId="164" formatCode="&quot;$&quot;#,##0.00"/>
    <numFmt numFmtId="165" formatCode="m/d/yyyy;@"/>
  </numFmts>
  <fonts count="30">
    <font>
      <sz val="10"/>
      <color rgb="FF000000"/>
      <name val="Arial"/>
    </font>
    <font>
      <b/>
      <sz val="14"/>
      <color rgb="FF000000"/>
      <name val="Calibri"/>
      <family val="2"/>
    </font>
    <font>
      <sz val="11"/>
      <color rgb="FF000000"/>
      <name val="Calibri"/>
      <family val="2"/>
    </font>
    <font>
      <b/>
      <sz val="11"/>
      <color rgb="FFC00000"/>
      <name val="Calibri"/>
      <family val="2"/>
    </font>
    <font>
      <b/>
      <sz val="11"/>
      <color rgb="FF000000"/>
      <name val="Calibri"/>
      <family val="2"/>
    </font>
    <font>
      <b/>
      <u/>
      <sz val="10"/>
      <color rgb="FF0000FF"/>
      <name val="Arial"/>
      <family val="2"/>
    </font>
    <font>
      <b/>
      <u/>
      <sz val="10"/>
      <color rgb="FF0000FF"/>
      <name val="Arial"/>
      <family val="2"/>
    </font>
    <font>
      <sz val="10"/>
      <color rgb="FF000000"/>
      <name val="Arial"/>
      <family val="2"/>
    </font>
    <font>
      <u/>
      <sz val="10"/>
      <color theme="10"/>
      <name val="Arial"/>
      <family val="2"/>
    </font>
    <font>
      <sz val="11"/>
      <color theme="1"/>
      <name val="Calibri"/>
      <family val="2"/>
      <scheme val="minor"/>
    </font>
    <font>
      <b/>
      <sz val="10"/>
      <color rgb="FF000000"/>
      <name val="Calibri"/>
      <family val="2"/>
      <scheme val="minor"/>
    </font>
    <font>
      <sz val="10"/>
      <color rgb="FF000000"/>
      <name val="Calibri"/>
      <family val="2"/>
      <scheme val="minor"/>
    </font>
    <font>
      <sz val="10"/>
      <color rgb="FF222222"/>
      <name val="Arial"/>
      <family val="2"/>
    </font>
    <font>
      <u/>
      <sz val="10"/>
      <color theme="10"/>
      <name val="Arial"/>
      <family val="2"/>
    </font>
    <font>
      <sz val="10"/>
      <color rgb="FF000000"/>
      <name val="Arial"/>
      <family val="2"/>
    </font>
    <font>
      <sz val="10"/>
      <color rgb="FF006699"/>
      <name val="Arial"/>
      <family val="2"/>
    </font>
    <font>
      <sz val="10"/>
      <color theme="1"/>
      <name val="Arial"/>
      <family val="2"/>
    </font>
    <font>
      <sz val="10"/>
      <color rgb="FF333333"/>
      <name val="Arial"/>
      <family val="2"/>
    </font>
    <font>
      <b/>
      <u/>
      <sz val="10"/>
      <color rgb="FF0000FF"/>
      <name val="Arial"/>
      <family val="2"/>
    </font>
    <font>
      <b/>
      <sz val="10"/>
      <color rgb="FF000000"/>
      <name val="Arial"/>
      <family val="2"/>
    </font>
    <font>
      <u/>
      <sz val="10"/>
      <color rgb="FF0000FF"/>
      <name val="Arial"/>
      <family val="2"/>
    </font>
    <font>
      <u/>
      <sz val="10"/>
      <color rgb="FF000000"/>
      <name val="Arial"/>
      <family val="2"/>
    </font>
    <font>
      <b/>
      <sz val="16"/>
      <color theme="1"/>
      <name val="Arial"/>
      <family val="2"/>
    </font>
    <font>
      <sz val="10"/>
      <color rgb="FF000000"/>
      <name val="Arial"/>
    </font>
    <font>
      <sz val="10"/>
      <color rgb="FF222222"/>
      <name val="Calibri"/>
      <family val="2"/>
      <scheme val="minor"/>
    </font>
    <font>
      <sz val="10"/>
      <name val="Arial"/>
      <family val="2"/>
    </font>
    <font>
      <b/>
      <sz val="11"/>
      <color rgb="FF000000"/>
      <name val="Arial"/>
      <family val="2"/>
    </font>
    <font>
      <b/>
      <sz val="10"/>
      <color theme="1"/>
      <name val="Arial"/>
      <family val="2"/>
    </font>
    <font>
      <b/>
      <sz val="16"/>
      <color rgb="FF000000"/>
      <name val="Arial"/>
      <family val="2"/>
    </font>
    <font>
      <b/>
      <sz val="10"/>
      <name val="Arial"/>
      <family val="2"/>
    </font>
  </fonts>
  <fills count="32">
    <fill>
      <patternFill patternType="none"/>
    </fill>
    <fill>
      <patternFill patternType="gray125"/>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2F2F2"/>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99"/>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
      <patternFill patternType="solid">
        <fgColor rgb="FFF7F7E7"/>
        <bgColor indexed="64"/>
      </patternFill>
    </fill>
    <fill>
      <patternFill patternType="solid">
        <fgColor rgb="FFCCCCCC"/>
        <bgColor indexed="64"/>
      </patternFill>
    </fill>
    <fill>
      <patternFill patternType="solid">
        <fgColor rgb="FF92D050"/>
        <bgColor indexed="64"/>
      </patternFill>
    </fill>
  </fills>
  <borders count="19">
    <border>
      <left/>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8" fillId="0" borderId="0" applyNumberFormat="0" applyFill="0" applyBorder="0" applyAlignment="0" applyProtection="0">
      <alignment vertical="top"/>
      <protection locked="0"/>
    </xf>
    <xf numFmtId="0" fontId="9" fillId="0" borderId="0"/>
  </cellStyleXfs>
  <cellXfs count="224">
    <xf numFmtId="0" fontId="0" fillId="0" borderId="0" xfId="0" applyAlignment="1">
      <alignment wrapText="1"/>
    </xf>
    <xf numFmtId="0" fontId="1" fillId="0" borderId="0" xfId="0" applyFont="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xf numFmtId="0" fontId="6" fillId="0" borderId="0" xfId="0" applyFont="1" applyAlignment="1">
      <alignment vertical="center"/>
    </xf>
    <xf numFmtId="0" fontId="7" fillId="0" borderId="0" xfId="0" applyFont="1" applyAlignment="1">
      <alignment wrapText="1"/>
    </xf>
    <xf numFmtId="0" fontId="11" fillId="28" borderId="5" xfId="2" applyFont="1" applyFill="1" applyBorder="1"/>
    <xf numFmtId="0" fontId="11" fillId="28" borderId="1" xfId="2" applyFont="1" applyFill="1" applyBorder="1"/>
    <xf numFmtId="0" fontId="11" fillId="28" borderId="0" xfId="2" applyFont="1" applyFill="1"/>
    <xf numFmtId="38" fontId="11" fillId="28" borderId="0" xfId="2" applyNumberFormat="1" applyFont="1" applyFill="1"/>
    <xf numFmtId="8" fontId="11" fillId="28" borderId="0" xfId="2" applyNumberFormat="1" applyFont="1" applyFill="1"/>
    <xf numFmtId="0" fontId="11" fillId="28" borderId="7" xfId="2" applyFont="1" applyFill="1" applyBorder="1"/>
    <xf numFmtId="0" fontId="12" fillId="0" borderId="0" xfId="2" applyFont="1"/>
    <xf numFmtId="0" fontId="11" fillId="28" borderId="0" xfId="2" applyFont="1" applyFill="1" applyBorder="1"/>
    <xf numFmtId="0" fontId="11" fillId="28" borderId="3" xfId="2" applyFont="1" applyFill="1" applyBorder="1"/>
    <xf numFmtId="0" fontId="11" fillId="28" borderId="12" xfId="2" applyFont="1" applyFill="1" applyBorder="1"/>
    <xf numFmtId="0" fontId="11" fillId="28" borderId="4" xfId="2" applyFont="1" applyFill="1" applyBorder="1"/>
    <xf numFmtId="0" fontId="11" fillId="28" borderId="11" xfId="2" applyFont="1" applyFill="1" applyBorder="1"/>
    <xf numFmtId="0" fontId="10" fillId="29" borderId="13" xfId="2" applyFont="1" applyFill="1" applyBorder="1" applyAlignment="1">
      <alignment horizontal="center" vertical="center" wrapText="1"/>
    </xf>
    <xf numFmtId="38" fontId="10" fillId="29" borderId="13" xfId="2" applyNumberFormat="1" applyFont="1" applyFill="1" applyBorder="1" applyAlignment="1">
      <alignment horizontal="center" vertical="center" wrapText="1"/>
    </xf>
    <xf numFmtId="8" fontId="10" fillId="29" borderId="13" xfId="2" applyNumberFormat="1" applyFont="1" applyFill="1" applyBorder="1" applyAlignment="1">
      <alignment horizontal="center" vertical="center" wrapText="1"/>
    </xf>
    <xf numFmtId="0" fontId="11" fillId="29" borderId="0" xfId="2" applyFont="1" applyFill="1"/>
    <xf numFmtId="0" fontId="11" fillId="29" borderId="13" xfId="2" applyFont="1" applyFill="1" applyBorder="1" applyAlignment="1">
      <alignment wrapText="1"/>
    </xf>
    <xf numFmtId="14" fontId="11" fillId="29" borderId="13" xfId="2" applyNumberFormat="1" applyFont="1" applyFill="1" applyBorder="1" applyAlignment="1">
      <alignment wrapText="1"/>
    </xf>
    <xf numFmtId="38" fontId="11" fillId="29" borderId="13" xfId="2" applyNumberFormat="1" applyFont="1" applyFill="1" applyBorder="1" applyAlignment="1">
      <alignment horizontal="right" wrapText="1"/>
    </xf>
    <xf numFmtId="8" fontId="11" fillId="29" borderId="13" xfId="2" applyNumberFormat="1" applyFont="1" applyFill="1" applyBorder="1" applyAlignment="1">
      <alignment horizontal="right" wrapText="1"/>
    </xf>
    <xf numFmtId="0" fontId="13" fillId="28" borderId="10" xfId="1" applyFont="1" applyFill="1" applyBorder="1" applyAlignment="1" applyProtection="1">
      <alignment horizontal="left" vertical="top"/>
    </xf>
    <xf numFmtId="0" fontId="14" fillId="0" borderId="0" xfId="0" applyFont="1" applyAlignment="1">
      <alignment wrapText="1"/>
    </xf>
    <xf numFmtId="0" fontId="14" fillId="0" borderId="10" xfId="0" applyFont="1" applyBorder="1" applyAlignment="1">
      <alignment wrapText="1"/>
    </xf>
    <xf numFmtId="0" fontId="14" fillId="0" borderId="10" xfId="0" applyFont="1" applyBorder="1" applyAlignment="1">
      <alignment horizontal="left" wrapText="1"/>
    </xf>
    <xf numFmtId="0" fontId="14" fillId="8" borderId="10" xfId="0" applyFont="1" applyFill="1" applyBorder="1" applyAlignment="1">
      <alignment horizontal="center" vertical="center" wrapText="1"/>
    </xf>
    <xf numFmtId="0" fontId="13" fillId="0" borderId="10" xfId="1" applyFont="1" applyBorder="1" applyAlignment="1" applyProtection="1">
      <alignment wrapText="1"/>
    </xf>
    <xf numFmtId="0" fontId="14" fillId="8" borderId="10" xfId="0" applyFont="1" applyFill="1" applyBorder="1" applyAlignment="1">
      <alignment horizontal="left" vertical="center" wrapText="1"/>
    </xf>
    <xf numFmtId="0" fontId="14" fillId="0" borderId="10" xfId="0" applyFont="1" applyBorder="1"/>
    <xf numFmtId="0" fontId="14" fillId="0" borderId="0" xfId="0" applyFont="1" applyAlignment="1">
      <alignment horizontal="center" wrapText="1"/>
    </xf>
    <xf numFmtId="8" fontId="14" fillId="0" borderId="0" xfId="0" applyNumberFormat="1" applyFont="1" applyAlignment="1">
      <alignment wrapText="1"/>
    </xf>
    <xf numFmtId="0" fontId="18" fillId="0" borderId="0" xfId="0" applyFont="1" applyAlignment="1">
      <alignment horizontal="center" wrapText="1"/>
    </xf>
    <xf numFmtId="8" fontId="14" fillId="0" borderId="10" xfId="0" applyNumberFormat="1" applyFont="1" applyBorder="1" applyAlignment="1">
      <alignment wrapText="1"/>
    </xf>
    <xf numFmtId="14" fontId="14" fillId="0" borderId="10" xfId="0" applyNumberFormat="1" applyFont="1" applyBorder="1" applyAlignment="1">
      <alignment wrapText="1"/>
    </xf>
    <xf numFmtId="0" fontId="14" fillId="0" borderId="10" xfId="0" applyFont="1" applyBorder="1" applyAlignment="1">
      <alignment horizontal="center" wrapText="1"/>
    </xf>
    <xf numFmtId="165" fontId="14" fillId="0" borderId="10" xfId="0" applyNumberFormat="1" applyFont="1" applyBorder="1" applyAlignment="1">
      <alignment horizontal="left" wrapText="1"/>
    </xf>
    <xf numFmtId="0" fontId="14" fillId="0" borderId="0" xfId="0" applyFont="1"/>
    <xf numFmtId="165" fontId="14" fillId="0" borderId="10" xfId="0" applyNumberFormat="1" applyFont="1" applyBorder="1" applyAlignment="1">
      <alignment wrapText="1"/>
    </xf>
    <xf numFmtId="8" fontId="14" fillId="0" borderId="10" xfId="0" applyNumberFormat="1" applyFont="1" applyBorder="1" applyAlignment="1">
      <alignment horizontal="right" wrapText="1"/>
    </xf>
    <xf numFmtId="0" fontId="14" fillId="4" borderId="10" xfId="0" applyFont="1" applyFill="1" applyBorder="1" applyAlignment="1">
      <alignment wrapText="1"/>
    </xf>
    <xf numFmtId="165" fontId="14" fillId="0" borderId="10" xfId="0" applyNumberFormat="1" applyFont="1" applyBorder="1" applyAlignment="1">
      <alignment horizontal="right" wrapText="1"/>
    </xf>
    <xf numFmtId="0" fontId="14" fillId="15" borderId="10" xfId="0" applyFont="1" applyFill="1" applyBorder="1" applyAlignment="1">
      <alignment wrapText="1"/>
    </xf>
    <xf numFmtId="0" fontId="20" fillId="0" borderId="10" xfId="0" applyFont="1" applyBorder="1" applyAlignment="1">
      <alignment wrapText="1"/>
    </xf>
    <xf numFmtId="164" fontId="14" fillId="0" borderId="10" xfId="0" applyNumberFormat="1" applyFont="1" applyBorder="1" applyAlignment="1">
      <alignment horizontal="right" wrapText="1"/>
    </xf>
    <xf numFmtId="0" fontId="14" fillId="0" borderId="10" xfId="0" applyFont="1" applyBorder="1" applyAlignment="1">
      <alignment horizontal="center" vertical="center" wrapText="1"/>
    </xf>
    <xf numFmtId="0" fontId="14" fillId="0" borderId="10" xfId="0" applyFont="1" applyFill="1" applyBorder="1" applyAlignment="1">
      <alignment wrapText="1"/>
    </xf>
    <xf numFmtId="0" fontId="14" fillId="0" borderId="10" xfId="0" applyFont="1" applyBorder="1" applyAlignment="1">
      <alignment vertical="top" wrapText="1"/>
    </xf>
    <xf numFmtId="0" fontId="14" fillId="0" borderId="10" xfId="0" applyFont="1" applyFill="1" applyBorder="1" applyAlignment="1">
      <alignment horizontal="left" wrapText="1"/>
    </xf>
    <xf numFmtId="8" fontId="14" fillId="0" borderId="10" xfId="0" applyNumberFormat="1" applyFont="1" applyFill="1" applyBorder="1" applyAlignment="1">
      <alignment horizontal="right" wrapText="1"/>
    </xf>
    <xf numFmtId="0" fontId="14" fillId="0" borderId="10" xfId="0" applyFont="1" applyFill="1" applyBorder="1" applyAlignment="1">
      <alignment horizontal="center" wrapText="1"/>
    </xf>
    <xf numFmtId="0" fontId="20" fillId="0" borderId="10" xfId="0" applyFont="1" applyFill="1" applyBorder="1" applyAlignment="1">
      <alignment wrapText="1"/>
    </xf>
    <xf numFmtId="165" fontId="14" fillId="0" borderId="10" xfId="0" applyNumberFormat="1" applyFont="1" applyFill="1" applyBorder="1" applyAlignment="1">
      <alignment wrapText="1"/>
    </xf>
    <xf numFmtId="0" fontId="14" fillId="0" borderId="0" xfId="0" applyFont="1" applyFill="1" applyAlignment="1">
      <alignment wrapText="1"/>
    </xf>
    <xf numFmtId="0" fontId="20" fillId="7" borderId="10" xfId="0" applyFont="1" applyFill="1" applyBorder="1" applyAlignment="1">
      <alignment wrapText="1"/>
    </xf>
    <xf numFmtId="0" fontId="14" fillId="26" borderId="10" xfId="0" applyFont="1" applyFill="1" applyBorder="1" applyAlignment="1">
      <alignment wrapText="1"/>
    </xf>
    <xf numFmtId="8" fontId="14" fillId="26" borderId="10" xfId="0" applyNumberFormat="1" applyFont="1" applyFill="1" applyBorder="1" applyAlignment="1">
      <alignment wrapText="1"/>
    </xf>
    <xf numFmtId="0" fontId="14" fillId="25" borderId="10" xfId="0" applyFont="1" applyFill="1" applyBorder="1" applyAlignment="1">
      <alignment wrapText="1"/>
    </xf>
    <xf numFmtId="0" fontId="14" fillId="10" borderId="10" xfId="0" applyFont="1" applyFill="1" applyBorder="1" applyAlignment="1">
      <alignment horizontal="center" wrapText="1"/>
    </xf>
    <xf numFmtId="0" fontId="14" fillId="19" borderId="10" xfId="0" applyFont="1" applyFill="1" applyBorder="1" applyAlignment="1">
      <alignment wrapText="1"/>
    </xf>
    <xf numFmtId="0" fontId="14" fillId="21" borderId="10" xfId="0" applyFont="1" applyFill="1" applyBorder="1" applyAlignment="1">
      <alignment wrapText="1"/>
    </xf>
    <xf numFmtId="8" fontId="14" fillId="26" borderId="10" xfId="0" applyNumberFormat="1" applyFont="1" applyFill="1" applyBorder="1" applyAlignment="1">
      <alignment horizontal="right" wrapText="1"/>
    </xf>
    <xf numFmtId="0" fontId="14" fillId="11" borderId="10" xfId="0" applyFont="1" applyFill="1" applyBorder="1" applyAlignment="1">
      <alignment horizontal="center" wrapText="1"/>
    </xf>
    <xf numFmtId="0" fontId="14" fillId="6" borderId="10" xfId="0" applyFont="1" applyFill="1" applyBorder="1" applyAlignment="1">
      <alignment vertical="top" wrapText="1"/>
    </xf>
    <xf numFmtId="0" fontId="14" fillId="17" borderId="10" xfId="0" applyFont="1" applyFill="1" applyBorder="1" applyAlignment="1">
      <alignment wrapText="1"/>
    </xf>
    <xf numFmtId="8" fontId="14" fillId="17" borderId="10" xfId="0" applyNumberFormat="1" applyFont="1" applyFill="1" applyBorder="1" applyAlignment="1">
      <alignment wrapText="1"/>
    </xf>
    <xf numFmtId="8" fontId="14" fillId="21" borderId="10" xfId="0" applyNumberFormat="1" applyFont="1" applyFill="1" applyBorder="1" applyAlignment="1">
      <alignment wrapText="1"/>
    </xf>
    <xf numFmtId="0" fontId="14" fillId="5" borderId="10" xfId="0" applyFont="1" applyFill="1" applyBorder="1" applyAlignment="1">
      <alignment horizontal="center" wrapText="1"/>
    </xf>
    <xf numFmtId="0" fontId="14" fillId="18" borderId="10" xfId="0" applyFont="1" applyFill="1" applyBorder="1" applyAlignment="1">
      <alignment horizontal="center" wrapText="1"/>
    </xf>
    <xf numFmtId="165" fontId="14" fillId="0" borderId="10" xfId="0" applyNumberFormat="1" applyFont="1" applyBorder="1" applyAlignment="1">
      <alignment horizontal="center" wrapText="1"/>
    </xf>
    <xf numFmtId="8" fontId="14" fillId="13" borderId="10" xfId="0" applyNumberFormat="1" applyFont="1" applyFill="1" applyBorder="1" applyAlignment="1">
      <alignment wrapText="1"/>
    </xf>
    <xf numFmtId="0" fontId="14" fillId="22" borderId="10" xfId="0" applyFont="1" applyFill="1" applyBorder="1" applyAlignment="1">
      <alignment wrapText="1"/>
    </xf>
    <xf numFmtId="165" fontId="14" fillId="27" borderId="10" xfId="0" applyNumberFormat="1" applyFont="1" applyFill="1" applyBorder="1" applyAlignment="1">
      <alignment wrapText="1"/>
    </xf>
    <xf numFmtId="0" fontId="14" fillId="3" borderId="0" xfId="0" applyFont="1" applyFill="1" applyAlignment="1">
      <alignment wrapText="1"/>
    </xf>
    <xf numFmtId="0" fontId="14" fillId="20" borderId="10" xfId="0" applyFont="1" applyFill="1" applyBorder="1" applyAlignment="1">
      <alignment wrapText="1"/>
    </xf>
    <xf numFmtId="8" fontId="14" fillId="0" borderId="10" xfId="0" applyNumberFormat="1" applyFont="1" applyBorder="1"/>
    <xf numFmtId="0" fontId="14" fillId="0" borderId="10" xfId="0" applyFont="1" applyBorder="1" applyAlignment="1">
      <alignment horizontal="center"/>
    </xf>
    <xf numFmtId="0" fontId="19" fillId="0" borderId="10" xfId="0" applyFont="1" applyBorder="1"/>
    <xf numFmtId="165" fontId="14" fillId="0" borderId="10" xfId="0" applyNumberFormat="1" applyFont="1" applyBorder="1"/>
    <xf numFmtId="0" fontId="21" fillId="0" borderId="10" xfId="0" applyFont="1" applyBorder="1" applyAlignment="1">
      <alignment wrapText="1"/>
    </xf>
    <xf numFmtId="0" fontId="14" fillId="14" borderId="10" xfId="0" applyFont="1" applyFill="1" applyBorder="1" applyAlignment="1">
      <alignment horizontal="right" wrapText="1"/>
    </xf>
    <xf numFmtId="165" fontId="14" fillId="9" borderId="10" xfId="0" applyNumberFormat="1" applyFont="1" applyFill="1" applyBorder="1" applyAlignment="1">
      <alignment horizontal="right" wrapText="1"/>
    </xf>
    <xf numFmtId="0" fontId="14" fillId="0" borderId="10" xfId="0" applyFont="1" applyBorder="1" applyAlignment="1">
      <alignment horizontal="right" wrapText="1"/>
    </xf>
    <xf numFmtId="8" fontId="14" fillId="16" borderId="10" xfId="0" applyNumberFormat="1" applyFont="1" applyFill="1" applyBorder="1" applyAlignment="1">
      <alignment wrapText="1"/>
    </xf>
    <xf numFmtId="165" fontId="14" fillId="0" borderId="10" xfId="0" applyNumberFormat="1" applyFont="1" applyBorder="1" applyAlignment="1">
      <alignment horizontal="center" vertical="center" wrapText="1"/>
    </xf>
    <xf numFmtId="165" fontId="14" fillId="24" borderId="10" xfId="0" applyNumberFormat="1" applyFont="1" applyFill="1" applyBorder="1" applyAlignment="1">
      <alignment horizontal="center" vertical="center" wrapText="1"/>
    </xf>
    <xf numFmtId="8" fontId="14" fillId="2" borderId="10" xfId="0" applyNumberFormat="1" applyFont="1" applyFill="1" applyBorder="1" applyAlignment="1">
      <alignment wrapText="1"/>
    </xf>
    <xf numFmtId="8" fontId="14" fillId="2" borderId="10" xfId="0" applyNumberFormat="1" applyFont="1" applyFill="1" applyBorder="1" applyAlignment="1">
      <alignment vertical="center" wrapText="1"/>
    </xf>
    <xf numFmtId="164" fontId="14" fillId="2" borderId="10" xfId="0" applyNumberFormat="1" applyFont="1" applyFill="1" applyBorder="1" applyAlignment="1">
      <alignment vertical="center" wrapText="1"/>
    </xf>
    <xf numFmtId="0" fontId="14" fillId="28" borderId="10" xfId="0" applyFont="1" applyFill="1" applyBorder="1" applyAlignment="1">
      <alignment horizontal="center" vertical="center" wrapText="1"/>
    </xf>
    <xf numFmtId="165" fontId="14" fillId="12" borderId="10" xfId="0" applyNumberFormat="1" applyFont="1" applyFill="1" applyBorder="1" applyAlignment="1">
      <alignment horizontal="center" vertical="center" wrapText="1"/>
    </xf>
    <xf numFmtId="0" fontId="14" fillId="0" borderId="2" xfId="0" applyFont="1" applyBorder="1" applyAlignment="1">
      <alignment wrapText="1"/>
    </xf>
    <xf numFmtId="8" fontId="14" fillId="8" borderId="10" xfId="0" applyNumberFormat="1" applyFont="1" applyFill="1" applyBorder="1" applyAlignment="1">
      <alignment horizontal="right" wrapText="1"/>
    </xf>
    <xf numFmtId="0" fontId="14" fillId="28" borderId="10" xfId="0" applyFont="1" applyFill="1" applyBorder="1"/>
    <xf numFmtId="0" fontId="14" fillId="28" borderId="10" xfId="0" applyFont="1" applyFill="1" applyBorder="1" applyAlignment="1">
      <alignment wrapText="1"/>
    </xf>
    <xf numFmtId="8" fontId="14" fillId="28" borderId="10" xfId="0" applyNumberFormat="1" applyFont="1" applyFill="1" applyBorder="1"/>
    <xf numFmtId="164" fontId="14" fillId="28" borderId="10" xfId="0" applyNumberFormat="1" applyFont="1" applyFill="1" applyBorder="1"/>
    <xf numFmtId="0" fontId="14" fillId="28" borderId="10" xfId="0" applyFont="1" applyFill="1" applyBorder="1" applyAlignment="1">
      <alignment horizontal="center"/>
    </xf>
    <xf numFmtId="0" fontId="20" fillId="28" borderId="10" xfId="0" applyFont="1" applyFill="1" applyBorder="1" applyAlignment="1">
      <alignment wrapText="1"/>
    </xf>
    <xf numFmtId="0" fontId="14" fillId="28" borderId="0" xfId="0" applyFont="1" applyFill="1" applyAlignment="1">
      <alignment wrapText="1"/>
    </xf>
    <xf numFmtId="0" fontId="14" fillId="31" borderId="0" xfId="0" applyFont="1" applyFill="1"/>
    <xf numFmtId="0" fontId="14" fillId="28" borderId="0" xfId="0" applyFont="1" applyFill="1"/>
    <xf numFmtId="0" fontId="14" fillId="31" borderId="0" xfId="0" applyFont="1" applyFill="1" applyAlignment="1">
      <alignment wrapText="1"/>
    </xf>
    <xf numFmtId="0" fontId="14" fillId="28" borderId="10" xfId="0" applyFont="1" applyFill="1" applyBorder="1" applyAlignment="1">
      <alignment vertical="center"/>
    </xf>
    <xf numFmtId="8" fontId="14" fillId="28" borderId="10" xfId="0" applyNumberFormat="1" applyFont="1" applyFill="1" applyBorder="1" applyAlignment="1">
      <alignment horizontal="right"/>
    </xf>
    <xf numFmtId="164" fontId="14" fillId="28" borderId="10" xfId="0" applyNumberFormat="1" applyFont="1" applyFill="1" applyBorder="1" applyAlignment="1">
      <alignment vertical="center"/>
    </xf>
    <xf numFmtId="0" fontId="14" fillId="28" borderId="10" xfId="0" applyFont="1" applyFill="1" applyBorder="1" applyAlignment="1">
      <alignment vertical="center" wrapText="1"/>
    </xf>
    <xf numFmtId="0" fontId="14" fillId="31" borderId="0" xfId="0" applyFont="1" applyFill="1" applyAlignment="1">
      <alignment vertical="center"/>
    </xf>
    <xf numFmtId="8" fontId="14" fillId="28" borderId="10" xfId="0" applyNumberFormat="1" applyFont="1" applyFill="1" applyBorder="1" applyAlignment="1">
      <alignment horizontal="right" wrapText="1"/>
    </xf>
    <xf numFmtId="0" fontId="14" fillId="28" borderId="10" xfId="0" applyFont="1" applyFill="1" applyBorder="1" applyAlignment="1">
      <alignment horizontal="center" wrapText="1"/>
    </xf>
    <xf numFmtId="165" fontId="14" fillId="28" borderId="10" xfId="0" applyNumberFormat="1" applyFont="1" applyFill="1" applyBorder="1" applyAlignment="1">
      <alignment wrapText="1"/>
    </xf>
    <xf numFmtId="0" fontId="14" fillId="0" borderId="10" xfId="0" applyFont="1" applyFill="1" applyBorder="1"/>
    <xf numFmtId="0" fontId="14" fillId="0" borderId="10" xfId="0" applyFont="1" applyFill="1" applyBorder="1" applyAlignment="1">
      <alignment horizontal="right" wrapText="1"/>
    </xf>
    <xf numFmtId="8" fontId="14" fillId="0" borderId="10" xfId="0" applyNumberFormat="1" applyFont="1" applyFill="1" applyBorder="1"/>
    <xf numFmtId="164" fontId="14" fillId="0" borderId="10" xfId="0" applyNumberFormat="1" applyFont="1" applyFill="1" applyBorder="1"/>
    <xf numFmtId="0" fontId="14" fillId="0" borderId="10" xfId="0" applyFont="1" applyFill="1" applyBorder="1" applyAlignment="1">
      <alignment horizontal="center"/>
    </xf>
    <xf numFmtId="165" fontId="14" fillId="0" borderId="10" xfId="0" applyNumberFormat="1" applyFont="1" applyFill="1" applyBorder="1"/>
    <xf numFmtId="0" fontId="14" fillId="0" borderId="10" xfId="0" applyFont="1" applyFill="1" applyBorder="1" applyAlignment="1">
      <alignment vertical="center"/>
    </xf>
    <xf numFmtId="8" fontId="14" fillId="0" borderId="10" xfId="0" applyNumberFormat="1" applyFont="1" applyFill="1" applyBorder="1" applyAlignment="1">
      <alignment horizontal="right"/>
    </xf>
    <xf numFmtId="0" fontId="14" fillId="0" borderId="10" xfId="0" applyFont="1" applyBorder="1" applyAlignment="1">
      <alignment horizontal="right"/>
    </xf>
    <xf numFmtId="0" fontId="22" fillId="0" borderId="0" xfId="0" applyFont="1" applyAlignment="1"/>
    <xf numFmtId="0" fontId="22" fillId="0" borderId="0" xfId="0" applyFont="1" applyAlignment="1">
      <alignment wrapText="1"/>
    </xf>
    <xf numFmtId="8" fontId="22" fillId="0" borderId="0" xfId="0" applyNumberFormat="1" applyFont="1" applyAlignment="1">
      <alignment wrapText="1"/>
    </xf>
    <xf numFmtId="0" fontId="7" fillId="0" borderId="10" xfId="0" applyFont="1" applyBorder="1" applyAlignment="1">
      <alignment wrapText="1"/>
    </xf>
    <xf numFmtId="0" fontId="7" fillId="0" borderId="10" xfId="0" applyFont="1" applyFill="1" applyBorder="1"/>
    <xf numFmtId="0" fontId="23" fillId="0" borderId="10" xfId="0" applyFont="1" applyBorder="1" applyAlignment="1">
      <alignment wrapText="1"/>
    </xf>
    <xf numFmtId="0" fontId="7" fillId="0" borderId="10" xfId="0" applyFont="1" applyFill="1" applyBorder="1" applyAlignment="1">
      <alignment wrapText="1"/>
    </xf>
    <xf numFmtId="0" fontId="0" fillId="0" borderId="10" xfId="0" applyBorder="1" applyAlignment="1">
      <alignment wrapText="1"/>
    </xf>
    <xf numFmtId="164" fontId="7" fillId="0" borderId="10" xfId="0" applyNumberFormat="1" applyFont="1" applyFill="1" applyBorder="1"/>
    <xf numFmtId="0" fontId="23" fillId="0" borderId="10" xfId="0" applyFont="1" applyBorder="1" applyAlignment="1">
      <alignment horizontal="center" wrapText="1"/>
    </xf>
    <xf numFmtId="0" fontId="7" fillId="0" borderId="10" xfId="0" applyFont="1" applyFill="1" applyBorder="1" applyAlignment="1"/>
    <xf numFmtId="0" fontId="14" fillId="0" borderId="10" xfId="0" applyFont="1" applyBorder="1" applyAlignment="1">
      <alignment horizontal="left" vertical="center" wrapText="1"/>
    </xf>
    <xf numFmtId="0" fontId="14" fillId="8" borderId="10" xfId="0" applyFont="1" applyFill="1" applyBorder="1" applyAlignment="1">
      <alignment horizontal="center" wrapText="1"/>
    </xf>
    <xf numFmtId="0" fontId="7" fillId="26" borderId="10" xfId="0" applyFont="1" applyFill="1" applyBorder="1" applyAlignment="1">
      <alignment wrapText="1"/>
    </xf>
    <xf numFmtId="0" fontId="14" fillId="8" borderId="10" xfId="0" applyFont="1" applyFill="1" applyBorder="1" applyAlignment="1">
      <alignment horizontal="left" wrapText="1"/>
    </xf>
    <xf numFmtId="165" fontId="14" fillId="12" borderId="10" xfId="0" applyNumberFormat="1" applyFont="1" applyFill="1" applyBorder="1" applyAlignment="1">
      <alignment horizontal="center" wrapText="1"/>
    </xf>
    <xf numFmtId="0" fontId="7" fillId="8" borderId="10" xfId="0" applyFont="1" applyFill="1" applyBorder="1" applyAlignment="1">
      <alignment horizontal="left" wrapText="1"/>
    </xf>
    <xf numFmtId="0" fontId="14" fillId="28" borderId="10" xfId="0" applyFont="1" applyFill="1" applyBorder="1" applyAlignment="1">
      <alignment horizontal="left" wrapText="1"/>
    </xf>
    <xf numFmtId="8" fontId="14" fillId="0" borderId="10" xfId="0" applyNumberFormat="1" applyFont="1" applyFill="1" applyBorder="1" applyAlignment="1">
      <alignment wrapText="1"/>
    </xf>
    <xf numFmtId="0" fontId="16" fillId="0" borderId="10" xfId="0" applyFont="1" applyFill="1" applyBorder="1" applyAlignment="1">
      <alignment wrapText="1"/>
    </xf>
    <xf numFmtId="0" fontId="16" fillId="0" borderId="0" xfId="0" applyFont="1" applyAlignment="1">
      <alignment wrapText="1"/>
    </xf>
    <xf numFmtId="0" fontId="16" fillId="0" borderId="10" xfId="0" applyFont="1" applyBorder="1" applyAlignment="1">
      <alignment wrapText="1"/>
    </xf>
    <xf numFmtId="0" fontId="16" fillId="0" borderId="10" xfId="0" applyFont="1" applyBorder="1"/>
    <xf numFmtId="8" fontId="14" fillId="2" borderId="10" xfId="0" applyNumberFormat="1" applyFont="1" applyFill="1" applyBorder="1" applyAlignment="1">
      <alignment horizontal="right" wrapText="1"/>
    </xf>
    <xf numFmtId="0" fontId="7" fillId="28" borderId="10" xfId="0" applyFont="1" applyFill="1" applyBorder="1" applyAlignment="1">
      <alignment horizontal="center" wrapText="1"/>
    </xf>
    <xf numFmtId="165" fontId="14" fillId="12" borderId="10" xfId="0" applyNumberFormat="1" applyFont="1" applyFill="1" applyBorder="1" applyAlignment="1">
      <alignment horizontal="left" wrapText="1"/>
    </xf>
    <xf numFmtId="0" fontId="7" fillId="0" borderId="10" xfId="0" applyFont="1" applyBorder="1"/>
    <xf numFmtId="0" fontId="14" fillId="28" borderId="10" xfId="0" applyFont="1" applyFill="1" applyBorder="1" applyAlignment="1">
      <alignment horizontal="left"/>
    </xf>
    <xf numFmtId="0" fontId="14" fillId="0" borderId="10" xfId="0" applyFont="1" applyFill="1" applyBorder="1" applyAlignment="1">
      <alignment horizontal="left"/>
    </xf>
    <xf numFmtId="0" fontId="7" fillId="0" borderId="10" xfId="0" applyFont="1" applyBorder="1" applyAlignment="1">
      <alignment horizontal="left" wrapText="1"/>
    </xf>
    <xf numFmtId="0" fontId="7" fillId="28" borderId="10" xfId="0" applyFont="1" applyFill="1" applyBorder="1" applyAlignment="1">
      <alignment wrapText="1"/>
    </xf>
    <xf numFmtId="165" fontId="14" fillId="24" borderId="10" xfId="0" applyNumberFormat="1" applyFont="1" applyFill="1" applyBorder="1" applyAlignment="1">
      <alignment horizontal="center" wrapText="1"/>
    </xf>
    <xf numFmtId="0" fontId="14" fillId="0" borderId="6" xfId="0" applyFont="1" applyBorder="1" applyAlignment="1">
      <alignment wrapText="1"/>
    </xf>
    <xf numFmtId="0" fontId="14" fillId="0" borderId="9" xfId="0" applyFont="1" applyBorder="1" applyAlignment="1">
      <alignment wrapText="1"/>
    </xf>
    <xf numFmtId="0" fontId="22" fillId="0" borderId="0" xfId="0" applyFont="1" applyAlignment="1">
      <alignment horizontal="center" wrapText="1"/>
    </xf>
    <xf numFmtId="0" fontId="14" fillId="0" borderId="10" xfId="0" applyFont="1" applyBorder="1" applyAlignment="1">
      <alignment horizontal="left"/>
    </xf>
    <xf numFmtId="0" fontId="14" fillId="0" borderId="0" xfId="0" applyFont="1" applyFill="1" applyAlignment="1">
      <alignment horizontal="center" wrapText="1"/>
    </xf>
    <xf numFmtId="0" fontId="7" fillId="0" borderId="10" xfId="0" applyFont="1" applyBorder="1" applyAlignment="1">
      <alignment horizontal="left"/>
    </xf>
    <xf numFmtId="0" fontId="14" fillId="26" borderId="10" xfId="0" applyFont="1" applyFill="1" applyBorder="1" applyAlignment="1">
      <alignment horizontal="left" wrapText="1"/>
    </xf>
    <xf numFmtId="0" fontId="14" fillId="21" borderId="10" xfId="0" applyFont="1" applyFill="1" applyBorder="1" applyAlignment="1">
      <alignment horizontal="left" wrapText="1"/>
    </xf>
    <xf numFmtId="0" fontId="14" fillId="17" borderId="10" xfId="0" applyFont="1" applyFill="1" applyBorder="1" applyAlignment="1">
      <alignment horizontal="left" wrapText="1"/>
    </xf>
    <xf numFmtId="0" fontId="7" fillId="26" borderId="10" xfId="0" applyFont="1" applyFill="1" applyBorder="1" applyAlignment="1">
      <alignment horizontal="left" wrapText="1"/>
    </xf>
    <xf numFmtId="8" fontId="7" fillId="0" borderId="10" xfId="0" applyNumberFormat="1" applyFont="1" applyBorder="1" applyAlignment="1">
      <alignment horizontal="right" wrapText="1"/>
    </xf>
    <xf numFmtId="8" fontId="7" fillId="0" borderId="10" xfId="0" applyNumberFormat="1" applyFont="1" applyBorder="1" applyAlignment="1">
      <alignment horizontal="right"/>
    </xf>
    <xf numFmtId="164" fontId="7" fillId="28" borderId="10" xfId="0" applyNumberFormat="1" applyFont="1" applyFill="1" applyBorder="1" applyAlignment="1">
      <alignment wrapText="1"/>
    </xf>
    <xf numFmtId="0" fontId="10" fillId="28" borderId="8" xfId="2" applyFont="1" applyFill="1" applyBorder="1"/>
    <xf numFmtId="0" fontId="10" fillId="28" borderId="5" xfId="2" applyFont="1" applyFill="1" applyBorder="1"/>
    <xf numFmtId="0" fontId="24" fillId="0" borderId="0" xfId="2" applyFont="1" applyBorder="1"/>
    <xf numFmtId="0" fontId="24" fillId="0" borderId="3" xfId="2" applyFont="1" applyBorder="1"/>
    <xf numFmtId="0" fontId="11" fillId="28" borderId="0" xfId="2" applyFont="1" applyFill="1" applyBorder="1"/>
    <xf numFmtId="0" fontId="11" fillId="28" borderId="4" xfId="2" applyFont="1" applyFill="1" applyBorder="1"/>
    <xf numFmtId="0" fontId="16" fillId="28" borderId="6" xfId="0" applyFont="1" applyFill="1" applyBorder="1" applyAlignment="1">
      <alignment horizontal="left" vertical="top" wrapText="1"/>
    </xf>
    <xf numFmtId="164" fontId="7" fillId="2" borderId="10" xfId="0" applyNumberFormat="1" applyFont="1" applyFill="1" applyBorder="1" applyAlignment="1">
      <alignment vertical="center" wrapText="1"/>
    </xf>
    <xf numFmtId="0" fontId="25" fillId="0" borderId="0" xfId="0" applyFont="1" applyAlignment="1">
      <alignment wrapText="1"/>
    </xf>
    <xf numFmtId="0" fontId="25" fillId="0" borderId="10" xfId="0" applyFont="1" applyBorder="1" applyAlignment="1">
      <alignment wrapText="1"/>
    </xf>
    <xf numFmtId="0" fontId="22" fillId="0" borderId="0" xfId="0" applyFont="1" applyAlignment="1">
      <alignment horizontal="left" wrapText="1"/>
    </xf>
    <xf numFmtId="0" fontId="14" fillId="0" borderId="0" xfId="0" applyFont="1" applyFill="1" applyAlignment="1">
      <alignment horizontal="left" wrapText="1"/>
    </xf>
    <xf numFmtId="0" fontId="14" fillId="0" borderId="0" xfId="0" applyFont="1" applyAlignment="1">
      <alignment horizontal="left" wrapText="1"/>
    </xf>
    <xf numFmtId="0" fontId="25" fillId="0" borderId="10" xfId="0" applyFont="1" applyBorder="1" applyAlignment="1">
      <alignment horizontal="left" wrapText="1"/>
    </xf>
    <xf numFmtId="0" fontId="14" fillId="25" borderId="10" xfId="0" applyFont="1" applyFill="1" applyBorder="1" applyAlignment="1">
      <alignment horizontal="left" wrapText="1"/>
    </xf>
    <xf numFmtId="0" fontId="17" fillId="0" borderId="10" xfId="0" applyFont="1" applyBorder="1" applyAlignment="1">
      <alignment horizontal="left" wrapText="1"/>
    </xf>
    <xf numFmtId="0" fontId="14" fillId="0" borderId="10" xfId="0" applyFont="1" applyFill="1" applyBorder="1" applyAlignment="1"/>
    <xf numFmtId="0" fontId="25" fillId="26" borderId="10" xfId="0" applyFont="1" applyFill="1" applyBorder="1" applyAlignment="1">
      <alignment horizontal="left" wrapText="1"/>
    </xf>
    <xf numFmtId="0" fontId="25" fillId="28" borderId="10" xfId="0" applyFont="1" applyFill="1" applyBorder="1" applyAlignment="1">
      <alignment horizontal="left" wrapText="1"/>
    </xf>
    <xf numFmtId="0" fontId="25" fillId="0" borderId="10" xfId="0" applyFont="1" applyFill="1" applyBorder="1" applyAlignment="1">
      <alignment horizontal="left" wrapText="1"/>
    </xf>
    <xf numFmtId="0" fontId="8" fillId="0" borderId="0" xfId="1" applyAlignment="1" applyProtection="1">
      <alignment wrapText="1"/>
    </xf>
    <xf numFmtId="0" fontId="0" fillId="0" borderId="10" xfId="0" applyBorder="1"/>
    <xf numFmtId="0" fontId="22" fillId="0" borderId="0" xfId="0" applyFont="1" applyFill="1" applyAlignment="1">
      <alignment wrapText="1"/>
    </xf>
    <xf numFmtId="0" fontId="14" fillId="0" borderId="0" xfId="0" applyFont="1" applyFill="1"/>
    <xf numFmtId="0" fontId="14" fillId="0" borderId="0" xfId="0" applyFont="1" applyFill="1" applyAlignment="1">
      <alignment vertical="center"/>
    </xf>
    <xf numFmtId="165" fontId="25" fillId="0" borderId="10" xfId="0" applyNumberFormat="1" applyFont="1" applyBorder="1" applyAlignment="1">
      <alignment wrapText="1"/>
    </xf>
    <xf numFmtId="0" fontId="14" fillId="28" borderId="10" xfId="0" applyFont="1" applyFill="1" applyBorder="1" applyAlignment="1">
      <alignment horizontal="right" wrapText="1"/>
    </xf>
    <xf numFmtId="0" fontId="7" fillId="14" borderId="10" xfId="0" applyFont="1" applyFill="1" applyBorder="1" applyAlignment="1">
      <alignment horizontal="left" wrapText="1"/>
    </xf>
    <xf numFmtId="0" fontId="26" fillId="23" borderId="14" xfId="0" applyFont="1" applyFill="1" applyBorder="1" applyAlignment="1">
      <alignment horizontal="center" vertical="center" wrapText="1"/>
    </xf>
    <xf numFmtId="0" fontId="26" fillId="23" borderId="15" xfId="0" applyFont="1" applyFill="1" applyBorder="1" applyAlignment="1">
      <alignment horizontal="center" vertical="center" wrapText="1"/>
    </xf>
    <xf numFmtId="0" fontId="26" fillId="23" borderId="15" xfId="0" applyFont="1" applyFill="1" applyBorder="1" applyAlignment="1">
      <alignment horizontal="center" vertical="center" wrapText="1" readingOrder="1"/>
    </xf>
    <xf numFmtId="0" fontId="26" fillId="23" borderId="16" xfId="0" applyFont="1" applyFill="1" applyBorder="1" applyAlignment="1">
      <alignment horizontal="center" vertical="center" wrapText="1" readingOrder="1"/>
    </xf>
    <xf numFmtId="0" fontId="14" fillId="8" borderId="10" xfId="0" applyFont="1" applyFill="1" applyBorder="1" applyAlignment="1">
      <alignment wrapText="1"/>
    </xf>
    <xf numFmtId="0" fontId="28" fillId="0" borderId="0" xfId="0" applyFont="1" applyAlignment="1">
      <alignment wrapText="1"/>
    </xf>
    <xf numFmtId="0" fontId="19" fillId="30" borderId="10" xfId="0" applyFont="1" applyFill="1" applyBorder="1" applyAlignment="1">
      <alignment horizontal="left" vertical="top"/>
    </xf>
    <xf numFmtId="0" fontId="25" fillId="28" borderId="10" xfId="0" applyFont="1" applyFill="1" applyBorder="1" applyAlignment="1">
      <alignment horizontal="left" vertical="top" wrapText="1"/>
    </xf>
    <xf numFmtId="0" fontId="29" fillId="28" borderId="10" xfId="0" applyFont="1" applyFill="1" applyBorder="1" applyAlignment="1">
      <alignment horizontal="left" vertical="top" wrapText="1"/>
    </xf>
    <xf numFmtId="0" fontId="19" fillId="0" borderId="0" xfId="0" applyFont="1" applyAlignment="1">
      <alignment wrapText="1"/>
    </xf>
    <xf numFmtId="0" fontId="8" fillId="28" borderId="10" xfId="1" applyFill="1" applyBorder="1" applyAlignment="1" applyProtection="1">
      <alignment horizontal="left" vertical="top"/>
    </xf>
    <xf numFmtId="0" fontId="13" fillId="28" borderId="17" xfId="1" applyFont="1" applyFill="1" applyBorder="1" applyAlignment="1" applyProtection="1">
      <alignment horizontal="left" vertical="top"/>
    </xf>
    <xf numFmtId="0" fontId="29" fillId="28" borderId="9" xfId="0" applyFont="1" applyFill="1" applyBorder="1" applyAlignment="1">
      <alignment horizontal="left" vertical="top" wrapText="1"/>
    </xf>
    <xf numFmtId="0" fontId="7" fillId="0" borderId="18" xfId="0" applyFont="1" applyBorder="1" applyAlignment="1">
      <alignment wrapText="1"/>
    </xf>
    <xf numFmtId="0" fontId="14" fillId="28" borderId="9" xfId="0" applyFont="1" applyFill="1" applyBorder="1" applyAlignment="1">
      <alignment horizontal="left" vertical="top" wrapText="1"/>
    </xf>
    <xf numFmtId="0" fontId="29" fillId="28" borderId="6" xfId="0" applyFont="1" applyFill="1" applyBorder="1" applyAlignment="1">
      <alignment horizontal="left" vertical="top" wrapText="1"/>
    </xf>
    <xf numFmtId="0" fontId="13" fillId="28" borderId="9" xfId="1" applyFont="1" applyFill="1" applyBorder="1" applyAlignment="1" applyProtection="1">
      <alignment horizontal="left" vertical="top" wrapText="1"/>
    </xf>
    <xf numFmtId="0" fontId="25" fillId="28" borderId="6" xfId="0" applyFont="1" applyFill="1" applyBorder="1" applyAlignment="1">
      <alignment horizontal="left" vertical="top" wrapText="1"/>
    </xf>
    <xf numFmtId="0" fontId="29" fillId="28" borderId="18" xfId="0" applyFont="1" applyFill="1" applyBorder="1" applyAlignment="1">
      <alignment horizontal="left" vertical="top" wrapText="1"/>
    </xf>
    <xf numFmtId="0" fontId="15" fillId="28" borderId="18" xfId="0" applyFont="1" applyFill="1" applyBorder="1" applyAlignment="1">
      <alignment horizontal="left" vertical="top" wrapText="1"/>
    </xf>
    <xf numFmtId="0" fontId="16" fillId="28" borderId="18" xfId="0" applyFont="1" applyFill="1" applyBorder="1" applyAlignment="1">
      <alignment horizontal="left" vertical="top" wrapText="1"/>
    </xf>
    <xf numFmtId="0" fontId="19" fillId="30" borderId="6" xfId="0" applyFont="1" applyFill="1" applyBorder="1" applyAlignment="1">
      <alignment horizontal="left" vertical="top" wrapText="1"/>
    </xf>
    <xf numFmtId="0" fontId="16" fillId="28" borderId="18" xfId="0" applyFont="1" applyFill="1" applyBorder="1" applyAlignment="1">
      <alignment horizontal="left" vertical="top" wrapText="1"/>
    </xf>
    <xf numFmtId="0" fontId="14" fillId="0" borderId="0" xfId="0" applyNumberFormat="1" applyFont="1" applyAlignment="1">
      <alignment wrapText="1"/>
    </xf>
    <xf numFmtId="14" fontId="7" fillId="0" borderId="10" xfId="0" applyNumberFormat="1" applyFont="1" applyFill="1" applyBorder="1" applyAlignment="1"/>
  </cellXfs>
  <cellStyles count="3">
    <cellStyle name="Hyperlink" xfId="1" builtinId="8"/>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2014%20Forecast/1st%20Qrtr%20Data%20Call/MVB%20-%20OCAO%20Forecast%20Spreadsheet%20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2014%20Forecast/FY2014%20Agencywide%20Forecastv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2014%20Forecast/1st%20Qrtr%20Data%20Call/FY2014%20OCSIT%20SB%20Forecast%20Spreadsheet%20as%20of%2011_14_201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V FY 2014 Forecast"/>
      <sheetName val="Forecast LEGEND"/>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SA Forecast"/>
      <sheetName val="GSA Schedules"/>
      <sheetName val="Forecast LEGEND"/>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OCSIT Forecast"/>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hris.hamm@gsa.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gsaelibrary.gsa.gov/ElibMain/scheduleSummary.do;jsessionid=B480E24EFA8A9841BB2554196227148F.prd2pweb?scheduleNumber=48" TargetMode="External"/><Relationship Id="rId13" Type="http://schemas.openxmlformats.org/officeDocument/2006/relationships/hyperlink" Target="http://www.gsaelibrary.gsa.gov/ElibMain/scheduleSummary.do;jsessionid=B480E24EFA8A9841BB2554196227148F.prd2pweb?scheduleNumber=541" TargetMode="External"/><Relationship Id="rId18" Type="http://schemas.openxmlformats.org/officeDocument/2006/relationships/hyperlink" Target="http://www.gsaelibrary.gsa.gov/ElibMain/scheduleSummary.do;jsessionid=B480E24EFA8A9841BB2554196227148F.prd2pweb?scheduleNumber=621+I" TargetMode="External"/><Relationship Id="rId26" Type="http://schemas.openxmlformats.org/officeDocument/2006/relationships/hyperlink" Target="http://www.gsaelibrary.gsa.gov/ElibMain/scheduleSummary.do;jsessionid=B480E24EFA8A9841BB2554196227148F.prd2pweb?scheduleNumber=66" TargetMode="External"/><Relationship Id="rId39" Type="http://schemas.openxmlformats.org/officeDocument/2006/relationships/hyperlink" Target="http://www.gsaelibrary.gsa.gov/ElibMain/scheduleSummary.do;jsessionid=B480E24EFA8A9841BB2554196227148F.prd2pweb?scheduleNumber=76" TargetMode="External"/><Relationship Id="rId3" Type="http://schemas.openxmlformats.org/officeDocument/2006/relationships/hyperlink" Target="http://www.gsaelibrary.gsa.gov/ElibMain/scheduleSummary.do;jsessionid=B480E24EFA8A9841BB2554196227148F.prd2pweb?scheduleNumber=00CORP" TargetMode="External"/><Relationship Id="rId21" Type="http://schemas.openxmlformats.org/officeDocument/2006/relationships/hyperlink" Target="http://www.gsaelibrary.gsa.gov/ElibMain/scheduleSummary.do;jsessionid=B480E24EFA8A9841BB2554196227148F.prd2pweb?scheduleNumber=65+II+A" TargetMode="External"/><Relationship Id="rId34" Type="http://schemas.openxmlformats.org/officeDocument/2006/relationships/hyperlink" Target="http://www.gsaelibrary.gsa.gov/ElibMain/scheduleSummary.do;jsessionid=B480E24EFA8A9841BB2554196227148F.prd2pweb?scheduleNumber=736" TargetMode="External"/><Relationship Id="rId42" Type="http://schemas.openxmlformats.org/officeDocument/2006/relationships/hyperlink" Target="http://www.gsaelibrary.gsa.gov/ElibMain/scheduleSummary.do;jsessionid=B480E24EFA8A9841BB2554196227148F.prd2pweb?scheduleNumber=84" TargetMode="External"/><Relationship Id="rId47" Type="http://schemas.openxmlformats.org/officeDocument/2006/relationships/hyperlink" Target="http://gsa.gov/portal/category/100635" TargetMode="External"/><Relationship Id="rId7" Type="http://schemas.openxmlformats.org/officeDocument/2006/relationships/hyperlink" Target="http://www.gsaelibrary.gsa.gov/ElibMain/scheduleSummary.do;jsessionid=B480E24EFA8A9841BB2554196227148F.prd2pweb?scheduleNumber=36" TargetMode="External"/><Relationship Id="rId12" Type="http://schemas.openxmlformats.org/officeDocument/2006/relationships/hyperlink" Target="https://www.gsaadvantage.gov/advantage/search/specialCategory.do?cat=ADV.SS&amp;group=0" TargetMode="External"/><Relationship Id="rId17" Type="http://schemas.openxmlformats.org/officeDocument/2006/relationships/hyperlink" Target="https://www.gsaadvantage.gov/advantage/search/specialCategory.do?cat=ADV.SS&amp;group=2" TargetMode="External"/><Relationship Id="rId25" Type="http://schemas.openxmlformats.org/officeDocument/2006/relationships/hyperlink" Target="http://www.gsaelibrary.gsa.gov/ElibMain/scheduleSummary.do;jsessionid=B480E24EFA8A9841BB2554196227148F.prd2pweb?scheduleNumber=65+VII" TargetMode="External"/><Relationship Id="rId33" Type="http://schemas.openxmlformats.org/officeDocument/2006/relationships/hyperlink" Target="http://www.gsaelibrary.gsa.gov/ElibMain/scheduleSummary.do;jsessionid=B480E24EFA8A9841BB2554196227148F.prd2pweb?scheduleNumber=73" TargetMode="External"/><Relationship Id="rId38" Type="http://schemas.openxmlformats.org/officeDocument/2006/relationships/hyperlink" Target="http://www.gsaelibrary.gsa.gov/ElibMain/scheduleSummary.do;jsessionid=B480E24EFA8A9841BB2554196227148F.prd2pweb?scheduleNumber=751" TargetMode="External"/><Relationship Id="rId46" Type="http://schemas.openxmlformats.org/officeDocument/2006/relationships/hyperlink" Target="http://www.gsaelibrary.gsa.gov/ElibMain/scheduleSummary.do;jsessionid=B480E24EFA8A9841BB2554196227148F.prd2pweb?scheduleNumber=899" TargetMode="External"/><Relationship Id="rId2" Type="http://schemas.openxmlformats.org/officeDocument/2006/relationships/hyperlink" Target="http://www.gsa.gov/bpas" TargetMode="External"/><Relationship Id="rId16" Type="http://schemas.openxmlformats.org/officeDocument/2006/relationships/hyperlink" Target="http://www.gsaelibrary.gsa.gov/ElibMain/scheduleSummary.do;jsessionid=B480E24EFA8A9841BB2554196227148F.prd2pweb?scheduleNumber=599" TargetMode="External"/><Relationship Id="rId20" Type="http://schemas.openxmlformats.org/officeDocument/2006/relationships/hyperlink" Target="http://www.gsaelibrary.gsa.gov/ElibMain/scheduleSummary.do;jsessionid=B480E24EFA8A9841BB2554196227148F.prd2pweb?scheduleNumber=65+I+B" TargetMode="External"/><Relationship Id="rId29" Type="http://schemas.openxmlformats.org/officeDocument/2006/relationships/hyperlink" Target="http://www.gsaelibrary.gsa.gov/ElibMain/scheduleSummary.do;jsessionid=B480E24EFA8A9841BB2554196227148F.prd2pweb?scheduleNumber=70" TargetMode="External"/><Relationship Id="rId41" Type="http://schemas.openxmlformats.org/officeDocument/2006/relationships/hyperlink" Target="http://www.gsaelibrary.gsa.gov/ElibMain/scheduleSummary.do;jsessionid=B480E24EFA8A9841BB2554196227148F.prd2pweb?scheduleNumber=81+I+B" TargetMode="External"/><Relationship Id="rId1" Type="http://schemas.openxmlformats.org/officeDocument/2006/relationships/hyperlink" Target="http://www.gsaelibrary.gsa.gov/ElibMain/scheduleSummary.do;jsessionid=B480E24EFA8A9841BB2554196227148F.prd2pweb?scheduleNumber=BPA" TargetMode="External"/><Relationship Id="rId6" Type="http://schemas.openxmlformats.org/officeDocument/2006/relationships/hyperlink" Target="http://www.gsaelibrary.gsa.gov/ElibMain/scheduleSummary.do;jsessionid=B480E24EFA8A9841BB2554196227148F.prd2pweb?scheduleNumber=23+V" TargetMode="External"/><Relationship Id="rId11" Type="http://schemas.openxmlformats.org/officeDocument/2006/relationships/hyperlink" Target="http://www.gsaelibrary.gsa.gov/ElibMain/scheduleSummary.do;jsessionid=B480E24EFA8A9841BB2554196227148F.prd2pweb?scheduleNumber=520" TargetMode="External"/><Relationship Id="rId24" Type="http://schemas.openxmlformats.org/officeDocument/2006/relationships/hyperlink" Target="http://www.gsaelibrary.gsa.gov/ElibMain/scheduleSummary.do;jsessionid=B480E24EFA8A9841BB2554196227148F.prd2pweb?scheduleNumber=65+V+A" TargetMode="External"/><Relationship Id="rId32" Type="http://schemas.openxmlformats.org/officeDocument/2006/relationships/hyperlink" Target="http://www.gsaelibrary.gsa.gov/ElibMain/scheduleSummary.do;jsessionid=B480E24EFA8A9841BB2554196227148F.prd2pweb?scheduleNumber=72" TargetMode="External"/><Relationship Id="rId37" Type="http://schemas.openxmlformats.org/officeDocument/2006/relationships/hyperlink" Target="http://www.gsaelibrary.gsa.gov/ElibMain/scheduleSummary.do;jsessionid=B480E24EFA8A9841BB2554196227148F.prd2pweb?scheduleNumber=75" TargetMode="External"/><Relationship Id="rId40" Type="http://schemas.openxmlformats.org/officeDocument/2006/relationships/hyperlink" Target="http://www.gsaelibrary.gsa.gov/ElibMain/scheduleSummary.do;jsessionid=B480E24EFA8A9841BB2554196227148F.prd2pweb?scheduleNumber=78" TargetMode="External"/><Relationship Id="rId45" Type="http://schemas.openxmlformats.org/officeDocument/2006/relationships/hyperlink" Target="http://www.gsaelibrary.gsa.gov/ElibMain/scheduleSummary.do;jsessionid=B480E24EFA8A9841BB2554196227148F.prd2pweb?scheduleNumber=874+V" TargetMode="External"/><Relationship Id="rId5" Type="http://schemas.openxmlformats.org/officeDocument/2006/relationships/hyperlink" Target="https://www.gsaadvantage.gov/advantage/search/specialCategory.do?cat=ADV.SS&amp;group=3" TargetMode="External"/><Relationship Id="rId15" Type="http://schemas.openxmlformats.org/officeDocument/2006/relationships/hyperlink" Target="http://www.gsaelibrary.gsa.gov/ElibMain/scheduleSummary.do;jsessionid=B480E24EFA8A9841BB2554196227148F.prd2pweb?scheduleNumber=58+I" TargetMode="External"/><Relationship Id="rId23" Type="http://schemas.openxmlformats.org/officeDocument/2006/relationships/hyperlink" Target="http://www.gsaelibrary.gsa.gov/ElibMain/scheduleSummary.do;jsessionid=B480E24EFA8A9841BB2554196227148F.prd2pweb?scheduleNumber=65+II+F" TargetMode="External"/><Relationship Id="rId28" Type="http://schemas.openxmlformats.org/officeDocument/2006/relationships/hyperlink" Target="http://www.gsaelibrary.gsa.gov/ElibMain/scheduleSummary.do;jsessionid=B480E24EFA8A9841BB2554196227148F.prd2pweb?scheduleNumber=67" TargetMode="External"/><Relationship Id="rId36" Type="http://schemas.openxmlformats.org/officeDocument/2006/relationships/hyperlink" Target="http://www.gsaelibrary.gsa.gov/ElibMain/scheduleSummary.do;jsessionid=B480E24EFA8A9841BB2554196227148F.prd2pweb?scheduleNumber=738+X" TargetMode="External"/><Relationship Id="rId10" Type="http://schemas.openxmlformats.org/officeDocument/2006/relationships/hyperlink" Target="http://www.gsaelibrary.gsa.gov/ElibMain/scheduleSummary.do;jsessionid=B480E24EFA8A9841BB2554196227148F.prd2pweb?scheduleNumber=51+V" TargetMode="External"/><Relationship Id="rId19" Type="http://schemas.openxmlformats.org/officeDocument/2006/relationships/hyperlink" Target="http://www.gsaelibrary.gsa.gov/ElibMain/scheduleSummary.do;jsessionid=B480E24EFA8A9841BB2554196227148F.prd2pweb?scheduleNumber=621+II" TargetMode="External"/><Relationship Id="rId31" Type="http://schemas.openxmlformats.org/officeDocument/2006/relationships/hyperlink" Target="http://www.gsaelibrary.gsa.gov/ElibMain/scheduleSummary.do;jsessionid=B480E24EFA8A9841BB2554196227148F.prd2pweb?scheduleNumber=71+II+K" TargetMode="External"/><Relationship Id="rId44" Type="http://schemas.openxmlformats.org/officeDocument/2006/relationships/hyperlink" Target="http://www.gsaelibrary.gsa.gov/ElibMain/scheduleSummary.do;jsessionid=B480E24EFA8A9841BB2554196227148F.prd2pweb?scheduleNumber=874" TargetMode="External"/><Relationship Id="rId4" Type="http://schemas.openxmlformats.org/officeDocument/2006/relationships/hyperlink" Target="http://www.gsaelibrary.gsa.gov/ElibMain/scheduleSummary.do;jsessionid=B480E24EFA8A9841BB2554196227148F.prd2pweb?scheduleNumber=03FAC" TargetMode="External"/><Relationship Id="rId9" Type="http://schemas.openxmlformats.org/officeDocument/2006/relationships/hyperlink" Target="https://www.gsaadvantage.gov/advantage/search/specialCategory.do?cat=ADV.SS&amp;group=1" TargetMode="External"/><Relationship Id="rId14" Type="http://schemas.openxmlformats.org/officeDocument/2006/relationships/hyperlink" Target="http://www.gsaelibrary.gsa.gov/ElibMain/scheduleSummary.do;jsessionid=B480E24EFA8A9841BB2554196227148F.prd2pweb?scheduleNumber=56" TargetMode="External"/><Relationship Id="rId22" Type="http://schemas.openxmlformats.org/officeDocument/2006/relationships/hyperlink" Target="http://www.gsaelibrary.gsa.gov/ElibMain/scheduleSummary.do;jsessionid=B480E24EFA8A9841BB2554196227148F.prd2pweb?scheduleNumber=65+II+C" TargetMode="External"/><Relationship Id="rId27" Type="http://schemas.openxmlformats.org/officeDocument/2006/relationships/hyperlink" Target="http://www.gsaelibrary.gsa.gov/ElibMain/scheduleSummary.do;jsessionid=B480E24EFA8A9841BB2554196227148F.prd2pweb?scheduleNumber=66+III" TargetMode="External"/><Relationship Id="rId30" Type="http://schemas.openxmlformats.org/officeDocument/2006/relationships/hyperlink" Target="http://www.gsaelibrary.gsa.gov/ElibMain/scheduleSummary.do;jsessionid=B480E24EFA8A9841BB2554196227148F.prd2pweb?scheduleNumber=71" TargetMode="External"/><Relationship Id="rId35" Type="http://schemas.openxmlformats.org/officeDocument/2006/relationships/hyperlink" Target="http://www.gsaelibrary.gsa.gov/ElibMain/scheduleSummary.do;jsessionid=B480E24EFA8A9841BB2554196227148F.prd2pweb?scheduleNumber=738+II" TargetMode="External"/><Relationship Id="rId43" Type="http://schemas.openxmlformats.org/officeDocument/2006/relationships/hyperlink" Target="http://www.gsaelibrary.gsa.gov/ElibMain/scheduleSummary.do;jsessionid=B480E24EFA8A9841BB2554196227148F.prd2pweb?scheduleNumber=871" TargetMode="External"/><Relationship Id="rId48"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JL1082"/>
  <sheetViews>
    <sheetView tabSelected="1" workbookViewId="0">
      <selection activeCell="A2" sqref="A2"/>
    </sheetView>
  </sheetViews>
  <sheetFormatPr defaultColWidth="9.140625" defaultRowHeight="12.75" customHeight="1"/>
  <cols>
    <col min="1" max="1" width="17.85546875" style="29" customWidth="1"/>
    <col min="2" max="2" width="19.85546875" style="29" customWidth="1"/>
    <col min="3" max="3" width="18" style="29" customWidth="1"/>
    <col min="4" max="4" width="24.42578125" style="29" customWidth="1"/>
    <col min="5" max="5" width="27.28515625" style="29" customWidth="1"/>
    <col min="6" max="6" width="20.28515625" style="29" customWidth="1"/>
    <col min="7" max="7" width="13.85546875" style="29" customWidth="1"/>
    <col min="8" max="8" width="15.28515625" style="29" customWidth="1"/>
    <col min="9" max="9" width="23" style="29" customWidth="1"/>
    <col min="10" max="10" width="24.7109375" style="29" customWidth="1"/>
    <col min="11" max="11" width="23.42578125" style="29" customWidth="1"/>
    <col min="12" max="12" width="27.140625" style="29" customWidth="1"/>
    <col min="13" max="13" width="24.28515625" style="37" customWidth="1"/>
    <col min="14" max="14" width="24.5703125" style="37" customWidth="1"/>
    <col min="15" max="15" width="16.85546875" style="29" customWidth="1"/>
    <col min="16" max="16" width="20.85546875" style="29" customWidth="1"/>
    <col min="17" max="17" width="17.42578125" style="29" customWidth="1"/>
    <col min="18" max="18" width="14.7109375" style="29" customWidth="1"/>
    <col min="19" max="19" width="14.7109375" style="36" customWidth="1"/>
    <col min="20" max="21" width="19.140625" style="183" customWidth="1"/>
    <col min="22" max="22" width="30.85546875" style="29" customWidth="1"/>
    <col min="23" max="23" width="36" style="29" customWidth="1"/>
    <col min="24" max="26" width="18.140625" style="29" customWidth="1"/>
    <col min="27" max="27" width="39.140625" style="29" customWidth="1"/>
    <col min="28" max="30" width="9.140625" style="29"/>
    <col min="31" max="272" width="9.140625" style="59"/>
    <col min="273" max="16384" width="9.140625" style="29"/>
  </cols>
  <sheetData>
    <row r="1" spans="1:272" s="127" customFormat="1" ht="20.100000000000001" customHeight="1">
      <c r="A1" s="126" t="s">
        <v>3343</v>
      </c>
      <c r="M1" s="128"/>
      <c r="N1" s="128"/>
      <c r="S1" s="160"/>
      <c r="T1" s="181"/>
      <c r="U1" s="181"/>
      <c r="AE1" s="193"/>
      <c r="AF1" s="193"/>
      <c r="AG1" s="193"/>
      <c r="AH1" s="193"/>
      <c r="AI1" s="193"/>
      <c r="AJ1" s="193"/>
      <c r="AK1" s="193"/>
      <c r="AL1" s="193"/>
      <c r="AM1" s="193"/>
      <c r="AN1" s="193"/>
      <c r="AO1" s="193"/>
      <c r="AP1" s="193"/>
      <c r="AQ1" s="193"/>
      <c r="AR1" s="193"/>
      <c r="AS1" s="193"/>
      <c r="AT1" s="193"/>
      <c r="AU1" s="193"/>
      <c r="AV1" s="193"/>
      <c r="AW1" s="193"/>
      <c r="AX1" s="193"/>
      <c r="AY1" s="193"/>
      <c r="AZ1" s="193"/>
      <c r="BA1" s="193"/>
      <c r="BB1" s="193"/>
      <c r="BC1" s="193"/>
      <c r="BD1" s="193"/>
      <c r="BE1" s="193"/>
      <c r="BF1" s="193"/>
      <c r="BG1" s="193"/>
      <c r="BH1" s="193"/>
      <c r="BI1" s="193"/>
      <c r="BJ1" s="193"/>
      <c r="BK1" s="193"/>
      <c r="BL1" s="193"/>
      <c r="BM1" s="193"/>
      <c r="BN1" s="193"/>
      <c r="BO1" s="193"/>
      <c r="BP1" s="193"/>
      <c r="BQ1" s="193"/>
      <c r="BR1" s="193"/>
      <c r="BS1" s="193"/>
      <c r="BT1" s="193"/>
      <c r="BU1" s="193"/>
      <c r="BV1" s="193"/>
      <c r="BW1" s="193"/>
      <c r="BX1" s="193"/>
      <c r="BY1" s="193"/>
      <c r="BZ1" s="193"/>
      <c r="CA1" s="193"/>
      <c r="CB1" s="193"/>
      <c r="CC1" s="193"/>
      <c r="CD1" s="193"/>
      <c r="CE1" s="193"/>
      <c r="CF1" s="193"/>
      <c r="CG1" s="193"/>
      <c r="CH1" s="193"/>
      <c r="CI1" s="193"/>
      <c r="CJ1" s="193"/>
      <c r="CK1" s="193"/>
      <c r="CL1" s="193"/>
      <c r="CM1" s="193"/>
      <c r="CN1" s="193"/>
      <c r="CO1" s="193"/>
      <c r="CP1" s="193"/>
      <c r="CQ1" s="193"/>
      <c r="CR1" s="193"/>
      <c r="CS1" s="193"/>
      <c r="CT1" s="193"/>
      <c r="CU1" s="193"/>
      <c r="CV1" s="193"/>
      <c r="CW1" s="193"/>
      <c r="CX1" s="193"/>
      <c r="CY1" s="193"/>
      <c r="CZ1" s="193"/>
      <c r="DA1" s="193"/>
      <c r="DB1" s="193"/>
      <c r="DC1" s="193"/>
      <c r="DD1" s="193"/>
      <c r="DE1" s="193"/>
      <c r="DF1" s="193"/>
      <c r="DG1" s="193"/>
      <c r="DH1" s="193"/>
      <c r="DI1" s="193"/>
      <c r="DJ1" s="193"/>
      <c r="DK1" s="193"/>
      <c r="DL1" s="193"/>
      <c r="DM1" s="193"/>
      <c r="DN1" s="193"/>
      <c r="DO1" s="193"/>
      <c r="DP1" s="193"/>
      <c r="DQ1" s="193"/>
      <c r="DR1" s="193"/>
      <c r="DS1" s="193"/>
      <c r="DT1" s="193"/>
      <c r="DU1" s="193"/>
      <c r="DV1" s="193"/>
      <c r="DW1" s="193"/>
      <c r="DX1" s="193"/>
      <c r="DY1" s="193"/>
      <c r="DZ1" s="193"/>
      <c r="EA1" s="193"/>
      <c r="EB1" s="193"/>
      <c r="EC1" s="193"/>
      <c r="ED1" s="193"/>
      <c r="EE1" s="193"/>
      <c r="EF1" s="193"/>
      <c r="EG1" s="193"/>
      <c r="EH1" s="193"/>
      <c r="EI1" s="193"/>
      <c r="EJ1" s="193"/>
      <c r="EK1" s="193"/>
      <c r="EL1" s="193"/>
      <c r="EM1" s="193"/>
      <c r="EN1" s="193"/>
      <c r="EO1" s="193"/>
      <c r="EP1" s="193"/>
      <c r="EQ1" s="193"/>
      <c r="ER1" s="193"/>
      <c r="ES1" s="193"/>
      <c r="ET1" s="193"/>
      <c r="EU1" s="193"/>
      <c r="EV1" s="193"/>
      <c r="EW1" s="193"/>
      <c r="EX1" s="193"/>
      <c r="EY1" s="193"/>
      <c r="EZ1" s="193"/>
      <c r="FA1" s="193"/>
      <c r="FB1" s="193"/>
      <c r="FC1" s="193"/>
      <c r="FD1" s="193"/>
      <c r="FE1" s="193"/>
      <c r="FF1" s="193"/>
      <c r="FG1" s="193"/>
      <c r="FH1" s="193"/>
      <c r="FI1" s="193"/>
      <c r="FJ1" s="193"/>
      <c r="FK1" s="193"/>
      <c r="FL1" s="193"/>
      <c r="FM1" s="193"/>
      <c r="FN1" s="193"/>
      <c r="FO1" s="193"/>
      <c r="FP1" s="193"/>
      <c r="FQ1" s="193"/>
      <c r="FR1" s="193"/>
      <c r="FS1" s="193"/>
      <c r="FT1" s="193"/>
      <c r="FU1" s="193"/>
      <c r="FV1" s="193"/>
      <c r="FW1" s="193"/>
      <c r="FX1" s="193"/>
      <c r="FY1" s="193"/>
      <c r="FZ1" s="193"/>
      <c r="GA1" s="193"/>
      <c r="GB1" s="193"/>
      <c r="GC1" s="193"/>
      <c r="GD1" s="193"/>
      <c r="GE1" s="193"/>
      <c r="GF1" s="193"/>
      <c r="GG1" s="193"/>
      <c r="GH1" s="193"/>
      <c r="GI1" s="193"/>
      <c r="GJ1" s="193"/>
      <c r="GK1" s="193"/>
      <c r="GL1" s="193"/>
      <c r="GM1" s="193"/>
      <c r="GN1" s="193"/>
      <c r="GO1" s="193"/>
      <c r="GP1" s="193"/>
      <c r="GQ1" s="193"/>
      <c r="GR1" s="193"/>
      <c r="GS1" s="193"/>
      <c r="GT1" s="193"/>
      <c r="GU1" s="193"/>
      <c r="GV1" s="193"/>
      <c r="GW1" s="193"/>
      <c r="GX1" s="193"/>
      <c r="GY1" s="193"/>
      <c r="GZ1" s="193"/>
      <c r="HA1" s="193"/>
      <c r="HB1" s="193"/>
      <c r="HC1" s="193"/>
      <c r="HD1" s="193"/>
      <c r="HE1" s="193"/>
      <c r="HF1" s="193"/>
      <c r="HG1" s="193"/>
      <c r="HH1" s="193"/>
      <c r="HI1" s="193"/>
      <c r="HJ1" s="193"/>
      <c r="HK1" s="193"/>
      <c r="HL1" s="193"/>
      <c r="HM1" s="193"/>
      <c r="HN1" s="193"/>
      <c r="HO1" s="193"/>
      <c r="HP1" s="193"/>
      <c r="HQ1" s="193"/>
      <c r="HR1" s="193"/>
      <c r="HS1" s="193"/>
      <c r="HT1" s="193"/>
      <c r="HU1" s="193"/>
      <c r="HV1" s="193"/>
      <c r="HW1" s="193"/>
      <c r="HX1" s="193"/>
      <c r="HY1" s="193"/>
      <c r="HZ1" s="193"/>
      <c r="IA1" s="193"/>
      <c r="IB1" s="193"/>
      <c r="IC1" s="193"/>
      <c r="ID1" s="193"/>
      <c r="IE1" s="193"/>
      <c r="IF1" s="193"/>
      <c r="IG1" s="193"/>
      <c r="IH1" s="193"/>
      <c r="II1" s="193"/>
      <c r="IJ1" s="193"/>
      <c r="IK1" s="193"/>
      <c r="IL1" s="193"/>
      <c r="IM1" s="193"/>
      <c r="IN1" s="193"/>
      <c r="IO1" s="193"/>
      <c r="IP1" s="193"/>
      <c r="IQ1" s="193"/>
      <c r="IR1" s="193"/>
      <c r="IS1" s="193"/>
      <c r="IT1" s="193"/>
      <c r="IU1" s="193"/>
      <c r="IV1" s="193"/>
      <c r="IW1" s="193"/>
      <c r="IX1" s="193"/>
      <c r="IY1" s="193"/>
      <c r="IZ1" s="193"/>
      <c r="JA1" s="193"/>
      <c r="JB1" s="193"/>
      <c r="JC1" s="193"/>
      <c r="JD1" s="193"/>
      <c r="JE1" s="193"/>
      <c r="JF1" s="193"/>
      <c r="JG1" s="193"/>
      <c r="JH1" s="193"/>
      <c r="JI1" s="193"/>
      <c r="JJ1" s="193"/>
      <c r="JK1" s="193"/>
      <c r="JL1" s="193"/>
    </row>
    <row r="2" spans="1:272" ht="12.75" customHeight="1">
      <c r="H2" s="59"/>
      <c r="I2" s="59"/>
      <c r="K2" s="59"/>
      <c r="Q2" s="59"/>
      <c r="S2" s="162"/>
      <c r="T2" s="182"/>
      <c r="W2" s="59"/>
    </row>
    <row r="3" spans="1:272" ht="38.25" hidden="1">
      <c r="A3" s="36" t="s">
        <v>27</v>
      </c>
      <c r="B3" s="36" t="s">
        <v>28</v>
      </c>
      <c r="C3" s="29" t="s">
        <v>29</v>
      </c>
      <c r="E3" s="29" t="s">
        <v>30</v>
      </c>
      <c r="G3" s="29" t="s">
        <v>31</v>
      </c>
      <c r="I3" s="29" t="s">
        <v>32</v>
      </c>
      <c r="J3" s="29" t="s">
        <v>33</v>
      </c>
      <c r="K3" s="29" t="s">
        <v>34</v>
      </c>
      <c r="R3" s="29" t="s">
        <v>35</v>
      </c>
      <c r="S3" s="29"/>
      <c r="W3" s="29" t="s">
        <v>36</v>
      </c>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29"/>
      <c r="IV3" s="29"/>
      <c r="IW3" s="29"/>
      <c r="IX3" s="29"/>
      <c r="IY3" s="29"/>
      <c r="IZ3" s="29"/>
      <c r="JA3" s="29"/>
      <c r="JB3" s="29"/>
      <c r="JC3" s="29"/>
      <c r="JD3" s="29"/>
      <c r="JE3" s="29"/>
      <c r="JF3" s="29"/>
      <c r="JG3" s="29"/>
      <c r="JH3" s="29"/>
      <c r="JI3" s="29"/>
      <c r="JJ3" s="29"/>
      <c r="JK3" s="29"/>
      <c r="JL3" s="29"/>
    </row>
    <row r="4" spans="1:272" ht="25.5" hidden="1">
      <c r="A4" s="36" t="s">
        <v>37</v>
      </c>
      <c r="B4" s="36" t="s">
        <v>38</v>
      </c>
      <c r="C4" s="29" t="s">
        <v>39</v>
      </c>
      <c r="E4" s="29" t="s">
        <v>40</v>
      </c>
      <c r="G4" s="29" t="s">
        <v>41</v>
      </c>
      <c r="I4" s="29" t="s">
        <v>42</v>
      </c>
      <c r="J4" s="29" t="s">
        <v>43</v>
      </c>
      <c r="K4" s="29" t="s">
        <v>44</v>
      </c>
      <c r="R4" s="29" t="s">
        <v>45</v>
      </c>
      <c r="S4" s="29"/>
      <c r="W4" s="29" t="s">
        <v>46</v>
      </c>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29"/>
      <c r="IV4" s="29"/>
      <c r="IW4" s="29"/>
      <c r="IX4" s="29"/>
      <c r="IY4" s="29"/>
      <c r="IZ4" s="29"/>
      <c r="JA4" s="29"/>
      <c r="JB4" s="29"/>
      <c r="JC4" s="29"/>
      <c r="JD4" s="29"/>
      <c r="JE4" s="29"/>
      <c r="JF4" s="29"/>
      <c r="JG4" s="29"/>
      <c r="JH4" s="29"/>
      <c r="JI4" s="29"/>
      <c r="JJ4" s="29"/>
      <c r="JK4" s="29"/>
      <c r="JL4" s="29"/>
    </row>
    <row r="5" spans="1:272" ht="38.25" hidden="1">
      <c r="A5" s="36" t="s">
        <v>47</v>
      </c>
      <c r="B5" s="36" t="s">
        <v>48</v>
      </c>
      <c r="E5" s="29" t="s">
        <v>49</v>
      </c>
      <c r="G5" s="29" t="s">
        <v>50</v>
      </c>
      <c r="I5" s="29" t="s">
        <v>51</v>
      </c>
      <c r="J5" s="29" t="s">
        <v>52</v>
      </c>
      <c r="K5" s="29" t="s">
        <v>53</v>
      </c>
      <c r="S5" s="29"/>
      <c r="W5" s="29" t="s">
        <v>54</v>
      </c>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c r="IW5" s="29"/>
      <c r="IX5" s="29"/>
      <c r="IY5" s="29"/>
      <c r="IZ5" s="29"/>
      <c r="JA5" s="29"/>
      <c r="JB5" s="29"/>
      <c r="JC5" s="29"/>
      <c r="JD5" s="29"/>
      <c r="JE5" s="29"/>
      <c r="JF5" s="29"/>
      <c r="JG5" s="29"/>
      <c r="JH5" s="29"/>
      <c r="JI5" s="29"/>
      <c r="JJ5" s="29"/>
      <c r="JK5" s="29"/>
      <c r="JL5" s="29"/>
    </row>
    <row r="6" spans="1:272" ht="38.25" hidden="1">
      <c r="A6" s="36" t="s">
        <v>55</v>
      </c>
      <c r="B6" s="36" t="s">
        <v>56</v>
      </c>
      <c r="E6" s="29" t="s">
        <v>57</v>
      </c>
      <c r="G6" s="29" t="s">
        <v>58</v>
      </c>
      <c r="I6" s="29" t="s">
        <v>59</v>
      </c>
      <c r="J6" s="29" t="s">
        <v>60</v>
      </c>
      <c r="K6" s="29" t="s">
        <v>61</v>
      </c>
      <c r="S6" s="29"/>
      <c r="W6" s="29" t="s">
        <v>62</v>
      </c>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c r="IW6" s="29"/>
      <c r="IX6" s="29"/>
      <c r="IY6" s="29"/>
      <c r="IZ6" s="29"/>
      <c r="JA6" s="29"/>
      <c r="JB6" s="29"/>
      <c r="JC6" s="29"/>
      <c r="JD6" s="29"/>
      <c r="JE6" s="29"/>
      <c r="JF6" s="29"/>
      <c r="JG6" s="29"/>
      <c r="JH6" s="29"/>
      <c r="JI6" s="29"/>
      <c r="JJ6" s="29"/>
      <c r="JK6" s="29"/>
      <c r="JL6" s="29"/>
    </row>
    <row r="7" spans="1:272" ht="25.5" hidden="1">
      <c r="A7" s="36" t="s">
        <v>63</v>
      </c>
      <c r="B7" s="36" t="s">
        <v>64</v>
      </c>
      <c r="E7" s="29" t="s">
        <v>65</v>
      </c>
      <c r="G7" s="29" t="s">
        <v>66</v>
      </c>
      <c r="I7" s="29" t="s">
        <v>67</v>
      </c>
      <c r="J7" s="29" t="s">
        <v>68</v>
      </c>
      <c r="K7" s="29" t="s">
        <v>69</v>
      </c>
      <c r="S7" s="29"/>
      <c r="W7" s="29" t="s">
        <v>70</v>
      </c>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29"/>
      <c r="IV7" s="29"/>
      <c r="IW7" s="29"/>
      <c r="IX7" s="29"/>
      <c r="IY7" s="29"/>
      <c r="IZ7" s="29"/>
      <c r="JA7" s="29"/>
      <c r="JB7" s="29"/>
      <c r="JC7" s="29"/>
      <c r="JD7" s="29"/>
      <c r="JE7" s="29"/>
      <c r="JF7" s="29"/>
      <c r="JG7" s="29"/>
      <c r="JH7" s="29"/>
      <c r="JI7" s="29"/>
      <c r="JJ7" s="29"/>
      <c r="JK7" s="29"/>
      <c r="JL7" s="29"/>
    </row>
    <row r="8" spans="1:272" ht="25.5" hidden="1">
      <c r="A8" s="36" t="s">
        <v>71</v>
      </c>
      <c r="B8" s="36" t="s">
        <v>72</v>
      </c>
      <c r="C8" s="29" t="s">
        <v>73</v>
      </c>
      <c r="E8" s="29" t="s">
        <v>74</v>
      </c>
      <c r="G8" s="29" t="s">
        <v>75</v>
      </c>
      <c r="I8" s="29" t="s">
        <v>76</v>
      </c>
      <c r="J8" s="29" t="s">
        <v>77</v>
      </c>
      <c r="K8" s="29" t="s">
        <v>78</v>
      </c>
      <c r="O8" s="29" t="s">
        <v>79</v>
      </c>
      <c r="R8" s="29" t="s">
        <v>80</v>
      </c>
      <c r="S8" s="36">
        <v>2014</v>
      </c>
      <c r="W8" s="29" t="s">
        <v>81</v>
      </c>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29"/>
      <c r="IV8" s="29"/>
      <c r="IW8" s="29"/>
      <c r="IX8" s="29"/>
      <c r="IY8" s="29"/>
      <c r="IZ8" s="29"/>
      <c r="JA8" s="29"/>
      <c r="JB8" s="29"/>
      <c r="JC8" s="29"/>
      <c r="JD8" s="29"/>
      <c r="JE8" s="29"/>
      <c r="JF8" s="29"/>
      <c r="JG8" s="29"/>
      <c r="JH8" s="29"/>
      <c r="JI8" s="29"/>
      <c r="JJ8" s="29"/>
      <c r="JK8" s="29"/>
      <c r="JL8" s="29"/>
    </row>
    <row r="9" spans="1:272" ht="25.5" hidden="1">
      <c r="A9" s="36" t="s">
        <v>82</v>
      </c>
      <c r="E9" s="29" t="s">
        <v>83</v>
      </c>
      <c r="G9" s="29" t="s">
        <v>84</v>
      </c>
      <c r="J9" s="29" t="s">
        <v>85</v>
      </c>
      <c r="S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29"/>
      <c r="IV9" s="29"/>
      <c r="IW9" s="29"/>
      <c r="IX9" s="29"/>
      <c r="IY9" s="29"/>
      <c r="IZ9" s="29"/>
      <c r="JA9" s="29"/>
      <c r="JB9" s="29"/>
      <c r="JC9" s="29"/>
      <c r="JD9" s="29"/>
      <c r="JE9" s="29"/>
      <c r="JF9" s="29"/>
      <c r="JG9" s="29"/>
      <c r="JH9" s="29"/>
      <c r="JI9" s="29"/>
      <c r="JJ9" s="29"/>
      <c r="JK9" s="29"/>
      <c r="JL9" s="29"/>
    </row>
    <row r="10" spans="1:272" ht="38.25" hidden="1">
      <c r="A10" s="36" t="s">
        <v>86</v>
      </c>
      <c r="B10" s="36" t="s">
        <v>87</v>
      </c>
      <c r="E10" s="29" t="s">
        <v>88</v>
      </c>
      <c r="G10" s="29" t="s">
        <v>89</v>
      </c>
      <c r="J10" s="29" t="s">
        <v>90</v>
      </c>
      <c r="K10" s="29" t="s">
        <v>91</v>
      </c>
      <c r="S10" s="29"/>
      <c r="W10" s="29" t="s">
        <v>92</v>
      </c>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29"/>
      <c r="IV10" s="29"/>
      <c r="IW10" s="29"/>
      <c r="IX10" s="29"/>
      <c r="IY10" s="29"/>
      <c r="IZ10" s="29"/>
      <c r="JA10" s="29"/>
      <c r="JB10" s="29"/>
      <c r="JC10" s="29"/>
      <c r="JD10" s="29"/>
      <c r="JE10" s="29"/>
      <c r="JF10" s="29"/>
      <c r="JG10" s="29"/>
      <c r="JH10" s="29"/>
      <c r="JI10" s="29"/>
      <c r="JJ10" s="29"/>
      <c r="JK10" s="29"/>
      <c r="JL10" s="29"/>
    </row>
    <row r="11" spans="1:272" ht="38.25" hidden="1">
      <c r="A11" s="36" t="s">
        <v>93</v>
      </c>
      <c r="B11" s="36" t="s">
        <v>94</v>
      </c>
      <c r="C11" s="29" t="s">
        <v>95</v>
      </c>
      <c r="E11" s="29" t="s">
        <v>96</v>
      </c>
      <c r="G11" s="29" t="s">
        <v>97</v>
      </c>
      <c r="I11" s="29" t="s">
        <v>98</v>
      </c>
      <c r="J11" s="29" t="s">
        <v>61</v>
      </c>
      <c r="K11" s="29" t="s">
        <v>99</v>
      </c>
      <c r="O11" s="29" t="s">
        <v>45</v>
      </c>
      <c r="R11" s="29" t="s">
        <v>100</v>
      </c>
      <c r="S11" s="29"/>
      <c r="W11" s="29" t="s">
        <v>101</v>
      </c>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29"/>
      <c r="IV11" s="29"/>
      <c r="IW11" s="29"/>
      <c r="IX11" s="29"/>
      <c r="IY11" s="29"/>
      <c r="IZ11" s="29"/>
      <c r="JA11" s="29"/>
      <c r="JB11" s="29"/>
      <c r="JC11" s="29"/>
      <c r="JD11" s="29"/>
      <c r="JE11" s="29"/>
      <c r="JF11" s="29"/>
      <c r="JG11" s="29"/>
      <c r="JH11" s="29"/>
      <c r="JI11" s="29"/>
      <c r="JJ11" s="29"/>
      <c r="JK11" s="29"/>
      <c r="JL11" s="29"/>
    </row>
    <row r="12" spans="1:272" ht="38.25" hidden="1">
      <c r="A12" s="36" t="s">
        <v>102</v>
      </c>
      <c r="B12" s="36" t="s">
        <v>103</v>
      </c>
      <c r="E12" s="29" t="s">
        <v>104</v>
      </c>
      <c r="G12" s="29" t="s">
        <v>105</v>
      </c>
      <c r="J12" s="29" t="s">
        <v>106</v>
      </c>
      <c r="K12" s="29" t="s">
        <v>45</v>
      </c>
      <c r="S12" s="29"/>
      <c r="W12" s="29" t="s">
        <v>107</v>
      </c>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29"/>
      <c r="IV12" s="29"/>
      <c r="IW12" s="29"/>
      <c r="IX12" s="29"/>
      <c r="IY12" s="29"/>
      <c r="IZ12" s="29"/>
      <c r="JA12" s="29"/>
      <c r="JB12" s="29"/>
      <c r="JC12" s="29"/>
      <c r="JD12" s="29"/>
      <c r="JE12" s="29"/>
      <c r="JF12" s="29"/>
      <c r="JG12" s="29"/>
      <c r="JH12" s="29"/>
      <c r="JI12" s="29"/>
      <c r="JJ12" s="29"/>
      <c r="JK12" s="29"/>
      <c r="JL12" s="29"/>
    </row>
    <row r="13" spans="1:272" ht="25.5" hidden="1">
      <c r="A13" s="36" t="s">
        <v>108</v>
      </c>
      <c r="B13" s="36" t="s">
        <v>109</v>
      </c>
      <c r="E13" s="29" t="s">
        <v>110</v>
      </c>
      <c r="G13" s="29" t="s">
        <v>111</v>
      </c>
      <c r="J13" s="29" t="s">
        <v>112</v>
      </c>
      <c r="K13" s="29" t="s">
        <v>113</v>
      </c>
      <c r="S13" s="29"/>
      <c r="W13" s="29" t="s">
        <v>114</v>
      </c>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29"/>
      <c r="IV13" s="29"/>
      <c r="IW13" s="29"/>
      <c r="IX13" s="29"/>
      <c r="IY13" s="29"/>
      <c r="IZ13" s="29"/>
      <c r="JA13" s="29"/>
      <c r="JB13" s="29"/>
      <c r="JC13" s="29"/>
      <c r="JD13" s="29"/>
      <c r="JE13" s="29"/>
      <c r="JF13" s="29"/>
      <c r="JG13" s="29"/>
      <c r="JH13" s="29"/>
      <c r="JI13" s="29"/>
      <c r="JJ13" s="29"/>
      <c r="JK13" s="29"/>
      <c r="JL13" s="29"/>
    </row>
    <row r="14" spans="1:272" ht="51" hidden="1">
      <c r="A14" s="36" t="s">
        <v>115</v>
      </c>
      <c r="B14" s="36" t="s">
        <v>116</v>
      </c>
      <c r="E14" s="29" t="s">
        <v>117</v>
      </c>
      <c r="G14" s="29" t="s">
        <v>118</v>
      </c>
      <c r="J14" s="29" t="s">
        <v>119</v>
      </c>
      <c r="S14" s="29"/>
      <c r="W14" s="29" t="s">
        <v>120</v>
      </c>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29"/>
      <c r="IV14" s="29"/>
      <c r="IW14" s="29"/>
      <c r="IX14" s="29"/>
      <c r="IY14" s="29"/>
      <c r="IZ14" s="29"/>
      <c r="JA14" s="29"/>
      <c r="JB14" s="29"/>
      <c r="JC14" s="29"/>
      <c r="JD14" s="29"/>
      <c r="JE14" s="29"/>
      <c r="JF14" s="29"/>
      <c r="JG14" s="29"/>
      <c r="JH14" s="29"/>
      <c r="JI14" s="29"/>
      <c r="JJ14" s="29"/>
      <c r="JK14" s="29"/>
      <c r="JL14" s="29"/>
    </row>
    <row r="15" spans="1:272" ht="51" hidden="1">
      <c r="A15" s="36" t="s">
        <v>121</v>
      </c>
      <c r="E15" s="29" t="s">
        <v>122</v>
      </c>
      <c r="G15" s="29" t="s">
        <v>123</v>
      </c>
      <c r="J15" s="29" t="s">
        <v>124</v>
      </c>
      <c r="S15" s="29"/>
      <c r="W15" s="29" t="s">
        <v>125</v>
      </c>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29"/>
      <c r="IV15" s="29"/>
      <c r="IW15" s="29"/>
      <c r="IX15" s="29"/>
      <c r="IY15" s="29"/>
      <c r="IZ15" s="29"/>
      <c r="JA15" s="29"/>
      <c r="JB15" s="29"/>
      <c r="JC15" s="29"/>
      <c r="JD15" s="29"/>
      <c r="JE15" s="29"/>
      <c r="JF15" s="29"/>
      <c r="JG15" s="29"/>
      <c r="JH15" s="29"/>
      <c r="JI15" s="29"/>
      <c r="JJ15" s="29"/>
      <c r="JK15" s="29"/>
      <c r="JL15" s="29"/>
    </row>
    <row r="16" spans="1:272" ht="25.5" hidden="1">
      <c r="A16" s="36" t="s">
        <v>126</v>
      </c>
      <c r="E16" s="29" t="s">
        <v>127</v>
      </c>
      <c r="G16" s="29" t="s">
        <v>128</v>
      </c>
      <c r="J16" s="29" t="s">
        <v>129</v>
      </c>
      <c r="S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29"/>
      <c r="IV16" s="29"/>
      <c r="IW16" s="29"/>
      <c r="IX16" s="29"/>
      <c r="IY16" s="29"/>
      <c r="IZ16" s="29"/>
      <c r="JA16" s="29"/>
      <c r="JB16" s="29"/>
      <c r="JC16" s="29"/>
      <c r="JD16" s="29"/>
      <c r="JE16" s="29"/>
      <c r="JF16" s="29"/>
      <c r="JG16" s="29"/>
      <c r="JH16" s="29"/>
      <c r="JI16" s="29"/>
      <c r="JJ16" s="29"/>
      <c r="JK16" s="29"/>
      <c r="JL16" s="29"/>
    </row>
    <row r="17" spans="1:272" ht="38.25" hidden="1">
      <c r="A17" s="36" t="s">
        <v>130</v>
      </c>
      <c r="E17" s="29" t="s">
        <v>131</v>
      </c>
      <c r="G17" s="29" t="s">
        <v>132</v>
      </c>
      <c r="J17" s="29" t="s">
        <v>133</v>
      </c>
      <c r="S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c r="IS17" s="29"/>
      <c r="IT17" s="29"/>
      <c r="IU17" s="29"/>
      <c r="IV17" s="29"/>
      <c r="IW17" s="29"/>
      <c r="IX17" s="29"/>
      <c r="IY17" s="29"/>
      <c r="IZ17" s="29"/>
      <c r="JA17" s="29"/>
      <c r="JB17" s="29"/>
      <c r="JC17" s="29"/>
      <c r="JD17" s="29"/>
      <c r="JE17" s="29"/>
      <c r="JF17" s="29"/>
      <c r="JG17" s="29"/>
      <c r="JH17" s="29"/>
      <c r="JI17" s="29"/>
      <c r="JJ17" s="29"/>
      <c r="JK17" s="29"/>
      <c r="JL17" s="29"/>
    </row>
    <row r="18" spans="1:272" ht="38.25" hidden="1">
      <c r="A18" s="36" t="s">
        <v>134</v>
      </c>
      <c r="E18" s="29" t="s">
        <v>135</v>
      </c>
      <c r="G18" s="29" t="s">
        <v>136</v>
      </c>
      <c r="J18" s="29" t="s">
        <v>137</v>
      </c>
      <c r="S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c r="IS18" s="29"/>
      <c r="IT18" s="29"/>
      <c r="IU18" s="29"/>
      <c r="IV18" s="29"/>
      <c r="IW18" s="29"/>
      <c r="IX18" s="29"/>
      <c r="IY18" s="29"/>
      <c r="IZ18" s="29"/>
      <c r="JA18" s="29"/>
      <c r="JB18" s="29"/>
      <c r="JC18" s="29"/>
      <c r="JD18" s="29"/>
      <c r="JE18" s="29"/>
      <c r="JF18" s="29"/>
      <c r="JG18" s="29"/>
      <c r="JH18" s="29"/>
      <c r="JI18" s="29"/>
      <c r="JJ18" s="29"/>
      <c r="JK18" s="29"/>
      <c r="JL18" s="29"/>
    </row>
    <row r="19" spans="1:272" ht="38.25" hidden="1">
      <c r="A19" s="36" t="s">
        <v>138</v>
      </c>
      <c r="E19" s="29" t="s">
        <v>139</v>
      </c>
      <c r="G19" s="29" t="s">
        <v>140</v>
      </c>
      <c r="J19" s="29" t="s">
        <v>141</v>
      </c>
      <c r="S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c r="IS19" s="29"/>
      <c r="IT19" s="29"/>
      <c r="IU19" s="29"/>
      <c r="IV19" s="29"/>
      <c r="IW19" s="29"/>
      <c r="IX19" s="29"/>
      <c r="IY19" s="29"/>
      <c r="IZ19" s="29"/>
      <c r="JA19" s="29"/>
      <c r="JB19" s="29"/>
      <c r="JC19" s="29"/>
      <c r="JD19" s="29"/>
      <c r="JE19" s="29"/>
      <c r="JF19" s="29"/>
      <c r="JG19" s="29"/>
      <c r="JH19" s="29"/>
      <c r="JI19" s="29"/>
      <c r="JJ19" s="29"/>
      <c r="JK19" s="29"/>
      <c r="JL19" s="29"/>
    </row>
    <row r="20" spans="1:272" ht="25.5" hidden="1">
      <c r="A20" s="36" t="s">
        <v>142</v>
      </c>
      <c r="B20" s="36" t="s">
        <v>143</v>
      </c>
      <c r="C20" s="29" t="s">
        <v>144</v>
      </c>
      <c r="E20" s="29" t="s">
        <v>145</v>
      </c>
      <c r="G20" s="29" t="s">
        <v>146</v>
      </c>
      <c r="I20" s="29" t="s">
        <v>45</v>
      </c>
      <c r="J20" s="29" t="s">
        <v>147</v>
      </c>
      <c r="K20" s="29" t="s">
        <v>148</v>
      </c>
      <c r="O20" s="29" t="s">
        <v>149</v>
      </c>
      <c r="R20" s="29" t="s">
        <v>150</v>
      </c>
      <c r="S20" s="36">
        <v>2013</v>
      </c>
      <c r="W20" s="29" t="s">
        <v>151</v>
      </c>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29"/>
      <c r="IV20" s="29"/>
      <c r="IW20" s="29"/>
      <c r="IX20" s="29"/>
      <c r="IY20" s="29"/>
      <c r="IZ20" s="29"/>
      <c r="JA20" s="29"/>
      <c r="JB20" s="29"/>
      <c r="JC20" s="29"/>
      <c r="JD20" s="29"/>
      <c r="JE20" s="29"/>
      <c r="JF20" s="29"/>
      <c r="JG20" s="29"/>
      <c r="JH20" s="29"/>
      <c r="JI20" s="29"/>
      <c r="JJ20" s="29"/>
      <c r="JK20" s="29"/>
      <c r="JL20" s="29"/>
    </row>
    <row r="21" spans="1:272" ht="13.5" thickBot="1">
      <c r="E21" s="59"/>
      <c r="H21" s="38" t="str">
        <f>HYPERLINK("http://www.census.gov/eos/www/naics/","NAICS Search")</f>
        <v>NAICS Search</v>
      </c>
    </row>
    <row r="22" spans="1:272" ht="25.5" hidden="1">
      <c r="E22" s="29" t="s">
        <v>152</v>
      </c>
      <c r="G22" s="29" t="s">
        <v>153</v>
      </c>
      <c r="J22" s="29" t="s">
        <v>154</v>
      </c>
      <c r="S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29"/>
      <c r="IV22" s="29"/>
      <c r="IW22" s="29"/>
      <c r="IX22" s="29"/>
      <c r="IY22" s="29"/>
      <c r="IZ22" s="29"/>
      <c r="JA22" s="29"/>
      <c r="JB22" s="29"/>
      <c r="JC22" s="29"/>
      <c r="JD22" s="29"/>
      <c r="JE22" s="29"/>
      <c r="JF22" s="29"/>
      <c r="JG22" s="29"/>
      <c r="JH22" s="29"/>
      <c r="JI22" s="29"/>
      <c r="JJ22" s="29"/>
      <c r="JK22" s="29"/>
      <c r="JL22" s="29"/>
    </row>
    <row r="23" spans="1:272" ht="25.5" hidden="1">
      <c r="E23" s="29" t="s">
        <v>155</v>
      </c>
      <c r="G23" s="29" t="s">
        <v>156</v>
      </c>
      <c r="J23" s="29" t="s">
        <v>157</v>
      </c>
      <c r="S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29"/>
      <c r="IV23" s="29"/>
      <c r="IW23" s="29"/>
      <c r="IX23" s="29"/>
      <c r="IY23" s="29"/>
      <c r="IZ23" s="29"/>
      <c r="JA23" s="29"/>
      <c r="JB23" s="29"/>
      <c r="JC23" s="29"/>
      <c r="JD23" s="29"/>
      <c r="JE23" s="29"/>
      <c r="JF23" s="29"/>
      <c r="JG23" s="29"/>
      <c r="JH23" s="29"/>
      <c r="JI23" s="29"/>
      <c r="JJ23" s="29"/>
      <c r="JK23" s="29"/>
      <c r="JL23" s="29"/>
    </row>
    <row r="24" spans="1:272" hidden="1">
      <c r="E24" s="29" t="s">
        <v>158</v>
      </c>
      <c r="G24" s="29" t="s">
        <v>159</v>
      </c>
      <c r="J24" s="29" t="s">
        <v>160</v>
      </c>
      <c r="S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29"/>
      <c r="IV24" s="29"/>
      <c r="IW24" s="29"/>
      <c r="IX24" s="29"/>
      <c r="IY24" s="29"/>
      <c r="IZ24" s="29"/>
      <c r="JA24" s="29"/>
      <c r="JB24" s="29"/>
      <c r="JC24" s="29"/>
      <c r="JD24" s="29"/>
      <c r="JE24" s="29"/>
      <c r="JF24" s="29"/>
      <c r="JG24" s="29"/>
      <c r="JH24" s="29"/>
      <c r="JI24" s="29"/>
      <c r="JJ24" s="29"/>
      <c r="JK24" s="29"/>
      <c r="JL24" s="29"/>
    </row>
    <row r="25" spans="1:272" ht="25.5" hidden="1">
      <c r="E25" s="29" t="s">
        <v>161</v>
      </c>
      <c r="G25" s="29" t="s">
        <v>162</v>
      </c>
      <c r="J25" s="29" t="s">
        <v>163</v>
      </c>
      <c r="S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29"/>
      <c r="IV25" s="29"/>
      <c r="IW25" s="29"/>
      <c r="IX25" s="29"/>
      <c r="IY25" s="29"/>
      <c r="IZ25" s="29"/>
      <c r="JA25" s="29"/>
      <c r="JB25" s="29"/>
      <c r="JC25" s="29"/>
      <c r="JD25" s="29"/>
      <c r="JE25" s="29"/>
      <c r="JF25" s="29"/>
      <c r="JG25" s="29"/>
      <c r="JH25" s="29"/>
      <c r="JI25" s="29"/>
      <c r="JJ25" s="29"/>
      <c r="JK25" s="29"/>
      <c r="JL25" s="29"/>
    </row>
    <row r="26" spans="1:272" ht="25.5" hidden="1">
      <c r="E26" s="29" t="s">
        <v>164</v>
      </c>
      <c r="G26" s="29" t="s">
        <v>165</v>
      </c>
      <c r="J26" s="29" t="s">
        <v>166</v>
      </c>
      <c r="S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29"/>
      <c r="IV26" s="29"/>
      <c r="IW26" s="29"/>
      <c r="IX26" s="29"/>
      <c r="IY26" s="29"/>
      <c r="IZ26" s="29"/>
      <c r="JA26" s="29"/>
      <c r="JB26" s="29"/>
      <c r="JC26" s="29"/>
      <c r="JD26" s="29"/>
      <c r="JE26" s="29"/>
      <c r="JF26" s="29"/>
      <c r="JG26" s="29"/>
      <c r="JH26" s="29"/>
      <c r="JI26" s="29"/>
      <c r="JJ26" s="29"/>
      <c r="JK26" s="29"/>
      <c r="JL26" s="29"/>
    </row>
    <row r="27" spans="1:272" hidden="1">
      <c r="E27" s="29" t="s">
        <v>167</v>
      </c>
      <c r="G27" s="29" t="s">
        <v>168</v>
      </c>
      <c r="J27" s="29" t="s">
        <v>169</v>
      </c>
      <c r="S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c r="IS27" s="29"/>
      <c r="IT27" s="29"/>
      <c r="IU27" s="29"/>
      <c r="IV27" s="29"/>
      <c r="IW27" s="29"/>
      <c r="IX27" s="29"/>
      <c r="IY27" s="29"/>
      <c r="IZ27" s="29"/>
      <c r="JA27" s="29"/>
      <c r="JB27" s="29"/>
      <c r="JC27" s="29"/>
      <c r="JD27" s="29"/>
      <c r="JE27" s="29"/>
      <c r="JF27" s="29"/>
      <c r="JG27" s="29"/>
      <c r="JH27" s="29"/>
      <c r="JI27" s="29"/>
      <c r="JJ27" s="29"/>
      <c r="JK27" s="29"/>
      <c r="JL27" s="29"/>
    </row>
    <row r="28" spans="1:272" hidden="1">
      <c r="E28" s="29" t="s">
        <v>170</v>
      </c>
      <c r="G28" s="29" t="s">
        <v>171</v>
      </c>
      <c r="J28" s="29" t="s">
        <v>172</v>
      </c>
      <c r="S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29"/>
      <c r="IV28" s="29"/>
      <c r="IW28" s="29"/>
      <c r="IX28" s="29"/>
      <c r="IY28" s="29"/>
      <c r="IZ28" s="29"/>
      <c r="JA28" s="29"/>
      <c r="JB28" s="29"/>
      <c r="JC28" s="29"/>
      <c r="JD28" s="29"/>
      <c r="JE28" s="29"/>
      <c r="JF28" s="29"/>
      <c r="JG28" s="29"/>
      <c r="JH28" s="29"/>
      <c r="JI28" s="29"/>
      <c r="JJ28" s="29"/>
      <c r="JK28" s="29"/>
      <c r="JL28" s="29"/>
    </row>
    <row r="29" spans="1:272" hidden="1">
      <c r="E29" s="29" t="s">
        <v>173</v>
      </c>
      <c r="G29" s="29" t="s">
        <v>174</v>
      </c>
      <c r="J29" s="29" t="s">
        <v>175</v>
      </c>
      <c r="S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c r="IS29" s="29"/>
      <c r="IT29" s="29"/>
      <c r="IU29" s="29"/>
      <c r="IV29" s="29"/>
      <c r="IW29" s="29"/>
      <c r="IX29" s="29"/>
      <c r="IY29" s="29"/>
      <c r="IZ29" s="29"/>
      <c r="JA29" s="29"/>
      <c r="JB29" s="29"/>
      <c r="JC29" s="29"/>
      <c r="JD29" s="29"/>
      <c r="JE29" s="29"/>
      <c r="JF29" s="29"/>
      <c r="JG29" s="29"/>
      <c r="JH29" s="29"/>
      <c r="JI29" s="29"/>
      <c r="JJ29" s="29"/>
      <c r="JK29" s="29"/>
      <c r="JL29" s="29"/>
    </row>
    <row r="30" spans="1:272" hidden="1">
      <c r="E30" s="29" t="s">
        <v>176</v>
      </c>
      <c r="G30" s="29" t="s">
        <v>177</v>
      </c>
      <c r="S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29"/>
      <c r="IV30" s="29"/>
      <c r="IW30" s="29"/>
      <c r="IX30" s="29"/>
      <c r="IY30" s="29"/>
      <c r="IZ30" s="29"/>
      <c r="JA30" s="29"/>
      <c r="JB30" s="29"/>
      <c r="JC30" s="29"/>
      <c r="JD30" s="29"/>
      <c r="JE30" s="29"/>
      <c r="JF30" s="29"/>
      <c r="JG30" s="29"/>
      <c r="JH30" s="29"/>
      <c r="JI30" s="29"/>
      <c r="JJ30" s="29"/>
      <c r="JK30" s="29"/>
      <c r="JL30" s="29"/>
    </row>
    <row r="31" spans="1:272" hidden="1">
      <c r="E31" s="29" t="s">
        <v>178</v>
      </c>
      <c r="G31" s="29" t="s">
        <v>179</v>
      </c>
      <c r="S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c r="IS31" s="29"/>
      <c r="IT31" s="29"/>
      <c r="IU31" s="29"/>
      <c r="IV31" s="29"/>
      <c r="IW31" s="29"/>
      <c r="IX31" s="29"/>
      <c r="IY31" s="29"/>
      <c r="IZ31" s="29"/>
      <c r="JA31" s="29"/>
      <c r="JB31" s="29"/>
      <c r="JC31" s="29"/>
      <c r="JD31" s="29"/>
      <c r="JE31" s="29"/>
      <c r="JF31" s="29"/>
      <c r="JG31" s="29"/>
      <c r="JH31" s="29"/>
      <c r="JI31" s="29"/>
      <c r="JJ31" s="29"/>
      <c r="JK31" s="29"/>
      <c r="JL31" s="29"/>
    </row>
    <row r="32" spans="1:272" ht="25.5" hidden="1">
      <c r="E32" s="29" t="s">
        <v>180</v>
      </c>
      <c r="G32" s="29" t="s">
        <v>181</v>
      </c>
      <c r="S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29"/>
      <c r="IV32" s="29"/>
      <c r="IW32" s="29"/>
      <c r="IX32" s="29"/>
      <c r="IY32" s="29"/>
      <c r="IZ32" s="29"/>
      <c r="JA32" s="29"/>
      <c r="JB32" s="29"/>
      <c r="JC32" s="29"/>
      <c r="JD32" s="29"/>
      <c r="JE32" s="29"/>
      <c r="JF32" s="29"/>
      <c r="JG32" s="29"/>
      <c r="JH32" s="29"/>
      <c r="JI32" s="29"/>
      <c r="JJ32" s="29"/>
      <c r="JK32" s="29"/>
      <c r="JL32" s="29"/>
    </row>
    <row r="33" spans="5:21" s="29" customFormat="1" ht="25.5" hidden="1">
      <c r="E33" s="29" t="s">
        <v>182</v>
      </c>
      <c r="G33" s="29" t="s">
        <v>183</v>
      </c>
      <c r="M33" s="37"/>
      <c r="N33" s="37"/>
      <c r="T33" s="183"/>
      <c r="U33" s="183"/>
    </row>
    <row r="34" spans="5:21" s="29" customFormat="1" ht="25.5" hidden="1">
      <c r="E34" s="29" t="s">
        <v>184</v>
      </c>
      <c r="G34" s="29" t="s">
        <v>185</v>
      </c>
      <c r="M34" s="37"/>
      <c r="N34" s="37"/>
      <c r="T34" s="183"/>
      <c r="U34" s="183"/>
    </row>
    <row r="35" spans="5:21" s="29" customFormat="1" hidden="1">
      <c r="E35" s="29" t="s">
        <v>186</v>
      </c>
      <c r="G35" s="29" t="s">
        <v>187</v>
      </c>
      <c r="M35" s="37"/>
      <c r="N35" s="37"/>
      <c r="T35" s="183"/>
      <c r="U35" s="183"/>
    </row>
    <row r="36" spans="5:21" s="29" customFormat="1" ht="25.5" hidden="1">
      <c r="E36" s="29" t="s">
        <v>188</v>
      </c>
      <c r="G36" s="29" t="s">
        <v>189</v>
      </c>
      <c r="M36" s="37"/>
      <c r="N36" s="37"/>
      <c r="T36" s="183"/>
      <c r="U36" s="183"/>
    </row>
    <row r="37" spans="5:21" s="29" customFormat="1" hidden="1">
      <c r="E37" s="29" t="s">
        <v>190</v>
      </c>
      <c r="G37" s="29" t="s">
        <v>191</v>
      </c>
      <c r="M37" s="37"/>
      <c r="N37" s="37"/>
      <c r="T37" s="183"/>
      <c r="U37" s="183"/>
    </row>
    <row r="38" spans="5:21" s="29" customFormat="1" hidden="1">
      <c r="E38" s="29" t="s">
        <v>192</v>
      </c>
      <c r="G38" s="29" t="s">
        <v>193</v>
      </c>
      <c r="M38" s="37"/>
      <c r="N38" s="37"/>
      <c r="T38" s="183"/>
      <c r="U38" s="183"/>
    </row>
    <row r="39" spans="5:21" s="29" customFormat="1" ht="38.25" hidden="1">
      <c r="E39" s="29" t="s">
        <v>194</v>
      </c>
      <c r="G39" s="29" t="s">
        <v>195</v>
      </c>
      <c r="M39" s="37"/>
      <c r="N39" s="37"/>
      <c r="T39" s="183"/>
      <c r="U39" s="183"/>
    </row>
    <row r="40" spans="5:21" s="29" customFormat="1" hidden="1">
      <c r="E40" s="29" t="s">
        <v>196</v>
      </c>
      <c r="G40" s="29" t="s">
        <v>197</v>
      </c>
      <c r="M40" s="37"/>
      <c r="N40" s="37"/>
      <c r="T40" s="183"/>
      <c r="U40" s="183"/>
    </row>
    <row r="41" spans="5:21" s="29" customFormat="1" ht="25.5" hidden="1">
      <c r="E41" s="29" t="s">
        <v>198</v>
      </c>
      <c r="G41" s="29" t="s">
        <v>199</v>
      </c>
      <c r="M41" s="37"/>
      <c r="N41" s="37"/>
      <c r="T41" s="183"/>
      <c r="U41" s="183"/>
    </row>
    <row r="42" spans="5:21" s="29" customFormat="1" hidden="1">
      <c r="E42" s="29" t="s">
        <v>200</v>
      </c>
      <c r="G42" s="29" t="s">
        <v>201</v>
      </c>
      <c r="M42" s="37"/>
      <c r="N42" s="37"/>
      <c r="T42" s="183"/>
      <c r="U42" s="183"/>
    </row>
    <row r="43" spans="5:21" s="29" customFormat="1" ht="25.5" hidden="1">
      <c r="E43" s="29" t="s">
        <v>202</v>
      </c>
      <c r="G43" s="29" t="s">
        <v>203</v>
      </c>
      <c r="M43" s="37"/>
      <c r="N43" s="37"/>
      <c r="T43" s="183"/>
      <c r="U43" s="183"/>
    </row>
    <row r="44" spans="5:21" s="29" customFormat="1" hidden="1">
      <c r="E44" s="29" t="s">
        <v>204</v>
      </c>
      <c r="G44" s="29" t="s">
        <v>205</v>
      </c>
      <c r="M44" s="37"/>
      <c r="N44" s="37"/>
      <c r="T44" s="183"/>
      <c r="U44" s="183"/>
    </row>
    <row r="45" spans="5:21" s="29" customFormat="1" ht="25.5" hidden="1">
      <c r="E45" s="29" t="s">
        <v>206</v>
      </c>
      <c r="G45" s="29" t="s">
        <v>207</v>
      </c>
      <c r="M45" s="37"/>
      <c r="N45" s="37"/>
      <c r="T45" s="183"/>
      <c r="U45" s="183"/>
    </row>
    <row r="46" spans="5:21" s="29" customFormat="1" hidden="1">
      <c r="E46" s="29" t="s">
        <v>208</v>
      </c>
      <c r="G46" s="29" t="s">
        <v>209</v>
      </c>
      <c r="M46" s="37"/>
      <c r="N46" s="37"/>
      <c r="T46" s="183"/>
      <c r="U46" s="183"/>
    </row>
    <row r="47" spans="5:21" s="29" customFormat="1" ht="25.5" hidden="1">
      <c r="E47" s="29" t="s">
        <v>210</v>
      </c>
      <c r="G47" s="29" t="s">
        <v>211</v>
      </c>
      <c r="M47" s="37"/>
      <c r="N47" s="37"/>
      <c r="T47" s="183"/>
      <c r="U47" s="183"/>
    </row>
    <row r="48" spans="5:21" s="29" customFormat="1" hidden="1">
      <c r="E48" s="29" t="s">
        <v>212</v>
      </c>
      <c r="G48" s="29" t="s">
        <v>213</v>
      </c>
      <c r="M48" s="37"/>
      <c r="N48" s="37"/>
      <c r="T48" s="183"/>
      <c r="U48" s="183"/>
    </row>
    <row r="49" spans="5:21" s="29" customFormat="1" ht="25.5" hidden="1">
      <c r="E49" s="29" t="s">
        <v>214</v>
      </c>
      <c r="G49" s="29" t="s">
        <v>215</v>
      </c>
      <c r="M49" s="37"/>
      <c r="N49" s="37"/>
      <c r="T49" s="183"/>
      <c r="U49" s="183"/>
    </row>
    <row r="50" spans="5:21" s="29" customFormat="1" hidden="1">
      <c r="E50" s="29" t="s">
        <v>216</v>
      </c>
      <c r="G50" s="29" t="s">
        <v>217</v>
      </c>
      <c r="M50" s="37"/>
      <c r="N50" s="37"/>
      <c r="T50" s="183"/>
      <c r="U50" s="183"/>
    </row>
    <row r="51" spans="5:21" s="29" customFormat="1" ht="25.5" hidden="1">
      <c r="E51" s="29" t="s">
        <v>218</v>
      </c>
      <c r="G51" s="29" t="s">
        <v>219</v>
      </c>
      <c r="M51" s="37"/>
      <c r="N51" s="37"/>
      <c r="T51" s="183"/>
      <c r="U51" s="183"/>
    </row>
    <row r="52" spans="5:21" s="29" customFormat="1" ht="38.25" hidden="1">
      <c r="E52" s="29" t="s">
        <v>220</v>
      </c>
      <c r="G52" s="29" t="s">
        <v>221</v>
      </c>
      <c r="M52" s="37"/>
      <c r="N52" s="37"/>
      <c r="T52" s="183"/>
      <c r="U52" s="183"/>
    </row>
    <row r="53" spans="5:21" s="29" customFormat="1" ht="25.5" hidden="1">
      <c r="E53" s="29" t="s">
        <v>222</v>
      </c>
      <c r="G53" s="29" t="s">
        <v>223</v>
      </c>
      <c r="M53" s="37"/>
      <c r="N53" s="37"/>
      <c r="T53" s="183"/>
      <c r="U53" s="183"/>
    </row>
    <row r="54" spans="5:21" s="29" customFormat="1" ht="25.5" hidden="1">
      <c r="E54" s="29" t="s">
        <v>224</v>
      </c>
      <c r="G54" s="29" t="s">
        <v>225</v>
      </c>
      <c r="M54" s="37"/>
      <c r="N54" s="37"/>
      <c r="T54" s="183"/>
      <c r="U54" s="183"/>
    </row>
    <row r="55" spans="5:21" s="29" customFormat="1" ht="38.25" hidden="1">
      <c r="E55" s="29" t="s">
        <v>226</v>
      </c>
      <c r="G55" s="29" t="s">
        <v>227</v>
      </c>
      <c r="M55" s="37"/>
      <c r="N55" s="37"/>
      <c r="T55" s="183"/>
      <c r="U55" s="183"/>
    </row>
    <row r="56" spans="5:21" s="29" customFormat="1" ht="25.5" hidden="1">
      <c r="E56" s="29" t="s">
        <v>228</v>
      </c>
      <c r="G56" s="29" t="s">
        <v>229</v>
      </c>
      <c r="M56" s="37"/>
      <c r="N56" s="37"/>
      <c r="T56" s="183"/>
      <c r="U56" s="183"/>
    </row>
    <row r="57" spans="5:21" s="29" customFormat="1" hidden="1">
      <c r="E57" s="29" t="s">
        <v>230</v>
      </c>
      <c r="G57" s="29" t="s">
        <v>231</v>
      </c>
      <c r="M57" s="37"/>
      <c r="N57" s="37"/>
      <c r="T57" s="183"/>
      <c r="U57" s="183"/>
    </row>
    <row r="58" spans="5:21" s="29" customFormat="1" ht="38.25" hidden="1">
      <c r="E58" s="29" t="s">
        <v>232</v>
      </c>
      <c r="G58" s="29" t="s">
        <v>233</v>
      </c>
      <c r="M58" s="37"/>
      <c r="N58" s="37"/>
      <c r="T58" s="183"/>
      <c r="U58" s="183"/>
    </row>
    <row r="59" spans="5:21" s="29" customFormat="1" ht="25.5" hidden="1">
      <c r="E59" s="29" t="s">
        <v>234</v>
      </c>
      <c r="G59" s="29" t="s">
        <v>235</v>
      </c>
      <c r="M59" s="37"/>
      <c r="N59" s="37"/>
      <c r="T59" s="183"/>
      <c r="U59" s="183"/>
    </row>
    <row r="60" spans="5:21" s="29" customFormat="1" ht="25.5" hidden="1">
      <c r="E60" s="29" t="s">
        <v>236</v>
      </c>
      <c r="G60" s="29" t="s">
        <v>237</v>
      </c>
      <c r="M60" s="37"/>
      <c r="N60" s="37"/>
      <c r="T60" s="183"/>
      <c r="U60" s="183"/>
    </row>
    <row r="61" spans="5:21" s="29" customFormat="1" hidden="1">
      <c r="E61" s="29" t="s">
        <v>238</v>
      </c>
      <c r="G61" s="29" t="s">
        <v>239</v>
      </c>
      <c r="M61" s="37"/>
      <c r="N61" s="37"/>
      <c r="T61" s="183"/>
      <c r="U61" s="183"/>
    </row>
    <row r="62" spans="5:21" s="29" customFormat="1" hidden="1">
      <c r="E62" s="29" t="s">
        <v>240</v>
      </c>
      <c r="G62" s="29" t="s">
        <v>241</v>
      </c>
      <c r="M62" s="37"/>
      <c r="N62" s="37"/>
      <c r="T62" s="183"/>
      <c r="U62" s="183"/>
    </row>
    <row r="63" spans="5:21" s="29" customFormat="1" ht="25.5" hidden="1">
      <c r="E63" s="29" t="s">
        <v>242</v>
      </c>
      <c r="G63" s="29" t="s">
        <v>243</v>
      </c>
      <c r="M63" s="37"/>
      <c r="N63" s="37"/>
      <c r="T63" s="183"/>
      <c r="U63" s="183"/>
    </row>
    <row r="64" spans="5:21" s="29" customFormat="1" hidden="1">
      <c r="E64" s="29" t="s">
        <v>244</v>
      </c>
      <c r="G64" s="29" t="s">
        <v>245</v>
      </c>
      <c r="M64" s="37"/>
      <c r="N64" s="37"/>
      <c r="T64" s="183"/>
      <c r="U64" s="183"/>
    </row>
    <row r="65" spans="5:21" s="29" customFormat="1" hidden="1">
      <c r="E65" s="29" t="s">
        <v>246</v>
      </c>
      <c r="M65" s="37"/>
      <c r="N65" s="37"/>
      <c r="T65" s="183"/>
      <c r="U65" s="183"/>
    </row>
    <row r="66" spans="5:21" s="29" customFormat="1" hidden="1">
      <c r="E66" s="29" t="s">
        <v>247</v>
      </c>
      <c r="M66" s="37"/>
      <c r="N66" s="37"/>
      <c r="T66" s="183"/>
      <c r="U66" s="183"/>
    </row>
    <row r="67" spans="5:21" s="29" customFormat="1" ht="25.5" hidden="1">
      <c r="E67" s="29" t="s">
        <v>248</v>
      </c>
      <c r="M67" s="37"/>
      <c r="N67" s="37"/>
      <c r="T67" s="183"/>
      <c r="U67" s="183"/>
    </row>
    <row r="68" spans="5:21" s="29" customFormat="1" ht="25.5" hidden="1">
      <c r="E68" s="29" t="s">
        <v>249</v>
      </c>
      <c r="M68" s="37"/>
      <c r="N68" s="37"/>
      <c r="T68" s="183"/>
      <c r="U68" s="183"/>
    </row>
    <row r="69" spans="5:21" s="29" customFormat="1" ht="25.5" hidden="1">
      <c r="E69" s="29" t="s">
        <v>250</v>
      </c>
      <c r="M69" s="37"/>
      <c r="N69" s="37"/>
      <c r="T69" s="183"/>
      <c r="U69" s="183"/>
    </row>
    <row r="70" spans="5:21" s="29" customFormat="1" ht="25.5" hidden="1">
      <c r="E70" s="29" t="s">
        <v>251</v>
      </c>
      <c r="M70" s="37"/>
      <c r="N70" s="37"/>
      <c r="T70" s="183"/>
      <c r="U70" s="183"/>
    </row>
    <row r="71" spans="5:21" s="29" customFormat="1" ht="25.5" hidden="1">
      <c r="E71" s="29" t="s">
        <v>252</v>
      </c>
      <c r="M71" s="37"/>
      <c r="N71" s="37"/>
      <c r="T71" s="183"/>
      <c r="U71" s="183"/>
    </row>
    <row r="72" spans="5:21" s="29" customFormat="1" ht="38.25" hidden="1">
      <c r="E72" s="29" t="s">
        <v>253</v>
      </c>
      <c r="M72" s="37"/>
      <c r="N72" s="37"/>
      <c r="T72" s="183"/>
      <c r="U72" s="183"/>
    </row>
    <row r="73" spans="5:21" s="29" customFormat="1" ht="25.5" hidden="1">
      <c r="E73" s="29" t="s">
        <v>254</v>
      </c>
      <c r="M73" s="37"/>
      <c r="N73" s="37"/>
      <c r="T73" s="183"/>
      <c r="U73" s="183"/>
    </row>
    <row r="74" spans="5:21" s="29" customFormat="1" hidden="1">
      <c r="E74" s="29" t="s">
        <v>255</v>
      </c>
      <c r="M74" s="37"/>
      <c r="N74" s="37"/>
      <c r="T74" s="183"/>
      <c r="U74" s="183"/>
    </row>
    <row r="75" spans="5:21" s="29" customFormat="1" ht="25.5" hidden="1">
      <c r="E75" s="29" t="s">
        <v>256</v>
      </c>
      <c r="M75" s="37"/>
      <c r="N75" s="37"/>
      <c r="T75" s="183"/>
      <c r="U75" s="183"/>
    </row>
    <row r="76" spans="5:21" s="29" customFormat="1" ht="25.5" hidden="1">
      <c r="E76" s="29" t="s">
        <v>257</v>
      </c>
      <c r="M76" s="37"/>
      <c r="N76" s="37"/>
      <c r="T76" s="183"/>
      <c r="U76" s="183"/>
    </row>
    <row r="77" spans="5:21" s="29" customFormat="1" ht="25.5" hidden="1">
      <c r="E77" s="29" t="s">
        <v>258</v>
      </c>
      <c r="M77" s="37"/>
      <c r="N77" s="37"/>
      <c r="T77" s="183"/>
      <c r="U77" s="183"/>
    </row>
    <row r="78" spans="5:21" s="29" customFormat="1" hidden="1">
      <c r="E78" s="29" t="s">
        <v>259</v>
      </c>
      <c r="M78" s="37"/>
      <c r="N78" s="37"/>
      <c r="T78" s="183"/>
      <c r="U78" s="183"/>
    </row>
    <row r="79" spans="5:21" s="29" customFormat="1" ht="25.5" hidden="1">
      <c r="E79" s="29" t="s">
        <v>260</v>
      </c>
      <c r="M79" s="37"/>
      <c r="N79" s="37"/>
      <c r="T79" s="183"/>
      <c r="U79" s="183"/>
    </row>
    <row r="80" spans="5:21" s="29" customFormat="1" hidden="1">
      <c r="E80" s="29" t="s">
        <v>261</v>
      </c>
      <c r="M80" s="37"/>
      <c r="N80" s="37"/>
      <c r="T80" s="183"/>
      <c r="U80" s="183"/>
    </row>
    <row r="81" spans="5:21" s="29" customFormat="1" ht="25.5" hidden="1">
      <c r="E81" s="29" t="s">
        <v>262</v>
      </c>
      <c r="M81" s="37"/>
      <c r="N81" s="37"/>
      <c r="T81" s="183"/>
      <c r="U81" s="183"/>
    </row>
    <row r="82" spans="5:21" s="29" customFormat="1" hidden="1">
      <c r="E82" s="29" t="s">
        <v>263</v>
      </c>
      <c r="M82" s="37"/>
      <c r="N82" s="37"/>
      <c r="T82" s="183"/>
      <c r="U82" s="183"/>
    </row>
    <row r="83" spans="5:21" s="29" customFormat="1" ht="25.5" hidden="1">
      <c r="E83" s="29" t="s">
        <v>264</v>
      </c>
      <c r="M83" s="37"/>
      <c r="N83" s="37"/>
      <c r="T83" s="183"/>
      <c r="U83" s="183"/>
    </row>
    <row r="84" spans="5:21" s="29" customFormat="1" ht="25.5" hidden="1">
      <c r="E84" s="29" t="s">
        <v>265</v>
      </c>
      <c r="M84" s="37"/>
      <c r="N84" s="37"/>
      <c r="T84" s="183"/>
      <c r="U84" s="183"/>
    </row>
    <row r="85" spans="5:21" s="29" customFormat="1" ht="38.25" hidden="1">
      <c r="E85" s="29" t="s">
        <v>266</v>
      </c>
      <c r="M85" s="37"/>
      <c r="N85" s="37"/>
      <c r="T85" s="183"/>
      <c r="U85" s="183"/>
    </row>
    <row r="86" spans="5:21" s="29" customFormat="1" hidden="1">
      <c r="E86" s="29" t="s">
        <v>267</v>
      </c>
      <c r="M86" s="37"/>
      <c r="N86" s="37"/>
      <c r="T86" s="183"/>
      <c r="U86" s="183"/>
    </row>
    <row r="87" spans="5:21" s="29" customFormat="1" ht="25.5" hidden="1">
      <c r="E87" s="29" t="s">
        <v>268</v>
      </c>
      <c r="M87" s="37"/>
      <c r="N87" s="37"/>
      <c r="T87" s="183"/>
      <c r="U87" s="183"/>
    </row>
    <row r="88" spans="5:21" s="29" customFormat="1" ht="38.25" hidden="1">
      <c r="E88" s="29" t="s">
        <v>269</v>
      </c>
      <c r="M88" s="37"/>
      <c r="N88" s="37"/>
      <c r="T88" s="183"/>
      <c r="U88" s="183"/>
    </row>
    <row r="89" spans="5:21" s="29" customFormat="1" ht="25.5" hidden="1">
      <c r="E89" s="29" t="s">
        <v>270</v>
      </c>
      <c r="M89" s="37"/>
      <c r="N89" s="37"/>
      <c r="T89" s="183"/>
      <c r="U89" s="183"/>
    </row>
    <row r="90" spans="5:21" s="29" customFormat="1" ht="25.5" hidden="1">
      <c r="E90" s="29" t="s">
        <v>271</v>
      </c>
      <c r="M90" s="37"/>
      <c r="N90" s="37"/>
      <c r="T90" s="183"/>
      <c r="U90" s="183"/>
    </row>
    <row r="91" spans="5:21" s="29" customFormat="1" ht="25.5" hidden="1">
      <c r="E91" s="29" t="s">
        <v>272</v>
      </c>
      <c r="M91" s="37"/>
      <c r="N91" s="37"/>
      <c r="T91" s="183"/>
      <c r="U91" s="183"/>
    </row>
    <row r="92" spans="5:21" s="29" customFormat="1" ht="25.5" hidden="1">
      <c r="E92" s="29" t="s">
        <v>273</v>
      </c>
      <c r="M92" s="37"/>
      <c r="N92" s="37"/>
      <c r="T92" s="183"/>
      <c r="U92" s="183"/>
    </row>
    <row r="93" spans="5:21" s="29" customFormat="1" ht="38.25" hidden="1">
      <c r="E93" s="29" t="s">
        <v>274</v>
      </c>
      <c r="M93" s="37"/>
      <c r="N93" s="37"/>
      <c r="T93" s="183"/>
      <c r="U93" s="183"/>
    </row>
    <row r="94" spans="5:21" s="29" customFormat="1" ht="25.5" hidden="1">
      <c r="E94" s="29" t="s">
        <v>275</v>
      </c>
      <c r="M94" s="37"/>
      <c r="N94" s="37"/>
      <c r="T94" s="183"/>
      <c r="U94" s="183"/>
    </row>
    <row r="95" spans="5:21" s="29" customFormat="1" hidden="1">
      <c r="E95" s="29" t="s">
        <v>276</v>
      </c>
      <c r="M95" s="37"/>
      <c r="N95" s="37"/>
      <c r="T95" s="183"/>
      <c r="U95" s="183"/>
    </row>
    <row r="96" spans="5:21" s="29" customFormat="1" hidden="1">
      <c r="E96" s="29" t="s">
        <v>277</v>
      </c>
      <c r="M96" s="37"/>
      <c r="N96" s="37"/>
      <c r="T96" s="183"/>
      <c r="U96" s="183"/>
    </row>
    <row r="97" spans="1:272" hidden="1">
      <c r="E97" s="29" t="s">
        <v>278</v>
      </c>
      <c r="S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9"/>
      <c r="CA97" s="29"/>
      <c r="CB97" s="29"/>
      <c r="CC97" s="29"/>
      <c r="CD97" s="29"/>
      <c r="CE97" s="29"/>
      <c r="CF97" s="29"/>
      <c r="CG97" s="29"/>
      <c r="CH97" s="29"/>
      <c r="CI97" s="29"/>
      <c r="CJ97" s="29"/>
      <c r="CK97" s="29"/>
      <c r="CL97" s="29"/>
      <c r="CM97" s="29"/>
      <c r="CN97" s="29"/>
      <c r="CO97" s="29"/>
      <c r="CP97" s="29"/>
      <c r="CQ97" s="29"/>
      <c r="CR97" s="29"/>
      <c r="CS97" s="29"/>
      <c r="CT97" s="29"/>
      <c r="CU97" s="29"/>
      <c r="CV97" s="29"/>
      <c r="CW97" s="29"/>
      <c r="CX97" s="29"/>
      <c r="CY97" s="29"/>
      <c r="CZ97" s="29"/>
      <c r="DA97" s="29"/>
      <c r="DB97" s="29"/>
      <c r="DC97" s="29"/>
      <c r="DD97" s="29"/>
      <c r="DE97" s="29"/>
      <c r="DF97" s="29"/>
      <c r="DG97" s="29"/>
      <c r="DH97" s="29"/>
      <c r="DI97" s="29"/>
      <c r="DJ97" s="29"/>
      <c r="DK97" s="29"/>
      <c r="DL97" s="29"/>
      <c r="DM97" s="29"/>
      <c r="DN97" s="29"/>
      <c r="DO97" s="29"/>
      <c r="DP97" s="29"/>
      <c r="DQ97" s="29"/>
      <c r="DR97" s="29"/>
      <c r="DS97" s="29"/>
      <c r="DT97" s="29"/>
      <c r="DU97" s="29"/>
      <c r="DV97" s="29"/>
      <c r="DW97" s="29"/>
      <c r="DX97" s="29"/>
      <c r="DY97" s="29"/>
      <c r="DZ97" s="29"/>
      <c r="EA97" s="29"/>
      <c r="EB97" s="29"/>
      <c r="EC97" s="29"/>
      <c r="ED97" s="29"/>
      <c r="EE97" s="29"/>
      <c r="EF97" s="29"/>
      <c r="EG97" s="29"/>
      <c r="EH97" s="29"/>
      <c r="EI97" s="29"/>
      <c r="EJ97" s="29"/>
      <c r="EK97" s="29"/>
      <c r="EL97" s="29"/>
      <c r="EM97" s="29"/>
      <c r="EN97" s="29"/>
      <c r="EO97" s="29"/>
      <c r="EP97" s="29"/>
      <c r="EQ97" s="29"/>
      <c r="ER97" s="29"/>
      <c r="ES97" s="29"/>
      <c r="ET97" s="29"/>
      <c r="EU97" s="29"/>
      <c r="EV97" s="29"/>
      <c r="EW97" s="29"/>
      <c r="EX97" s="29"/>
      <c r="EY97" s="29"/>
      <c r="EZ97" s="29"/>
      <c r="FA97" s="29"/>
      <c r="FB97" s="29"/>
      <c r="FC97" s="29"/>
      <c r="FD97" s="29"/>
      <c r="FE97" s="29"/>
      <c r="FF97" s="29"/>
      <c r="FG97" s="29"/>
      <c r="FH97" s="29"/>
      <c r="FI97" s="29"/>
      <c r="FJ97" s="29"/>
      <c r="FK97" s="29"/>
      <c r="FL97" s="29"/>
      <c r="FM97" s="29"/>
      <c r="FN97" s="29"/>
      <c r="FO97" s="29"/>
      <c r="FP97" s="29"/>
      <c r="FQ97" s="29"/>
      <c r="FR97" s="29"/>
      <c r="FS97" s="29"/>
      <c r="FT97" s="29"/>
      <c r="FU97" s="29"/>
      <c r="FV97" s="29"/>
      <c r="FW97" s="29"/>
      <c r="FX97" s="29"/>
      <c r="FY97" s="29"/>
      <c r="FZ97" s="29"/>
      <c r="GA97" s="29"/>
      <c r="GB97" s="29"/>
      <c r="GC97" s="29"/>
      <c r="GD97" s="29"/>
      <c r="GE97" s="29"/>
      <c r="GF97" s="29"/>
      <c r="GG97" s="29"/>
      <c r="GH97" s="29"/>
      <c r="GI97" s="29"/>
      <c r="GJ97" s="29"/>
      <c r="GK97" s="29"/>
      <c r="GL97" s="29"/>
      <c r="GM97" s="29"/>
      <c r="GN97" s="29"/>
      <c r="GO97" s="29"/>
      <c r="GP97" s="29"/>
      <c r="GQ97" s="29"/>
      <c r="GR97" s="29"/>
      <c r="GS97" s="29"/>
      <c r="GT97" s="29"/>
      <c r="GU97" s="29"/>
      <c r="GV97" s="29"/>
      <c r="GW97" s="29"/>
      <c r="GX97" s="29"/>
      <c r="GY97" s="29"/>
      <c r="GZ97" s="29"/>
      <c r="HA97" s="29"/>
      <c r="HB97" s="29"/>
      <c r="HC97" s="29"/>
      <c r="HD97" s="29"/>
      <c r="HE97" s="29"/>
      <c r="HF97" s="29"/>
      <c r="HG97" s="29"/>
      <c r="HH97" s="29"/>
      <c r="HI97" s="29"/>
      <c r="HJ97" s="29"/>
      <c r="HK97" s="29"/>
      <c r="HL97" s="29"/>
      <c r="HM97" s="29"/>
      <c r="HN97" s="29"/>
      <c r="HO97" s="29"/>
      <c r="HP97" s="29"/>
      <c r="HQ97" s="29"/>
      <c r="HR97" s="29"/>
      <c r="HS97" s="29"/>
      <c r="HT97" s="29"/>
      <c r="HU97" s="29"/>
      <c r="HV97" s="29"/>
      <c r="HW97" s="29"/>
      <c r="HX97" s="29"/>
      <c r="HY97" s="29"/>
      <c r="HZ97" s="29"/>
      <c r="IA97" s="29"/>
      <c r="IB97" s="29"/>
      <c r="IC97" s="29"/>
      <c r="ID97" s="29"/>
      <c r="IE97" s="29"/>
      <c r="IF97" s="29"/>
      <c r="IG97" s="29"/>
      <c r="IH97" s="29"/>
      <c r="II97" s="29"/>
      <c r="IJ97" s="29"/>
      <c r="IK97" s="29"/>
      <c r="IL97" s="29"/>
      <c r="IM97" s="29"/>
      <c r="IN97" s="29"/>
      <c r="IO97" s="29"/>
      <c r="IP97" s="29"/>
      <c r="IQ97" s="29"/>
      <c r="IR97" s="29"/>
      <c r="IS97" s="29"/>
      <c r="IT97" s="29"/>
      <c r="IU97" s="29"/>
      <c r="IV97" s="29"/>
      <c r="IW97" s="29"/>
      <c r="IX97" s="29"/>
      <c r="IY97" s="29"/>
      <c r="IZ97" s="29"/>
      <c r="JA97" s="29"/>
      <c r="JB97" s="29"/>
      <c r="JC97" s="29"/>
      <c r="JD97" s="29"/>
      <c r="JE97" s="29"/>
      <c r="JF97" s="29"/>
      <c r="JG97" s="29"/>
      <c r="JH97" s="29"/>
      <c r="JI97" s="29"/>
      <c r="JJ97" s="29"/>
      <c r="JK97" s="29"/>
      <c r="JL97" s="29"/>
    </row>
    <row r="98" spans="1:272" hidden="1">
      <c r="E98" s="29" t="s">
        <v>279</v>
      </c>
      <c r="S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c r="BX98" s="29"/>
      <c r="BY98" s="29"/>
      <c r="BZ98" s="29"/>
      <c r="CA98" s="29"/>
      <c r="CB98" s="29"/>
      <c r="CC98" s="29"/>
      <c r="CD98" s="29"/>
      <c r="CE98" s="29"/>
      <c r="CF98" s="29"/>
      <c r="CG98" s="29"/>
      <c r="CH98" s="29"/>
      <c r="CI98" s="29"/>
      <c r="CJ98" s="29"/>
      <c r="CK98" s="29"/>
      <c r="CL98" s="29"/>
      <c r="CM98" s="29"/>
      <c r="CN98" s="29"/>
      <c r="CO98" s="29"/>
      <c r="CP98" s="29"/>
      <c r="CQ98" s="29"/>
      <c r="CR98" s="29"/>
      <c r="CS98" s="29"/>
      <c r="CT98" s="29"/>
      <c r="CU98" s="29"/>
      <c r="CV98" s="29"/>
      <c r="CW98" s="29"/>
      <c r="CX98" s="29"/>
      <c r="CY98" s="29"/>
      <c r="CZ98" s="29"/>
      <c r="DA98" s="29"/>
      <c r="DB98" s="29"/>
      <c r="DC98" s="29"/>
      <c r="DD98" s="29"/>
      <c r="DE98" s="29"/>
      <c r="DF98" s="29"/>
      <c r="DG98" s="29"/>
      <c r="DH98" s="29"/>
      <c r="DI98" s="29"/>
      <c r="DJ98" s="29"/>
      <c r="DK98" s="29"/>
      <c r="DL98" s="29"/>
      <c r="DM98" s="29"/>
      <c r="DN98" s="29"/>
      <c r="DO98" s="29"/>
      <c r="DP98" s="29"/>
      <c r="DQ98" s="29"/>
      <c r="DR98" s="29"/>
      <c r="DS98" s="29"/>
      <c r="DT98" s="29"/>
      <c r="DU98" s="29"/>
      <c r="DV98" s="29"/>
      <c r="DW98" s="29"/>
      <c r="DX98" s="29"/>
      <c r="DY98" s="29"/>
      <c r="DZ98" s="29"/>
      <c r="EA98" s="29"/>
      <c r="EB98" s="29"/>
      <c r="EC98" s="29"/>
      <c r="ED98" s="29"/>
      <c r="EE98" s="29"/>
      <c r="EF98" s="29"/>
      <c r="EG98" s="29"/>
      <c r="EH98" s="29"/>
      <c r="EI98" s="29"/>
      <c r="EJ98" s="29"/>
      <c r="EK98" s="29"/>
      <c r="EL98" s="29"/>
      <c r="EM98" s="29"/>
      <c r="EN98" s="29"/>
      <c r="EO98" s="29"/>
      <c r="EP98" s="29"/>
      <c r="EQ98" s="29"/>
      <c r="ER98" s="29"/>
      <c r="ES98" s="29"/>
      <c r="ET98" s="29"/>
      <c r="EU98" s="29"/>
      <c r="EV98" s="29"/>
      <c r="EW98" s="29"/>
      <c r="EX98" s="29"/>
      <c r="EY98" s="29"/>
      <c r="EZ98" s="29"/>
      <c r="FA98" s="29"/>
      <c r="FB98" s="29"/>
      <c r="FC98" s="29"/>
      <c r="FD98" s="29"/>
      <c r="FE98" s="29"/>
      <c r="FF98" s="29"/>
      <c r="FG98" s="29"/>
      <c r="FH98" s="29"/>
      <c r="FI98" s="29"/>
      <c r="FJ98" s="29"/>
      <c r="FK98" s="29"/>
      <c r="FL98" s="29"/>
      <c r="FM98" s="29"/>
      <c r="FN98" s="29"/>
      <c r="FO98" s="29"/>
      <c r="FP98" s="29"/>
      <c r="FQ98" s="29"/>
      <c r="FR98" s="29"/>
      <c r="FS98" s="29"/>
      <c r="FT98" s="29"/>
      <c r="FU98" s="29"/>
      <c r="FV98" s="29"/>
      <c r="FW98" s="29"/>
      <c r="FX98" s="29"/>
      <c r="FY98" s="29"/>
      <c r="FZ98" s="29"/>
      <c r="GA98" s="29"/>
      <c r="GB98" s="29"/>
      <c r="GC98" s="29"/>
      <c r="GD98" s="29"/>
      <c r="GE98" s="29"/>
      <c r="GF98" s="29"/>
      <c r="GG98" s="29"/>
      <c r="GH98" s="29"/>
      <c r="GI98" s="29"/>
      <c r="GJ98" s="29"/>
      <c r="GK98" s="29"/>
      <c r="GL98" s="29"/>
      <c r="GM98" s="29"/>
      <c r="GN98" s="29"/>
      <c r="GO98" s="29"/>
      <c r="GP98" s="29"/>
      <c r="GQ98" s="29"/>
      <c r="GR98" s="29"/>
      <c r="GS98" s="29"/>
      <c r="GT98" s="29"/>
      <c r="GU98" s="29"/>
      <c r="GV98" s="29"/>
      <c r="GW98" s="29"/>
      <c r="GX98" s="29"/>
      <c r="GY98" s="29"/>
      <c r="GZ98" s="29"/>
      <c r="HA98" s="29"/>
      <c r="HB98" s="29"/>
      <c r="HC98" s="29"/>
      <c r="HD98" s="29"/>
      <c r="HE98" s="29"/>
      <c r="HF98" s="29"/>
      <c r="HG98" s="29"/>
      <c r="HH98" s="29"/>
      <c r="HI98" s="29"/>
      <c r="HJ98" s="29"/>
      <c r="HK98" s="29"/>
      <c r="HL98" s="29"/>
      <c r="HM98" s="29"/>
      <c r="HN98" s="29"/>
      <c r="HO98" s="29"/>
      <c r="HP98" s="29"/>
      <c r="HQ98" s="29"/>
      <c r="HR98" s="29"/>
      <c r="HS98" s="29"/>
      <c r="HT98" s="29"/>
      <c r="HU98" s="29"/>
      <c r="HV98" s="29"/>
      <c r="HW98" s="29"/>
      <c r="HX98" s="29"/>
      <c r="HY98" s="29"/>
      <c r="HZ98" s="29"/>
      <c r="IA98" s="29"/>
      <c r="IB98" s="29"/>
      <c r="IC98" s="29"/>
      <c r="ID98" s="29"/>
      <c r="IE98" s="29"/>
      <c r="IF98" s="29"/>
      <c r="IG98" s="29"/>
      <c r="IH98" s="29"/>
      <c r="II98" s="29"/>
      <c r="IJ98" s="29"/>
      <c r="IK98" s="29"/>
      <c r="IL98" s="29"/>
      <c r="IM98" s="29"/>
      <c r="IN98" s="29"/>
      <c r="IO98" s="29"/>
      <c r="IP98" s="29"/>
      <c r="IQ98" s="29"/>
      <c r="IR98" s="29"/>
      <c r="IS98" s="29"/>
      <c r="IT98" s="29"/>
      <c r="IU98" s="29"/>
      <c r="IV98" s="29"/>
      <c r="IW98" s="29"/>
      <c r="IX98" s="29"/>
      <c r="IY98" s="29"/>
      <c r="IZ98" s="29"/>
      <c r="JA98" s="29"/>
      <c r="JB98" s="29"/>
      <c r="JC98" s="29"/>
      <c r="JD98" s="29"/>
      <c r="JE98" s="29"/>
      <c r="JF98" s="29"/>
      <c r="JG98" s="29"/>
      <c r="JH98" s="29"/>
      <c r="JI98" s="29"/>
      <c r="JJ98" s="29"/>
      <c r="JK98" s="29"/>
      <c r="JL98" s="29"/>
    </row>
    <row r="99" spans="1:272" ht="25.5" hidden="1">
      <c r="E99" s="29" t="s">
        <v>280</v>
      </c>
      <c r="S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29"/>
      <c r="CA99" s="29"/>
      <c r="CB99" s="29"/>
      <c r="CC99" s="29"/>
      <c r="CD99" s="29"/>
      <c r="CE99" s="29"/>
      <c r="CF99" s="29"/>
      <c r="CG99" s="29"/>
      <c r="CH99" s="29"/>
      <c r="CI99" s="29"/>
      <c r="CJ99" s="29"/>
      <c r="CK99" s="29"/>
      <c r="CL99" s="29"/>
      <c r="CM99" s="29"/>
      <c r="CN99" s="29"/>
      <c r="CO99" s="29"/>
      <c r="CP99" s="29"/>
      <c r="CQ99" s="29"/>
      <c r="CR99" s="29"/>
      <c r="CS99" s="29"/>
      <c r="CT99" s="29"/>
      <c r="CU99" s="29"/>
      <c r="CV99" s="29"/>
      <c r="CW99" s="29"/>
      <c r="CX99" s="29"/>
      <c r="CY99" s="29"/>
      <c r="CZ99" s="29"/>
      <c r="DA99" s="29"/>
      <c r="DB99" s="29"/>
      <c r="DC99" s="29"/>
      <c r="DD99" s="29"/>
      <c r="DE99" s="29"/>
      <c r="DF99" s="29"/>
      <c r="DG99" s="29"/>
      <c r="DH99" s="29"/>
      <c r="DI99" s="29"/>
      <c r="DJ99" s="29"/>
      <c r="DK99" s="29"/>
      <c r="DL99" s="29"/>
      <c r="DM99" s="29"/>
      <c r="DN99" s="29"/>
      <c r="DO99" s="29"/>
      <c r="DP99" s="29"/>
      <c r="DQ99" s="29"/>
      <c r="DR99" s="29"/>
      <c r="DS99" s="29"/>
      <c r="DT99" s="29"/>
      <c r="DU99" s="29"/>
      <c r="DV99" s="29"/>
      <c r="DW99" s="29"/>
      <c r="DX99" s="29"/>
      <c r="DY99" s="29"/>
      <c r="DZ99" s="29"/>
      <c r="EA99" s="29"/>
      <c r="EB99" s="29"/>
      <c r="EC99" s="29"/>
      <c r="ED99" s="29"/>
      <c r="EE99" s="29"/>
      <c r="EF99" s="29"/>
      <c r="EG99" s="29"/>
      <c r="EH99" s="29"/>
      <c r="EI99" s="29"/>
      <c r="EJ99" s="29"/>
      <c r="EK99" s="29"/>
      <c r="EL99" s="29"/>
      <c r="EM99" s="29"/>
      <c r="EN99" s="29"/>
      <c r="EO99" s="29"/>
      <c r="EP99" s="29"/>
      <c r="EQ99" s="29"/>
      <c r="ER99" s="29"/>
      <c r="ES99" s="29"/>
      <c r="ET99" s="29"/>
      <c r="EU99" s="29"/>
      <c r="EV99" s="29"/>
      <c r="EW99" s="29"/>
      <c r="EX99" s="29"/>
      <c r="EY99" s="29"/>
      <c r="EZ99" s="29"/>
      <c r="FA99" s="29"/>
      <c r="FB99" s="29"/>
      <c r="FC99" s="29"/>
      <c r="FD99" s="29"/>
      <c r="FE99" s="29"/>
      <c r="FF99" s="29"/>
      <c r="FG99" s="29"/>
      <c r="FH99" s="29"/>
      <c r="FI99" s="29"/>
      <c r="FJ99" s="29"/>
      <c r="FK99" s="29"/>
      <c r="FL99" s="29"/>
      <c r="FM99" s="29"/>
      <c r="FN99" s="29"/>
      <c r="FO99" s="29"/>
      <c r="FP99" s="29"/>
      <c r="FQ99" s="29"/>
      <c r="FR99" s="29"/>
      <c r="FS99" s="29"/>
      <c r="FT99" s="29"/>
      <c r="FU99" s="29"/>
      <c r="FV99" s="29"/>
      <c r="FW99" s="29"/>
      <c r="FX99" s="29"/>
      <c r="FY99" s="29"/>
      <c r="FZ99" s="29"/>
      <c r="GA99" s="29"/>
      <c r="GB99" s="29"/>
      <c r="GC99" s="29"/>
      <c r="GD99" s="29"/>
      <c r="GE99" s="29"/>
      <c r="GF99" s="29"/>
      <c r="GG99" s="29"/>
      <c r="GH99" s="29"/>
      <c r="GI99" s="29"/>
      <c r="GJ99" s="29"/>
      <c r="GK99" s="29"/>
      <c r="GL99" s="29"/>
      <c r="GM99" s="29"/>
      <c r="GN99" s="29"/>
      <c r="GO99" s="29"/>
      <c r="GP99" s="29"/>
      <c r="GQ99" s="29"/>
      <c r="GR99" s="29"/>
      <c r="GS99" s="29"/>
      <c r="GT99" s="29"/>
      <c r="GU99" s="29"/>
      <c r="GV99" s="29"/>
      <c r="GW99" s="29"/>
      <c r="GX99" s="29"/>
      <c r="GY99" s="29"/>
      <c r="GZ99" s="29"/>
      <c r="HA99" s="29"/>
      <c r="HB99" s="29"/>
      <c r="HC99" s="29"/>
      <c r="HD99" s="29"/>
      <c r="HE99" s="29"/>
      <c r="HF99" s="29"/>
      <c r="HG99" s="29"/>
      <c r="HH99" s="29"/>
      <c r="HI99" s="29"/>
      <c r="HJ99" s="29"/>
      <c r="HK99" s="29"/>
      <c r="HL99" s="29"/>
      <c r="HM99" s="29"/>
      <c r="HN99" s="29"/>
      <c r="HO99" s="29"/>
      <c r="HP99" s="29"/>
      <c r="HQ99" s="29"/>
      <c r="HR99" s="29"/>
      <c r="HS99" s="29"/>
      <c r="HT99" s="29"/>
      <c r="HU99" s="29"/>
      <c r="HV99" s="29"/>
      <c r="HW99" s="29"/>
      <c r="HX99" s="29"/>
      <c r="HY99" s="29"/>
      <c r="HZ99" s="29"/>
      <c r="IA99" s="29"/>
      <c r="IB99" s="29"/>
      <c r="IC99" s="29"/>
      <c r="ID99" s="29"/>
      <c r="IE99" s="29"/>
      <c r="IF99" s="29"/>
      <c r="IG99" s="29"/>
      <c r="IH99" s="29"/>
      <c r="II99" s="29"/>
      <c r="IJ99" s="29"/>
      <c r="IK99" s="29"/>
      <c r="IL99" s="29"/>
      <c r="IM99" s="29"/>
      <c r="IN99" s="29"/>
      <c r="IO99" s="29"/>
      <c r="IP99" s="29"/>
      <c r="IQ99" s="29"/>
      <c r="IR99" s="29"/>
      <c r="IS99" s="29"/>
      <c r="IT99" s="29"/>
      <c r="IU99" s="29"/>
      <c r="IV99" s="29"/>
      <c r="IW99" s="29"/>
      <c r="IX99" s="29"/>
      <c r="IY99" s="29"/>
      <c r="IZ99" s="29"/>
      <c r="JA99" s="29"/>
      <c r="JB99" s="29"/>
      <c r="JC99" s="29"/>
      <c r="JD99" s="29"/>
      <c r="JE99" s="29"/>
      <c r="JF99" s="29"/>
      <c r="JG99" s="29"/>
      <c r="JH99" s="29"/>
      <c r="JI99" s="29"/>
      <c r="JJ99" s="29"/>
      <c r="JK99" s="29"/>
      <c r="JL99" s="29"/>
    </row>
    <row r="100" spans="1:272" ht="25.5" hidden="1">
      <c r="E100" s="29" t="s">
        <v>281</v>
      </c>
      <c r="S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9"/>
      <c r="CA100" s="29"/>
      <c r="CB100" s="29"/>
      <c r="CC100" s="29"/>
      <c r="CD100" s="29"/>
      <c r="CE100" s="29"/>
      <c r="CF100" s="29"/>
      <c r="CG100" s="29"/>
      <c r="CH100" s="29"/>
      <c r="CI100" s="29"/>
      <c r="CJ100" s="29"/>
      <c r="CK100" s="29"/>
      <c r="CL100" s="29"/>
      <c r="CM100" s="29"/>
      <c r="CN100" s="29"/>
      <c r="CO100" s="29"/>
      <c r="CP100" s="29"/>
      <c r="CQ100" s="29"/>
      <c r="CR100" s="29"/>
      <c r="CS100" s="29"/>
      <c r="CT100" s="29"/>
      <c r="CU100" s="29"/>
      <c r="CV100" s="29"/>
      <c r="CW100" s="29"/>
      <c r="CX100" s="29"/>
      <c r="CY100" s="29"/>
      <c r="CZ100" s="29"/>
      <c r="DA100" s="29"/>
      <c r="DB100" s="29"/>
      <c r="DC100" s="29"/>
      <c r="DD100" s="29"/>
      <c r="DE100" s="29"/>
      <c r="DF100" s="29"/>
      <c r="DG100" s="29"/>
      <c r="DH100" s="29"/>
      <c r="DI100" s="29"/>
      <c r="DJ100" s="29"/>
      <c r="DK100" s="29"/>
      <c r="DL100" s="29"/>
      <c r="DM100" s="29"/>
      <c r="DN100" s="29"/>
      <c r="DO100" s="29"/>
      <c r="DP100" s="29"/>
      <c r="DQ100" s="29"/>
      <c r="DR100" s="29"/>
      <c r="DS100" s="29"/>
      <c r="DT100" s="29"/>
      <c r="DU100" s="29"/>
      <c r="DV100" s="29"/>
      <c r="DW100" s="29"/>
      <c r="DX100" s="29"/>
      <c r="DY100" s="29"/>
      <c r="DZ100" s="29"/>
      <c r="EA100" s="29"/>
      <c r="EB100" s="29"/>
      <c r="EC100" s="29"/>
      <c r="ED100" s="29"/>
      <c r="EE100" s="29"/>
      <c r="EF100" s="29"/>
      <c r="EG100" s="29"/>
      <c r="EH100" s="29"/>
      <c r="EI100" s="29"/>
      <c r="EJ100" s="29"/>
      <c r="EK100" s="29"/>
      <c r="EL100" s="29"/>
      <c r="EM100" s="29"/>
      <c r="EN100" s="29"/>
      <c r="EO100" s="29"/>
      <c r="EP100" s="29"/>
      <c r="EQ100" s="29"/>
      <c r="ER100" s="29"/>
      <c r="ES100" s="29"/>
      <c r="ET100" s="29"/>
      <c r="EU100" s="29"/>
      <c r="EV100" s="29"/>
      <c r="EW100" s="29"/>
      <c r="EX100" s="29"/>
      <c r="EY100" s="29"/>
      <c r="EZ100" s="29"/>
      <c r="FA100" s="29"/>
      <c r="FB100" s="29"/>
      <c r="FC100" s="29"/>
      <c r="FD100" s="29"/>
      <c r="FE100" s="29"/>
      <c r="FF100" s="29"/>
      <c r="FG100" s="29"/>
      <c r="FH100" s="29"/>
      <c r="FI100" s="29"/>
      <c r="FJ100" s="29"/>
      <c r="FK100" s="29"/>
      <c r="FL100" s="29"/>
      <c r="FM100" s="29"/>
      <c r="FN100" s="29"/>
      <c r="FO100" s="29"/>
      <c r="FP100" s="29"/>
      <c r="FQ100" s="29"/>
      <c r="FR100" s="29"/>
      <c r="FS100" s="29"/>
      <c r="FT100" s="29"/>
      <c r="FU100" s="29"/>
      <c r="FV100" s="29"/>
      <c r="FW100" s="29"/>
      <c r="FX100" s="29"/>
      <c r="FY100" s="29"/>
      <c r="FZ100" s="29"/>
      <c r="GA100" s="29"/>
      <c r="GB100" s="29"/>
      <c r="GC100" s="29"/>
      <c r="GD100" s="29"/>
      <c r="GE100" s="29"/>
      <c r="GF100" s="29"/>
      <c r="GG100" s="29"/>
      <c r="GH100" s="29"/>
      <c r="GI100" s="29"/>
      <c r="GJ100" s="29"/>
      <c r="GK100" s="29"/>
      <c r="GL100" s="29"/>
      <c r="GM100" s="29"/>
      <c r="GN100" s="29"/>
      <c r="GO100" s="29"/>
      <c r="GP100" s="29"/>
      <c r="GQ100" s="29"/>
      <c r="GR100" s="29"/>
      <c r="GS100" s="29"/>
      <c r="GT100" s="29"/>
      <c r="GU100" s="29"/>
      <c r="GV100" s="29"/>
      <c r="GW100" s="29"/>
      <c r="GX100" s="29"/>
      <c r="GY100" s="29"/>
      <c r="GZ100" s="29"/>
      <c r="HA100" s="29"/>
      <c r="HB100" s="29"/>
      <c r="HC100" s="29"/>
      <c r="HD100" s="29"/>
      <c r="HE100" s="29"/>
      <c r="HF100" s="29"/>
      <c r="HG100" s="29"/>
      <c r="HH100" s="29"/>
      <c r="HI100" s="29"/>
      <c r="HJ100" s="29"/>
      <c r="HK100" s="29"/>
      <c r="HL100" s="29"/>
      <c r="HM100" s="29"/>
      <c r="HN100" s="29"/>
      <c r="HO100" s="29"/>
      <c r="HP100" s="29"/>
      <c r="HQ100" s="29"/>
      <c r="HR100" s="29"/>
      <c r="HS100" s="29"/>
      <c r="HT100" s="29"/>
      <c r="HU100" s="29"/>
      <c r="HV100" s="29"/>
      <c r="HW100" s="29"/>
      <c r="HX100" s="29"/>
      <c r="HY100" s="29"/>
      <c r="HZ100" s="29"/>
      <c r="IA100" s="29"/>
      <c r="IB100" s="29"/>
      <c r="IC100" s="29"/>
      <c r="ID100" s="29"/>
      <c r="IE100" s="29"/>
      <c r="IF100" s="29"/>
      <c r="IG100" s="29"/>
      <c r="IH100" s="29"/>
      <c r="II100" s="29"/>
      <c r="IJ100" s="29"/>
      <c r="IK100" s="29"/>
      <c r="IL100" s="29"/>
      <c r="IM100" s="29"/>
      <c r="IN100" s="29"/>
      <c r="IO100" s="29"/>
      <c r="IP100" s="29"/>
      <c r="IQ100" s="29"/>
      <c r="IR100" s="29"/>
      <c r="IS100" s="29"/>
      <c r="IT100" s="29"/>
      <c r="IU100" s="29"/>
      <c r="IV100" s="29"/>
      <c r="IW100" s="29"/>
      <c r="IX100" s="29"/>
      <c r="IY100" s="29"/>
      <c r="IZ100" s="29"/>
      <c r="JA100" s="29"/>
      <c r="JB100" s="29"/>
      <c r="JC100" s="29"/>
      <c r="JD100" s="29"/>
      <c r="JE100" s="29"/>
      <c r="JF100" s="29"/>
      <c r="JG100" s="29"/>
      <c r="JH100" s="29"/>
      <c r="JI100" s="29"/>
      <c r="JJ100" s="29"/>
      <c r="JK100" s="29"/>
      <c r="JL100" s="29"/>
    </row>
    <row r="101" spans="1:272" hidden="1">
      <c r="E101" s="29" t="s">
        <v>282</v>
      </c>
      <c r="S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c r="CE101" s="29"/>
      <c r="CF101" s="29"/>
      <c r="CG101" s="29"/>
      <c r="CH101" s="29"/>
      <c r="CI101" s="29"/>
      <c r="CJ101" s="29"/>
      <c r="CK101" s="29"/>
      <c r="CL101" s="29"/>
      <c r="CM101" s="29"/>
      <c r="CN101" s="29"/>
      <c r="CO101" s="29"/>
      <c r="CP101" s="29"/>
      <c r="CQ101" s="29"/>
      <c r="CR101" s="29"/>
      <c r="CS101" s="29"/>
      <c r="CT101" s="29"/>
      <c r="CU101" s="29"/>
      <c r="CV101" s="29"/>
      <c r="CW101" s="29"/>
      <c r="CX101" s="29"/>
      <c r="CY101" s="29"/>
      <c r="CZ101" s="29"/>
      <c r="DA101" s="29"/>
      <c r="DB101" s="29"/>
      <c r="DC101" s="29"/>
      <c r="DD101" s="29"/>
      <c r="DE101" s="29"/>
      <c r="DF101" s="29"/>
      <c r="DG101" s="29"/>
      <c r="DH101" s="29"/>
      <c r="DI101" s="29"/>
      <c r="DJ101" s="29"/>
      <c r="DK101" s="29"/>
      <c r="DL101" s="29"/>
      <c r="DM101" s="29"/>
      <c r="DN101" s="29"/>
      <c r="DO101" s="29"/>
      <c r="DP101" s="29"/>
      <c r="DQ101" s="29"/>
      <c r="DR101" s="29"/>
      <c r="DS101" s="29"/>
      <c r="DT101" s="29"/>
      <c r="DU101" s="29"/>
      <c r="DV101" s="29"/>
      <c r="DW101" s="29"/>
      <c r="DX101" s="29"/>
      <c r="DY101" s="29"/>
      <c r="DZ101" s="29"/>
      <c r="EA101" s="29"/>
      <c r="EB101" s="29"/>
      <c r="EC101" s="29"/>
      <c r="ED101" s="29"/>
      <c r="EE101" s="29"/>
      <c r="EF101" s="29"/>
      <c r="EG101" s="29"/>
      <c r="EH101" s="29"/>
      <c r="EI101" s="29"/>
      <c r="EJ101" s="29"/>
      <c r="EK101" s="29"/>
      <c r="EL101" s="29"/>
      <c r="EM101" s="29"/>
      <c r="EN101" s="29"/>
      <c r="EO101" s="29"/>
      <c r="EP101" s="29"/>
      <c r="EQ101" s="29"/>
      <c r="ER101" s="29"/>
      <c r="ES101" s="29"/>
      <c r="ET101" s="29"/>
      <c r="EU101" s="29"/>
      <c r="EV101" s="29"/>
      <c r="EW101" s="29"/>
      <c r="EX101" s="29"/>
      <c r="EY101" s="29"/>
      <c r="EZ101" s="29"/>
      <c r="FA101" s="29"/>
      <c r="FB101" s="29"/>
      <c r="FC101" s="29"/>
      <c r="FD101" s="29"/>
      <c r="FE101" s="29"/>
      <c r="FF101" s="29"/>
      <c r="FG101" s="29"/>
      <c r="FH101" s="29"/>
      <c r="FI101" s="29"/>
      <c r="FJ101" s="29"/>
      <c r="FK101" s="29"/>
      <c r="FL101" s="29"/>
      <c r="FM101" s="29"/>
      <c r="FN101" s="29"/>
      <c r="FO101" s="29"/>
      <c r="FP101" s="29"/>
      <c r="FQ101" s="29"/>
      <c r="FR101" s="29"/>
      <c r="FS101" s="29"/>
      <c r="FT101" s="29"/>
      <c r="FU101" s="29"/>
      <c r="FV101" s="29"/>
      <c r="FW101" s="29"/>
      <c r="FX101" s="29"/>
      <c r="FY101" s="29"/>
      <c r="FZ101" s="29"/>
      <c r="GA101" s="29"/>
      <c r="GB101" s="29"/>
      <c r="GC101" s="29"/>
      <c r="GD101" s="29"/>
      <c r="GE101" s="29"/>
      <c r="GF101" s="29"/>
      <c r="GG101" s="29"/>
      <c r="GH101" s="29"/>
      <c r="GI101" s="29"/>
      <c r="GJ101" s="29"/>
      <c r="GK101" s="29"/>
      <c r="GL101" s="29"/>
      <c r="GM101" s="29"/>
      <c r="GN101" s="29"/>
      <c r="GO101" s="29"/>
      <c r="GP101" s="29"/>
      <c r="GQ101" s="29"/>
      <c r="GR101" s="29"/>
      <c r="GS101" s="29"/>
      <c r="GT101" s="29"/>
      <c r="GU101" s="29"/>
      <c r="GV101" s="29"/>
      <c r="GW101" s="29"/>
      <c r="GX101" s="29"/>
      <c r="GY101" s="29"/>
      <c r="GZ101" s="29"/>
      <c r="HA101" s="29"/>
      <c r="HB101" s="29"/>
      <c r="HC101" s="29"/>
      <c r="HD101" s="29"/>
      <c r="HE101" s="29"/>
      <c r="HF101" s="29"/>
      <c r="HG101" s="29"/>
      <c r="HH101" s="29"/>
      <c r="HI101" s="29"/>
      <c r="HJ101" s="29"/>
      <c r="HK101" s="29"/>
      <c r="HL101" s="29"/>
      <c r="HM101" s="29"/>
      <c r="HN101" s="29"/>
      <c r="HO101" s="29"/>
      <c r="HP101" s="29"/>
      <c r="HQ101" s="29"/>
      <c r="HR101" s="29"/>
      <c r="HS101" s="29"/>
      <c r="HT101" s="29"/>
      <c r="HU101" s="29"/>
      <c r="HV101" s="29"/>
      <c r="HW101" s="29"/>
      <c r="HX101" s="29"/>
      <c r="HY101" s="29"/>
      <c r="HZ101" s="29"/>
      <c r="IA101" s="29"/>
      <c r="IB101" s="29"/>
      <c r="IC101" s="29"/>
      <c r="ID101" s="29"/>
      <c r="IE101" s="29"/>
      <c r="IF101" s="29"/>
      <c r="IG101" s="29"/>
      <c r="IH101" s="29"/>
      <c r="II101" s="29"/>
      <c r="IJ101" s="29"/>
      <c r="IK101" s="29"/>
      <c r="IL101" s="29"/>
      <c r="IM101" s="29"/>
      <c r="IN101" s="29"/>
      <c r="IO101" s="29"/>
      <c r="IP101" s="29"/>
      <c r="IQ101" s="29"/>
      <c r="IR101" s="29"/>
      <c r="IS101" s="29"/>
      <c r="IT101" s="29"/>
      <c r="IU101" s="29"/>
      <c r="IV101" s="29"/>
      <c r="IW101" s="29"/>
      <c r="IX101" s="29"/>
      <c r="IY101" s="29"/>
      <c r="IZ101" s="29"/>
      <c r="JA101" s="29"/>
      <c r="JB101" s="29"/>
      <c r="JC101" s="29"/>
      <c r="JD101" s="29"/>
      <c r="JE101" s="29"/>
      <c r="JF101" s="29"/>
      <c r="JG101" s="29"/>
      <c r="JH101" s="29"/>
      <c r="JI101" s="29"/>
      <c r="JJ101" s="29"/>
      <c r="JK101" s="29"/>
      <c r="JL101" s="29"/>
    </row>
    <row r="102" spans="1:272" ht="25.5" hidden="1">
      <c r="E102" s="29" t="s">
        <v>283</v>
      </c>
      <c r="S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9"/>
      <c r="CA102" s="29"/>
      <c r="CB102" s="29"/>
      <c r="CC102" s="29"/>
      <c r="CD102" s="29"/>
      <c r="CE102" s="29"/>
      <c r="CF102" s="29"/>
      <c r="CG102" s="29"/>
      <c r="CH102" s="29"/>
      <c r="CI102" s="29"/>
      <c r="CJ102" s="29"/>
      <c r="CK102" s="29"/>
      <c r="CL102" s="29"/>
      <c r="CM102" s="29"/>
      <c r="CN102" s="29"/>
      <c r="CO102" s="29"/>
      <c r="CP102" s="29"/>
      <c r="CQ102" s="29"/>
      <c r="CR102" s="29"/>
      <c r="CS102" s="29"/>
      <c r="CT102" s="29"/>
      <c r="CU102" s="29"/>
      <c r="CV102" s="29"/>
      <c r="CW102" s="29"/>
      <c r="CX102" s="29"/>
      <c r="CY102" s="29"/>
      <c r="CZ102" s="29"/>
      <c r="DA102" s="29"/>
      <c r="DB102" s="29"/>
      <c r="DC102" s="29"/>
      <c r="DD102" s="29"/>
      <c r="DE102" s="29"/>
      <c r="DF102" s="29"/>
      <c r="DG102" s="29"/>
      <c r="DH102" s="29"/>
      <c r="DI102" s="29"/>
      <c r="DJ102" s="29"/>
      <c r="DK102" s="29"/>
      <c r="DL102" s="29"/>
      <c r="DM102" s="29"/>
      <c r="DN102" s="29"/>
      <c r="DO102" s="29"/>
      <c r="DP102" s="29"/>
      <c r="DQ102" s="29"/>
      <c r="DR102" s="29"/>
      <c r="DS102" s="29"/>
      <c r="DT102" s="29"/>
      <c r="DU102" s="29"/>
      <c r="DV102" s="29"/>
      <c r="DW102" s="29"/>
      <c r="DX102" s="29"/>
      <c r="DY102" s="29"/>
      <c r="DZ102" s="29"/>
      <c r="EA102" s="29"/>
      <c r="EB102" s="29"/>
      <c r="EC102" s="29"/>
      <c r="ED102" s="29"/>
      <c r="EE102" s="29"/>
      <c r="EF102" s="29"/>
      <c r="EG102" s="29"/>
      <c r="EH102" s="29"/>
      <c r="EI102" s="29"/>
      <c r="EJ102" s="29"/>
      <c r="EK102" s="29"/>
      <c r="EL102" s="29"/>
      <c r="EM102" s="29"/>
      <c r="EN102" s="29"/>
      <c r="EO102" s="29"/>
      <c r="EP102" s="29"/>
      <c r="EQ102" s="29"/>
      <c r="ER102" s="29"/>
      <c r="ES102" s="29"/>
      <c r="ET102" s="29"/>
      <c r="EU102" s="29"/>
      <c r="EV102" s="29"/>
      <c r="EW102" s="29"/>
      <c r="EX102" s="29"/>
      <c r="EY102" s="29"/>
      <c r="EZ102" s="29"/>
      <c r="FA102" s="29"/>
      <c r="FB102" s="29"/>
      <c r="FC102" s="29"/>
      <c r="FD102" s="29"/>
      <c r="FE102" s="29"/>
      <c r="FF102" s="29"/>
      <c r="FG102" s="29"/>
      <c r="FH102" s="29"/>
      <c r="FI102" s="29"/>
      <c r="FJ102" s="29"/>
      <c r="FK102" s="29"/>
      <c r="FL102" s="29"/>
      <c r="FM102" s="29"/>
      <c r="FN102" s="29"/>
      <c r="FO102" s="29"/>
      <c r="FP102" s="29"/>
      <c r="FQ102" s="29"/>
      <c r="FR102" s="29"/>
      <c r="FS102" s="29"/>
      <c r="FT102" s="29"/>
      <c r="FU102" s="29"/>
      <c r="FV102" s="29"/>
      <c r="FW102" s="29"/>
      <c r="FX102" s="29"/>
      <c r="FY102" s="29"/>
      <c r="FZ102" s="29"/>
      <c r="GA102" s="29"/>
      <c r="GB102" s="29"/>
      <c r="GC102" s="29"/>
      <c r="GD102" s="29"/>
      <c r="GE102" s="29"/>
      <c r="GF102" s="29"/>
      <c r="GG102" s="29"/>
      <c r="GH102" s="29"/>
      <c r="GI102" s="29"/>
      <c r="GJ102" s="29"/>
      <c r="GK102" s="29"/>
      <c r="GL102" s="29"/>
      <c r="GM102" s="29"/>
      <c r="GN102" s="29"/>
      <c r="GO102" s="29"/>
      <c r="GP102" s="29"/>
      <c r="GQ102" s="29"/>
      <c r="GR102" s="29"/>
      <c r="GS102" s="29"/>
      <c r="GT102" s="29"/>
      <c r="GU102" s="29"/>
      <c r="GV102" s="29"/>
      <c r="GW102" s="29"/>
      <c r="GX102" s="29"/>
      <c r="GY102" s="29"/>
      <c r="GZ102" s="29"/>
      <c r="HA102" s="29"/>
      <c r="HB102" s="29"/>
      <c r="HC102" s="29"/>
      <c r="HD102" s="29"/>
      <c r="HE102" s="29"/>
      <c r="HF102" s="29"/>
      <c r="HG102" s="29"/>
      <c r="HH102" s="29"/>
      <c r="HI102" s="29"/>
      <c r="HJ102" s="29"/>
      <c r="HK102" s="29"/>
      <c r="HL102" s="29"/>
      <c r="HM102" s="29"/>
      <c r="HN102" s="29"/>
      <c r="HO102" s="29"/>
      <c r="HP102" s="29"/>
      <c r="HQ102" s="29"/>
      <c r="HR102" s="29"/>
      <c r="HS102" s="29"/>
      <c r="HT102" s="29"/>
      <c r="HU102" s="29"/>
      <c r="HV102" s="29"/>
      <c r="HW102" s="29"/>
      <c r="HX102" s="29"/>
      <c r="HY102" s="29"/>
      <c r="HZ102" s="29"/>
      <c r="IA102" s="29"/>
      <c r="IB102" s="29"/>
      <c r="IC102" s="29"/>
      <c r="ID102" s="29"/>
      <c r="IE102" s="29"/>
      <c r="IF102" s="29"/>
      <c r="IG102" s="29"/>
      <c r="IH102" s="29"/>
      <c r="II102" s="29"/>
      <c r="IJ102" s="29"/>
      <c r="IK102" s="29"/>
      <c r="IL102" s="29"/>
      <c r="IM102" s="29"/>
      <c r="IN102" s="29"/>
      <c r="IO102" s="29"/>
      <c r="IP102" s="29"/>
      <c r="IQ102" s="29"/>
      <c r="IR102" s="29"/>
      <c r="IS102" s="29"/>
      <c r="IT102" s="29"/>
      <c r="IU102" s="29"/>
      <c r="IV102" s="29"/>
      <c r="IW102" s="29"/>
      <c r="IX102" s="29"/>
      <c r="IY102" s="29"/>
      <c r="IZ102" s="29"/>
      <c r="JA102" s="29"/>
      <c r="JB102" s="29"/>
      <c r="JC102" s="29"/>
      <c r="JD102" s="29"/>
      <c r="JE102" s="29"/>
      <c r="JF102" s="29"/>
      <c r="JG102" s="29"/>
      <c r="JH102" s="29"/>
      <c r="JI102" s="29"/>
      <c r="JJ102" s="29"/>
      <c r="JK102" s="29"/>
      <c r="JL102" s="29"/>
    </row>
    <row r="103" spans="1:272" ht="25.5" hidden="1">
      <c r="E103" s="29" t="s">
        <v>284</v>
      </c>
      <c r="S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9"/>
      <c r="CA103" s="29"/>
      <c r="CB103" s="29"/>
      <c r="CC103" s="29"/>
      <c r="CD103" s="29"/>
      <c r="CE103" s="29"/>
      <c r="CF103" s="29"/>
      <c r="CG103" s="29"/>
      <c r="CH103" s="29"/>
      <c r="CI103" s="29"/>
      <c r="CJ103" s="29"/>
      <c r="CK103" s="29"/>
      <c r="CL103" s="29"/>
      <c r="CM103" s="29"/>
      <c r="CN103" s="29"/>
      <c r="CO103" s="29"/>
      <c r="CP103" s="29"/>
      <c r="CQ103" s="29"/>
      <c r="CR103" s="29"/>
      <c r="CS103" s="29"/>
      <c r="CT103" s="29"/>
      <c r="CU103" s="29"/>
      <c r="CV103" s="29"/>
      <c r="CW103" s="29"/>
      <c r="CX103" s="29"/>
      <c r="CY103" s="29"/>
      <c r="CZ103" s="29"/>
      <c r="DA103" s="29"/>
      <c r="DB103" s="29"/>
      <c r="DC103" s="29"/>
      <c r="DD103" s="29"/>
      <c r="DE103" s="29"/>
      <c r="DF103" s="29"/>
      <c r="DG103" s="29"/>
      <c r="DH103" s="29"/>
      <c r="DI103" s="29"/>
      <c r="DJ103" s="29"/>
      <c r="DK103" s="29"/>
      <c r="DL103" s="29"/>
      <c r="DM103" s="29"/>
      <c r="DN103" s="29"/>
      <c r="DO103" s="29"/>
      <c r="DP103" s="29"/>
      <c r="DQ103" s="29"/>
      <c r="DR103" s="29"/>
      <c r="DS103" s="29"/>
      <c r="DT103" s="29"/>
      <c r="DU103" s="29"/>
      <c r="DV103" s="29"/>
      <c r="DW103" s="29"/>
      <c r="DX103" s="29"/>
      <c r="DY103" s="29"/>
      <c r="DZ103" s="29"/>
      <c r="EA103" s="29"/>
      <c r="EB103" s="29"/>
      <c r="EC103" s="29"/>
      <c r="ED103" s="29"/>
      <c r="EE103" s="29"/>
      <c r="EF103" s="29"/>
      <c r="EG103" s="29"/>
      <c r="EH103" s="29"/>
      <c r="EI103" s="29"/>
      <c r="EJ103" s="29"/>
      <c r="EK103" s="29"/>
      <c r="EL103" s="29"/>
      <c r="EM103" s="29"/>
      <c r="EN103" s="29"/>
      <c r="EO103" s="29"/>
      <c r="EP103" s="29"/>
      <c r="EQ103" s="29"/>
      <c r="ER103" s="29"/>
      <c r="ES103" s="29"/>
      <c r="ET103" s="29"/>
      <c r="EU103" s="29"/>
      <c r="EV103" s="29"/>
      <c r="EW103" s="29"/>
      <c r="EX103" s="29"/>
      <c r="EY103" s="29"/>
      <c r="EZ103" s="29"/>
      <c r="FA103" s="29"/>
      <c r="FB103" s="29"/>
      <c r="FC103" s="29"/>
      <c r="FD103" s="29"/>
      <c r="FE103" s="29"/>
      <c r="FF103" s="29"/>
      <c r="FG103" s="29"/>
      <c r="FH103" s="29"/>
      <c r="FI103" s="29"/>
      <c r="FJ103" s="29"/>
      <c r="FK103" s="29"/>
      <c r="FL103" s="29"/>
      <c r="FM103" s="29"/>
      <c r="FN103" s="29"/>
      <c r="FO103" s="29"/>
      <c r="FP103" s="29"/>
      <c r="FQ103" s="29"/>
      <c r="FR103" s="29"/>
      <c r="FS103" s="29"/>
      <c r="FT103" s="29"/>
      <c r="FU103" s="29"/>
      <c r="FV103" s="29"/>
      <c r="FW103" s="29"/>
      <c r="FX103" s="29"/>
      <c r="FY103" s="29"/>
      <c r="FZ103" s="29"/>
      <c r="GA103" s="29"/>
      <c r="GB103" s="29"/>
      <c r="GC103" s="29"/>
      <c r="GD103" s="29"/>
      <c r="GE103" s="29"/>
      <c r="GF103" s="29"/>
      <c r="GG103" s="29"/>
      <c r="GH103" s="29"/>
      <c r="GI103" s="29"/>
      <c r="GJ103" s="29"/>
      <c r="GK103" s="29"/>
      <c r="GL103" s="29"/>
      <c r="GM103" s="29"/>
      <c r="GN103" s="29"/>
      <c r="GO103" s="29"/>
      <c r="GP103" s="29"/>
      <c r="GQ103" s="29"/>
      <c r="GR103" s="29"/>
      <c r="GS103" s="29"/>
      <c r="GT103" s="29"/>
      <c r="GU103" s="29"/>
      <c r="GV103" s="29"/>
      <c r="GW103" s="29"/>
      <c r="GX103" s="29"/>
      <c r="GY103" s="29"/>
      <c r="GZ103" s="29"/>
      <c r="HA103" s="29"/>
      <c r="HB103" s="29"/>
      <c r="HC103" s="29"/>
      <c r="HD103" s="29"/>
      <c r="HE103" s="29"/>
      <c r="HF103" s="29"/>
      <c r="HG103" s="29"/>
      <c r="HH103" s="29"/>
      <c r="HI103" s="29"/>
      <c r="HJ103" s="29"/>
      <c r="HK103" s="29"/>
      <c r="HL103" s="29"/>
      <c r="HM103" s="29"/>
      <c r="HN103" s="29"/>
      <c r="HO103" s="29"/>
      <c r="HP103" s="29"/>
      <c r="HQ103" s="29"/>
      <c r="HR103" s="29"/>
      <c r="HS103" s="29"/>
      <c r="HT103" s="29"/>
      <c r="HU103" s="29"/>
      <c r="HV103" s="29"/>
      <c r="HW103" s="29"/>
      <c r="HX103" s="29"/>
      <c r="HY103" s="29"/>
      <c r="HZ103" s="29"/>
      <c r="IA103" s="29"/>
      <c r="IB103" s="29"/>
      <c r="IC103" s="29"/>
      <c r="ID103" s="29"/>
      <c r="IE103" s="29"/>
      <c r="IF103" s="29"/>
      <c r="IG103" s="29"/>
      <c r="IH103" s="29"/>
      <c r="II103" s="29"/>
      <c r="IJ103" s="29"/>
      <c r="IK103" s="29"/>
      <c r="IL103" s="29"/>
      <c r="IM103" s="29"/>
      <c r="IN103" s="29"/>
      <c r="IO103" s="29"/>
      <c r="IP103" s="29"/>
      <c r="IQ103" s="29"/>
      <c r="IR103" s="29"/>
      <c r="IS103" s="29"/>
      <c r="IT103" s="29"/>
      <c r="IU103" s="29"/>
      <c r="IV103" s="29"/>
      <c r="IW103" s="29"/>
      <c r="IX103" s="29"/>
      <c r="IY103" s="29"/>
      <c r="IZ103" s="29"/>
      <c r="JA103" s="29"/>
      <c r="JB103" s="29"/>
      <c r="JC103" s="29"/>
      <c r="JD103" s="29"/>
      <c r="JE103" s="29"/>
      <c r="JF103" s="29"/>
      <c r="JG103" s="29"/>
      <c r="JH103" s="29"/>
      <c r="JI103" s="29"/>
      <c r="JJ103" s="29"/>
      <c r="JK103" s="29"/>
      <c r="JL103" s="29"/>
    </row>
    <row r="104" spans="1:272" ht="39" hidden="1" customHeight="1">
      <c r="E104" s="29" t="s">
        <v>285</v>
      </c>
      <c r="S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9"/>
      <c r="CA104" s="29"/>
      <c r="CB104" s="29"/>
      <c r="CC104" s="29"/>
      <c r="CD104" s="29"/>
      <c r="CE104" s="29"/>
      <c r="CF104" s="29"/>
      <c r="CG104" s="29"/>
      <c r="CH104" s="29"/>
      <c r="CI104" s="29"/>
      <c r="CJ104" s="29"/>
      <c r="CK104" s="29"/>
      <c r="CL104" s="29"/>
      <c r="CM104" s="29"/>
      <c r="CN104" s="29"/>
      <c r="CO104" s="29"/>
      <c r="CP104" s="29"/>
      <c r="CQ104" s="29"/>
      <c r="CR104" s="29"/>
      <c r="CS104" s="29"/>
      <c r="CT104" s="29"/>
      <c r="CU104" s="29"/>
      <c r="CV104" s="29"/>
      <c r="CW104" s="29"/>
      <c r="CX104" s="29"/>
      <c r="CY104" s="29"/>
      <c r="CZ104" s="29"/>
      <c r="DA104" s="29"/>
      <c r="DB104" s="29"/>
      <c r="DC104" s="29"/>
      <c r="DD104" s="29"/>
      <c r="DE104" s="29"/>
      <c r="DF104" s="29"/>
      <c r="DG104" s="29"/>
      <c r="DH104" s="29"/>
      <c r="DI104" s="29"/>
      <c r="DJ104" s="29"/>
      <c r="DK104" s="29"/>
      <c r="DL104" s="29"/>
      <c r="DM104" s="29"/>
      <c r="DN104" s="29"/>
      <c r="DO104" s="29"/>
      <c r="DP104" s="29"/>
      <c r="DQ104" s="29"/>
      <c r="DR104" s="29"/>
      <c r="DS104" s="29"/>
      <c r="DT104" s="29"/>
      <c r="DU104" s="29"/>
      <c r="DV104" s="29"/>
      <c r="DW104" s="29"/>
      <c r="DX104" s="29"/>
      <c r="DY104" s="29"/>
      <c r="DZ104" s="29"/>
      <c r="EA104" s="29"/>
      <c r="EB104" s="29"/>
      <c r="EC104" s="29"/>
      <c r="ED104" s="29"/>
      <c r="EE104" s="29"/>
      <c r="EF104" s="29"/>
      <c r="EG104" s="29"/>
      <c r="EH104" s="29"/>
      <c r="EI104" s="29"/>
      <c r="EJ104" s="29"/>
      <c r="EK104" s="29"/>
      <c r="EL104" s="29"/>
      <c r="EM104" s="29"/>
      <c r="EN104" s="29"/>
      <c r="EO104" s="29"/>
      <c r="EP104" s="29"/>
      <c r="EQ104" s="29"/>
      <c r="ER104" s="29"/>
      <c r="ES104" s="29"/>
      <c r="ET104" s="29"/>
      <c r="EU104" s="29"/>
      <c r="EV104" s="29"/>
      <c r="EW104" s="29"/>
      <c r="EX104" s="29"/>
      <c r="EY104" s="29"/>
      <c r="EZ104" s="29"/>
      <c r="FA104" s="29"/>
      <c r="FB104" s="29"/>
      <c r="FC104" s="29"/>
      <c r="FD104" s="29"/>
      <c r="FE104" s="29"/>
      <c r="FF104" s="29"/>
      <c r="FG104" s="29"/>
      <c r="FH104" s="29"/>
      <c r="FI104" s="29"/>
      <c r="FJ104" s="29"/>
      <c r="FK104" s="29"/>
      <c r="FL104" s="29"/>
      <c r="FM104" s="29"/>
      <c r="FN104" s="29"/>
      <c r="FO104" s="29"/>
      <c r="FP104" s="29"/>
      <c r="FQ104" s="29"/>
      <c r="FR104" s="29"/>
      <c r="FS104" s="29"/>
      <c r="FT104" s="29"/>
      <c r="FU104" s="29"/>
      <c r="FV104" s="29"/>
      <c r="FW104" s="29"/>
      <c r="FX104" s="29"/>
      <c r="FY104" s="29"/>
      <c r="FZ104" s="29"/>
      <c r="GA104" s="29"/>
      <c r="GB104" s="29"/>
      <c r="GC104" s="29"/>
      <c r="GD104" s="29"/>
      <c r="GE104" s="29"/>
      <c r="GF104" s="29"/>
      <c r="GG104" s="29"/>
      <c r="GH104" s="29"/>
      <c r="GI104" s="29"/>
      <c r="GJ104" s="29"/>
      <c r="GK104" s="29"/>
      <c r="GL104" s="29"/>
      <c r="GM104" s="29"/>
      <c r="GN104" s="29"/>
      <c r="GO104" s="29"/>
      <c r="GP104" s="29"/>
      <c r="GQ104" s="29"/>
      <c r="GR104" s="29"/>
      <c r="GS104" s="29"/>
      <c r="GT104" s="29"/>
      <c r="GU104" s="29"/>
      <c r="GV104" s="29"/>
      <c r="GW104" s="29"/>
      <c r="GX104" s="29"/>
      <c r="GY104" s="29"/>
      <c r="GZ104" s="29"/>
      <c r="HA104" s="29"/>
      <c r="HB104" s="29"/>
      <c r="HC104" s="29"/>
      <c r="HD104" s="29"/>
      <c r="HE104" s="29"/>
      <c r="HF104" s="29"/>
      <c r="HG104" s="29"/>
      <c r="HH104" s="29"/>
      <c r="HI104" s="29"/>
      <c r="HJ104" s="29"/>
      <c r="HK104" s="29"/>
      <c r="HL104" s="29"/>
      <c r="HM104" s="29"/>
      <c r="HN104" s="29"/>
      <c r="HO104" s="29"/>
      <c r="HP104" s="29"/>
      <c r="HQ104" s="29"/>
      <c r="HR104" s="29"/>
      <c r="HS104" s="29"/>
      <c r="HT104" s="29"/>
      <c r="HU104" s="29"/>
      <c r="HV104" s="29"/>
      <c r="HW104" s="29"/>
      <c r="HX104" s="29"/>
      <c r="HY104" s="29"/>
      <c r="HZ104" s="29"/>
      <c r="IA104" s="29"/>
      <c r="IB104" s="29"/>
      <c r="IC104" s="29"/>
      <c r="ID104" s="29"/>
      <c r="IE104" s="29"/>
      <c r="IF104" s="29"/>
      <c r="IG104" s="29"/>
      <c r="IH104" s="29"/>
      <c r="II104" s="29"/>
      <c r="IJ104" s="29"/>
      <c r="IK104" s="29"/>
      <c r="IL104" s="29"/>
      <c r="IM104" s="29"/>
      <c r="IN104" s="29"/>
      <c r="IO104" s="29"/>
      <c r="IP104" s="29"/>
      <c r="IQ104" s="29"/>
      <c r="IR104" s="29"/>
      <c r="IS104" s="29"/>
      <c r="IT104" s="29"/>
      <c r="IU104" s="29"/>
      <c r="IV104" s="29"/>
      <c r="IW104" s="29"/>
      <c r="IX104" s="29"/>
      <c r="IY104" s="29"/>
      <c r="IZ104" s="29"/>
      <c r="JA104" s="29"/>
      <c r="JB104" s="29"/>
      <c r="JC104" s="29"/>
      <c r="JD104" s="29"/>
      <c r="JE104" s="29"/>
      <c r="JF104" s="29"/>
      <c r="JG104" s="29"/>
      <c r="JH104" s="29"/>
      <c r="JI104" s="29"/>
      <c r="JJ104" s="29"/>
      <c r="JK104" s="29"/>
      <c r="JL104" s="29"/>
    </row>
    <row r="105" spans="1:272" ht="60">
      <c r="A105" s="199" t="s">
        <v>0</v>
      </c>
      <c r="B105" s="200" t="s">
        <v>1</v>
      </c>
      <c r="C105" s="201" t="s">
        <v>2</v>
      </c>
      <c r="D105" s="201" t="s">
        <v>3</v>
      </c>
      <c r="E105" s="201" t="s">
        <v>4</v>
      </c>
      <c r="F105" s="201" t="s">
        <v>5</v>
      </c>
      <c r="G105" s="201" t="s">
        <v>6</v>
      </c>
      <c r="H105" s="201" t="s">
        <v>7</v>
      </c>
      <c r="I105" s="201" t="s">
        <v>8</v>
      </c>
      <c r="J105" s="201" t="s">
        <v>9</v>
      </c>
      <c r="K105" s="201" t="s">
        <v>10</v>
      </c>
      <c r="L105" s="201" t="s">
        <v>11</v>
      </c>
      <c r="M105" s="201" t="s">
        <v>12</v>
      </c>
      <c r="N105" s="201" t="s">
        <v>13</v>
      </c>
      <c r="O105" s="201" t="s">
        <v>14</v>
      </c>
      <c r="P105" s="201" t="s">
        <v>15</v>
      </c>
      <c r="Q105" s="201" t="s">
        <v>16</v>
      </c>
      <c r="R105" s="201" t="s">
        <v>17</v>
      </c>
      <c r="S105" s="201" t="s">
        <v>18</v>
      </c>
      <c r="T105" s="201" t="s">
        <v>19</v>
      </c>
      <c r="U105" s="201" t="s">
        <v>20</v>
      </c>
      <c r="V105" s="201" t="s">
        <v>21</v>
      </c>
      <c r="W105" s="201" t="s">
        <v>22</v>
      </c>
      <c r="X105" s="201" t="s">
        <v>23</v>
      </c>
      <c r="Y105" s="201" t="s">
        <v>24</v>
      </c>
      <c r="Z105" s="201" t="s">
        <v>25</v>
      </c>
      <c r="AA105" s="202" t="s">
        <v>26</v>
      </c>
    </row>
    <row r="106" spans="1:272" ht="38.25" customHeight="1">
      <c r="A106" s="30" t="s">
        <v>71</v>
      </c>
      <c r="B106" s="30" t="s">
        <v>116</v>
      </c>
      <c r="C106" s="30" t="s">
        <v>144</v>
      </c>
      <c r="D106" s="30" t="s">
        <v>3339</v>
      </c>
      <c r="E106" s="52" t="s">
        <v>135</v>
      </c>
      <c r="F106" s="30" t="s">
        <v>289</v>
      </c>
      <c r="G106" s="30" t="s">
        <v>111</v>
      </c>
      <c r="H106" s="30">
        <v>541611</v>
      </c>
      <c r="I106" s="129" t="s">
        <v>3388</v>
      </c>
      <c r="J106" s="30" t="s">
        <v>129</v>
      </c>
      <c r="K106" s="30" t="s">
        <v>301</v>
      </c>
      <c r="L106" s="30" t="s">
        <v>301</v>
      </c>
      <c r="M106" s="39">
        <v>30344000</v>
      </c>
      <c r="N106" s="39">
        <v>30344000</v>
      </c>
      <c r="O106" s="30" t="s">
        <v>79</v>
      </c>
      <c r="P106" s="30"/>
      <c r="Q106" s="129" t="s">
        <v>867</v>
      </c>
      <c r="R106" s="30"/>
      <c r="S106" s="41">
        <v>2014</v>
      </c>
      <c r="T106" s="31" t="s">
        <v>3340</v>
      </c>
      <c r="U106" s="179" t="s">
        <v>3432</v>
      </c>
      <c r="V106" s="33" t="s">
        <v>3341</v>
      </c>
      <c r="W106" s="129" t="s">
        <v>151</v>
      </c>
      <c r="X106" s="30"/>
      <c r="Y106" s="30"/>
      <c r="Z106" s="30"/>
      <c r="AA106" s="30"/>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29"/>
      <c r="CA106" s="29"/>
      <c r="CB106" s="29"/>
      <c r="CC106" s="29"/>
      <c r="CD106" s="29"/>
      <c r="CE106" s="29"/>
      <c r="CF106" s="29"/>
      <c r="CG106" s="29"/>
      <c r="CH106" s="29"/>
      <c r="CI106" s="29"/>
      <c r="CJ106" s="29"/>
      <c r="CK106" s="29"/>
      <c r="CL106" s="29"/>
      <c r="CM106" s="29"/>
      <c r="CN106" s="29"/>
      <c r="CO106" s="29"/>
      <c r="CP106" s="29"/>
      <c r="CQ106" s="29"/>
      <c r="CR106" s="29"/>
      <c r="CS106" s="29"/>
      <c r="CT106" s="29"/>
      <c r="CU106" s="29"/>
      <c r="CV106" s="29"/>
      <c r="CW106" s="29"/>
      <c r="CX106" s="29"/>
      <c r="CY106" s="29"/>
      <c r="CZ106" s="29"/>
      <c r="DA106" s="29"/>
      <c r="DB106" s="29"/>
      <c r="DC106" s="29"/>
      <c r="DD106" s="29"/>
      <c r="DE106" s="29"/>
      <c r="DF106" s="29"/>
      <c r="DG106" s="29"/>
      <c r="DH106" s="29"/>
      <c r="DI106" s="29"/>
      <c r="DJ106" s="29"/>
      <c r="DK106" s="29"/>
      <c r="DL106" s="29"/>
      <c r="DM106" s="29"/>
      <c r="DN106" s="29"/>
      <c r="DO106" s="29"/>
      <c r="DP106" s="29"/>
      <c r="DQ106" s="29"/>
      <c r="DR106" s="29"/>
      <c r="DS106" s="29"/>
      <c r="DT106" s="29"/>
      <c r="DU106" s="29"/>
      <c r="DV106" s="29"/>
      <c r="DW106" s="29"/>
      <c r="DX106" s="29"/>
      <c r="DY106" s="29"/>
      <c r="DZ106" s="29"/>
      <c r="EA106" s="29"/>
      <c r="EB106" s="29"/>
      <c r="EC106" s="29"/>
      <c r="ED106" s="29"/>
      <c r="EE106" s="29"/>
      <c r="EF106" s="29"/>
      <c r="EG106" s="29"/>
      <c r="EH106" s="29"/>
      <c r="EI106" s="29"/>
      <c r="EJ106" s="29"/>
      <c r="EK106" s="29"/>
      <c r="EL106" s="29"/>
      <c r="EM106" s="29"/>
      <c r="EN106" s="29"/>
      <c r="EO106" s="29"/>
      <c r="EP106" s="29"/>
      <c r="EQ106" s="29"/>
      <c r="ER106" s="29"/>
      <c r="ES106" s="29"/>
      <c r="ET106" s="29"/>
      <c r="EU106" s="29"/>
      <c r="EV106" s="29"/>
      <c r="EW106" s="29"/>
      <c r="EX106" s="29"/>
      <c r="EY106" s="29"/>
      <c r="EZ106" s="29"/>
      <c r="FA106" s="29"/>
      <c r="FB106" s="29"/>
      <c r="FC106" s="29"/>
      <c r="FD106" s="29"/>
      <c r="FE106" s="29"/>
      <c r="FF106" s="29"/>
      <c r="FG106" s="29"/>
      <c r="FH106" s="29"/>
      <c r="FI106" s="29"/>
      <c r="FJ106" s="29"/>
      <c r="FK106" s="29"/>
      <c r="FL106" s="29"/>
      <c r="FM106" s="29"/>
      <c r="FN106" s="29"/>
      <c r="FO106" s="29"/>
      <c r="FP106" s="29"/>
      <c r="FQ106" s="29"/>
      <c r="FR106" s="29"/>
      <c r="FS106" s="29"/>
      <c r="FT106" s="29"/>
      <c r="FU106" s="29"/>
      <c r="FV106" s="29"/>
      <c r="FW106" s="29"/>
      <c r="FX106" s="29"/>
      <c r="FY106" s="29"/>
      <c r="FZ106" s="29"/>
      <c r="GA106" s="29"/>
      <c r="GB106" s="29"/>
      <c r="GC106" s="29"/>
      <c r="GD106" s="29"/>
      <c r="GE106" s="29"/>
      <c r="GF106" s="29"/>
      <c r="GG106" s="29"/>
      <c r="GH106" s="29"/>
      <c r="GI106" s="29"/>
      <c r="GJ106" s="29"/>
      <c r="GK106" s="29"/>
      <c r="GL106" s="29"/>
      <c r="GM106" s="29"/>
      <c r="GN106" s="29"/>
      <c r="GO106" s="29"/>
      <c r="GP106" s="29"/>
      <c r="GQ106" s="29"/>
      <c r="GR106" s="29"/>
      <c r="GS106" s="29"/>
      <c r="GT106" s="29"/>
      <c r="GU106" s="29"/>
      <c r="GV106" s="29"/>
      <c r="GW106" s="29"/>
      <c r="GX106" s="29"/>
      <c r="GY106" s="29"/>
      <c r="GZ106" s="29"/>
      <c r="HA106" s="29"/>
      <c r="HB106" s="29"/>
      <c r="HC106" s="29"/>
      <c r="HD106" s="29"/>
      <c r="HE106" s="29"/>
      <c r="HF106" s="29"/>
      <c r="HG106" s="29"/>
      <c r="HH106" s="29"/>
      <c r="HI106" s="29"/>
      <c r="HJ106" s="29"/>
      <c r="HK106" s="29"/>
      <c r="HL106" s="29"/>
      <c r="HM106" s="29"/>
      <c r="HN106" s="29"/>
      <c r="HO106" s="29"/>
      <c r="HP106" s="29"/>
      <c r="HQ106" s="29"/>
      <c r="HR106" s="29"/>
      <c r="HS106" s="29"/>
      <c r="HT106" s="29"/>
      <c r="HU106" s="29"/>
      <c r="HV106" s="29"/>
      <c r="HW106" s="29"/>
      <c r="HX106" s="29"/>
      <c r="HY106" s="29"/>
      <c r="HZ106" s="29"/>
      <c r="IA106" s="29"/>
      <c r="IB106" s="29"/>
      <c r="IC106" s="29"/>
      <c r="ID106" s="29"/>
      <c r="IE106" s="29"/>
      <c r="IF106" s="29"/>
      <c r="IG106" s="29"/>
      <c r="IH106" s="29"/>
      <c r="II106" s="29"/>
      <c r="IJ106" s="29"/>
      <c r="IK106" s="29"/>
      <c r="IL106" s="29"/>
      <c r="IM106" s="29"/>
      <c r="IN106" s="29"/>
      <c r="IO106" s="29"/>
      <c r="IP106" s="29"/>
      <c r="IQ106" s="29"/>
      <c r="IR106" s="29"/>
      <c r="IS106" s="29"/>
      <c r="IT106" s="29"/>
      <c r="IU106" s="29"/>
      <c r="IV106" s="29"/>
      <c r="IW106" s="29"/>
      <c r="IX106" s="29"/>
      <c r="IY106" s="29"/>
      <c r="IZ106" s="29"/>
      <c r="JA106" s="29"/>
      <c r="JB106" s="29"/>
      <c r="JC106" s="29"/>
      <c r="JD106" s="29"/>
      <c r="JE106" s="29"/>
      <c r="JF106" s="29"/>
      <c r="JG106" s="29"/>
      <c r="JH106" s="29"/>
      <c r="JI106" s="29"/>
      <c r="JJ106" s="29"/>
      <c r="JK106" s="29"/>
      <c r="JL106" s="29"/>
    </row>
    <row r="107" spans="1:272" ht="39" customHeight="1">
      <c r="A107" s="129" t="s">
        <v>71</v>
      </c>
      <c r="B107" s="30" t="s">
        <v>87</v>
      </c>
      <c r="C107" s="30" t="s">
        <v>286</v>
      </c>
      <c r="D107" s="30" t="s">
        <v>300</v>
      </c>
      <c r="E107" s="30"/>
      <c r="F107" s="129" t="s">
        <v>822</v>
      </c>
      <c r="G107" s="129" t="s">
        <v>3367</v>
      </c>
      <c r="H107" s="30">
        <v>811111</v>
      </c>
      <c r="I107" s="30" t="s">
        <v>98</v>
      </c>
      <c r="J107" s="30" t="s">
        <v>291</v>
      </c>
      <c r="K107" s="129" t="s">
        <v>292</v>
      </c>
      <c r="L107" s="30" t="s">
        <v>301</v>
      </c>
      <c r="M107" s="39">
        <v>500000</v>
      </c>
      <c r="N107" s="39">
        <v>2500000</v>
      </c>
      <c r="O107" s="30" t="s">
        <v>79</v>
      </c>
      <c r="P107" s="30" t="s">
        <v>302</v>
      </c>
      <c r="Q107" s="30" t="s">
        <v>294</v>
      </c>
      <c r="R107" s="129" t="s">
        <v>150</v>
      </c>
      <c r="S107" s="41">
        <v>2014</v>
      </c>
      <c r="T107" s="31" t="s">
        <v>303</v>
      </c>
      <c r="U107" s="31" t="s">
        <v>304</v>
      </c>
      <c r="V107" s="30" t="s">
        <v>305</v>
      </c>
      <c r="W107" s="129" t="s">
        <v>107</v>
      </c>
      <c r="X107" s="30" t="s">
        <v>306</v>
      </c>
      <c r="Y107" s="30" t="s">
        <v>307</v>
      </c>
      <c r="Z107" s="30" t="s">
        <v>308</v>
      </c>
      <c r="AA107" s="30" t="s">
        <v>309</v>
      </c>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29"/>
      <c r="BY107" s="29"/>
      <c r="BZ107" s="29"/>
      <c r="CA107" s="29"/>
      <c r="CB107" s="29"/>
      <c r="CC107" s="29"/>
      <c r="CD107" s="29"/>
      <c r="CE107" s="29"/>
      <c r="CF107" s="29"/>
      <c r="CG107" s="29"/>
      <c r="CH107" s="29"/>
      <c r="CI107" s="29"/>
      <c r="CJ107" s="29"/>
      <c r="CK107" s="29"/>
      <c r="CL107" s="29"/>
      <c r="CM107" s="29"/>
      <c r="CN107" s="29"/>
      <c r="CO107" s="29"/>
      <c r="CP107" s="29"/>
      <c r="CQ107" s="29"/>
      <c r="CR107" s="29"/>
      <c r="CS107" s="29"/>
      <c r="CT107" s="29"/>
      <c r="CU107" s="29"/>
      <c r="CV107" s="29"/>
      <c r="CW107" s="29"/>
      <c r="CX107" s="29"/>
      <c r="CY107" s="29"/>
      <c r="CZ107" s="29"/>
      <c r="DA107" s="29"/>
      <c r="DB107" s="29"/>
      <c r="DC107" s="29"/>
      <c r="DD107" s="29"/>
      <c r="DE107" s="29"/>
      <c r="DF107" s="29"/>
      <c r="DG107" s="29"/>
      <c r="DH107" s="29"/>
      <c r="DI107" s="29"/>
      <c r="DJ107" s="29"/>
      <c r="DK107" s="29"/>
      <c r="DL107" s="29"/>
      <c r="DM107" s="29"/>
      <c r="DN107" s="29"/>
      <c r="DO107" s="29"/>
      <c r="DP107" s="29"/>
      <c r="DQ107" s="29"/>
      <c r="DR107" s="29"/>
      <c r="DS107" s="29"/>
      <c r="DT107" s="29"/>
      <c r="DU107" s="29"/>
      <c r="DV107" s="29"/>
      <c r="DW107" s="29"/>
      <c r="DX107" s="29"/>
      <c r="DY107" s="29"/>
      <c r="DZ107" s="29"/>
      <c r="EA107" s="29"/>
      <c r="EB107" s="29"/>
      <c r="EC107" s="29"/>
      <c r="ED107" s="29"/>
      <c r="EE107" s="29"/>
      <c r="EF107" s="29"/>
      <c r="EG107" s="29"/>
      <c r="EH107" s="29"/>
      <c r="EI107" s="29"/>
      <c r="EJ107" s="29"/>
      <c r="EK107" s="29"/>
      <c r="EL107" s="29"/>
      <c r="EM107" s="29"/>
      <c r="EN107" s="29"/>
      <c r="EO107" s="29"/>
      <c r="EP107" s="29"/>
      <c r="EQ107" s="29"/>
      <c r="ER107" s="29"/>
      <c r="ES107" s="29"/>
      <c r="ET107" s="29"/>
      <c r="EU107" s="29"/>
      <c r="EV107" s="29"/>
      <c r="EW107" s="29"/>
      <c r="EX107" s="29"/>
      <c r="EY107" s="29"/>
      <c r="EZ107" s="29"/>
      <c r="FA107" s="29"/>
      <c r="FB107" s="29"/>
      <c r="FC107" s="29"/>
      <c r="FD107" s="29"/>
      <c r="FE107" s="29"/>
      <c r="FF107" s="29"/>
      <c r="FG107" s="29"/>
      <c r="FH107" s="29"/>
      <c r="FI107" s="29"/>
      <c r="FJ107" s="29"/>
      <c r="FK107" s="29"/>
      <c r="FL107" s="29"/>
      <c r="FM107" s="29"/>
      <c r="FN107" s="29"/>
      <c r="FO107" s="29"/>
      <c r="FP107" s="29"/>
      <c r="FQ107" s="29"/>
      <c r="FR107" s="29"/>
      <c r="FS107" s="29"/>
      <c r="FT107" s="29"/>
      <c r="FU107" s="29"/>
      <c r="FV107" s="29"/>
      <c r="FW107" s="29"/>
      <c r="FX107" s="29"/>
      <c r="FY107" s="29"/>
      <c r="FZ107" s="29"/>
      <c r="GA107" s="29"/>
      <c r="GB107" s="29"/>
      <c r="GC107" s="29"/>
      <c r="GD107" s="29"/>
      <c r="GE107" s="29"/>
      <c r="GF107" s="29"/>
      <c r="GG107" s="29"/>
      <c r="GH107" s="29"/>
      <c r="GI107" s="29"/>
      <c r="GJ107" s="29"/>
      <c r="GK107" s="29"/>
      <c r="GL107" s="29"/>
      <c r="GM107" s="29"/>
      <c r="GN107" s="29"/>
      <c r="GO107" s="29"/>
      <c r="GP107" s="29"/>
      <c r="GQ107" s="29"/>
      <c r="GR107" s="29"/>
      <c r="GS107" s="29"/>
      <c r="GT107" s="29"/>
      <c r="GU107" s="29"/>
      <c r="GV107" s="29"/>
      <c r="GW107" s="29"/>
      <c r="GX107" s="29"/>
      <c r="GY107" s="29"/>
      <c r="GZ107" s="29"/>
      <c r="HA107" s="29"/>
      <c r="HB107" s="29"/>
      <c r="HC107" s="29"/>
      <c r="HD107" s="29"/>
      <c r="HE107" s="29"/>
      <c r="HF107" s="29"/>
      <c r="HG107" s="29"/>
      <c r="HH107" s="29"/>
      <c r="HI107" s="29"/>
      <c r="HJ107" s="29"/>
      <c r="HK107" s="29"/>
      <c r="HL107" s="29"/>
      <c r="HM107" s="29"/>
      <c r="HN107" s="29"/>
      <c r="HO107" s="29"/>
      <c r="HP107" s="29"/>
      <c r="HQ107" s="29"/>
      <c r="HR107" s="29"/>
      <c r="HS107" s="29"/>
      <c r="HT107" s="29"/>
      <c r="HU107" s="29"/>
      <c r="HV107" s="29"/>
      <c r="HW107" s="29"/>
      <c r="HX107" s="29"/>
      <c r="HY107" s="29"/>
      <c r="HZ107" s="29"/>
      <c r="IA107" s="29"/>
      <c r="IB107" s="29"/>
      <c r="IC107" s="29"/>
      <c r="ID107" s="29"/>
      <c r="IE107" s="29"/>
      <c r="IF107" s="29"/>
      <c r="IG107" s="29"/>
      <c r="IH107" s="29"/>
      <c r="II107" s="29"/>
      <c r="IJ107" s="29"/>
      <c r="IK107" s="29"/>
      <c r="IL107" s="29"/>
      <c r="IM107" s="29"/>
      <c r="IN107" s="29"/>
      <c r="IO107" s="29"/>
      <c r="IP107" s="29"/>
      <c r="IQ107" s="29"/>
      <c r="IR107" s="29"/>
      <c r="IS107" s="29"/>
      <c r="IT107" s="29"/>
      <c r="IU107" s="29"/>
      <c r="IV107" s="29"/>
      <c r="IW107" s="29"/>
      <c r="IX107" s="29"/>
      <c r="IY107" s="29"/>
      <c r="IZ107" s="29"/>
      <c r="JA107" s="29"/>
      <c r="JB107" s="29"/>
      <c r="JC107" s="29"/>
      <c r="JD107" s="29"/>
      <c r="JE107" s="29"/>
      <c r="JF107" s="29"/>
      <c r="JG107" s="29"/>
      <c r="JH107" s="29"/>
      <c r="JI107" s="29"/>
      <c r="JJ107" s="29"/>
      <c r="JK107" s="29"/>
      <c r="JL107" s="29"/>
    </row>
    <row r="108" spans="1:272" ht="38.25">
      <c r="A108" s="30" t="s">
        <v>71</v>
      </c>
      <c r="B108" s="30" t="s">
        <v>116</v>
      </c>
      <c r="C108" s="30" t="s">
        <v>286</v>
      </c>
      <c r="D108" s="30" t="s">
        <v>310</v>
      </c>
      <c r="E108" s="30" t="s">
        <v>288</v>
      </c>
      <c r="F108" s="30" t="s">
        <v>289</v>
      </c>
      <c r="G108" s="30" t="s">
        <v>111</v>
      </c>
      <c r="H108" s="30">
        <v>541611</v>
      </c>
      <c r="I108" s="30" t="s">
        <v>98</v>
      </c>
      <c r="J108" s="30" t="s">
        <v>291</v>
      </c>
      <c r="K108" s="30" t="s">
        <v>311</v>
      </c>
      <c r="L108" s="30" t="s">
        <v>301</v>
      </c>
      <c r="M108" s="39">
        <v>5600000</v>
      </c>
      <c r="N108" s="39">
        <v>28000000</v>
      </c>
      <c r="O108" s="30" t="s">
        <v>79</v>
      </c>
      <c r="P108" s="30" t="s">
        <v>302</v>
      </c>
      <c r="Q108" s="30" t="s">
        <v>294</v>
      </c>
      <c r="R108" s="155" t="s">
        <v>80</v>
      </c>
      <c r="S108" s="41">
        <v>2014</v>
      </c>
      <c r="T108" s="31" t="s">
        <v>312</v>
      </c>
      <c r="U108" s="31" t="s">
        <v>313</v>
      </c>
      <c r="V108" s="30" t="s">
        <v>314</v>
      </c>
      <c r="W108" s="129" t="s">
        <v>107</v>
      </c>
      <c r="X108" s="30" t="s">
        <v>307</v>
      </c>
      <c r="Y108" s="30" t="s">
        <v>298</v>
      </c>
      <c r="Z108" s="30" t="s">
        <v>315</v>
      </c>
      <c r="AA108" s="30" t="s">
        <v>3349</v>
      </c>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9"/>
      <c r="CA108" s="29"/>
      <c r="CB108" s="29"/>
      <c r="CC108" s="29"/>
      <c r="CD108" s="29"/>
      <c r="CE108" s="29"/>
      <c r="CF108" s="29"/>
      <c r="CG108" s="29"/>
      <c r="CH108" s="29"/>
      <c r="CI108" s="29"/>
      <c r="CJ108" s="29"/>
      <c r="CK108" s="29"/>
      <c r="CL108" s="29"/>
      <c r="CM108" s="29"/>
      <c r="CN108" s="29"/>
      <c r="CO108" s="29"/>
      <c r="CP108" s="29"/>
      <c r="CQ108" s="29"/>
      <c r="CR108" s="29"/>
      <c r="CS108" s="29"/>
      <c r="CT108" s="29"/>
      <c r="CU108" s="29"/>
      <c r="CV108" s="29"/>
      <c r="CW108" s="29"/>
      <c r="CX108" s="29"/>
      <c r="CY108" s="29"/>
      <c r="CZ108" s="29"/>
      <c r="DA108" s="29"/>
      <c r="DB108" s="29"/>
      <c r="DC108" s="29"/>
      <c r="DD108" s="29"/>
      <c r="DE108" s="29"/>
      <c r="DF108" s="29"/>
      <c r="DG108" s="29"/>
      <c r="DH108" s="29"/>
      <c r="DI108" s="29"/>
      <c r="DJ108" s="29"/>
      <c r="DK108" s="29"/>
      <c r="DL108" s="29"/>
      <c r="DM108" s="29"/>
      <c r="DN108" s="29"/>
      <c r="DO108" s="29"/>
      <c r="DP108" s="29"/>
      <c r="DQ108" s="29"/>
      <c r="DR108" s="29"/>
      <c r="DS108" s="29"/>
      <c r="DT108" s="29"/>
      <c r="DU108" s="29"/>
      <c r="DV108" s="29"/>
      <c r="DW108" s="29"/>
      <c r="DX108" s="29"/>
      <c r="DY108" s="29"/>
      <c r="DZ108" s="29"/>
      <c r="EA108" s="29"/>
      <c r="EB108" s="29"/>
      <c r="EC108" s="29"/>
      <c r="ED108" s="29"/>
      <c r="EE108" s="29"/>
      <c r="EF108" s="29"/>
      <c r="EG108" s="29"/>
      <c r="EH108" s="29"/>
      <c r="EI108" s="29"/>
      <c r="EJ108" s="29"/>
      <c r="EK108" s="29"/>
      <c r="EL108" s="29"/>
      <c r="EM108" s="29"/>
      <c r="EN108" s="29"/>
      <c r="EO108" s="29"/>
      <c r="EP108" s="29"/>
      <c r="EQ108" s="29"/>
      <c r="ER108" s="29"/>
      <c r="ES108" s="29"/>
      <c r="ET108" s="29"/>
      <c r="EU108" s="29"/>
      <c r="EV108" s="29"/>
      <c r="EW108" s="29"/>
      <c r="EX108" s="29"/>
      <c r="EY108" s="29"/>
      <c r="EZ108" s="29"/>
      <c r="FA108" s="29"/>
      <c r="FB108" s="29"/>
      <c r="FC108" s="29"/>
      <c r="FD108" s="29"/>
      <c r="FE108" s="29"/>
      <c r="FF108" s="29"/>
      <c r="FG108" s="29"/>
      <c r="FH108" s="29"/>
      <c r="FI108" s="29"/>
      <c r="FJ108" s="29"/>
      <c r="FK108" s="29"/>
      <c r="FL108" s="29"/>
      <c r="FM108" s="29"/>
      <c r="FN108" s="29"/>
      <c r="FO108" s="29"/>
      <c r="FP108" s="29"/>
      <c r="FQ108" s="29"/>
      <c r="FR108" s="29"/>
      <c r="FS108" s="29"/>
      <c r="FT108" s="29"/>
      <c r="FU108" s="29"/>
      <c r="FV108" s="29"/>
      <c r="FW108" s="29"/>
      <c r="FX108" s="29"/>
      <c r="FY108" s="29"/>
      <c r="FZ108" s="29"/>
      <c r="GA108" s="29"/>
      <c r="GB108" s="29"/>
      <c r="GC108" s="29"/>
      <c r="GD108" s="29"/>
      <c r="GE108" s="29"/>
      <c r="GF108" s="29"/>
      <c r="GG108" s="29"/>
      <c r="GH108" s="29"/>
      <c r="GI108" s="29"/>
      <c r="GJ108" s="29"/>
      <c r="GK108" s="29"/>
      <c r="GL108" s="29"/>
      <c r="GM108" s="29"/>
      <c r="GN108" s="29"/>
      <c r="GO108" s="29"/>
      <c r="GP108" s="29"/>
      <c r="GQ108" s="29"/>
      <c r="GR108" s="29"/>
      <c r="GS108" s="29"/>
      <c r="GT108" s="29"/>
      <c r="GU108" s="29"/>
      <c r="GV108" s="29"/>
      <c r="GW108" s="29"/>
      <c r="GX108" s="29"/>
      <c r="GY108" s="29"/>
      <c r="GZ108" s="29"/>
      <c r="HA108" s="29"/>
      <c r="HB108" s="29"/>
      <c r="HC108" s="29"/>
      <c r="HD108" s="29"/>
      <c r="HE108" s="29"/>
      <c r="HF108" s="29"/>
      <c r="HG108" s="29"/>
      <c r="HH108" s="29"/>
      <c r="HI108" s="29"/>
      <c r="HJ108" s="29"/>
      <c r="HK108" s="29"/>
      <c r="HL108" s="29"/>
      <c r="HM108" s="29"/>
      <c r="HN108" s="29"/>
      <c r="HO108" s="29"/>
      <c r="HP108" s="29"/>
      <c r="HQ108" s="29"/>
      <c r="HR108" s="29"/>
      <c r="HS108" s="29"/>
      <c r="HT108" s="29"/>
      <c r="HU108" s="29"/>
      <c r="HV108" s="29"/>
      <c r="HW108" s="29"/>
      <c r="HX108" s="29"/>
      <c r="HY108" s="29"/>
      <c r="HZ108" s="29"/>
      <c r="IA108" s="29"/>
      <c r="IB108" s="29"/>
      <c r="IC108" s="29"/>
      <c r="ID108" s="29"/>
      <c r="IE108" s="29"/>
      <c r="IF108" s="29"/>
      <c r="IG108" s="29"/>
      <c r="IH108" s="29"/>
      <c r="II108" s="29"/>
      <c r="IJ108" s="29"/>
      <c r="IK108" s="29"/>
      <c r="IL108" s="29"/>
      <c r="IM108" s="29"/>
      <c r="IN108" s="29"/>
      <c r="IO108" s="29"/>
      <c r="IP108" s="29"/>
      <c r="IQ108" s="29"/>
      <c r="IR108" s="29"/>
      <c r="IS108" s="29"/>
      <c r="IT108" s="29"/>
      <c r="IU108" s="29"/>
      <c r="IV108" s="29"/>
      <c r="IW108" s="29"/>
      <c r="IX108" s="29"/>
      <c r="IY108" s="29"/>
      <c r="IZ108" s="29"/>
      <c r="JA108" s="29"/>
      <c r="JB108" s="29"/>
      <c r="JC108" s="29"/>
      <c r="JD108" s="29"/>
      <c r="JE108" s="29"/>
      <c r="JF108" s="29"/>
      <c r="JG108" s="29"/>
      <c r="JH108" s="29"/>
      <c r="JI108" s="29"/>
      <c r="JJ108" s="29"/>
      <c r="JK108" s="29"/>
      <c r="JL108" s="29"/>
    </row>
    <row r="109" spans="1:272" ht="38.25" customHeight="1">
      <c r="A109" s="30" t="s">
        <v>142</v>
      </c>
      <c r="B109" s="30" t="s">
        <v>116</v>
      </c>
      <c r="C109" s="30" t="s">
        <v>144</v>
      </c>
      <c r="D109" s="30" t="s">
        <v>327</v>
      </c>
      <c r="E109" s="129" t="s">
        <v>96</v>
      </c>
      <c r="F109" s="30"/>
      <c r="G109" s="30"/>
      <c r="H109" s="30"/>
      <c r="I109" s="129" t="s">
        <v>98</v>
      </c>
      <c r="J109" s="30" t="s">
        <v>129</v>
      </c>
      <c r="K109" s="30" t="s">
        <v>34</v>
      </c>
      <c r="L109" s="30" t="s">
        <v>34</v>
      </c>
      <c r="M109" s="39"/>
      <c r="N109" s="39"/>
      <c r="O109" s="30"/>
      <c r="P109" s="30" t="s">
        <v>330</v>
      </c>
      <c r="Q109" s="129" t="s">
        <v>3416</v>
      </c>
      <c r="R109" s="155" t="s">
        <v>80</v>
      </c>
      <c r="S109" s="41">
        <v>2014</v>
      </c>
      <c r="T109" s="31" t="s">
        <v>331</v>
      </c>
      <c r="U109" s="31" t="s">
        <v>332</v>
      </c>
      <c r="V109" s="30" t="s">
        <v>333</v>
      </c>
      <c r="W109" s="129" t="s">
        <v>81</v>
      </c>
      <c r="X109" s="30" t="s">
        <v>334</v>
      </c>
      <c r="Y109" s="30" t="s">
        <v>334</v>
      </c>
      <c r="Z109" s="30" t="s">
        <v>335</v>
      </c>
      <c r="AA109" s="30" t="s">
        <v>3350</v>
      </c>
      <c r="JB109" s="29"/>
      <c r="JC109" s="29"/>
      <c r="JD109" s="29"/>
      <c r="JE109" s="29"/>
      <c r="JF109" s="29"/>
      <c r="JG109" s="29"/>
      <c r="JH109" s="29"/>
      <c r="JI109" s="29"/>
      <c r="JJ109" s="29"/>
      <c r="JK109" s="29"/>
      <c r="JL109" s="29"/>
    </row>
    <row r="110" spans="1:272" ht="38.25" customHeight="1">
      <c r="A110" s="30" t="s">
        <v>142</v>
      </c>
      <c r="B110" s="30" t="s">
        <v>116</v>
      </c>
      <c r="C110" s="30" t="s">
        <v>144</v>
      </c>
      <c r="D110" s="30" t="s">
        <v>336</v>
      </c>
      <c r="E110" s="129" t="s">
        <v>96</v>
      </c>
      <c r="F110" s="30" t="s">
        <v>289</v>
      </c>
      <c r="G110" s="30" t="s">
        <v>111</v>
      </c>
      <c r="H110" s="30"/>
      <c r="I110" s="129" t="s">
        <v>98</v>
      </c>
      <c r="J110" s="129" t="s">
        <v>129</v>
      </c>
      <c r="K110" s="30" t="s">
        <v>34</v>
      </c>
      <c r="L110" s="30" t="s">
        <v>34</v>
      </c>
      <c r="M110" s="39"/>
      <c r="N110" s="39"/>
      <c r="O110" s="30"/>
      <c r="P110" s="30" t="s">
        <v>337</v>
      </c>
      <c r="Q110" s="129" t="s">
        <v>3416</v>
      </c>
      <c r="R110" s="155" t="s">
        <v>80</v>
      </c>
      <c r="S110" s="41">
        <v>2014</v>
      </c>
      <c r="T110" s="31" t="s">
        <v>338</v>
      </c>
      <c r="U110" s="31" t="s">
        <v>339</v>
      </c>
      <c r="V110" s="43" t="s">
        <v>3351</v>
      </c>
      <c r="W110" s="129" t="s">
        <v>81</v>
      </c>
      <c r="X110" s="30"/>
      <c r="Y110" s="30"/>
      <c r="Z110" s="30"/>
      <c r="AA110" s="30" t="s">
        <v>3350</v>
      </c>
      <c r="JB110" s="29"/>
      <c r="JC110" s="29"/>
      <c r="JD110" s="29"/>
      <c r="JE110" s="29"/>
      <c r="JF110" s="29"/>
      <c r="JG110" s="29"/>
      <c r="JH110" s="29"/>
      <c r="JI110" s="29"/>
      <c r="JJ110" s="29"/>
      <c r="JK110" s="29"/>
      <c r="JL110" s="29"/>
    </row>
    <row r="111" spans="1:272" ht="38.25" customHeight="1">
      <c r="A111" s="30" t="s">
        <v>142</v>
      </c>
      <c r="B111" s="31" t="s">
        <v>109</v>
      </c>
      <c r="C111" s="30" t="s">
        <v>39</v>
      </c>
      <c r="D111" s="30" t="s">
        <v>340</v>
      </c>
      <c r="E111" s="30" t="s">
        <v>164</v>
      </c>
      <c r="F111" s="30" t="s">
        <v>341</v>
      </c>
      <c r="G111" s="129" t="s">
        <v>75</v>
      </c>
      <c r="H111" s="30">
        <v>236220</v>
      </c>
      <c r="I111" s="30" t="s">
        <v>342</v>
      </c>
      <c r="J111" s="129" t="s">
        <v>3396</v>
      </c>
      <c r="K111" s="30"/>
      <c r="L111" s="129" t="s">
        <v>745</v>
      </c>
      <c r="M111" s="39">
        <v>1000000</v>
      </c>
      <c r="N111" s="39">
        <v>5000000</v>
      </c>
      <c r="O111" s="129" t="s">
        <v>79</v>
      </c>
      <c r="P111" s="30" t="s">
        <v>302</v>
      </c>
      <c r="Q111" s="30" t="s">
        <v>345</v>
      </c>
      <c r="R111" s="155" t="s">
        <v>80</v>
      </c>
      <c r="S111" s="41">
        <v>2014</v>
      </c>
      <c r="T111" s="155" t="s">
        <v>3430</v>
      </c>
      <c r="U111" s="184" t="s">
        <v>3431</v>
      </c>
      <c r="V111" s="30" t="s">
        <v>346</v>
      </c>
      <c r="W111" s="129" t="s">
        <v>120</v>
      </c>
      <c r="X111" s="30" t="s">
        <v>44</v>
      </c>
      <c r="Y111" s="30"/>
      <c r="Z111" s="30"/>
      <c r="AA111" s="30"/>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29"/>
      <c r="CA111" s="29"/>
      <c r="CB111" s="29"/>
      <c r="CC111" s="29"/>
      <c r="CD111" s="29"/>
      <c r="CE111" s="29"/>
      <c r="CF111" s="29"/>
      <c r="CG111" s="29"/>
      <c r="CH111" s="29"/>
      <c r="CI111" s="29"/>
      <c r="CJ111" s="29"/>
      <c r="CK111" s="29"/>
      <c r="CL111" s="29"/>
      <c r="CM111" s="29"/>
      <c r="CN111" s="29"/>
      <c r="CO111" s="29"/>
      <c r="CP111" s="29"/>
      <c r="CQ111" s="29"/>
      <c r="CR111" s="29"/>
      <c r="CS111" s="29"/>
      <c r="CT111" s="29"/>
      <c r="CU111" s="29"/>
      <c r="CV111" s="29"/>
      <c r="CW111" s="29"/>
      <c r="CX111" s="29"/>
      <c r="CY111" s="29"/>
      <c r="CZ111" s="29"/>
      <c r="DA111" s="29"/>
      <c r="DB111" s="29"/>
      <c r="DC111" s="29"/>
      <c r="DD111" s="29"/>
      <c r="DE111" s="29"/>
      <c r="DF111" s="29"/>
      <c r="DG111" s="29"/>
      <c r="DH111" s="29"/>
      <c r="DI111" s="29"/>
      <c r="DJ111" s="29"/>
      <c r="DK111" s="29"/>
      <c r="DL111" s="29"/>
      <c r="DM111" s="29"/>
      <c r="DN111" s="29"/>
      <c r="DO111" s="29"/>
      <c r="DP111" s="29"/>
      <c r="DQ111" s="29"/>
      <c r="DR111" s="29"/>
      <c r="DS111" s="29"/>
      <c r="DT111" s="29"/>
      <c r="DU111" s="29"/>
      <c r="DV111" s="29"/>
      <c r="DW111" s="29"/>
      <c r="DX111" s="29"/>
      <c r="DY111" s="29"/>
      <c r="DZ111" s="29"/>
      <c r="EA111" s="29"/>
      <c r="EB111" s="29"/>
      <c r="EC111" s="29"/>
      <c r="ED111" s="29"/>
      <c r="EE111" s="29"/>
      <c r="EF111" s="29"/>
      <c r="EG111" s="29"/>
      <c r="EH111" s="29"/>
      <c r="EI111" s="29"/>
      <c r="EJ111" s="29"/>
      <c r="EK111" s="29"/>
      <c r="EL111" s="29"/>
      <c r="EM111" s="29"/>
      <c r="EN111" s="29"/>
      <c r="EO111" s="29"/>
      <c r="EP111" s="29"/>
      <c r="EQ111" s="29"/>
      <c r="ER111" s="29"/>
      <c r="ES111" s="29"/>
      <c r="ET111" s="29"/>
      <c r="EU111" s="29"/>
      <c r="EV111" s="29"/>
      <c r="EW111" s="29"/>
      <c r="EX111" s="29"/>
      <c r="EY111" s="29"/>
      <c r="EZ111" s="29"/>
      <c r="FA111" s="29"/>
      <c r="FB111" s="29"/>
      <c r="FC111" s="29"/>
      <c r="FD111" s="29"/>
      <c r="FE111" s="29"/>
      <c r="FF111" s="29"/>
      <c r="FG111" s="29"/>
      <c r="FH111" s="29"/>
      <c r="FI111" s="29"/>
      <c r="FJ111" s="29"/>
      <c r="FK111" s="29"/>
      <c r="FL111" s="29"/>
      <c r="FM111" s="29"/>
      <c r="FN111" s="29"/>
      <c r="FO111" s="29"/>
      <c r="FP111" s="29"/>
      <c r="FQ111" s="29"/>
      <c r="FR111" s="29"/>
      <c r="FS111" s="29"/>
      <c r="FT111" s="29"/>
      <c r="FU111" s="29"/>
      <c r="FV111" s="29"/>
      <c r="FW111" s="29"/>
      <c r="FX111" s="29"/>
      <c r="FY111" s="29"/>
      <c r="FZ111" s="29"/>
      <c r="GA111" s="29"/>
      <c r="GB111" s="29"/>
      <c r="GC111" s="29"/>
      <c r="GD111" s="29"/>
      <c r="GE111" s="29"/>
      <c r="GF111" s="29"/>
      <c r="GG111" s="29"/>
      <c r="GH111" s="29"/>
      <c r="GI111" s="29"/>
      <c r="GJ111" s="29"/>
      <c r="GK111" s="29"/>
      <c r="GL111" s="29"/>
      <c r="GM111" s="29"/>
      <c r="GN111" s="29"/>
      <c r="GO111" s="29"/>
      <c r="GP111" s="29"/>
      <c r="GQ111" s="29"/>
      <c r="GR111" s="29"/>
      <c r="GS111" s="29"/>
      <c r="GT111" s="29"/>
      <c r="GU111" s="29"/>
      <c r="GV111" s="29"/>
      <c r="GW111" s="29"/>
      <c r="GX111" s="29"/>
      <c r="GY111" s="29"/>
      <c r="GZ111" s="29"/>
      <c r="HA111" s="29"/>
      <c r="HB111" s="29"/>
      <c r="HC111" s="29"/>
      <c r="HD111" s="29"/>
      <c r="HE111" s="29"/>
      <c r="HF111" s="29"/>
      <c r="HG111" s="29"/>
      <c r="HH111" s="29"/>
      <c r="HI111" s="29"/>
      <c r="HJ111" s="29"/>
      <c r="HK111" s="29"/>
      <c r="HL111" s="29"/>
      <c r="HM111" s="29"/>
      <c r="HN111" s="29"/>
      <c r="HO111" s="29"/>
      <c r="HP111" s="29"/>
      <c r="HQ111" s="29"/>
      <c r="HR111" s="29"/>
      <c r="HS111" s="29"/>
      <c r="HT111" s="29"/>
      <c r="HU111" s="29"/>
      <c r="HV111" s="29"/>
      <c r="HW111" s="29"/>
      <c r="HX111" s="29"/>
      <c r="HY111" s="29"/>
      <c r="HZ111" s="29"/>
      <c r="IA111" s="29"/>
      <c r="IB111" s="29"/>
      <c r="IC111" s="29"/>
      <c r="ID111" s="29"/>
      <c r="IE111" s="29"/>
      <c r="IF111" s="29"/>
      <c r="IG111" s="29"/>
      <c r="IH111" s="29"/>
      <c r="II111" s="29"/>
      <c r="IJ111" s="29"/>
      <c r="IK111" s="29"/>
      <c r="IL111" s="29"/>
      <c r="IM111" s="29"/>
      <c r="IN111" s="29"/>
      <c r="IO111" s="29"/>
      <c r="IP111" s="29"/>
      <c r="IQ111" s="29"/>
      <c r="IR111" s="29"/>
      <c r="IS111" s="29"/>
      <c r="IT111" s="29"/>
      <c r="IU111" s="29"/>
      <c r="IV111" s="29"/>
      <c r="IW111" s="29"/>
      <c r="IX111" s="29"/>
      <c r="IY111" s="29"/>
      <c r="IZ111" s="29"/>
      <c r="JA111" s="29"/>
      <c r="JB111" s="29"/>
      <c r="JC111" s="29"/>
      <c r="JD111" s="29"/>
      <c r="JE111" s="29"/>
      <c r="JF111" s="29"/>
      <c r="JG111" s="29"/>
      <c r="JH111" s="29"/>
      <c r="JI111" s="29"/>
      <c r="JJ111" s="29"/>
      <c r="JK111" s="29"/>
      <c r="JL111" s="29"/>
    </row>
    <row r="112" spans="1:272" ht="38.25" customHeight="1">
      <c r="A112" s="30" t="s">
        <v>142</v>
      </c>
      <c r="B112" s="31" t="s">
        <v>109</v>
      </c>
      <c r="C112" s="30" t="s">
        <v>39</v>
      </c>
      <c r="D112" s="30" t="s">
        <v>347</v>
      </c>
      <c r="E112" s="30" t="s">
        <v>164</v>
      </c>
      <c r="F112" s="30" t="s">
        <v>341</v>
      </c>
      <c r="G112" s="129" t="s">
        <v>75</v>
      </c>
      <c r="H112" s="30">
        <v>236220</v>
      </c>
      <c r="I112" s="30" t="s">
        <v>343</v>
      </c>
      <c r="J112" s="129" t="s">
        <v>3396</v>
      </c>
      <c r="K112" s="30" t="s">
        <v>98</v>
      </c>
      <c r="L112" s="30"/>
      <c r="M112" s="39">
        <v>100000</v>
      </c>
      <c r="N112" s="39">
        <v>205000</v>
      </c>
      <c r="O112" s="129" t="s">
        <v>79</v>
      </c>
      <c r="P112" s="30" t="s">
        <v>302</v>
      </c>
      <c r="Q112" s="30" t="s">
        <v>345</v>
      </c>
      <c r="R112" s="155" t="s">
        <v>80</v>
      </c>
      <c r="S112" s="41">
        <v>2014</v>
      </c>
      <c r="T112" s="155" t="s">
        <v>3430</v>
      </c>
      <c r="U112" s="184" t="s">
        <v>3431</v>
      </c>
      <c r="V112" s="30" t="s">
        <v>346</v>
      </c>
      <c r="W112" s="129" t="s">
        <v>120</v>
      </c>
      <c r="Y112" s="30"/>
      <c r="Z112" s="30"/>
      <c r="AA112" s="30" t="s">
        <v>348</v>
      </c>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c r="BR112" s="29"/>
      <c r="BS112" s="29"/>
      <c r="BT112" s="29"/>
      <c r="BU112" s="29"/>
      <c r="BV112" s="29"/>
      <c r="BW112" s="29"/>
      <c r="BX112" s="29"/>
      <c r="BY112" s="29"/>
      <c r="BZ112" s="29"/>
      <c r="CA112" s="29"/>
      <c r="CB112" s="29"/>
      <c r="CC112" s="29"/>
      <c r="CD112" s="29"/>
      <c r="CE112" s="29"/>
      <c r="CF112" s="29"/>
      <c r="CG112" s="29"/>
      <c r="CH112" s="29"/>
      <c r="CI112" s="29"/>
      <c r="CJ112" s="29"/>
      <c r="CK112" s="29"/>
      <c r="CL112" s="29"/>
      <c r="CM112" s="29"/>
      <c r="CN112" s="29"/>
      <c r="CO112" s="29"/>
      <c r="CP112" s="29"/>
      <c r="CQ112" s="29"/>
      <c r="CR112" s="29"/>
      <c r="CS112" s="29"/>
      <c r="CT112" s="29"/>
      <c r="CU112" s="29"/>
      <c r="CV112" s="29"/>
      <c r="CW112" s="29"/>
      <c r="CX112" s="29"/>
      <c r="CY112" s="29"/>
      <c r="CZ112" s="29"/>
      <c r="DA112" s="29"/>
      <c r="DB112" s="29"/>
      <c r="DC112" s="29"/>
      <c r="DD112" s="29"/>
      <c r="DE112" s="29"/>
      <c r="DF112" s="29"/>
      <c r="DG112" s="29"/>
      <c r="DH112" s="29"/>
      <c r="DI112" s="29"/>
      <c r="DJ112" s="29"/>
      <c r="DK112" s="29"/>
      <c r="DL112" s="29"/>
      <c r="DM112" s="29"/>
      <c r="DN112" s="29"/>
      <c r="DO112" s="29"/>
      <c r="DP112" s="29"/>
      <c r="DQ112" s="29"/>
      <c r="DR112" s="29"/>
      <c r="DS112" s="29"/>
      <c r="DT112" s="29"/>
      <c r="DU112" s="29"/>
      <c r="DV112" s="29"/>
      <c r="DW112" s="29"/>
      <c r="DX112" s="29"/>
      <c r="DY112" s="29"/>
      <c r="DZ112" s="29"/>
      <c r="EA112" s="29"/>
      <c r="EB112" s="29"/>
      <c r="EC112" s="29"/>
      <c r="ED112" s="29"/>
      <c r="EE112" s="29"/>
      <c r="EF112" s="29"/>
      <c r="EG112" s="29"/>
      <c r="EH112" s="29"/>
      <c r="EI112" s="29"/>
      <c r="EJ112" s="29"/>
      <c r="EK112" s="29"/>
      <c r="EL112" s="29"/>
      <c r="EM112" s="29"/>
      <c r="EN112" s="29"/>
      <c r="EO112" s="29"/>
      <c r="EP112" s="29"/>
      <c r="EQ112" s="29"/>
      <c r="ER112" s="29"/>
      <c r="ES112" s="29"/>
      <c r="ET112" s="29"/>
      <c r="EU112" s="29"/>
      <c r="EV112" s="29"/>
      <c r="EW112" s="29"/>
      <c r="EX112" s="29"/>
      <c r="EY112" s="29"/>
      <c r="EZ112" s="29"/>
      <c r="FA112" s="29"/>
      <c r="FB112" s="29"/>
      <c r="FC112" s="29"/>
      <c r="FD112" s="29"/>
      <c r="FE112" s="29"/>
      <c r="FF112" s="29"/>
      <c r="FG112" s="29"/>
      <c r="FH112" s="29"/>
      <c r="FI112" s="29"/>
      <c r="FJ112" s="29"/>
      <c r="FK112" s="29"/>
      <c r="FL112" s="29"/>
      <c r="FM112" s="29"/>
      <c r="FN112" s="29"/>
      <c r="FO112" s="29"/>
      <c r="FP112" s="29"/>
      <c r="FQ112" s="29"/>
      <c r="FR112" s="29"/>
      <c r="FS112" s="29"/>
      <c r="FT112" s="29"/>
      <c r="FU112" s="29"/>
      <c r="FV112" s="29"/>
      <c r="FW112" s="29"/>
      <c r="FX112" s="29"/>
      <c r="FY112" s="29"/>
      <c r="FZ112" s="29"/>
      <c r="GA112" s="29"/>
      <c r="GB112" s="29"/>
      <c r="GC112" s="29"/>
      <c r="GD112" s="29"/>
      <c r="GE112" s="29"/>
      <c r="GF112" s="29"/>
      <c r="GG112" s="29"/>
      <c r="GH112" s="29"/>
      <c r="GI112" s="29"/>
      <c r="GJ112" s="29"/>
      <c r="GK112" s="29"/>
      <c r="GL112" s="29"/>
      <c r="GM112" s="29"/>
      <c r="GN112" s="29"/>
      <c r="GO112" s="29"/>
      <c r="GP112" s="29"/>
      <c r="GQ112" s="29"/>
      <c r="GR112" s="29"/>
      <c r="GS112" s="29"/>
      <c r="GT112" s="29"/>
      <c r="GU112" s="29"/>
      <c r="GV112" s="29"/>
      <c r="GW112" s="29"/>
      <c r="GX112" s="29"/>
      <c r="GY112" s="29"/>
      <c r="GZ112" s="29"/>
      <c r="HA112" s="29"/>
      <c r="HB112" s="29"/>
      <c r="HC112" s="29"/>
      <c r="HD112" s="29"/>
      <c r="HE112" s="29"/>
      <c r="HF112" s="29"/>
      <c r="HG112" s="29"/>
      <c r="HH112" s="29"/>
      <c r="HI112" s="29"/>
      <c r="HJ112" s="29"/>
      <c r="HK112" s="29"/>
      <c r="HL112" s="29"/>
      <c r="HM112" s="29"/>
      <c r="HN112" s="29"/>
      <c r="HO112" s="29"/>
      <c r="HP112" s="29"/>
      <c r="HQ112" s="29"/>
      <c r="HR112" s="29"/>
      <c r="HS112" s="29"/>
      <c r="HT112" s="29"/>
      <c r="HU112" s="29"/>
      <c r="HV112" s="29"/>
      <c r="HW112" s="29"/>
      <c r="HX112" s="29"/>
      <c r="HY112" s="29"/>
      <c r="HZ112" s="29"/>
      <c r="IA112" s="29"/>
      <c r="IB112" s="29"/>
      <c r="IC112" s="29"/>
      <c r="ID112" s="29"/>
      <c r="IE112" s="29"/>
      <c r="IF112" s="29"/>
      <c r="IG112" s="29"/>
      <c r="IH112" s="29"/>
      <c r="II112" s="29"/>
      <c r="IJ112" s="29"/>
      <c r="IK112" s="29"/>
      <c r="IL112" s="29"/>
      <c r="IM112" s="29"/>
      <c r="IN112" s="29"/>
      <c r="IO112" s="29"/>
      <c r="IP112" s="29"/>
      <c r="IQ112" s="29"/>
      <c r="IR112" s="29"/>
      <c r="IS112" s="29"/>
      <c r="IT112" s="29"/>
      <c r="IU112" s="29"/>
      <c r="IV112" s="29"/>
      <c r="IW112" s="29"/>
      <c r="IX112" s="29"/>
      <c r="IY112" s="29"/>
      <c r="IZ112" s="29"/>
      <c r="JA112" s="29"/>
      <c r="JB112" s="29"/>
      <c r="JC112" s="29"/>
      <c r="JD112" s="29"/>
      <c r="JE112" s="29"/>
      <c r="JF112" s="29"/>
      <c r="JG112" s="29"/>
      <c r="JH112" s="29"/>
      <c r="JI112" s="29"/>
      <c r="JJ112" s="29"/>
      <c r="JK112" s="29"/>
      <c r="JL112" s="29"/>
    </row>
    <row r="113" spans="1:27" s="29" customFormat="1" ht="38.25" customHeight="1">
      <c r="A113" s="31" t="s">
        <v>142</v>
      </c>
      <c r="B113" s="31" t="s">
        <v>109</v>
      </c>
      <c r="C113" s="30" t="s">
        <v>29</v>
      </c>
      <c r="D113" s="30" t="s">
        <v>349</v>
      </c>
      <c r="E113" s="30" t="s">
        <v>139</v>
      </c>
      <c r="F113" s="129" t="s">
        <v>822</v>
      </c>
      <c r="G113" s="30" t="s">
        <v>235</v>
      </c>
      <c r="H113" s="30">
        <v>561730</v>
      </c>
      <c r="I113" s="30" t="s">
        <v>98</v>
      </c>
      <c r="J113" s="30" t="s">
        <v>129</v>
      </c>
      <c r="K113" s="30" t="s">
        <v>69</v>
      </c>
      <c r="L113" s="30" t="s">
        <v>350</v>
      </c>
      <c r="M113" s="39">
        <v>758000</v>
      </c>
      <c r="N113" s="39">
        <v>758000</v>
      </c>
      <c r="O113" s="30" t="s">
        <v>79</v>
      </c>
      <c r="P113" s="30" t="s">
        <v>351</v>
      </c>
      <c r="Q113" s="30" t="s">
        <v>294</v>
      </c>
      <c r="R113" s="155" t="s">
        <v>80</v>
      </c>
      <c r="S113" s="41">
        <v>2014</v>
      </c>
      <c r="T113" s="31" t="s">
        <v>352</v>
      </c>
      <c r="U113" s="31" t="s">
        <v>353</v>
      </c>
      <c r="V113" s="30" t="s">
        <v>354</v>
      </c>
      <c r="W113" s="129" t="s">
        <v>120</v>
      </c>
      <c r="X113" s="44">
        <v>41607</v>
      </c>
      <c r="Y113" s="44">
        <v>41642</v>
      </c>
      <c r="Z113" s="44">
        <v>43496</v>
      </c>
      <c r="AA113" s="30" t="s">
        <v>355</v>
      </c>
    </row>
    <row r="114" spans="1:27" s="29" customFormat="1" ht="38.25" customHeight="1">
      <c r="A114" s="30" t="s">
        <v>142</v>
      </c>
      <c r="B114" s="31" t="s">
        <v>109</v>
      </c>
      <c r="C114" s="30" t="s">
        <v>29</v>
      </c>
      <c r="D114" s="30" t="s">
        <v>356</v>
      </c>
      <c r="E114" s="30" t="s">
        <v>139</v>
      </c>
      <c r="F114" s="30" t="s">
        <v>357</v>
      </c>
      <c r="G114" s="30" t="s">
        <v>235</v>
      </c>
      <c r="H114" s="30">
        <v>561720</v>
      </c>
      <c r="I114" s="30" t="s">
        <v>98</v>
      </c>
      <c r="J114" s="30" t="s">
        <v>129</v>
      </c>
      <c r="K114" s="30" t="s">
        <v>69</v>
      </c>
      <c r="L114" s="30" t="s">
        <v>350</v>
      </c>
      <c r="M114" s="45">
        <v>1400000</v>
      </c>
      <c r="N114" s="45">
        <v>1400000</v>
      </c>
      <c r="O114" s="30" t="s">
        <v>79</v>
      </c>
      <c r="P114" s="30" t="s">
        <v>358</v>
      </c>
      <c r="Q114" s="30" t="s">
        <v>294</v>
      </c>
      <c r="R114" s="155" t="s">
        <v>80</v>
      </c>
      <c r="S114" s="41">
        <v>2014</v>
      </c>
      <c r="T114" s="31" t="s">
        <v>352</v>
      </c>
      <c r="U114" s="31" t="s">
        <v>353</v>
      </c>
      <c r="V114" s="30" t="s">
        <v>354</v>
      </c>
      <c r="W114" s="129" t="s">
        <v>120</v>
      </c>
      <c r="X114" s="44">
        <v>41635</v>
      </c>
      <c r="Y114" s="44">
        <v>41677</v>
      </c>
      <c r="Z114" s="44">
        <v>43524</v>
      </c>
      <c r="AA114" s="30" t="s">
        <v>359</v>
      </c>
    </row>
    <row r="115" spans="1:27" s="29" customFormat="1" ht="34.5" customHeight="1">
      <c r="A115" s="30" t="s">
        <v>142</v>
      </c>
      <c r="B115" s="31" t="s">
        <v>109</v>
      </c>
      <c r="C115" s="30" t="s">
        <v>95</v>
      </c>
      <c r="D115" s="30" t="s">
        <v>360</v>
      </c>
      <c r="E115" s="30" t="s">
        <v>164</v>
      </c>
      <c r="F115" s="30" t="s">
        <v>361</v>
      </c>
      <c r="G115" s="30" t="s">
        <v>209</v>
      </c>
      <c r="H115" s="30">
        <v>561621</v>
      </c>
      <c r="I115" s="30" t="s">
        <v>67</v>
      </c>
      <c r="J115" s="30" t="s">
        <v>106</v>
      </c>
      <c r="K115" s="30"/>
      <c r="L115" s="30"/>
      <c r="M115" s="45"/>
      <c r="N115" s="45"/>
      <c r="O115" s="30"/>
      <c r="P115" s="30"/>
      <c r="Q115" s="30"/>
      <c r="R115" s="30"/>
      <c r="S115" s="41"/>
      <c r="T115" s="31"/>
      <c r="U115" s="184"/>
      <c r="V115" s="30"/>
      <c r="W115" s="129" t="s">
        <v>120</v>
      </c>
      <c r="X115" s="30"/>
      <c r="Y115" s="30"/>
      <c r="Z115" s="30"/>
      <c r="AA115" s="30"/>
    </row>
    <row r="116" spans="1:27" s="29" customFormat="1" ht="38.25" customHeight="1">
      <c r="A116" s="30" t="s">
        <v>142</v>
      </c>
      <c r="B116" s="31" t="s">
        <v>109</v>
      </c>
      <c r="C116" s="30" t="s">
        <v>144</v>
      </c>
      <c r="D116" s="30" t="s">
        <v>362</v>
      </c>
      <c r="E116" s="46" t="s">
        <v>164</v>
      </c>
      <c r="F116" s="30" t="s">
        <v>361</v>
      </c>
      <c r="G116" s="30" t="s">
        <v>209</v>
      </c>
      <c r="H116" s="46">
        <v>236220</v>
      </c>
      <c r="I116" s="30" t="s">
        <v>546</v>
      </c>
      <c r="J116" s="30" t="s">
        <v>129</v>
      </c>
      <c r="K116" s="30" t="s">
        <v>44</v>
      </c>
      <c r="L116" s="30" t="s">
        <v>363</v>
      </c>
      <c r="M116" s="39">
        <v>100000</v>
      </c>
      <c r="N116" s="39">
        <v>250000</v>
      </c>
      <c r="O116" s="30" t="s">
        <v>79</v>
      </c>
      <c r="P116" s="30" t="s">
        <v>302</v>
      </c>
      <c r="Q116" s="30" t="s">
        <v>294</v>
      </c>
      <c r="R116" s="30" t="s">
        <v>150</v>
      </c>
      <c r="S116" s="41">
        <v>2014</v>
      </c>
      <c r="T116" s="31" t="s">
        <v>364</v>
      </c>
      <c r="U116" s="31" t="s">
        <v>365</v>
      </c>
      <c r="V116" s="30" t="s">
        <v>366</v>
      </c>
      <c r="W116" s="129" t="s">
        <v>120</v>
      </c>
      <c r="X116" s="44">
        <v>41548</v>
      </c>
      <c r="Y116" s="44">
        <v>41568</v>
      </c>
      <c r="Z116" s="44">
        <v>41820</v>
      </c>
      <c r="AA116" s="30"/>
    </row>
    <row r="117" spans="1:27" s="29" customFormat="1" ht="34.5" customHeight="1">
      <c r="A117" s="30" t="s">
        <v>142</v>
      </c>
      <c r="B117" s="31" t="s">
        <v>109</v>
      </c>
      <c r="C117" s="30" t="s">
        <v>144</v>
      </c>
      <c r="D117" s="129" t="s">
        <v>3415</v>
      </c>
      <c r="E117" s="46" t="s">
        <v>164</v>
      </c>
      <c r="F117" s="30" t="s">
        <v>367</v>
      </c>
      <c r="G117" s="30" t="s">
        <v>209</v>
      </c>
      <c r="H117" s="46">
        <v>238220</v>
      </c>
      <c r="I117" s="30" t="s">
        <v>42</v>
      </c>
      <c r="J117" s="30" t="s">
        <v>129</v>
      </c>
      <c r="K117" s="30" t="s">
        <v>44</v>
      </c>
      <c r="L117" s="30" t="s">
        <v>368</v>
      </c>
      <c r="M117" s="45" t="s">
        <v>369</v>
      </c>
      <c r="N117" s="45" t="s">
        <v>369</v>
      </c>
      <c r="O117" s="30" t="s">
        <v>149</v>
      </c>
      <c r="P117" s="30" t="s">
        <v>302</v>
      </c>
      <c r="Q117" s="30" t="s">
        <v>294</v>
      </c>
      <c r="R117" s="30" t="s">
        <v>150</v>
      </c>
      <c r="S117" s="41">
        <v>2014</v>
      </c>
      <c r="T117" s="31" t="s">
        <v>364</v>
      </c>
      <c r="U117" s="31" t="s">
        <v>365</v>
      </c>
      <c r="V117" s="30" t="s">
        <v>366</v>
      </c>
      <c r="W117" s="129" t="s">
        <v>120</v>
      </c>
      <c r="X117" s="44">
        <v>41568</v>
      </c>
      <c r="Y117" s="44">
        <v>41577</v>
      </c>
      <c r="Z117" s="44">
        <v>41607</v>
      </c>
      <c r="AA117" s="129"/>
    </row>
    <row r="118" spans="1:27" s="29" customFormat="1" ht="34.5" customHeight="1">
      <c r="A118" s="30" t="s">
        <v>142</v>
      </c>
      <c r="B118" s="31" t="s">
        <v>109</v>
      </c>
      <c r="C118" s="30" t="s">
        <v>39</v>
      </c>
      <c r="D118" s="30" t="s">
        <v>370</v>
      </c>
      <c r="E118" s="30" t="s">
        <v>173</v>
      </c>
      <c r="F118" s="30" t="s">
        <v>367</v>
      </c>
      <c r="G118" s="30" t="s">
        <v>209</v>
      </c>
      <c r="H118" s="30">
        <v>238210</v>
      </c>
      <c r="I118" s="30" t="s">
        <v>45</v>
      </c>
      <c r="J118" s="30" t="s">
        <v>129</v>
      </c>
      <c r="K118" s="30" t="s">
        <v>61</v>
      </c>
      <c r="L118" s="30" t="s">
        <v>91</v>
      </c>
      <c r="M118" s="39">
        <v>100000</v>
      </c>
      <c r="N118" s="39">
        <v>250000</v>
      </c>
      <c r="O118" s="30" t="s">
        <v>79</v>
      </c>
      <c r="P118" s="30" t="s">
        <v>302</v>
      </c>
      <c r="Q118" s="30" t="s">
        <v>294</v>
      </c>
      <c r="R118" s="155" t="s">
        <v>80</v>
      </c>
      <c r="S118" s="41">
        <v>2014</v>
      </c>
      <c r="T118" s="31" t="s">
        <v>364</v>
      </c>
      <c r="U118" s="31" t="s">
        <v>365</v>
      </c>
      <c r="V118" s="30" t="s">
        <v>366</v>
      </c>
      <c r="W118" s="129" t="s">
        <v>120</v>
      </c>
      <c r="X118" s="44">
        <v>41654</v>
      </c>
      <c r="Y118" s="30" t="s">
        <v>371</v>
      </c>
      <c r="Z118" s="44">
        <v>41789</v>
      </c>
      <c r="AA118" s="30" t="s">
        <v>372</v>
      </c>
    </row>
    <row r="119" spans="1:27" s="29" customFormat="1" ht="34.5" customHeight="1">
      <c r="A119" s="30" t="s">
        <v>142</v>
      </c>
      <c r="B119" s="31" t="s">
        <v>109</v>
      </c>
      <c r="C119" s="30" t="s">
        <v>39</v>
      </c>
      <c r="D119" s="30" t="s">
        <v>373</v>
      </c>
      <c r="E119" s="30" t="s">
        <v>214</v>
      </c>
      <c r="F119" s="30" t="s">
        <v>374</v>
      </c>
      <c r="G119" s="30" t="s">
        <v>235</v>
      </c>
      <c r="H119" s="30">
        <v>238290</v>
      </c>
      <c r="I119" s="30" t="s">
        <v>546</v>
      </c>
      <c r="J119" s="30" t="s">
        <v>129</v>
      </c>
      <c r="K119" s="30" t="s">
        <v>69</v>
      </c>
      <c r="L119" s="30" t="s">
        <v>91</v>
      </c>
      <c r="M119" s="39">
        <v>100000</v>
      </c>
      <c r="N119" s="39">
        <v>250000</v>
      </c>
      <c r="O119" s="30" t="s">
        <v>79</v>
      </c>
      <c r="P119" s="30" t="s">
        <v>302</v>
      </c>
      <c r="Q119" s="30" t="s">
        <v>294</v>
      </c>
      <c r="R119" s="30" t="s">
        <v>35</v>
      </c>
      <c r="S119" s="41">
        <v>2014</v>
      </c>
      <c r="T119" s="155" t="s">
        <v>364</v>
      </c>
      <c r="U119" s="31" t="s">
        <v>365</v>
      </c>
      <c r="V119" s="30" t="s">
        <v>366</v>
      </c>
      <c r="W119" s="129" t="s">
        <v>120</v>
      </c>
      <c r="X119" s="44">
        <v>41791</v>
      </c>
      <c r="Y119" s="44">
        <v>41835</v>
      </c>
      <c r="Z119" s="44">
        <v>41942</v>
      </c>
      <c r="AA119" s="30" t="s">
        <v>372</v>
      </c>
    </row>
    <row r="120" spans="1:27" s="29" customFormat="1" ht="38.25" customHeight="1">
      <c r="A120" s="30" t="s">
        <v>142</v>
      </c>
      <c r="B120" s="31" t="s">
        <v>109</v>
      </c>
      <c r="C120" s="30" t="s">
        <v>39</v>
      </c>
      <c r="D120" s="30" t="s">
        <v>375</v>
      </c>
      <c r="E120" s="30" t="s">
        <v>164</v>
      </c>
      <c r="F120" s="30" t="s">
        <v>367</v>
      </c>
      <c r="G120" s="30" t="s">
        <v>209</v>
      </c>
      <c r="H120" s="30">
        <v>236220</v>
      </c>
      <c r="I120" s="30" t="s">
        <v>546</v>
      </c>
      <c r="J120" s="30" t="s">
        <v>129</v>
      </c>
      <c r="K120" s="30" t="s">
        <v>69</v>
      </c>
      <c r="L120" s="30" t="s">
        <v>91</v>
      </c>
      <c r="M120" s="45" t="s">
        <v>369</v>
      </c>
      <c r="N120" s="45" t="s">
        <v>369</v>
      </c>
      <c r="O120" s="30" t="s">
        <v>149</v>
      </c>
      <c r="P120" s="30" t="s">
        <v>302</v>
      </c>
      <c r="Q120" s="30" t="s">
        <v>294</v>
      </c>
      <c r="R120" s="30" t="s">
        <v>150</v>
      </c>
      <c r="S120" s="41">
        <v>2014</v>
      </c>
      <c r="T120" s="31" t="s">
        <v>376</v>
      </c>
      <c r="U120" s="31" t="s">
        <v>377</v>
      </c>
      <c r="V120" s="30" t="s">
        <v>378</v>
      </c>
      <c r="W120" s="129" t="s">
        <v>120</v>
      </c>
      <c r="X120" s="44">
        <v>41593</v>
      </c>
      <c r="Y120" s="44">
        <v>41633</v>
      </c>
      <c r="Z120" s="44">
        <v>41685</v>
      </c>
      <c r="AA120" s="30" t="s">
        <v>379</v>
      </c>
    </row>
    <row r="121" spans="1:27" s="29" customFormat="1" ht="34.5" customHeight="1">
      <c r="A121" s="30" t="s">
        <v>142</v>
      </c>
      <c r="B121" s="31" t="s">
        <v>109</v>
      </c>
      <c r="C121" s="30" t="s">
        <v>39</v>
      </c>
      <c r="D121" s="30" t="s">
        <v>380</v>
      </c>
      <c r="E121" s="30" t="s">
        <v>214</v>
      </c>
      <c r="F121" s="30" t="s">
        <v>381</v>
      </c>
      <c r="G121" s="30" t="s">
        <v>209</v>
      </c>
      <c r="H121" s="30">
        <v>238290</v>
      </c>
      <c r="I121" s="30" t="s">
        <v>98</v>
      </c>
      <c r="J121" s="30" t="s">
        <v>129</v>
      </c>
      <c r="K121" s="30" t="s">
        <v>61</v>
      </c>
      <c r="L121" s="30" t="s">
        <v>91</v>
      </c>
      <c r="M121" s="39">
        <v>10000</v>
      </c>
      <c r="N121" s="39">
        <v>250000</v>
      </c>
      <c r="O121" s="30" t="s">
        <v>79</v>
      </c>
      <c r="P121" s="30" t="s">
        <v>302</v>
      </c>
      <c r="Q121" s="30" t="s">
        <v>294</v>
      </c>
      <c r="R121" s="155" t="s">
        <v>80</v>
      </c>
      <c r="S121" s="41">
        <v>2014</v>
      </c>
      <c r="T121" s="31" t="s">
        <v>376</v>
      </c>
      <c r="U121" s="31" t="s">
        <v>382</v>
      </c>
      <c r="V121" s="30" t="s">
        <v>378</v>
      </c>
      <c r="W121" s="129" t="s">
        <v>120</v>
      </c>
      <c r="X121" s="44">
        <v>41654</v>
      </c>
      <c r="Y121" s="47">
        <v>41698</v>
      </c>
      <c r="Z121" s="44">
        <v>41774</v>
      </c>
      <c r="AA121" s="30" t="s">
        <v>372</v>
      </c>
    </row>
    <row r="122" spans="1:27" s="29" customFormat="1" ht="34.5" customHeight="1">
      <c r="A122" s="30" t="s">
        <v>142</v>
      </c>
      <c r="B122" s="31" t="s">
        <v>109</v>
      </c>
      <c r="C122" s="30" t="s">
        <v>39</v>
      </c>
      <c r="D122" s="30" t="s">
        <v>383</v>
      </c>
      <c r="E122" s="30" t="s">
        <v>164</v>
      </c>
      <c r="F122" s="30" t="s">
        <v>361</v>
      </c>
      <c r="G122" s="30" t="s">
        <v>209</v>
      </c>
      <c r="H122" s="30">
        <v>236220</v>
      </c>
      <c r="I122" s="30" t="s">
        <v>98</v>
      </c>
      <c r="J122" s="30" t="s">
        <v>129</v>
      </c>
      <c r="K122" s="30" t="s">
        <v>34</v>
      </c>
      <c r="L122" s="30" t="s">
        <v>384</v>
      </c>
      <c r="M122" s="39">
        <v>250000</v>
      </c>
      <c r="N122" s="39">
        <v>500000</v>
      </c>
      <c r="O122" s="30" t="s">
        <v>79</v>
      </c>
      <c r="P122" s="30" t="s">
        <v>302</v>
      </c>
      <c r="Q122" s="30" t="s">
        <v>294</v>
      </c>
      <c r="R122" s="30" t="s">
        <v>100</v>
      </c>
      <c r="S122" s="41">
        <v>2014</v>
      </c>
      <c r="T122" s="31" t="s">
        <v>376</v>
      </c>
      <c r="U122" s="31" t="s">
        <v>377</v>
      </c>
      <c r="V122" s="30" t="s">
        <v>378</v>
      </c>
      <c r="W122" s="129" t="s">
        <v>120</v>
      </c>
      <c r="X122" s="44">
        <v>41744</v>
      </c>
      <c r="Y122" s="44">
        <v>41789</v>
      </c>
      <c r="Z122" s="44">
        <v>41897</v>
      </c>
      <c r="AA122" s="30" t="s">
        <v>372</v>
      </c>
    </row>
    <row r="123" spans="1:27" s="29" customFormat="1" ht="34.5" customHeight="1">
      <c r="A123" s="30" t="s">
        <v>142</v>
      </c>
      <c r="B123" s="31" t="s">
        <v>109</v>
      </c>
      <c r="C123" s="30" t="s">
        <v>39</v>
      </c>
      <c r="D123" s="30" t="s">
        <v>385</v>
      </c>
      <c r="E123" s="30" t="s">
        <v>164</v>
      </c>
      <c r="F123" s="30" t="s">
        <v>361</v>
      </c>
      <c r="G123" s="30" t="s">
        <v>209</v>
      </c>
      <c r="H123" s="30">
        <v>236220</v>
      </c>
      <c r="I123" s="30" t="s">
        <v>98</v>
      </c>
      <c r="J123" s="30" t="s">
        <v>129</v>
      </c>
      <c r="K123" s="30" t="s">
        <v>34</v>
      </c>
      <c r="L123" s="30" t="s">
        <v>384</v>
      </c>
      <c r="M123" s="45">
        <v>100000</v>
      </c>
      <c r="N123" s="45">
        <v>250000</v>
      </c>
      <c r="O123" s="30" t="s">
        <v>79</v>
      </c>
      <c r="P123" s="30" t="s">
        <v>302</v>
      </c>
      <c r="Q123" s="30" t="s">
        <v>294</v>
      </c>
      <c r="R123" s="30" t="s">
        <v>100</v>
      </c>
      <c r="S123" s="41">
        <v>2014</v>
      </c>
      <c r="T123" s="31" t="s">
        <v>376</v>
      </c>
      <c r="U123" s="31" t="s">
        <v>377</v>
      </c>
      <c r="V123" s="30" t="s">
        <v>378</v>
      </c>
      <c r="W123" s="129" t="s">
        <v>120</v>
      </c>
      <c r="X123" s="44">
        <v>41744</v>
      </c>
      <c r="Y123" s="44">
        <v>41789</v>
      </c>
      <c r="Z123" s="44">
        <v>41897</v>
      </c>
      <c r="AA123" s="30" t="s">
        <v>372</v>
      </c>
    </row>
    <row r="124" spans="1:27" s="29" customFormat="1" ht="34.5" customHeight="1">
      <c r="A124" s="30" t="s">
        <v>142</v>
      </c>
      <c r="B124" s="31" t="s">
        <v>109</v>
      </c>
      <c r="C124" s="30" t="s">
        <v>29</v>
      </c>
      <c r="D124" s="30" t="s">
        <v>386</v>
      </c>
      <c r="E124" s="30" t="s">
        <v>164</v>
      </c>
      <c r="F124" s="30" t="s">
        <v>361</v>
      </c>
      <c r="G124" s="30" t="s">
        <v>209</v>
      </c>
      <c r="H124" s="30">
        <v>236220</v>
      </c>
      <c r="I124" s="30" t="s">
        <v>45</v>
      </c>
      <c r="J124" s="30" t="s">
        <v>129</v>
      </c>
      <c r="K124" s="30" t="s">
        <v>91</v>
      </c>
      <c r="L124" s="30" t="s">
        <v>345</v>
      </c>
      <c r="M124" s="39">
        <v>500000</v>
      </c>
      <c r="N124" s="39">
        <v>1000000</v>
      </c>
      <c r="O124" s="30" t="s">
        <v>387</v>
      </c>
      <c r="P124" s="30" t="s">
        <v>302</v>
      </c>
      <c r="Q124" s="30" t="s">
        <v>294</v>
      </c>
      <c r="R124" s="155" t="s">
        <v>80</v>
      </c>
      <c r="S124" s="41">
        <v>2014</v>
      </c>
      <c r="T124" s="31" t="s">
        <v>388</v>
      </c>
      <c r="U124" s="31" t="s">
        <v>389</v>
      </c>
      <c r="V124" s="30" t="s">
        <v>390</v>
      </c>
      <c r="W124" s="129" t="s">
        <v>120</v>
      </c>
      <c r="X124" s="44">
        <v>41623</v>
      </c>
      <c r="Y124" s="44">
        <v>41729</v>
      </c>
      <c r="Z124" s="30"/>
      <c r="AA124" s="30"/>
    </row>
    <row r="125" spans="1:27" s="29" customFormat="1" ht="38.25" customHeight="1">
      <c r="A125" s="30" t="s">
        <v>142</v>
      </c>
      <c r="B125" s="31" t="s">
        <v>109</v>
      </c>
      <c r="C125" s="30" t="s">
        <v>39</v>
      </c>
      <c r="D125" s="30" t="s">
        <v>391</v>
      </c>
      <c r="E125" s="30" t="s">
        <v>135</v>
      </c>
      <c r="F125" s="30" t="s">
        <v>361</v>
      </c>
      <c r="G125" s="30" t="s">
        <v>209</v>
      </c>
      <c r="H125" s="30">
        <v>236220</v>
      </c>
      <c r="I125" s="30" t="s">
        <v>45</v>
      </c>
      <c r="J125" s="30" t="s">
        <v>129</v>
      </c>
      <c r="K125" s="30" t="s">
        <v>91</v>
      </c>
      <c r="L125" s="30" t="s">
        <v>91</v>
      </c>
      <c r="M125" s="39">
        <v>25000</v>
      </c>
      <c r="N125" s="39">
        <v>100000</v>
      </c>
      <c r="O125" s="30" t="s">
        <v>79</v>
      </c>
      <c r="P125" s="30" t="s">
        <v>302</v>
      </c>
      <c r="Q125" s="30" t="s">
        <v>294</v>
      </c>
      <c r="R125" s="30" t="s">
        <v>100</v>
      </c>
      <c r="S125" s="41">
        <v>2014</v>
      </c>
      <c r="T125" s="31" t="s">
        <v>392</v>
      </c>
      <c r="U125" s="31" t="s">
        <v>389</v>
      </c>
      <c r="V125" s="30" t="s">
        <v>390</v>
      </c>
      <c r="W125" s="129" t="s">
        <v>120</v>
      </c>
      <c r="X125" s="44">
        <v>41698</v>
      </c>
      <c r="Y125" s="44">
        <v>41820</v>
      </c>
      <c r="Z125" s="30" t="s">
        <v>345</v>
      </c>
      <c r="AA125" s="30" t="s">
        <v>393</v>
      </c>
    </row>
    <row r="126" spans="1:27" s="29" customFormat="1" ht="38.25" customHeight="1">
      <c r="A126" s="30" t="s">
        <v>142</v>
      </c>
      <c r="B126" s="31" t="s">
        <v>109</v>
      </c>
      <c r="C126" s="30" t="s">
        <v>39</v>
      </c>
      <c r="D126" s="30" t="s">
        <v>394</v>
      </c>
      <c r="E126" s="30" t="s">
        <v>135</v>
      </c>
      <c r="F126" s="30" t="s">
        <v>361</v>
      </c>
      <c r="G126" s="30" t="s">
        <v>209</v>
      </c>
      <c r="H126" s="30">
        <v>236220</v>
      </c>
      <c r="I126" s="30" t="s">
        <v>45</v>
      </c>
      <c r="J126" s="30" t="s">
        <v>129</v>
      </c>
      <c r="K126" s="30" t="s">
        <v>91</v>
      </c>
      <c r="L126" s="30" t="s">
        <v>91</v>
      </c>
      <c r="M126" s="39">
        <v>25000</v>
      </c>
      <c r="N126" s="39">
        <v>100000</v>
      </c>
      <c r="O126" s="30" t="s">
        <v>79</v>
      </c>
      <c r="P126" s="30" t="s">
        <v>302</v>
      </c>
      <c r="Q126" s="30" t="s">
        <v>294</v>
      </c>
      <c r="R126" s="30" t="s">
        <v>100</v>
      </c>
      <c r="S126" s="41">
        <v>2014</v>
      </c>
      <c r="T126" s="31" t="s">
        <v>392</v>
      </c>
      <c r="U126" s="31" t="s">
        <v>389</v>
      </c>
      <c r="V126" s="30" t="s">
        <v>390</v>
      </c>
      <c r="W126" s="129" t="s">
        <v>120</v>
      </c>
      <c r="X126" s="44">
        <v>41789</v>
      </c>
      <c r="Y126" s="44">
        <v>41912</v>
      </c>
      <c r="Z126" s="30" t="s">
        <v>345</v>
      </c>
      <c r="AA126" s="30" t="s">
        <v>393</v>
      </c>
    </row>
    <row r="127" spans="1:27" s="29" customFormat="1" ht="34.5" customHeight="1">
      <c r="A127" s="30" t="s">
        <v>142</v>
      </c>
      <c r="B127" s="31" t="s">
        <v>109</v>
      </c>
      <c r="C127" s="30" t="s">
        <v>39</v>
      </c>
      <c r="D127" s="30" t="s">
        <v>395</v>
      </c>
      <c r="E127" s="30" t="s">
        <v>164</v>
      </c>
      <c r="F127" s="30" t="s">
        <v>361</v>
      </c>
      <c r="G127" s="30" t="s">
        <v>209</v>
      </c>
      <c r="H127" s="30">
        <v>236220</v>
      </c>
      <c r="I127" s="30" t="s">
        <v>45</v>
      </c>
      <c r="J127" s="30" t="s">
        <v>129</v>
      </c>
      <c r="K127" s="30" t="s">
        <v>91</v>
      </c>
      <c r="L127" s="30" t="s">
        <v>91</v>
      </c>
      <c r="M127" s="45">
        <v>100000</v>
      </c>
      <c r="N127" s="45">
        <v>250000</v>
      </c>
      <c r="O127" s="30" t="s">
        <v>79</v>
      </c>
      <c r="P127" s="30" t="s">
        <v>302</v>
      </c>
      <c r="Q127" s="30" t="s">
        <v>294</v>
      </c>
      <c r="R127" s="30" t="s">
        <v>35</v>
      </c>
      <c r="S127" s="41">
        <v>2014</v>
      </c>
      <c r="T127" s="31" t="s">
        <v>392</v>
      </c>
      <c r="U127" s="31" t="s">
        <v>389</v>
      </c>
      <c r="V127" s="30" t="s">
        <v>390</v>
      </c>
      <c r="W127" s="129" t="s">
        <v>120</v>
      </c>
      <c r="X127" s="44">
        <v>41789</v>
      </c>
      <c r="Y127" s="44">
        <v>41912</v>
      </c>
      <c r="Z127" s="30" t="s">
        <v>345</v>
      </c>
      <c r="AA127" s="30" t="s">
        <v>396</v>
      </c>
    </row>
    <row r="128" spans="1:27" s="29" customFormat="1" ht="34.5" customHeight="1">
      <c r="A128" s="30" t="s">
        <v>142</v>
      </c>
      <c r="B128" s="31" t="s">
        <v>109</v>
      </c>
      <c r="C128" s="30" t="s">
        <v>39</v>
      </c>
      <c r="D128" s="48" t="s">
        <v>397</v>
      </c>
      <c r="E128" s="30" t="s">
        <v>164</v>
      </c>
      <c r="F128" s="30" t="s">
        <v>361</v>
      </c>
      <c r="G128" s="30" t="s">
        <v>209</v>
      </c>
      <c r="H128" s="30">
        <v>236220</v>
      </c>
      <c r="I128" s="30" t="s">
        <v>45</v>
      </c>
      <c r="J128" s="30" t="s">
        <v>129</v>
      </c>
      <c r="K128" s="30" t="s">
        <v>91</v>
      </c>
      <c r="L128" s="30" t="s">
        <v>91</v>
      </c>
      <c r="M128" s="45" t="s">
        <v>369</v>
      </c>
      <c r="N128" s="45" t="s">
        <v>369</v>
      </c>
      <c r="O128" s="30" t="s">
        <v>149</v>
      </c>
      <c r="P128" s="30" t="s">
        <v>302</v>
      </c>
      <c r="Q128" s="30" t="s">
        <v>294</v>
      </c>
      <c r="R128" s="30" t="s">
        <v>35</v>
      </c>
      <c r="S128" s="41">
        <v>2014</v>
      </c>
      <c r="T128" s="31" t="s">
        <v>392</v>
      </c>
      <c r="U128" s="31" t="s">
        <v>389</v>
      </c>
      <c r="V128" s="30" t="s">
        <v>390</v>
      </c>
      <c r="W128" s="129" t="s">
        <v>120</v>
      </c>
      <c r="X128" s="44">
        <v>41789</v>
      </c>
      <c r="Y128" s="44">
        <v>41912</v>
      </c>
      <c r="Z128" s="30" t="s">
        <v>345</v>
      </c>
      <c r="AA128" s="30" t="s">
        <v>396</v>
      </c>
    </row>
    <row r="129" spans="1:27" s="29" customFormat="1" ht="34.5" customHeight="1">
      <c r="A129" s="30" t="s">
        <v>142</v>
      </c>
      <c r="B129" s="31" t="s">
        <v>109</v>
      </c>
      <c r="C129" s="30" t="s">
        <v>39</v>
      </c>
      <c r="D129" s="48" t="s">
        <v>398</v>
      </c>
      <c r="E129" s="30" t="s">
        <v>164</v>
      </c>
      <c r="F129" s="30" t="s">
        <v>361</v>
      </c>
      <c r="G129" s="30" t="s">
        <v>209</v>
      </c>
      <c r="H129" s="30">
        <v>236220</v>
      </c>
      <c r="I129" s="30" t="s">
        <v>45</v>
      </c>
      <c r="J129" s="30" t="s">
        <v>129</v>
      </c>
      <c r="K129" s="30" t="s">
        <v>91</v>
      </c>
      <c r="L129" s="30" t="s">
        <v>91</v>
      </c>
      <c r="M129" s="45">
        <v>25000</v>
      </c>
      <c r="N129" s="45">
        <v>100000</v>
      </c>
      <c r="O129" s="30" t="s">
        <v>79</v>
      </c>
      <c r="P129" s="30" t="s">
        <v>302</v>
      </c>
      <c r="Q129" s="30" t="s">
        <v>294</v>
      </c>
      <c r="R129" s="30" t="s">
        <v>35</v>
      </c>
      <c r="S129" s="41">
        <v>2014</v>
      </c>
      <c r="T129" s="31" t="s">
        <v>388</v>
      </c>
      <c r="U129" s="31" t="s">
        <v>389</v>
      </c>
      <c r="V129" s="30" t="s">
        <v>390</v>
      </c>
      <c r="W129" s="129" t="s">
        <v>120</v>
      </c>
      <c r="X129" s="44">
        <v>41789</v>
      </c>
      <c r="Y129" s="44">
        <v>41912</v>
      </c>
      <c r="Z129" s="30" t="s">
        <v>345</v>
      </c>
      <c r="AA129" s="30" t="s">
        <v>396</v>
      </c>
    </row>
    <row r="130" spans="1:27" s="29" customFormat="1" ht="34.5" customHeight="1">
      <c r="A130" s="30" t="s">
        <v>142</v>
      </c>
      <c r="B130" s="31" t="s">
        <v>109</v>
      </c>
      <c r="C130" s="30" t="s">
        <v>39</v>
      </c>
      <c r="D130" s="48" t="s">
        <v>399</v>
      </c>
      <c r="E130" s="30" t="s">
        <v>164</v>
      </c>
      <c r="F130" s="30" t="s">
        <v>400</v>
      </c>
      <c r="G130" s="30" t="s">
        <v>75</v>
      </c>
      <c r="H130" s="30">
        <v>236220</v>
      </c>
      <c r="I130" s="30" t="s">
        <v>45</v>
      </c>
      <c r="J130" s="30" t="s">
        <v>129</v>
      </c>
      <c r="K130" s="30" t="s">
        <v>91</v>
      </c>
      <c r="L130" s="30" t="s">
        <v>91</v>
      </c>
      <c r="M130" s="45">
        <v>1000000</v>
      </c>
      <c r="N130" s="45">
        <v>5000000</v>
      </c>
      <c r="O130" s="30" t="s">
        <v>79</v>
      </c>
      <c r="P130" s="30" t="s">
        <v>302</v>
      </c>
      <c r="Q130" s="30" t="s">
        <v>294</v>
      </c>
      <c r="R130" s="30" t="s">
        <v>35</v>
      </c>
      <c r="S130" s="41">
        <v>2014</v>
      </c>
      <c r="T130" s="31" t="s">
        <v>401</v>
      </c>
      <c r="U130" s="31" t="s">
        <v>402</v>
      </c>
      <c r="V130" s="30" t="s">
        <v>403</v>
      </c>
      <c r="W130" s="129" t="s">
        <v>120</v>
      </c>
      <c r="X130" s="44">
        <v>41789</v>
      </c>
      <c r="Y130" s="44">
        <v>41912</v>
      </c>
      <c r="Z130" s="30" t="s">
        <v>345</v>
      </c>
      <c r="AA130" s="30" t="s">
        <v>396</v>
      </c>
    </row>
    <row r="131" spans="1:27" s="29" customFormat="1" ht="34.5" customHeight="1">
      <c r="A131" s="30" t="s">
        <v>142</v>
      </c>
      <c r="B131" s="31" t="s">
        <v>109</v>
      </c>
      <c r="C131" s="30" t="s">
        <v>39</v>
      </c>
      <c r="D131" s="48" t="s">
        <v>404</v>
      </c>
      <c r="E131" s="30" t="s">
        <v>164</v>
      </c>
      <c r="F131" s="30" t="s">
        <v>400</v>
      </c>
      <c r="G131" s="30" t="s">
        <v>75</v>
      </c>
      <c r="H131" s="30">
        <v>236220</v>
      </c>
      <c r="I131" s="30" t="s">
        <v>45</v>
      </c>
      <c r="J131" s="30" t="s">
        <v>129</v>
      </c>
      <c r="K131" s="30" t="s">
        <v>91</v>
      </c>
      <c r="L131" s="30" t="s">
        <v>91</v>
      </c>
      <c r="M131" s="45">
        <v>100000</v>
      </c>
      <c r="N131" s="45">
        <v>250000</v>
      </c>
      <c r="O131" s="30" t="s">
        <v>387</v>
      </c>
      <c r="P131" s="30" t="s">
        <v>302</v>
      </c>
      <c r="Q131" s="30" t="s">
        <v>294</v>
      </c>
      <c r="R131" s="30" t="s">
        <v>35</v>
      </c>
      <c r="S131" s="41">
        <v>2014</v>
      </c>
      <c r="T131" s="31" t="s">
        <v>401</v>
      </c>
      <c r="U131" s="31" t="s">
        <v>402</v>
      </c>
      <c r="V131" s="30" t="s">
        <v>403</v>
      </c>
      <c r="W131" s="129" t="s">
        <v>120</v>
      </c>
      <c r="X131" s="44">
        <v>41789</v>
      </c>
      <c r="Y131" s="44">
        <v>41912</v>
      </c>
      <c r="Z131" s="30" t="s">
        <v>345</v>
      </c>
      <c r="AA131" s="30" t="s">
        <v>396</v>
      </c>
    </row>
    <row r="132" spans="1:27" s="29" customFormat="1" ht="34.5" customHeight="1">
      <c r="A132" s="30" t="s">
        <v>142</v>
      </c>
      <c r="B132" s="31" t="s">
        <v>109</v>
      </c>
      <c r="C132" s="30" t="s">
        <v>39</v>
      </c>
      <c r="D132" s="48" t="s">
        <v>405</v>
      </c>
      <c r="E132" s="30" t="s">
        <v>164</v>
      </c>
      <c r="F132" s="30" t="s">
        <v>400</v>
      </c>
      <c r="G132" s="30" t="s">
        <v>75</v>
      </c>
      <c r="H132" s="30">
        <v>236220</v>
      </c>
      <c r="I132" s="30" t="s">
        <v>45</v>
      </c>
      <c r="J132" s="30" t="s">
        <v>129</v>
      </c>
      <c r="K132" s="30" t="s">
        <v>91</v>
      </c>
      <c r="L132" s="30" t="s">
        <v>91</v>
      </c>
      <c r="M132" s="45">
        <v>25000</v>
      </c>
      <c r="N132" s="45">
        <v>100000</v>
      </c>
      <c r="O132" s="30" t="s">
        <v>387</v>
      </c>
      <c r="P132" s="30" t="s">
        <v>302</v>
      </c>
      <c r="Q132" s="30" t="s">
        <v>294</v>
      </c>
      <c r="R132" s="30" t="s">
        <v>35</v>
      </c>
      <c r="S132" s="41">
        <v>2014</v>
      </c>
      <c r="T132" s="31" t="s">
        <v>401</v>
      </c>
      <c r="U132" s="31" t="s">
        <v>402</v>
      </c>
      <c r="V132" s="30" t="s">
        <v>403</v>
      </c>
      <c r="W132" s="129" t="s">
        <v>120</v>
      </c>
      <c r="X132" s="44">
        <v>41789</v>
      </c>
      <c r="Y132" s="44">
        <v>41912</v>
      </c>
      <c r="Z132" s="30" t="s">
        <v>345</v>
      </c>
      <c r="AA132" s="30" t="s">
        <v>396</v>
      </c>
    </row>
    <row r="133" spans="1:27" s="29" customFormat="1" ht="34.5" customHeight="1">
      <c r="A133" s="30" t="s">
        <v>142</v>
      </c>
      <c r="B133" s="31" t="s">
        <v>109</v>
      </c>
      <c r="C133" s="30" t="s">
        <v>39</v>
      </c>
      <c r="D133" s="48" t="s">
        <v>405</v>
      </c>
      <c r="E133" s="30" t="s">
        <v>164</v>
      </c>
      <c r="F133" s="30" t="s">
        <v>400</v>
      </c>
      <c r="G133" s="30" t="s">
        <v>75</v>
      </c>
      <c r="H133" s="30">
        <v>236220</v>
      </c>
      <c r="I133" s="30" t="s">
        <v>45</v>
      </c>
      <c r="J133" s="30" t="s">
        <v>129</v>
      </c>
      <c r="K133" s="30" t="s">
        <v>91</v>
      </c>
      <c r="L133" s="30" t="s">
        <v>91</v>
      </c>
      <c r="M133" s="45">
        <v>250000</v>
      </c>
      <c r="N133" s="45">
        <v>500000</v>
      </c>
      <c r="O133" s="30" t="s">
        <v>387</v>
      </c>
      <c r="P133" s="30" t="s">
        <v>302</v>
      </c>
      <c r="Q133" s="30" t="s">
        <v>294</v>
      </c>
      <c r="R133" s="30" t="s">
        <v>35</v>
      </c>
      <c r="S133" s="41">
        <v>2014</v>
      </c>
      <c r="T133" s="31" t="s">
        <v>401</v>
      </c>
      <c r="U133" s="31" t="s">
        <v>402</v>
      </c>
      <c r="V133" s="30" t="s">
        <v>403</v>
      </c>
      <c r="W133" s="129" t="s">
        <v>120</v>
      </c>
      <c r="X133" s="44">
        <v>41789</v>
      </c>
      <c r="Y133" s="44">
        <v>41912</v>
      </c>
      <c r="Z133" s="30" t="s">
        <v>345</v>
      </c>
      <c r="AA133" s="30" t="s">
        <v>396</v>
      </c>
    </row>
    <row r="134" spans="1:27" s="29" customFormat="1" ht="34.5" customHeight="1">
      <c r="A134" s="30" t="s">
        <v>142</v>
      </c>
      <c r="B134" s="31" t="s">
        <v>109</v>
      </c>
      <c r="C134" s="30" t="s">
        <v>39</v>
      </c>
      <c r="D134" s="48" t="s">
        <v>406</v>
      </c>
      <c r="E134" s="30" t="s">
        <v>164</v>
      </c>
      <c r="F134" s="30" t="s">
        <v>407</v>
      </c>
      <c r="G134" s="30" t="s">
        <v>75</v>
      </c>
      <c r="H134" s="30">
        <v>236220</v>
      </c>
      <c r="I134" s="30" t="s">
        <v>45</v>
      </c>
      <c r="J134" s="30" t="s">
        <v>129</v>
      </c>
      <c r="K134" s="30" t="s">
        <v>91</v>
      </c>
      <c r="L134" s="30" t="s">
        <v>91</v>
      </c>
      <c r="M134" s="45">
        <v>100000</v>
      </c>
      <c r="N134" s="45">
        <v>250000</v>
      </c>
      <c r="O134" s="30" t="s">
        <v>387</v>
      </c>
      <c r="P134" s="30" t="s">
        <v>302</v>
      </c>
      <c r="Q134" s="30" t="s">
        <v>294</v>
      </c>
      <c r="R134" s="30" t="s">
        <v>35</v>
      </c>
      <c r="S134" s="41">
        <v>2014</v>
      </c>
      <c r="T134" s="31" t="s">
        <v>401</v>
      </c>
      <c r="U134" s="31" t="s">
        <v>402</v>
      </c>
      <c r="V134" s="30" t="s">
        <v>403</v>
      </c>
      <c r="W134" s="129" t="s">
        <v>120</v>
      </c>
      <c r="X134" s="44">
        <v>41789</v>
      </c>
      <c r="Y134" s="44">
        <v>41912</v>
      </c>
      <c r="Z134" s="30" t="s">
        <v>345</v>
      </c>
      <c r="AA134" s="30" t="s">
        <v>396</v>
      </c>
    </row>
    <row r="135" spans="1:27" s="29" customFormat="1" ht="34.5" customHeight="1">
      <c r="A135" s="30" t="s">
        <v>142</v>
      </c>
      <c r="B135" s="31" t="s">
        <v>109</v>
      </c>
      <c r="C135" s="30" t="s">
        <v>39</v>
      </c>
      <c r="D135" s="48" t="s">
        <v>408</v>
      </c>
      <c r="E135" s="30" t="s">
        <v>164</v>
      </c>
      <c r="F135" s="30" t="s">
        <v>409</v>
      </c>
      <c r="G135" s="30" t="s">
        <v>235</v>
      </c>
      <c r="H135" s="30">
        <v>236220</v>
      </c>
      <c r="I135" s="30" t="s">
        <v>45</v>
      </c>
      <c r="J135" s="30" t="s">
        <v>129</v>
      </c>
      <c r="K135" s="30" t="s">
        <v>91</v>
      </c>
      <c r="L135" s="30" t="s">
        <v>91</v>
      </c>
      <c r="M135" s="45" t="s">
        <v>410</v>
      </c>
      <c r="N135" s="45" t="s">
        <v>410</v>
      </c>
      <c r="O135" s="30" t="s">
        <v>387</v>
      </c>
      <c r="P135" s="30" t="s">
        <v>302</v>
      </c>
      <c r="Q135" s="30" t="s">
        <v>294</v>
      </c>
      <c r="R135" s="155" t="s">
        <v>80</v>
      </c>
      <c r="S135" s="41">
        <v>2014</v>
      </c>
      <c r="T135" s="31" t="s">
        <v>411</v>
      </c>
      <c r="U135" s="31" t="s">
        <v>412</v>
      </c>
      <c r="V135" s="30" t="s">
        <v>413</v>
      </c>
      <c r="W135" s="129" t="s">
        <v>120</v>
      </c>
      <c r="X135" s="30" t="s">
        <v>345</v>
      </c>
      <c r="Y135" s="30" t="s">
        <v>345</v>
      </c>
      <c r="Z135" s="30" t="s">
        <v>345</v>
      </c>
      <c r="AA135" s="30" t="s">
        <v>396</v>
      </c>
    </row>
    <row r="136" spans="1:27" s="29" customFormat="1" ht="34.5" customHeight="1">
      <c r="A136" s="30" t="s">
        <v>142</v>
      </c>
      <c r="B136" s="31" t="s">
        <v>109</v>
      </c>
      <c r="C136" s="30" t="s">
        <v>39</v>
      </c>
      <c r="D136" s="48" t="s">
        <v>414</v>
      </c>
      <c r="E136" s="30" t="s">
        <v>164</v>
      </c>
      <c r="F136" s="30" t="s">
        <v>409</v>
      </c>
      <c r="G136" s="30" t="s">
        <v>235</v>
      </c>
      <c r="H136" s="30">
        <v>236220</v>
      </c>
      <c r="I136" s="30" t="s">
        <v>45</v>
      </c>
      <c r="J136" s="30" t="s">
        <v>129</v>
      </c>
      <c r="K136" s="30" t="s">
        <v>91</v>
      </c>
      <c r="L136" s="30" t="s">
        <v>91</v>
      </c>
      <c r="M136" s="45">
        <v>500000</v>
      </c>
      <c r="N136" s="45">
        <v>1000000</v>
      </c>
      <c r="O136" s="30" t="s">
        <v>387</v>
      </c>
      <c r="P136" s="30" t="s">
        <v>302</v>
      </c>
      <c r="Q136" s="30" t="s">
        <v>294</v>
      </c>
      <c r="R136" s="155" t="s">
        <v>80</v>
      </c>
      <c r="S136" s="41">
        <v>2014</v>
      </c>
      <c r="T136" s="31" t="s">
        <v>411</v>
      </c>
      <c r="U136" s="31" t="s">
        <v>412</v>
      </c>
      <c r="V136" s="30" t="s">
        <v>413</v>
      </c>
      <c r="W136" s="129" t="s">
        <v>120</v>
      </c>
      <c r="X136" s="30" t="s">
        <v>345</v>
      </c>
      <c r="Y136" s="30" t="s">
        <v>345</v>
      </c>
      <c r="Z136" s="30" t="s">
        <v>345</v>
      </c>
      <c r="AA136" s="30" t="s">
        <v>396</v>
      </c>
    </row>
    <row r="137" spans="1:27" s="29" customFormat="1" ht="34.5" customHeight="1">
      <c r="A137" s="30" t="s">
        <v>142</v>
      </c>
      <c r="B137" s="31" t="s">
        <v>109</v>
      </c>
      <c r="C137" s="30" t="s">
        <v>39</v>
      </c>
      <c r="D137" s="48" t="s">
        <v>415</v>
      </c>
      <c r="E137" s="30" t="s">
        <v>164</v>
      </c>
      <c r="F137" s="30" t="s">
        <v>416</v>
      </c>
      <c r="G137" s="30" t="s">
        <v>235</v>
      </c>
      <c r="H137" s="30">
        <v>236220</v>
      </c>
      <c r="I137" s="30" t="s">
        <v>45</v>
      </c>
      <c r="J137" s="30" t="s">
        <v>129</v>
      </c>
      <c r="K137" s="30" t="s">
        <v>91</v>
      </c>
      <c r="L137" s="30" t="s">
        <v>91</v>
      </c>
      <c r="M137" s="45">
        <v>250000</v>
      </c>
      <c r="N137" s="45">
        <v>500000</v>
      </c>
      <c r="O137" s="30" t="s">
        <v>387</v>
      </c>
      <c r="P137" s="30" t="s">
        <v>302</v>
      </c>
      <c r="Q137" s="30" t="s">
        <v>294</v>
      </c>
      <c r="R137" s="155" t="s">
        <v>80</v>
      </c>
      <c r="S137" s="41">
        <v>2014</v>
      </c>
      <c r="T137" s="31" t="s">
        <v>417</v>
      </c>
      <c r="U137" s="31" t="s">
        <v>412</v>
      </c>
      <c r="V137" s="30" t="s">
        <v>418</v>
      </c>
      <c r="W137" s="129" t="s">
        <v>120</v>
      </c>
      <c r="X137" s="30" t="s">
        <v>345</v>
      </c>
      <c r="Y137" s="30" t="s">
        <v>345</v>
      </c>
      <c r="Z137" s="30" t="s">
        <v>345</v>
      </c>
      <c r="AA137" s="30" t="s">
        <v>396</v>
      </c>
    </row>
    <row r="138" spans="1:27" s="29" customFormat="1" ht="34.5" customHeight="1">
      <c r="A138" s="30" t="s">
        <v>142</v>
      </c>
      <c r="B138" s="31" t="s">
        <v>109</v>
      </c>
      <c r="C138" s="30" t="s">
        <v>39</v>
      </c>
      <c r="D138" s="48" t="s">
        <v>419</v>
      </c>
      <c r="E138" s="30" t="s">
        <v>164</v>
      </c>
      <c r="F138" s="30" t="s">
        <v>341</v>
      </c>
      <c r="G138" s="30" t="s">
        <v>235</v>
      </c>
      <c r="H138" s="30">
        <v>236220</v>
      </c>
      <c r="I138" s="30" t="s">
        <v>45</v>
      </c>
      <c r="J138" s="30" t="s">
        <v>129</v>
      </c>
      <c r="K138" s="30" t="s">
        <v>91</v>
      </c>
      <c r="L138" s="30" t="s">
        <v>91</v>
      </c>
      <c r="M138" s="45">
        <v>250000</v>
      </c>
      <c r="N138" s="45">
        <v>500000</v>
      </c>
      <c r="O138" s="30" t="s">
        <v>387</v>
      </c>
      <c r="P138" s="30" t="s">
        <v>302</v>
      </c>
      <c r="Q138" s="30" t="s">
        <v>294</v>
      </c>
      <c r="R138" s="155" t="s">
        <v>80</v>
      </c>
      <c r="S138" s="41">
        <v>2014</v>
      </c>
      <c r="T138" s="31" t="s">
        <v>417</v>
      </c>
      <c r="U138" s="31" t="s">
        <v>412</v>
      </c>
      <c r="V138" s="30" t="s">
        <v>418</v>
      </c>
      <c r="W138" s="129" t="s">
        <v>120</v>
      </c>
      <c r="X138" s="30" t="s">
        <v>345</v>
      </c>
      <c r="Y138" s="30" t="s">
        <v>345</v>
      </c>
      <c r="Z138" s="30" t="s">
        <v>345</v>
      </c>
      <c r="AA138" s="30" t="s">
        <v>396</v>
      </c>
    </row>
    <row r="139" spans="1:27" s="29" customFormat="1" ht="34.5" customHeight="1">
      <c r="A139" s="30" t="s">
        <v>142</v>
      </c>
      <c r="B139" s="31" t="s">
        <v>109</v>
      </c>
      <c r="C139" s="30" t="s">
        <v>39</v>
      </c>
      <c r="D139" s="48" t="s">
        <v>405</v>
      </c>
      <c r="E139" s="30" t="s">
        <v>164</v>
      </c>
      <c r="F139" s="30" t="s">
        <v>341</v>
      </c>
      <c r="G139" s="30" t="s">
        <v>235</v>
      </c>
      <c r="H139" s="30">
        <v>236220</v>
      </c>
      <c r="I139" s="30" t="s">
        <v>45</v>
      </c>
      <c r="J139" s="30" t="s">
        <v>129</v>
      </c>
      <c r="K139" s="30" t="s">
        <v>91</v>
      </c>
      <c r="L139" s="30" t="s">
        <v>91</v>
      </c>
      <c r="M139" s="45">
        <v>25000</v>
      </c>
      <c r="N139" s="45">
        <v>100000</v>
      </c>
      <c r="O139" s="30" t="s">
        <v>387</v>
      </c>
      <c r="P139" s="30" t="s">
        <v>302</v>
      </c>
      <c r="Q139" s="30" t="s">
        <v>294</v>
      </c>
      <c r="R139" s="155" t="s">
        <v>80</v>
      </c>
      <c r="S139" s="41">
        <v>2014</v>
      </c>
      <c r="T139" s="31" t="s">
        <v>401</v>
      </c>
      <c r="U139" s="31" t="s">
        <v>402</v>
      </c>
      <c r="V139" s="30" t="s">
        <v>403</v>
      </c>
      <c r="W139" s="129" t="s">
        <v>120</v>
      </c>
      <c r="X139" s="44">
        <v>41789</v>
      </c>
      <c r="Y139" s="44">
        <v>41912</v>
      </c>
      <c r="Z139" s="30" t="s">
        <v>345</v>
      </c>
      <c r="AA139" s="30" t="s">
        <v>396</v>
      </c>
    </row>
    <row r="140" spans="1:27" s="29" customFormat="1" ht="34.5" customHeight="1">
      <c r="A140" s="30" t="s">
        <v>142</v>
      </c>
      <c r="B140" s="31" t="s">
        <v>109</v>
      </c>
      <c r="C140" s="30" t="s">
        <v>39</v>
      </c>
      <c r="D140" s="48" t="s">
        <v>420</v>
      </c>
      <c r="E140" s="30" t="s">
        <v>164</v>
      </c>
      <c r="F140" s="30" t="s">
        <v>341</v>
      </c>
      <c r="G140" s="30" t="s">
        <v>235</v>
      </c>
      <c r="H140" s="30">
        <v>236220</v>
      </c>
      <c r="I140" s="30" t="s">
        <v>45</v>
      </c>
      <c r="J140" s="30" t="s">
        <v>129</v>
      </c>
      <c r="K140" s="30" t="s">
        <v>91</v>
      </c>
      <c r="L140" s="30" t="s">
        <v>91</v>
      </c>
      <c r="M140" s="45">
        <v>250000</v>
      </c>
      <c r="N140" s="45">
        <v>500000</v>
      </c>
      <c r="O140" s="30" t="s">
        <v>387</v>
      </c>
      <c r="P140" s="30" t="s">
        <v>302</v>
      </c>
      <c r="Q140" s="30" t="s">
        <v>294</v>
      </c>
      <c r="R140" s="155" t="s">
        <v>80</v>
      </c>
      <c r="S140" s="41">
        <v>2014</v>
      </c>
      <c r="T140" s="31" t="s">
        <v>401</v>
      </c>
      <c r="U140" s="31" t="s">
        <v>402</v>
      </c>
      <c r="V140" s="30" t="s">
        <v>403</v>
      </c>
      <c r="W140" s="129" t="s">
        <v>120</v>
      </c>
      <c r="X140" s="44">
        <v>41789</v>
      </c>
      <c r="Y140" s="44">
        <v>41912</v>
      </c>
      <c r="Z140" s="30" t="s">
        <v>345</v>
      </c>
      <c r="AA140" s="30" t="s">
        <v>396</v>
      </c>
    </row>
    <row r="141" spans="1:27" s="29" customFormat="1" ht="34.5" customHeight="1">
      <c r="A141" s="30" t="s">
        <v>142</v>
      </c>
      <c r="B141" s="31" t="s">
        <v>109</v>
      </c>
      <c r="C141" s="30" t="s">
        <v>39</v>
      </c>
      <c r="D141" s="48" t="s">
        <v>421</v>
      </c>
      <c r="E141" s="30" t="s">
        <v>164</v>
      </c>
      <c r="F141" s="30" t="s">
        <v>341</v>
      </c>
      <c r="G141" s="30" t="s">
        <v>235</v>
      </c>
      <c r="H141" s="30">
        <v>236220</v>
      </c>
      <c r="I141" s="30" t="s">
        <v>45</v>
      </c>
      <c r="J141" s="30" t="s">
        <v>129</v>
      </c>
      <c r="K141" s="30" t="s">
        <v>91</v>
      </c>
      <c r="L141" s="30" t="s">
        <v>91</v>
      </c>
      <c r="M141" s="45">
        <v>500000</v>
      </c>
      <c r="N141" s="45">
        <v>1000000</v>
      </c>
      <c r="O141" s="30" t="s">
        <v>387</v>
      </c>
      <c r="P141" s="30" t="s">
        <v>302</v>
      </c>
      <c r="Q141" s="30" t="s">
        <v>294</v>
      </c>
      <c r="R141" s="155" t="s">
        <v>80</v>
      </c>
      <c r="S141" s="41">
        <v>2014</v>
      </c>
      <c r="T141" s="31" t="s">
        <v>401</v>
      </c>
      <c r="U141" s="31" t="s">
        <v>402</v>
      </c>
      <c r="V141" s="30" t="s">
        <v>403</v>
      </c>
      <c r="W141" s="129" t="s">
        <v>120</v>
      </c>
      <c r="X141" s="44">
        <v>41789</v>
      </c>
      <c r="Y141" s="44">
        <v>41912</v>
      </c>
      <c r="Z141" s="30" t="s">
        <v>345</v>
      </c>
      <c r="AA141" s="30" t="s">
        <v>396</v>
      </c>
    </row>
    <row r="142" spans="1:27" s="29" customFormat="1" ht="34.5" customHeight="1">
      <c r="A142" s="30" t="s">
        <v>142</v>
      </c>
      <c r="B142" s="31" t="s">
        <v>109</v>
      </c>
      <c r="C142" s="30" t="s">
        <v>39</v>
      </c>
      <c r="D142" s="48" t="s">
        <v>422</v>
      </c>
      <c r="E142" s="30" t="s">
        <v>164</v>
      </c>
      <c r="F142" s="30" t="s">
        <v>341</v>
      </c>
      <c r="G142" s="30" t="s">
        <v>235</v>
      </c>
      <c r="H142" s="30">
        <v>236220</v>
      </c>
      <c r="I142" s="30" t="s">
        <v>45</v>
      </c>
      <c r="J142" s="30" t="s">
        <v>129</v>
      </c>
      <c r="K142" s="30" t="s">
        <v>91</v>
      </c>
      <c r="L142" s="30" t="s">
        <v>91</v>
      </c>
      <c r="M142" s="45" t="s">
        <v>410</v>
      </c>
      <c r="N142" s="45" t="s">
        <v>410</v>
      </c>
      <c r="O142" s="30" t="s">
        <v>387</v>
      </c>
      <c r="P142" s="30" t="s">
        <v>302</v>
      </c>
      <c r="Q142" s="30" t="s">
        <v>294</v>
      </c>
      <c r="R142" s="155" t="s">
        <v>80</v>
      </c>
      <c r="S142" s="41">
        <v>2014</v>
      </c>
      <c r="T142" s="31" t="s">
        <v>401</v>
      </c>
      <c r="U142" s="31" t="s">
        <v>402</v>
      </c>
      <c r="V142" s="30" t="s">
        <v>403</v>
      </c>
      <c r="W142" s="129" t="s">
        <v>120</v>
      </c>
      <c r="X142" s="44">
        <v>41789</v>
      </c>
      <c r="Y142" s="44">
        <v>41912</v>
      </c>
      <c r="Z142" s="30" t="s">
        <v>345</v>
      </c>
      <c r="AA142" s="30" t="s">
        <v>396</v>
      </c>
    </row>
    <row r="143" spans="1:27" s="29" customFormat="1" ht="34.5" customHeight="1">
      <c r="A143" s="30" t="s">
        <v>142</v>
      </c>
      <c r="B143" s="31" t="s">
        <v>109</v>
      </c>
      <c r="C143" s="30" t="s">
        <v>39</v>
      </c>
      <c r="D143" s="48" t="s">
        <v>370</v>
      </c>
      <c r="E143" s="30" t="s">
        <v>164</v>
      </c>
      <c r="F143" s="30" t="s">
        <v>423</v>
      </c>
      <c r="G143" s="30" t="s">
        <v>209</v>
      </c>
      <c r="H143" s="30">
        <v>236220</v>
      </c>
      <c r="I143" s="129" t="s">
        <v>32</v>
      </c>
      <c r="J143" s="30" t="s">
        <v>129</v>
      </c>
      <c r="K143" s="30" t="s">
        <v>91</v>
      </c>
      <c r="L143" s="30" t="s">
        <v>424</v>
      </c>
      <c r="M143" s="45">
        <v>100000</v>
      </c>
      <c r="N143" s="45">
        <v>250000</v>
      </c>
      <c r="O143" s="30" t="s">
        <v>79</v>
      </c>
      <c r="P143" s="30" t="s">
        <v>302</v>
      </c>
      <c r="Q143" s="30" t="s">
        <v>294</v>
      </c>
      <c r="R143" s="30" t="s">
        <v>100</v>
      </c>
      <c r="S143" s="41">
        <v>2014</v>
      </c>
      <c r="T143" s="31" t="s">
        <v>425</v>
      </c>
      <c r="U143" s="31" t="s">
        <v>426</v>
      </c>
      <c r="V143" s="30" t="s">
        <v>427</v>
      </c>
      <c r="W143" s="129" t="s">
        <v>120</v>
      </c>
      <c r="X143" s="30" t="s">
        <v>428</v>
      </c>
      <c r="Y143" s="30" t="s">
        <v>429</v>
      </c>
      <c r="Z143" s="30" t="s">
        <v>345</v>
      </c>
      <c r="AA143" s="30" t="s">
        <v>372</v>
      </c>
    </row>
    <row r="144" spans="1:27" s="29" customFormat="1" ht="34.5" customHeight="1">
      <c r="A144" s="30" t="s">
        <v>142</v>
      </c>
      <c r="B144" s="31" t="s">
        <v>109</v>
      </c>
      <c r="C144" s="30" t="s">
        <v>39</v>
      </c>
      <c r="D144" s="48" t="s">
        <v>430</v>
      </c>
      <c r="E144" s="30" t="s">
        <v>164</v>
      </c>
      <c r="F144" s="30" t="s">
        <v>357</v>
      </c>
      <c r="G144" s="30" t="s">
        <v>235</v>
      </c>
      <c r="H144" s="30">
        <v>236220</v>
      </c>
      <c r="I144" s="129" t="s">
        <v>32</v>
      </c>
      <c r="J144" s="30" t="s">
        <v>129</v>
      </c>
      <c r="K144" s="30" t="s">
        <v>431</v>
      </c>
      <c r="L144" s="30" t="s">
        <v>432</v>
      </c>
      <c r="M144" s="45">
        <v>703400</v>
      </c>
      <c r="N144" s="45">
        <v>703400</v>
      </c>
      <c r="O144" s="30" t="s">
        <v>79</v>
      </c>
      <c r="P144" s="30" t="s">
        <v>302</v>
      </c>
      <c r="Q144" s="30" t="s">
        <v>294</v>
      </c>
      <c r="R144" s="30" t="s">
        <v>100</v>
      </c>
      <c r="S144" s="41">
        <v>2014</v>
      </c>
      <c r="T144" s="31" t="s">
        <v>433</v>
      </c>
      <c r="U144" s="31" t="s">
        <v>434</v>
      </c>
      <c r="V144" s="30" t="s">
        <v>435</v>
      </c>
      <c r="W144" s="129" t="s">
        <v>120</v>
      </c>
      <c r="X144" s="30" t="s">
        <v>436</v>
      </c>
      <c r="Y144" s="30" t="s">
        <v>436</v>
      </c>
      <c r="Z144" s="30" t="s">
        <v>345</v>
      </c>
      <c r="AA144" s="30" t="s">
        <v>39</v>
      </c>
    </row>
    <row r="145" spans="1:27" s="29" customFormat="1" ht="34.5" customHeight="1">
      <c r="A145" s="30" t="s">
        <v>142</v>
      </c>
      <c r="B145" s="31" t="s">
        <v>109</v>
      </c>
      <c r="C145" s="30" t="s">
        <v>39</v>
      </c>
      <c r="D145" s="48" t="s">
        <v>437</v>
      </c>
      <c r="E145" s="30" t="s">
        <v>164</v>
      </c>
      <c r="F145" s="30" t="s">
        <v>357</v>
      </c>
      <c r="G145" s="30" t="s">
        <v>235</v>
      </c>
      <c r="H145" s="30">
        <v>236220</v>
      </c>
      <c r="I145" s="129" t="s">
        <v>32</v>
      </c>
      <c r="J145" s="30" t="s">
        <v>129</v>
      </c>
      <c r="K145" s="30" t="s">
        <v>91</v>
      </c>
      <c r="L145" s="30" t="s">
        <v>432</v>
      </c>
      <c r="M145" s="45">
        <v>270692</v>
      </c>
      <c r="N145" s="45">
        <v>270692</v>
      </c>
      <c r="O145" s="30" t="s">
        <v>79</v>
      </c>
      <c r="P145" s="30" t="s">
        <v>302</v>
      </c>
      <c r="Q145" s="30" t="s">
        <v>294</v>
      </c>
      <c r="R145" s="155" t="s">
        <v>80</v>
      </c>
      <c r="S145" s="41">
        <v>2014</v>
      </c>
      <c r="T145" s="31" t="s">
        <v>433</v>
      </c>
      <c r="U145" s="31" t="s">
        <v>434</v>
      </c>
      <c r="V145" s="30" t="s">
        <v>435</v>
      </c>
      <c r="W145" s="129" t="s">
        <v>120</v>
      </c>
      <c r="X145" s="30" t="s">
        <v>438</v>
      </c>
      <c r="Y145" s="30" t="s">
        <v>439</v>
      </c>
      <c r="Z145" s="30" t="s">
        <v>345</v>
      </c>
      <c r="AA145" s="30" t="s">
        <v>39</v>
      </c>
    </row>
    <row r="146" spans="1:27" s="29" customFormat="1" ht="34.5" customHeight="1">
      <c r="A146" s="30" t="s">
        <v>142</v>
      </c>
      <c r="B146" s="31" t="s">
        <v>109</v>
      </c>
      <c r="C146" s="30" t="s">
        <v>39</v>
      </c>
      <c r="D146" s="30" t="s">
        <v>440</v>
      </c>
      <c r="E146" s="30" t="s">
        <v>164</v>
      </c>
      <c r="F146" s="30" t="s">
        <v>357</v>
      </c>
      <c r="G146" s="30" t="s">
        <v>235</v>
      </c>
      <c r="H146" s="30">
        <v>236220</v>
      </c>
      <c r="I146" s="129" t="s">
        <v>32</v>
      </c>
      <c r="J146" s="30" t="s">
        <v>129</v>
      </c>
      <c r="K146" s="30" t="s">
        <v>91</v>
      </c>
      <c r="L146" s="30" t="s">
        <v>432</v>
      </c>
      <c r="M146" s="45">
        <v>121000</v>
      </c>
      <c r="N146" s="45">
        <v>121000</v>
      </c>
      <c r="O146" s="30" t="s">
        <v>79</v>
      </c>
      <c r="P146" s="30" t="s">
        <v>302</v>
      </c>
      <c r="Q146" s="30" t="s">
        <v>294</v>
      </c>
      <c r="R146" s="30" t="s">
        <v>100</v>
      </c>
      <c r="S146" s="41">
        <v>2014</v>
      </c>
      <c r="T146" s="31" t="s">
        <v>433</v>
      </c>
      <c r="U146" s="31" t="s">
        <v>434</v>
      </c>
      <c r="V146" s="30" t="s">
        <v>435</v>
      </c>
      <c r="W146" s="129" t="s">
        <v>120</v>
      </c>
      <c r="X146" s="30" t="s">
        <v>438</v>
      </c>
      <c r="Y146" s="30" t="s">
        <v>439</v>
      </c>
      <c r="Z146" s="30" t="s">
        <v>345</v>
      </c>
      <c r="AA146" s="30" t="s">
        <v>39</v>
      </c>
    </row>
    <row r="147" spans="1:27" s="29" customFormat="1" ht="34.5" customHeight="1">
      <c r="A147" s="30" t="s">
        <v>142</v>
      </c>
      <c r="B147" s="31" t="s">
        <v>109</v>
      </c>
      <c r="C147" s="30" t="s">
        <v>39</v>
      </c>
      <c r="D147" s="30" t="s">
        <v>441</v>
      </c>
      <c r="E147" s="30" t="s">
        <v>164</v>
      </c>
      <c r="F147" s="30" t="s">
        <v>357</v>
      </c>
      <c r="G147" s="30" t="s">
        <v>235</v>
      </c>
      <c r="H147" s="30">
        <v>2363220</v>
      </c>
      <c r="I147" s="129" t="s">
        <v>32</v>
      </c>
      <c r="J147" s="30" t="s">
        <v>129</v>
      </c>
      <c r="K147" s="30" t="s">
        <v>91</v>
      </c>
      <c r="L147" s="30" t="s">
        <v>432</v>
      </c>
      <c r="M147" s="45">
        <v>625000</v>
      </c>
      <c r="N147" s="45">
        <v>625000</v>
      </c>
      <c r="O147" s="30" t="s">
        <v>79</v>
      </c>
      <c r="P147" s="30" t="s">
        <v>302</v>
      </c>
      <c r="Q147" s="30" t="s">
        <v>294</v>
      </c>
      <c r="R147" s="30" t="s">
        <v>35</v>
      </c>
      <c r="S147" s="41">
        <v>2014</v>
      </c>
      <c r="T147" s="31" t="s">
        <v>433</v>
      </c>
      <c r="U147" s="31" t="s">
        <v>434</v>
      </c>
      <c r="V147" s="30" t="s">
        <v>435</v>
      </c>
      <c r="W147" s="129" t="s">
        <v>120</v>
      </c>
      <c r="X147" s="30" t="s">
        <v>442</v>
      </c>
      <c r="Y147" s="30" t="s">
        <v>443</v>
      </c>
      <c r="Z147" s="30" t="s">
        <v>345</v>
      </c>
      <c r="AA147" s="30" t="s">
        <v>39</v>
      </c>
    </row>
    <row r="148" spans="1:27" s="29" customFormat="1" ht="34.5" customHeight="1">
      <c r="A148" s="30" t="s">
        <v>142</v>
      </c>
      <c r="B148" s="31" t="s">
        <v>109</v>
      </c>
      <c r="C148" s="30" t="s">
        <v>39</v>
      </c>
      <c r="D148" s="30" t="s">
        <v>444</v>
      </c>
      <c r="E148" s="30" t="s">
        <v>164</v>
      </c>
      <c r="F148" s="30" t="s">
        <v>445</v>
      </c>
      <c r="G148" s="30" t="s">
        <v>235</v>
      </c>
      <c r="H148" s="30">
        <v>236220</v>
      </c>
      <c r="I148" s="129" t="s">
        <v>32</v>
      </c>
      <c r="J148" s="30" t="s">
        <v>129</v>
      </c>
      <c r="K148" s="30" t="s">
        <v>91</v>
      </c>
      <c r="L148" s="30" t="s">
        <v>91</v>
      </c>
      <c r="M148" s="45">
        <v>500000</v>
      </c>
      <c r="N148" s="45">
        <v>1000000</v>
      </c>
      <c r="O148" s="30" t="s">
        <v>79</v>
      </c>
      <c r="P148" s="30" t="s">
        <v>302</v>
      </c>
      <c r="Q148" s="30" t="s">
        <v>294</v>
      </c>
      <c r="R148" s="30" t="s">
        <v>100</v>
      </c>
      <c r="S148" s="41">
        <v>2014</v>
      </c>
      <c r="T148" s="31" t="s">
        <v>425</v>
      </c>
      <c r="U148" s="31" t="s">
        <v>426</v>
      </c>
      <c r="V148" s="30" t="s">
        <v>427</v>
      </c>
      <c r="W148" s="129" t="s">
        <v>120</v>
      </c>
      <c r="X148" s="30" t="s">
        <v>428</v>
      </c>
      <c r="Y148" s="30" t="s">
        <v>429</v>
      </c>
      <c r="Z148" s="30" t="s">
        <v>345</v>
      </c>
      <c r="AA148" s="30" t="s">
        <v>372</v>
      </c>
    </row>
    <row r="149" spans="1:27" s="29" customFormat="1" ht="34.5" customHeight="1">
      <c r="A149" s="30" t="s">
        <v>142</v>
      </c>
      <c r="B149" s="31" t="s">
        <v>109</v>
      </c>
      <c r="C149" s="30" t="s">
        <v>39</v>
      </c>
      <c r="D149" s="30" t="s">
        <v>446</v>
      </c>
      <c r="E149" s="30" t="s">
        <v>164</v>
      </c>
      <c r="F149" s="30" t="s">
        <v>445</v>
      </c>
      <c r="G149" s="30" t="s">
        <v>235</v>
      </c>
      <c r="H149" s="30">
        <v>236220</v>
      </c>
      <c r="I149" s="129" t="s">
        <v>59</v>
      </c>
      <c r="J149" s="30" t="s">
        <v>129</v>
      </c>
      <c r="K149" s="30" t="s">
        <v>91</v>
      </c>
      <c r="L149" s="30" t="s">
        <v>91</v>
      </c>
      <c r="M149" s="45">
        <v>25000</v>
      </c>
      <c r="N149" s="45">
        <v>100000</v>
      </c>
      <c r="O149" s="30" t="s">
        <v>79</v>
      </c>
      <c r="P149" s="30" t="s">
        <v>302</v>
      </c>
      <c r="Q149" s="30" t="s">
        <v>294</v>
      </c>
      <c r="R149" s="155" t="s">
        <v>80</v>
      </c>
      <c r="S149" s="41">
        <v>2014</v>
      </c>
      <c r="T149" s="31" t="s">
        <v>425</v>
      </c>
      <c r="U149" s="31" t="s">
        <v>426</v>
      </c>
      <c r="V149" s="30" t="s">
        <v>427</v>
      </c>
      <c r="W149" s="129" t="s">
        <v>120</v>
      </c>
      <c r="X149" s="30" t="s">
        <v>447</v>
      </c>
      <c r="Y149" s="30" t="s">
        <v>448</v>
      </c>
      <c r="Z149" s="30" t="s">
        <v>345</v>
      </c>
      <c r="AA149" s="30" t="s">
        <v>372</v>
      </c>
    </row>
    <row r="150" spans="1:27" s="29" customFormat="1" ht="34.5" customHeight="1">
      <c r="A150" s="30" t="s">
        <v>142</v>
      </c>
      <c r="B150" s="31" t="s">
        <v>109</v>
      </c>
      <c r="C150" s="30" t="s">
        <v>39</v>
      </c>
      <c r="D150" s="30" t="s">
        <v>449</v>
      </c>
      <c r="E150" s="30" t="s">
        <v>164</v>
      </c>
      <c r="F150" s="30" t="s">
        <v>450</v>
      </c>
      <c r="G150" s="30" t="s">
        <v>235</v>
      </c>
      <c r="H150" s="30">
        <v>236220</v>
      </c>
      <c r="I150" s="129" t="s">
        <v>32</v>
      </c>
      <c r="J150" s="30" t="s">
        <v>129</v>
      </c>
      <c r="K150" s="30" t="s">
        <v>91</v>
      </c>
      <c r="L150" s="30" t="s">
        <v>91</v>
      </c>
      <c r="M150" s="45">
        <v>25000</v>
      </c>
      <c r="N150" s="45">
        <v>100000</v>
      </c>
      <c r="O150" s="30" t="s">
        <v>79</v>
      </c>
      <c r="P150" s="30" t="s">
        <v>302</v>
      </c>
      <c r="Q150" s="30" t="s">
        <v>294</v>
      </c>
      <c r="R150" s="30" t="s">
        <v>150</v>
      </c>
      <c r="S150" s="41">
        <v>2014</v>
      </c>
      <c r="T150" s="31" t="s">
        <v>425</v>
      </c>
      <c r="U150" s="31" t="s">
        <v>426</v>
      </c>
      <c r="V150" s="30" t="s">
        <v>427</v>
      </c>
      <c r="W150" s="129" t="s">
        <v>120</v>
      </c>
      <c r="X150" s="30" t="s">
        <v>334</v>
      </c>
      <c r="Y150" s="30" t="s">
        <v>334</v>
      </c>
      <c r="Z150" s="30" t="s">
        <v>345</v>
      </c>
      <c r="AA150" s="30" t="s">
        <v>372</v>
      </c>
    </row>
    <row r="151" spans="1:27" s="29" customFormat="1" ht="34.5" customHeight="1">
      <c r="A151" s="30" t="s">
        <v>142</v>
      </c>
      <c r="B151" s="31" t="s">
        <v>109</v>
      </c>
      <c r="C151" s="30" t="s">
        <v>39</v>
      </c>
      <c r="D151" s="30" t="s">
        <v>451</v>
      </c>
      <c r="E151" s="30" t="s">
        <v>164</v>
      </c>
      <c r="F151" s="30" t="s">
        <v>409</v>
      </c>
      <c r="G151" s="30" t="s">
        <v>235</v>
      </c>
      <c r="H151" s="30">
        <v>236220</v>
      </c>
      <c r="I151" s="129" t="s">
        <v>32</v>
      </c>
      <c r="J151" s="30" t="s">
        <v>129</v>
      </c>
      <c r="K151" s="30" t="s">
        <v>91</v>
      </c>
      <c r="L151" s="30" t="s">
        <v>91</v>
      </c>
      <c r="M151" s="45">
        <v>25000</v>
      </c>
      <c r="N151" s="45">
        <v>100000</v>
      </c>
      <c r="O151" s="30" t="s">
        <v>79</v>
      </c>
      <c r="P151" s="30" t="s">
        <v>302</v>
      </c>
      <c r="Q151" s="30" t="s">
        <v>294</v>
      </c>
      <c r="R151" s="30" t="s">
        <v>150</v>
      </c>
      <c r="S151" s="41">
        <v>2014</v>
      </c>
      <c r="T151" s="31" t="s">
        <v>425</v>
      </c>
      <c r="U151" s="31" t="s">
        <v>426</v>
      </c>
      <c r="V151" s="30" t="s">
        <v>427</v>
      </c>
      <c r="W151" s="129" t="s">
        <v>120</v>
      </c>
      <c r="X151" s="30" t="s">
        <v>334</v>
      </c>
      <c r="Y151" s="30" t="s">
        <v>334</v>
      </c>
      <c r="Z151" s="30" t="s">
        <v>345</v>
      </c>
      <c r="AA151" s="30" t="s">
        <v>372</v>
      </c>
    </row>
    <row r="152" spans="1:27" s="29" customFormat="1" ht="38.25" customHeight="1">
      <c r="A152" s="30" t="s">
        <v>142</v>
      </c>
      <c r="B152" s="31" t="s">
        <v>109</v>
      </c>
      <c r="C152" s="30" t="s">
        <v>39</v>
      </c>
      <c r="D152" s="30" t="s">
        <v>452</v>
      </c>
      <c r="E152" s="30" t="s">
        <v>135</v>
      </c>
      <c r="F152" s="129" t="s">
        <v>822</v>
      </c>
      <c r="G152" s="129" t="s">
        <v>3364</v>
      </c>
      <c r="H152" s="30">
        <v>541990</v>
      </c>
      <c r="I152" s="30" t="s">
        <v>98</v>
      </c>
      <c r="J152" s="30" t="s">
        <v>129</v>
      </c>
      <c r="K152" s="30" t="s">
        <v>34</v>
      </c>
      <c r="L152" s="30" t="s">
        <v>91</v>
      </c>
      <c r="M152" s="45">
        <v>25000</v>
      </c>
      <c r="N152" s="45">
        <v>100000</v>
      </c>
      <c r="O152" s="30" t="s">
        <v>387</v>
      </c>
      <c r="P152" s="30" t="s">
        <v>302</v>
      </c>
      <c r="Q152" s="30" t="s">
        <v>294</v>
      </c>
      <c r="R152" s="30" t="s">
        <v>100</v>
      </c>
      <c r="S152" s="41">
        <v>2014</v>
      </c>
      <c r="T152" s="31" t="s">
        <v>417</v>
      </c>
      <c r="U152" s="31" t="s">
        <v>412</v>
      </c>
      <c r="V152" s="30" t="s">
        <v>418</v>
      </c>
      <c r="W152" s="129" t="s">
        <v>120</v>
      </c>
      <c r="X152" s="30" t="s">
        <v>345</v>
      </c>
      <c r="Y152" s="30" t="s">
        <v>345</v>
      </c>
      <c r="Z152" s="30" t="s">
        <v>345</v>
      </c>
      <c r="AA152" s="30" t="s">
        <v>396</v>
      </c>
    </row>
    <row r="153" spans="1:27" s="29" customFormat="1" ht="38.25" customHeight="1">
      <c r="A153" s="30" t="s">
        <v>142</v>
      </c>
      <c r="B153" s="31" t="s">
        <v>109</v>
      </c>
      <c r="C153" s="30" t="s">
        <v>39</v>
      </c>
      <c r="D153" s="30" t="s">
        <v>454</v>
      </c>
      <c r="E153" s="30" t="s">
        <v>135</v>
      </c>
      <c r="F153" s="129" t="s">
        <v>822</v>
      </c>
      <c r="G153" s="129" t="s">
        <v>3364</v>
      </c>
      <c r="H153" s="30">
        <v>541990</v>
      </c>
      <c r="I153" s="30" t="s">
        <v>98</v>
      </c>
      <c r="J153" s="30" t="s">
        <v>129</v>
      </c>
      <c r="K153" s="30" t="s">
        <v>61</v>
      </c>
      <c r="L153" s="30" t="s">
        <v>91</v>
      </c>
      <c r="M153" s="45" t="s">
        <v>369</v>
      </c>
      <c r="N153" s="45" t="s">
        <v>369</v>
      </c>
      <c r="O153" s="129" t="s">
        <v>149</v>
      </c>
      <c r="P153" s="30" t="s">
        <v>302</v>
      </c>
      <c r="Q153" s="30" t="s">
        <v>294</v>
      </c>
      <c r="R153" s="30" t="s">
        <v>100</v>
      </c>
      <c r="S153" s="41">
        <v>2014</v>
      </c>
      <c r="T153" s="31" t="s">
        <v>417</v>
      </c>
      <c r="U153" s="31" t="s">
        <v>412</v>
      </c>
      <c r="V153" s="30" t="s">
        <v>418</v>
      </c>
      <c r="W153" s="129" t="s">
        <v>120</v>
      </c>
      <c r="X153" s="30" t="s">
        <v>345</v>
      </c>
      <c r="Y153" s="30" t="s">
        <v>345</v>
      </c>
      <c r="Z153" s="30" t="s">
        <v>345</v>
      </c>
      <c r="AA153" s="30" t="s">
        <v>396</v>
      </c>
    </row>
    <row r="154" spans="1:27" s="29" customFormat="1" ht="38.25" customHeight="1">
      <c r="A154" s="30" t="s">
        <v>142</v>
      </c>
      <c r="B154" s="31" t="s">
        <v>109</v>
      </c>
      <c r="C154" s="30" t="s">
        <v>39</v>
      </c>
      <c r="D154" s="30" t="s">
        <v>455</v>
      </c>
      <c r="E154" s="30" t="s">
        <v>135</v>
      </c>
      <c r="F154" s="129" t="s">
        <v>822</v>
      </c>
      <c r="G154" s="129" t="s">
        <v>3364</v>
      </c>
      <c r="H154" s="30">
        <v>541990</v>
      </c>
      <c r="I154" s="30" t="s">
        <v>98</v>
      </c>
      <c r="J154" s="30" t="s">
        <v>129</v>
      </c>
      <c r="K154" s="30" t="s">
        <v>61</v>
      </c>
      <c r="L154" s="30" t="s">
        <v>91</v>
      </c>
      <c r="M154" s="45">
        <v>25000</v>
      </c>
      <c r="N154" s="45">
        <v>100000</v>
      </c>
      <c r="O154" s="30" t="s">
        <v>387</v>
      </c>
      <c r="P154" s="30" t="s">
        <v>302</v>
      </c>
      <c r="Q154" s="30" t="s">
        <v>294</v>
      </c>
      <c r="R154" s="30" t="s">
        <v>100</v>
      </c>
      <c r="S154" s="41">
        <v>2014</v>
      </c>
      <c r="T154" s="31" t="s">
        <v>417</v>
      </c>
      <c r="U154" s="31" t="s">
        <v>412</v>
      </c>
      <c r="V154" s="30" t="s">
        <v>418</v>
      </c>
      <c r="W154" s="129" t="s">
        <v>120</v>
      </c>
      <c r="X154" s="30" t="s">
        <v>345</v>
      </c>
      <c r="Y154" s="30" t="s">
        <v>345</v>
      </c>
      <c r="Z154" s="30" t="s">
        <v>345</v>
      </c>
      <c r="AA154" s="30" t="s">
        <v>396</v>
      </c>
    </row>
    <row r="155" spans="1:27" s="29" customFormat="1" ht="38.25" customHeight="1">
      <c r="A155" s="30" t="s">
        <v>142</v>
      </c>
      <c r="B155" s="31" t="s">
        <v>109</v>
      </c>
      <c r="C155" s="30" t="s">
        <v>39</v>
      </c>
      <c r="D155" s="30" t="s">
        <v>456</v>
      </c>
      <c r="E155" s="30" t="s">
        <v>135</v>
      </c>
      <c r="F155" s="129" t="s">
        <v>822</v>
      </c>
      <c r="G155" s="129" t="s">
        <v>3364</v>
      </c>
      <c r="H155" s="30">
        <v>541990</v>
      </c>
      <c r="I155" s="30" t="s">
        <v>98</v>
      </c>
      <c r="J155" s="30" t="s">
        <v>129</v>
      </c>
      <c r="K155" s="30" t="s">
        <v>61</v>
      </c>
      <c r="L155" s="30" t="s">
        <v>91</v>
      </c>
      <c r="M155" s="45" t="s">
        <v>369</v>
      </c>
      <c r="N155" s="45" t="s">
        <v>369</v>
      </c>
      <c r="O155" s="30" t="s">
        <v>149</v>
      </c>
      <c r="P155" s="30" t="s">
        <v>302</v>
      </c>
      <c r="Q155" s="30" t="s">
        <v>294</v>
      </c>
      <c r="R155" s="30" t="s">
        <v>100</v>
      </c>
      <c r="S155" s="41">
        <v>2014</v>
      </c>
      <c r="T155" s="31" t="s">
        <v>417</v>
      </c>
      <c r="U155" s="31" t="s">
        <v>412</v>
      </c>
      <c r="V155" s="30" t="s">
        <v>418</v>
      </c>
      <c r="W155" s="129" t="s">
        <v>120</v>
      </c>
      <c r="X155" s="30" t="s">
        <v>345</v>
      </c>
      <c r="Y155" s="30" t="s">
        <v>345</v>
      </c>
      <c r="Z155" s="30" t="s">
        <v>345</v>
      </c>
      <c r="AA155" s="30" t="s">
        <v>396</v>
      </c>
    </row>
    <row r="156" spans="1:27" s="29" customFormat="1" ht="38.25" customHeight="1">
      <c r="A156" s="30" t="s">
        <v>142</v>
      </c>
      <c r="B156" s="31" t="s">
        <v>109</v>
      </c>
      <c r="C156" s="30" t="s">
        <v>39</v>
      </c>
      <c r="D156" s="30" t="s">
        <v>457</v>
      </c>
      <c r="E156" s="30" t="s">
        <v>135</v>
      </c>
      <c r="F156" s="30" t="s">
        <v>357</v>
      </c>
      <c r="G156" s="30" t="s">
        <v>235</v>
      </c>
      <c r="H156" s="30">
        <v>541990</v>
      </c>
      <c r="I156" s="30" t="s">
        <v>98</v>
      </c>
      <c r="J156" s="30" t="s">
        <v>129</v>
      </c>
      <c r="K156" s="30" t="s">
        <v>61</v>
      </c>
      <c r="L156" s="30" t="s">
        <v>91</v>
      </c>
      <c r="M156" s="45" t="s">
        <v>369</v>
      </c>
      <c r="N156" s="45" t="s">
        <v>369</v>
      </c>
      <c r="O156" s="30" t="s">
        <v>149</v>
      </c>
      <c r="P156" s="30" t="s">
        <v>302</v>
      </c>
      <c r="Q156" s="30" t="s">
        <v>294</v>
      </c>
      <c r="R156" s="30" t="s">
        <v>100</v>
      </c>
      <c r="S156" s="41">
        <v>2014</v>
      </c>
      <c r="T156" s="31" t="s">
        <v>417</v>
      </c>
      <c r="U156" s="31" t="s">
        <v>412</v>
      </c>
      <c r="V156" s="30" t="s">
        <v>418</v>
      </c>
      <c r="W156" s="129" t="s">
        <v>120</v>
      </c>
      <c r="X156" s="30" t="s">
        <v>345</v>
      </c>
      <c r="Y156" s="30" t="s">
        <v>345</v>
      </c>
      <c r="Z156" s="30" t="s">
        <v>345</v>
      </c>
      <c r="AA156" s="30" t="s">
        <v>396</v>
      </c>
    </row>
    <row r="157" spans="1:27" s="29" customFormat="1" ht="38.25" customHeight="1">
      <c r="A157" s="30" t="s">
        <v>142</v>
      </c>
      <c r="B157" s="31" t="s">
        <v>109</v>
      </c>
      <c r="C157" s="30" t="s">
        <v>39</v>
      </c>
      <c r="D157" s="30" t="s">
        <v>458</v>
      </c>
      <c r="E157" s="30" t="s">
        <v>135</v>
      </c>
      <c r="F157" s="30" t="s">
        <v>357</v>
      </c>
      <c r="G157" s="30" t="s">
        <v>235</v>
      </c>
      <c r="H157" s="30">
        <v>541990</v>
      </c>
      <c r="I157" s="30" t="s">
        <v>98</v>
      </c>
      <c r="J157" s="30" t="s">
        <v>129</v>
      </c>
      <c r="K157" s="30" t="s">
        <v>61</v>
      </c>
      <c r="L157" s="30" t="s">
        <v>91</v>
      </c>
      <c r="M157" s="45" t="s">
        <v>369</v>
      </c>
      <c r="N157" s="45" t="s">
        <v>369</v>
      </c>
      <c r="O157" s="30" t="s">
        <v>149</v>
      </c>
      <c r="P157" s="30" t="s">
        <v>302</v>
      </c>
      <c r="Q157" s="30" t="s">
        <v>294</v>
      </c>
      <c r="R157" s="30" t="s">
        <v>100</v>
      </c>
      <c r="S157" s="41">
        <v>2014</v>
      </c>
      <c r="T157" s="31" t="s">
        <v>417</v>
      </c>
      <c r="U157" s="31" t="s">
        <v>412</v>
      </c>
      <c r="V157" s="30" t="s">
        <v>418</v>
      </c>
      <c r="W157" s="129" t="s">
        <v>120</v>
      </c>
      <c r="X157" s="30" t="s">
        <v>345</v>
      </c>
      <c r="Y157" s="30" t="s">
        <v>345</v>
      </c>
      <c r="Z157" s="30" t="s">
        <v>345</v>
      </c>
      <c r="AA157" s="30" t="s">
        <v>396</v>
      </c>
    </row>
    <row r="158" spans="1:27" s="29" customFormat="1" ht="38.25" customHeight="1">
      <c r="A158" s="30" t="s">
        <v>142</v>
      </c>
      <c r="B158" s="31" t="s">
        <v>109</v>
      </c>
      <c r="C158" s="30" t="s">
        <v>39</v>
      </c>
      <c r="D158" s="30" t="s">
        <v>459</v>
      </c>
      <c r="E158" s="30" t="s">
        <v>135</v>
      </c>
      <c r="F158" s="30" t="s">
        <v>357</v>
      </c>
      <c r="G158" s="30" t="s">
        <v>235</v>
      </c>
      <c r="H158" s="30">
        <v>541990</v>
      </c>
      <c r="I158" s="30" t="s">
        <v>98</v>
      </c>
      <c r="J158" s="30" t="s">
        <v>129</v>
      </c>
      <c r="K158" s="30" t="s">
        <v>61</v>
      </c>
      <c r="L158" s="30" t="s">
        <v>91</v>
      </c>
      <c r="M158" s="45" t="s">
        <v>369</v>
      </c>
      <c r="N158" s="45" t="s">
        <v>369</v>
      </c>
      <c r="O158" s="30" t="s">
        <v>149</v>
      </c>
      <c r="P158" s="30" t="s">
        <v>302</v>
      </c>
      <c r="Q158" s="30" t="s">
        <v>294</v>
      </c>
      <c r="R158" s="30" t="s">
        <v>100</v>
      </c>
      <c r="S158" s="41">
        <v>2014</v>
      </c>
      <c r="T158" s="31" t="s">
        <v>417</v>
      </c>
      <c r="U158" s="31" t="s">
        <v>412</v>
      </c>
      <c r="V158" s="30" t="s">
        <v>418</v>
      </c>
      <c r="W158" s="129" t="s">
        <v>120</v>
      </c>
      <c r="X158" s="30" t="s">
        <v>345</v>
      </c>
      <c r="Y158" s="30" t="s">
        <v>345</v>
      </c>
      <c r="Z158" s="30" t="s">
        <v>345</v>
      </c>
      <c r="AA158" s="30" t="s">
        <v>396</v>
      </c>
    </row>
    <row r="159" spans="1:27" s="29" customFormat="1" ht="38.25" customHeight="1">
      <c r="A159" s="30" t="s">
        <v>142</v>
      </c>
      <c r="B159" s="31" t="s">
        <v>109</v>
      </c>
      <c r="C159" s="30" t="s">
        <v>39</v>
      </c>
      <c r="D159" s="30" t="s">
        <v>459</v>
      </c>
      <c r="E159" s="30" t="s">
        <v>135</v>
      </c>
      <c r="F159" s="30" t="s">
        <v>357</v>
      </c>
      <c r="G159" s="30" t="s">
        <v>235</v>
      </c>
      <c r="H159" s="30">
        <v>541990</v>
      </c>
      <c r="I159" s="30" t="s">
        <v>98</v>
      </c>
      <c r="J159" s="30" t="s">
        <v>129</v>
      </c>
      <c r="K159" s="30" t="s">
        <v>61</v>
      </c>
      <c r="L159" s="30" t="s">
        <v>91</v>
      </c>
      <c r="M159" s="45" t="s">
        <v>369</v>
      </c>
      <c r="N159" s="45" t="s">
        <v>369</v>
      </c>
      <c r="O159" s="30" t="s">
        <v>149</v>
      </c>
      <c r="P159" s="30" t="s">
        <v>302</v>
      </c>
      <c r="Q159" s="30" t="s">
        <v>294</v>
      </c>
      <c r="R159" s="30" t="s">
        <v>100</v>
      </c>
      <c r="S159" s="41">
        <v>2014</v>
      </c>
      <c r="T159" s="31" t="s">
        <v>417</v>
      </c>
      <c r="U159" s="31" t="s">
        <v>412</v>
      </c>
      <c r="V159" s="30" t="s">
        <v>418</v>
      </c>
      <c r="W159" s="129" t="s">
        <v>120</v>
      </c>
      <c r="X159" s="30" t="s">
        <v>345</v>
      </c>
      <c r="Y159" s="30" t="s">
        <v>345</v>
      </c>
      <c r="Z159" s="30" t="s">
        <v>345</v>
      </c>
      <c r="AA159" s="30" t="s">
        <v>396</v>
      </c>
    </row>
    <row r="160" spans="1:27" s="29" customFormat="1" ht="38.25" customHeight="1">
      <c r="A160" s="30" t="s">
        <v>142</v>
      </c>
      <c r="B160" s="31" t="s">
        <v>109</v>
      </c>
      <c r="C160" s="30" t="s">
        <v>39</v>
      </c>
      <c r="D160" s="30" t="s">
        <v>460</v>
      </c>
      <c r="E160" s="30" t="s">
        <v>135</v>
      </c>
      <c r="F160" s="30" t="s">
        <v>357</v>
      </c>
      <c r="G160" s="30" t="s">
        <v>235</v>
      </c>
      <c r="H160" s="30">
        <v>541990</v>
      </c>
      <c r="I160" s="30" t="s">
        <v>98</v>
      </c>
      <c r="J160" s="30" t="s">
        <v>129</v>
      </c>
      <c r="K160" s="30" t="s">
        <v>61</v>
      </c>
      <c r="L160" s="30" t="s">
        <v>91</v>
      </c>
      <c r="M160" s="45" t="s">
        <v>369</v>
      </c>
      <c r="N160" s="45" t="s">
        <v>369</v>
      </c>
      <c r="O160" s="30" t="s">
        <v>149</v>
      </c>
      <c r="P160" s="30" t="s">
        <v>302</v>
      </c>
      <c r="Q160" s="30" t="s">
        <v>294</v>
      </c>
      <c r="R160" s="30" t="s">
        <v>100</v>
      </c>
      <c r="S160" s="41">
        <v>2014</v>
      </c>
      <c r="T160" s="31" t="s">
        <v>417</v>
      </c>
      <c r="U160" s="31" t="s">
        <v>412</v>
      </c>
      <c r="V160" s="30" t="s">
        <v>418</v>
      </c>
      <c r="W160" s="129" t="s">
        <v>120</v>
      </c>
      <c r="X160" s="30" t="s">
        <v>345</v>
      </c>
      <c r="Y160" s="30" t="s">
        <v>345</v>
      </c>
      <c r="Z160" s="30" t="s">
        <v>345</v>
      </c>
      <c r="AA160" s="30" t="s">
        <v>396</v>
      </c>
    </row>
    <row r="161" spans="1:27" s="29" customFormat="1" ht="38.25" customHeight="1">
      <c r="A161" s="30" t="s">
        <v>142</v>
      </c>
      <c r="B161" s="31" t="s">
        <v>109</v>
      </c>
      <c r="C161" s="30" t="s">
        <v>39</v>
      </c>
      <c r="D161" s="30" t="s">
        <v>461</v>
      </c>
      <c r="E161" s="30" t="s">
        <v>135</v>
      </c>
      <c r="F161" s="30" t="s">
        <v>361</v>
      </c>
      <c r="G161" s="30" t="s">
        <v>209</v>
      </c>
      <c r="H161" s="30">
        <v>541990</v>
      </c>
      <c r="I161" s="30" t="s">
        <v>98</v>
      </c>
      <c r="J161" s="30" t="s">
        <v>129</v>
      </c>
      <c r="K161" s="30" t="s">
        <v>61</v>
      </c>
      <c r="L161" s="30" t="s">
        <v>91</v>
      </c>
      <c r="M161" s="45" t="s">
        <v>369</v>
      </c>
      <c r="N161" s="45" t="s">
        <v>369</v>
      </c>
      <c r="O161" s="30" t="s">
        <v>149</v>
      </c>
      <c r="P161" s="30" t="s">
        <v>302</v>
      </c>
      <c r="Q161" s="30" t="s">
        <v>294</v>
      </c>
      <c r="R161" s="30" t="s">
        <v>100</v>
      </c>
      <c r="S161" s="41">
        <v>2014</v>
      </c>
      <c r="T161" s="31" t="s">
        <v>417</v>
      </c>
      <c r="U161" s="31" t="s">
        <v>412</v>
      </c>
      <c r="V161" s="30" t="s">
        <v>418</v>
      </c>
      <c r="W161" s="129" t="s">
        <v>120</v>
      </c>
      <c r="X161" s="30" t="s">
        <v>345</v>
      </c>
      <c r="Y161" s="30" t="s">
        <v>345</v>
      </c>
      <c r="Z161" s="30" t="s">
        <v>345</v>
      </c>
      <c r="AA161" s="30" t="s">
        <v>396</v>
      </c>
    </row>
    <row r="162" spans="1:27" s="29" customFormat="1" ht="38.25">
      <c r="A162" s="30" t="s">
        <v>71</v>
      </c>
      <c r="B162" s="31" t="s">
        <v>462</v>
      </c>
      <c r="C162" s="30" t="s">
        <v>144</v>
      </c>
      <c r="D162" s="30" t="s">
        <v>463</v>
      </c>
      <c r="E162" s="30" t="s">
        <v>30</v>
      </c>
      <c r="F162" s="129" t="s">
        <v>822</v>
      </c>
      <c r="G162" s="30" t="s">
        <v>75</v>
      </c>
      <c r="H162" s="30">
        <v>517110</v>
      </c>
      <c r="I162" s="30" t="s">
        <v>98</v>
      </c>
      <c r="J162" s="30" t="s">
        <v>129</v>
      </c>
      <c r="K162" s="30" t="s">
        <v>44</v>
      </c>
      <c r="L162" s="30" t="s">
        <v>78</v>
      </c>
      <c r="M162" s="45">
        <v>24375000</v>
      </c>
      <c r="N162" s="45">
        <v>39000000</v>
      </c>
      <c r="O162" s="30" t="s">
        <v>79</v>
      </c>
      <c r="P162" s="30" t="s">
        <v>302</v>
      </c>
      <c r="Q162" s="155" t="s">
        <v>3423</v>
      </c>
      <c r="R162" s="129" t="s">
        <v>35</v>
      </c>
      <c r="S162" s="41">
        <v>2013</v>
      </c>
      <c r="T162" s="31" t="s">
        <v>465</v>
      </c>
      <c r="U162" s="31" t="s">
        <v>466</v>
      </c>
      <c r="V162" s="30" t="s">
        <v>467</v>
      </c>
      <c r="W162" s="129" t="s">
        <v>120</v>
      </c>
      <c r="X162" s="30"/>
      <c r="Y162" s="30"/>
      <c r="Z162" s="44">
        <v>43404</v>
      </c>
      <c r="AA162" s="30" t="s">
        <v>468</v>
      </c>
    </row>
    <row r="163" spans="1:27" s="29" customFormat="1" ht="38.25">
      <c r="A163" s="30" t="s">
        <v>71</v>
      </c>
      <c r="B163" s="31" t="s">
        <v>462</v>
      </c>
      <c r="C163" s="30" t="s">
        <v>144</v>
      </c>
      <c r="D163" s="30" t="s">
        <v>469</v>
      </c>
      <c r="E163" s="30" t="s">
        <v>135</v>
      </c>
      <c r="F163" s="30" t="s">
        <v>470</v>
      </c>
      <c r="G163" s="30" t="s">
        <v>75</v>
      </c>
      <c r="H163" s="30">
        <v>561320</v>
      </c>
      <c r="I163" s="129" t="s">
        <v>59</v>
      </c>
      <c r="J163" s="30" t="s">
        <v>129</v>
      </c>
      <c r="K163" s="30" t="s">
        <v>471</v>
      </c>
      <c r="L163" s="30" t="s">
        <v>472</v>
      </c>
      <c r="M163" s="45">
        <v>51984</v>
      </c>
      <c r="N163" s="45">
        <v>51984</v>
      </c>
      <c r="O163" s="30" t="s">
        <v>79</v>
      </c>
      <c r="P163" s="30" t="s">
        <v>302</v>
      </c>
      <c r="Q163" s="31" t="s">
        <v>294</v>
      </c>
      <c r="R163" s="30" t="s">
        <v>100</v>
      </c>
      <c r="S163" s="41">
        <v>2013</v>
      </c>
      <c r="T163" s="31" t="s">
        <v>473</v>
      </c>
      <c r="U163" s="31" t="s">
        <v>474</v>
      </c>
      <c r="V163" s="30" t="s">
        <v>475</v>
      </c>
      <c r="W163" s="129" t="s">
        <v>120</v>
      </c>
      <c r="X163" s="30"/>
      <c r="Y163" s="30"/>
      <c r="Z163" s="44">
        <v>41912</v>
      </c>
      <c r="AA163" s="30" t="s">
        <v>476</v>
      </c>
    </row>
    <row r="164" spans="1:27" s="29" customFormat="1" ht="25.5">
      <c r="A164" s="30" t="s">
        <v>71</v>
      </c>
      <c r="B164" s="31" t="s">
        <v>462</v>
      </c>
      <c r="C164" s="30" t="s">
        <v>144</v>
      </c>
      <c r="D164" s="30" t="s">
        <v>477</v>
      </c>
      <c r="E164" s="30" t="s">
        <v>268</v>
      </c>
      <c r="F164" s="30" t="s">
        <v>478</v>
      </c>
      <c r="G164" s="30" t="s">
        <v>235</v>
      </c>
      <c r="H164" s="30">
        <v>511120</v>
      </c>
      <c r="I164" s="30" t="s">
        <v>67</v>
      </c>
      <c r="J164" s="30" t="s">
        <v>129</v>
      </c>
      <c r="K164" s="30" t="s">
        <v>44</v>
      </c>
      <c r="L164" s="30" t="s">
        <v>78</v>
      </c>
      <c r="M164" s="45">
        <v>7695</v>
      </c>
      <c r="N164" s="45">
        <v>7695</v>
      </c>
      <c r="O164" s="30" t="s">
        <v>149</v>
      </c>
      <c r="P164" s="30" t="s">
        <v>479</v>
      </c>
      <c r="Q164" s="31" t="s">
        <v>294</v>
      </c>
      <c r="R164" s="30" t="s">
        <v>100</v>
      </c>
      <c r="S164" s="41">
        <v>2013</v>
      </c>
      <c r="T164" s="31" t="s">
        <v>480</v>
      </c>
      <c r="U164" s="31" t="s">
        <v>481</v>
      </c>
      <c r="V164" s="30" t="s">
        <v>482</v>
      </c>
      <c r="W164" s="129" t="s">
        <v>120</v>
      </c>
      <c r="X164" s="30"/>
      <c r="Y164" s="44">
        <v>41755</v>
      </c>
      <c r="Z164" s="44">
        <v>41755</v>
      </c>
      <c r="AA164" s="30" t="s">
        <v>483</v>
      </c>
    </row>
    <row r="165" spans="1:27" s="29" customFormat="1" ht="38.25" customHeight="1">
      <c r="A165" s="30" t="s">
        <v>71</v>
      </c>
      <c r="B165" s="30" t="s">
        <v>462</v>
      </c>
      <c r="C165" s="30" t="s">
        <v>144</v>
      </c>
      <c r="D165" s="30" t="s">
        <v>484</v>
      </c>
      <c r="E165" s="30" t="s">
        <v>30</v>
      </c>
      <c r="F165" s="30" t="s">
        <v>341</v>
      </c>
      <c r="G165" s="30" t="s">
        <v>75</v>
      </c>
      <c r="H165" s="30">
        <v>517110</v>
      </c>
      <c r="I165" s="30" t="s">
        <v>98</v>
      </c>
      <c r="J165" s="30" t="s">
        <v>129</v>
      </c>
      <c r="K165" s="30" t="s">
        <v>44</v>
      </c>
      <c r="L165" s="30" t="s">
        <v>78</v>
      </c>
      <c r="M165" s="39">
        <v>2000000</v>
      </c>
      <c r="N165" s="39">
        <v>7000000</v>
      </c>
      <c r="O165" s="30" t="s">
        <v>79</v>
      </c>
      <c r="P165" s="41" t="s">
        <v>485</v>
      </c>
      <c r="Q165" s="31" t="s">
        <v>486</v>
      </c>
      <c r="R165" s="129" t="s">
        <v>80</v>
      </c>
      <c r="S165" s="41">
        <v>2013</v>
      </c>
      <c r="T165" s="31" t="s">
        <v>487</v>
      </c>
      <c r="U165" s="31" t="s">
        <v>488</v>
      </c>
      <c r="V165" s="49" t="s">
        <v>489</v>
      </c>
      <c r="W165" s="129" t="s">
        <v>120</v>
      </c>
      <c r="X165" s="30"/>
      <c r="Y165" s="44">
        <v>41347</v>
      </c>
      <c r="Z165" s="44">
        <v>41712</v>
      </c>
      <c r="AA165" s="30" t="s">
        <v>490</v>
      </c>
    </row>
    <row r="166" spans="1:27" s="29" customFormat="1" ht="38.25" customHeight="1">
      <c r="A166" s="30" t="s">
        <v>71</v>
      </c>
      <c r="B166" s="30" t="s">
        <v>462</v>
      </c>
      <c r="C166" s="30" t="s">
        <v>144</v>
      </c>
      <c r="D166" s="30" t="s">
        <v>491</v>
      </c>
      <c r="E166" s="30" t="s">
        <v>30</v>
      </c>
      <c r="F166" s="30" t="s">
        <v>478</v>
      </c>
      <c r="G166" s="30" t="s">
        <v>235</v>
      </c>
      <c r="H166" s="30">
        <v>517110</v>
      </c>
      <c r="I166" s="30" t="s">
        <v>67</v>
      </c>
      <c r="J166" s="30" t="s">
        <v>129</v>
      </c>
      <c r="K166" s="30" t="s">
        <v>44</v>
      </c>
      <c r="L166" s="30" t="s">
        <v>78</v>
      </c>
      <c r="M166" s="39">
        <v>4000000</v>
      </c>
      <c r="N166" s="39">
        <v>4000000</v>
      </c>
      <c r="O166" s="30" t="s">
        <v>79</v>
      </c>
      <c r="P166" s="41" t="s">
        <v>492</v>
      </c>
      <c r="Q166" s="31" t="s">
        <v>486</v>
      </c>
      <c r="R166" s="30" t="s">
        <v>150</v>
      </c>
      <c r="S166" s="41">
        <v>2013</v>
      </c>
      <c r="T166" s="31" t="s">
        <v>465</v>
      </c>
      <c r="U166" s="31" t="s">
        <v>466</v>
      </c>
      <c r="V166" s="49" t="s">
        <v>467</v>
      </c>
      <c r="W166" s="129" t="s">
        <v>120</v>
      </c>
      <c r="X166" s="30"/>
      <c r="Y166" s="44">
        <v>41912</v>
      </c>
      <c r="Z166" s="30"/>
      <c r="AA166" s="30" t="s">
        <v>493</v>
      </c>
    </row>
    <row r="167" spans="1:27" s="29" customFormat="1" ht="38.25" customHeight="1">
      <c r="A167" s="30" t="s">
        <v>71</v>
      </c>
      <c r="B167" s="30" t="s">
        <v>462</v>
      </c>
      <c r="C167" s="30" t="s">
        <v>144</v>
      </c>
      <c r="D167" s="30" t="s">
        <v>494</v>
      </c>
      <c r="E167" s="30" t="s">
        <v>30</v>
      </c>
      <c r="F167" s="30" t="s">
        <v>478</v>
      </c>
      <c r="G167" s="30" t="s">
        <v>235</v>
      </c>
      <c r="H167" s="30">
        <v>517110</v>
      </c>
      <c r="I167" s="30" t="s">
        <v>98</v>
      </c>
      <c r="J167" s="30" t="s">
        <v>129</v>
      </c>
      <c r="K167" s="30" t="s">
        <v>69</v>
      </c>
      <c r="L167" s="30" t="s">
        <v>495</v>
      </c>
      <c r="M167" s="39">
        <v>995640</v>
      </c>
      <c r="N167" s="39">
        <v>2410860</v>
      </c>
      <c r="O167" s="30" t="s">
        <v>79</v>
      </c>
      <c r="P167" s="41" t="s">
        <v>496</v>
      </c>
      <c r="Q167" s="31" t="s">
        <v>294</v>
      </c>
      <c r="R167" s="30" t="s">
        <v>150</v>
      </c>
      <c r="S167" s="41">
        <v>2013</v>
      </c>
      <c r="T167" s="31" t="s">
        <v>487</v>
      </c>
      <c r="U167" s="31" t="s">
        <v>488</v>
      </c>
      <c r="V167" s="49" t="s">
        <v>489</v>
      </c>
      <c r="W167" s="129" t="s">
        <v>120</v>
      </c>
      <c r="X167" s="30"/>
      <c r="Y167" s="44">
        <v>41260</v>
      </c>
      <c r="Z167" s="44">
        <v>43131</v>
      </c>
      <c r="AA167" s="30" t="s">
        <v>497</v>
      </c>
    </row>
    <row r="168" spans="1:27" s="29" customFormat="1" ht="34.5" customHeight="1">
      <c r="A168" s="30" t="s">
        <v>71</v>
      </c>
      <c r="B168" s="30" t="s">
        <v>462</v>
      </c>
      <c r="C168" s="30" t="s">
        <v>144</v>
      </c>
      <c r="D168" s="30" t="s">
        <v>498</v>
      </c>
      <c r="E168" s="30" t="s">
        <v>268</v>
      </c>
      <c r="F168" s="30" t="s">
        <v>478</v>
      </c>
      <c r="G168" s="30" t="s">
        <v>235</v>
      </c>
      <c r="H168" s="30">
        <v>511120</v>
      </c>
      <c r="I168" s="30" t="s">
        <v>67</v>
      </c>
      <c r="J168" s="30" t="s">
        <v>129</v>
      </c>
      <c r="K168" s="30" t="s">
        <v>499</v>
      </c>
      <c r="L168" s="30" t="s">
        <v>500</v>
      </c>
      <c r="M168" s="39">
        <v>39000</v>
      </c>
      <c r="N168" s="39">
        <v>39000</v>
      </c>
      <c r="O168" s="30" t="s">
        <v>79</v>
      </c>
      <c r="P168" s="30" t="s">
        <v>302</v>
      </c>
      <c r="Q168" s="31" t="s">
        <v>294</v>
      </c>
      <c r="R168" s="129" t="s">
        <v>100</v>
      </c>
      <c r="S168" s="41">
        <v>2013</v>
      </c>
      <c r="T168" s="31" t="s">
        <v>480</v>
      </c>
      <c r="U168" s="31" t="s">
        <v>481</v>
      </c>
      <c r="V168" s="49" t="s">
        <v>482</v>
      </c>
      <c r="W168" s="129" t="s">
        <v>120</v>
      </c>
      <c r="X168" s="44">
        <v>41395</v>
      </c>
      <c r="Y168" s="44">
        <v>41456</v>
      </c>
      <c r="Z168" s="44">
        <v>41821</v>
      </c>
      <c r="AA168" s="30" t="s">
        <v>501</v>
      </c>
    </row>
    <row r="169" spans="1:27" s="29" customFormat="1" ht="38.25" customHeight="1">
      <c r="A169" s="30" t="s">
        <v>142</v>
      </c>
      <c r="B169" s="30" t="s">
        <v>72</v>
      </c>
      <c r="C169" s="30" t="s">
        <v>502</v>
      </c>
      <c r="D169" s="30" t="s">
        <v>503</v>
      </c>
      <c r="E169" s="30" t="s">
        <v>504</v>
      </c>
      <c r="F169" s="129" t="s">
        <v>822</v>
      </c>
      <c r="G169" s="30" t="s">
        <v>505</v>
      </c>
      <c r="H169" s="30">
        <v>238220</v>
      </c>
      <c r="I169" s="30" t="s">
        <v>98</v>
      </c>
      <c r="J169" s="30" t="s">
        <v>506</v>
      </c>
      <c r="K169" s="30" t="s">
        <v>507</v>
      </c>
      <c r="L169" s="30" t="s">
        <v>508</v>
      </c>
      <c r="M169" s="39"/>
      <c r="N169" s="39">
        <v>29000000</v>
      </c>
      <c r="O169" s="30" t="s">
        <v>79</v>
      </c>
      <c r="P169" s="41" t="s">
        <v>509</v>
      </c>
      <c r="Q169" s="30"/>
      <c r="R169" s="30" t="s">
        <v>150</v>
      </c>
      <c r="S169" s="41">
        <v>2014</v>
      </c>
      <c r="T169" s="31" t="s">
        <v>510</v>
      </c>
      <c r="U169" s="31" t="s">
        <v>511</v>
      </c>
      <c r="V169" s="49" t="s">
        <v>512</v>
      </c>
      <c r="W169" s="30" t="s">
        <v>36</v>
      </c>
      <c r="X169" s="30" t="s">
        <v>150</v>
      </c>
      <c r="Y169" s="30"/>
      <c r="Z169" s="30"/>
      <c r="AA169" s="30" t="s">
        <v>513</v>
      </c>
    </row>
    <row r="170" spans="1:27" s="29" customFormat="1" ht="25.5">
      <c r="A170" s="30" t="s">
        <v>142</v>
      </c>
      <c r="B170" s="30" t="s">
        <v>72</v>
      </c>
      <c r="C170" s="30" t="s">
        <v>514</v>
      </c>
      <c r="D170" s="30" t="s">
        <v>515</v>
      </c>
      <c r="E170" s="30"/>
      <c r="F170" s="30" t="s">
        <v>516</v>
      </c>
      <c r="G170" s="30" t="s">
        <v>231</v>
      </c>
      <c r="H170" s="30">
        <v>236220</v>
      </c>
      <c r="I170" s="30"/>
      <c r="J170" s="30"/>
      <c r="K170" s="30"/>
      <c r="L170" s="30"/>
      <c r="M170" s="39"/>
      <c r="N170" s="39">
        <v>105000</v>
      </c>
      <c r="O170" s="30" t="s">
        <v>79</v>
      </c>
      <c r="P170" s="41" t="s">
        <v>509</v>
      </c>
      <c r="Q170" s="30" t="s">
        <v>294</v>
      </c>
      <c r="R170" s="129" t="s">
        <v>100</v>
      </c>
      <c r="S170" s="41">
        <v>2014</v>
      </c>
      <c r="T170" s="31" t="s">
        <v>510</v>
      </c>
      <c r="U170" s="31" t="s">
        <v>511</v>
      </c>
      <c r="V170" s="49" t="s">
        <v>512</v>
      </c>
      <c r="W170" s="30" t="s">
        <v>36</v>
      </c>
      <c r="X170" s="129" t="s">
        <v>100</v>
      </c>
      <c r="Y170" s="30"/>
      <c r="Z170" s="30"/>
      <c r="AA170" s="30" t="s">
        <v>517</v>
      </c>
    </row>
    <row r="171" spans="1:27" s="29" customFormat="1" ht="34.5" customHeight="1">
      <c r="A171" s="30" t="s">
        <v>142</v>
      </c>
      <c r="B171" s="30" t="s">
        <v>72</v>
      </c>
      <c r="C171" s="30" t="s">
        <v>514</v>
      </c>
      <c r="D171" s="30" t="s">
        <v>515</v>
      </c>
      <c r="E171" s="30" t="s">
        <v>518</v>
      </c>
      <c r="F171" s="30" t="s">
        <v>516</v>
      </c>
      <c r="G171" s="30" t="s">
        <v>231</v>
      </c>
      <c r="H171" s="30">
        <v>236220</v>
      </c>
      <c r="I171" s="30" t="s">
        <v>98</v>
      </c>
      <c r="J171" s="30"/>
      <c r="K171" s="30"/>
      <c r="L171" s="30" t="s">
        <v>508</v>
      </c>
      <c r="M171" s="39"/>
      <c r="N171" s="39">
        <v>150000</v>
      </c>
      <c r="O171" s="30" t="s">
        <v>79</v>
      </c>
      <c r="P171" s="41" t="s">
        <v>509</v>
      </c>
      <c r="Q171" s="30" t="s">
        <v>294</v>
      </c>
      <c r="R171" s="155" t="s">
        <v>80</v>
      </c>
      <c r="S171" s="41">
        <v>2014</v>
      </c>
      <c r="T171" s="31" t="s">
        <v>510</v>
      </c>
      <c r="U171" s="31" t="s">
        <v>511</v>
      </c>
      <c r="V171" s="49" t="s">
        <v>512</v>
      </c>
      <c r="W171" s="30" t="s">
        <v>36</v>
      </c>
      <c r="X171" s="129" t="s">
        <v>80</v>
      </c>
      <c r="Y171" s="30"/>
      <c r="Z171" s="30"/>
      <c r="AA171" s="30" t="s">
        <v>519</v>
      </c>
    </row>
    <row r="172" spans="1:27" s="29" customFormat="1" ht="38.25" customHeight="1">
      <c r="A172" s="30" t="s">
        <v>142</v>
      </c>
      <c r="B172" s="30" t="s">
        <v>72</v>
      </c>
      <c r="C172" s="30" t="s">
        <v>520</v>
      </c>
      <c r="D172" s="30" t="s">
        <v>521</v>
      </c>
      <c r="E172" s="30" t="s">
        <v>522</v>
      </c>
      <c r="F172" s="30" t="s">
        <v>523</v>
      </c>
      <c r="G172" s="30" t="s">
        <v>197</v>
      </c>
      <c r="H172" s="30">
        <v>484210</v>
      </c>
      <c r="I172" s="30" t="s">
        <v>98</v>
      </c>
      <c r="J172" s="30" t="s">
        <v>129</v>
      </c>
      <c r="K172" s="30" t="s">
        <v>44</v>
      </c>
      <c r="L172" s="30" t="s">
        <v>524</v>
      </c>
      <c r="M172" s="39">
        <v>60000</v>
      </c>
      <c r="N172" s="39">
        <v>85000</v>
      </c>
      <c r="O172" s="129" t="s">
        <v>79</v>
      </c>
      <c r="P172" s="30"/>
      <c r="Q172" s="30"/>
      <c r="R172" s="30"/>
      <c r="S172" s="41"/>
      <c r="T172" s="31"/>
      <c r="U172" s="184"/>
      <c r="V172" s="30"/>
      <c r="W172" s="129" t="s">
        <v>36</v>
      </c>
      <c r="X172" s="30"/>
      <c r="Y172" s="30"/>
      <c r="Z172" s="30"/>
      <c r="AA172" s="30"/>
    </row>
    <row r="173" spans="1:27" s="29" customFormat="1" ht="34.5" customHeight="1">
      <c r="A173" s="30" t="s">
        <v>142</v>
      </c>
      <c r="B173" s="30" t="s">
        <v>72</v>
      </c>
      <c r="C173" s="30" t="s">
        <v>525</v>
      </c>
      <c r="D173" s="30" t="s">
        <v>526</v>
      </c>
      <c r="E173" s="30" t="s">
        <v>527</v>
      </c>
      <c r="F173" s="30" t="s">
        <v>528</v>
      </c>
      <c r="G173" s="30" t="s">
        <v>215</v>
      </c>
      <c r="H173" s="30">
        <v>531190</v>
      </c>
      <c r="I173" s="30"/>
      <c r="J173" s="30" t="s">
        <v>129</v>
      </c>
      <c r="K173" s="30" t="s">
        <v>44</v>
      </c>
      <c r="L173" s="30" t="s">
        <v>529</v>
      </c>
      <c r="M173" s="39">
        <v>543398.40000000002</v>
      </c>
      <c r="N173" s="39">
        <v>748240.8</v>
      </c>
      <c r="O173" s="30" t="s">
        <v>387</v>
      </c>
      <c r="P173" s="30" t="s">
        <v>530</v>
      </c>
      <c r="Q173" s="30" t="s">
        <v>294</v>
      </c>
      <c r="R173" s="30" t="s">
        <v>150</v>
      </c>
      <c r="S173" s="41">
        <v>2014</v>
      </c>
      <c r="T173" s="31" t="s">
        <v>531</v>
      </c>
      <c r="U173" s="31" t="s">
        <v>532</v>
      </c>
      <c r="V173" s="30" t="s">
        <v>533</v>
      </c>
      <c r="W173" s="30" t="s">
        <v>36</v>
      </c>
      <c r="X173" s="30" t="s">
        <v>80</v>
      </c>
      <c r="Y173" s="30" t="s">
        <v>534</v>
      </c>
      <c r="Z173" s="30"/>
      <c r="AA173" s="30"/>
    </row>
    <row r="174" spans="1:27" s="29" customFormat="1" ht="34.5" customHeight="1">
      <c r="A174" s="30" t="s">
        <v>142</v>
      </c>
      <c r="B174" s="30" t="s">
        <v>72</v>
      </c>
      <c r="C174" s="30" t="s">
        <v>535</v>
      </c>
      <c r="D174" s="30" t="s">
        <v>536</v>
      </c>
      <c r="E174" s="30" t="s">
        <v>537</v>
      </c>
      <c r="F174" s="30" t="s">
        <v>538</v>
      </c>
      <c r="G174" s="30" t="s">
        <v>197</v>
      </c>
      <c r="H174" s="30">
        <v>238220</v>
      </c>
      <c r="I174" s="30" t="s">
        <v>98</v>
      </c>
      <c r="J174" s="30" t="s">
        <v>129</v>
      </c>
      <c r="K174" s="30" t="s">
        <v>539</v>
      </c>
      <c r="L174" s="30" t="s">
        <v>540</v>
      </c>
      <c r="M174" s="39">
        <v>15000</v>
      </c>
      <c r="N174" s="39"/>
      <c r="O174" s="30" t="s">
        <v>149</v>
      </c>
      <c r="P174" s="30" t="s">
        <v>509</v>
      </c>
      <c r="Q174" s="30" t="s">
        <v>294</v>
      </c>
      <c r="R174" s="155" t="s">
        <v>80</v>
      </c>
      <c r="S174" s="41">
        <v>2014</v>
      </c>
      <c r="T174" s="31" t="s">
        <v>541</v>
      </c>
      <c r="U174" s="31" t="s">
        <v>542</v>
      </c>
      <c r="V174" s="30" t="s">
        <v>543</v>
      </c>
      <c r="W174" s="30" t="s">
        <v>36</v>
      </c>
      <c r="X174" s="30" t="s">
        <v>150</v>
      </c>
      <c r="Y174" s="44">
        <v>41654</v>
      </c>
      <c r="Z174" s="30"/>
      <c r="AA174" s="30" t="s">
        <v>544</v>
      </c>
    </row>
    <row r="175" spans="1:27" s="29" customFormat="1" ht="34.5" customHeight="1">
      <c r="A175" s="30" t="s">
        <v>142</v>
      </c>
      <c r="B175" s="30" t="s">
        <v>72</v>
      </c>
      <c r="C175" s="30" t="s">
        <v>525</v>
      </c>
      <c r="D175" s="30" t="s">
        <v>515</v>
      </c>
      <c r="E175" s="30" t="s">
        <v>518</v>
      </c>
      <c r="F175" s="30" t="s">
        <v>538</v>
      </c>
      <c r="G175" s="30" t="s">
        <v>197</v>
      </c>
      <c r="H175" s="30">
        <v>236220</v>
      </c>
      <c r="I175" s="30" t="s">
        <v>98</v>
      </c>
      <c r="J175" s="30" t="s">
        <v>129</v>
      </c>
      <c r="K175" s="30" t="s">
        <v>539</v>
      </c>
      <c r="L175" s="30" t="s">
        <v>540</v>
      </c>
      <c r="M175" s="39">
        <v>70000</v>
      </c>
      <c r="N175" s="39"/>
      <c r="O175" s="30" t="s">
        <v>79</v>
      </c>
      <c r="P175" s="30" t="s">
        <v>509</v>
      </c>
      <c r="Q175" s="30" t="s">
        <v>294</v>
      </c>
      <c r="R175" s="30" t="s">
        <v>100</v>
      </c>
      <c r="S175" s="41">
        <v>2014</v>
      </c>
      <c r="T175" s="31" t="s">
        <v>541</v>
      </c>
      <c r="U175" s="31" t="s">
        <v>542</v>
      </c>
      <c r="V175" s="30" t="s">
        <v>543</v>
      </c>
      <c r="W175" s="30" t="s">
        <v>36</v>
      </c>
      <c r="X175" s="30" t="s">
        <v>80</v>
      </c>
      <c r="Y175" s="44">
        <v>41759</v>
      </c>
      <c r="Z175" s="30"/>
      <c r="AA175" s="30" t="s">
        <v>545</v>
      </c>
    </row>
    <row r="176" spans="1:27" s="29" customFormat="1" ht="34.5" customHeight="1">
      <c r="A176" s="30" t="s">
        <v>142</v>
      </c>
      <c r="B176" s="30" t="s">
        <v>72</v>
      </c>
      <c r="C176" s="30" t="s">
        <v>535</v>
      </c>
      <c r="D176" s="30" t="s">
        <v>536</v>
      </c>
      <c r="E176" s="30" t="s">
        <v>537</v>
      </c>
      <c r="F176" s="30" t="s">
        <v>538</v>
      </c>
      <c r="G176" s="30" t="s">
        <v>197</v>
      </c>
      <c r="H176" s="30">
        <v>238220</v>
      </c>
      <c r="I176" s="30" t="s">
        <v>546</v>
      </c>
      <c r="J176" s="30" t="s">
        <v>129</v>
      </c>
      <c r="K176" s="30" t="s">
        <v>290</v>
      </c>
      <c r="L176" s="30" t="s">
        <v>547</v>
      </c>
      <c r="M176" s="39">
        <v>15000</v>
      </c>
      <c r="N176" s="39"/>
      <c r="O176" s="30" t="s">
        <v>149</v>
      </c>
      <c r="P176" s="30" t="s">
        <v>509</v>
      </c>
      <c r="Q176" s="30" t="s">
        <v>294</v>
      </c>
      <c r="R176" s="30" t="s">
        <v>100</v>
      </c>
      <c r="S176" s="41">
        <v>2014</v>
      </c>
      <c r="T176" s="31" t="s">
        <v>541</v>
      </c>
      <c r="U176" s="31" t="s">
        <v>542</v>
      </c>
      <c r="V176" s="30" t="s">
        <v>543</v>
      </c>
      <c r="W176" s="30" t="s">
        <v>36</v>
      </c>
      <c r="X176" s="30" t="s">
        <v>80</v>
      </c>
      <c r="Y176" s="44">
        <v>41744</v>
      </c>
      <c r="Z176" s="30"/>
      <c r="AA176" s="30" t="s">
        <v>548</v>
      </c>
    </row>
    <row r="177" spans="1:27" s="29" customFormat="1" ht="34.5" customHeight="1">
      <c r="A177" s="30" t="s">
        <v>142</v>
      </c>
      <c r="B177" s="30" t="s">
        <v>72</v>
      </c>
      <c r="C177" s="30" t="s">
        <v>525</v>
      </c>
      <c r="D177" s="30" t="s">
        <v>515</v>
      </c>
      <c r="E177" s="30" t="s">
        <v>518</v>
      </c>
      <c r="F177" s="30" t="s">
        <v>538</v>
      </c>
      <c r="G177" s="30" t="s">
        <v>197</v>
      </c>
      <c r="H177" s="30">
        <v>236220</v>
      </c>
      <c r="I177" s="30" t="s">
        <v>98</v>
      </c>
      <c r="J177" s="30" t="s">
        <v>129</v>
      </c>
      <c r="K177" s="30" t="s">
        <v>290</v>
      </c>
      <c r="L177" s="30" t="s">
        <v>547</v>
      </c>
      <c r="M177" s="39">
        <v>100000</v>
      </c>
      <c r="N177" s="39"/>
      <c r="O177" s="30" t="s">
        <v>79</v>
      </c>
      <c r="P177" s="30" t="s">
        <v>509</v>
      </c>
      <c r="Q177" s="30" t="s">
        <v>294</v>
      </c>
      <c r="R177" s="30" t="s">
        <v>35</v>
      </c>
      <c r="S177" s="41">
        <v>2014</v>
      </c>
      <c r="T177" s="31" t="s">
        <v>541</v>
      </c>
      <c r="U177" s="31" t="s">
        <v>542</v>
      </c>
      <c r="V177" s="30" t="s">
        <v>543</v>
      </c>
      <c r="W177" s="30" t="s">
        <v>36</v>
      </c>
      <c r="X177" s="30" t="s">
        <v>100</v>
      </c>
      <c r="Y177" s="44">
        <v>41805</v>
      </c>
      <c r="Z177" s="30"/>
      <c r="AA177" s="30" t="s">
        <v>549</v>
      </c>
    </row>
    <row r="178" spans="1:27" s="29" customFormat="1" ht="34.5" customHeight="1">
      <c r="A178" s="30" t="s">
        <v>142</v>
      </c>
      <c r="B178" s="30" t="s">
        <v>72</v>
      </c>
      <c r="C178" s="30" t="s">
        <v>535</v>
      </c>
      <c r="D178" s="30" t="s">
        <v>536</v>
      </c>
      <c r="E178" s="30" t="s">
        <v>537</v>
      </c>
      <c r="F178" s="30" t="s">
        <v>538</v>
      </c>
      <c r="G178" s="30" t="s">
        <v>197</v>
      </c>
      <c r="H178" s="30">
        <v>238220</v>
      </c>
      <c r="I178" s="30" t="s">
        <v>98</v>
      </c>
      <c r="J178" s="30" t="s">
        <v>129</v>
      </c>
      <c r="K178" s="30" t="s">
        <v>550</v>
      </c>
      <c r="L178" s="30"/>
      <c r="M178" s="39">
        <v>30000</v>
      </c>
      <c r="N178" s="39"/>
      <c r="O178" s="30" t="s">
        <v>79</v>
      </c>
      <c r="P178" s="30" t="s">
        <v>509</v>
      </c>
      <c r="Q178" s="30" t="s">
        <v>294</v>
      </c>
      <c r="R178" s="30" t="s">
        <v>100</v>
      </c>
      <c r="S178" s="41">
        <v>2014</v>
      </c>
      <c r="T178" s="31" t="s">
        <v>541</v>
      </c>
      <c r="U178" s="31" t="s">
        <v>542</v>
      </c>
      <c r="V178" s="30" t="s">
        <v>543</v>
      </c>
      <c r="W178" s="30" t="s">
        <v>36</v>
      </c>
      <c r="X178" s="30" t="s">
        <v>80</v>
      </c>
      <c r="Y178" s="44">
        <v>41379</v>
      </c>
      <c r="Z178" s="30"/>
      <c r="AA178" s="30" t="s">
        <v>551</v>
      </c>
    </row>
    <row r="179" spans="1:27" s="29" customFormat="1" ht="34.5" customHeight="1">
      <c r="A179" s="30" t="s">
        <v>142</v>
      </c>
      <c r="B179" s="30" t="s">
        <v>72</v>
      </c>
      <c r="C179" s="30" t="s">
        <v>552</v>
      </c>
      <c r="D179" s="30" t="s">
        <v>536</v>
      </c>
      <c r="E179" s="30" t="s">
        <v>537</v>
      </c>
      <c r="F179" s="30" t="s">
        <v>553</v>
      </c>
      <c r="G179" s="30" t="s">
        <v>197</v>
      </c>
      <c r="H179" s="30">
        <v>238330</v>
      </c>
      <c r="I179" s="129" t="s">
        <v>42</v>
      </c>
      <c r="J179" s="30" t="s">
        <v>129</v>
      </c>
      <c r="K179" s="30" t="s">
        <v>44</v>
      </c>
      <c r="L179" s="30" t="s">
        <v>98</v>
      </c>
      <c r="M179" s="39">
        <v>12900</v>
      </c>
      <c r="N179" s="39">
        <v>12900</v>
      </c>
      <c r="O179" s="30" t="s">
        <v>554</v>
      </c>
      <c r="P179" s="30" t="s">
        <v>509</v>
      </c>
      <c r="Q179" s="30" t="s">
        <v>294</v>
      </c>
      <c r="R179" s="30" t="s">
        <v>150</v>
      </c>
      <c r="S179" s="41">
        <v>2014</v>
      </c>
      <c r="T179" s="31" t="s">
        <v>555</v>
      </c>
      <c r="U179" s="31" t="s">
        <v>556</v>
      </c>
      <c r="V179" s="30" t="s">
        <v>557</v>
      </c>
      <c r="W179" s="129" t="s">
        <v>36</v>
      </c>
      <c r="X179" s="30" t="s">
        <v>150</v>
      </c>
      <c r="Y179" s="44">
        <v>41608</v>
      </c>
      <c r="Z179" s="30"/>
      <c r="AA179" s="30"/>
    </row>
    <row r="180" spans="1:27" s="29" customFormat="1" ht="34.5" customHeight="1">
      <c r="A180" s="30" t="s">
        <v>142</v>
      </c>
      <c r="B180" s="30" t="s">
        <v>72</v>
      </c>
      <c r="C180" s="30" t="s">
        <v>552</v>
      </c>
      <c r="D180" s="30" t="s">
        <v>536</v>
      </c>
      <c r="E180" s="30" t="s">
        <v>537</v>
      </c>
      <c r="F180" s="30" t="s">
        <v>553</v>
      </c>
      <c r="G180" s="30" t="s">
        <v>197</v>
      </c>
      <c r="H180" s="30">
        <v>238140</v>
      </c>
      <c r="I180" s="129" t="s">
        <v>32</v>
      </c>
      <c r="J180" s="30" t="s">
        <v>129</v>
      </c>
      <c r="K180" s="30" t="s">
        <v>559</v>
      </c>
      <c r="L180" s="30" t="s">
        <v>558</v>
      </c>
      <c r="M180" s="39">
        <v>47450</v>
      </c>
      <c r="N180" s="39">
        <v>47450</v>
      </c>
      <c r="O180" s="30" t="s">
        <v>79</v>
      </c>
      <c r="P180" s="30" t="s">
        <v>509</v>
      </c>
      <c r="Q180" s="30" t="s">
        <v>294</v>
      </c>
      <c r="R180" s="30" t="s">
        <v>150</v>
      </c>
      <c r="S180" s="41">
        <v>2014</v>
      </c>
      <c r="T180" s="31" t="s">
        <v>555</v>
      </c>
      <c r="U180" s="31" t="s">
        <v>556</v>
      </c>
      <c r="V180" s="30" t="s">
        <v>560</v>
      </c>
      <c r="W180" s="129" t="s">
        <v>36</v>
      </c>
      <c r="X180" s="30" t="s">
        <v>150</v>
      </c>
      <c r="Y180" s="44">
        <v>41608</v>
      </c>
      <c r="Z180" s="30"/>
      <c r="AA180" s="30"/>
    </row>
    <row r="181" spans="1:27" s="29" customFormat="1" ht="34.5" customHeight="1">
      <c r="A181" s="30" t="s">
        <v>142</v>
      </c>
      <c r="B181" s="30" t="s">
        <v>72</v>
      </c>
      <c r="C181" s="30" t="s">
        <v>561</v>
      </c>
      <c r="D181" s="30" t="s">
        <v>562</v>
      </c>
      <c r="E181" s="30" t="s">
        <v>515</v>
      </c>
      <c r="F181" s="30" t="s">
        <v>553</v>
      </c>
      <c r="G181" s="30" t="s">
        <v>197</v>
      </c>
      <c r="H181" s="30">
        <v>236220</v>
      </c>
      <c r="I181" s="30" t="s">
        <v>98</v>
      </c>
      <c r="J181" s="30" t="s">
        <v>129</v>
      </c>
      <c r="K181" s="30" t="s">
        <v>44</v>
      </c>
      <c r="L181" s="30" t="s">
        <v>98</v>
      </c>
      <c r="M181" s="39">
        <v>9000</v>
      </c>
      <c r="N181" s="39">
        <v>13000</v>
      </c>
      <c r="O181" s="30" t="s">
        <v>149</v>
      </c>
      <c r="P181" s="30" t="s">
        <v>509</v>
      </c>
      <c r="Q181" s="30" t="s">
        <v>294</v>
      </c>
      <c r="R181" s="30" t="s">
        <v>150</v>
      </c>
      <c r="S181" s="41">
        <v>2014</v>
      </c>
      <c r="T181" s="31" t="s">
        <v>555</v>
      </c>
      <c r="U181" s="31" t="s">
        <v>556</v>
      </c>
      <c r="V181" s="30" t="s">
        <v>560</v>
      </c>
      <c r="W181" s="129" t="s">
        <v>36</v>
      </c>
      <c r="X181" s="30" t="s">
        <v>150</v>
      </c>
      <c r="Y181" s="44">
        <v>41608</v>
      </c>
      <c r="Z181" s="30"/>
      <c r="AA181" s="30"/>
    </row>
    <row r="182" spans="1:27" s="29" customFormat="1" ht="34.5" customHeight="1">
      <c r="A182" s="30" t="s">
        <v>142</v>
      </c>
      <c r="B182" s="30" t="s">
        <v>72</v>
      </c>
      <c r="C182" s="30" t="s">
        <v>561</v>
      </c>
      <c r="D182" s="30" t="s">
        <v>563</v>
      </c>
      <c r="E182" s="30" t="s">
        <v>537</v>
      </c>
      <c r="F182" s="30" t="s">
        <v>553</v>
      </c>
      <c r="G182" s="30" t="s">
        <v>197</v>
      </c>
      <c r="H182" s="30">
        <v>238330</v>
      </c>
      <c r="I182" s="30" t="s">
        <v>98</v>
      </c>
      <c r="J182" s="30" t="s">
        <v>129</v>
      </c>
      <c r="K182" s="30" t="s">
        <v>44</v>
      </c>
      <c r="L182" s="30" t="s">
        <v>98</v>
      </c>
      <c r="M182" s="39">
        <v>9000</v>
      </c>
      <c r="N182" s="39">
        <v>10350</v>
      </c>
      <c r="O182" s="30" t="s">
        <v>149</v>
      </c>
      <c r="P182" s="30" t="s">
        <v>509</v>
      </c>
      <c r="Q182" s="30" t="s">
        <v>294</v>
      </c>
      <c r="R182" s="30" t="s">
        <v>150</v>
      </c>
      <c r="S182" s="41">
        <v>2014</v>
      </c>
      <c r="T182" s="31" t="s">
        <v>555</v>
      </c>
      <c r="U182" s="31" t="s">
        <v>556</v>
      </c>
      <c r="V182" s="30" t="s">
        <v>560</v>
      </c>
      <c r="W182" s="129" t="s">
        <v>36</v>
      </c>
      <c r="X182" s="30" t="s">
        <v>150</v>
      </c>
      <c r="Y182" s="44">
        <v>41608</v>
      </c>
      <c r="Z182" s="30"/>
      <c r="AA182" s="30"/>
    </row>
    <row r="183" spans="1:27" s="29" customFormat="1" ht="34.5" customHeight="1">
      <c r="A183" s="30" t="s">
        <v>142</v>
      </c>
      <c r="B183" s="30" t="s">
        <v>72</v>
      </c>
      <c r="C183" s="30" t="s">
        <v>564</v>
      </c>
      <c r="D183" s="30" t="s">
        <v>536</v>
      </c>
      <c r="E183" s="30" t="s">
        <v>515</v>
      </c>
      <c r="F183" s="30" t="s">
        <v>553</v>
      </c>
      <c r="G183" s="30" t="s">
        <v>197</v>
      </c>
      <c r="H183" s="30">
        <v>236220</v>
      </c>
      <c r="I183" s="30" t="s">
        <v>546</v>
      </c>
      <c r="J183" s="30" t="s">
        <v>129</v>
      </c>
      <c r="K183" s="30" t="s">
        <v>290</v>
      </c>
      <c r="L183" s="30" t="s">
        <v>290</v>
      </c>
      <c r="M183" s="39">
        <v>70000</v>
      </c>
      <c r="N183" s="39">
        <v>75000</v>
      </c>
      <c r="O183" s="30" t="s">
        <v>79</v>
      </c>
      <c r="P183" s="30" t="s">
        <v>509</v>
      </c>
      <c r="Q183" s="30" t="s">
        <v>294</v>
      </c>
      <c r="R183" s="30" t="s">
        <v>150</v>
      </c>
      <c r="S183" s="41">
        <v>2014</v>
      </c>
      <c r="T183" s="31" t="s">
        <v>555</v>
      </c>
      <c r="U183" s="31" t="s">
        <v>556</v>
      </c>
      <c r="V183" s="30" t="s">
        <v>560</v>
      </c>
      <c r="W183" s="129" t="s">
        <v>36</v>
      </c>
      <c r="X183" s="30" t="s">
        <v>150</v>
      </c>
      <c r="Y183" s="44">
        <v>41608</v>
      </c>
      <c r="Z183" s="30"/>
      <c r="AA183" s="30"/>
    </row>
    <row r="184" spans="1:27" s="29" customFormat="1" ht="34.5" customHeight="1">
      <c r="A184" s="30" t="s">
        <v>142</v>
      </c>
      <c r="B184" s="30" t="s">
        <v>72</v>
      </c>
      <c r="C184" s="30" t="s">
        <v>565</v>
      </c>
      <c r="D184" s="30" t="s">
        <v>566</v>
      </c>
      <c r="E184" s="30" t="s">
        <v>567</v>
      </c>
      <c r="F184" s="30" t="s">
        <v>553</v>
      </c>
      <c r="G184" s="30" t="s">
        <v>197</v>
      </c>
      <c r="H184" s="30">
        <v>238210</v>
      </c>
      <c r="I184" s="30" t="s">
        <v>98</v>
      </c>
      <c r="J184" s="30" t="s">
        <v>129</v>
      </c>
      <c r="K184" s="30" t="s">
        <v>539</v>
      </c>
      <c r="L184" s="30" t="s">
        <v>98</v>
      </c>
      <c r="M184" s="39">
        <v>145000</v>
      </c>
      <c r="N184" s="39">
        <v>150000</v>
      </c>
      <c r="O184" s="30" t="s">
        <v>79</v>
      </c>
      <c r="P184" s="30" t="s">
        <v>509</v>
      </c>
      <c r="Q184" s="30" t="s">
        <v>294</v>
      </c>
      <c r="R184" s="155" t="s">
        <v>80</v>
      </c>
      <c r="S184" s="41">
        <v>2014</v>
      </c>
      <c r="T184" s="31" t="s">
        <v>555</v>
      </c>
      <c r="U184" s="31" t="s">
        <v>556</v>
      </c>
      <c r="V184" s="30" t="s">
        <v>560</v>
      </c>
      <c r="W184" s="129" t="s">
        <v>36</v>
      </c>
      <c r="X184" s="30" t="s">
        <v>80</v>
      </c>
      <c r="Y184" s="30"/>
      <c r="Z184" s="30"/>
      <c r="AA184" s="30"/>
    </row>
    <row r="185" spans="1:27" s="29" customFormat="1" ht="34.5" customHeight="1">
      <c r="A185" s="30" t="s">
        <v>142</v>
      </c>
      <c r="B185" s="30" t="s">
        <v>72</v>
      </c>
      <c r="C185" s="30" t="s">
        <v>509</v>
      </c>
      <c r="D185" s="30" t="s">
        <v>568</v>
      </c>
      <c r="E185" s="30" t="s">
        <v>569</v>
      </c>
      <c r="F185" s="30" t="s">
        <v>570</v>
      </c>
      <c r="G185" s="30" t="s">
        <v>197</v>
      </c>
      <c r="H185" s="30">
        <v>561720</v>
      </c>
      <c r="I185" s="30" t="s">
        <v>98</v>
      </c>
      <c r="J185" s="30" t="s">
        <v>129</v>
      </c>
      <c r="K185" s="30" t="s">
        <v>44</v>
      </c>
      <c r="L185" s="30" t="s">
        <v>98</v>
      </c>
      <c r="M185" s="39">
        <v>14000</v>
      </c>
      <c r="N185" s="39">
        <v>16000</v>
      </c>
      <c r="O185" s="30" t="s">
        <v>554</v>
      </c>
      <c r="P185" s="30" t="s">
        <v>302</v>
      </c>
      <c r="Q185" s="30" t="s">
        <v>294</v>
      </c>
      <c r="R185" s="30" t="s">
        <v>150</v>
      </c>
      <c r="S185" s="41">
        <v>2014</v>
      </c>
      <c r="T185" s="31" t="s">
        <v>571</v>
      </c>
      <c r="U185" s="31" t="s">
        <v>572</v>
      </c>
      <c r="V185" s="30" t="s">
        <v>573</v>
      </c>
      <c r="W185" s="129" t="s">
        <v>36</v>
      </c>
      <c r="X185" s="30"/>
      <c r="Y185" s="30"/>
      <c r="Z185" s="44">
        <v>42035</v>
      </c>
      <c r="AA185" s="30" t="s">
        <v>574</v>
      </c>
    </row>
    <row r="186" spans="1:27" s="29" customFormat="1" ht="34.5" customHeight="1">
      <c r="A186" s="30" t="s">
        <v>142</v>
      </c>
      <c r="B186" s="30" t="s">
        <v>72</v>
      </c>
      <c r="C186" s="30" t="s">
        <v>575</v>
      </c>
      <c r="D186" s="30" t="s">
        <v>576</v>
      </c>
      <c r="E186" s="30" t="s">
        <v>537</v>
      </c>
      <c r="F186" s="30" t="s">
        <v>570</v>
      </c>
      <c r="G186" s="30" t="s">
        <v>197</v>
      </c>
      <c r="H186" s="30">
        <v>238220</v>
      </c>
      <c r="I186" s="30" t="s">
        <v>98</v>
      </c>
      <c r="J186" s="30" t="s">
        <v>129</v>
      </c>
      <c r="K186" s="30" t="s">
        <v>44</v>
      </c>
      <c r="L186" s="30" t="s">
        <v>98</v>
      </c>
      <c r="M186" s="39">
        <v>5000</v>
      </c>
      <c r="N186" s="39">
        <v>82000</v>
      </c>
      <c r="O186" s="30" t="s">
        <v>554</v>
      </c>
      <c r="P186" s="30" t="s">
        <v>302</v>
      </c>
      <c r="Q186" s="30" t="s">
        <v>294</v>
      </c>
      <c r="R186" s="30" t="s">
        <v>150</v>
      </c>
      <c r="S186" s="41">
        <v>2014</v>
      </c>
      <c r="T186" s="31" t="s">
        <v>571</v>
      </c>
      <c r="U186" s="31" t="s">
        <v>572</v>
      </c>
      <c r="V186" s="30" t="s">
        <v>573</v>
      </c>
      <c r="W186" s="129" t="s">
        <v>36</v>
      </c>
      <c r="X186" s="44">
        <v>41582</v>
      </c>
      <c r="Y186" s="44">
        <v>41603</v>
      </c>
      <c r="Z186" s="44">
        <v>41790</v>
      </c>
      <c r="AA186" s="30" t="s">
        <v>577</v>
      </c>
    </row>
    <row r="187" spans="1:27" s="29" customFormat="1" ht="34.5" customHeight="1">
      <c r="A187" s="30" t="s">
        <v>142</v>
      </c>
      <c r="B187" s="30" t="s">
        <v>72</v>
      </c>
      <c r="C187" s="30" t="s">
        <v>578</v>
      </c>
      <c r="D187" s="30" t="s">
        <v>579</v>
      </c>
      <c r="E187" s="30" t="s">
        <v>515</v>
      </c>
      <c r="F187" s="30" t="s">
        <v>570</v>
      </c>
      <c r="G187" s="30" t="s">
        <v>197</v>
      </c>
      <c r="H187" s="30">
        <v>238990</v>
      </c>
      <c r="I187" s="30" t="s">
        <v>546</v>
      </c>
      <c r="J187" s="30" t="s">
        <v>129</v>
      </c>
      <c r="K187" s="30" t="s">
        <v>290</v>
      </c>
      <c r="L187" s="30" t="s">
        <v>290</v>
      </c>
      <c r="M187" s="39">
        <v>5000</v>
      </c>
      <c r="N187" s="39">
        <v>8000</v>
      </c>
      <c r="O187" s="30" t="s">
        <v>554</v>
      </c>
      <c r="P187" s="30" t="s">
        <v>302</v>
      </c>
      <c r="Q187" s="30" t="s">
        <v>294</v>
      </c>
      <c r="R187" s="30"/>
      <c r="S187" s="41">
        <v>2014</v>
      </c>
      <c r="T187" s="31" t="s">
        <v>571</v>
      </c>
      <c r="U187" s="31" t="s">
        <v>572</v>
      </c>
      <c r="V187" s="30" t="s">
        <v>573</v>
      </c>
      <c r="W187" s="129" t="s">
        <v>36</v>
      </c>
      <c r="X187" s="30" t="s">
        <v>150</v>
      </c>
      <c r="Y187" s="30" t="s">
        <v>80</v>
      </c>
      <c r="Z187" s="30"/>
      <c r="AA187" s="30" t="s">
        <v>580</v>
      </c>
    </row>
    <row r="188" spans="1:27" s="29" customFormat="1" ht="34.5" customHeight="1">
      <c r="A188" s="30" t="s">
        <v>142</v>
      </c>
      <c r="B188" s="30" t="s">
        <v>72</v>
      </c>
      <c r="C188" s="30" t="s">
        <v>578</v>
      </c>
      <c r="D188" s="30" t="s">
        <v>581</v>
      </c>
      <c r="E188" s="30" t="s">
        <v>515</v>
      </c>
      <c r="F188" s="30" t="s">
        <v>570</v>
      </c>
      <c r="G188" s="30" t="s">
        <v>197</v>
      </c>
      <c r="H188" s="30">
        <v>238160</v>
      </c>
      <c r="I188" s="30" t="s">
        <v>546</v>
      </c>
      <c r="J188" s="30" t="s">
        <v>129</v>
      </c>
      <c r="K188" s="30" t="s">
        <v>290</v>
      </c>
      <c r="L188" s="30" t="s">
        <v>290</v>
      </c>
      <c r="M188" s="39">
        <v>5000</v>
      </c>
      <c r="N188" s="39">
        <v>8000</v>
      </c>
      <c r="O188" s="30" t="s">
        <v>554</v>
      </c>
      <c r="P188" s="30" t="s">
        <v>302</v>
      </c>
      <c r="Q188" s="30" t="s">
        <v>294</v>
      </c>
      <c r="R188" s="30"/>
      <c r="S188" s="41">
        <v>2014</v>
      </c>
      <c r="T188" s="31" t="s">
        <v>571</v>
      </c>
      <c r="U188" s="31" t="s">
        <v>572</v>
      </c>
      <c r="V188" s="30" t="s">
        <v>573</v>
      </c>
      <c r="W188" s="129" t="s">
        <v>36</v>
      </c>
      <c r="X188" s="30" t="s">
        <v>150</v>
      </c>
      <c r="Y188" s="30" t="s">
        <v>80</v>
      </c>
      <c r="Z188" s="30"/>
      <c r="AA188" s="30" t="s">
        <v>580</v>
      </c>
    </row>
    <row r="189" spans="1:27" s="29" customFormat="1" ht="34.5" customHeight="1">
      <c r="A189" s="30" t="s">
        <v>142</v>
      </c>
      <c r="B189" s="30" t="s">
        <v>72</v>
      </c>
      <c r="C189" s="30" t="s">
        <v>578</v>
      </c>
      <c r="D189" s="30" t="s">
        <v>582</v>
      </c>
      <c r="E189" s="30" t="s">
        <v>515</v>
      </c>
      <c r="F189" s="30" t="s">
        <v>570</v>
      </c>
      <c r="G189" s="30" t="s">
        <v>197</v>
      </c>
      <c r="H189" s="30">
        <v>238990</v>
      </c>
      <c r="I189" s="30" t="s">
        <v>546</v>
      </c>
      <c r="J189" s="30" t="s">
        <v>129</v>
      </c>
      <c r="K189" s="30" t="s">
        <v>290</v>
      </c>
      <c r="L189" s="30" t="s">
        <v>290</v>
      </c>
      <c r="M189" s="39">
        <v>10000</v>
      </c>
      <c r="N189" s="39">
        <v>12000</v>
      </c>
      <c r="O189" s="30" t="s">
        <v>554</v>
      </c>
      <c r="P189" s="30" t="s">
        <v>302</v>
      </c>
      <c r="Q189" s="30" t="s">
        <v>294</v>
      </c>
      <c r="R189" s="30"/>
      <c r="S189" s="41">
        <v>2014</v>
      </c>
      <c r="T189" s="31" t="s">
        <v>571</v>
      </c>
      <c r="U189" s="31" t="s">
        <v>572</v>
      </c>
      <c r="V189" s="30" t="s">
        <v>573</v>
      </c>
      <c r="W189" s="129" t="s">
        <v>36</v>
      </c>
      <c r="X189" s="30" t="s">
        <v>150</v>
      </c>
      <c r="Y189" s="30" t="s">
        <v>80</v>
      </c>
      <c r="Z189" s="30"/>
      <c r="AA189" s="30" t="s">
        <v>580</v>
      </c>
    </row>
    <row r="190" spans="1:27" s="29" customFormat="1" ht="34.5" customHeight="1">
      <c r="A190" s="30" t="s">
        <v>142</v>
      </c>
      <c r="B190" s="30" t="s">
        <v>72</v>
      </c>
      <c r="C190" s="30" t="s">
        <v>578</v>
      </c>
      <c r="D190" s="30" t="s">
        <v>583</v>
      </c>
      <c r="E190" s="30" t="s">
        <v>515</v>
      </c>
      <c r="F190" s="30" t="s">
        <v>570</v>
      </c>
      <c r="G190" s="30" t="s">
        <v>197</v>
      </c>
      <c r="H190" s="30">
        <v>237110</v>
      </c>
      <c r="I190" s="30" t="s">
        <v>546</v>
      </c>
      <c r="J190" s="30" t="s">
        <v>129</v>
      </c>
      <c r="K190" s="30" t="s">
        <v>290</v>
      </c>
      <c r="L190" s="30" t="s">
        <v>290</v>
      </c>
      <c r="M190" s="39">
        <v>8000</v>
      </c>
      <c r="N190" s="39">
        <v>10000</v>
      </c>
      <c r="O190" s="30" t="s">
        <v>554</v>
      </c>
      <c r="P190" s="30" t="s">
        <v>302</v>
      </c>
      <c r="Q190" s="30" t="s">
        <v>294</v>
      </c>
      <c r="R190" s="30"/>
      <c r="S190" s="41">
        <v>2014</v>
      </c>
      <c r="T190" s="31" t="s">
        <v>571</v>
      </c>
      <c r="U190" s="31" t="s">
        <v>572</v>
      </c>
      <c r="V190" s="30" t="s">
        <v>573</v>
      </c>
      <c r="W190" s="129" t="s">
        <v>36</v>
      </c>
      <c r="X190" s="30" t="s">
        <v>150</v>
      </c>
      <c r="Y190" s="30" t="s">
        <v>80</v>
      </c>
      <c r="Z190" s="30"/>
      <c r="AA190" s="30" t="s">
        <v>580</v>
      </c>
    </row>
    <row r="191" spans="1:27" s="29" customFormat="1" ht="34.5" customHeight="1">
      <c r="A191" s="30" t="s">
        <v>142</v>
      </c>
      <c r="B191" s="30" t="s">
        <v>72</v>
      </c>
      <c r="C191" s="30" t="s">
        <v>578</v>
      </c>
      <c r="D191" s="30" t="s">
        <v>584</v>
      </c>
      <c r="E191" s="30" t="s">
        <v>515</v>
      </c>
      <c r="F191" s="30" t="s">
        <v>570</v>
      </c>
      <c r="G191" s="30" t="s">
        <v>197</v>
      </c>
      <c r="H191" s="30">
        <v>238990</v>
      </c>
      <c r="I191" s="30" t="s">
        <v>546</v>
      </c>
      <c r="J191" s="30" t="s">
        <v>129</v>
      </c>
      <c r="K191" s="30" t="s">
        <v>290</v>
      </c>
      <c r="L191" s="30" t="s">
        <v>290</v>
      </c>
      <c r="M191" s="39">
        <v>10000</v>
      </c>
      <c r="N191" s="39">
        <v>12000</v>
      </c>
      <c r="O191" s="30" t="s">
        <v>554</v>
      </c>
      <c r="P191" s="30" t="s">
        <v>302</v>
      </c>
      <c r="Q191" s="30" t="s">
        <v>294</v>
      </c>
      <c r="R191" s="30"/>
      <c r="S191" s="41">
        <v>2014</v>
      </c>
      <c r="T191" s="31" t="s">
        <v>571</v>
      </c>
      <c r="U191" s="31" t="s">
        <v>572</v>
      </c>
      <c r="V191" s="30" t="s">
        <v>573</v>
      </c>
      <c r="W191" s="129" t="s">
        <v>36</v>
      </c>
      <c r="X191" s="30" t="s">
        <v>150</v>
      </c>
      <c r="Y191" s="30" t="s">
        <v>80</v>
      </c>
      <c r="Z191" s="30"/>
      <c r="AA191" s="30" t="s">
        <v>580</v>
      </c>
    </row>
    <row r="192" spans="1:27" s="29" customFormat="1" ht="34.5" customHeight="1">
      <c r="A192" s="30" t="s">
        <v>142</v>
      </c>
      <c r="B192" s="30" t="s">
        <v>72</v>
      </c>
      <c r="C192" s="30" t="s">
        <v>578</v>
      </c>
      <c r="D192" s="30" t="s">
        <v>585</v>
      </c>
      <c r="E192" s="30" t="s">
        <v>515</v>
      </c>
      <c r="F192" s="30" t="s">
        <v>570</v>
      </c>
      <c r="G192" s="30" t="s">
        <v>197</v>
      </c>
      <c r="H192" s="30">
        <v>238210</v>
      </c>
      <c r="I192" s="30" t="s">
        <v>546</v>
      </c>
      <c r="J192" s="30" t="s">
        <v>129</v>
      </c>
      <c r="K192" s="30" t="s">
        <v>290</v>
      </c>
      <c r="L192" s="30" t="s">
        <v>290</v>
      </c>
      <c r="M192" s="39">
        <v>20000</v>
      </c>
      <c r="N192" s="39">
        <v>22000</v>
      </c>
      <c r="O192" s="30" t="s">
        <v>554</v>
      </c>
      <c r="P192" s="30" t="s">
        <v>302</v>
      </c>
      <c r="Q192" s="30" t="s">
        <v>294</v>
      </c>
      <c r="R192" s="30"/>
      <c r="S192" s="41">
        <v>2014</v>
      </c>
      <c r="T192" s="31" t="s">
        <v>571</v>
      </c>
      <c r="U192" s="31" t="s">
        <v>572</v>
      </c>
      <c r="V192" s="30" t="s">
        <v>573</v>
      </c>
      <c r="W192" s="129" t="s">
        <v>36</v>
      </c>
      <c r="X192" s="30" t="s">
        <v>150</v>
      </c>
      <c r="Y192" s="30" t="s">
        <v>80</v>
      </c>
      <c r="Z192" s="30"/>
      <c r="AA192" s="30" t="s">
        <v>580</v>
      </c>
    </row>
    <row r="193" spans="1:27" s="29" customFormat="1" ht="34.5" customHeight="1">
      <c r="A193" s="30" t="s">
        <v>142</v>
      </c>
      <c r="B193" s="30" t="s">
        <v>72</v>
      </c>
      <c r="C193" s="30" t="s">
        <v>578</v>
      </c>
      <c r="D193" s="30" t="s">
        <v>586</v>
      </c>
      <c r="E193" s="30" t="s">
        <v>515</v>
      </c>
      <c r="F193" s="30" t="s">
        <v>570</v>
      </c>
      <c r="G193" s="30" t="s">
        <v>197</v>
      </c>
      <c r="H193" s="30">
        <v>238990</v>
      </c>
      <c r="I193" s="158" t="s">
        <v>546</v>
      </c>
      <c r="J193" s="30" t="s">
        <v>129</v>
      </c>
      <c r="K193" s="30" t="s">
        <v>290</v>
      </c>
      <c r="L193" s="30" t="s">
        <v>290</v>
      </c>
      <c r="M193" s="39">
        <v>5000</v>
      </c>
      <c r="N193" s="39">
        <v>8000</v>
      </c>
      <c r="O193" s="30" t="s">
        <v>554</v>
      </c>
      <c r="P193" s="30" t="s">
        <v>302</v>
      </c>
      <c r="Q193" s="30" t="s">
        <v>294</v>
      </c>
      <c r="R193" s="30"/>
      <c r="S193" s="41">
        <v>2014</v>
      </c>
      <c r="T193" s="31" t="s">
        <v>571</v>
      </c>
      <c r="U193" s="31" t="s">
        <v>572</v>
      </c>
      <c r="V193" s="30" t="s">
        <v>573</v>
      </c>
      <c r="W193" s="129" t="s">
        <v>36</v>
      </c>
      <c r="X193" s="30" t="s">
        <v>150</v>
      </c>
      <c r="Y193" s="30" t="s">
        <v>150</v>
      </c>
      <c r="Z193" s="30"/>
      <c r="AA193" s="30"/>
    </row>
    <row r="194" spans="1:27" s="29" customFormat="1" ht="34.5" customHeight="1">
      <c r="A194" s="30" t="s">
        <v>142</v>
      </c>
      <c r="B194" s="30" t="s">
        <v>72</v>
      </c>
      <c r="C194" s="30" t="s">
        <v>578</v>
      </c>
      <c r="D194" s="30" t="s">
        <v>587</v>
      </c>
      <c r="E194" s="30" t="s">
        <v>515</v>
      </c>
      <c r="F194" s="30" t="s">
        <v>588</v>
      </c>
      <c r="G194" s="30" t="s">
        <v>193</v>
      </c>
      <c r="H194" s="30">
        <v>236220</v>
      </c>
      <c r="I194" s="30"/>
      <c r="J194" s="30" t="s">
        <v>129</v>
      </c>
      <c r="K194" s="30" t="s">
        <v>589</v>
      </c>
      <c r="L194" s="30" t="s">
        <v>589</v>
      </c>
      <c r="M194" s="168" t="s">
        <v>345</v>
      </c>
      <c r="N194" s="168" t="s">
        <v>345</v>
      </c>
      <c r="O194" s="129" t="s">
        <v>79</v>
      </c>
      <c r="P194" s="30" t="s">
        <v>302</v>
      </c>
      <c r="Q194" s="30" t="s">
        <v>294</v>
      </c>
      <c r="R194" s="30" t="s">
        <v>591</v>
      </c>
      <c r="S194" s="41">
        <v>2014</v>
      </c>
      <c r="T194" s="31" t="s">
        <v>592</v>
      </c>
      <c r="U194" s="31">
        <v>9732732409</v>
      </c>
      <c r="V194" s="30" t="s">
        <v>593</v>
      </c>
      <c r="W194" s="129" t="s">
        <v>36</v>
      </c>
      <c r="X194" s="30" t="s">
        <v>150</v>
      </c>
      <c r="Y194" s="129" t="s">
        <v>100</v>
      </c>
      <c r="Z194" s="30"/>
      <c r="AA194" s="129" t="s">
        <v>3391</v>
      </c>
    </row>
    <row r="195" spans="1:27" s="29" customFormat="1" ht="34.5" customHeight="1">
      <c r="A195" s="30" t="s">
        <v>142</v>
      </c>
      <c r="B195" s="30" t="s">
        <v>72</v>
      </c>
      <c r="C195" s="30" t="s">
        <v>525</v>
      </c>
      <c r="D195" s="30" t="s">
        <v>536</v>
      </c>
      <c r="E195" s="30" t="s">
        <v>515</v>
      </c>
      <c r="F195" s="30" t="s">
        <v>595</v>
      </c>
      <c r="G195" s="30" t="s">
        <v>197</v>
      </c>
      <c r="H195" s="30">
        <v>236220</v>
      </c>
      <c r="J195" s="30" t="s">
        <v>129</v>
      </c>
      <c r="K195" s="30" t="s">
        <v>290</v>
      </c>
      <c r="L195" s="30" t="s">
        <v>290</v>
      </c>
      <c r="M195" s="39">
        <v>100000</v>
      </c>
      <c r="N195" s="39">
        <v>130000</v>
      </c>
      <c r="O195" s="30" t="s">
        <v>590</v>
      </c>
      <c r="P195" s="30" t="s">
        <v>509</v>
      </c>
      <c r="Q195" s="30" t="s">
        <v>294</v>
      </c>
      <c r="R195" s="155" t="s">
        <v>80</v>
      </c>
      <c r="S195" s="41">
        <v>2014</v>
      </c>
      <c r="T195" s="31" t="s">
        <v>596</v>
      </c>
      <c r="U195" s="31">
        <v>3154480927</v>
      </c>
      <c r="V195" s="30" t="s">
        <v>597</v>
      </c>
      <c r="W195" s="129" t="s">
        <v>36</v>
      </c>
      <c r="X195" s="30" t="s">
        <v>80</v>
      </c>
      <c r="Y195" s="30" t="s">
        <v>80</v>
      </c>
      <c r="Z195" s="44">
        <v>41820</v>
      </c>
      <c r="AA195" s="30" t="s">
        <v>546</v>
      </c>
    </row>
    <row r="196" spans="1:27" s="29" customFormat="1" ht="34.5" customHeight="1">
      <c r="A196" s="30" t="s">
        <v>142</v>
      </c>
      <c r="B196" s="30" t="s">
        <v>72</v>
      </c>
      <c r="C196" s="30" t="s">
        <v>525</v>
      </c>
      <c r="D196" s="30" t="s">
        <v>536</v>
      </c>
      <c r="E196" s="30" t="s">
        <v>515</v>
      </c>
      <c r="F196" s="30" t="s">
        <v>595</v>
      </c>
      <c r="G196" s="30" t="s">
        <v>197</v>
      </c>
      <c r="H196" s="30">
        <v>236220</v>
      </c>
      <c r="J196" s="30" t="s">
        <v>129</v>
      </c>
      <c r="K196" s="30" t="s">
        <v>290</v>
      </c>
      <c r="L196" s="30" t="s">
        <v>290</v>
      </c>
      <c r="M196" s="39">
        <v>15000</v>
      </c>
      <c r="N196" s="39">
        <v>25000</v>
      </c>
      <c r="O196" s="30" t="s">
        <v>149</v>
      </c>
      <c r="P196" s="30" t="s">
        <v>509</v>
      </c>
      <c r="Q196" s="30" t="s">
        <v>294</v>
      </c>
      <c r="R196" s="155" t="s">
        <v>80</v>
      </c>
      <c r="S196" s="41">
        <v>2014</v>
      </c>
      <c r="T196" s="31" t="s">
        <v>596</v>
      </c>
      <c r="U196" s="31">
        <v>3154480927</v>
      </c>
      <c r="V196" s="30" t="s">
        <v>597</v>
      </c>
      <c r="W196" s="129" t="s">
        <v>36</v>
      </c>
      <c r="X196" s="30" t="s">
        <v>80</v>
      </c>
      <c r="Y196" s="30" t="s">
        <v>80</v>
      </c>
      <c r="Z196" s="44">
        <v>41820</v>
      </c>
      <c r="AA196" s="30" t="s">
        <v>546</v>
      </c>
    </row>
    <row r="197" spans="1:27" s="29" customFormat="1" ht="34.5" customHeight="1">
      <c r="A197" s="30" t="s">
        <v>142</v>
      </c>
      <c r="B197" s="30" t="s">
        <v>72</v>
      </c>
      <c r="C197" s="30" t="s">
        <v>578</v>
      </c>
      <c r="D197" s="30" t="s">
        <v>598</v>
      </c>
      <c r="E197" s="30" t="s">
        <v>515</v>
      </c>
      <c r="F197" s="30" t="s">
        <v>588</v>
      </c>
      <c r="G197" s="30" t="s">
        <v>193</v>
      </c>
      <c r="H197" s="30">
        <v>236220</v>
      </c>
      <c r="I197" s="30"/>
      <c r="J197" s="30" t="s">
        <v>129</v>
      </c>
      <c r="K197" s="30" t="s">
        <v>589</v>
      </c>
      <c r="L197" s="30" t="s">
        <v>589</v>
      </c>
      <c r="M197" s="168" t="s">
        <v>345</v>
      </c>
      <c r="N197" s="168" t="s">
        <v>345</v>
      </c>
      <c r="O197" s="129" t="s">
        <v>79</v>
      </c>
      <c r="P197" s="30" t="s">
        <v>302</v>
      </c>
      <c r="Q197" s="30" t="s">
        <v>294</v>
      </c>
      <c r="R197" s="30" t="s">
        <v>591</v>
      </c>
      <c r="S197" s="41">
        <v>2014</v>
      </c>
      <c r="T197" s="31" t="s">
        <v>599</v>
      </c>
      <c r="U197" s="31">
        <v>9732732409</v>
      </c>
      <c r="V197" s="30" t="s">
        <v>593</v>
      </c>
      <c r="W197" s="129" t="s">
        <v>36</v>
      </c>
      <c r="X197" s="30"/>
      <c r="Y197" s="30"/>
      <c r="Z197" s="30"/>
      <c r="AA197" s="129" t="s">
        <v>3392</v>
      </c>
    </row>
    <row r="198" spans="1:27" s="29" customFormat="1" ht="34.5" customHeight="1">
      <c r="A198" s="30" t="s">
        <v>142</v>
      </c>
      <c r="B198" s="30" t="s">
        <v>72</v>
      </c>
      <c r="C198" s="30" t="s">
        <v>600</v>
      </c>
      <c r="D198" s="30" t="s">
        <v>526</v>
      </c>
      <c r="E198" s="30" t="s">
        <v>527</v>
      </c>
      <c r="F198" s="30" t="s">
        <v>601</v>
      </c>
      <c r="G198" s="30" t="s">
        <v>197</v>
      </c>
      <c r="H198" s="30">
        <v>531190</v>
      </c>
      <c r="I198" s="159"/>
      <c r="J198" s="30" t="s">
        <v>129</v>
      </c>
      <c r="K198" s="30" t="s">
        <v>602</v>
      </c>
      <c r="L198" s="30" t="s">
        <v>529</v>
      </c>
      <c r="M198" s="39">
        <v>2512798.2000000002</v>
      </c>
      <c r="N198" s="39">
        <v>3000000</v>
      </c>
      <c r="O198" s="30" t="s">
        <v>387</v>
      </c>
      <c r="P198" s="30" t="s">
        <v>603</v>
      </c>
      <c r="Q198" s="30" t="s">
        <v>294</v>
      </c>
      <c r="R198" s="30" t="s">
        <v>594</v>
      </c>
      <c r="S198" s="41">
        <v>2014</v>
      </c>
      <c r="T198" s="31" t="s">
        <v>604</v>
      </c>
      <c r="U198" s="31" t="s">
        <v>605</v>
      </c>
      <c r="V198" s="30" t="s">
        <v>606</v>
      </c>
      <c r="W198" s="129" t="s">
        <v>36</v>
      </c>
      <c r="X198" s="30" t="s">
        <v>150</v>
      </c>
      <c r="Y198" s="30" t="s">
        <v>295</v>
      </c>
      <c r="Z198" s="44">
        <v>41834</v>
      </c>
      <c r="AA198" s="30"/>
    </row>
    <row r="199" spans="1:27" s="29" customFormat="1" ht="34.5" customHeight="1">
      <c r="A199" s="30" t="s">
        <v>142</v>
      </c>
      <c r="B199" s="30" t="s">
        <v>72</v>
      </c>
      <c r="C199" s="30" t="s">
        <v>607</v>
      </c>
      <c r="D199" s="30" t="s">
        <v>526</v>
      </c>
      <c r="E199" s="30" t="s">
        <v>527</v>
      </c>
      <c r="F199" s="30" t="s">
        <v>608</v>
      </c>
      <c r="G199" s="30" t="s">
        <v>197</v>
      </c>
      <c r="H199" s="30">
        <v>531190</v>
      </c>
      <c r="I199" s="30"/>
      <c r="J199" s="30" t="s">
        <v>129</v>
      </c>
      <c r="K199" s="30" t="s">
        <v>44</v>
      </c>
      <c r="L199" s="30" t="s">
        <v>529</v>
      </c>
      <c r="M199" s="39">
        <v>5600000</v>
      </c>
      <c r="N199" s="39"/>
      <c r="O199" s="30" t="s">
        <v>387</v>
      </c>
      <c r="P199" s="30" t="s">
        <v>609</v>
      </c>
      <c r="Q199" s="30" t="s">
        <v>294</v>
      </c>
      <c r="R199" s="30"/>
      <c r="S199" s="41">
        <v>2014</v>
      </c>
      <c r="T199" s="31" t="s">
        <v>610</v>
      </c>
      <c r="U199" s="31" t="s">
        <v>611</v>
      </c>
      <c r="V199" s="30" t="s">
        <v>612</v>
      </c>
      <c r="W199" s="30" t="s">
        <v>36</v>
      </c>
      <c r="X199" s="30" t="s">
        <v>613</v>
      </c>
      <c r="Y199" s="30" t="s">
        <v>306</v>
      </c>
      <c r="Z199" s="30"/>
      <c r="AA199" s="30" t="s">
        <v>614</v>
      </c>
    </row>
    <row r="200" spans="1:27" s="29" customFormat="1" ht="34.5" customHeight="1">
      <c r="A200" s="30" t="s">
        <v>142</v>
      </c>
      <c r="B200" s="30" t="s">
        <v>72</v>
      </c>
      <c r="C200" s="30" t="s">
        <v>607</v>
      </c>
      <c r="D200" s="30" t="s">
        <v>526</v>
      </c>
      <c r="E200" s="30" t="s">
        <v>527</v>
      </c>
      <c r="F200" s="30" t="s">
        <v>608</v>
      </c>
      <c r="G200" s="30" t="s">
        <v>197</v>
      </c>
      <c r="H200" s="30">
        <v>531190</v>
      </c>
      <c r="I200" s="30"/>
      <c r="J200" s="30" t="s">
        <v>129</v>
      </c>
      <c r="K200" s="30" t="s">
        <v>44</v>
      </c>
      <c r="L200" s="30" t="s">
        <v>529</v>
      </c>
      <c r="M200" s="39">
        <v>5600000</v>
      </c>
      <c r="N200" s="39"/>
      <c r="O200" s="30" t="s">
        <v>387</v>
      </c>
      <c r="P200" s="30" t="s">
        <v>615</v>
      </c>
      <c r="Q200" s="30" t="s">
        <v>294</v>
      </c>
      <c r="R200" s="30"/>
      <c r="S200" s="41">
        <v>2014</v>
      </c>
      <c r="T200" s="31" t="s">
        <v>610</v>
      </c>
      <c r="U200" s="31" t="s">
        <v>611</v>
      </c>
      <c r="V200" s="30" t="s">
        <v>612</v>
      </c>
      <c r="W200" s="30" t="s">
        <v>36</v>
      </c>
      <c r="X200" s="30" t="s">
        <v>613</v>
      </c>
      <c r="Y200" s="30" t="s">
        <v>307</v>
      </c>
      <c r="Z200" s="30"/>
      <c r="AA200" s="30" t="s">
        <v>616</v>
      </c>
    </row>
    <row r="201" spans="1:27" s="29" customFormat="1" ht="34.5" customHeight="1">
      <c r="A201" s="30" t="s">
        <v>142</v>
      </c>
      <c r="B201" s="30" t="s">
        <v>72</v>
      </c>
      <c r="C201" s="30" t="s">
        <v>525</v>
      </c>
      <c r="D201" s="30" t="s">
        <v>617</v>
      </c>
      <c r="E201" s="30"/>
      <c r="F201" s="129" t="s">
        <v>608</v>
      </c>
      <c r="G201" s="30" t="s">
        <v>197</v>
      </c>
      <c r="H201" s="30"/>
      <c r="I201" s="129" t="s">
        <v>98</v>
      </c>
      <c r="J201" s="30" t="s">
        <v>129</v>
      </c>
      <c r="K201" s="30" t="s">
        <v>34</v>
      </c>
      <c r="L201" s="30"/>
      <c r="M201" s="39">
        <v>100000</v>
      </c>
      <c r="N201" s="39">
        <v>100000</v>
      </c>
      <c r="O201" s="30"/>
      <c r="P201" s="30"/>
      <c r="Q201" s="129" t="s">
        <v>294</v>
      </c>
      <c r="R201" s="129" t="s">
        <v>345</v>
      </c>
      <c r="S201" s="41">
        <v>2014</v>
      </c>
      <c r="T201" s="31" t="s">
        <v>618</v>
      </c>
      <c r="U201" s="31" t="s">
        <v>619</v>
      </c>
      <c r="V201" s="30" t="s">
        <v>620</v>
      </c>
      <c r="W201" s="129" t="s">
        <v>36</v>
      </c>
      <c r="X201" s="30" t="s">
        <v>345</v>
      </c>
      <c r="Y201" s="30" t="s">
        <v>345</v>
      </c>
      <c r="Z201" s="30" t="s">
        <v>345</v>
      </c>
      <c r="AA201" s="30"/>
    </row>
    <row r="202" spans="1:27" s="29" customFormat="1" ht="34.5" customHeight="1">
      <c r="A202" s="30" t="s">
        <v>142</v>
      </c>
      <c r="B202" s="30" t="s">
        <v>72</v>
      </c>
      <c r="C202" s="30" t="s">
        <v>525</v>
      </c>
      <c r="D202" s="30" t="s">
        <v>621</v>
      </c>
      <c r="E202" s="30"/>
      <c r="F202" s="129" t="s">
        <v>608</v>
      </c>
      <c r="G202" s="30" t="s">
        <v>197</v>
      </c>
      <c r="H202" s="30"/>
      <c r="I202" s="129" t="s">
        <v>98</v>
      </c>
      <c r="J202" s="30" t="s">
        <v>129</v>
      </c>
      <c r="K202" s="30" t="s">
        <v>34</v>
      </c>
      <c r="L202" s="30"/>
      <c r="M202" s="39">
        <v>1700000</v>
      </c>
      <c r="N202" s="39">
        <v>1700000</v>
      </c>
      <c r="O202" s="30"/>
      <c r="P202" s="30"/>
      <c r="Q202" s="129" t="s">
        <v>294</v>
      </c>
      <c r="R202" s="30" t="s">
        <v>345</v>
      </c>
      <c r="S202" s="41">
        <v>2014</v>
      </c>
      <c r="T202" s="31" t="s">
        <v>618</v>
      </c>
      <c r="U202" s="31" t="s">
        <v>619</v>
      </c>
      <c r="V202" s="30" t="s">
        <v>620</v>
      </c>
      <c r="W202" s="129" t="s">
        <v>36</v>
      </c>
      <c r="X202" s="30" t="s">
        <v>345</v>
      </c>
      <c r="Y202" s="30" t="s">
        <v>345</v>
      </c>
      <c r="Z202" s="30" t="s">
        <v>345</v>
      </c>
      <c r="AA202" s="30"/>
    </row>
    <row r="203" spans="1:27" s="29" customFormat="1" ht="34.5" customHeight="1">
      <c r="A203" s="30" t="s">
        <v>142</v>
      </c>
      <c r="B203" s="30" t="s">
        <v>72</v>
      </c>
      <c r="C203" s="30" t="s">
        <v>525</v>
      </c>
      <c r="D203" s="30" t="s">
        <v>622</v>
      </c>
      <c r="E203" s="30"/>
      <c r="F203" s="129" t="s">
        <v>608</v>
      </c>
      <c r="G203" s="30" t="s">
        <v>197</v>
      </c>
      <c r="H203" s="30"/>
      <c r="I203" s="129" t="s">
        <v>98</v>
      </c>
      <c r="J203" s="30" t="s">
        <v>129</v>
      </c>
      <c r="K203" s="30" t="s">
        <v>623</v>
      </c>
      <c r="L203" s="30"/>
      <c r="M203" s="39">
        <v>700000</v>
      </c>
      <c r="N203" s="39">
        <v>700000</v>
      </c>
      <c r="O203" s="30"/>
      <c r="P203" s="30"/>
      <c r="Q203" s="129" t="s">
        <v>294</v>
      </c>
      <c r="R203" s="30" t="s">
        <v>345</v>
      </c>
      <c r="S203" s="41">
        <v>2014</v>
      </c>
      <c r="T203" s="31" t="s">
        <v>618</v>
      </c>
      <c r="U203" s="31" t="s">
        <v>619</v>
      </c>
      <c r="V203" s="30" t="s">
        <v>620</v>
      </c>
      <c r="W203" s="129" t="s">
        <v>36</v>
      </c>
      <c r="X203" s="30" t="s">
        <v>345</v>
      </c>
      <c r="Y203" s="30" t="s">
        <v>345</v>
      </c>
      <c r="Z203" s="30" t="s">
        <v>345</v>
      </c>
      <c r="AA203" s="30"/>
    </row>
    <row r="204" spans="1:27" s="29" customFormat="1" ht="34.5" customHeight="1">
      <c r="A204" s="30" t="s">
        <v>142</v>
      </c>
      <c r="B204" s="30" t="s">
        <v>72</v>
      </c>
      <c r="C204" s="30" t="s">
        <v>525</v>
      </c>
      <c r="D204" s="30" t="s">
        <v>624</v>
      </c>
      <c r="E204" s="30"/>
      <c r="F204" s="129" t="s">
        <v>608</v>
      </c>
      <c r="G204" s="30" t="s">
        <v>197</v>
      </c>
      <c r="H204" s="30"/>
      <c r="I204" s="129" t="s">
        <v>98</v>
      </c>
      <c r="J204" s="30" t="s">
        <v>129</v>
      </c>
      <c r="K204" s="30" t="s">
        <v>623</v>
      </c>
      <c r="L204" s="30"/>
      <c r="M204" s="39">
        <v>1237000</v>
      </c>
      <c r="N204" s="39">
        <v>1237000</v>
      </c>
      <c r="O204" s="30"/>
      <c r="P204" s="30"/>
      <c r="Q204" s="129" t="s">
        <v>294</v>
      </c>
      <c r="R204" s="30" t="s">
        <v>345</v>
      </c>
      <c r="S204" s="41">
        <v>2014</v>
      </c>
      <c r="T204" s="31" t="s">
        <v>618</v>
      </c>
      <c r="U204" s="31" t="s">
        <v>619</v>
      </c>
      <c r="V204" s="30" t="s">
        <v>620</v>
      </c>
      <c r="W204" s="129" t="s">
        <v>36</v>
      </c>
      <c r="X204" s="30" t="s">
        <v>345</v>
      </c>
      <c r="Y204" s="30" t="s">
        <v>345</v>
      </c>
      <c r="Z204" s="30" t="s">
        <v>345</v>
      </c>
      <c r="AA204" s="30"/>
    </row>
    <row r="205" spans="1:27" s="29" customFormat="1" ht="34.5" customHeight="1">
      <c r="A205" s="30" t="s">
        <v>142</v>
      </c>
      <c r="B205" s="30" t="s">
        <v>72</v>
      </c>
      <c r="C205" s="30" t="s">
        <v>525</v>
      </c>
      <c r="D205" s="30" t="s">
        <v>625</v>
      </c>
      <c r="E205" s="30"/>
      <c r="F205" s="129" t="s">
        <v>608</v>
      </c>
      <c r="G205" s="30" t="s">
        <v>197</v>
      </c>
      <c r="H205" s="30"/>
      <c r="I205" s="129" t="s">
        <v>98</v>
      </c>
      <c r="J205" s="30" t="s">
        <v>129</v>
      </c>
      <c r="K205" s="30" t="s">
        <v>34</v>
      </c>
      <c r="L205" s="30"/>
      <c r="M205" s="39">
        <v>51000</v>
      </c>
      <c r="N205" s="39">
        <v>51000</v>
      </c>
      <c r="O205" s="30"/>
      <c r="P205" s="30"/>
      <c r="Q205" s="129" t="s">
        <v>294</v>
      </c>
      <c r="R205" s="30" t="s">
        <v>345</v>
      </c>
      <c r="S205" s="41">
        <v>2014</v>
      </c>
      <c r="T205" s="31" t="s">
        <v>618</v>
      </c>
      <c r="U205" s="31" t="s">
        <v>619</v>
      </c>
      <c r="V205" s="30" t="s">
        <v>620</v>
      </c>
      <c r="W205" s="129" t="s">
        <v>36</v>
      </c>
      <c r="X205" s="30" t="s">
        <v>345</v>
      </c>
      <c r="Y205" s="30" t="s">
        <v>345</v>
      </c>
      <c r="Z205" s="30" t="s">
        <v>345</v>
      </c>
      <c r="AA205" s="30"/>
    </row>
    <row r="206" spans="1:27" s="29" customFormat="1" ht="34.5" customHeight="1">
      <c r="A206" s="30" t="s">
        <v>142</v>
      </c>
      <c r="B206" s="30" t="s">
        <v>72</v>
      </c>
      <c r="C206" s="30" t="s">
        <v>525</v>
      </c>
      <c r="D206" s="30" t="s">
        <v>626</v>
      </c>
      <c r="E206" s="30"/>
      <c r="F206" s="129" t="s">
        <v>608</v>
      </c>
      <c r="G206" s="30" t="s">
        <v>197</v>
      </c>
      <c r="H206" s="30"/>
      <c r="I206" s="129" t="s">
        <v>98</v>
      </c>
      <c r="J206" s="30" t="s">
        <v>129</v>
      </c>
      <c r="K206" s="30" t="s">
        <v>34</v>
      </c>
      <c r="L206" s="30"/>
      <c r="M206" s="39">
        <v>150000</v>
      </c>
      <c r="N206" s="39">
        <v>150000</v>
      </c>
      <c r="O206" s="30"/>
      <c r="P206" s="30"/>
      <c r="Q206" s="129" t="s">
        <v>294</v>
      </c>
      <c r="R206" s="30" t="s">
        <v>345</v>
      </c>
      <c r="S206" s="41">
        <v>2014</v>
      </c>
      <c r="T206" s="31" t="s">
        <v>618</v>
      </c>
      <c r="U206" s="31" t="s">
        <v>619</v>
      </c>
      <c r="V206" s="30" t="s">
        <v>620</v>
      </c>
      <c r="W206" s="129" t="s">
        <v>36</v>
      </c>
      <c r="X206" s="30" t="s">
        <v>345</v>
      </c>
      <c r="Y206" s="30" t="s">
        <v>345</v>
      </c>
      <c r="Z206" s="30" t="s">
        <v>345</v>
      </c>
      <c r="AA206" s="30"/>
    </row>
    <row r="207" spans="1:27" s="29" customFormat="1" ht="34.5" customHeight="1">
      <c r="A207" s="30" t="s">
        <v>142</v>
      </c>
      <c r="B207" s="30" t="s">
        <v>72</v>
      </c>
      <c r="C207" s="30" t="s">
        <v>525</v>
      </c>
      <c r="D207" s="30" t="s">
        <v>627</v>
      </c>
      <c r="E207" s="30"/>
      <c r="F207" s="129" t="s">
        <v>608</v>
      </c>
      <c r="G207" s="30" t="s">
        <v>197</v>
      </c>
      <c r="H207" s="30"/>
      <c r="I207" s="129" t="s">
        <v>98</v>
      </c>
      <c r="J207" s="30" t="s">
        <v>129</v>
      </c>
      <c r="K207" s="30" t="s">
        <v>34</v>
      </c>
      <c r="L207" s="30"/>
      <c r="M207" s="39">
        <v>250000</v>
      </c>
      <c r="N207" s="39">
        <v>250000</v>
      </c>
      <c r="O207" s="30"/>
      <c r="P207" s="30"/>
      <c r="Q207" s="129" t="s">
        <v>294</v>
      </c>
      <c r="R207" s="30" t="s">
        <v>345</v>
      </c>
      <c r="S207" s="41">
        <v>2014</v>
      </c>
      <c r="T207" s="31" t="s">
        <v>618</v>
      </c>
      <c r="U207" s="31" t="s">
        <v>619</v>
      </c>
      <c r="V207" s="30" t="s">
        <v>620</v>
      </c>
      <c r="W207" s="129" t="s">
        <v>36</v>
      </c>
      <c r="X207" s="30" t="s">
        <v>345</v>
      </c>
      <c r="Y207" s="30" t="s">
        <v>345</v>
      </c>
      <c r="Z207" s="30" t="s">
        <v>345</v>
      </c>
      <c r="AA207" s="30"/>
    </row>
    <row r="208" spans="1:27" s="29" customFormat="1" ht="34.5" customHeight="1">
      <c r="A208" s="30" t="s">
        <v>142</v>
      </c>
      <c r="B208" s="30" t="s">
        <v>72</v>
      </c>
      <c r="C208" s="30" t="s">
        <v>525</v>
      </c>
      <c r="D208" s="30" t="s">
        <v>628</v>
      </c>
      <c r="E208" s="30"/>
      <c r="F208" s="129" t="s">
        <v>608</v>
      </c>
      <c r="G208" s="30" t="s">
        <v>197</v>
      </c>
      <c r="H208" s="30"/>
      <c r="I208" s="129" t="s">
        <v>98</v>
      </c>
      <c r="J208" s="30" t="s">
        <v>129</v>
      </c>
      <c r="K208" s="30" t="s">
        <v>34</v>
      </c>
      <c r="L208" s="30"/>
      <c r="M208" s="39">
        <v>13000</v>
      </c>
      <c r="N208" s="39">
        <v>13000</v>
      </c>
      <c r="O208" s="30"/>
      <c r="P208" s="30"/>
      <c r="Q208" s="129" t="s">
        <v>294</v>
      </c>
      <c r="R208" s="30" t="s">
        <v>345</v>
      </c>
      <c r="S208" s="41">
        <v>2014</v>
      </c>
      <c r="T208" s="31" t="s">
        <v>618</v>
      </c>
      <c r="U208" s="31" t="s">
        <v>619</v>
      </c>
      <c r="V208" s="30" t="s">
        <v>620</v>
      </c>
      <c r="W208" s="129" t="s">
        <v>36</v>
      </c>
      <c r="X208" s="30" t="s">
        <v>345</v>
      </c>
      <c r="Y208" s="30" t="s">
        <v>345</v>
      </c>
      <c r="Z208" s="30" t="s">
        <v>345</v>
      </c>
      <c r="AA208" s="30"/>
    </row>
    <row r="209" spans="1:272" ht="34.5" customHeight="1">
      <c r="A209" s="30" t="s">
        <v>142</v>
      </c>
      <c r="B209" s="30" t="s">
        <v>72</v>
      </c>
      <c r="C209" s="30" t="s">
        <v>525</v>
      </c>
      <c r="D209" s="30" t="s">
        <v>629</v>
      </c>
      <c r="E209" s="30"/>
      <c r="F209" s="129" t="s">
        <v>608</v>
      </c>
      <c r="G209" s="30" t="s">
        <v>197</v>
      </c>
      <c r="H209" s="30"/>
      <c r="I209" s="129" t="s">
        <v>98</v>
      </c>
      <c r="J209" s="30" t="s">
        <v>129</v>
      </c>
      <c r="K209" s="30" t="s">
        <v>34</v>
      </c>
      <c r="L209" s="30"/>
      <c r="M209" s="39">
        <v>250000</v>
      </c>
      <c r="N209" s="39">
        <v>250000</v>
      </c>
      <c r="O209" s="30"/>
      <c r="P209" s="30"/>
      <c r="Q209" s="129" t="s">
        <v>294</v>
      </c>
      <c r="R209" s="30" t="s">
        <v>345</v>
      </c>
      <c r="S209" s="41">
        <v>2014</v>
      </c>
      <c r="T209" s="31" t="s">
        <v>618</v>
      </c>
      <c r="U209" s="31" t="s">
        <v>619</v>
      </c>
      <c r="V209" s="30" t="s">
        <v>620</v>
      </c>
      <c r="W209" s="129" t="s">
        <v>36</v>
      </c>
      <c r="X209" s="30" t="s">
        <v>345</v>
      </c>
      <c r="Y209" s="30" t="s">
        <v>345</v>
      </c>
      <c r="Z209" s="30" t="s">
        <v>345</v>
      </c>
      <c r="AA209" s="30"/>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c r="BO209" s="29"/>
      <c r="BP209" s="29"/>
      <c r="BQ209" s="29"/>
      <c r="BR209" s="29"/>
      <c r="BS209" s="29"/>
      <c r="BT209" s="29"/>
      <c r="BU209" s="29"/>
      <c r="BV209" s="29"/>
      <c r="BW209" s="29"/>
      <c r="BX209" s="29"/>
      <c r="BY209" s="29"/>
      <c r="BZ209" s="29"/>
      <c r="CA209" s="29"/>
      <c r="CB209" s="29"/>
      <c r="CC209" s="29"/>
      <c r="CD209" s="29"/>
      <c r="CE209" s="29"/>
      <c r="CF209" s="29"/>
      <c r="CG209" s="29"/>
      <c r="CH209" s="29"/>
      <c r="CI209" s="29"/>
      <c r="CJ209" s="29"/>
      <c r="CK209" s="29"/>
      <c r="CL209" s="29"/>
      <c r="CM209" s="29"/>
      <c r="CN209" s="29"/>
      <c r="CO209" s="29"/>
      <c r="CP209" s="29"/>
      <c r="CQ209" s="29"/>
      <c r="CR209" s="29"/>
      <c r="CS209" s="29"/>
      <c r="CT209" s="29"/>
      <c r="CU209" s="29"/>
      <c r="CV209" s="29"/>
      <c r="CW209" s="29"/>
      <c r="CX209" s="29"/>
      <c r="CY209" s="29"/>
      <c r="CZ209" s="29"/>
      <c r="DA209" s="29"/>
      <c r="DB209" s="29"/>
      <c r="DC209" s="29"/>
      <c r="DD209" s="29"/>
      <c r="DE209" s="29"/>
      <c r="DF209" s="29"/>
      <c r="DG209" s="29"/>
      <c r="DH209" s="29"/>
      <c r="DI209" s="29"/>
      <c r="DJ209" s="29"/>
      <c r="DK209" s="29"/>
      <c r="DL209" s="29"/>
      <c r="DM209" s="29"/>
      <c r="DN209" s="29"/>
      <c r="DO209" s="29"/>
      <c r="DP209" s="29"/>
      <c r="DQ209" s="29"/>
      <c r="DR209" s="29"/>
      <c r="DS209" s="29"/>
      <c r="DT209" s="29"/>
      <c r="DU209" s="29"/>
      <c r="DV209" s="29"/>
      <c r="DW209" s="29"/>
      <c r="DX209" s="29"/>
      <c r="DY209" s="29"/>
      <c r="DZ209" s="29"/>
      <c r="EA209" s="29"/>
      <c r="EB209" s="29"/>
      <c r="EC209" s="29"/>
      <c r="ED209" s="29"/>
      <c r="EE209" s="29"/>
      <c r="EF209" s="29"/>
      <c r="EG209" s="29"/>
      <c r="EH209" s="29"/>
      <c r="EI209" s="29"/>
      <c r="EJ209" s="29"/>
      <c r="EK209" s="29"/>
      <c r="EL209" s="29"/>
      <c r="EM209" s="29"/>
      <c r="EN209" s="29"/>
      <c r="EO209" s="29"/>
      <c r="EP209" s="29"/>
      <c r="EQ209" s="29"/>
      <c r="ER209" s="29"/>
      <c r="ES209" s="29"/>
      <c r="ET209" s="29"/>
      <c r="EU209" s="29"/>
      <c r="EV209" s="29"/>
      <c r="EW209" s="29"/>
      <c r="EX209" s="29"/>
      <c r="EY209" s="29"/>
      <c r="EZ209" s="29"/>
      <c r="FA209" s="29"/>
      <c r="FB209" s="29"/>
      <c r="FC209" s="29"/>
      <c r="FD209" s="29"/>
      <c r="FE209" s="29"/>
      <c r="FF209" s="29"/>
      <c r="FG209" s="29"/>
      <c r="FH209" s="29"/>
      <c r="FI209" s="29"/>
      <c r="FJ209" s="29"/>
      <c r="FK209" s="29"/>
      <c r="FL209" s="29"/>
      <c r="FM209" s="29"/>
      <c r="FN209" s="29"/>
      <c r="FO209" s="29"/>
      <c r="FP209" s="29"/>
      <c r="FQ209" s="29"/>
      <c r="FR209" s="29"/>
      <c r="FS209" s="29"/>
      <c r="FT209" s="29"/>
      <c r="FU209" s="29"/>
      <c r="FV209" s="29"/>
      <c r="FW209" s="29"/>
      <c r="FX209" s="29"/>
      <c r="FY209" s="29"/>
      <c r="FZ209" s="29"/>
      <c r="GA209" s="29"/>
      <c r="GB209" s="29"/>
      <c r="GC209" s="29"/>
      <c r="GD209" s="29"/>
      <c r="GE209" s="29"/>
      <c r="GF209" s="29"/>
      <c r="GG209" s="29"/>
      <c r="GH209" s="29"/>
      <c r="GI209" s="29"/>
      <c r="GJ209" s="29"/>
      <c r="GK209" s="29"/>
      <c r="GL209" s="29"/>
      <c r="GM209" s="29"/>
      <c r="GN209" s="29"/>
      <c r="GO209" s="29"/>
      <c r="GP209" s="29"/>
      <c r="GQ209" s="29"/>
      <c r="GR209" s="29"/>
      <c r="GS209" s="29"/>
      <c r="GT209" s="29"/>
      <c r="GU209" s="29"/>
      <c r="GV209" s="29"/>
      <c r="GW209" s="29"/>
      <c r="GX209" s="29"/>
      <c r="GY209" s="29"/>
      <c r="GZ209" s="29"/>
      <c r="HA209" s="29"/>
      <c r="HB209" s="29"/>
      <c r="HC209" s="29"/>
      <c r="HD209" s="29"/>
      <c r="HE209" s="29"/>
      <c r="HF209" s="29"/>
      <c r="HG209" s="29"/>
      <c r="HH209" s="29"/>
      <c r="HI209" s="29"/>
      <c r="HJ209" s="29"/>
      <c r="HK209" s="29"/>
      <c r="HL209" s="29"/>
      <c r="HM209" s="29"/>
      <c r="HN209" s="29"/>
      <c r="HO209" s="29"/>
      <c r="HP209" s="29"/>
      <c r="HQ209" s="29"/>
      <c r="HR209" s="29"/>
      <c r="HS209" s="29"/>
      <c r="HT209" s="29"/>
      <c r="HU209" s="29"/>
      <c r="HV209" s="29"/>
      <c r="HW209" s="29"/>
      <c r="HX209" s="29"/>
      <c r="HY209" s="29"/>
      <c r="HZ209" s="29"/>
      <c r="IA209" s="29"/>
      <c r="IB209" s="29"/>
      <c r="IC209" s="29"/>
      <c r="ID209" s="29"/>
      <c r="IE209" s="29"/>
      <c r="IF209" s="29"/>
      <c r="IG209" s="29"/>
      <c r="IH209" s="29"/>
      <c r="II209" s="29"/>
      <c r="IJ209" s="29"/>
      <c r="IK209" s="29"/>
      <c r="IL209" s="29"/>
      <c r="IM209" s="29"/>
      <c r="IN209" s="29"/>
      <c r="IO209" s="29"/>
      <c r="IP209" s="29"/>
      <c r="IQ209" s="29"/>
      <c r="IR209" s="29"/>
      <c r="IS209" s="29"/>
      <c r="IT209" s="29"/>
      <c r="IU209" s="29"/>
      <c r="IV209" s="29"/>
      <c r="IW209" s="29"/>
      <c r="IX209" s="29"/>
      <c r="IY209" s="29"/>
      <c r="IZ209" s="29"/>
      <c r="JA209" s="29"/>
      <c r="JB209" s="29"/>
      <c r="JC209" s="29"/>
      <c r="JD209" s="29"/>
      <c r="JE209" s="29"/>
      <c r="JF209" s="29"/>
      <c r="JG209" s="29"/>
      <c r="JH209" s="29"/>
      <c r="JI209" s="29"/>
      <c r="JJ209" s="29"/>
      <c r="JK209" s="29"/>
      <c r="JL209" s="29"/>
    </row>
    <row r="210" spans="1:272" ht="34.5" customHeight="1">
      <c r="A210" s="30" t="s">
        <v>142</v>
      </c>
      <c r="B210" s="30" t="s">
        <v>72</v>
      </c>
      <c r="C210" s="30" t="s">
        <v>525</v>
      </c>
      <c r="D210" s="30" t="s">
        <v>630</v>
      </c>
      <c r="E210" s="30"/>
      <c r="F210" s="129" t="s">
        <v>608</v>
      </c>
      <c r="G210" s="30" t="s">
        <v>197</v>
      </c>
      <c r="H210" s="30"/>
      <c r="I210" s="30" t="s">
        <v>345</v>
      </c>
      <c r="J210" s="30" t="s">
        <v>129</v>
      </c>
      <c r="K210" s="30" t="s">
        <v>91</v>
      </c>
      <c r="L210" s="30"/>
      <c r="M210" s="39">
        <v>250000</v>
      </c>
      <c r="N210" s="39">
        <v>250000</v>
      </c>
      <c r="O210" s="30"/>
      <c r="P210" s="30"/>
      <c r="Q210" s="129" t="s">
        <v>294</v>
      </c>
      <c r="R210" s="30" t="s">
        <v>345</v>
      </c>
      <c r="S210" s="41">
        <v>2014</v>
      </c>
      <c r="T210" s="31" t="s">
        <v>618</v>
      </c>
      <c r="U210" s="31" t="s">
        <v>619</v>
      </c>
      <c r="V210" s="30" t="s">
        <v>620</v>
      </c>
      <c r="W210" s="129" t="s">
        <v>36</v>
      </c>
      <c r="X210" s="30" t="s">
        <v>345</v>
      </c>
      <c r="Y210" s="30" t="s">
        <v>345</v>
      </c>
      <c r="Z210" s="30" t="s">
        <v>345</v>
      </c>
      <c r="AA210" s="30"/>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c r="BI210" s="29"/>
      <c r="BJ210" s="29"/>
      <c r="BK210" s="29"/>
      <c r="BL210" s="29"/>
      <c r="BM210" s="29"/>
      <c r="BN210" s="29"/>
      <c r="BO210" s="29"/>
      <c r="BP210" s="29"/>
      <c r="BQ210" s="29"/>
      <c r="BR210" s="29"/>
      <c r="BS210" s="29"/>
      <c r="BT210" s="29"/>
      <c r="BU210" s="29"/>
      <c r="BV210" s="29"/>
      <c r="BW210" s="29"/>
      <c r="BX210" s="29"/>
      <c r="BY210" s="29"/>
      <c r="BZ210" s="29"/>
      <c r="CA210" s="29"/>
      <c r="CB210" s="29"/>
      <c r="CC210" s="29"/>
      <c r="CD210" s="29"/>
      <c r="CE210" s="29"/>
      <c r="CF210" s="29"/>
      <c r="CG210" s="29"/>
      <c r="CH210" s="29"/>
      <c r="CI210" s="29"/>
      <c r="CJ210" s="29"/>
      <c r="CK210" s="29"/>
      <c r="CL210" s="29"/>
      <c r="CM210" s="29"/>
      <c r="CN210" s="29"/>
      <c r="CO210" s="29"/>
      <c r="CP210" s="29"/>
      <c r="CQ210" s="29"/>
      <c r="CR210" s="29"/>
      <c r="CS210" s="29"/>
      <c r="CT210" s="29"/>
      <c r="CU210" s="29"/>
      <c r="CV210" s="29"/>
      <c r="CW210" s="29"/>
      <c r="CX210" s="29"/>
      <c r="CY210" s="29"/>
      <c r="CZ210" s="29"/>
      <c r="DA210" s="29"/>
      <c r="DB210" s="29"/>
      <c r="DC210" s="29"/>
      <c r="DD210" s="29"/>
      <c r="DE210" s="29"/>
      <c r="DF210" s="29"/>
      <c r="DG210" s="29"/>
      <c r="DH210" s="29"/>
      <c r="DI210" s="29"/>
      <c r="DJ210" s="29"/>
      <c r="DK210" s="29"/>
      <c r="DL210" s="29"/>
      <c r="DM210" s="29"/>
      <c r="DN210" s="29"/>
      <c r="DO210" s="29"/>
      <c r="DP210" s="29"/>
      <c r="DQ210" s="29"/>
      <c r="DR210" s="29"/>
      <c r="DS210" s="29"/>
      <c r="DT210" s="29"/>
      <c r="DU210" s="29"/>
      <c r="DV210" s="29"/>
      <c r="DW210" s="29"/>
      <c r="DX210" s="29"/>
      <c r="DY210" s="29"/>
      <c r="DZ210" s="29"/>
      <c r="EA210" s="29"/>
      <c r="EB210" s="29"/>
      <c r="EC210" s="29"/>
      <c r="ED210" s="29"/>
      <c r="EE210" s="29"/>
      <c r="EF210" s="29"/>
      <c r="EG210" s="29"/>
      <c r="EH210" s="29"/>
      <c r="EI210" s="29"/>
      <c r="EJ210" s="29"/>
      <c r="EK210" s="29"/>
      <c r="EL210" s="29"/>
      <c r="EM210" s="29"/>
      <c r="EN210" s="29"/>
      <c r="EO210" s="29"/>
      <c r="EP210" s="29"/>
      <c r="EQ210" s="29"/>
      <c r="ER210" s="29"/>
      <c r="ES210" s="29"/>
      <c r="ET210" s="29"/>
      <c r="EU210" s="29"/>
      <c r="EV210" s="29"/>
      <c r="EW210" s="29"/>
      <c r="EX210" s="29"/>
      <c r="EY210" s="29"/>
      <c r="EZ210" s="29"/>
      <c r="FA210" s="29"/>
      <c r="FB210" s="29"/>
      <c r="FC210" s="29"/>
      <c r="FD210" s="29"/>
      <c r="FE210" s="29"/>
      <c r="FF210" s="29"/>
      <c r="FG210" s="29"/>
      <c r="FH210" s="29"/>
      <c r="FI210" s="29"/>
      <c r="FJ210" s="29"/>
      <c r="FK210" s="29"/>
      <c r="FL210" s="29"/>
      <c r="FM210" s="29"/>
      <c r="FN210" s="29"/>
      <c r="FO210" s="29"/>
      <c r="FP210" s="29"/>
      <c r="FQ210" s="29"/>
      <c r="FR210" s="29"/>
      <c r="FS210" s="29"/>
      <c r="FT210" s="29"/>
      <c r="FU210" s="29"/>
      <c r="FV210" s="29"/>
      <c r="FW210" s="29"/>
      <c r="FX210" s="29"/>
      <c r="FY210" s="29"/>
      <c r="FZ210" s="29"/>
      <c r="GA210" s="29"/>
      <c r="GB210" s="29"/>
      <c r="GC210" s="29"/>
      <c r="GD210" s="29"/>
      <c r="GE210" s="29"/>
      <c r="GF210" s="29"/>
      <c r="GG210" s="29"/>
      <c r="GH210" s="29"/>
      <c r="GI210" s="29"/>
      <c r="GJ210" s="29"/>
      <c r="GK210" s="29"/>
      <c r="GL210" s="29"/>
      <c r="GM210" s="29"/>
      <c r="GN210" s="29"/>
      <c r="GO210" s="29"/>
      <c r="GP210" s="29"/>
      <c r="GQ210" s="29"/>
      <c r="GR210" s="29"/>
      <c r="GS210" s="29"/>
      <c r="GT210" s="29"/>
      <c r="GU210" s="29"/>
      <c r="GV210" s="29"/>
      <c r="GW210" s="29"/>
      <c r="GX210" s="29"/>
      <c r="GY210" s="29"/>
      <c r="GZ210" s="29"/>
      <c r="HA210" s="29"/>
      <c r="HB210" s="29"/>
      <c r="HC210" s="29"/>
      <c r="HD210" s="29"/>
      <c r="HE210" s="29"/>
      <c r="HF210" s="29"/>
      <c r="HG210" s="29"/>
      <c r="HH210" s="29"/>
      <c r="HI210" s="29"/>
      <c r="HJ210" s="29"/>
      <c r="HK210" s="29"/>
      <c r="HL210" s="29"/>
      <c r="HM210" s="29"/>
      <c r="HN210" s="29"/>
      <c r="HO210" s="29"/>
      <c r="HP210" s="29"/>
      <c r="HQ210" s="29"/>
      <c r="HR210" s="29"/>
      <c r="HS210" s="29"/>
      <c r="HT210" s="29"/>
      <c r="HU210" s="29"/>
      <c r="HV210" s="29"/>
      <c r="HW210" s="29"/>
      <c r="HX210" s="29"/>
      <c r="HY210" s="29"/>
      <c r="HZ210" s="29"/>
      <c r="IA210" s="29"/>
      <c r="IB210" s="29"/>
      <c r="IC210" s="29"/>
      <c r="ID210" s="29"/>
      <c r="IE210" s="29"/>
      <c r="IF210" s="29"/>
      <c r="IG210" s="29"/>
      <c r="IH210" s="29"/>
      <c r="II210" s="29"/>
      <c r="IJ210" s="29"/>
      <c r="IK210" s="29"/>
      <c r="IL210" s="29"/>
      <c r="IM210" s="29"/>
      <c r="IN210" s="29"/>
      <c r="IO210" s="29"/>
      <c r="IP210" s="29"/>
      <c r="IQ210" s="29"/>
      <c r="IR210" s="29"/>
      <c r="IS210" s="29"/>
      <c r="IT210" s="29"/>
      <c r="IU210" s="29"/>
      <c r="IV210" s="29"/>
      <c r="IW210" s="29"/>
      <c r="IX210" s="29"/>
      <c r="IY210" s="29"/>
      <c r="IZ210" s="29"/>
      <c r="JA210" s="29"/>
      <c r="JB210" s="29"/>
      <c r="JC210" s="29"/>
      <c r="JD210" s="29"/>
      <c r="JE210" s="29"/>
      <c r="JF210" s="29"/>
      <c r="JG210" s="29"/>
      <c r="JH210" s="29"/>
      <c r="JI210" s="29"/>
      <c r="JJ210" s="29"/>
      <c r="JK210" s="29"/>
      <c r="JL210" s="29"/>
    </row>
    <row r="211" spans="1:272" ht="34.5" customHeight="1">
      <c r="A211" s="30" t="s">
        <v>142</v>
      </c>
      <c r="B211" s="30" t="s">
        <v>72</v>
      </c>
      <c r="C211" s="30" t="s">
        <v>525</v>
      </c>
      <c r="D211" s="30" t="s">
        <v>631</v>
      </c>
      <c r="E211" s="30"/>
      <c r="F211" s="129" t="s">
        <v>608</v>
      </c>
      <c r="G211" s="30" t="s">
        <v>197</v>
      </c>
      <c r="H211" s="30"/>
      <c r="I211" s="129" t="s">
        <v>98</v>
      </c>
      <c r="J211" s="30" t="s">
        <v>129</v>
      </c>
      <c r="K211" s="30" t="s">
        <v>34</v>
      </c>
      <c r="L211" s="30"/>
      <c r="M211" s="39">
        <v>2800000</v>
      </c>
      <c r="N211" s="39">
        <v>2800000</v>
      </c>
      <c r="O211" s="30"/>
      <c r="P211" s="30"/>
      <c r="Q211" s="129" t="s">
        <v>294</v>
      </c>
      <c r="R211" s="30" t="s">
        <v>345</v>
      </c>
      <c r="S211" s="41">
        <v>2014</v>
      </c>
      <c r="T211" s="31" t="s">
        <v>618</v>
      </c>
      <c r="U211" s="31" t="s">
        <v>619</v>
      </c>
      <c r="V211" s="30" t="s">
        <v>620</v>
      </c>
      <c r="W211" s="129" t="s">
        <v>36</v>
      </c>
      <c r="X211" s="30" t="s">
        <v>345</v>
      </c>
      <c r="Y211" s="30" t="s">
        <v>345</v>
      </c>
      <c r="Z211" s="30" t="s">
        <v>345</v>
      </c>
      <c r="AA211" s="30"/>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29"/>
      <c r="BO211" s="29"/>
      <c r="BP211" s="29"/>
      <c r="BQ211" s="29"/>
      <c r="BR211" s="29"/>
      <c r="BS211" s="29"/>
      <c r="BT211" s="29"/>
      <c r="BU211" s="29"/>
      <c r="BV211" s="29"/>
      <c r="BW211" s="29"/>
      <c r="BX211" s="29"/>
      <c r="BY211" s="29"/>
      <c r="BZ211" s="29"/>
      <c r="CA211" s="29"/>
      <c r="CB211" s="29"/>
      <c r="CC211" s="29"/>
      <c r="CD211" s="29"/>
      <c r="CE211" s="29"/>
      <c r="CF211" s="29"/>
      <c r="CG211" s="29"/>
      <c r="CH211" s="29"/>
      <c r="CI211" s="29"/>
      <c r="CJ211" s="29"/>
      <c r="CK211" s="29"/>
      <c r="CL211" s="29"/>
      <c r="CM211" s="29"/>
      <c r="CN211" s="29"/>
      <c r="CO211" s="29"/>
      <c r="CP211" s="29"/>
      <c r="CQ211" s="29"/>
      <c r="CR211" s="29"/>
      <c r="CS211" s="29"/>
      <c r="CT211" s="29"/>
      <c r="CU211" s="29"/>
      <c r="CV211" s="29"/>
      <c r="CW211" s="29"/>
      <c r="CX211" s="29"/>
      <c r="CY211" s="29"/>
      <c r="CZ211" s="29"/>
      <c r="DA211" s="29"/>
      <c r="DB211" s="29"/>
      <c r="DC211" s="29"/>
      <c r="DD211" s="29"/>
      <c r="DE211" s="29"/>
      <c r="DF211" s="29"/>
      <c r="DG211" s="29"/>
      <c r="DH211" s="29"/>
      <c r="DI211" s="29"/>
      <c r="DJ211" s="29"/>
      <c r="DK211" s="29"/>
      <c r="DL211" s="29"/>
      <c r="DM211" s="29"/>
      <c r="DN211" s="29"/>
      <c r="DO211" s="29"/>
      <c r="DP211" s="29"/>
      <c r="DQ211" s="29"/>
      <c r="DR211" s="29"/>
      <c r="DS211" s="29"/>
      <c r="DT211" s="29"/>
      <c r="DU211" s="29"/>
      <c r="DV211" s="29"/>
      <c r="DW211" s="29"/>
      <c r="DX211" s="29"/>
      <c r="DY211" s="29"/>
      <c r="DZ211" s="29"/>
      <c r="EA211" s="29"/>
      <c r="EB211" s="29"/>
      <c r="EC211" s="29"/>
      <c r="ED211" s="29"/>
      <c r="EE211" s="29"/>
      <c r="EF211" s="29"/>
      <c r="EG211" s="29"/>
      <c r="EH211" s="29"/>
      <c r="EI211" s="29"/>
      <c r="EJ211" s="29"/>
      <c r="EK211" s="29"/>
      <c r="EL211" s="29"/>
      <c r="EM211" s="29"/>
      <c r="EN211" s="29"/>
      <c r="EO211" s="29"/>
      <c r="EP211" s="29"/>
      <c r="EQ211" s="29"/>
      <c r="ER211" s="29"/>
      <c r="ES211" s="29"/>
      <c r="ET211" s="29"/>
      <c r="EU211" s="29"/>
      <c r="EV211" s="29"/>
      <c r="EW211" s="29"/>
      <c r="EX211" s="29"/>
      <c r="EY211" s="29"/>
      <c r="EZ211" s="29"/>
      <c r="FA211" s="29"/>
      <c r="FB211" s="29"/>
      <c r="FC211" s="29"/>
      <c r="FD211" s="29"/>
      <c r="FE211" s="29"/>
      <c r="FF211" s="29"/>
      <c r="FG211" s="29"/>
      <c r="FH211" s="29"/>
      <c r="FI211" s="29"/>
      <c r="FJ211" s="29"/>
      <c r="FK211" s="29"/>
      <c r="FL211" s="29"/>
      <c r="FM211" s="29"/>
      <c r="FN211" s="29"/>
      <c r="FO211" s="29"/>
      <c r="FP211" s="29"/>
      <c r="FQ211" s="29"/>
      <c r="FR211" s="29"/>
      <c r="FS211" s="29"/>
      <c r="FT211" s="29"/>
      <c r="FU211" s="29"/>
      <c r="FV211" s="29"/>
      <c r="FW211" s="29"/>
      <c r="FX211" s="29"/>
      <c r="FY211" s="29"/>
      <c r="FZ211" s="29"/>
      <c r="GA211" s="29"/>
      <c r="GB211" s="29"/>
      <c r="GC211" s="29"/>
      <c r="GD211" s="29"/>
      <c r="GE211" s="29"/>
      <c r="GF211" s="29"/>
      <c r="GG211" s="29"/>
      <c r="GH211" s="29"/>
      <c r="GI211" s="29"/>
      <c r="GJ211" s="29"/>
      <c r="GK211" s="29"/>
      <c r="GL211" s="29"/>
      <c r="GM211" s="29"/>
      <c r="GN211" s="29"/>
      <c r="GO211" s="29"/>
      <c r="GP211" s="29"/>
      <c r="GQ211" s="29"/>
      <c r="GR211" s="29"/>
      <c r="GS211" s="29"/>
      <c r="GT211" s="29"/>
      <c r="GU211" s="29"/>
      <c r="GV211" s="29"/>
      <c r="GW211" s="29"/>
      <c r="GX211" s="29"/>
      <c r="GY211" s="29"/>
      <c r="GZ211" s="29"/>
      <c r="HA211" s="29"/>
      <c r="HB211" s="29"/>
      <c r="HC211" s="29"/>
      <c r="HD211" s="29"/>
      <c r="HE211" s="29"/>
      <c r="HF211" s="29"/>
      <c r="HG211" s="29"/>
      <c r="HH211" s="29"/>
      <c r="HI211" s="29"/>
      <c r="HJ211" s="29"/>
      <c r="HK211" s="29"/>
      <c r="HL211" s="29"/>
      <c r="HM211" s="29"/>
      <c r="HN211" s="29"/>
      <c r="HO211" s="29"/>
      <c r="HP211" s="29"/>
      <c r="HQ211" s="29"/>
      <c r="HR211" s="29"/>
      <c r="HS211" s="29"/>
      <c r="HT211" s="29"/>
      <c r="HU211" s="29"/>
      <c r="HV211" s="29"/>
      <c r="HW211" s="29"/>
      <c r="HX211" s="29"/>
      <c r="HY211" s="29"/>
      <c r="HZ211" s="29"/>
      <c r="IA211" s="29"/>
      <c r="IB211" s="29"/>
      <c r="IC211" s="29"/>
      <c r="ID211" s="29"/>
      <c r="IE211" s="29"/>
      <c r="IF211" s="29"/>
      <c r="IG211" s="29"/>
      <c r="IH211" s="29"/>
      <c r="II211" s="29"/>
      <c r="IJ211" s="29"/>
      <c r="IK211" s="29"/>
      <c r="IL211" s="29"/>
      <c r="IM211" s="29"/>
      <c r="IN211" s="29"/>
      <c r="IO211" s="29"/>
      <c r="IP211" s="29"/>
      <c r="IQ211" s="29"/>
      <c r="IR211" s="29"/>
      <c r="IS211" s="29"/>
      <c r="IT211" s="29"/>
      <c r="IU211" s="29"/>
      <c r="IV211" s="29"/>
      <c r="IW211" s="29"/>
      <c r="IX211" s="29"/>
      <c r="IY211" s="29"/>
      <c r="IZ211" s="29"/>
      <c r="JA211" s="29"/>
      <c r="JB211" s="29"/>
      <c r="JC211" s="29"/>
      <c r="JD211" s="29"/>
      <c r="JE211" s="29"/>
      <c r="JF211" s="29"/>
      <c r="JG211" s="29"/>
      <c r="JH211" s="29"/>
      <c r="JI211" s="29"/>
      <c r="JJ211" s="29"/>
      <c r="JK211" s="29"/>
      <c r="JL211" s="29"/>
    </row>
    <row r="212" spans="1:272" ht="34.5" customHeight="1">
      <c r="A212" s="30" t="s">
        <v>142</v>
      </c>
      <c r="B212" s="30" t="s">
        <v>72</v>
      </c>
      <c r="C212" s="30" t="s">
        <v>525</v>
      </c>
      <c r="D212" s="30" t="s">
        <v>632</v>
      </c>
      <c r="E212" s="30"/>
      <c r="F212" s="129" t="s">
        <v>608</v>
      </c>
      <c r="G212" s="30" t="s">
        <v>197</v>
      </c>
      <c r="H212" s="30"/>
      <c r="I212" s="129" t="s">
        <v>98</v>
      </c>
      <c r="J212" s="30" t="s">
        <v>129</v>
      </c>
      <c r="K212" s="30" t="s">
        <v>34</v>
      </c>
      <c r="L212" s="30"/>
      <c r="M212" s="39">
        <v>2800000</v>
      </c>
      <c r="N212" s="39">
        <v>2800000</v>
      </c>
      <c r="O212" s="30"/>
      <c r="P212" s="30"/>
      <c r="Q212" s="129" t="s">
        <v>294</v>
      </c>
      <c r="R212" s="30" t="s">
        <v>345</v>
      </c>
      <c r="S212" s="41">
        <v>2014</v>
      </c>
      <c r="T212" s="31" t="s">
        <v>618</v>
      </c>
      <c r="U212" s="31" t="s">
        <v>619</v>
      </c>
      <c r="V212" s="30" t="s">
        <v>620</v>
      </c>
      <c r="W212" s="129" t="s">
        <v>36</v>
      </c>
      <c r="X212" s="30" t="s">
        <v>345</v>
      </c>
      <c r="Y212" s="30" t="s">
        <v>345</v>
      </c>
      <c r="Z212" s="30" t="s">
        <v>345</v>
      </c>
      <c r="AA212" s="30"/>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c r="BI212" s="29"/>
      <c r="BJ212" s="29"/>
      <c r="BK212" s="29"/>
      <c r="BL212" s="29"/>
      <c r="BM212" s="29"/>
      <c r="BN212" s="29"/>
      <c r="BO212" s="29"/>
      <c r="BP212" s="29"/>
      <c r="BQ212" s="29"/>
      <c r="BR212" s="29"/>
      <c r="BS212" s="29"/>
      <c r="BT212" s="29"/>
      <c r="BU212" s="29"/>
      <c r="BV212" s="29"/>
      <c r="BW212" s="29"/>
      <c r="BX212" s="29"/>
      <c r="BY212" s="29"/>
      <c r="BZ212" s="29"/>
      <c r="CA212" s="29"/>
      <c r="CB212" s="29"/>
      <c r="CC212" s="29"/>
      <c r="CD212" s="29"/>
      <c r="CE212" s="29"/>
      <c r="CF212" s="29"/>
      <c r="CG212" s="29"/>
      <c r="CH212" s="29"/>
      <c r="CI212" s="29"/>
      <c r="CJ212" s="29"/>
      <c r="CK212" s="29"/>
      <c r="CL212" s="29"/>
      <c r="CM212" s="29"/>
      <c r="CN212" s="29"/>
      <c r="CO212" s="29"/>
      <c r="CP212" s="29"/>
      <c r="CQ212" s="29"/>
      <c r="CR212" s="29"/>
      <c r="CS212" s="29"/>
      <c r="CT212" s="29"/>
      <c r="CU212" s="29"/>
      <c r="CV212" s="29"/>
      <c r="CW212" s="29"/>
      <c r="CX212" s="29"/>
      <c r="CY212" s="29"/>
      <c r="CZ212" s="29"/>
      <c r="DA212" s="29"/>
      <c r="DB212" s="29"/>
      <c r="DC212" s="29"/>
      <c r="DD212" s="29"/>
      <c r="DE212" s="29"/>
      <c r="DF212" s="29"/>
      <c r="DG212" s="29"/>
      <c r="DH212" s="29"/>
      <c r="DI212" s="29"/>
      <c r="DJ212" s="29"/>
      <c r="DK212" s="29"/>
      <c r="DL212" s="29"/>
      <c r="DM212" s="29"/>
      <c r="DN212" s="29"/>
      <c r="DO212" s="29"/>
      <c r="DP212" s="29"/>
      <c r="DQ212" s="29"/>
      <c r="DR212" s="29"/>
      <c r="DS212" s="29"/>
      <c r="DT212" s="29"/>
      <c r="DU212" s="29"/>
      <c r="DV212" s="29"/>
      <c r="DW212" s="29"/>
      <c r="DX212" s="29"/>
      <c r="DY212" s="29"/>
      <c r="DZ212" s="29"/>
      <c r="EA212" s="29"/>
      <c r="EB212" s="29"/>
      <c r="EC212" s="29"/>
      <c r="ED212" s="29"/>
      <c r="EE212" s="29"/>
      <c r="EF212" s="29"/>
      <c r="EG212" s="29"/>
      <c r="EH212" s="29"/>
      <c r="EI212" s="29"/>
      <c r="EJ212" s="29"/>
      <c r="EK212" s="29"/>
      <c r="EL212" s="29"/>
      <c r="EM212" s="29"/>
      <c r="EN212" s="29"/>
      <c r="EO212" s="29"/>
      <c r="EP212" s="29"/>
      <c r="EQ212" s="29"/>
      <c r="ER212" s="29"/>
      <c r="ES212" s="29"/>
      <c r="ET212" s="29"/>
      <c r="EU212" s="29"/>
      <c r="EV212" s="29"/>
      <c r="EW212" s="29"/>
      <c r="EX212" s="29"/>
      <c r="EY212" s="29"/>
      <c r="EZ212" s="29"/>
      <c r="FA212" s="29"/>
      <c r="FB212" s="29"/>
      <c r="FC212" s="29"/>
      <c r="FD212" s="29"/>
      <c r="FE212" s="29"/>
      <c r="FF212" s="29"/>
      <c r="FG212" s="29"/>
      <c r="FH212" s="29"/>
      <c r="FI212" s="29"/>
      <c r="FJ212" s="29"/>
      <c r="FK212" s="29"/>
      <c r="FL212" s="29"/>
      <c r="FM212" s="29"/>
      <c r="FN212" s="29"/>
      <c r="FO212" s="29"/>
      <c r="FP212" s="29"/>
      <c r="FQ212" s="29"/>
      <c r="FR212" s="29"/>
      <c r="FS212" s="29"/>
      <c r="FT212" s="29"/>
      <c r="FU212" s="29"/>
      <c r="FV212" s="29"/>
      <c r="FW212" s="29"/>
      <c r="FX212" s="29"/>
      <c r="FY212" s="29"/>
      <c r="FZ212" s="29"/>
      <c r="GA212" s="29"/>
      <c r="GB212" s="29"/>
      <c r="GC212" s="29"/>
      <c r="GD212" s="29"/>
      <c r="GE212" s="29"/>
      <c r="GF212" s="29"/>
      <c r="GG212" s="29"/>
      <c r="GH212" s="29"/>
      <c r="GI212" s="29"/>
      <c r="GJ212" s="29"/>
      <c r="GK212" s="29"/>
      <c r="GL212" s="29"/>
      <c r="GM212" s="29"/>
      <c r="GN212" s="29"/>
      <c r="GO212" s="29"/>
      <c r="GP212" s="29"/>
      <c r="GQ212" s="29"/>
      <c r="GR212" s="29"/>
      <c r="GS212" s="29"/>
      <c r="GT212" s="29"/>
      <c r="GU212" s="29"/>
      <c r="GV212" s="29"/>
      <c r="GW212" s="29"/>
      <c r="GX212" s="29"/>
      <c r="GY212" s="29"/>
      <c r="GZ212" s="29"/>
      <c r="HA212" s="29"/>
      <c r="HB212" s="29"/>
      <c r="HC212" s="29"/>
      <c r="HD212" s="29"/>
      <c r="HE212" s="29"/>
      <c r="HF212" s="29"/>
      <c r="HG212" s="29"/>
      <c r="HH212" s="29"/>
      <c r="HI212" s="29"/>
      <c r="HJ212" s="29"/>
      <c r="HK212" s="29"/>
      <c r="HL212" s="29"/>
      <c r="HM212" s="29"/>
      <c r="HN212" s="29"/>
      <c r="HO212" s="29"/>
      <c r="HP212" s="29"/>
      <c r="HQ212" s="29"/>
      <c r="HR212" s="29"/>
      <c r="HS212" s="29"/>
      <c r="HT212" s="29"/>
      <c r="HU212" s="29"/>
      <c r="HV212" s="29"/>
      <c r="HW212" s="29"/>
      <c r="HX212" s="29"/>
      <c r="HY212" s="29"/>
      <c r="HZ212" s="29"/>
      <c r="IA212" s="29"/>
      <c r="IB212" s="29"/>
      <c r="IC212" s="29"/>
      <c r="ID212" s="29"/>
      <c r="IE212" s="29"/>
      <c r="IF212" s="29"/>
      <c r="IG212" s="29"/>
      <c r="IH212" s="29"/>
      <c r="II212" s="29"/>
      <c r="IJ212" s="29"/>
      <c r="IK212" s="29"/>
      <c r="IL212" s="29"/>
      <c r="IM212" s="29"/>
      <c r="IN212" s="29"/>
      <c r="IO212" s="29"/>
      <c r="IP212" s="29"/>
      <c r="IQ212" s="29"/>
      <c r="IR212" s="29"/>
      <c r="IS212" s="29"/>
      <c r="IT212" s="29"/>
      <c r="IU212" s="29"/>
      <c r="IV212" s="29"/>
      <c r="IW212" s="29"/>
      <c r="IX212" s="29"/>
      <c r="IY212" s="29"/>
      <c r="IZ212" s="29"/>
      <c r="JA212" s="29"/>
      <c r="JB212" s="29"/>
      <c r="JC212" s="29"/>
      <c r="JD212" s="29"/>
      <c r="JE212" s="29"/>
      <c r="JF212" s="29"/>
      <c r="JG212" s="29"/>
      <c r="JH212" s="29"/>
      <c r="JI212" s="29"/>
      <c r="JJ212" s="29"/>
      <c r="JK212" s="29"/>
      <c r="JL212" s="29"/>
    </row>
    <row r="213" spans="1:272" ht="34.5" customHeight="1">
      <c r="A213" s="30" t="s">
        <v>142</v>
      </c>
      <c r="B213" s="30" t="s">
        <v>72</v>
      </c>
      <c r="C213" s="30" t="s">
        <v>525</v>
      </c>
      <c r="D213" s="30" t="s">
        <v>633</v>
      </c>
      <c r="E213" s="30"/>
      <c r="F213" s="129" t="s">
        <v>608</v>
      </c>
      <c r="G213" s="30" t="s">
        <v>197</v>
      </c>
      <c r="H213" s="30"/>
      <c r="I213" s="129" t="s">
        <v>98</v>
      </c>
      <c r="J213" s="30" t="s">
        <v>129</v>
      </c>
      <c r="K213" s="30" t="s">
        <v>34</v>
      </c>
      <c r="L213" s="30"/>
      <c r="M213" s="39">
        <v>200000</v>
      </c>
      <c r="N213" s="39">
        <v>200000</v>
      </c>
      <c r="O213" s="30"/>
      <c r="P213" s="30"/>
      <c r="Q213" s="129" t="s">
        <v>294</v>
      </c>
      <c r="R213" s="30" t="s">
        <v>345</v>
      </c>
      <c r="S213" s="41">
        <v>2014</v>
      </c>
      <c r="T213" s="31" t="s">
        <v>618</v>
      </c>
      <c r="U213" s="31" t="s">
        <v>619</v>
      </c>
      <c r="V213" s="30" t="s">
        <v>620</v>
      </c>
      <c r="W213" s="129" t="s">
        <v>36</v>
      </c>
      <c r="X213" s="30" t="s">
        <v>345</v>
      </c>
      <c r="Y213" s="30" t="s">
        <v>345</v>
      </c>
      <c r="Z213" s="30" t="s">
        <v>345</v>
      </c>
      <c r="AA213" s="30"/>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29"/>
      <c r="BO213" s="29"/>
      <c r="BP213" s="29"/>
      <c r="BQ213" s="29"/>
      <c r="BR213" s="29"/>
      <c r="BS213" s="29"/>
      <c r="BT213" s="29"/>
      <c r="BU213" s="29"/>
      <c r="BV213" s="29"/>
      <c r="BW213" s="29"/>
      <c r="BX213" s="29"/>
      <c r="BY213" s="29"/>
      <c r="BZ213" s="29"/>
      <c r="CA213" s="29"/>
      <c r="CB213" s="29"/>
      <c r="CC213" s="29"/>
      <c r="CD213" s="29"/>
      <c r="CE213" s="29"/>
      <c r="CF213" s="29"/>
      <c r="CG213" s="29"/>
      <c r="CH213" s="29"/>
      <c r="CI213" s="29"/>
      <c r="CJ213" s="29"/>
      <c r="CK213" s="29"/>
      <c r="CL213" s="29"/>
      <c r="CM213" s="29"/>
      <c r="CN213" s="29"/>
      <c r="CO213" s="29"/>
      <c r="CP213" s="29"/>
      <c r="CQ213" s="29"/>
      <c r="CR213" s="29"/>
      <c r="CS213" s="29"/>
      <c r="CT213" s="29"/>
      <c r="CU213" s="29"/>
      <c r="CV213" s="29"/>
      <c r="CW213" s="29"/>
      <c r="CX213" s="29"/>
      <c r="CY213" s="29"/>
      <c r="CZ213" s="29"/>
      <c r="DA213" s="29"/>
      <c r="DB213" s="29"/>
      <c r="DC213" s="29"/>
      <c r="DD213" s="29"/>
      <c r="DE213" s="29"/>
      <c r="DF213" s="29"/>
      <c r="DG213" s="29"/>
      <c r="DH213" s="29"/>
      <c r="DI213" s="29"/>
      <c r="DJ213" s="29"/>
      <c r="DK213" s="29"/>
      <c r="DL213" s="29"/>
      <c r="DM213" s="29"/>
      <c r="DN213" s="29"/>
      <c r="DO213" s="29"/>
      <c r="DP213" s="29"/>
      <c r="DQ213" s="29"/>
      <c r="DR213" s="29"/>
      <c r="DS213" s="29"/>
      <c r="DT213" s="29"/>
      <c r="DU213" s="29"/>
      <c r="DV213" s="29"/>
      <c r="DW213" s="29"/>
      <c r="DX213" s="29"/>
      <c r="DY213" s="29"/>
      <c r="DZ213" s="29"/>
      <c r="EA213" s="29"/>
      <c r="EB213" s="29"/>
      <c r="EC213" s="29"/>
      <c r="ED213" s="29"/>
      <c r="EE213" s="29"/>
      <c r="EF213" s="29"/>
      <c r="EG213" s="29"/>
      <c r="EH213" s="29"/>
      <c r="EI213" s="29"/>
      <c r="EJ213" s="29"/>
      <c r="EK213" s="29"/>
      <c r="EL213" s="29"/>
      <c r="EM213" s="29"/>
      <c r="EN213" s="29"/>
      <c r="EO213" s="29"/>
      <c r="EP213" s="29"/>
      <c r="EQ213" s="29"/>
      <c r="ER213" s="29"/>
      <c r="ES213" s="29"/>
      <c r="ET213" s="29"/>
      <c r="EU213" s="29"/>
      <c r="EV213" s="29"/>
      <c r="EW213" s="29"/>
      <c r="EX213" s="29"/>
      <c r="EY213" s="29"/>
      <c r="EZ213" s="29"/>
      <c r="FA213" s="29"/>
      <c r="FB213" s="29"/>
      <c r="FC213" s="29"/>
      <c r="FD213" s="29"/>
      <c r="FE213" s="29"/>
      <c r="FF213" s="29"/>
      <c r="FG213" s="29"/>
      <c r="FH213" s="29"/>
      <c r="FI213" s="29"/>
      <c r="FJ213" s="29"/>
      <c r="FK213" s="29"/>
      <c r="FL213" s="29"/>
      <c r="FM213" s="29"/>
      <c r="FN213" s="29"/>
      <c r="FO213" s="29"/>
      <c r="FP213" s="29"/>
      <c r="FQ213" s="29"/>
      <c r="FR213" s="29"/>
      <c r="FS213" s="29"/>
      <c r="FT213" s="29"/>
      <c r="FU213" s="29"/>
      <c r="FV213" s="29"/>
      <c r="FW213" s="29"/>
      <c r="FX213" s="29"/>
      <c r="FY213" s="29"/>
      <c r="FZ213" s="29"/>
      <c r="GA213" s="29"/>
      <c r="GB213" s="29"/>
      <c r="GC213" s="29"/>
      <c r="GD213" s="29"/>
      <c r="GE213" s="29"/>
      <c r="GF213" s="29"/>
      <c r="GG213" s="29"/>
      <c r="GH213" s="29"/>
      <c r="GI213" s="29"/>
      <c r="GJ213" s="29"/>
      <c r="GK213" s="29"/>
      <c r="GL213" s="29"/>
      <c r="GM213" s="29"/>
      <c r="GN213" s="29"/>
      <c r="GO213" s="29"/>
      <c r="GP213" s="29"/>
      <c r="GQ213" s="29"/>
      <c r="GR213" s="29"/>
      <c r="GS213" s="29"/>
      <c r="GT213" s="29"/>
      <c r="GU213" s="29"/>
      <c r="GV213" s="29"/>
      <c r="GW213" s="29"/>
      <c r="GX213" s="29"/>
      <c r="GY213" s="29"/>
      <c r="GZ213" s="29"/>
      <c r="HA213" s="29"/>
      <c r="HB213" s="29"/>
      <c r="HC213" s="29"/>
      <c r="HD213" s="29"/>
      <c r="HE213" s="29"/>
      <c r="HF213" s="29"/>
      <c r="HG213" s="29"/>
      <c r="HH213" s="29"/>
      <c r="HI213" s="29"/>
      <c r="HJ213" s="29"/>
      <c r="HK213" s="29"/>
      <c r="HL213" s="29"/>
      <c r="HM213" s="29"/>
      <c r="HN213" s="29"/>
      <c r="HO213" s="29"/>
      <c r="HP213" s="29"/>
      <c r="HQ213" s="29"/>
      <c r="HR213" s="29"/>
      <c r="HS213" s="29"/>
      <c r="HT213" s="29"/>
      <c r="HU213" s="29"/>
      <c r="HV213" s="29"/>
      <c r="HW213" s="29"/>
      <c r="HX213" s="29"/>
      <c r="HY213" s="29"/>
      <c r="HZ213" s="29"/>
      <c r="IA213" s="29"/>
      <c r="IB213" s="29"/>
      <c r="IC213" s="29"/>
      <c r="ID213" s="29"/>
      <c r="IE213" s="29"/>
      <c r="IF213" s="29"/>
      <c r="IG213" s="29"/>
      <c r="IH213" s="29"/>
      <c r="II213" s="29"/>
      <c r="IJ213" s="29"/>
      <c r="IK213" s="29"/>
      <c r="IL213" s="29"/>
      <c r="IM213" s="29"/>
      <c r="IN213" s="29"/>
      <c r="IO213" s="29"/>
      <c r="IP213" s="29"/>
      <c r="IQ213" s="29"/>
      <c r="IR213" s="29"/>
      <c r="IS213" s="29"/>
      <c r="IT213" s="29"/>
      <c r="IU213" s="29"/>
      <c r="IV213" s="29"/>
      <c r="IW213" s="29"/>
      <c r="IX213" s="29"/>
      <c r="IY213" s="29"/>
      <c r="IZ213" s="29"/>
      <c r="JA213" s="29"/>
      <c r="JB213" s="29"/>
      <c r="JC213" s="29"/>
      <c r="JD213" s="29"/>
      <c r="JE213" s="29"/>
      <c r="JF213" s="29"/>
      <c r="JG213" s="29"/>
      <c r="JH213" s="29"/>
      <c r="JI213" s="29"/>
      <c r="JJ213" s="29"/>
      <c r="JK213" s="29"/>
      <c r="JL213" s="29"/>
    </row>
    <row r="214" spans="1:272" ht="34.5" customHeight="1">
      <c r="A214" s="30" t="s">
        <v>142</v>
      </c>
      <c r="B214" s="30" t="s">
        <v>72</v>
      </c>
      <c r="C214" s="30" t="s">
        <v>525</v>
      </c>
      <c r="D214" s="30" t="s">
        <v>634</v>
      </c>
      <c r="E214" s="30"/>
      <c r="F214" s="129" t="s">
        <v>608</v>
      </c>
      <c r="G214" s="30" t="s">
        <v>197</v>
      </c>
      <c r="H214" s="30"/>
      <c r="I214" s="129" t="s">
        <v>98</v>
      </c>
      <c r="J214" s="30" t="s">
        <v>129</v>
      </c>
      <c r="K214" s="30" t="s">
        <v>34</v>
      </c>
      <c r="L214" s="30"/>
      <c r="M214" s="39">
        <v>800000</v>
      </c>
      <c r="N214" s="39">
        <v>800000</v>
      </c>
      <c r="O214" s="30"/>
      <c r="P214" s="30"/>
      <c r="Q214" s="129" t="s">
        <v>294</v>
      </c>
      <c r="R214" s="30" t="s">
        <v>345</v>
      </c>
      <c r="S214" s="41">
        <v>2014</v>
      </c>
      <c r="T214" s="31" t="s">
        <v>618</v>
      </c>
      <c r="U214" s="31" t="s">
        <v>619</v>
      </c>
      <c r="V214" s="30" t="s">
        <v>620</v>
      </c>
      <c r="W214" s="129" t="s">
        <v>36</v>
      </c>
      <c r="X214" s="30" t="s">
        <v>345</v>
      </c>
      <c r="Y214" s="30" t="s">
        <v>345</v>
      </c>
      <c r="Z214" s="30" t="s">
        <v>345</v>
      </c>
      <c r="AA214" s="30"/>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29"/>
      <c r="BO214" s="29"/>
      <c r="BP214" s="29"/>
      <c r="BQ214" s="29"/>
      <c r="BR214" s="29"/>
      <c r="BS214" s="29"/>
      <c r="BT214" s="29"/>
      <c r="BU214" s="29"/>
      <c r="BV214" s="29"/>
      <c r="BW214" s="29"/>
      <c r="BX214" s="29"/>
      <c r="BY214" s="29"/>
      <c r="BZ214" s="29"/>
      <c r="CA214" s="29"/>
      <c r="CB214" s="29"/>
      <c r="CC214" s="29"/>
      <c r="CD214" s="29"/>
      <c r="CE214" s="29"/>
      <c r="CF214" s="29"/>
      <c r="CG214" s="29"/>
      <c r="CH214" s="29"/>
      <c r="CI214" s="29"/>
      <c r="CJ214" s="29"/>
      <c r="CK214" s="29"/>
      <c r="CL214" s="29"/>
      <c r="CM214" s="29"/>
      <c r="CN214" s="29"/>
      <c r="CO214" s="29"/>
      <c r="CP214" s="29"/>
      <c r="CQ214" s="29"/>
      <c r="CR214" s="29"/>
      <c r="CS214" s="29"/>
      <c r="CT214" s="29"/>
      <c r="CU214" s="29"/>
      <c r="CV214" s="29"/>
      <c r="CW214" s="29"/>
      <c r="CX214" s="29"/>
      <c r="CY214" s="29"/>
      <c r="CZ214" s="29"/>
      <c r="DA214" s="29"/>
      <c r="DB214" s="29"/>
      <c r="DC214" s="29"/>
      <c r="DD214" s="29"/>
      <c r="DE214" s="29"/>
      <c r="DF214" s="29"/>
      <c r="DG214" s="29"/>
      <c r="DH214" s="29"/>
      <c r="DI214" s="29"/>
      <c r="DJ214" s="29"/>
      <c r="DK214" s="29"/>
      <c r="DL214" s="29"/>
      <c r="DM214" s="29"/>
      <c r="DN214" s="29"/>
      <c r="DO214" s="29"/>
      <c r="DP214" s="29"/>
      <c r="DQ214" s="29"/>
      <c r="DR214" s="29"/>
      <c r="DS214" s="29"/>
      <c r="DT214" s="29"/>
      <c r="DU214" s="29"/>
      <c r="DV214" s="29"/>
      <c r="DW214" s="29"/>
      <c r="DX214" s="29"/>
      <c r="DY214" s="29"/>
      <c r="DZ214" s="29"/>
      <c r="EA214" s="29"/>
      <c r="EB214" s="29"/>
      <c r="EC214" s="29"/>
      <c r="ED214" s="29"/>
      <c r="EE214" s="29"/>
      <c r="EF214" s="29"/>
      <c r="EG214" s="29"/>
      <c r="EH214" s="29"/>
      <c r="EI214" s="29"/>
      <c r="EJ214" s="29"/>
      <c r="EK214" s="29"/>
      <c r="EL214" s="29"/>
      <c r="EM214" s="29"/>
      <c r="EN214" s="29"/>
      <c r="EO214" s="29"/>
      <c r="EP214" s="29"/>
      <c r="EQ214" s="29"/>
      <c r="ER214" s="29"/>
      <c r="ES214" s="29"/>
      <c r="ET214" s="29"/>
      <c r="EU214" s="29"/>
      <c r="EV214" s="29"/>
      <c r="EW214" s="29"/>
      <c r="EX214" s="29"/>
      <c r="EY214" s="29"/>
      <c r="EZ214" s="29"/>
      <c r="FA214" s="29"/>
      <c r="FB214" s="29"/>
      <c r="FC214" s="29"/>
      <c r="FD214" s="29"/>
      <c r="FE214" s="29"/>
      <c r="FF214" s="29"/>
      <c r="FG214" s="29"/>
      <c r="FH214" s="29"/>
      <c r="FI214" s="29"/>
      <c r="FJ214" s="29"/>
      <c r="FK214" s="29"/>
      <c r="FL214" s="29"/>
      <c r="FM214" s="29"/>
      <c r="FN214" s="29"/>
      <c r="FO214" s="29"/>
      <c r="FP214" s="29"/>
      <c r="FQ214" s="29"/>
      <c r="FR214" s="29"/>
      <c r="FS214" s="29"/>
      <c r="FT214" s="29"/>
      <c r="FU214" s="29"/>
      <c r="FV214" s="29"/>
      <c r="FW214" s="29"/>
      <c r="FX214" s="29"/>
      <c r="FY214" s="29"/>
      <c r="FZ214" s="29"/>
      <c r="GA214" s="29"/>
      <c r="GB214" s="29"/>
      <c r="GC214" s="29"/>
      <c r="GD214" s="29"/>
      <c r="GE214" s="29"/>
      <c r="GF214" s="29"/>
      <c r="GG214" s="29"/>
      <c r="GH214" s="29"/>
      <c r="GI214" s="29"/>
      <c r="GJ214" s="29"/>
      <c r="GK214" s="29"/>
      <c r="GL214" s="29"/>
      <c r="GM214" s="29"/>
      <c r="GN214" s="29"/>
      <c r="GO214" s="29"/>
      <c r="GP214" s="29"/>
      <c r="GQ214" s="29"/>
      <c r="GR214" s="29"/>
      <c r="GS214" s="29"/>
      <c r="GT214" s="29"/>
      <c r="GU214" s="29"/>
      <c r="GV214" s="29"/>
      <c r="GW214" s="29"/>
      <c r="GX214" s="29"/>
      <c r="GY214" s="29"/>
      <c r="GZ214" s="29"/>
      <c r="HA214" s="29"/>
      <c r="HB214" s="29"/>
      <c r="HC214" s="29"/>
      <c r="HD214" s="29"/>
      <c r="HE214" s="29"/>
      <c r="HF214" s="29"/>
      <c r="HG214" s="29"/>
      <c r="HH214" s="29"/>
      <c r="HI214" s="29"/>
      <c r="HJ214" s="29"/>
      <c r="HK214" s="29"/>
      <c r="HL214" s="29"/>
      <c r="HM214" s="29"/>
      <c r="HN214" s="29"/>
      <c r="HO214" s="29"/>
      <c r="HP214" s="29"/>
      <c r="HQ214" s="29"/>
      <c r="HR214" s="29"/>
      <c r="HS214" s="29"/>
      <c r="HT214" s="29"/>
      <c r="HU214" s="29"/>
      <c r="HV214" s="29"/>
      <c r="HW214" s="29"/>
      <c r="HX214" s="29"/>
      <c r="HY214" s="29"/>
      <c r="HZ214" s="29"/>
      <c r="IA214" s="29"/>
      <c r="IB214" s="29"/>
      <c r="IC214" s="29"/>
      <c r="ID214" s="29"/>
      <c r="IE214" s="29"/>
      <c r="IF214" s="29"/>
      <c r="IG214" s="29"/>
      <c r="IH214" s="29"/>
      <c r="II214" s="29"/>
      <c r="IJ214" s="29"/>
      <c r="IK214" s="29"/>
      <c r="IL214" s="29"/>
      <c r="IM214" s="29"/>
      <c r="IN214" s="29"/>
      <c r="IO214" s="29"/>
      <c r="IP214" s="29"/>
      <c r="IQ214" s="29"/>
      <c r="IR214" s="29"/>
      <c r="IS214" s="29"/>
      <c r="IT214" s="29"/>
      <c r="IU214" s="29"/>
      <c r="IV214" s="29"/>
      <c r="IW214" s="29"/>
      <c r="IX214" s="29"/>
      <c r="IY214" s="29"/>
      <c r="IZ214" s="29"/>
      <c r="JA214" s="29"/>
      <c r="JB214" s="29"/>
      <c r="JC214" s="29"/>
      <c r="JD214" s="29"/>
      <c r="JE214" s="29"/>
      <c r="JF214" s="29"/>
      <c r="JG214" s="29"/>
      <c r="JH214" s="29"/>
      <c r="JI214" s="29"/>
      <c r="JJ214" s="29"/>
      <c r="JK214" s="29"/>
      <c r="JL214" s="29"/>
    </row>
    <row r="215" spans="1:272" ht="34.5" customHeight="1">
      <c r="A215" s="30" t="s">
        <v>142</v>
      </c>
      <c r="B215" s="30" t="s">
        <v>72</v>
      </c>
      <c r="C215" s="30" t="s">
        <v>525</v>
      </c>
      <c r="D215" s="30" t="s">
        <v>635</v>
      </c>
      <c r="E215" s="30"/>
      <c r="F215" s="129" t="s">
        <v>608</v>
      </c>
      <c r="G215" s="30" t="s">
        <v>197</v>
      </c>
      <c r="H215" s="30"/>
      <c r="I215" s="129" t="s">
        <v>98</v>
      </c>
      <c r="J215" s="30" t="s">
        <v>129</v>
      </c>
      <c r="K215" s="30" t="s">
        <v>34</v>
      </c>
      <c r="L215" s="30"/>
      <c r="M215" s="39">
        <v>200000</v>
      </c>
      <c r="N215" s="39">
        <v>200000</v>
      </c>
      <c r="O215" s="30"/>
      <c r="P215" s="30"/>
      <c r="Q215" s="129" t="s">
        <v>294</v>
      </c>
      <c r="R215" s="30" t="s">
        <v>345</v>
      </c>
      <c r="S215" s="41">
        <v>2014</v>
      </c>
      <c r="T215" s="31" t="s">
        <v>618</v>
      </c>
      <c r="U215" s="31" t="s">
        <v>619</v>
      </c>
      <c r="V215" s="30" t="s">
        <v>620</v>
      </c>
      <c r="W215" s="129" t="s">
        <v>36</v>
      </c>
      <c r="X215" s="30" t="s">
        <v>345</v>
      </c>
      <c r="Y215" s="30" t="s">
        <v>345</v>
      </c>
      <c r="Z215" s="30"/>
      <c r="AA215" s="30"/>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29"/>
      <c r="BR215" s="29"/>
      <c r="BS215" s="29"/>
      <c r="BT215" s="29"/>
      <c r="BU215" s="29"/>
      <c r="BV215" s="29"/>
      <c r="BW215" s="29"/>
      <c r="BX215" s="29"/>
      <c r="BY215" s="29"/>
      <c r="BZ215" s="29"/>
      <c r="CA215" s="29"/>
      <c r="CB215" s="29"/>
      <c r="CC215" s="29"/>
      <c r="CD215" s="29"/>
      <c r="CE215" s="29"/>
      <c r="CF215" s="29"/>
      <c r="CG215" s="29"/>
      <c r="CH215" s="29"/>
      <c r="CI215" s="29"/>
      <c r="CJ215" s="29"/>
      <c r="CK215" s="29"/>
      <c r="CL215" s="29"/>
      <c r="CM215" s="29"/>
      <c r="CN215" s="29"/>
      <c r="CO215" s="29"/>
      <c r="CP215" s="29"/>
      <c r="CQ215" s="29"/>
      <c r="CR215" s="29"/>
      <c r="CS215" s="29"/>
      <c r="CT215" s="29"/>
      <c r="CU215" s="29"/>
      <c r="CV215" s="29"/>
      <c r="CW215" s="29"/>
      <c r="CX215" s="29"/>
      <c r="CY215" s="29"/>
      <c r="CZ215" s="29"/>
      <c r="DA215" s="29"/>
      <c r="DB215" s="29"/>
      <c r="DC215" s="29"/>
      <c r="DD215" s="29"/>
      <c r="DE215" s="29"/>
      <c r="DF215" s="29"/>
      <c r="DG215" s="29"/>
      <c r="DH215" s="29"/>
      <c r="DI215" s="29"/>
      <c r="DJ215" s="29"/>
      <c r="DK215" s="29"/>
      <c r="DL215" s="29"/>
      <c r="DM215" s="29"/>
      <c r="DN215" s="29"/>
      <c r="DO215" s="29"/>
      <c r="DP215" s="29"/>
      <c r="DQ215" s="29"/>
      <c r="DR215" s="29"/>
      <c r="DS215" s="29"/>
      <c r="DT215" s="29"/>
      <c r="DU215" s="29"/>
      <c r="DV215" s="29"/>
      <c r="DW215" s="29"/>
      <c r="DX215" s="29"/>
      <c r="DY215" s="29"/>
      <c r="DZ215" s="29"/>
      <c r="EA215" s="29"/>
      <c r="EB215" s="29"/>
      <c r="EC215" s="29"/>
      <c r="ED215" s="29"/>
      <c r="EE215" s="29"/>
      <c r="EF215" s="29"/>
      <c r="EG215" s="29"/>
      <c r="EH215" s="29"/>
      <c r="EI215" s="29"/>
      <c r="EJ215" s="29"/>
      <c r="EK215" s="29"/>
      <c r="EL215" s="29"/>
      <c r="EM215" s="29"/>
      <c r="EN215" s="29"/>
      <c r="EO215" s="29"/>
      <c r="EP215" s="29"/>
      <c r="EQ215" s="29"/>
      <c r="ER215" s="29"/>
      <c r="ES215" s="29"/>
      <c r="ET215" s="29"/>
      <c r="EU215" s="29"/>
      <c r="EV215" s="29"/>
      <c r="EW215" s="29"/>
      <c r="EX215" s="29"/>
      <c r="EY215" s="29"/>
      <c r="EZ215" s="29"/>
      <c r="FA215" s="29"/>
      <c r="FB215" s="29"/>
      <c r="FC215" s="29"/>
      <c r="FD215" s="29"/>
      <c r="FE215" s="29"/>
      <c r="FF215" s="29"/>
      <c r="FG215" s="29"/>
      <c r="FH215" s="29"/>
      <c r="FI215" s="29"/>
      <c r="FJ215" s="29"/>
      <c r="FK215" s="29"/>
      <c r="FL215" s="29"/>
      <c r="FM215" s="29"/>
      <c r="FN215" s="29"/>
      <c r="FO215" s="29"/>
      <c r="FP215" s="29"/>
      <c r="FQ215" s="29"/>
      <c r="FR215" s="29"/>
      <c r="FS215" s="29"/>
      <c r="FT215" s="29"/>
      <c r="FU215" s="29"/>
      <c r="FV215" s="29"/>
      <c r="FW215" s="29"/>
      <c r="FX215" s="29"/>
      <c r="FY215" s="29"/>
      <c r="FZ215" s="29"/>
      <c r="GA215" s="29"/>
      <c r="GB215" s="29"/>
      <c r="GC215" s="29"/>
      <c r="GD215" s="29"/>
      <c r="GE215" s="29"/>
      <c r="GF215" s="29"/>
      <c r="GG215" s="29"/>
      <c r="GH215" s="29"/>
      <c r="GI215" s="29"/>
      <c r="GJ215" s="29"/>
      <c r="GK215" s="29"/>
      <c r="GL215" s="29"/>
      <c r="GM215" s="29"/>
      <c r="GN215" s="29"/>
      <c r="GO215" s="29"/>
      <c r="GP215" s="29"/>
      <c r="GQ215" s="29"/>
      <c r="GR215" s="29"/>
      <c r="GS215" s="29"/>
      <c r="GT215" s="29"/>
      <c r="GU215" s="29"/>
      <c r="GV215" s="29"/>
      <c r="GW215" s="29"/>
      <c r="GX215" s="29"/>
      <c r="GY215" s="29"/>
      <c r="GZ215" s="29"/>
      <c r="HA215" s="29"/>
      <c r="HB215" s="29"/>
      <c r="HC215" s="29"/>
      <c r="HD215" s="29"/>
      <c r="HE215" s="29"/>
      <c r="HF215" s="29"/>
      <c r="HG215" s="29"/>
      <c r="HH215" s="29"/>
      <c r="HI215" s="29"/>
      <c r="HJ215" s="29"/>
      <c r="HK215" s="29"/>
      <c r="HL215" s="29"/>
      <c r="HM215" s="29"/>
      <c r="HN215" s="29"/>
      <c r="HO215" s="29"/>
      <c r="HP215" s="29"/>
      <c r="HQ215" s="29"/>
      <c r="HR215" s="29"/>
      <c r="HS215" s="29"/>
      <c r="HT215" s="29"/>
      <c r="HU215" s="29"/>
      <c r="HV215" s="29"/>
      <c r="HW215" s="29"/>
      <c r="HX215" s="29"/>
      <c r="HY215" s="29"/>
      <c r="HZ215" s="29"/>
      <c r="IA215" s="29"/>
      <c r="IB215" s="29"/>
      <c r="IC215" s="29"/>
      <c r="ID215" s="29"/>
      <c r="IE215" s="29"/>
      <c r="IF215" s="29"/>
      <c r="IG215" s="29"/>
      <c r="IH215" s="29"/>
      <c r="II215" s="29"/>
      <c r="IJ215" s="29"/>
      <c r="IK215" s="29"/>
      <c r="IL215" s="29"/>
      <c r="IM215" s="29"/>
      <c r="IN215" s="29"/>
      <c r="IO215" s="29"/>
      <c r="IP215" s="29"/>
      <c r="IQ215" s="29"/>
      <c r="IR215" s="29"/>
      <c r="IS215" s="29"/>
      <c r="IT215" s="29"/>
      <c r="IU215" s="29"/>
      <c r="IV215" s="29"/>
      <c r="IW215" s="29"/>
      <c r="IX215" s="29"/>
      <c r="IY215" s="29"/>
      <c r="IZ215" s="29"/>
      <c r="JA215" s="29"/>
      <c r="JB215" s="29"/>
      <c r="JC215" s="29"/>
      <c r="JD215" s="29"/>
      <c r="JE215" s="29"/>
      <c r="JF215" s="29"/>
      <c r="JG215" s="29"/>
      <c r="JH215" s="29"/>
      <c r="JI215" s="29"/>
      <c r="JJ215" s="29"/>
      <c r="JK215" s="29"/>
      <c r="JL215" s="29"/>
    </row>
    <row r="216" spans="1:272" ht="34.5" customHeight="1">
      <c r="A216" s="30" t="s">
        <v>142</v>
      </c>
      <c r="B216" s="30" t="s">
        <v>72</v>
      </c>
      <c r="C216" s="30" t="s">
        <v>525</v>
      </c>
      <c r="D216" s="30" t="s">
        <v>636</v>
      </c>
      <c r="E216" s="30"/>
      <c r="F216" s="129" t="s">
        <v>608</v>
      </c>
      <c r="G216" s="30" t="s">
        <v>197</v>
      </c>
      <c r="H216" s="30"/>
      <c r="I216" s="30" t="s">
        <v>345</v>
      </c>
      <c r="J216" s="30" t="s">
        <v>129</v>
      </c>
      <c r="K216" s="30" t="s">
        <v>91</v>
      </c>
      <c r="L216" s="30"/>
      <c r="M216" s="39">
        <v>200000</v>
      </c>
      <c r="N216" s="39">
        <v>200000</v>
      </c>
      <c r="O216" s="30"/>
      <c r="P216" s="30"/>
      <c r="Q216" s="129" t="s">
        <v>294</v>
      </c>
      <c r="R216" s="30" t="s">
        <v>345</v>
      </c>
      <c r="S216" s="41">
        <v>2014</v>
      </c>
      <c r="T216" s="31" t="s">
        <v>618</v>
      </c>
      <c r="U216" s="31" t="s">
        <v>619</v>
      </c>
      <c r="V216" s="30" t="s">
        <v>620</v>
      </c>
      <c r="W216" s="129" t="s">
        <v>36</v>
      </c>
      <c r="X216" s="30" t="s">
        <v>345</v>
      </c>
      <c r="Y216" s="30" t="s">
        <v>345</v>
      </c>
      <c r="Z216" s="30" t="s">
        <v>345</v>
      </c>
      <c r="AA216" s="30"/>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c r="BI216" s="29"/>
      <c r="BJ216" s="29"/>
      <c r="BK216" s="29"/>
      <c r="BL216" s="29"/>
      <c r="BM216" s="29"/>
      <c r="BN216" s="29"/>
      <c r="BO216" s="29"/>
      <c r="BP216" s="29"/>
      <c r="BQ216" s="29"/>
      <c r="BR216" s="29"/>
      <c r="BS216" s="29"/>
      <c r="BT216" s="29"/>
      <c r="BU216" s="29"/>
      <c r="BV216" s="29"/>
      <c r="BW216" s="29"/>
      <c r="BX216" s="29"/>
      <c r="BY216" s="29"/>
      <c r="BZ216" s="29"/>
      <c r="CA216" s="29"/>
      <c r="CB216" s="29"/>
      <c r="CC216" s="29"/>
      <c r="CD216" s="29"/>
      <c r="CE216" s="29"/>
      <c r="CF216" s="29"/>
      <c r="CG216" s="29"/>
      <c r="CH216" s="29"/>
      <c r="CI216" s="29"/>
      <c r="CJ216" s="29"/>
      <c r="CK216" s="29"/>
      <c r="CL216" s="29"/>
      <c r="CM216" s="29"/>
      <c r="CN216" s="29"/>
      <c r="CO216" s="29"/>
      <c r="CP216" s="29"/>
      <c r="CQ216" s="29"/>
      <c r="CR216" s="29"/>
      <c r="CS216" s="29"/>
      <c r="CT216" s="29"/>
      <c r="CU216" s="29"/>
      <c r="CV216" s="29"/>
      <c r="CW216" s="29"/>
      <c r="CX216" s="29"/>
      <c r="CY216" s="29"/>
      <c r="CZ216" s="29"/>
      <c r="DA216" s="29"/>
      <c r="DB216" s="29"/>
      <c r="DC216" s="29"/>
      <c r="DD216" s="29"/>
      <c r="DE216" s="29"/>
      <c r="DF216" s="29"/>
      <c r="DG216" s="29"/>
      <c r="DH216" s="29"/>
      <c r="DI216" s="29"/>
      <c r="DJ216" s="29"/>
      <c r="DK216" s="29"/>
      <c r="DL216" s="29"/>
      <c r="DM216" s="29"/>
      <c r="DN216" s="29"/>
      <c r="DO216" s="29"/>
      <c r="DP216" s="29"/>
      <c r="DQ216" s="29"/>
      <c r="DR216" s="29"/>
      <c r="DS216" s="29"/>
      <c r="DT216" s="29"/>
      <c r="DU216" s="29"/>
      <c r="DV216" s="29"/>
      <c r="DW216" s="29"/>
      <c r="DX216" s="29"/>
      <c r="DY216" s="29"/>
      <c r="DZ216" s="29"/>
      <c r="EA216" s="29"/>
      <c r="EB216" s="29"/>
      <c r="EC216" s="29"/>
      <c r="ED216" s="29"/>
      <c r="EE216" s="29"/>
      <c r="EF216" s="29"/>
      <c r="EG216" s="29"/>
      <c r="EH216" s="29"/>
      <c r="EI216" s="29"/>
      <c r="EJ216" s="29"/>
      <c r="EK216" s="29"/>
      <c r="EL216" s="29"/>
      <c r="EM216" s="29"/>
      <c r="EN216" s="29"/>
      <c r="EO216" s="29"/>
      <c r="EP216" s="29"/>
      <c r="EQ216" s="29"/>
      <c r="ER216" s="29"/>
      <c r="ES216" s="29"/>
      <c r="ET216" s="29"/>
      <c r="EU216" s="29"/>
      <c r="EV216" s="29"/>
      <c r="EW216" s="29"/>
      <c r="EX216" s="29"/>
      <c r="EY216" s="29"/>
      <c r="EZ216" s="29"/>
      <c r="FA216" s="29"/>
      <c r="FB216" s="29"/>
      <c r="FC216" s="29"/>
      <c r="FD216" s="29"/>
      <c r="FE216" s="29"/>
      <c r="FF216" s="29"/>
      <c r="FG216" s="29"/>
      <c r="FH216" s="29"/>
      <c r="FI216" s="29"/>
      <c r="FJ216" s="29"/>
      <c r="FK216" s="29"/>
      <c r="FL216" s="29"/>
      <c r="FM216" s="29"/>
      <c r="FN216" s="29"/>
      <c r="FO216" s="29"/>
      <c r="FP216" s="29"/>
      <c r="FQ216" s="29"/>
      <c r="FR216" s="29"/>
      <c r="FS216" s="29"/>
      <c r="FT216" s="29"/>
      <c r="FU216" s="29"/>
      <c r="FV216" s="29"/>
      <c r="FW216" s="29"/>
      <c r="FX216" s="29"/>
      <c r="FY216" s="29"/>
      <c r="FZ216" s="29"/>
      <c r="GA216" s="29"/>
      <c r="GB216" s="29"/>
      <c r="GC216" s="29"/>
      <c r="GD216" s="29"/>
      <c r="GE216" s="29"/>
      <c r="GF216" s="29"/>
      <c r="GG216" s="29"/>
      <c r="GH216" s="29"/>
      <c r="GI216" s="29"/>
      <c r="GJ216" s="29"/>
      <c r="GK216" s="29"/>
      <c r="GL216" s="29"/>
      <c r="GM216" s="29"/>
      <c r="GN216" s="29"/>
      <c r="GO216" s="29"/>
      <c r="GP216" s="29"/>
      <c r="GQ216" s="29"/>
      <c r="GR216" s="29"/>
      <c r="GS216" s="29"/>
      <c r="GT216" s="29"/>
      <c r="GU216" s="29"/>
      <c r="GV216" s="29"/>
      <c r="GW216" s="29"/>
      <c r="GX216" s="29"/>
      <c r="GY216" s="29"/>
      <c r="GZ216" s="29"/>
      <c r="HA216" s="29"/>
      <c r="HB216" s="29"/>
      <c r="HC216" s="29"/>
      <c r="HD216" s="29"/>
      <c r="HE216" s="29"/>
      <c r="HF216" s="29"/>
      <c r="HG216" s="29"/>
      <c r="HH216" s="29"/>
      <c r="HI216" s="29"/>
      <c r="HJ216" s="29"/>
      <c r="HK216" s="29"/>
      <c r="HL216" s="29"/>
      <c r="HM216" s="29"/>
      <c r="HN216" s="29"/>
      <c r="HO216" s="29"/>
      <c r="HP216" s="29"/>
      <c r="HQ216" s="29"/>
      <c r="HR216" s="29"/>
      <c r="HS216" s="29"/>
      <c r="HT216" s="29"/>
      <c r="HU216" s="29"/>
      <c r="HV216" s="29"/>
      <c r="HW216" s="29"/>
      <c r="HX216" s="29"/>
      <c r="HY216" s="29"/>
      <c r="HZ216" s="29"/>
      <c r="IA216" s="29"/>
      <c r="IB216" s="29"/>
      <c r="IC216" s="29"/>
      <c r="ID216" s="29"/>
      <c r="IE216" s="29"/>
      <c r="IF216" s="29"/>
      <c r="IG216" s="29"/>
      <c r="IH216" s="29"/>
      <c r="II216" s="29"/>
      <c r="IJ216" s="29"/>
      <c r="IK216" s="29"/>
      <c r="IL216" s="29"/>
      <c r="IM216" s="29"/>
      <c r="IN216" s="29"/>
      <c r="IO216" s="29"/>
      <c r="IP216" s="29"/>
      <c r="IQ216" s="29"/>
      <c r="IR216" s="29"/>
      <c r="IS216" s="29"/>
      <c r="IT216" s="29"/>
      <c r="IU216" s="29"/>
      <c r="IV216" s="29"/>
      <c r="IW216" s="29"/>
      <c r="IX216" s="29"/>
      <c r="IY216" s="29"/>
      <c r="IZ216" s="29"/>
      <c r="JA216" s="29"/>
      <c r="JB216" s="29"/>
      <c r="JC216" s="29"/>
      <c r="JD216" s="29"/>
      <c r="JE216" s="29"/>
      <c r="JF216" s="29"/>
      <c r="JG216" s="29"/>
      <c r="JH216" s="29"/>
      <c r="JI216" s="29"/>
      <c r="JJ216" s="29"/>
      <c r="JK216" s="29"/>
      <c r="JL216" s="29"/>
    </row>
    <row r="217" spans="1:272" ht="34.5" customHeight="1">
      <c r="A217" s="30" t="s">
        <v>142</v>
      </c>
      <c r="B217" s="30" t="s">
        <v>72</v>
      </c>
      <c r="C217" s="30" t="s">
        <v>525</v>
      </c>
      <c r="D217" s="30" t="s">
        <v>637</v>
      </c>
      <c r="E217" s="30"/>
      <c r="F217" s="129" t="s">
        <v>608</v>
      </c>
      <c r="G217" s="30" t="s">
        <v>197</v>
      </c>
      <c r="H217" s="30"/>
      <c r="I217" s="30"/>
      <c r="J217" s="30" t="s">
        <v>129</v>
      </c>
      <c r="K217" s="30" t="s">
        <v>34</v>
      </c>
      <c r="L217" s="30"/>
      <c r="M217" s="39">
        <v>30000</v>
      </c>
      <c r="N217" s="39">
        <v>30000</v>
      </c>
      <c r="O217" s="30"/>
      <c r="P217" s="30"/>
      <c r="Q217" s="129" t="s">
        <v>294</v>
      </c>
      <c r="R217" s="30" t="s">
        <v>345</v>
      </c>
      <c r="S217" s="41">
        <v>2014</v>
      </c>
      <c r="T217" s="31" t="s">
        <v>618</v>
      </c>
      <c r="U217" s="31" t="s">
        <v>619</v>
      </c>
      <c r="V217" s="30" t="s">
        <v>620</v>
      </c>
      <c r="W217" s="129" t="s">
        <v>36</v>
      </c>
      <c r="X217" s="30" t="s">
        <v>345</v>
      </c>
      <c r="Y217" s="30" t="s">
        <v>345</v>
      </c>
      <c r="Z217" s="30" t="s">
        <v>345</v>
      </c>
      <c r="AA217" s="30"/>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c r="BO217" s="29"/>
      <c r="BP217" s="29"/>
      <c r="BQ217" s="29"/>
      <c r="BR217" s="29"/>
      <c r="BS217" s="29"/>
      <c r="BT217" s="29"/>
      <c r="BU217" s="29"/>
      <c r="BV217" s="29"/>
      <c r="BW217" s="29"/>
      <c r="BX217" s="29"/>
      <c r="BY217" s="29"/>
      <c r="BZ217" s="29"/>
      <c r="CA217" s="29"/>
      <c r="CB217" s="29"/>
      <c r="CC217" s="29"/>
      <c r="CD217" s="29"/>
      <c r="CE217" s="29"/>
      <c r="CF217" s="29"/>
      <c r="CG217" s="29"/>
      <c r="CH217" s="29"/>
      <c r="CI217" s="29"/>
      <c r="CJ217" s="29"/>
      <c r="CK217" s="29"/>
      <c r="CL217" s="29"/>
      <c r="CM217" s="29"/>
      <c r="CN217" s="29"/>
      <c r="CO217" s="29"/>
      <c r="CP217" s="29"/>
      <c r="CQ217" s="29"/>
      <c r="CR217" s="29"/>
      <c r="CS217" s="29"/>
      <c r="CT217" s="29"/>
      <c r="CU217" s="29"/>
      <c r="CV217" s="29"/>
      <c r="CW217" s="29"/>
      <c r="CX217" s="29"/>
      <c r="CY217" s="29"/>
      <c r="CZ217" s="29"/>
      <c r="DA217" s="29"/>
      <c r="DB217" s="29"/>
      <c r="DC217" s="29"/>
      <c r="DD217" s="29"/>
      <c r="DE217" s="29"/>
      <c r="DF217" s="29"/>
      <c r="DG217" s="29"/>
      <c r="DH217" s="29"/>
      <c r="DI217" s="29"/>
      <c r="DJ217" s="29"/>
      <c r="DK217" s="29"/>
      <c r="DL217" s="29"/>
      <c r="DM217" s="29"/>
      <c r="DN217" s="29"/>
      <c r="DO217" s="29"/>
      <c r="DP217" s="29"/>
      <c r="DQ217" s="29"/>
      <c r="DR217" s="29"/>
      <c r="DS217" s="29"/>
      <c r="DT217" s="29"/>
      <c r="DU217" s="29"/>
      <c r="DV217" s="29"/>
      <c r="DW217" s="29"/>
      <c r="DX217" s="29"/>
      <c r="DY217" s="29"/>
      <c r="DZ217" s="29"/>
      <c r="EA217" s="29"/>
      <c r="EB217" s="29"/>
      <c r="EC217" s="29"/>
      <c r="ED217" s="29"/>
      <c r="EE217" s="29"/>
      <c r="EF217" s="29"/>
      <c r="EG217" s="29"/>
      <c r="EH217" s="29"/>
      <c r="EI217" s="29"/>
      <c r="EJ217" s="29"/>
      <c r="EK217" s="29"/>
      <c r="EL217" s="29"/>
      <c r="EM217" s="29"/>
      <c r="EN217" s="29"/>
      <c r="EO217" s="29"/>
      <c r="EP217" s="29"/>
      <c r="EQ217" s="29"/>
      <c r="ER217" s="29"/>
      <c r="ES217" s="29"/>
      <c r="ET217" s="29"/>
      <c r="EU217" s="29"/>
      <c r="EV217" s="29"/>
      <c r="EW217" s="29"/>
      <c r="EX217" s="29"/>
      <c r="EY217" s="29"/>
      <c r="EZ217" s="29"/>
      <c r="FA217" s="29"/>
      <c r="FB217" s="29"/>
      <c r="FC217" s="29"/>
      <c r="FD217" s="29"/>
      <c r="FE217" s="29"/>
      <c r="FF217" s="29"/>
      <c r="FG217" s="29"/>
      <c r="FH217" s="29"/>
      <c r="FI217" s="29"/>
      <c r="FJ217" s="29"/>
      <c r="FK217" s="29"/>
      <c r="FL217" s="29"/>
      <c r="FM217" s="29"/>
      <c r="FN217" s="29"/>
      <c r="FO217" s="29"/>
      <c r="FP217" s="29"/>
      <c r="FQ217" s="29"/>
      <c r="FR217" s="29"/>
      <c r="FS217" s="29"/>
      <c r="FT217" s="29"/>
      <c r="FU217" s="29"/>
      <c r="FV217" s="29"/>
      <c r="FW217" s="29"/>
      <c r="FX217" s="29"/>
      <c r="FY217" s="29"/>
      <c r="FZ217" s="29"/>
      <c r="GA217" s="29"/>
      <c r="GB217" s="29"/>
      <c r="GC217" s="29"/>
      <c r="GD217" s="29"/>
      <c r="GE217" s="29"/>
      <c r="GF217" s="29"/>
      <c r="GG217" s="29"/>
      <c r="GH217" s="29"/>
      <c r="GI217" s="29"/>
      <c r="GJ217" s="29"/>
      <c r="GK217" s="29"/>
      <c r="GL217" s="29"/>
      <c r="GM217" s="29"/>
      <c r="GN217" s="29"/>
      <c r="GO217" s="29"/>
      <c r="GP217" s="29"/>
      <c r="GQ217" s="29"/>
      <c r="GR217" s="29"/>
      <c r="GS217" s="29"/>
      <c r="GT217" s="29"/>
      <c r="GU217" s="29"/>
      <c r="GV217" s="29"/>
      <c r="GW217" s="29"/>
      <c r="GX217" s="29"/>
      <c r="GY217" s="29"/>
      <c r="GZ217" s="29"/>
      <c r="HA217" s="29"/>
      <c r="HB217" s="29"/>
      <c r="HC217" s="29"/>
      <c r="HD217" s="29"/>
      <c r="HE217" s="29"/>
      <c r="HF217" s="29"/>
      <c r="HG217" s="29"/>
      <c r="HH217" s="29"/>
      <c r="HI217" s="29"/>
      <c r="HJ217" s="29"/>
      <c r="HK217" s="29"/>
      <c r="HL217" s="29"/>
      <c r="HM217" s="29"/>
      <c r="HN217" s="29"/>
      <c r="HO217" s="29"/>
      <c r="HP217" s="29"/>
      <c r="HQ217" s="29"/>
      <c r="HR217" s="29"/>
      <c r="HS217" s="29"/>
      <c r="HT217" s="29"/>
      <c r="HU217" s="29"/>
      <c r="HV217" s="29"/>
      <c r="HW217" s="29"/>
      <c r="HX217" s="29"/>
      <c r="HY217" s="29"/>
      <c r="HZ217" s="29"/>
      <c r="IA217" s="29"/>
      <c r="IB217" s="29"/>
      <c r="IC217" s="29"/>
      <c r="ID217" s="29"/>
      <c r="IE217" s="29"/>
      <c r="IF217" s="29"/>
      <c r="IG217" s="29"/>
      <c r="IH217" s="29"/>
      <c r="II217" s="29"/>
      <c r="IJ217" s="29"/>
      <c r="IK217" s="29"/>
      <c r="IL217" s="29"/>
      <c r="IM217" s="29"/>
      <c r="IN217" s="29"/>
      <c r="IO217" s="29"/>
      <c r="IP217" s="29"/>
      <c r="IQ217" s="29"/>
      <c r="IR217" s="29"/>
      <c r="IS217" s="29"/>
      <c r="IT217" s="29"/>
      <c r="IU217" s="29"/>
      <c r="IV217" s="29"/>
      <c r="IW217" s="29"/>
      <c r="IX217" s="29"/>
      <c r="IY217" s="29"/>
      <c r="IZ217" s="29"/>
      <c r="JA217" s="29"/>
      <c r="JB217" s="29"/>
      <c r="JC217" s="29"/>
      <c r="JD217" s="29"/>
      <c r="JE217" s="29"/>
      <c r="JF217" s="29"/>
      <c r="JG217" s="29"/>
      <c r="JH217" s="29"/>
      <c r="JI217" s="29"/>
      <c r="JJ217" s="29"/>
      <c r="JK217" s="29"/>
      <c r="JL217" s="29"/>
    </row>
    <row r="218" spans="1:272" ht="34.5" customHeight="1">
      <c r="A218" s="30" t="s">
        <v>142</v>
      </c>
      <c r="B218" s="30" t="s">
        <v>72</v>
      </c>
      <c r="C218" s="30" t="s">
        <v>525</v>
      </c>
      <c r="D218" s="30" t="s">
        <v>638</v>
      </c>
      <c r="E218" s="30"/>
      <c r="F218" s="129" t="s">
        <v>608</v>
      </c>
      <c r="G218" s="30" t="s">
        <v>197</v>
      </c>
      <c r="H218" s="30"/>
      <c r="I218" s="30"/>
      <c r="J218" s="30" t="s">
        <v>129</v>
      </c>
      <c r="K218" s="30" t="s">
        <v>34</v>
      </c>
      <c r="L218" s="30"/>
      <c r="M218" s="39">
        <v>1900000</v>
      </c>
      <c r="N218" s="39">
        <v>1900000</v>
      </c>
      <c r="O218" s="30"/>
      <c r="P218" s="30"/>
      <c r="Q218" s="129" t="s">
        <v>294</v>
      </c>
      <c r="R218" s="30" t="s">
        <v>345</v>
      </c>
      <c r="S218" s="41">
        <v>2014</v>
      </c>
      <c r="T218" s="31" t="s">
        <v>618</v>
      </c>
      <c r="U218" s="31" t="s">
        <v>619</v>
      </c>
      <c r="V218" s="30" t="s">
        <v>620</v>
      </c>
      <c r="W218" s="129" t="s">
        <v>36</v>
      </c>
      <c r="X218" s="30" t="s">
        <v>345</v>
      </c>
      <c r="Y218" s="30" t="s">
        <v>345</v>
      </c>
      <c r="Z218" s="30" t="s">
        <v>345</v>
      </c>
      <c r="AA218" s="30"/>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29"/>
      <c r="BO218" s="29"/>
      <c r="BP218" s="29"/>
      <c r="BQ218" s="29"/>
      <c r="BR218" s="29"/>
      <c r="BS218" s="29"/>
      <c r="BT218" s="29"/>
      <c r="BU218" s="29"/>
      <c r="BV218" s="29"/>
      <c r="BW218" s="29"/>
      <c r="BX218" s="29"/>
      <c r="BY218" s="29"/>
      <c r="BZ218" s="29"/>
      <c r="CA218" s="29"/>
      <c r="CB218" s="29"/>
      <c r="CC218" s="29"/>
      <c r="CD218" s="29"/>
      <c r="CE218" s="29"/>
      <c r="CF218" s="29"/>
      <c r="CG218" s="29"/>
      <c r="CH218" s="29"/>
      <c r="CI218" s="29"/>
      <c r="CJ218" s="29"/>
      <c r="CK218" s="29"/>
      <c r="CL218" s="29"/>
      <c r="CM218" s="29"/>
      <c r="CN218" s="29"/>
      <c r="CO218" s="29"/>
      <c r="CP218" s="29"/>
      <c r="CQ218" s="29"/>
      <c r="CR218" s="29"/>
      <c r="CS218" s="29"/>
      <c r="CT218" s="29"/>
      <c r="CU218" s="29"/>
      <c r="CV218" s="29"/>
      <c r="CW218" s="29"/>
      <c r="CX218" s="29"/>
      <c r="CY218" s="29"/>
      <c r="CZ218" s="29"/>
      <c r="DA218" s="29"/>
      <c r="DB218" s="29"/>
      <c r="DC218" s="29"/>
      <c r="DD218" s="29"/>
      <c r="DE218" s="29"/>
      <c r="DF218" s="29"/>
      <c r="DG218" s="29"/>
      <c r="DH218" s="29"/>
      <c r="DI218" s="29"/>
      <c r="DJ218" s="29"/>
      <c r="DK218" s="29"/>
      <c r="DL218" s="29"/>
      <c r="DM218" s="29"/>
      <c r="DN218" s="29"/>
      <c r="DO218" s="29"/>
      <c r="DP218" s="29"/>
      <c r="DQ218" s="29"/>
      <c r="DR218" s="29"/>
      <c r="DS218" s="29"/>
      <c r="DT218" s="29"/>
      <c r="DU218" s="29"/>
      <c r="DV218" s="29"/>
      <c r="DW218" s="29"/>
      <c r="DX218" s="29"/>
      <c r="DY218" s="29"/>
      <c r="DZ218" s="29"/>
      <c r="EA218" s="29"/>
      <c r="EB218" s="29"/>
      <c r="EC218" s="29"/>
      <c r="ED218" s="29"/>
      <c r="EE218" s="29"/>
      <c r="EF218" s="29"/>
      <c r="EG218" s="29"/>
      <c r="EH218" s="29"/>
      <c r="EI218" s="29"/>
      <c r="EJ218" s="29"/>
      <c r="EK218" s="29"/>
      <c r="EL218" s="29"/>
      <c r="EM218" s="29"/>
      <c r="EN218" s="29"/>
      <c r="EO218" s="29"/>
      <c r="EP218" s="29"/>
      <c r="EQ218" s="29"/>
      <c r="ER218" s="29"/>
      <c r="ES218" s="29"/>
      <c r="ET218" s="29"/>
      <c r="EU218" s="29"/>
      <c r="EV218" s="29"/>
      <c r="EW218" s="29"/>
      <c r="EX218" s="29"/>
      <c r="EY218" s="29"/>
      <c r="EZ218" s="29"/>
      <c r="FA218" s="29"/>
      <c r="FB218" s="29"/>
      <c r="FC218" s="29"/>
      <c r="FD218" s="29"/>
      <c r="FE218" s="29"/>
      <c r="FF218" s="29"/>
      <c r="FG218" s="29"/>
      <c r="FH218" s="29"/>
      <c r="FI218" s="29"/>
      <c r="FJ218" s="29"/>
      <c r="FK218" s="29"/>
      <c r="FL218" s="29"/>
      <c r="FM218" s="29"/>
      <c r="FN218" s="29"/>
      <c r="FO218" s="29"/>
      <c r="FP218" s="29"/>
      <c r="FQ218" s="29"/>
      <c r="FR218" s="29"/>
      <c r="FS218" s="29"/>
      <c r="FT218" s="29"/>
      <c r="FU218" s="29"/>
      <c r="FV218" s="29"/>
      <c r="FW218" s="29"/>
      <c r="FX218" s="29"/>
      <c r="FY218" s="29"/>
      <c r="FZ218" s="29"/>
      <c r="GA218" s="29"/>
      <c r="GB218" s="29"/>
      <c r="GC218" s="29"/>
      <c r="GD218" s="29"/>
      <c r="GE218" s="29"/>
      <c r="GF218" s="29"/>
      <c r="GG218" s="29"/>
      <c r="GH218" s="29"/>
      <c r="GI218" s="29"/>
      <c r="GJ218" s="29"/>
      <c r="GK218" s="29"/>
      <c r="GL218" s="29"/>
      <c r="GM218" s="29"/>
      <c r="GN218" s="29"/>
      <c r="GO218" s="29"/>
      <c r="GP218" s="29"/>
      <c r="GQ218" s="29"/>
      <c r="GR218" s="29"/>
      <c r="GS218" s="29"/>
      <c r="GT218" s="29"/>
      <c r="GU218" s="29"/>
      <c r="GV218" s="29"/>
      <c r="GW218" s="29"/>
      <c r="GX218" s="29"/>
      <c r="GY218" s="29"/>
      <c r="GZ218" s="29"/>
      <c r="HA218" s="29"/>
      <c r="HB218" s="29"/>
      <c r="HC218" s="29"/>
      <c r="HD218" s="29"/>
      <c r="HE218" s="29"/>
      <c r="HF218" s="29"/>
      <c r="HG218" s="29"/>
      <c r="HH218" s="29"/>
      <c r="HI218" s="29"/>
      <c r="HJ218" s="29"/>
      <c r="HK218" s="29"/>
      <c r="HL218" s="29"/>
      <c r="HM218" s="29"/>
      <c r="HN218" s="29"/>
      <c r="HO218" s="29"/>
      <c r="HP218" s="29"/>
      <c r="HQ218" s="29"/>
      <c r="HR218" s="29"/>
      <c r="HS218" s="29"/>
      <c r="HT218" s="29"/>
      <c r="HU218" s="29"/>
      <c r="HV218" s="29"/>
      <c r="HW218" s="29"/>
      <c r="HX218" s="29"/>
      <c r="HY218" s="29"/>
      <c r="HZ218" s="29"/>
      <c r="IA218" s="29"/>
      <c r="IB218" s="29"/>
      <c r="IC218" s="29"/>
      <c r="ID218" s="29"/>
      <c r="IE218" s="29"/>
      <c r="IF218" s="29"/>
      <c r="IG218" s="29"/>
      <c r="IH218" s="29"/>
      <c r="II218" s="29"/>
      <c r="IJ218" s="29"/>
      <c r="IK218" s="29"/>
      <c r="IL218" s="29"/>
      <c r="IM218" s="29"/>
      <c r="IN218" s="29"/>
      <c r="IO218" s="29"/>
      <c r="IP218" s="29"/>
      <c r="IQ218" s="29"/>
      <c r="IR218" s="29"/>
      <c r="IS218" s="29"/>
      <c r="IT218" s="29"/>
      <c r="IU218" s="29"/>
      <c r="IV218" s="29"/>
      <c r="IW218" s="29"/>
      <c r="IX218" s="29"/>
      <c r="IY218" s="29"/>
      <c r="IZ218" s="29"/>
      <c r="JA218" s="29"/>
      <c r="JB218" s="29"/>
      <c r="JC218" s="29"/>
      <c r="JD218" s="29"/>
      <c r="JE218" s="29"/>
      <c r="JF218" s="29"/>
      <c r="JG218" s="29"/>
      <c r="JH218" s="29"/>
      <c r="JI218" s="29"/>
      <c r="JJ218" s="29"/>
      <c r="JK218" s="29"/>
      <c r="JL218" s="29"/>
    </row>
    <row r="219" spans="1:272" ht="34.5" customHeight="1">
      <c r="A219" s="30" t="s">
        <v>142</v>
      </c>
      <c r="B219" s="30" t="s">
        <v>72</v>
      </c>
      <c r="C219" s="30" t="s">
        <v>639</v>
      </c>
      <c r="D219" s="30" t="s">
        <v>640</v>
      </c>
      <c r="E219" s="30"/>
      <c r="F219" s="129" t="s">
        <v>608</v>
      </c>
      <c r="G219" s="30" t="s">
        <v>197</v>
      </c>
      <c r="H219" s="30"/>
      <c r="I219" s="129" t="s">
        <v>42</v>
      </c>
      <c r="J219" s="30" t="s">
        <v>129</v>
      </c>
      <c r="K219" s="30" t="s">
        <v>302</v>
      </c>
      <c r="L219" s="30" t="s">
        <v>302</v>
      </c>
      <c r="M219" s="39">
        <v>901080</v>
      </c>
      <c r="N219" s="39">
        <v>901080</v>
      </c>
      <c r="O219" s="30"/>
      <c r="P219" s="30" t="s">
        <v>641</v>
      </c>
      <c r="Q219" s="129" t="s">
        <v>2191</v>
      </c>
      <c r="R219" s="30"/>
      <c r="S219" s="41">
        <v>2014</v>
      </c>
      <c r="T219" s="31" t="s">
        <v>642</v>
      </c>
      <c r="U219" s="31" t="s">
        <v>643</v>
      </c>
      <c r="V219" s="30" t="s">
        <v>644</v>
      </c>
      <c r="W219" s="129" t="s">
        <v>36</v>
      </c>
      <c r="X219" s="30" t="s">
        <v>302</v>
      </c>
      <c r="Y219" s="44">
        <v>41698</v>
      </c>
      <c r="Z219" s="44">
        <v>42428</v>
      </c>
      <c r="AA219" s="30"/>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29"/>
      <c r="BO219" s="29"/>
      <c r="BP219" s="29"/>
      <c r="BQ219" s="29"/>
      <c r="BR219" s="29"/>
      <c r="BS219" s="29"/>
      <c r="BT219" s="29"/>
      <c r="BU219" s="29"/>
      <c r="BV219" s="29"/>
      <c r="BW219" s="29"/>
      <c r="BX219" s="29"/>
      <c r="BY219" s="29"/>
      <c r="BZ219" s="29"/>
      <c r="CA219" s="29"/>
      <c r="CB219" s="29"/>
      <c r="CC219" s="29"/>
      <c r="CD219" s="29"/>
      <c r="CE219" s="29"/>
      <c r="CF219" s="29"/>
      <c r="CG219" s="29"/>
      <c r="CH219" s="29"/>
      <c r="CI219" s="29"/>
      <c r="CJ219" s="29"/>
      <c r="CK219" s="29"/>
      <c r="CL219" s="29"/>
      <c r="CM219" s="29"/>
      <c r="CN219" s="29"/>
      <c r="CO219" s="29"/>
      <c r="CP219" s="29"/>
      <c r="CQ219" s="29"/>
      <c r="CR219" s="29"/>
      <c r="CS219" s="29"/>
      <c r="CT219" s="29"/>
      <c r="CU219" s="29"/>
      <c r="CV219" s="29"/>
      <c r="CW219" s="29"/>
      <c r="CX219" s="29"/>
      <c r="CY219" s="29"/>
      <c r="CZ219" s="29"/>
      <c r="DA219" s="29"/>
      <c r="DB219" s="29"/>
      <c r="DC219" s="29"/>
      <c r="DD219" s="29"/>
      <c r="DE219" s="29"/>
      <c r="DF219" s="29"/>
      <c r="DG219" s="29"/>
      <c r="DH219" s="29"/>
      <c r="DI219" s="29"/>
      <c r="DJ219" s="29"/>
      <c r="DK219" s="29"/>
      <c r="DL219" s="29"/>
      <c r="DM219" s="29"/>
      <c r="DN219" s="29"/>
      <c r="DO219" s="29"/>
      <c r="DP219" s="29"/>
      <c r="DQ219" s="29"/>
      <c r="DR219" s="29"/>
      <c r="DS219" s="29"/>
      <c r="DT219" s="29"/>
      <c r="DU219" s="29"/>
      <c r="DV219" s="29"/>
      <c r="DW219" s="29"/>
      <c r="DX219" s="29"/>
      <c r="DY219" s="29"/>
      <c r="DZ219" s="29"/>
      <c r="EA219" s="29"/>
      <c r="EB219" s="29"/>
      <c r="EC219" s="29"/>
      <c r="ED219" s="29"/>
      <c r="EE219" s="29"/>
      <c r="EF219" s="29"/>
      <c r="EG219" s="29"/>
      <c r="EH219" s="29"/>
      <c r="EI219" s="29"/>
      <c r="EJ219" s="29"/>
      <c r="EK219" s="29"/>
      <c r="EL219" s="29"/>
      <c r="EM219" s="29"/>
      <c r="EN219" s="29"/>
      <c r="EO219" s="29"/>
      <c r="EP219" s="29"/>
      <c r="EQ219" s="29"/>
      <c r="ER219" s="29"/>
      <c r="ES219" s="29"/>
      <c r="ET219" s="29"/>
      <c r="EU219" s="29"/>
      <c r="EV219" s="29"/>
      <c r="EW219" s="29"/>
      <c r="EX219" s="29"/>
      <c r="EY219" s="29"/>
      <c r="EZ219" s="29"/>
      <c r="FA219" s="29"/>
      <c r="FB219" s="29"/>
      <c r="FC219" s="29"/>
      <c r="FD219" s="29"/>
      <c r="FE219" s="29"/>
      <c r="FF219" s="29"/>
      <c r="FG219" s="29"/>
      <c r="FH219" s="29"/>
      <c r="FI219" s="29"/>
      <c r="FJ219" s="29"/>
      <c r="FK219" s="29"/>
      <c r="FL219" s="29"/>
      <c r="FM219" s="29"/>
      <c r="FN219" s="29"/>
      <c r="FO219" s="29"/>
      <c r="FP219" s="29"/>
      <c r="FQ219" s="29"/>
      <c r="FR219" s="29"/>
      <c r="FS219" s="29"/>
      <c r="FT219" s="29"/>
      <c r="FU219" s="29"/>
      <c r="FV219" s="29"/>
      <c r="FW219" s="29"/>
      <c r="FX219" s="29"/>
      <c r="FY219" s="29"/>
      <c r="FZ219" s="29"/>
      <c r="GA219" s="29"/>
      <c r="GB219" s="29"/>
      <c r="GC219" s="29"/>
      <c r="GD219" s="29"/>
      <c r="GE219" s="29"/>
      <c r="GF219" s="29"/>
      <c r="GG219" s="29"/>
      <c r="GH219" s="29"/>
      <c r="GI219" s="29"/>
      <c r="GJ219" s="29"/>
      <c r="GK219" s="29"/>
      <c r="GL219" s="29"/>
      <c r="GM219" s="29"/>
      <c r="GN219" s="29"/>
      <c r="GO219" s="29"/>
      <c r="GP219" s="29"/>
      <c r="GQ219" s="29"/>
      <c r="GR219" s="29"/>
      <c r="GS219" s="29"/>
      <c r="GT219" s="29"/>
      <c r="GU219" s="29"/>
      <c r="GV219" s="29"/>
      <c r="GW219" s="29"/>
      <c r="GX219" s="29"/>
      <c r="GY219" s="29"/>
      <c r="GZ219" s="29"/>
      <c r="HA219" s="29"/>
      <c r="HB219" s="29"/>
      <c r="HC219" s="29"/>
      <c r="HD219" s="29"/>
      <c r="HE219" s="29"/>
      <c r="HF219" s="29"/>
      <c r="HG219" s="29"/>
      <c r="HH219" s="29"/>
      <c r="HI219" s="29"/>
      <c r="HJ219" s="29"/>
      <c r="HK219" s="29"/>
      <c r="HL219" s="29"/>
      <c r="HM219" s="29"/>
      <c r="HN219" s="29"/>
      <c r="HO219" s="29"/>
      <c r="HP219" s="29"/>
      <c r="HQ219" s="29"/>
      <c r="HR219" s="29"/>
      <c r="HS219" s="29"/>
      <c r="HT219" s="29"/>
      <c r="HU219" s="29"/>
      <c r="HV219" s="29"/>
      <c r="HW219" s="29"/>
      <c r="HX219" s="29"/>
      <c r="HY219" s="29"/>
      <c r="HZ219" s="29"/>
      <c r="IA219" s="29"/>
      <c r="IB219" s="29"/>
      <c r="IC219" s="29"/>
      <c r="ID219" s="29"/>
      <c r="IE219" s="29"/>
      <c r="IF219" s="29"/>
      <c r="IG219" s="29"/>
      <c r="IH219" s="29"/>
      <c r="II219" s="29"/>
      <c r="IJ219" s="29"/>
      <c r="IK219" s="29"/>
      <c r="IL219" s="29"/>
      <c r="IM219" s="29"/>
      <c r="IN219" s="29"/>
      <c r="IO219" s="29"/>
      <c r="IP219" s="29"/>
      <c r="IQ219" s="29"/>
      <c r="IR219" s="29"/>
      <c r="IS219" s="29"/>
      <c r="IT219" s="29"/>
      <c r="IU219" s="29"/>
      <c r="IV219" s="29"/>
      <c r="IW219" s="29"/>
      <c r="IX219" s="29"/>
      <c r="IY219" s="29"/>
      <c r="IZ219" s="29"/>
      <c r="JA219" s="29"/>
      <c r="JB219" s="29"/>
      <c r="JC219" s="29"/>
      <c r="JD219" s="29"/>
      <c r="JE219" s="29"/>
      <c r="JF219" s="29"/>
      <c r="JG219" s="29"/>
      <c r="JH219" s="29"/>
      <c r="JI219" s="29"/>
      <c r="JJ219" s="29"/>
      <c r="JK219" s="29"/>
      <c r="JL219" s="29"/>
    </row>
    <row r="220" spans="1:272" ht="69" customHeight="1">
      <c r="A220" s="30" t="s">
        <v>142</v>
      </c>
      <c r="B220" s="30" t="s">
        <v>72</v>
      </c>
      <c r="C220" s="30" t="s">
        <v>645</v>
      </c>
      <c r="D220" s="30" t="s">
        <v>646</v>
      </c>
      <c r="E220" s="30"/>
      <c r="F220" s="145" t="s">
        <v>822</v>
      </c>
      <c r="G220" s="146" t="s">
        <v>3375</v>
      </c>
      <c r="H220" s="30"/>
      <c r="I220" s="30" t="s">
        <v>647</v>
      </c>
      <c r="J220" s="30" t="s">
        <v>129</v>
      </c>
      <c r="K220" s="30" t="s">
        <v>302</v>
      </c>
      <c r="L220" s="30" t="s">
        <v>302</v>
      </c>
      <c r="M220" s="39">
        <v>1129408.6200000001</v>
      </c>
      <c r="N220" s="39">
        <v>1129408.6200000001</v>
      </c>
      <c r="O220" s="30"/>
      <c r="P220" s="30" t="s">
        <v>648</v>
      </c>
      <c r="Q220" s="129" t="s">
        <v>2187</v>
      </c>
      <c r="R220" s="30"/>
      <c r="S220" s="41">
        <v>2014</v>
      </c>
      <c r="T220" s="31" t="s">
        <v>642</v>
      </c>
      <c r="U220" s="31" t="s">
        <v>643</v>
      </c>
      <c r="V220" s="30" t="s">
        <v>644</v>
      </c>
      <c r="W220" s="129" t="s">
        <v>36</v>
      </c>
      <c r="X220" s="30" t="s">
        <v>302</v>
      </c>
      <c r="Y220" s="44">
        <v>41830</v>
      </c>
      <c r="Z220" s="44">
        <v>42195</v>
      </c>
      <c r="AA220" s="30"/>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c r="BI220" s="29"/>
      <c r="BJ220" s="29"/>
      <c r="BK220" s="29"/>
      <c r="BL220" s="29"/>
      <c r="BM220" s="29"/>
      <c r="BN220" s="29"/>
      <c r="BO220" s="29"/>
      <c r="BP220" s="29"/>
      <c r="BQ220" s="29"/>
      <c r="BR220" s="29"/>
      <c r="BS220" s="29"/>
      <c r="BT220" s="29"/>
      <c r="BU220" s="29"/>
      <c r="BV220" s="29"/>
      <c r="BW220" s="29"/>
      <c r="BX220" s="29"/>
      <c r="BY220" s="29"/>
      <c r="BZ220" s="29"/>
      <c r="CA220" s="29"/>
      <c r="CB220" s="29"/>
      <c r="CC220" s="29"/>
      <c r="CD220" s="29"/>
      <c r="CE220" s="29"/>
      <c r="CF220" s="29"/>
      <c r="CG220" s="29"/>
      <c r="CH220" s="29"/>
      <c r="CI220" s="29"/>
      <c r="CJ220" s="29"/>
      <c r="CK220" s="29"/>
      <c r="CL220" s="29"/>
      <c r="CM220" s="29"/>
      <c r="CN220" s="29"/>
      <c r="CO220" s="29"/>
      <c r="CP220" s="29"/>
      <c r="CQ220" s="29"/>
      <c r="CR220" s="29"/>
      <c r="CS220" s="29"/>
      <c r="CT220" s="29"/>
      <c r="CU220" s="29"/>
      <c r="CV220" s="29"/>
      <c r="CW220" s="29"/>
      <c r="CX220" s="29"/>
      <c r="CY220" s="29"/>
      <c r="CZ220" s="29"/>
      <c r="DA220" s="29"/>
      <c r="DB220" s="29"/>
      <c r="DC220" s="29"/>
      <c r="DD220" s="29"/>
      <c r="DE220" s="29"/>
      <c r="DF220" s="29"/>
      <c r="DG220" s="29"/>
      <c r="DH220" s="29"/>
      <c r="DI220" s="29"/>
      <c r="DJ220" s="29"/>
      <c r="DK220" s="29"/>
      <c r="DL220" s="29"/>
      <c r="DM220" s="29"/>
      <c r="DN220" s="29"/>
      <c r="DO220" s="29"/>
      <c r="DP220" s="29"/>
      <c r="DQ220" s="29"/>
      <c r="DR220" s="29"/>
      <c r="DS220" s="29"/>
      <c r="DT220" s="29"/>
      <c r="DU220" s="29"/>
      <c r="DV220" s="29"/>
      <c r="DW220" s="29"/>
      <c r="DX220" s="29"/>
      <c r="DY220" s="29"/>
      <c r="DZ220" s="29"/>
      <c r="EA220" s="29"/>
      <c r="EB220" s="29"/>
      <c r="EC220" s="29"/>
      <c r="ED220" s="29"/>
      <c r="EE220" s="29"/>
      <c r="EF220" s="29"/>
      <c r="EG220" s="29"/>
      <c r="EH220" s="29"/>
      <c r="EI220" s="29"/>
      <c r="EJ220" s="29"/>
      <c r="EK220" s="29"/>
      <c r="EL220" s="29"/>
      <c r="EM220" s="29"/>
      <c r="EN220" s="29"/>
      <c r="EO220" s="29"/>
      <c r="EP220" s="29"/>
      <c r="EQ220" s="29"/>
      <c r="ER220" s="29"/>
      <c r="ES220" s="29"/>
      <c r="ET220" s="29"/>
      <c r="EU220" s="29"/>
      <c r="EV220" s="29"/>
      <c r="EW220" s="29"/>
      <c r="EX220" s="29"/>
      <c r="EY220" s="29"/>
      <c r="EZ220" s="29"/>
      <c r="FA220" s="29"/>
      <c r="FB220" s="29"/>
      <c r="FC220" s="29"/>
      <c r="FD220" s="29"/>
      <c r="FE220" s="29"/>
      <c r="FF220" s="29"/>
      <c r="FG220" s="29"/>
      <c r="FH220" s="29"/>
      <c r="FI220" s="29"/>
      <c r="FJ220" s="29"/>
      <c r="FK220" s="29"/>
      <c r="FL220" s="29"/>
      <c r="FM220" s="29"/>
      <c r="FN220" s="29"/>
      <c r="FO220" s="29"/>
      <c r="FP220" s="29"/>
      <c r="FQ220" s="29"/>
      <c r="FR220" s="29"/>
      <c r="FS220" s="29"/>
      <c r="FT220" s="29"/>
      <c r="FU220" s="29"/>
      <c r="FV220" s="29"/>
      <c r="FW220" s="29"/>
      <c r="FX220" s="29"/>
      <c r="FY220" s="29"/>
      <c r="FZ220" s="29"/>
      <c r="GA220" s="29"/>
      <c r="GB220" s="29"/>
      <c r="GC220" s="29"/>
      <c r="GD220" s="29"/>
      <c r="GE220" s="29"/>
      <c r="GF220" s="29"/>
      <c r="GG220" s="29"/>
      <c r="GH220" s="29"/>
      <c r="GI220" s="29"/>
      <c r="GJ220" s="29"/>
      <c r="GK220" s="29"/>
      <c r="GL220" s="29"/>
      <c r="GM220" s="29"/>
      <c r="GN220" s="29"/>
      <c r="GO220" s="29"/>
      <c r="GP220" s="29"/>
      <c r="GQ220" s="29"/>
      <c r="GR220" s="29"/>
      <c r="GS220" s="29"/>
      <c r="GT220" s="29"/>
      <c r="GU220" s="29"/>
      <c r="GV220" s="29"/>
      <c r="GW220" s="29"/>
      <c r="GX220" s="29"/>
      <c r="GY220" s="29"/>
      <c r="GZ220" s="29"/>
      <c r="HA220" s="29"/>
      <c r="HB220" s="29"/>
      <c r="HC220" s="29"/>
      <c r="HD220" s="29"/>
      <c r="HE220" s="29"/>
      <c r="HF220" s="29"/>
      <c r="HG220" s="29"/>
      <c r="HH220" s="29"/>
      <c r="HI220" s="29"/>
      <c r="HJ220" s="29"/>
      <c r="HK220" s="29"/>
      <c r="HL220" s="29"/>
      <c r="HM220" s="29"/>
      <c r="HN220" s="29"/>
      <c r="HO220" s="29"/>
      <c r="HP220" s="29"/>
      <c r="HQ220" s="29"/>
      <c r="HR220" s="29"/>
      <c r="HS220" s="29"/>
      <c r="HT220" s="29"/>
      <c r="HU220" s="29"/>
      <c r="HV220" s="29"/>
      <c r="HW220" s="29"/>
      <c r="HX220" s="29"/>
      <c r="HY220" s="29"/>
      <c r="HZ220" s="29"/>
      <c r="IA220" s="29"/>
      <c r="IB220" s="29"/>
      <c r="IC220" s="29"/>
      <c r="ID220" s="29"/>
      <c r="IE220" s="29"/>
      <c r="IF220" s="29"/>
      <c r="IG220" s="29"/>
      <c r="IH220" s="29"/>
      <c r="II220" s="29"/>
      <c r="IJ220" s="29"/>
      <c r="IK220" s="29"/>
      <c r="IL220" s="29"/>
      <c r="IM220" s="29"/>
      <c r="IN220" s="29"/>
      <c r="IO220" s="29"/>
      <c r="IP220" s="29"/>
      <c r="IQ220" s="29"/>
      <c r="IR220" s="29"/>
      <c r="IS220" s="29"/>
      <c r="IT220" s="29"/>
      <c r="IU220" s="29"/>
      <c r="IV220" s="29"/>
      <c r="IW220" s="29"/>
      <c r="IX220" s="29"/>
      <c r="IY220" s="29"/>
      <c r="IZ220" s="29"/>
      <c r="JA220" s="29"/>
      <c r="JB220" s="29"/>
      <c r="JC220" s="29"/>
      <c r="JD220" s="29"/>
      <c r="JE220" s="29"/>
      <c r="JF220" s="29"/>
      <c r="JG220" s="29"/>
      <c r="JH220" s="29"/>
      <c r="JI220" s="29"/>
      <c r="JJ220" s="29"/>
      <c r="JK220" s="29"/>
      <c r="JL220" s="29"/>
    </row>
    <row r="221" spans="1:272" ht="34.5" customHeight="1">
      <c r="A221" s="30" t="s">
        <v>142</v>
      </c>
      <c r="B221" s="30" t="s">
        <v>72</v>
      </c>
      <c r="C221" s="30" t="s">
        <v>649</v>
      </c>
      <c r="D221" s="30" t="s">
        <v>650</v>
      </c>
      <c r="E221" s="30"/>
      <c r="F221" s="129" t="s">
        <v>608</v>
      </c>
      <c r="G221" s="30" t="s">
        <v>197</v>
      </c>
      <c r="H221" s="30"/>
      <c r="I221" s="30" t="s">
        <v>98</v>
      </c>
      <c r="J221" s="30" t="s">
        <v>129</v>
      </c>
      <c r="K221" s="30" t="s">
        <v>651</v>
      </c>
      <c r="L221" s="30"/>
      <c r="M221" s="39">
        <v>170000</v>
      </c>
      <c r="N221" s="39">
        <v>170000</v>
      </c>
      <c r="O221" s="30"/>
      <c r="P221" s="30" t="s">
        <v>652</v>
      </c>
      <c r="Q221" s="129" t="s">
        <v>2187</v>
      </c>
      <c r="R221" s="30"/>
      <c r="S221" s="41">
        <v>2014</v>
      </c>
      <c r="T221" s="31" t="s">
        <v>653</v>
      </c>
      <c r="U221" s="31">
        <v>2122644026</v>
      </c>
      <c r="V221" s="30" t="s">
        <v>654</v>
      </c>
      <c r="W221" s="129" t="s">
        <v>36</v>
      </c>
      <c r="X221" s="30"/>
      <c r="Y221" s="30"/>
      <c r="Z221" s="44">
        <v>41959</v>
      </c>
      <c r="AA221" s="30"/>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c r="BO221" s="29"/>
      <c r="BP221" s="29"/>
      <c r="BQ221" s="29"/>
      <c r="BR221" s="29"/>
      <c r="BS221" s="29"/>
      <c r="BT221" s="29"/>
      <c r="BU221" s="29"/>
      <c r="BV221" s="29"/>
      <c r="BW221" s="29"/>
      <c r="BX221" s="29"/>
      <c r="BY221" s="29"/>
      <c r="BZ221" s="29"/>
      <c r="CA221" s="29"/>
      <c r="CB221" s="29"/>
      <c r="CC221" s="29"/>
      <c r="CD221" s="29"/>
      <c r="CE221" s="29"/>
      <c r="CF221" s="29"/>
      <c r="CG221" s="29"/>
      <c r="CH221" s="29"/>
      <c r="CI221" s="29"/>
      <c r="CJ221" s="29"/>
      <c r="CK221" s="29"/>
      <c r="CL221" s="29"/>
      <c r="CM221" s="29"/>
      <c r="CN221" s="29"/>
      <c r="CO221" s="29"/>
      <c r="CP221" s="29"/>
      <c r="CQ221" s="29"/>
      <c r="CR221" s="29"/>
      <c r="CS221" s="29"/>
      <c r="CT221" s="29"/>
      <c r="CU221" s="29"/>
      <c r="CV221" s="29"/>
      <c r="CW221" s="29"/>
      <c r="CX221" s="29"/>
      <c r="CY221" s="29"/>
      <c r="CZ221" s="29"/>
      <c r="DA221" s="29"/>
      <c r="DB221" s="29"/>
      <c r="DC221" s="29"/>
      <c r="DD221" s="29"/>
      <c r="DE221" s="29"/>
      <c r="DF221" s="29"/>
      <c r="DG221" s="29"/>
      <c r="DH221" s="29"/>
      <c r="DI221" s="29"/>
      <c r="DJ221" s="29"/>
      <c r="DK221" s="29"/>
      <c r="DL221" s="29"/>
      <c r="DM221" s="29"/>
      <c r="DN221" s="29"/>
      <c r="DO221" s="29"/>
      <c r="DP221" s="29"/>
      <c r="DQ221" s="29"/>
      <c r="DR221" s="29"/>
      <c r="DS221" s="29"/>
      <c r="DT221" s="29"/>
      <c r="DU221" s="29"/>
      <c r="DV221" s="29"/>
      <c r="DW221" s="29"/>
      <c r="DX221" s="29"/>
      <c r="DY221" s="29"/>
      <c r="DZ221" s="29"/>
      <c r="EA221" s="29"/>
      <c r="EB221" s="29"/>
      <c r="EC221" s="29"/>
      <c r="ED221" s="29"/>
      <c r="EE221" s="29"/>
      <c r="EF221" s="29"/>
      <c r="EG221" s="29"/>
      <c r="EH221" s="29"/>
      <c r="EI221" s="29"/>
      <c r="EJ221" s="29"/>
      <c r="EK221" s="29"/>
      <c r="EL221" s="29"/>
      <c r="EM221" s="29"/>
      <c r="EN221" s="29"/>
      <c r="EO221" s="29"/>
      <c r="EP221" s="29"/>
      <c r="EQ221" s="29"/>
      <c r="ER221" s="29"/>
      <c r="ES221" s="29"/>
      <c r="ET221" s="29"/>
      <c r="EU221" s="29"/>
      <c r="EV221" s="29"/>
      <c r="EW221" s="29"/>
      <c r="EX221" s="29"/>
      <c r="EY221" s="29"/>
      <c r="EZ221" s="29"/>
      <c r="FA221" s="29"/>
      <c r="FB221" s="29"/>
      <c r="FC221" s="29"/>
      <c r="FD221" s="29"/>
      <c r="FE221" s="29"/>
      <c r="FF221" s="29"/>
      <c r="FG221" s="29"/>
      <c r="FH221" s="29"/>
      <c r="FI221" s="29"/>
      <c r="FJ221" s="29"/>
      <c r="FK221" s="29"/>
      <c r="FL221" s="29"/>
      <c r="FM221" s="29"/>
      <c r="FN221" s="29"/>
      <c r="FO221" s="29"/>
      <c r="FP221" s="29"/>
      <c r="FQ221" s="29"/>
      <c r="FR221" s="29"/>
      <c r="FS221" s="29"/>
      <c r="FT221" s="29"/>
      <c r="FU221" s="29"/>
      <c r="FV221" s="29"/>
      <c r="FW221" s="29"/>
      <c r="FX221" s="29"/>
      <c r="FY221" s="29"/>
      <c r="FZ221" s="29"/>
      <c r="GA221" s="29"/>
      <c r="GB221" s="29"/>
      <c r="GC221" s="29"/>
      <c r="GD221" s="29"/>
      <c r="GE221" s="29"/>
      <c r="GF221" s="29"/>
      <c r="GG221" s="29"/>
      <c r="GH221" s="29"/>
      <c r="GI221" s="29"/>
      <c r="GJ221" s="29"/>
      <c r="GK221" s="29"/>
      <c r="GL221" s="29"/>
      <c r="GM221" s="29"/>
      <c r="GN221" s="29"/>
      <c r="GO221" s="29"/>
      <c r="GP221" s="29"/>
      <c r="GQ221" s="29"/>
      <c r="GR221" s="29"/>
      <c r="GS221" s="29"/>
      <c r="GT221" s="29"/>
      <c r="GU221" s="29"/>
      <c r="GV221" s="29"/>
      <c r="GW221" s="29"/>
      <c r="GX221" s="29"/>
      <c r="GY221" s="29"/>
      <c r="GZ221" s="29"/>
      <c r="HA221" s="29"/>
      <c r="HB221" s="29"/>
      <c r="HC221" s="29"/>
      <c r="HD221" s="29"/>
      <c r="HE221" s="29"/>
      <c r="HF221" s="29"/>
      <c r="HG221" s="29"/>
      <c r="HH221" s="29"/>
      <c r="HI221" s="29"/>
      <c r="HJ221" s="29"/>
      <c r="HK221" s="29"/>
      <c r="HL221" s="29"/>
      <c r="HM221" s="29"/>
      <c r="HN221" s="29"/>
      <c r="HO221" s="29"/>
      <c r="HP221" s="29"/>
      <c r="HQ221" s="29"/>
      <c r="HR221" s="29"/>
      <c r="HS221" s="29"/>
      <c r="HT221" s="29"/>
      <c r="HU221" s="29"/>
      <c r="HV221" s="29"/>
      <c r="HW221" s="29"/>
      <c r="HX221" s="29"/>
      <c r="HY221" s="29"/>
      <c r="HZ221" s="29"/>
      <c r="IA221" s="29"/>
      <c r="IB221" s="29"/>
      <c r="IC221" s="29"/>
      <c r="ID221" s="29"/>
      <c r="IE221" s="29"/>
      <c r="IF221" s="29"/>
      <c r="IG221" s="29"/>
      <c r="IH221" s="29"/>
      <c r="II221" s="29"/>
      <c r="IJ221" s="29"/>
      <c r="IK221" s="29"/>
      <c r="IL221" s="29"/>
      <c r="IM221" s="29"/>
      <c r="IN221" s="29"/>
      <c r="IO221" s="29"/>
      <c r="IP221" s="29"/>
      <c r="IQ221" s="29"/>
      <c r="IR221" s="29"/>
      <c r="IS221" s="29"/>
      <c r="IT221" s="29"/>
      <c r="IU221" s="29"/>
      <c r="IV221" s="29"/>
      <c r="IW221" s="29"/>
      <c r="IX221" s="29"/>
      <c r="IY221" s="29"/>
      <c r="IZ221" s="29"/>
      <c r="JA221" s="29"/>
      <c r="JB221" s="29"/>
      <c r="JC221" s="29"/>
      <c r="JD221" s="29"/>
      <c r="JE221" s="29"/>
      <c r="JF221" s="29"/>
      <c r="JG221" s="29"/>
      <c r="JH221" s="29"/>
      <c r="JI221" s="29"/>
      <c r="JJ221" s="29"/>
      <c r="JK221" s="29"/>
      <c r="JL221" s="29"/>
    </row>
    <row r="222" spans="1:272" ht="34.5" customHeight="1">
      <c r="A222" s="30" t="s">
        <v>142</v>
      </c>
      <c r="B222" s="30" t="s">
        <v>72</v>
      </c>
      <c r="C222" s="30" t="s">
        <v>655</v>
      </c>
      <c r="D222" s="30" t="s">
        <v>656</v>
      </c>
      <c r="E222" s="30"/>
      <c r="F222" s="129" t="s">
        <v>608</v>
      </c>
      <c r="G222" s="30" t="s">
        <v>197</v>
      </c>
      <c r="H222" s="30"/>
      <c r="I222" s="30"/>
      <c r="J222" s="30" t="s">
        <v>129</v>
      </c>
      <c r="K222" s="30" t="s">
        <v>91</v>
      </c>
      <c r="L222" s="30"/>
      <c r="M222" s="39">
        <v>2009000</v>
      </c>
      <c r="N222" s="39">
        <v>2009000</v>
      </c>
      <c r="O222" s="30"/>
      <c r="P222" s="30"/>
      <c r="Q222" s="129" t="s">
        <v>294</v>
      </c>
      <c r="R222" s="30"/>
      <c r="S222" s="41">
        <v>2014</v>
      </c>
      <c r="T222" s="31" t="s">
        <v>657</v>
      </c>
      <c r="U222" s="31" t="s">
        <v>658</v>
      </c>
      <c r="V222" s="30" t="s">
        <v>659</v>
      </c>
      <c r="W222" s="129" t="s">
        <v>36</v>
      </c>
      <c r="X222" s="30" t="s">
        <v>345</v>
      </c>
      <c r="Y222" s="30" t="s">
        <v>345</v>
      </c>
      <c r="Z222" s="30" t="s">
        <v>345</v>
      </c>
      <c r="AA222" s="30"/>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c r="BI222" s="29"/>
      <c r="BJ222" s="29"/>
      <c r="BK222" s="29"/>
      <c r="BL222" s="29"/>
      <c r="BM222" s="29"/>
      <c r="BN222" s="29"/>
      <c r="BO222" s="29"/>
      <c r="BP222" s="29"/>
      <c r="BQ222" s="29"/>
      <c r="BR222" s="29"/>
      <c r="BS222" s="29"/>
      <c r="BT222" s="29"/>
      <c r="BU222" s="29"/>
      <c r="BV222" s="29"/>
      <c r="BW222" s="29"/>
      <c r="BX222" s="29"/>
      <c r="BY222" s="29"/>
      <c r="BZ222" s="29"/>
      <c r="CA222" s="29"/>
      <c r="CB222" s="29"/>
      <c r="CC222" s="29"/>
      <c r="CD222" s="29"/>
      <c r="CE222" s="29"/>
      <c r="CF222" s="29"/>
      <c r="CG222" s="29"/>
      <c r="CH222" s="29"/>
      <c r="CI222" s="29"/>
      <c r="CJ222" s="29"/>
      <c r="CK222" s="29"/>
      <c r="CL222" s="29"/>
      <c r="CM222" s="29"/>
      <c r="CN222" s="29"/>
      <c r="CO222" s="29"/>
      <c r="CP222" s="29"/>
      <c r="CQ222" s="29"/>
      <c r="CR222" s="29"/>
      <c r="CS222" s="29"/>
      <c r="CT222" s="29"/>
      <c r="CU222" s="29"/>
      <c r="CV222" s="29"/>
      <c r="CW222" s="29"/>
      <c r="CX222" s="29"/>
      <c r="CY222" s="29"/>
      <c r="CZ222" s="29"/>
      <c r="DA222" s="29"/>
      <c r="DB222" s="29"/>
      <c r="DC222" s="29"/>
      <c r="DD222" s="29"/>
      <c r="DE222" s="29"/>
      <c r="DF222" s="29"/>
      <c r="DG222" s="29"/>
      <c r="DH222" s="29"/>
      <c r="DI222" s="29"/>
      <c r="DJ222" s="29"/>
      <c r="DK222" s="29"/>
      <c r="DL222" s="29"/>
      <c r="DM222" s="29"/>
      <c r="DN222" s="29"/>
      <c r="DO222" s="29"/>
      <c r="DP222" s="29"/>
      <c r="DQ222" s="29"/>
      <c r="DR222" s="29"/>
      <c r="DS222" s="29"/>
      <c r="DT222" s="29"/>
      <c r="DU222" s="29"/>
      <c r="DV222" s="29"/>
      <c r="DW222" s="29"/>
      <c r="DX222" s="29"/>
      <c r="DY222" s="29"/>
      <c r="DZ222" s="29"/>
      <c r="EA222" s="29"/>
      <c r="EB222" s="29"/>
      <c r="EC222" s="29"/>
      <c r="ED222" s="29"/>
      <c r="EE222" s="29"/>
      <c r="EF222" s="29"/>
      <c r="EG222" s="29"/>
      <c r="EH222" s="29"/>
      <c r="EI222" s="29"/>
      <c r="EJ222" s="29"/>
      <c r="EK222" s="29"/>
      <c r="EL222" s="29"/>
      <c r="EM222" s="29"/>
      <c r="EN222" s="29"/>
      <c r="EO222" s="29"/>
      <c r="EP222" s="29"/>
      <c r="EQ222" s="29"/>
      <c r="ER222" s="29"/>
      <c r="ES222" s="29"/>
      <c r="ET222" s="29"/>
      <c r="EU222" s="29"/>
      <c r="EV222" s="29"/>
      <c r="EW222" s="29"/>
      <c r="EX222" s="29"/>
      <c r="EY222" s="29"/>
      <c r="EZ222" s="29"/>
      <c r="FA222" s="29"/>
      <c r="FB222" s="29"/>
      <c r="FC222" s="29"/>
      <c r="FD222" s="29"/>
      <c r="FE222" s="29"/>
      <c r="FF222" s="29"/>
      <c r="FG222" s="29"/>
      <c r="FH222" s="29"/>
      <c r="FI222" s="29"/>
      <c r="FJ222" s="29"/>
      <c r="FK222" s="29"/>
      <c r="FL222" s="29"/>
      <c r="FM222" s="29"/>
      <c r="FN222" s="29"/>
      <c r="FO222" s="29"/>
      <c r="FP222" s="29"/>
      <c r="FQ222" s="29"/>
      <c r="FR222" s="29"/>
      <c r="FS222" s="29"/>
      <c r="FT222" s="29"/>
      <c r="FU222" s="29"/>
      <c r="FV222" s="29"/>
      <c r="FW222" s="29"/>
      <c r="FX222" s="29"/>
      <c r="FY222" s="29"/>
      <c r="FZ222" s="29"/>
      <c r="GA222" s="29"/>
      <c r="GB222" s="29"/>
      <c r="GC222" s="29"/>
      <c r="GD222" s="29"/>
      <c r="GE222" s="29"/>
      <c r="GF222" s="29"/>
      <c r="GG222" s="29"/>
      <c r="GH222" s="29"/>
      <c r="GI222" s="29"/>
      <c r="GJ222" s="29"/>
      <c r="GK222" s="29"/>
      <c r="GL222" s="29"/>
      <c r="GM222" s="29"/>
      <c r="GN222" s="29"/>
      <c r="GO222" s="29"/>
      <c r="GP222" s="29"/>
      <c r="GQ222" s="29"/>
      <c r="GR222" s="29"/>
      <c r="GS222" s="29"/>
      <c r="GT222" s="29"/>
      <c r="GU222" s="29"/>
      <c r="GV222" s="29"/>
      <c r="GW222" s="29"/>
      <c r="GX222" s="29"/>
      <c r="GY222" s="29"/>
      <c r="GZ222" s="29"/>
      <c r="HA222" s="29"/>
      <c r="HB222" s="29"/>
      <c r="HC222" s="29"/>
      <c r="HD222" s="29"/>
      <c r="HE222" s="29"/>
      <c r="HF222" s="29"/>
      <c r="HG222" s="29"/>
      <c r="HH222" s="29"/>
      <c r="HI222" s="29"/>
      <c r="HJ222" s="29"/>
      <c r="HK222" s="29"/>
      <c r="HL222" s="29"/>
      <c r="HM222" s="29"/>
      <c r="HN222" s="29"/>
      <c r="HO222" s="29"/>
      <c r="HP222" s="29"/>
      <c r="HQ222" s="29"/>
      <c r="HR222" s="29"/>
      <c r="HS222" s="29"/>
      <c r="HT222" s="29"/>
      <c r="HU222" s="29"/>
      <c r="HV222" s="29"/>
      <c r="HW222" s="29"/>
      <c r="HX222" s="29"/>
      <c r="HY222" s="29"/>
      <c r="HZ222" s="29"/>
      <c r="IA222" s="29"/>
      <c r="IB222" s="29"/>
      <c r="IC222" s="29"/>
      <c r="ID222" s="29"/>
      <c r="IE222" s="29"/>
      <c r="IF222" s="29"/>
      <c r="IG222" s="29"/>
      <c r="IH222" s="29"/>
      <c r="II222" s="29"/>
      <c r="IJ222" s="29"/>
      <c r="IK222" s="29"/>
      <c r="IL222" s="29"/>
      <c r="IM222" s="29"/>
      <c r="IN222" s="29"/>
      <c r="IO222" s="29"/>
      <c r="IP222" s="29"/>
      <c r="IQ222" s="29"/>
      <c r="IR222" s="29"/>
      <c r="IS222" s="29"/>
      <c r="IT222" s="29"/>
      <c r="IU222" s="29"/>
      <c r="IV222" s="29"/>
      <c r="IW222" s="29"/>
      <c r="IX222" s="29"/>
      <c r="IY222" s="29"/>
      <c r="IZ222" s="29"/>
      <c r="JA222" s="29"/>
      <c r="JB222" s="29"/>
      <c r="JC222" s="29"/>
      <c r="JD222" s="29"/>
      <c r="JE222" s="29"/>
      <c r="JF222" s="29"/>
      <c r="JG222" s="29"/>
      <c r="JH222" s="29"/>
      <c r="JI222" s="29"/>
      <c r="JJ222" s="29"/>
      <c r="JK222" s="29"/>
      <c r="JL222" s="29"/>
    </row>
    <row r="223" spans="1:272" ht="34.5" customHeight="1">
      <c r="A223" s="30" t="s">
        <v>142</v>
      </c>
      <c r="B223" s="30" t="s">
        <v>72</v>
      </c>
      <c r="C223" s="30" t="s">
        <v>525</v>
      </c>
      <c r="D223" s="30" t="s">
        <v>660</v>
      </c>
      <c r="E223" s="30"/>
      <c r="F223" s="129" t="s">
        <v>3362</v>
      </c>
      <c r="G223" s="129" t="s">
        <v>231</v>
      </c>
      <c r="H223" s="30"/>
      <c r="I223" s="30" t="s">
        <v>345</v>
      </c>
      <c r="J223" s="30" t="s">
        <v>129</v>
      </c>
      <c r="K223" s="30" t="s">
        <v>91</v>
      </c>
      <c r="L223" s="30"/>
      <c r="M223" s="39"/>
      <c r="N223" s="39"/>
      <c r="O223" s="30"/>
      <c r="P223" s="30"/>
      <c r="Q223" s="129" t="s">
        <v>294</v>
      </c>
      <c r="R223" s="30" t="s">
        <v>345</v>
      </c>
      <c r="S223" s="30"/>
      <c r="T223" s="31" t="s">
        <v>661</v>
      </c>
      <c r="U223" s="31" t="s">
        <v>662</v>
      </c>
      <c r="V223" s="30" t="s">
        <v>663</v>
      </c>
      <c r="W223" s="129" t="s">
        <v>36</v>
      </c>
      <c r="X223" s="30"/>
      <c r="Y223" s="30"/>
      <c r="Z223" s="30"/>
      <c r="AA223" s="30"/>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c r="BR223" s="29"/>
      <c r="BS223" s="29"/>
      <c r="BT223" s="29"/>
      <c r="BU223" s="29"/>
      <c r="BV223" s="29"/>
      <c r="BW223" s="29"/>
      <c r="BX223" s="29"/>
      <c r="BY223" s="29"/>
      <c r="BZ223" s="29"/>
      <c r="CA223" s="29"/>
      <c r="CB223" s="29"/>
      <c r="CC223" s="29"/>
      <c r="CD223" s="29"/>
      <c r="CE223" s="29"/>
      <c r="CF223" s="29"/>
      <c r="CG223" s="29"/>
      <c r="CH223" s="29"/>
      <c r="CI223" s="29"/>
      <c r="CJ223" s="29"/>
      <c r="CK223" s="29"/>
      <c r="CL223" s="29"/>
      <c r="CM223" s="29"/>
      <c r="CN223" s="29"/>
      <c r="CO223" s="29"/>
      <c r="CP223" s="29"/>
      <c r="CQ223" s="29"/>
      <c r="CR223" s="29"/>
      <c r="CS223" s="29"/>
      <c r="CT223" s="29"/>
      <c r="CU223" s="29"/>
      <c r="CV223" s="29"/>
      <c r="CW223" s="29"/>
      <c r="CX223" s="29"/>
      <c r="CY223" s="29"/>
      <c r="CZ223" s="29"/>
      <c r="DA223" s="29"/>
      <c r="DB223" s="29"/>
      <c r="DC223" s="29"/>
      <c r="DD223" s="29"/>
      <c r="DE223" s="29"/>
      <c r="DF223" s="29"/>
      <c r="DG223" s="29"/>
      <c r="DH223" s="29"/>
      <c r="DI223" s="29"/>
      <c r="DJ223" s="29"/>
      <c r="DK223" s="29"/>
      <c r="DL223" s="29"/>
      <c r="DM223" s="29"/>
      <c r="DN223" s="29"/>
      <c r="DO223" s="29"/>
      <c r="DP223" s="29"/>
      <c r="DQ223" s="29"/>
      <c r="DR223" s="29"/>
      <c r="DS223" s="29"/>
      <c r="DT223" s="29"/>
      <c r="DU223" s="29"/>
      <c r="DV223" s="29"/>
      <c r="DW223" s="29"/>
      <c r="DX223" s="29"/>
      <c r="DY223" s="29"/>
      <c r="DZ223" s="29"/>
      <c r="EA223" s="29"/>
      <c r="EB223" s="29"/>
      <c r="EC223" s="29"/>
      <c r="ED223" s="29"/>
      <c r="EE223" s="29"/>
      <c r="EF223" s="29"/>
      <c r="EG223" s="29"/>
      <c r="EH223" s="29"/>
      <c r="EI223" s="29"/>
      <c r="EJ223" s="29"/>
      <c r="EK223" s="29"/>
      <c r="EL223" s="29"/>
      <c r="EM223" s="29"/>
      <c r="EN223" s="29"/>
      <c r="EO223" s="29"/>
      <c r="EP223" s="29"/>
      <c r="EQ223" s="29"/>
      <c r="ER223" s="29"/>
      <c r="ES223" s="29"/>
      <c r="ET223" s="29"/>
      <c r="EU223" s="29"/>
      <c r="EV223" s="29"/>
      <c r="EW223" s="29"/>
      <c r="EX223" s="29"/>
      <c r="EY223" s="29"/>
      <c r="EZ223" s="29"/>
      <c r="FA223" s="29"/>
      <c r="FB223" s="29"/>
      <c r="FC223" s="29"/>
      <c r="FD223" s="29"/>
      <c r="FE223" s="29"/>
      <c r="FF223" s="29"/>
      <c r="FG223" s="29"/>
      <c r="FH223" s="29"/>
      <c r="FI223" s="29"/>
      <c r="FJ223" s="29"/>
      <c r="FK223" s="29"/>
      <c r="FL223" s="29"/>
      <c r="FM223" s="29"/>
      <c r="FN223" s="29"/>
      <c r="FO223" s="29"/>
      <c r="FP223" s="29"/>
      <c r="FQ223" s="29"/>
      <c r="FR223" s="29"/>
      <c r="FS223" s="29"/>
      <c r="FT223" s="29"/>
      <c r="FU223" s="29"/>
      <c r="FV223" s="29"/>
      <c r="FW223" s="29"/>
      <c r="FX223" s="29"/>
      <c r="FY223" s="29"/>
      <c r="FZ223" s="29"/>
      <c r="GA223" s="29"/>
      <c r="GB223" s="29"/>
      <c r="GC223" s="29"/>
      <c r="GD223" s="29"/>
      <c r="GE223" s="29"/>
      <c r="GF223" s="29"/>
      <c r="GG223" s="29"/>
      <c r="GH223" s="29"/>
      <c r="GI223" s="29"/>
      <c r="GJ223" s="29"/>
      <c r="GK223" s="29"/>
      <c r="GL223" s="29"/>
      <c r="GM223" s="29"/>
      <c r="GN223" s="29"/>
      <c r="GO223" s="29"/>
      <c r="GP223" s="29"/>
      <c r="GQ223" s="29"/>
      <c r="GR223" s="29"/>
      <c r="GS223" s="29"/>
      <c r="GT223" s="29"/>
      <c r="GU223" s="29"/>
      <c r="GV223" s="29"/>
      <c r="GW223" s="29"/>
      <c r="GX223" s="29"/>
      <c r="GY223" s="29"/>
      <c r="GZ223" s="29"/>
      <c r="HA223" s="29"/>
      <c r="HB223" s="29"/>
      <c r="HC223" s="29"/>
      <c r="HD223" s="29"/>
      <c r="HE223" s="29"/>
      <c r="HF223" s="29"/>
      <c r="HG223" s="29"/>
      <c r="HH223" s="29"/>
      <c r="HI223" s="29"/>
      <c r="HJ223" s="29"/>
      <c r="HK223" s="29"/>
      <c r="HL223" s="29"/>
      <c r="HM223" s="29"/>
      <c r="HN223" s="29"/>
      <c r="HO223" s="29"/>
      <c r="HP223" s="29"/>
      <c r="HQ223" s="29"/>
      <c r="HR223" s="29"/>
      <c r="HS223" s="29"/>
      <c r="HT223" s="29"/>
      <c r="HU223" s="29"/>
      <c r="HV223" s="29"/>
      <c r="HW223" s="29"/>
      <c r="HX223" s="29"/>
      <c r="HY223" s="29"/>
      <c r="HZ223" s="29"/>
      <c r="IA223" s="29"/>
      <c r="IB223" s="29"/>
      <c r="IC223" s="29"/>
      <c r="ID223" s="29"/>
      <c r="IE223" s="29"/>
      <c r="IF223" s="29"/>
      <c r="IG223" s="29"/>
      <c r="IH223" s="29"/>
      <c r="II223" s="29"/>
      <c r="IJ223" s="29"/>
      <c r="IK223" s="29"/>
      <c r="IL223" s="29"/>
      <c r="IM223" s="29"/>
      <c r="IN223" s="29"/>
      <c r="IO223" s="29"/>
      <c r="IP223" s="29"/>
      <c r="IQ223" s="29"/>
      <c r="IR223" s="29"/>
      <c r="IS223" s="29"/>
      <c r="IT223" s="29"/>
      <c r="IU223" s="29"/>
      <c r="IV223" s="29"/>
      <c r="IW223" s="29"/>
      <c r="IX223" s="29"/>
      <c r="IY223" s="29"/>
      <c r="IZ223" s="29"/>
      <c r="JA223" s="29"/>
      <c r="JB223" s="29"/>
      <c r="JC223" s="29"/>
      <c r="JD223" s="29"/>
      <c r="JE223" s="29"/>
      <c r="JF223" s="29"/>
      <c r="JG223" s="29"/>
      <c r="JH223" s="29"/>
      <c r="JI223" s="29"/>
      <c r="JJ223" s="29"/>
      <c r="JK223" s="29"/>
      <c r="JL223" s="29"/>
    </row>
    <row r="224" spans="1:272" ht="34.5" customHeight="1">
      <c r="A224" s="30" t="s">
        <v>142</v>
      </c>
      <c r="B224" s="30" t="s">
        <v>72</v>
      </c>
      <c r="C224" s="30" t="s">
        <v>664</v>
      </c>
      <c r="D224" s="30" t="s">
        <v>665</v>
      </c>
      <c r="E224" s="30"/>
      <c r="F224" s="30" t="s">
        <v>608</v>
      </c>
      <c r="G224" s="129" t="s">
        <v>197</v>
      </c>
      <c r="H224" s="30"/>
      <c r="I224" s="30" t="s">
        <v>98</v>
      </c>
      <c r="J224" s="30" t="s">
        <v>129</v>
      </c>
      <c r="K224" s="30"/>
      <c r="L224" s="30"/>
      <c r="M224" s="39">
        <v>9730829</v>
      </c>
      <c r="N224" s="39">
        <v>9730829</v>
      </c>
      <c r="O224" s="30"/>
      <c r="P224" s="30"/>
      <c r="Q224" s="30"/>
      <c r="R224" s="30"/>
      <c r="S224" s="41">
        <v>2014</v>
      </c>
      <c r="T224" s="31" t="s">
        <v>666</v>
      </c>
      <c r="U224" s="31" t="s">
        <v>667</v>
      </c>
      <c r="V224" s="30" t="s">
        <v>668</v>
      </c>
      <c r="W224" s="129" t="s">
        <v>36</v>
      </c>
      <c r="X224" s="30"/>
      <c r="Y224" s="30" t="s">
        <v>669</v>
      </c>
      <c r="Z224" s="30"/>
      <c r="AA224" s="30"/>
    </row>
    <row r="225" spans="1:272" ht="34.5" customHeight="1">
      <c r="A225" s="30" t="s">
        <v>142</v>
      </c>
      <c r="B225" s="30" t="s">
        <v>72</v>
      </c>
      <c r="C225" s="30" t="s">
        <v>525</v>
      </c>
      <c r="D225" s="30" t="s">
        <v>670</v>
      </c>
      <c r="E225" s="30"/>
      <c r="F225" s="129" t="s">
        <v>608</v>
      </c>
      <c r="G225" s="129" t="s">
        <v>197</v>
      </c>
      <c r="H225" s="30"/>
      <c r="I225" s="30" t="s">
        <v>345</v>
      </c>
      <c r="J225" s="30" t="s">
        <v>129</v>
      </c>
      <c r="K225" s="30" t="s">
        <v>91</v>
      </c>
      <c r="L225" s="30"/>
      <c r="M225" s="39"/>
      <c r="N225" s="39"/>
      <c r="O225" s="30"/>
      <c r="P225" s="30"/>
      <c r="Q225" s="30"/>
      <c r="R225" s="30"/>
      <c r="S225" s="30"/>
      <c r="T225" s="31" t="s">
        <v>661</v>
      </c>
      <c r="U225" s="31" t="s">
        <v>662</v>
      </c>
      <c r="V225" s="30" t="s">
        <v>663</v>
      </c>
      <c r="W225" s="129" t="s">
        <v>36</v>
      </c>
      <c r="X225" s="30"/>
      <c r="Y225" s="30"/>
      <c r="Z225" s="30"/>
      <c r="AA225" s="30"/>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c r="BU225" s="29"/>
      <c r="BV225" s="29"/>
      <c r="BW225" s="29"/>
      <c r="BX225" s="29"/>
      <c r="BY225" s="29"/>
      <c r="BZ225" s="29"/>
      <c r="CA225" s="29"/>
      <c r="CB225" s="29"/>
      <c r="CC225" s="29"/>
      <c r="CD225" s="29"/>
      <c r="CE225" s="29"/>
      <c r="CF225" s="29"/>
      <c r="CG225" s="29"/>
      <c r="CH225" s="29"/>
      <c r="CI225" s="29"/>
      <c r="CJ225" s="29"/>
      <c r="CK225" s="29"/>
      <c r="CL225" s="29"/>
      <c r="CM225" s="29"/>
      <c r="CN225" s="29"/>
      <c r="CO225" s="29"/>
      <c r="CP225" s="29"/>
      <c r="CQ225" s="29"/>
      <c r="CR225" s="29"/>
      <c r="CS225" s="29"/>
      <c r="CT225" s="29"/>
      <c r="CU225" s="29"/>
      <c r="CV225" s="29"/>
      <c r="CW225" s="29"/>
      <c r="CX225" s="29"/>
      <c r="CY225" s="29"/>
      <c r="CZ225" s="29"/>
      <c r="DA225" s="29"/>
      <c r="DB225" s="29"/>
      <c r="DC225" s="29"/>
      <c r="DD225" s="29"/>
      <c r="DE225" s="29"/>
      <c r="DF225" s="29"/>
      <c r="DG225" s="29"/>
      <c r="DH225" s="29"/>
      <c r="DI225" s="29"/>
      <c r="DJ225" s="29"/>
      <c r="DK225" s="29"/>
      <c r="DL225" s="29"/>
      <c r="DM225" s="29"/>
      <c r="DN225" s="29"/>
      <c r="DO225" s="29"/>
      <c r="DP225" s="29"/>
      <c r="DQ225" s="29"/>
      <c r="DR225" s="29"/>
      <c r="DS225" s="29"/>
      <c r="DT225" s="29"/>
      <c r="DU225" s="29"/>
      <c r="DV225" s="29"/>
      <c r="DW225" s="29"/>
      <c r="DX225" s="29"/>
      <c r="DY225" s="29"/>
      <c r="DZ225" s="29"/>
      <c r="EA225" s="29"/>
      <c r="EB225" s="29"/>
      <c r="EC225" s="29"/>
      <c r="ED225" s="29"/>
      <c r="EE225" s="29"/>
      <c r="EF225" s="29"/>
      <c r="EG225" s="29"/>
      <c r="EH225" s="29"/>
      <c r="EI225" s="29"/>
      <c r="EJ225" s="29"/>
      <c r="EK225" s="29"/>
      <c r="EL225" s="29"/>
      <c r="EM225" s="29"/>
      <c r="EN225" s="29"/>
      <c r="EO225" s="29"/>
      <c r="EP225" s="29"/>
      <c r="EQ225" s="29"/>
      <c r="ER225" s="29"/>
      <c r="ES225" s="29"/>
      <c r="ET225" s="29"/>
      <c r="EU225" s="29"/>
      <c r="EV225" s="29"/>
      <c r="EW225" s="29"/>
      <c r="EX225" s="29"/>
      <c r="EY225" s="29"/>
      <c r="EZ225" s="29"/>
      <c r="FA225" s="29"/>
      <c r="FB225" s="29"/>
      <c r="FC225" s="29"/>
      <c r="FD225" s="29"/>
      <c r="FE225" s="29"/>
      <c r="FF225" s="29"/>
      <c r="FG225" s="29"/>
      <c r="FH225" s="29"/>
      <c r="FI225" s="29"/>
      <c r="FJ225" s="29"/>
      <c r="FK225" s="29"/>
      <c r="FL225" s="29"/>
      <c r="FM225" s="29"/>
      <c r="FN225" s="29"/>
      <c r="FO225" s="29"/>
      <c r="FP225" s="29"/>
      <c r="FQ225" s="29"/>
      <c r="FR225" s="29"/>
      <c r="FS225" s="29"/>
      <c r="FT225" s="29"/>
      <c r="FU225" s="29"/>
      <c r="FV225" s="29"/>
      <c r="FW225" s="29"/>
      <c r="FX225" s="29"/>
      <c r="FY225" s="29"/>
      <c r="FZ225" s="29"/>
      <c r="GA225" s="29"/>
      <c r="GB225" s="29"/>
      <c r="GC225" s="29"/>
      <c r="GD225" s="29"/>
      <c r="GE225" s="29"/>
      <c r="GF225" s="29"/>
      <c r="GG225" s="29"/>
      <c r="GH225" s="29"/>
      <c r="GI225" s="29"/>
      <c r="GJ225" s="29"/>
      <c r="GK225" s="29"/>
      <c r="GL225" s="29"/>
      <c r="GM225" s="29"/>
      <c r="GN225" s="29"/>
      <c r="GO225" s="29"/>
      <c r="GP225" s="29"/>
      <c r="GQ225" s="29"/>
      <c r="GR225" s="29"/>
      <c r="GS225" s="29"/>
      <c r="GT225" s="29"/>
      <c r="GU225" s="29"/>
      <c r="GV225" s="29"/>
      <c r="GW225" s="29"/>
      <c r="GX225" s="29"/>
      <c r="GY225" s="29"/>
      <c r="GZ225" s="29"/>
      <c r="HA225" s="29"/>
      <c r="HB225" s="29"/>
      <c r="HC225" s="29"/>
      <c r="HD225" s="29"/>
      <c r="HE225" s="29"/>
      <c r="HF225" s="29"/>
      <c r="HG225" s="29"/>
      <c r="HH225" s="29"/>
      <c r="HI225" s="29"/>
      <c r="HJ225" s="29"/>
      <c r="HK225" s="29"/>
      <c r="HL225" s="29"/>
      <c r="HM225" s="29"/>
      <c r="HN225" s="29"/>
      <c r="HO225" s="29"/>
      <c r="HP225" s="29"/>
      <c r="HQ225" s="29"/>
      <c r="HR225" s="29"/>
      <c r="HS225" s="29"/>
      <c r="HT225" s="29"/>
      <c r="HU225" s="29"/>
      <c r="HV225" s="29"/>
      <c r="HW225" s="29"/>
      <c r="HX225" s="29"/>
      <c r="HY225" s="29"/>
      <c r="HZ225" s="29"/>
      <c r="IA225" s="29"/>
      <c r="IB225" s="29"/>
      <c r="IC225" s="29"/>
      <c r="ID225" s="29"/>
      <c r="IE225" s="29"/>
      <c r="IF225" s="29"/>
      <c r="IG225" s="29"/>
      <c r="IH225" s="29"/>
      <c r="II225" s="29"/>
      <c r="IJ225" s="29"/>
      <c r="IK225" s="29"/>
      <c r="IL225" s="29"/>
      <c r="IM225" s="29"/>
      <c r="IN225" s="29"/>
      <c r="IO225" s="29"/>
      <c r="IP225" s="29"/>
      <c r="IQ225" s="29"/>
      <c r="IR225" s="29"/>
      <c r="IS225" s="29"/>
      <c r="IT225" s="29"/>
      <c r="IU225" s="29"/>
      <c r="IV225" s="29"/>
      <c r="IW225" s="29"/>
      <c r="IX225" s="29"/>
      <c r="IY225" s="29"/>
      <c r="IZ225" s="29"/>
      <c r="JA225" s="29"/>
      <c r="JB225" s="29"/>
      <c r="JC225" s="29"/>
      <c r="JD225" s="29"/>
      <c r="JE225" s="29"/>
      <c r="JF225" s="29"/>
      <c r="JG225" s="29"/>
      <c r="JH225" s="29"/>
      <c r="JI225" s="29"/>
      <c r="JJ225" s="29"/>
      <c r="JK225" s="29"/>
      <c r="JL225" s="29"/>
    </row>
    <row r="226" spans="1:272" ht="38.25" customHeight="1">
      <c r="A226" s="30" t="s">
        <v>142</v>
      </c>
      <c r="B226" s="30" t="s">
        <v>72</v>
      </c>
      <c r="C226" s="30" t="s">
        <v>671</v>
      </c>
      <c r="D226" s="30" t="s">
        <v>672</v>
      </c>
      <c r="E226" s="129" t="s">
        <v>96</v>
      </c>
      <c r="F226" s="145" t="s">
        <v>822</v>
      </c>
      <c r="G226" s="147" t="s">
        <v>3376</v>
      </c>
      <c r="H226" s="30" t="s">
        <v>673</v>
      </c>
      <c r="I226" s="30" t="s">
        <v>674</v>
      </c>
      <c r="J226" s="30" t="s">
        <v>129</v>
      </c>
      <c r="K226" s="30" t="s">
        <v>675</v>
      </c>
      <c r="L226" s="30" t="s">
        <v>676</v>
      </c>
      <c r="M226" s="39">
        <v>2500</v>
      </c>
      <c r="N226" s="39">
        <v>10000000</v>
      </c>
      <c r="O226" s="30" t="s">
        <v>79</v>
      </c>
      <c r="P226" s="30" t="s">
        <v>677</v>
      </c>
      <c r="Q226" s="30" t="s">
        <v>294</v>
      </c>
      <c r="R226" s="30" t="s">
        <v>345</v>
      </c>
      <c r="S226" s="41">
        <v>2014</v>
      </c>
      <c r="T226" s="31" t="s">
        <v>678</v>
      </c>
      <c r="U226" s="31" t="s">
        <v>679</v>
      </c>
      <c r="V226" s="30" t="s">
        <v>680</v>
      </c>
      <c r="W226" s="129" t="s">
        <v>36</v>
      </c>
      <c r="X226" s="30" t="s">
        <v>345</v>
      </c>
      <c r="Y226" s="30" t="s">
        <v>345</v>
      </c>
      <c r="Z226" s="30" t="s">
        <v>345</v>
      </c>
      <c r="AA226" s="30" t="s">
        <v>302</v>
      </c>
    </row>
    <row r="227" spans="1:272" ht="38.25" customHeight="1">
      <c r="A227" s="30" t="s">
        <v>142</v>
      </c>
      <c r="B227" s="30" t="s">
        <v>72</v>
      </c>
      <c r="C227" s="30" t="s">
        <v>681</v>
      </c>
      <c r="D227" s="30" t="s">
        <v>682</v>
      </c>
      <c r="E227" s="30" t="s">
        <v>683</v>
      </c>
      <c r="F227" s="145" t="s">
        <v>822</v>
      </c>
      <c r="G227" s="147" t="s">
        <v>3375</v>
      </c>
      <c r="H227" s="30" t="s">
        <v>684</v>
      </c>
      <c r="I227" s="30" t="s">
        <v>685</v>
      </c>
      <c r="J227" s="30" t="s">
        <v>129</v>
      </c>
      <c r="K227" s="30" t="s">
        <v>686</v>
      </c>
      <c r="L227" s="30" t="s">
        <v>687</v>
      </c>
      <c r="M227" s="39">
        <v>2500</v>
      </c>
      <c r="N227" s="39">
        <v>1500000</v>
      </c>
      <c r="O227" s="30" t="s">
        <v>79</v>
      </c>
      <c r="P227" s="30" t="s">
        <v>302</v>
      </c>
      <c r="Q227" s="30" t="s">
        <v>294</v>
      </c>
      <c r="R227" s="129" t="s">
        <v>150</v>
      </c>
      <c r="S227" s="41">
        <v>2014</v>
      </c>
      <c r="T227" s="31" t="s">
        <v>678</v>
      </c>
      <c r="U227" s="31" t="s">
        <v>679</v>
      </c>
      <c r="V227" s="30" t="s">
        <v>680</v>
      </c>
      <c r="W227" s="129" t="s">
        <v>36</v>
      </c>
      <c r="X227" s="44">
        <v>41586</v>
      </c>
      <c r="Y227" s="30" t="s">
        <v>345</v>
      </c>
      <c r="Z227" s="30" t="s">
        <v>345</v>
      </c>
      <c r="AA227" s="30" t="s">
        <v>302</v>
      </c>
    </row>
    <row r="228" spans="1:272" ht="34.5" customHeight="1">
      <c r="A228" s="30" t="s">
        <v>142</v>
      </c>
      <c r="B228" s="30" t="s">
        <v>72</v>
      </c>
      <c r="C228" s="30"/>
      <c r="D228" s="30" t="s">
        <v>688</v>
      </c>
      <c r="E228" s="30"/>
      <c r="F228" s="30" t="s">
        <v>689</v>
      </c>
      <c r="G228" s="129" t="s">
        <v>215</v>
      </c>
      <c r="H228" s="30"/>
      <c r="I228" s="30"/>
      <c r="J228" s="30" t="s">
        <v>129</v>
      </c>
      <c r="K228" s="30" t="s">
        <v>91</v>
      </c>
      <c r="L228" s="30"/>
      <c r="M228" s="39"/>
      <c r="N228" s="39">
        <v>13000</v>
      </c>
      <c r="O228" s="30"/>
      <c r="P228" s="30"/>
      <c r="Q228" s="30" t="s">
        <v>294</v>
      </c>
      <c r="R228" s="30"/>
      <c r="S228" s="41">
        <v>2014</v>
      </c>
      <c r="T228" s="31" t="s">
        <v>690</v>
      </c>
      <c r="U228" s="31" t="s">
        <v>691</v>
      </c>
      <c r="V228" s="30" t="s">
        <v>692</v>
      </c>
      <c r="W228" s="129" t="s">
        <v>36</v>
      </c>
      <c r="X228" s="30" t="s">
        <v>345</v>
      </c>
      <c r="Y228" s="44">
        <v>41583</v>
      </c>
      <c r="Z228" s="30" t="s">
        <v>345</v>
      </c>
      <c r="AA228" s="30"/>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c r="BG228" s="29"/>
      <c r="BH228" s="29"/>
      <c r="BI228" s="29"/>
      <c r="BJ228" s="29"/>
      <c r="BK228" s="29"/>
      <c r="BL228" s="29"/>
      <c r="BM228" s="29"/>
      <c r="BN228" s="29"/>
      <c r="BO228" s="29"/>
      <c r="BP228" s="29"/>
      <c r="BQ228" s="29"/>
      <c r="BR228" s="29"/>
      <c r="BS228" s="29"/>
      <c r="BT228" s="29"/>
      <c r="BU228" s="29"/>
      <c r="BV228" s="29"/>
      <c r="BW228" s="29"/>
      <c r="BX228" s="29"/>
      <c r="BY228" s="29"/>
      <c r="BZ228" s="29"/>
      <c r="CA228" s="29"/>
      <c r="CB228" s="29"/>
      <c r="CC228" s="29"/>
      <c r="CD228" s="29"/>
      <c r="CE228" s="29"/>
      <c r="CF228" s="29"/>
      <c r="CG228" s="29"/>
      <c r="CH228" s="29"/>
      <c r="CI228" s="29"/>
      <c r="CJ228" s="29"/>
      <c r="CK228" s="29"/>
      <c r="CL228" s="29"/>
      <c r="CM228" s="29"/>
      <c r="CN228" s="29"/>
      <c r="CO228" s="29"/>
      <c r="CP228" s="29"/>
      <c r="CQ228" s="29"/>
      <c r="CR228" s="29"/>
      <c r="CS228" s="29"/>
      <c r="CT228" s="29"/>
      <c r="CU228" s="29"/>
      <c r="CV228" s="29"/>
      <c r="CW228" s="29"/>
      <c r="CX228" s="29"/>
      <c r="CY228" s="29"/>
      <c r="CZ228" s="29"/>
      <c r="DA228" s="29"/>
      <c r="DB228" s="29"/>
      <c r="DC228" s="29"/>
      <c r="DD228" s="29"/>
      <c r="DE228" s="29"/>
      <c r="DF228" s="29"/>
      <c r="DG228" s="29"/>
      <c r="DH228" s="29"/>
      <c r="DI228" s="29"/>
      <c r="DJ228" s="29"/>
      <c r="DK228" s="29"/>
      <c r="DL228" s="29"/>
      <c r="DM228" s="29"/>
      <c r="DN228" s="29"/>
      <c r="DO228" s="29"/>
      <c r="DP228" s="29"/>
      <c r="DQ228" s="29"/>
      <c r="DR228" s="29"/>
      <c r="DS228" s="29"/>
      <c r="DT228" s="29"/>
      <c r="DU228" s="29"/>
      <c r="DV228" s="29"/>
      <c r="DW228" s="29"/>
      <c r="DX228" s="29"/>
      <c r="DY228" s="29"/>
      <c r="DZ228" s="29"/>
      <c r="EA228" s="29"/>
      <c r="EB228" s="29"/>
      <c r="EC228" s="29"/>
      <c r="ED228" s="29"/>
      <c r="EE228" s="29"/>
      <c r="EF228" s="29"/>
      <c r="EG228" s="29"/>
      <c r="EH228" s="29"/>
      <c r="EI228" s="29"/>
      <c r="EJ228" s="29"/>
      <c r="EK228" s="29"/>
      <c r="EL228" s="29"/>
      <c r="EM228" s="29"/>
      <c r="EN228" s="29"/>
      <c r="EO228" s="29"/>
      <c r="EP228" s="29"/>
      <c r="EQ228" s="29"/>
      <c r="ER228" s="29"/>
      <c r="ES228" s="29"/>
      <c r="ET228" s="29"/>
      <c r="EU228" s="29"/>
      <c r="EV228" s="29"/>
      <c r="EW228" s="29"/>
      <c r="EX228" s="29"/>
      <c r="EY228" s="29"/>
      <c r="EZ228" s="29"/>
      <c r="FA228" s="29"/>
      <c r="FB228" s="29"/>
      <c r="FC228" s="29"/>
      <c r="FD228" s="29"/>
      <c r="FE228" s="29"/>
      <c r="FF228" s="29"/>
      <c r="FG228" s="29"/>
      <c r="FH228" s="29"/>
      <c r="FI228" s="29"/>
      <c r="FJ228" s="29"/>
      <c r="FK228" s="29"/>
      <c r="FL228" s="29"/>
      <c r="FM228" s="29"/>
      <c r="FN228" s="29"/>
      <c r="FO228" s="29"/>
      <c r="FP228" s="29"/>
      <c r="FQ228" s="29"/>
      <c r="FR228" s="29"/>
      <c r="FS228" s="29"/>
      <c r="FT228" s="29"/>
      <c r="FU228" s="29"/>
      <c r="FV228" s="29"/>
      <c r="FW228" s="29"/>
      <c r="FX228" s="29"/>
      <c r="FY228" s="29"/>
      <c r="FZ228" s="29"/>
      <c r="GA228" s="29"/>
      <c r="GB228" s="29"/>
      <c r="GC228" s="29"/>
      <c r="GD228" s="29"/>
      <c r="GE228" s="29"/>
      <c r="GF228" s="29"/>
      <c r="GG228" s="29"/>
      <c r="GH228" s="29"/>
      <c r="GI228" s="29"/>
      <c r="GJ228" s="29"/>
      <c r="GK228" s="29"/>
      <c r="GL228" s="29"/>
      <c r="GM228" s="29"/>
      <c r="GN228" s="29"/>
      <c r="GO228" s="29"/>
      <c r="GP228" s="29"/>
      <c r="GQ228" s="29"/>
      <c r="GR228" s="29"/>
      <c r="GS228" s="29"/>
      <c r="GT228" s="29"/>
      <c r="GU228" s="29"/>
      <c r="GV228" s="29"/>
      <c r="GW228" s="29"/>
      <c r="GX228" s="29"/>
      <c r="GY228" s="29"/>
      <c r="GZ228" s="29"/>
      <c r="HA228" s="29"/>
      <c r="HB228" s="29"/>
      <c r="HC228" s="29"/>
      <c r="HD228" s="29"/>
      <c r="HE228" s="29"/>
      <c r="HF228" s="29"/>
      <c r="HG228" s="29"/>
      <c r="HH228" s="29"/>
      <c r="HI228" s="29"/>
      <c r="HJ228" s="29"/>
      <c r="HK228" s="29"/>
      <c r="HL228" s="29"/>
      <c r="HM228" s="29"/>
      <c r="HN228" s="29"/>
      <c r="HO228" s="29"/>
      <c r="HP228" s="29"/>
      <c r="HQ228" s="29"/>
      <c r="HR228" s="29"/>
      <c r="HS228" s="29"/>
      <c r="HT228" s="29"/>
      <c r="HU228" s="29"/>
      <c r="HV228" s="29"/>
      <c r="HW228" s="29"/>
      <c r="HX228" s="29"/>
      <c r="HY228" s="29"/>
      <c r="HZ228" s="29"/>
      <c r="IA228" s="29"/>
      <c r="IB228" s="29"/>
      <c r="IC228" s="29"/>
      <c r="ID228" s="29"/>
      <c r="IE228" s="29"/>
      <c r="IF228" s="29"/>
      <c r="IG228" s="29"/>
      <c r="IH228" s="29"/>
      <c r="II228" s="29"/>
      <c r="IJ228" s="29"/>
      <c r="IK228" s="29"/>
      <c r="IL228" s="29"/>
      <c r="IM228" s="29"/>
      <c r="IN228" s="29"/>
      <c r="IO228" s="29"/>
      <c r="IP228" s="29"/>
      <c r="IQ228" s="29"/>
      <c r="IR228" s="29"/>
      <c r="IS228" s="29"/>
      <c r="IT228" s="29"/>
      <c r="IU228" s="29"/>
      <c r="IV228" s="29"/>
      <c r="IW228" s="29"/>
      <c r="IX228" s="29"/>
      <c r="IY228" s="29"/>
      <c r="IZ228" s="29"/>
      <c r="JA228" s="29"/>
      <c r="JB228" s="29"/>
      <c r="JC228" s="29"/>
      <c r="JD228" s="29"/>
      <c r="JE228" s="29"/>
      <c r="JF228" s="29"/>
      <c r="JG228" s="29"/>
      <c r="JH228" s="29"/>
      <c r="JI228" s="29"/>
      <c r="JJ228" s="29"/>
      <c r="JK228" s="29"/>
      <c r="JL228" s="29"/>
    </row>
    <row r="229" spans="1:272" ht="34.5" customHeight="1">
      <c r="A229" s="30" t="s">
        <v>142</v>
      </c>
      <c r="B229" s="30" t="s">
        <v>72</v>
      </c>
      <c r="C229" s="30"/>
      <c r="D229" s="30" t="s">
        <v>693</v>
      </c>
      <c r="E229" s="30"/>
      <c r="F229" s="30" t="s">
        <v>694</v>
      </c>
      <c r="G229" s="129" t="s">
        <v>215</v>
      </c>
      <c r="H229" s="30"/>
      <c r="I229" s="30"/>
      <c r="J229" s="30" t="s">
        <v>129</v>
      </c>
      <c r="K229" s="30" t="s">
        <v>91</v>
      </c>
      <c r="L229" s="30"/>
      <c r="M229" s="39"/>
      <c r="N229" s="45" t="s">
        <v>695</v>
      </c>
      <c r="O229" s="30"/>
      <c r="P229" s="30"/>
      <c r="Q229" s="30" t="s">
        <v>294</v>
      </c>
      <c r="R229" s="30"/>
      <c r="S229" s="41">
        <v>2014</v>
      </c>
      <c r="T229" s="31" t="s">
        <v>690</v>
      </c>
      <c r="U229" s="31" t="s">
        <v>691</v>
      </c>
      <c r="V229" s="30" t="s">
        <v>692</v>
      </c>
      <c r="W229" s="129" t="s">
        <v>36</v>
      </c>
      <c r="X229" s="30" t="s">
        <v>345</v>
      </c>
      <c r="Y229" s="44">
        <v>41397</v>
      </c>
      <c r="Z229" s="30" t="s">
        <v>345</v>
      </c>
      <c r="AA229" s="30"/>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29"/>
      <c r="BO229" s="29"/>
      <c r="BP229" s="29"/>
      <c r="BQ229" s="29"/>
      <c r="BR229" s="29"/>
      <c r="BS229" s="29"/>
      <c r="BT229" s="29"/>
      <c r="BU229" s="29"/>
      <c r="BV229" s="29"/>
      <c r="BW229" s="29"/>
      <c r="BX229" s="29"/>
      <c r="BY229" s="29"/>
      <c r="BZ229" s="29"/>
      <c r="CA229" s="29"/>
      <c r="CB229" s="29"/>
      <c r="CC229" s="29"/>
      <c r="CD229" s="29"/>
      <c r="CE229" s="29"/>
      <c r="CF229" s="29"/>
      <c r="CG229" s="29"/>
      <c r="CH229" s="29"/>
      <c r="CI229" s="29"/>
      <c r="CJ229" s="29"/>
      <c r="CK229" s="29"/>
      <c r="CL229" s="29"/>
      <c r="CM229" s="29"/>
      <c r="CN229" s="29"/>
      <c r="CO229" s="29"/>
      <c r="CP229" s="29"/>
      <c r="CQ229" s="29"/>
      <c r="CR229" s="29"/>
      <c r="CS229" s="29"/>
      <c r="CT229" s="29"/>
      <c r="CU229" s="29"/>
      <c r="CV229" s="29"/>
      <c r="CW229" s="29"/>
      <c r="CX229" s="29"/>
      <c r="CY229" s="29"/>
      <c r="CZ229" s="29"/>
      <c r="DA229" s="29"/>
      <c r="DB229" s="29"/>
      <c r="DC229" s="29"/>
      <c r="DD229" s="29"/>
      <c r="DE229" s="29"/>
      <c r="DF229" s="29"/>
      <c r="DG229" s="29"/>
      <c r="DH229" s="29"/>
      <c r="DI229" s="29"/>
      <c r="DJ229" s="29"/>
      <c r="DK229" s="29"/>
      <c r="DL229" s="29"/>
      <c r="DM229" s="29"/>
      <c r="DN229" s="29"/>
      <c r="DO229" s="29"/>
      <c r="DP229" s="29"/>
      <c r="DQ229" s="29"/>
      <c r="DR229" s="29"/>
      <c r="DS229" s="29"/>
      <c r="DT229" s="29"/>
      <c r="DU229" s="29"/>
      <c r="DV229" s="29"/>
      <c r="DW229" s="29"/>
      <c r="DX229" s="29"/>
      <c r="DY229" s="29"/>
      <c r="DZ229" s="29"/>
      <c r="EA229" s="29"/>
      <c r="EB229" s="29"/>
      <c r="EC229" s="29"/>
      <c r="ED229" s="29"/>
      <c r="EE229" s="29"/>
      <c r="EF229" s="29"/>
      <c r="EG229" s="29"/>
      <c r="EH229" s="29"/>
      <c r="EI229" s="29"/>
      <c r="EJ229" s="29"/>
      <c r="EK229" s="29"/>
      <c r="EL229" s="29"/>
      <c r="EM229" s="29"/>
      <c r="EN229" s="29"/>
      <c r="EO229" s="29"/>
      <c r="EP229" s="29"/>
      <c r="EQ229" s="29"/>
      <c r="ER229" s="29"/>
      <c r="ES229" s="29"/>
      <c r="ET229" s="29"/>
      <c r="EU229" s="29"/>
      <c r="EV229" s="29"/>
      <c r="EW229" s="29"/>
      <c r="EX229" s="29"/>
      <c r="EY229" s="29"/>
      <c r="EZ229" s="29"/>
      <c r="FA229" s="29"/>
      <c r="FB229" s="29"/>
      <c r="FC229" s="29"/>
      <c r="FD229" s="29"/>
      <c r="FE229" s="29"/>
      <c r="FF229" s="29"/>
      <c r="FG229" s="29"/>
      <c r="FH229" s="29"/>
      <c r="FI229" s="29"/>
      <c r="FJ229" s="29"/>
      <c r="FK229" s="29"/>
      <c r="FL229" s="29"/>
      <c r="FM229" s="29"/>
      <c r="FN229" s="29"/>
      <c r="FO229" s="29"/>
      <c r="FP229" s="29"/>
      <c r="FQ229" s="29"/>
      <c r="FR229" s="29"/>
      <c r="FS229" s="29"/>
      <c r="FT229" s="29"/>
      <c r="FU229" s="29"/>
      <c r="FV229" s="29"/>
      <c r="FW229" s="29"/>
      <c r="FX229" s="29"/>
      <c r="FY229" s="29"/>
      <c r="FZ229" s="29"/>
      <c r="GA229" s="29"/>
      <c r="GB229" s="29"/>
      <c r="GC229" s="29"/>
      <c r="GD229" s="29"/>
      <c r="GE229" s="29"/>
      <c r="GF229" s="29"/>
      <c r="GG229" s="29"/>
      <c r="GH229" s="29"/>
      <c r="GI229" s="29"/>
      <c r="GJ229" s="29"/>
      <c r="GK229" s="29"/>
      <c r="GL229" s="29"/>
      <c r="GM229" s="29"/>
      <c r="GN229" s="29"/>
      <c r="GO229" s="29"/>
      <c r="GP229" s="29"/>
      <c r="GQ229" s="29"/>
      <c r="GR229" s="29"/>
      <c r="GS229" s="29"/>
      <c r="GT229" s="29"/>
      <c r="GU229" s="29"/>
      <c r="GV229" s="29"/>
      <c r="GW229" s="29"/>
      <c r="GX229" s="29"/>
      <c r="GY229" s="29"/>
      <c r="GZ229" s="29"/>
      <c r="HA229" s="29"/>
      <c r="HB229" s="29"/>
      <c r="HC229" s="29"/>
      <c r="HD229" s="29"/>
      <c r="HE229" s="29"/>
      <c r="HF229" s="29"/>
      <c r="HG229" s="29"/>
      <c r="HH229" s="29"/>
      <c r="HI229" s="29"/>
      <c r="HJ229" s="29"/>
      <c r="HK229" s="29"/>
      <c r="HL229" s="29"/>
      <c r="HM229" s="29"/>
      <c r="HN229" s="29"/>
      <c r="HO229" s="29"/>
      <c r="HP229" s="29"/>
      <c r="HQ229" s="29"/>
      <c r="HR229" s="29"/>
      <c r="HS229" s="29"/>
      <c r="HT229" s="29"/>
      <c r="HU229" s="29"/>
      <c r="HV229" s="29"/>
      <c r="HW229" s="29"/>
      <c r="HX229" s="29"/>
      <c r="HY229" s="29"/>
      <c r="HZ229" s="29"/>
      <c r="IA229" s="29"/>
      <c r="IB229" s="29"/>
      <c r="IC229" s="29"/>
      <c r="ID229" s="29"/>
      <c r="IE229" s="29"/>
      <c r="IF229" s="29"/>
      <c r="IG229" s="29"/>
      <c r="IH229" s="29"/>
      <c r="II229" s="29"/>
      <c r="IJ229" s="29"/>
      <c r="IK229" s="29"/>
      <c r="IL229" s="29"/>
      <c r="IM229" s="29"/>
      <c r="IN229" s="29"/>
      <c r="IO229" s="29"/>
      <c r="IP229" s="29"/>
      <c r="IQ229" s="29"/>
      <c r="IR229" s="29"/>
      <c r="IS229" s="29"/>
      <c r="IT229" s="29"/>
      <c r="IU229" s="29"/>
      <c r="IV229" s="29"/>
      <c r="IW229" s="29"/>
      <c r="IX229" s="29"/>
      <c r="IY229" s="29"/>
      <c r="IZ229" s="29"/>
      <c r="JA229" s="29"/>
      <c r="JB229" s="29"/>
      <c r="JC229" s="29"/>
      <c r="JD229" s="29"/>
      <c r="JE229" s="29"/>
      <c r="JF229" s="29"/>
      <c r="JG229" s="29"/>
      <c r="JH229" s="29"/>
      <c r="JI229" s="29"/>
      <c r="JJ229" s="29"/>
      <c r="JK229" s="29"/>
      <c r="JL229" s="29"/>
    </row>
    <row r="230" spans="1:272" ht="34.5" customHeight="1">
      <c r="A230" s="30" t="s">
        <v>142</v>
      </c>
      <c r="B230" s="30" t="s">
        <v>72</v>
      </c>
      <c r="C230" s="30"/>
      <c r="D230" s="30" t="s">
        <v>696</v>
      </c>
      <c r="E230" s="30"/>
      <c r="F230" s="30" t="s">
        <v>694</v>
      </c>
      <c r="G230" s="129" t="s">
        <v>215</v>
      </c>
      <c r="H230" s="30"/>
      <c r="I230" s="30"/>
      <c r="J230" s="30" t="s">
        <v>129</v>
      </c>
      <c r="K230" s="30" t="s">
        <v>91</v>
      </c>
      <c r="L230" s="30"/>
      <c r="M230" s="39"/>
      <c r="N230" s="39">
        <v>3678.08</v>
      </c>
      <c r="O230" s="30"/>
      <c r="P230" s="30"/>
      <c r="Q230" s="30" t="s">
        <v>294</v>
      </c>
      <c r="R230" s="30"/>
      <c r="S230" s="41">
        <v>2014</v>
      </c>
      <c r="T230" s="31" t="s">
        <v>690</v>
      </c>
      <c r="U230" s="31" t="s">
        <v>691</v>
      </c>
      <c r="V230" s="30" t="s">
        <v>692</v>
      </c>
      <c r="W230" s="129" t="s">
        <v>36</v>
      </c>
      <c r="X230" s="30" t="s">
        <v>345</v>
      </c>
      <c r="Y230" s="30" t="s">
        <v>345</v>
      </c>
      <c r="Z230" s="30" t="s">
        <v>345</v>
      </c>
      <c r="AA230" s="30"/>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c r="BU230" s="29"/>
      <c r="BV230" s="29"/>
      <c r="BW230" s="29"/>
      <c r="BX230" s="29"/>
      <c r="BY230" s="29"/>
      <c r="BZ230" s="29"/>
      <c r="CA230" s="29"/>
      <c r="CB230" s="29"/>
      <c r="CC230" s="29"/>
      <c r="CD230" s="29"/>
      <c r="CE230" s="29"/>
      <c r="CF230" s="29"/>
      <c r="CG230" s="29"/>
      <c r="CH230" s="29"/>
      <c r="CI230" s="29"/>
      <c r="CJ230" s="29"/>
      <c r="CK230" s="29"/>
      <c r="CL230" s="29"/>
      <c r="CM230" s="29"/>
      <c r="CN230" s="29"/>
      <c r="CO230" s="29"/>
      <c r="CP230" s="29"/>
      <c r="CQ230" s="29"/>
      <c r="CR230" s="29"/>
      <c r="CS230" s="29"/>
      <c r="CT230" s="29"/>
      <c r="CU230" s="29"/>
      <c r="CV230" s="29"/>
      <c r="CW230" s="29"/>
      <c r="CX230" s="29"/>
      <c r="CY230" s="29"/>
      <c r="CZ230" s="29"/>
      <c r="DA230" s="29"/>
      <c r="DB230" s="29"/>
      <c r="DC230" s="29"/>
      <c r="DD230" s="29"/>
      <c r="DE230" s="29"/>
      <c r="DF230" s="29"/>
      <c r="DG230" s="29"/>
      <c r="DH230" s="29"/>
      <c r="DI230" s="29"/>
      <c r="DJ230" s="29"/>
      <c r="DK230" s="29"/>
      <c r="DL230" s="29"/>
      <c r="DM230" s="29"/>
      <c r="DN230" s="29"/>
      <c r="DO230" s="29"/>
      <c r="DP230" s="29"/>
      <c r="DQ230" s="29"/>
      <c r="DR230" s="29"/>
      <c r="DS230" s="29"/>
      <c r="DT230" s="29"/>
      <c r="DU230" s="29"/>
      <c r="DV230" s="29"/>
      <c r="DW230" s="29"/>
      <c r="DX230" s="29"/>
      <c r="DY230" s="29"/>
      <c r="DZ230" s="29"/>
      <c r="EA230" s="29"/>
      <c r="EB230" s="29"/>
      <c r="EC230" s="29"/>
      <c r="ED230" s="29"/>
      <c r="EE230" s="29"/>
      <c r="EF230" s="29"/>
      <c r="EG230" s="29"/>
      <c r="EH230" s="29"/>
      <c r="EI230" s="29"/>
      <c r="EJ230" s="29"/>
      <c r="EK230" s="29"/>
      <c r="EL230" s="29"/>
      <c r="EM230" s="29"/>
      <c r="EN230" s="29"/>
      <c r="EO230" s="29"/>
      <c r="EP230" s="29"/>
      <c r="EQ230" s="29"/>
      <c r="ER230" s="29"/>
      <c r="ES230" s="29"/>
      <c r="ET230" s="29"/>
      <c r="EU230" s="29"/>
      <c r="EV230" s="29"/>
      <c r="EW230" s="29"/>
      <c r="EX230" s="29"/>
      <c r="EY230" s="29"/>
      <c r="EZ230" s="29"/>
      <c r="FA230" s="29"/>
      <c r="FB230" s="29"/>
      <c r="FC230" s="29"/>
      <c r="FD230" s="29"/>
      <c r="FE230" s="29"/>
      <c r="FF230" s="29"/>
      <c r="FG230" s="29"/>
      <c r="FH230" s="29"/>
      <c r="FI230" s="29"/>
      <c r="FJ230" s="29"/>
      <c r="FK230" s="29"/>
      <c r="FL230" s="29"/>
      <c r="FM230" s="29"/>
      <c r="FN230" s="29"/>
      <c r="FO230" s="29"/>
      <c r="FP230" s="29"/>
      <c r="FQ230" s="29"/>
      <c r="FR230" s="29"/>
      <c r="FS230" s="29"/>
      <c r="FT230" s="29"/>
      <c r="FU230" s="29"/>
      <c r="FV230" s="29"/>
      <c r="FW230" s="29"/>
      <c r="FX230" s="29"/>
      <c r="FY230" s="29"/>
      <c r="FZ230" s="29"/>
      <c r="GA230" s="29"/>
      <c r="GB230" s="29"/>
      <c r="GC230" s="29"/>
      <c r="GD230" s="29"/>
      <c r="GE230" s="29"/>
      <c r="GF230" s="29"/>
      <c r="GG230" s="29"/>
      <c r="GH230" s="29"/>
      <c r="GI230" s="29"/>
      <c r="GJ230" s="29"/>
      <c r="GK230" s="29"/>
      <c r="GL230" s="29"/>
      <c r="GM230" s="29"/>
      <c r="GN230" s="29"/>
      <c r="GO230" s="29"/>
      <c r="GP230" s="29"/>
      <c r="GQ230" s="29"/>
      <c r="GR230" s="29"/>
      <c r="GS230" s="29"/>
      <c r="GT230" s="29"/>
      <c r="GU230" s="29"/>
      <c r="GV230" s="29"/>
      <c r="GW230" s="29"/>
      <c r="GX230" s="29"/>
      <c r="GY230" s="29"/>
      <c r="GZ230" s="29"/>
      <c r="HA230" s="29"/>
      <c r="HB230" s="29"/>
      <c r="HC230" s="29"/>
      <c r="HD230" s="29"/>
      <c r="HE230" s="29"/>
      <c r="HF230" s="29"/>
      <c r="HG230" s="29"/>
      <c r="HH230" s="29"/>
      <c r="HI230" s="29"/>
      <c r="HJ230" s="29"/>
      <c r="HK230" s="29"/>
      <c r="HL230" s="29"/>
      <c r="HM230" s="29"/>
      <c r="HN230" s="29"/>
      <c r="HO230" s="29"/>
      <c r="HP230" s="29"/>
      <c r="HQ230" s="29"/>
      <c r="HR230" s="29"/>
      <c r="HS230" s="29"/>
      <c r="HT230" s="29"/>
      <c r="HU230" s="29"/>
      <c r="HV230" s="29"/>
      <c r="HW230" s="29"/>
      <c r="HX230" s="29"/>
      <c r="HY230" s="29"/>
      <c r="HZ230" s="29"/>
      <c r="IA230" s="29"/>
      <c r="IB230" s="29"/>
      <c r="IC230" s="29"/>
      <c r="ID230" s="29"/>
      <c r="IE230" s="29"/>
      <c r="IF230" s="29"/>
      <c r="IG230" s="29"/>
      <c r="IH230" s="29"/>
      <c r="II230" s="29"/>
      <c r="IJ230" s="29"/>
      <c r="IK230" s="29"/>
      <c r="IL230" s="29"/>
      <c r="IM230" s="29"/>
      <c r="IN230" s="29"/>
      <c r="IO230" s="29"/>
      <c r="IP230" s="29"/>
      <c r="IQ230" s="29"/>
      <c r="IR230" s="29"/>
      <c r="IS230" s="29"/>
      <c r="IT230" s="29"/>
      <c r="IU230" s="29"/>
      <c r="IV230" s="29"/>
      <c r="IW230" s="29"/>
      <c r="IX230" s="29"/>
      <c r="IY230" s="29"/>
      <c r="IZ230" s="29"/>
      <c r="JA230" s="29"/>
      <c r="JB230" s="29"/>
      <c r="JC230" s="29"/>
      <c r="JD230" s="29"/>
      <c r="JE230" s="29"/>
      <c r="JF230" s="29"/>
      <c r="JG230" s="29"/>
      <c r="JH230" s="29"/>
      <c r="JI230" s="29"/>
      <c r="JJ230" s="29"/>
      <c r="JK230" s="29"/>
      <c r="JL230" s="29"/>
    </row>
    <row r="231" spans="1:272" ht="34.5" customHeight="1">
      <c r="A231" s="30" t="s">
        <v>142</v>
      </c>
      <c r="B231" s="30" t="s">
        <v>72</v>
      </c>
      <c r="C231" s="30"/>
      <c r="D231" s="30" t="s">
        <v>697</v>
      </c>
      <c r="E231" s="30"/>
      <c r="F231" s="129" t="s">
        <v>3362</v>
      </c>
      <c r="G231" s="30" t="s">
        <v>231</v>
      </c>
      <c r="H231" s="30"/>
      <c r="I231" s="30"/>
      <c r="J231" s="30" t="s">
        <v>129</v>
      </c>
      <c r="K231" s="30" t="s">
        <v>91</v>
      </c>
      <c r="L231" s="30"/>
      <c r="M231" s="39"/>
      <c r="N231" s="39">
        <v>149980.85</v>
      </c>
      <c r="O231" s="30"/>
      <c r="P231" s="30"/>
      <c r="Q231" s="30" t="s">
        <v>294</v>
      </c>
      <c r="R231" s="30"/>
      <c r="S231" s="41">
        <v>2014</v>
      </c>
      <c r="T231" s="31" t="s">
        <v>690</v>
      </c>
      <c r="U231" s="31" t="s">
        <v>691</v>
      </c>
      <c r="V231" s="30" t="s">
        <v>692</v>
      </c>
      <c r="W231" s="129" t="s">
        <v>36</v>
      </c>
      <c r="X231" s="30" t="s">
        <v>345</v>
      </c>
      <c r="Y231" s="30" t="s">
        <v>345</v>
      </c>
      <c r="Z231" s="30" t="s">
        <v>345</v>
      </c>
      <c r="AA231" s="30"/>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c r="BU231" s="29"/>
      <c r="BV231" s="29"/>
      <c r="BW231" s="29"/>
      <c r="BX231" s="29"/>
      <c r="BY231" s="29"/>
      <c r="BZ231" s="29"/>
      <c r="CA231" s="29"/>
      <c r="CB231" s="29"/>
      <c r="CC231" s="29"/>
      <c r="CD231" s="29"/>
      <c r="CE231" s="29"/>
      <c r="CF231" s="29"/>
      <c r="CG231" s="29"/>
      <c r="CH231" s="29"/>
      <c r="CI231" s="29"/>
      <c r="CJ231" s="29"/>
      <c r="CK231" s="29"/>
      <c r="CL231" s="29"/>
      <c r="CM231" s="29"/>
      <c r="CN231" s="29"/>
      <c r="CO231" s="29"/>
      <c r="CP231" s="29"/>
      <c r="CQ231" s="29"/>
      <c r="CR231" s="29"/>
      <c r="CS231" s="29"/>
      <c r="CT231" s="29"/>
      <c r="CU231" s="29"/>
      <c r="CV231" s="29"/>
      <c r="CW231" s="29"/>
      <c r="CX231" s="29"/>
      <c r="CY231" s="29"/>
      <c r="CZ231" s="29"/>
      <c r="DA231" s="29"/>
      <c r="DB231" s="29"/>
      <c r="DC231" s="29"/>
      <c r="DD231" s="29"/>
      <c r="DE231" s="29"/>
      <c r="DF231" s="29"/>
      <c r="DG231" s="29"/>
      <c r="DH231" s="29"/>
      <c r="DI231" s="29"/>
      <c r="DJ231" s="29"/>
      <c r="DK231" s="29"/>
      <c r="DL231" s="29"/>
      <c r="DM231" s="29"/>
      <c r="DN231" s="29"/>
      <c r="DO231" s="29"/>
      <c r="DP231" s="29"/>
      <c r="DQ231" s="29"/>
      <c r="DR231" s="29"/>
      <c r="DS231" s="29"/>
      <c r="DT231" s="29"/>
      <c r="DU231" s="29"/>
      <c r="DV231" s="29"/>
      <c r="DW231" s="29"/>
      <c r="DX231" s="29"/>
      <c r="DY231" s="29"/>
      <c r="DZ231" s="29"/>
      <c r="EA231" s="29"/>
      <c r="EB231" s="29"/>
      <c r="EC231" s="29"/>
      <c r="ED231" s="29"/>
      <c r="EE231" s="29"/>
      <c r="EF231" s="29"/>
      <c r="EG231" s="29"/>
      <c r="EH231" s="29"/>
      <c r="EI231" s="29"/>
      <c r="EJ231" s="29"/>
      <c r="EK231" s="29"/>
      <c r="EL231" s="29"/>
      <c r="EM231" s="29"/>
      <c r="EN231" s="29"/>
      <c r="EO231" s="29"/>
      <c r="EP231" s="29"/>
      <c r="EQ231" s="29"/>
      <c r="ER231" s="29"/>
      <c r="ES231" s="29"/>
      <c r="ET231" s="29"/>
      <c r="EU231" s="29"/>
      <c r="EV231" s="29"/>
      <c r="EW231" s="29"/>
      <c r="EX231" s="29"/>
      <c r="EY231" s="29"/>
      <c r="EZ231" s="29"/>
      <c r="FA231" s="29"/>
      <c r="FB231" s="29"/>
      <c r="FC231" s="29"/>
      <c r="FD231" s="29"/>
      <c r="FE231" s="29"/>
      <c r="FF231" s="29"/>
      <c r="FG231" s="29"/>
      <c r="FH231" s="29"/>
      <c r="FI231" s="29"/>
      <c r="FJ231" s="29"/>
      <c r="FK231" s="29"/>
      <c r="FL231" s="29"/>
      <c r="FM231" s="29"/>
      <c r="FN231" s="29"/>
      <c r="FO231" s="29"/>
      <c r="FP231" s="29"/>
      <c r="FQ231" s="29"/>
      <c r="FR231" s="29"/>
      <c r="FS231" s="29"/>
      <c r="FT231" s="29"/>
      <c r="FU231" s="29"/>
      <c r="FV231" s="29"/>
      <c r="FW231" s="29"/>
      <c r="FX231" s="29"/>
      <c r="FY231" s="29"/>
      <c r="FZ231" s="29"/>
      <c r="GA231" s="29"/>
      <c r="GB231" s="29"/>
      <c r="GC231" s="29"/>
      <c r="GD231" s="29"/>
      <c r="GE231" s="29"/>
      <c r="GF231" s="29"/>
      <c r="GG231" s="29"/>
      <c r="GH231" s="29"/>
      <c r="GI231" s="29"/>
      <c r="GJ231" s="29"/>
      <c r="GK231" s="29"/>
      <c r="GL231" s="29"/>
      <c r="GM231" s="29"/>
      <c r="GN231" s="29"/>
      <c r="GO231" s="29"/>
      <c r="GP231" s="29"/>
      <c r="GQ231" s="29"/>
      <c r="GR231" s="29"/>
      <c r="GS231" s="29"/>
      <c r="GT231" s="29"/>
      <c r="GU231" s="29"/>
      <c r="GV231" s="29"/>
      <c r="GW231" s="29"/>
      <c r="GX231" s="29"/>
      <c r="GY231" s="29"/>
      <c r="GZ231" s="29"/>
      <c r="HA231" s="29"/>
      <c r="HB231" s="29"/>
      <c r="HC231" s="29"/>
      <c r="HD231" s="29"/>
      <c r="HE231" s="29"/>
      <c r="HF231" s="29"/>
      <c r="HG231" s="29"/>
      <c r="HH231" s="29"/>
      <c r="HI231" s="29"/>
      <c r="HJ231" s="29"/>
      <c r="HK231" s="29"/>
      <c r="HL231" s="29"/>
      <c r="HM231" s="29"/>
      <c r="HN231" s="29"/>
      <c r="HO231" s="29"/>
      <c r="HP231" s="29"/>
      <c r="HQ231" s="29"/>
      <c r="HR231" s="29"/>
      <c r="HS231" s="29"/>
      <c r="HT231" s="29"/>
      <c r="HU231" s="29"/>
      <c r="HV231" s="29"/>
      <c r="HW231" s="29"/>
      <c r="HX231" s="29"/>
      <c r="HY231" s="29"/>
      <c r="HZ231" s="29"/>
      <c r="IA231" s="29"/>
      <c r="IB231" s="29"/>
      <c r="IC231" s="29"/>
      <c r="ID231" s="29"/>
      <c r="IE231" s="29"/>
      <c r="IF231" s="29"/>
      <c r="IG231" s="29"/>
      <c r="IH231" s="29"/>
      <c r="II231" s="29"/>
      <c r="IJ231" s="29"/>
      <c r="IK231" s="29"/>
      <c r="IL231" s="29"/>
      <c r="IM231" s="29"/>
      <c r="IN231" s="29"/>
      <c r="IO231" s="29"/>
      <c r="IP231" s="29"/>
      <c r="IQ231" s="29"/>
      <c r="IR231" s="29"/>
      <c r="IS231" s="29"/>
      <c r="IT231" s="29"/>
      <c r="IU231" s="29"/>
      <c r="IV231" s="29"/>
      <c r="IW231" s="29"/>
      <c r="IX231" s="29"/>
      <c r="IY231" s="29"/>
      <c r="IZ231" s="29"/>
      <c r="JA231" s="29"/>
      <c r="JB231" s="29"/>
      <c r="JC231" s="29"/>
      <c r="JD231" s="29"/>
      <c r="JE231" s="29"/>
      <c r="JF231" s="29"/>
      <c r="JG231" s="29"/>
      <c r="JH231" s="29"/>
      <c r="JI231" s="29"/>
      <c r="JJ231" s="29"/>
      <c r="JK231" s="29"/>
      <c r="JL231" s="29"/>
    </row>
    <row r="232" spans="1:272" ht="34.5" customHeight="1">
      <c r="A232" s="30" t="s">
        <v>142</v>
      </c>
      <c r="B232" s="30" t="s">
        <v>72</v>
      </c>
      <c r="C232" s="30"/>
      <c r="D232" s="30" t="s">
        <v>699</v>
      </c>
      <c r="E232" s="30"/>
      <c r="F232" s="30" t="s">
        <v>694</v>
      </c>
      <c r="G232" s="129" t="s">
        <v>215</v>
      </c>
      <c r="H232" s="30"/>
      <c r="I232" s="30"/>
      <c r="J232" s="30" t="s">
        <v>129</v>
      </c>
      <c r="K232" s="30" t="s">
        <v>91</v>
      </c>
      <c r="L232" s="30"/>
      <c r="M232" s="39"/>
      <c r="N232" s="39">
        <v>6431.82</v>
      </c>
      <c r="O232" s="30"/>
      <c r="P232" s="30"/>
      <c r="Q232" s="30" t="s">
        <v>294</v>
      </c>
      <c r="R232" s="30"/>
      <c r="S232" s="41">
        <v>2014</v>
      </c>
      <c r="T232" s="31" t="s">
        <v>690</v>
      </c>
      <c r="U232" s="31" t="s">
        <v>691</v>
      </c>
      <c r="V232" s="30" t="s">
        <v>692</v>
      </c>
      <c r="W232" s="129" t="s">
        <v>36</v>
      </c>
      <c r="X232" s="30" t="s">
        <v>345</v>
      </c>
      <c r="Y232" s="30" t="s">
        <v>345</v>
      </c>
      <c r="Z232" s="30" t="s">
        <v>345</v>
      </c>
      <c r="AA232" s="30"/>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29"/>
      <c r="BO232" s="29"/>
      <c r="BP232" s="29"/>
      <c r="BQ232" s="29"/>
      <c r="BR232" s="29"/>
      <c r="BS232" s="29"/>
      <c r="BT232" s="29"/>
      <c r="BU232" s="29"/>
      <c r="BV232" s="29"/>
      <c r="BW232" s="29"/>
      <c r="BX232" s="29"/>
      <c r="BY232" s="29"/>
      <c r="BZ232" s="29"/>
      <c r="CA232" s="29"/>
      <c r="CB232" s="29"/>
      <c r="CC232" s="29"/>
      <c r="CD232" s="29"/>
      <c r="CE232" s="29"/>
      <c r="CF232" s="29"/>
      <c r="CG232" s="29"/>
      <c r="CH232" s="29"/>
      <c r="CI232" s="29"/>
      <c r="CJ232" s="29"/>
      <c r="CK232" s="29"/>
      <c r="CL232" s="29"/>
      <c r="CM232" s="29"/>
      <c r="CN232" s="29"/>
      <c r="CO232" s="29"/>
      <c r="CP232" s="29"/>
      <c r="CQ232" s="29"/>
      <c r="CR232" s="29"/>
      <c r="CS232" s="29"/>
      <c r="CT232" s="29"/>
      <c r="CU232" s="29"/>
      <c r="CV232" s="29"/>
      <c r="CW232" s="29"/>
      <c r="CX232" s="29"/>
      <c r="CY232" s="29"/>
      <c r="CZ232" s="29"/>
      <c r="DA232" s="29"/>
      <c r="DB232" s="29"/>
      <c r="DC232" s="29"/>
      <c r="DD232" s="29"/>
      <c r="DE232" s="29"/>
      <c r="DF232" s="29"/>
      <c r="DG232" s="29"/>
      <c r="DH232" s="29"/>
      <c r="DI232" s="29"/>
      <c r="DJ232" s="29"/>
      <c r="DK232" s="29"/>
      <c r="DL232" s="29"/>
      <c r="DM232" s="29"/>
      <c r="DN232" s="29"/>
      <c r="DO232" s="29"/>
      <c r="DP232" s="29"/>
      <c r="DQ232" s="29"/>
      <c r="DR232" s="29"/>
      <c r="DS232" s="29"/>
      <c r="DT232" s="29"/>
      <c r="DU232" s="29"/>
      <c r="DV232" s="29"/>
      <c r="DW232" s="29"/>
      <c r="DX232" s="29"/>
      <c r="DY232" s="29"/>
      <c r="DZ232" s="29"/>
      <c r="EA232" s="29"/>
      <c r="EB232" s="29"/>
      <c r="EC232" s="29"/>
      <c r="ED232" s="29"/>
      <c r="EE232" s="29"/>
      <c r="EF232" s="29"/>
      <c r="EG232" s="29"/>
      <c r="EH232" s="29"/>
      <c r="EI232" s="29"/>
      <c r="EJ232" s="29"/>
      <c r="EK232" s="29"/>
      <c r="EL232" s="29"/>
      <c r="EM232" s="29"/>
      <c r="EN232" s="29"/>
      <c r="EO232" s="29"/>
      <c r="EP232" s="29"/>
      <c r="EQ232" s="29"/>
      <c r="ER232" s="29"/>
      <c r="ES232" s="29"/>
      <c r="ET232" s="29"/>
      <c r="EU232" s="29"/>
      <c r="EV232" s="29"/>
      <c r="EW232" s="29"/>
      <c r="EX232" s="29"/>
      <c r="EY232" s="29"/>
      <c r="EZ232" s="29"/>
      <c r="FA232" s="29"/>
      <c r="FB232" s="29"/>
      <c r="FC232" s="29"/>
      <c r="FD232" s="29"/>
      <c r="FE232" s="29"/>
      <c r="FF232" s="29"/>
      <c r="FG232" s="29"/>
      <c r="FH232" s="29"/>
      <c r="FI232" s="29"/>
      <c r="FJ232" s="29"/>
      <c r="FK232" s="29"/>
      <c r="FL232" s="29"/>
      <c r="FM232" s="29"/>
      <c r="FN232" s="29"/>
      <c r="FO232" s="29"/>
      <c r="FP232" s="29"/>
      <c r="FQ232" s="29"/>
      <c r="FR232" s="29"/>
      <c r="FS232" s="29"/>
      <c r="FT232" s="29"/>
      <c r="FU232" s="29"/>
      <c r="FV232" s="29"/>
      <c r="FW232" s="29"/>
      <c r="FX232" s="29"/>
      <c r="FY232" s="29"/>
      <c r="FZ232" s="29"/>
      <c r="GA232" s="29"/>
      <c r="GB232" s="29"/>
      <c r="GC232" s="29"/>
      <c r="GD232" s="29"/>
      <c r="GE232" s="29"/>
      <c r="GF232" s="29"/>
      <c r="GG232" s="29"/>
      <c r="GH232" s="29"/>
      <c r="GI232" s="29"/>
      <c r="GJ232" s="29"/>
      <c r="GK232" s="29"/>
      <c r="GL232" s="29"/>
      <c r="GM232" s="29"/>
      <c r="GN232" s="29"/>
      <c r="GO232" s="29"/>
      <c r="GP232" s="29"/>
      <c r="GQ232" s="29"/>
      <c r="GR232" s="29"/>
      <c r="GS232" s="29"/>
      <c r="GT232" s="29"/>
      <c r="GU232" s="29"/>
      <c r="GV232" s="29"/>
      <c r="GW232" s="29"/>
      <c r="GX232" s="29"/>
      <c r="GY232" s="29"/>
      <c r="GZ232" s="29"/>
      <c r="HA232" s="29"/>
      <c r="HB232" s="29"/>
      <c r="HC232" s="29"/>
      <c r="HD232" s="29"/>
      <c r="HE232" s="29"/>
      <c r="HF232" s="29"/>
      <c r="HG232" s="29"/>
      <c r="HH232" s="29"/>
      <c r="HI232" s="29"/>
      <c r="HJ232" s="29"/>
      <c r="HK232" s="29"/>
      <c r="HL232" s="29"/>
      <c r="HM232" s="29"/>
      <c r="HN232" s="29"/>
      <c r="HO232" s="29"/>
      <c r="HP232" s="29"/>
      <c r="HQ232" s="29"/>
      <c r="HR232" s="29"/>
      <c r="HS232" s="29"/>
      <c r="HT232" s="29"/>
      <c r="HU232" s="29"/>
      <c r="HV232" s="29"/>
      <c r="HW232" s="29"/>
      <c r="HX232" s="29"/>
      <c r="HY232" s="29"/>
      <c r="HZ232" s="29"/>
      <c r="IA232" s="29"/>
      <c r="IB232" s="29"/>
      <c r="IC232" s="29"/>
      <c r="ID232" s="29"/>
      <c r="IE232" s="29"/>
      <c r="IF232" s="29"/>
      <c r="IG232" s="29"/>
      <c r="IH232" s="29"/>
      <c r="II232" s="29"/>
      <c r="IJ232" s="29"/>
      <c r="IK232" s="29"/>
      <c r="IL232" s="29"/>
      <c r="IM232" s="29"/>
      <c r="IN232" s="29"/>
      <c r="IO232" s="29"/>
      <c r="IP232" s="29"/>
      <c r="IQ232" s="29"/>
      <c r="IR232" s="29"/>
      <c r="IS232" s="29"/>
      <c r="IT232" s="29"/>
      <c r="IU232" s="29"/>
      <c r="IV232" s="29"/>
      <c r="IW232" s="29"/>
      <c r="IX232" s="29"/>
      <c r="IY232" s="29"/>
      <c r="IZ232" s="29"/>
      <c r="JA232" s="29"/>
      <c r="JB232" s="29"/>
      <c r="JC232" s="29"/>
      <c r="JD232" s="29"/>
      <c r="JE232" s="29"/>
      <c r="JF232" s="29"/>
      <c r="JG232" s="29"/>
      <c r="JH232" s="29"/>
      <c r="JI232" s="29"/>
      <c r="JJ232" s="29"/>
      <c r="JK232" s="29"/>
      <c r="JL232" s="29"/>
    </row>
    <row r="233" spans="1:272" ht="34.5" customHeight="1">
      <c r="A233" s="30" t="s">
        <v>142</v>
      </c>
      <c r="B233" s="30" t="s">
        <v>72</v>
      </c>
      <c r="C233" s="30"/>
      <c r="D233" s="30" t="s">
        <v>700</v>
      </c>
      <c r="E233" s="30"/>
      <c r="F233" s="129" t="s">
        <v>3363</v>
      </c>
      <c r="G233" s="129" t="s">
        <v>215</v>
      </c>
      <c r="H233" s="30"/>
      <c r="I233" s="30"/>
      <c r="J233" s="30" t="s">
        <v>129</v>
      </c>
      <c r="K233" s="30" t="s">
        <v>91</v>
      </c>
      <c r="L233" s="30"/>
      <c r="M233" s="39"/>
      <c r="N233" s="39">
        <v>94649.31</v>
      </c>
      <c r="O233" s="30"/>
      <c r="P233" s="30"/>
      <c r="Q233" s="30" t="s">
        <v>294</v>
      </c>
      <c r="R233" s="30"/>
      <c r="S233" s="41">
        <v>2014</v>
      </c>
      <c r="T233" s="31" t="s">
        <v>690</v>
      </c>
      <c r="U233" s="31" t="s">
        <v>691</v>
      </c>
      <c r="V233" s="30" t="s">
        <v>692</v>
      </c>
      <c r="W233" s="129" t="s">
        <v>36</v>
      </c>
      <c r="X233" s="30" t="s">
        <v>345</v>
      </c>
      <c r="Y233" s="30" t="s">
        <v>345</v>
      </c>
      <c r="Z233" s="30" t="s">
        <v>345</v>
      </c>
      <c r="AA233" s="30"/>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c r="BR233" s="29"/>
      <c r="BS233" s="29"/>
      <c r="BT233" s="29"/>
      <c r="BU233" s="29"/>
      <c r="BV233" s="29"/>
      <c r="BW233" s="29"/>
      <c r="BX233" s="29"/>
      <c r="BY233" s="29"/>
      <c r="BZ233" s="29"/>
      <c r="CA233" s="29"/>
      <c r="CB233" s="29"/>
      <c r="CC233" s="29"/>
      <c r="CD233" s="29"/>
      <c r="CE233" s="29"/>
      <c r="CF233" s="29"/>
      <c r="CG233" s="29"/>
      <c r="CH233" s="29"/>
      <c r="CI233" s="29"/>
      <c r="CJ233" s="29"/>
      <c r="CK233" s="29"/>
      <c r="CL233" s="29"/>
      <c r="CM233" s="29"/>
      <c r="CN233" s="29"/>
      <c r="CO233" s="29"/>
      <c r="CP233" s="29"/>
      <c r="CQ233" s="29"/>
      <c r="CR233" s="29"/>
      <c r="CS233" s="29"/>
      <c r="CT233" s="29"/>
      <c r="CU233" s="29"/>
      <c r="CV233" s="29"/>
      <c r="CW233" s="29"/>
      <c r="CX233" s="29"/>
      <c r="CY233" s="29"/>
      <c r="CZ233" s="29"/>
      <c r="DA233" s="29"/>
      <c r="DB233" s="29"/>
      <c r="DC233" s="29"/>
      <c r="DD233" s="29"/>
      <c r="DE233" s="29"/>
      <c r="DF233" s="29"/>
      <c r="DG233" s="29"/>
      <c r="DH233" s="29"/>
      <c r="DI233" s="29"/>
      <c r="DJ233" s="29"/>
      <c r="DK233" s="29"/>
      <c r="DL233" s="29"/>
      <c r="DM233" s="29"/>
      <c r="DN233" s="29"/>
      <c r="DO233" s="29"/>
      <c r="DP233" s="29"/>
      <c r="DQ233" s="29"/>
      <c r="DR233" s="29"/>
      <c r="DS233" s="29"/>
      <c r="DT233" s="29"/>
      <c r="DU233" s="29"/>
      <c r="DV233" s="29"/>
      <c r="DW233" s="29"/>
      <c r="DX233" s="29"/>
      <c r="DY233" s="29"/>
      <c r="DZ233" s="29"/>
      <c r="EA233" s="29"/>
      <c r="EB233" s="29"/>
      <c r="EC233" s="29"/>
      <c r="ED233" s="29"/>
      <c r="EE233" s="29"/>
      <c r="EF233" s="29"/>
      <c r="EG233" s="29"/>
      <c r="EH233" s="29"/>
      <c r="EI233" s="29"/>
      <c r="EJ233" s="29"/>
      <c r="EK233" s="29"/>
      <c r="EL233" s="29"/>
      <c r="EM233" s="29"/>
      <c r="EN233" s="29"/>
      <c r="EO233" s="29"/>
      <c r="EP233" s="29"/>
      <c r="EQ233" s="29"/>
      <c r="ER233" s="29"/>
      <c r="ES233" s="29"/>
      <c r="ET233" s="29"/>
      <c r="EU233" s="29"/>
      <c r="EV233" s="29"/>
      <c r="EW233" s="29"/>
      <c r="EX233" s="29"/>
      <c r="EY233" s="29"/>
      <c r="EZ233" s="29"/>
      <c r="FA233" s="29"/>
      <c r="FB233" s="29"/>
      <c r="FC233" s="29"/>
      <c r="FD233" s="29"/>
      <c r="FE233" s="29"/>
      <c r="FF233" s="29"/>
      <c r="FG233" s="29"/>
      <c r="FH233" s="29"/>
      <c r="FI233" s="29"/>
      <c r="FJ233" s="29"/>
      <c r="FK233" s="29"/>
      <c r="FL233" s="29"/>
      <c r="FM233" s="29"/>
      <c r="FN233" s="29"/>
      <c r="FO233" s="29"/>
      <c r="FP233" s="29"/>
      <c r="FQ233" s="29"/>
      <c r="FR233" s="29"/>
      <c r="FS233" s="29"/>
      <c r="FT233" s="29"/>
      <c r="FU233" s="29"/>
      <c r="FV233" s="29"/>
      <c r="FW233" s="29"/>
      <c r="FX233" s="29"/>
      <c r="FY233" s="29"/>
      <c r="FZ233" s="29"/>
      <c r="GA233" s="29"/>
      <c r="GB233" s="29"/>
      <c r="GC233" s="29"/>
      <c r="GD233" s="29"/>
      <c r="GE233" s="29"/>
      <c r="GF233" s="29"/>
      <c r="GG233" s="29"/>
      <c r="GH233" s="29"/>
      <c r="GI233" s="29"/>
      <c r="GJ233" s="29"/>
      <c r="GK233" s="29"/>
      <c r="GL233" s="29"/>
      <c r="GM233" s="29"/>
      <c r="GN233" s="29"/>
      <c r="GO233" s="29"/>
      <c r="GP233" s="29"/>
      <c r="GQ233" s="29"/>
      <c r="GR233" s="29"/>
      <c r="GS233" s="29"/>
      <c r="GT233" s="29"/>
      <c r="GU233" s="29"/>
      <c r="GV233" s="29"/>
      <c r="GW233" s="29"/>
      <c r="GX233" s="29"/>
      <c r="GY233" s="29"/>
      <c r="GZ233" s="29"/>
      <c r="HA233" s="29"/>
      <c r="HB233" s="29"/>
      <c r="HC233" s="29"/>
      <c r="HD233" s="29"/>
      <c r="HE233" s="29"/>
      <c r="HF233" s="29"/>
      <c r="HG233" s="29"/>
      <c r="HH233" s="29"/>
      <c r="HI233" s="29"/>
      <c r="HJ233" s="29"/>
      <c r="HK233" s="29"/>
      <c r="HL233" s="29"/>
      <c r="HM233" s="29"/>
      <c r="HN233" s="29"/>
      <c r="HO233" s="29"/>
      <c r="HP233" s="29"/>
      <c r="HQ233" s="29"/>
      <c r="HR233" s="29"/>
      <c r="HS233" s="29"/>
      <c r="HT233" s="29"/>
      <c r="HU233" s="29"/>
      <c r="HV233" s="29"/>
      <c r="HW233" s="29"/>
      <c r="HX233" s="29"/>
      <c r="HY233" s="29"/>
      <c r="HZ233" s="29"/>
      <c r="IA233" s="29"/>
      <c r="IB233" s="29"/>
      <c r="IC233" s="29"/>
      <c r="ID233" s="29"/>
      <c r="IE233" s="29"/>
      <c r="IF233" s="29"/>
      <c r="IG233" s="29"/>
      <c r="IH233" s="29"/>
      <c r="II233" s="29"/>
      <c r="IJ233" s="29"/>
      <c r="IK233" s="29"/>
      <c r="IL233" s="29"/>
      <c r="IM233" s="29"/>
      <c r="IN233" s="29"/>
      <c r="IO233" s="29"/>
      <c r="IP233" s="29"/>
      <c r="IQ233" s="29"/>
      <c r="IR233" s="29"/>
      <c r="IS233" s="29"/>
      <c r="IT233" s="29"/>
      <c r="IU233" s="29"/>
      <c r="IV233" s="29"/>
      <c r="IW233" s="29"/>
      <c r="IX233" s="29"/>
      <c r="IY233" s="29"/>
      <c r="IZ233" s="29"/>
      <c r="JA233" s="29"/>
      <c r="JB233" s="29"/>
      <c r="JC233" s="29"/>
      <c r="JD233" s="29"/>
      <c r="JE233" s="29"/>
      <c r="JF233" s="29"/>
      <c r="JG233" s="29"/>
      <c r="JH233" s="29"/>
      <c r="JI233" s="29"/>
      <c r="JJ233" s="29"/>
      <c r="JK233" s="29"/>
      <c r="JL233" s="29"/>
    </row>
    <row r="234" spans="1:272" ht="34.5" customHeight="1">
      <c r="A234" s="30" t="s">
        <v>142</v>
      </c>
      <c r="B234" s="30" t="s">
        <v>72</v>
      </c>
      <c r="C234" s="30"/>
      <c r="D234" s="30" t="s">
        <v>701</v>
      </c>
      <c r="E234" s="30"/>
      <c r="F234" s="30" t="s">
        <v>702</v>
      </c>
      <c r="G234" s="30" t="s">
        <v>231</v>
      </c>
      <c r="H234" s="30"/>
      <c r="I234" s="30"/>
      <c r="J234" s="30" t="s">
        <v>129</v>
      </c>
      <c r="K234" s="30" t="s">
        <v>91</v>
      </c>
      <c r="L234" s="30"/>
      <c r="M234" s="39"/>
      <c r="N234" s="39">
        <v>9500</v>
      </c>
      <c r="O234" s="30"/>
      <c r="P234" s="30"/>
      <c r="Q234" s="30" t="s">
        <v>294</v>
      </c>
      <c r="R234" s="30"/>
      <c r="S234" s="41">
        <v>2014</v>
      </c>
      <c r="T234" s="31" t="s">
        <v>690</v>
      </c>
      <c r="U234" s="31" t="s">
        <v>691</v>
      </c>
      <c r="V234" s="30" t="s">
        <v>692</v>
      </c>
      <c r="W234" s="129" t="s">
        <v>36</v>
      </c>
      <c r="X234" s="30" t="s">
        <v>345</v>
      </c>
      <c r="Y234" s="44">
        <v>41518</v>
      </c>
      <c r="Z234" s="30" t="s">
        <v>345</v>
      </c>
      <c r="AA234" s="30"/>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c r="BI234" s="29"/>
      <c r="BJ234" s="29"/>
      <c r="BK234" s="29"/>
      <c r="BL234" s="29"/>
      <c r="BM234" s="29"/>
      <c r="BN234" s="29"/>
      <c r="BO234" s="29"/>
      <c r="BP234" s="29"/>
      <c r="BQ234" s="29"/>
      <c r="BR234" s="29"/>
      <c r="BS234" s="29"/>
      <c r="BT234" s="29"/>
      <c r="BU234" s="29"/>
      <c r="BV234" s="29"/>
      <c r="BW234" s="29"/>
      <c r="BX234" s="29"/>
      <c r="BY234" s="29"/>
      <c r="BZ234" s="29"/>
      <c r="CA234" s="29"/>
      <c r="CB234" s="29"/>
      <c r="CC234" s="29"/>
      <c r="CD234" s="29"/>
      <c r="CE234" s="29"/>
      <c r="CF234" s="29"/>
      <c r="CG234" s="29"/>
      <c r="CH234" s="29"/>
      <c r="CI234" s="29"/>
      <c r="CJ234" s="29"/>
      <c r="CK234" s="29"/>
      <c r="CL234" s="29"/>
      <c r="CM234" s="29"/>
      <c r="CN234" s="29"/>
      <c r="CO234" s="29"/>
      <c r="CP234" s="29"/>
      <c r="CQ234" s="29"/>
      <c r="CR234" s="29"/>
      <c r="CS234" s="29"/>
      <c r="CT234" s="29"/>
      <c r="CU234" s="29"/>
      <c r="CV234" s="29"/>
      <c r="CW234" s="29"/>
      <c r="CX234" s="29"/>
      <c r="CY234" s="29"/>
      <c r="CZ234" s="29"/>
      <c r="DA234" s="29"/>
      <c r="DB234" s="29"/>
      <c r="DC234" s="29"/>
      <c r="DD234" s="29"/>
      <c r="DE234" s="29"/>
      <c r="DF234" s="29"/>
      <c r="DG234" s="29"/>
      <c r="DH234" s="29"/>
      <c r="DI234" s="29"/>
      <c r="DJ234" s="29"/>
      <c r="DK234" s="29"/>
      <c r="DL234" s="29"/>
      <c r="DM234" s="29"/>
      <c r="DN234" s="29"/>
      <c r="DO234" s="29"/>
      <c r="DP234" s="29"/>
      <c r="DQ234" s="29"/>
      <c r="DR234" s="29"/>
      <c r="DS234" s="29"/>
      <c r="DT234" s="29"/>
      <c r="DU234" s="29"/>
      <c r="DV234" s="29"/>
      <c r="DW234" s="29"/>
      <c r="DX234" s="29"/>
      <c r="DY234" s="29"/>
      <c r="DZ234" s="29"/>
      <c r="EA234" s="29"/>
      <c r="EB234" s="29"/>
      <c r="EC234" s="29"/>
      <c r="ED234" s="29"/>
      <c r="EE234" s="29"/>
      <c r="EF234" s="29"/>
      <c r="EG234" s="29"/>
      <c r="EH234" s="29"/>
      <c r="EI234" s="29"/>
      <c r="EJ234" s="29"/>
      <c r="EK234" s="29"/>
      <c r="EL234" s="29"/>
      <c r="EM234" s="29"/>
      <c r="EN234" s="29"/>
      <c r="EO234" s="29"/>
      <c r="EP234" s="29"/>
      <c r="EQ234" s="29"/>
      <c r="ER234" s="29"/>
      <c r="ES234" s="29"/>
      <c r="ET234" s="29"/>
      <c r="EU234" s="29"/>
      <c r="EV234" s="29"/>
      <c r="EW234" s="29"/>
      <c r="EX234" s="29"/>
      <c r="EY234" s="29"/>
      <c r="EZ234" s="29"/>
      <c r="FA234" s="29"/>
      <c r="FB234" s="29"/>
      <c r="FC234" s="29"/>
      <c r="FD234" s="29"/>
      <c r="FE234" s="29"/>
      <c r="FF234" s="29"/>
      <c r="FG234" s="29"/>
      <c r="FH234" s="29"/>
      <c r="FI234" s="29"/>
      <c r="FJ234" s="29"/>
      <c r="FK234" s="29"/>
      <c r="FL234" s="29"/>
      <c r="FM234" s="29"/>
      <c r="FN234" s="29"/>
      <c r="FO234" s="29"/>
      <c r="FP234" s="29"/>
      <c r="FQ234" s="29"/>
      <c r="FR234" s="29"/>
      <c r="FS234" s="29"/>
      <c r="FT234" s="29"/>
      <c r="FU234" s="29"/>
      <c r="FV234" s="29"/>
      <c r="FW234" s="29"/>
      <c r="FX234" s="29"/>
      <c r="FY234" s="29"/>
      <c r="FZ234" s="29"/>
      <c r="GA234" s="29"/>
      <c r="GB234" s="29"/>
      <c r="GC234" s="29"/>
      <c r="GD234" s="29"/>
      <c r="GE234" s="29"/>
      <c r="GF234" s="29"/>
      <c r="GG234" s="29"/>
      <c r="GH234" s="29"/>
      <c r="GI234" s="29"/>
      <c r="GJ234" s="29"/>
      <c r="GK234" s="29"/>
      <c r="GL234" s="29"/>
      <c r="GM234" s="29"/>
      <c r="GN234" s="29"/>
      <c r="GO234" s="29"/>
      <c r="GP234" s="29"/>
      <c r="GQ234" s="29"/>
      <c r="GR234" s="29"/>
      <c r="GS234" s="29"/>
      <c r="GT234" s="29"/>
      <c r="GU234" s="29"/>
      <c r="GV234" s="29"/>
      <c r="GW234" s="29"/>
      <c r="GX234" s="29"/>
      <c r="GY234" s="29"/>
      <c r="GZ234" s="29"/>
      <c r="HA234" s="29"/>
      <c r="HB234" s="29"/>
      <c r="HC234" s="29"/>
      <c r="HD234" s="29"/>
      <c r="HE234" s="29"/>
      <c r="HF234" s="29"/>
      <c r="HG234" s="29"/>
      <c r="HH234" s="29"/>
      <c r="HI234" s="29"/>
      <c r="HJ234" s="29"/>
      <c r="HK234" s="29"/>
      <c r="HL234" s="29"/>
      <c r="HM234" s="29"/>
      <c r="HN234" s="29"/>
      <c r="HO234" s="29"/>
      <c r="HP234" s="29"/>
      <c r="HQ234" s="29"/>
      <c r="HR234" s="29"/>
      <c r="HS234" s="29"/>
      <c r="HT234" s="29"/>
      <c r="HU234" s="29"/>
      <c r="HV234" s="29"/>
      <c r="HW234" s="29"/>
      <c r="HX234" s="29"/>
      <c r="HY234" s="29"/>
      <c r="HZ234" s="29"/>
      <c r="IA234" s="29"/>
      <c r="IB234" s="29"/>
      <c r="IC234" s="29"/>
      <c r="ID234" s="29"/>
      <c r="IE234" s="29"/>
      <c r="IF234" s="29"/>
      <c r="IG234" s="29"/>
      <c r="IH234" s="29"/>
      <c r="II234" s="29"/>
      <c r="IJ234" s="29"/>
      <c r="IK234" s="29"/>
      <c r="IL234" s="29"/>
      <c r="IM234" s="29"/>
      <c r="IN234" s="29"/>
      <c r="IO234" s="29"/>
      <c r="IP234" s="29"/>
      <c r="IQ234" s="29"/>
      <c r="IR234" s="29"/>
      <c r="IS234" s="29"/>
      <c r="IT234" s="29"/>
      <c r="IU234" s="29"/>
      <c r="IV234" s="29"/>
      <c r="IW234" s="29"/>
      <c r="IX234" s="29"/>
      <c r="IY234" s="29"/>
      <c r="IZ234" s="29"/>
      <c r="JA234" s="29"/>
      <c r="JB234" s="29"/>
      <c r="JC234" s="29"/>
      <c r="JD234" s="29"/>
      <c r="JE234" s="29"/>
      <c r="JF234" s="29"/>
      <c r="JG234" s="29"/>
      <c r="JH234" s="29"/>
      <c r="JI234" s="29"/>
      <c r="JJ234" s="29"/>
      <c r="JK234" s="29"/>
      <c r="JL234" s="29"/>
    </row>
    <row r="235" spans="1:272" ht="34.5" customHeight="1">
      <c r="A235" s="30" t="s">
        <v>142</v>
      </c>
      <c r="B235" s="30" t="s">
        <v>72</v>
      </c>
      <c r="C235" s="30"/>
      <c r="D235" s="30" t="s">
        <v>703</v>
      </c>
      <c r="E235" s="30"/>
      <c r="F235" s="30" t="s">
        <v>698</v>
      </c>
      <c r="G235" s="30" t="s">
        <v>231</v>
      </c>
      <c r="H235" s="30"/>
      <c r="I235" s="30"/>
      <c r="J235" s="30" t="s">
        <v>129</v>
      </c>
      <c r="K235" s="30" t="s">
        <v>91</v>
      </c>
      <c r="L235" s="30"/>
      <c r="M235" s="39"/>
      <c r="N235" s="39">
        <v>6642.02</v>
      </c>
      <c r="O235" s="30"/>
      <c r="P235" s="30"/>
      <c r="Q235" s="30" t="s">
        <v>294</v>
      </c>
      <c r="R235" s="30"/>
      <c r="S235" s="41">
        <v>2014</v>
      </c>
      <c r="T235" s="31" t="s">
        <v>690</v>
      </c>
      <c r="U235" s="31" t="s">
        <v>691</v>
      </c>
      <c r="V235" s="30" t="s">
        <v>692</v>
      </c>
      <c r="W235" s="129" t="s">
        <v>36</v>
      </c>
      <c r="X235" s="30" t="s">
        <v>345</v>
      </c>
      <c r="Y235" s="30" t="s">
        <v>345</v>
      </c>
      <c r="Z235" s="30" t="s">
        <v>345</v>
      </c>
      <c r="AA235" s="30"/>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c r="BR235" s="29"/>
      <c r="BS235" s="29"/>
      <c r="BT235" s="29"/>
      <c r="BU235" s="29"/>
      <c r="BV235" s="29"/>
      <c r="BW235" s="29"/>
      <c r="BX235" s="29"/>
      <c r="BY235" s="29"/>
      <c r="BZ235" s="29"/>
      <c r="CA235" s="29"/>
      <c r="CB235" s="29"/>
      <c r="CC235" s="29"/>
      <c r="CD235" s="29"/>
      <c r="CE235" s="29"/>
      <c r="CF235" s="29"/>
      <c r="CG235" s="29"/>
      <c r="CH235" s="29"/>
      <c r="CI235" s="29"/>
      <c r="CJ235" s="29"/>
      <c r="CK235" s="29"/>
      <c r="CL235" s="29"/>
      <c r="CM235" s="29"/>
      <c r="CN235" s="29"/>
      <c r="CO235" s="29"/>
      <c r="CP235" s="29"/>
      <c r="CQ235" s="29"/>
      <c r="CR235" s="29"/>
      <c r="CS235" s="29"/>
      <c r="CT235" s="29"/>
      <c r="CU235" s="29"/>
      <c r="CV235" s="29"/>
      <c r="CW235" s="29"/>
      <c r="CX235" s="29"/>
      <c r="CY235" s="29"/>
      <c r="CZ235" s="29"/>
      <c r="DA235" s="29"/>
      <c r="DB235" s="29"/>
      <c r="DC235" s="29"/>
      <c r="DD235" s="29"/>
      <c r="DE235" s="29"/>
      <c r="DF235" s="29"/>
      <c r="DG235" s="29"/>
      <c r="DH235" s="29"/>
      <c r="DI235" s="29"/>
      <c r="DJ235" s="29"/>
      <c r="DK235" s="29"/>
      <c r="DL235" s="29"/>
      <c r="DM235" s="29"/>
      <c r="DN235" s="29"/>
      <c r="DO235" s="29"/>
      <c r="DP235" s="29"/>
      <c r="DQ235" s="29"/>
      <c r="DR235" s="29"/>
      <c r="DS235" s="29"/>
      <c r="DT235" s="29"/>
      <c r="DU235" s="29"/>
      <c r="DV235" s="29"/>
      <c r="DW235" s="29"/>
      <c r="DX235" s="29"/>
      <c r="DY235" s="29"/>
      <c r="DZ235" s="29"/>
      <c r="EA235" s="29"/>
      <c r="EB235" s="29"/>
      <c r="EC235" s="29"/>
      <c r="ED235" s="29"/>
      <c r="EE235" s="29"/>
      <c r="EF235" s="29"/>
      <c r="EG235" s="29"/>
      <c r="EH235" s="29"/>
      <c r="EI235" s="29"/>
      <c r="EJ235" s="29"/>
      <c r="EK235" s="29"/>
      <c r="EL235" s="29"/>
      <c r="EM235" s="29"/>
      <c r="EN235" s="29"/>
      <c r="EO235" s="29"/>
      <c r="EP235" s="29"/>
      <c r="EQ235" s="29"/>
      <c r="ER235" s="29"/>
      <c r="ES235" s="29"/>
      <c r="ET235" s="29"/>
      <c r="EU235" s="29"/>
      <c r="EV235" s="29"/>
      <c r="EW235" s="29"/>
      <c r="EX235" s="29"/>
      <c r="EY235" s="29"/>
      <c r="EZ235" s="29"/>
      <c r="FA235" s="29"/>
      <c r="FB235" s="29"/>
      <c r="FC235" s="29"/>
      <c r="FD235" s="29"/>
      <c r="FE235" s="29"/>
      <c r="FF235" s="29"/>
      <c r="FG235" s="29"/>
      <c r="FH235" s="29"/>
      <c r="FI235" s="29"/>
      <c r="FJ235" s="29"/>
      <c r="FK235" s="29"/>
      <c r="FL235" s="29"/>
      <c r="FM235" s="29"/>
      <c r="FN235" s="29"/>
      <c r="FO235" s="29"/>
      <c r="FP235" s="29"/>
      <c r="FQ235" s="29"/>
      <c r="FR235" s="29"/>
      <c r="FS235" s="29"/>
      <c r="FT235" s="29"/>
      <c r="FU235" s="29"/>
      <c r="FV235" s="29"/>
      <c r="FW235" s="29"/>
      <c r="FX235" s="29"/>
      <c r="FY235" s="29"/>
      <c r="FZ235" s="29"/>
      <c r="GA235" s="29"/>
      <c r="GB235" s="29"/>
      <c r="GC235" s="29"/>
      <c r="GD235" s="29"/>
      <c r="GE235" s="29"/>
      <c r="GF235" s="29"/>
      <c r="GG235" s="29"/>
      <c r="GH235" s="29"/>
      <c r="GI235" s="29"/>
      <c r="GJ235" s="29"/>
      <c r="GK235" s="29"/>
      <c r="GL235" s="29"/>
      <c r="GM235" s="29"/>
      <c r="GN235" s="29"/>
      <c r="GO235" s="29"/>
      <c r="GP235" s="29"/>
      <c r="GQ235" s="29"/>
      <c r="GR235" s="29"/>
      <c r="GS235" s="29"/>
      <c r="GT235" s="29"/>
      <c r="GU235" s="29"/>
      <c r="GV235" s="29"/>
      <c r="GW235" s="29"/>
      <c r="GX235" s="29"/>
      <c r="GY235" s="29"/>
      <c r="GZ235" s="29"/>
      <c r="HA235" s="29"/>
      <c r="HB235" s="29"/>
      <c r="HC235" s="29"/>
      <c r="HD235" s="29"/>
      <c r="HE235" s="29"/>
      <c r="HF235" s="29"/>
      <c r="HG235" s="29"/>
      <c r="HH235" s="29"/>
      <c r="HI235" s="29"/>
      <c r="HJ235" s="29"/>
      <c r="HK235" s="29"/>
      <c r="HL235" s="29"/>
      <c r="HM235" s="29"/>
      <c r="HN235" s="29"/>
      <c r="HO235" s="29"/>
      <c r="HP235" s="29"/>
      <c r="HQ235" s="29"/>
      <c r="HR235" s="29"/>
      <c r="HS235" s="29"/>
      <c r="HT235" s="29"/>
      <c r="HU235" s="29"/>
      <c r="HV235" s="29"/>
      <c r="HW235" s="29"/>
      <c r="HX235" s="29"/>
      <c r="HY235" s="29"/>
      <c r="HZ235" s="29"/>
      <c r="IA235" s="29"/>
      <c r="IB235" s="29"/>
      <c r="IC235" s="29"/>
      <c r="ID235" s="29"/>
      <c r="IE235" s="29"/>
      <c r="IF235" s="29"/>
      <c r="IG235" s="29"/>
      <c r="IH235" s="29"/>
      <c r="II235" s="29"/>
      <c r="IJ235" s="29"/>
      <c r="IK235" s="29"/>
      <c r="IL235" s="29"/>
      <c r="IM235" s="29"/>
      <c r="IN235" s="29"/>
      <c r="IO235" s="29"/>
      <c r="IP235" s="29"/>
      <c r="IQ235" s="29"/>
      <c r="IR235" s="29"/>
      <c r="IS235" s="29"/>
      <c r="IT235" s="29"/>
      <c r="IU235" s="29"/>
      <c r="IV235" s="29"/>
      <c r="IW235" s="29"/>
      <c r="IX235" s="29"/>
      <c r="IY235" s="29"/>
      <c r="IZ235" s="29"/>
      <c r="JA235" s="29"/>
      <c r="JB235" s="29"/>
      <c r="JC235" s="29"/>
      <c r="JD235" s="29"/>
      <c r="JE235" s="29"/>
      <c r="JF235" s="29"/>
      <c r="JG235" s="29"/>
      <c r="JH235" s="29"/>
      <c r="JI235" s="29"/>
      <c r="JJ235" s="29"/>
      <c r="JK235" s="29"/>
      <c r="JL235" s="29"/>
    </row>
    <row r="236" spans="1:272" ht="34.5" customHeight="1">
      <c r="A236" s="30" t="s">
        <v>142</v>
      </c>
      <c r="B236" s="30" t="s">
        <v>72</v>
      </c>
      <c r="C236" s="30"/>
      <c r="D236" s="30" t="s">
        <v>704</v>
      </c>
      <c r="E236" s="30"/>
      <c r="F236" s="30" t="s">
        <v>694</v>
      </c>
      <c r="G236" s="129" t="s">
        <v>215</v>
      </c>
      <c r="H236" s="30"/>
      <c r="I236" s="30"/>
      <c r="J236" s="30" t="s">
        <v>129</v>
      </c>
      <c r="K236" s="30" t="s">
        <v>91</v>
      </c>
      <c r="L236" s="30"/>
      <c r="M236" s="39"/>
      <c r="N236" s="39">
        <v>13989.64</v>
      </c>
      <c r="O236" s="30"/>
      <c r="P236" s="30"/>
      <c r="Q236" s="30" t="s">
        <v>294</v>
      </c>
      <c r="R236" s="30"/>
      <c r="S236" s="41">
        <v>2014</v>
      </c>
      <c r="T236" s="31" t="s">
        <v>690</v>
      </c>
      <c r="U236" s="31" t="s">
        <v>691</v>
      </c>
      <c r="V236" s="30" t="s">
        <v>692</v>
      </c>
      <c r="W236" s="129" t="s">
        <v>36</v>
      </c>
      <c r="X236" s="30" t="s">
        <v>345</v>
      </c>
      <c r="Y236" s="30" t="s">
        <v>345</v>
      </c>
      <c r="Z236" s="30" t="s">
        <v>345</v>
      </c>
      <c r="AA236" s="30"/>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c r="BU236" s="29"/>
      <c r="BV236" s="29"/>
      <c r="BW236" s="29"/>
      <c r="BX236" s="29"/>
      <c r="BY236" s="29"/>
      <c r="BZ236" s="29"/>
      <c r="CA236" s="29"/>
      <c r="CB236" s="29"/>
      <c r="CC236" s="29"/>
      <c r="CD236" s="29"/>
      <c r="CE236" s="29"/>
      <c r="CF236" s="29"/>
      <c r="CG236" s="29"/>
      <c r="CH236" s="29"/>
      <c r="CI236" s="29"/>
      <c r="CJ236" s="29"/>
      <c r="CK236" s="29"/>
      <c r="CL236" s="29"/>
      <c r="CM236" s="29"/>
      <c r="CN236" s="29"/>
      <c r="CO236" s="29"/>
      <c r="CP236" s="29"/>
      <c r="CQ236" s="29"/>
      <c r="CR236" s="29"/>
      <c r="CS236" s="29"/>
      <c r="CT236" s="29"/>
      <c r="CU236" s="29"/>
      <c r="CV236" s="29"/>
      <c r="CW236" s="29"/>
      <c r="CX236" s="29"/>
      <c r="CY236" s="29"/>
      <c r="CZ236" s="29"/>
      <c r="DA236" s="29"/>
      <c r="DB236" s="29"/>
      <c r="DC236" s="29"/>
      <c r="DD236" s="29"/>
      <c r="DE236" s="29"/>
      <c r="DF236" s="29"/>
      <c r="DG236" s="29"/>
      <c r="DH236" s="29"/>
      <c r="DI236" s="29"/>
      <c r="DJ236" s="29"/>
      <c r="DK236" s="29"/>
      <c r="DL236" s="29"/>
      <c r="DM236" s="29"/>
      <c r="DN236" s="29"/>
      <c r="DO236" s="29"/>
      <c r="DP236" s="29"/>
      <c r="DQ236" s="29"/>
      <c r="DR236" s="29"/>
      <c r="DS236" s="29"/>
      <c r="DT236" s="29"/>
      <c r="DU236" s="29"/>
      <c r="DV236" s="29"/>
      <c r="DW236" s="29"/>
      <c r="DX236" s="29"/>
      <c r="DY236" s="29"/>
      <c r="DZ236" s="29"/>
      <c r="EA236" s="29"/>
      <c r="EB236" s="29"/>
      <c r="EC236" s="29"/>
      <c r="ED236" s="29"/>
      <c r="EE236" s="29"/>
      <c r="EF236" s="29"/>
      <c r="EG236" s="29"/>
      <c r="EH236" s="29"/>
      <c r="EI236" s="29"/>
      <c r="EJ236" s="29"/>
      <c r="EK236" s="29"/>
      <c r="EL236" s="29"/>
      <c r="EM236" s="29"/>
      <c r="EN236" s="29"/>
      <c r="EO236" s="29"/>
      <c r="EP236" s="29"/>
      <c r="EQ236" s="29"/>
      <c r="ER236" s="29"/>
      <c r="ES236" s="29"/>
      <c r="ET236" s="29"/>
      <c r="EU236" s="29"/>
      <c r="EV236" s="29"/>
      <c r="EW236" s="29"/>
      <c r="EX236" s="29"/>
      <c r="EY236" s="29"/>
      <c r="EZ236" s="29"/>
      <c r="FA236" s="29"/>
      <c r="FB236" s="29"/>
      <c r="FC236" s="29"/>
      <c r="FD236" s="29"/>
      <c r="FE236" s="29"/>
      <c r="FF236" s="29"/>
      <c r="FG236" s="29"/>
      <c r="FH236" s="29"/>
      <c r="FI236" s="29"/>
      <c r="FJ236" s="29"/>
      <c r="FK236" s="29"/>
      <c r="FL236" s="29"/>
      <c r="FM236" s="29"/>
      <c r="FN236" s="29"/>
      <c r="FO236" s="29"/>
      <c r="FP236" s="29"/>
      <c r="FQ236" s="29"/>
      <c r="FR236" s="29"/>
      <c r="FS236" s="29"/>
      <c r="FT236" s="29"/>
      <c r="FU236" s="29"/>
      <c r="FV236" s="29"/>
      <c r="FW236" s="29"/>
      <c r="FX236" s="29"/>
      <c r="FY236" s="29"/>
      <c r="FZ236" s="29"/>
      <c r="GA236" s="29"/>
      <c r="GB236" s="29"/>
      <c r="GC236" s="29"/>
      <c r="GD236" s="29"/>
      <c r="GE236" s="29"/>
      <c r="GF236" s="29"/>
      <c r="GG236" s="29"/>
      <c r="GH236" s="29"/>
      <c r="GI236" s="29"/>
      <c r="GJ236" s="29"/>
      <c r="GK236" s="29"/>
      <c r="GL236" s="29"/>
      <c r="GM236" s="29"/>
      <c r="GN236" s="29"/>
      <c r="GO236" s="29"/>
      <c r="GP236" s="29"/>
      <c r="GQ236" s="29"/>
      <c r="GR236" s="29"/>
      <c r="GS236" s="29"/>
      <c r="GT236" s="29"/>
      <c r="GU236" s="29"/>
      <c r="GV236" s="29"/>
      <c r="GW236" s="29"/>
      <c r="GX236" s="29"/>
      <c r="GY236" s="29"/>
      <c r="GZ236" s="29"/>
      <c r="HA236" s="29"/>
      <c r="HB236" s="29"/>
      <c r="HC236" s="29"/>
      <c r="HD236" s="29"/>
      <c r="HE236" s="29"/>
      <c r="HF236" s="29"/>
      <c r="HG236" s="29"/>
      <c r="HH236" s="29"/>
      <c r="HI236" s="29"/>
      <c r="HJ236" s="29"/>
      <c r="HK236" s="29"/>
      <c r="HL236" s="29"/>
      <c r="HM236" s="29"/>
      <c r="HN236" s="29"/>
      <c r="HO236" s="29"/>
      <c r="HP236" s="29"/>
      <c r="HQ236" s="29"/>
      <c r="HR236" s="29"/>
      <c r="HS236" s="29"/>
      <c r="HT236" s="29"/>
      <c r="HU236" s="29"/>
      <c r="HV236" s="29"/>
      <c r="HW236" s="29"/>
      <c r="HX236" s="29"/>
      <c r="HY236" s="29"/>
      <c r="HZ236" s="29"/>
      <c r="IA236" s="29"/>
      <c r="IB236" s="29"/>
      <c r="IC236" s="29"/>
      <c r="ID236" s="29"/>
      <c r="IE236" s="29"/>
      <c r="IF236" s="29"/>
      <c r="IG236" s="29"/>
      <c r="IH236" s="29"/>
      <c r="II236" s="29"/>
      <c r="IJ236" s="29"/>
      <c r="IK236" s="29"/>
      <c r="IL236" s="29"/>
      <c r="IM236" s="29"/>
      <c r="IN236" s="29"/>
      <c r="IO236" s="29"/>
      <c r="IP236" s="29"/>
      <c r="IQ236" s="29"/>
      <c r="IR236" s="29"/>
      <c r="IS236" s="29"/>
      <c r="IT236" s="29"/>
      <c r="IU236" s="29"/>
      <c r="IV236" s="29"/>
      <c r="IW236" s="29"/>
      <c r="IX236" s="29"/>
      <c r="IY236" s="29"/>
      <c r="IZ236" s="29"/>
      <c r="JA236" s="29"/>
      <c r="JB236" s="29"/>
      <c r="JC236" s="29"/>
      <c r="JD236" s="29"/>
      <c r="JE236" s="29"/>
      <c r="JF236" s="29"/>
      <c r="JG236" s="29"/>
      <c r="JH236" s="29"/>
      <c r="JI236" s="29"/>
      <c r="JJ236" s="29"/>
      <c r="JK236" s="29"/>
      <c r="JL236" s="29"/>
    </row>
    <row r="237" spans="1:272" ht="34.5" customHeight="1">
      <c r="A237" s="30" t="s">
        <v>142</v>
      </c>
      <c r="B237" s="30" t="s">
        <v>72</v>
      </c>
      <c r="C237" s="30"/>
      <c r="D237" s="30" t="s">
        <v>705</v>
      </c>
      <c r="E237" s="30"/>
      <c r="F237" s="30" t="s">
        <v>694</v>
      </c>
      <c r="G237" s="129" t="s">
        <v>215</v>
      </c>
      <c r="H237" s="30"/>
      <c r="I237" s="30"/>
      <c r="J237" s="30" t="s">
        <v>129</v>
      </c>
      <c r="K237" s="30" t="s">
        <v>91</v>
      </c>
      <c r="L237" s="30"/>
      <c r="M237" s="39"/>
      <c r="N237" s="39">
        <v>5104.3599999999997</v>
      </c>
      <c r="O237" s="30"/>
      <c r="P237" s="30"/>
      <c r="Q237" s="30" t="s">
        <v>294</v>
      </c>
      <c r="R237" s="30"/>
      <c r="S237" s="41">
        <v>2014</v>
      </c>
      <c r="T237" s="31" t="s">
        <v>690</v>
      </c>
      <c r="U237" s="31" t="s">
        <v>691</v>
      </c>
      <c r="V237" s="30" t="s">
        <v>692</v>
      </c>
      <c r="W237" s="129" t="s">
        <v>36</v>
      </c>
      <c r="X237" s="30" t="s">
        <v>345</v>
      </c>
      <c r="Y237" s="30" t="s">
        <v>345</v>
      </c>
      <c r="Z237" s="30" t="s">
        <v>345</v>
      </c>
      <c r="AA237" s="30"/>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c r="BO237" s="29"/>
      <c r="BP237" s="29"/>
      <c r="BQ237" s="29"/>
      <c r="BR237" s="29"/>
      <c r="BS237" s="29"/>
      <c r="BT237" s="29"/>
      <c r="BU237" s="29"/>
      <c r="BV237" s="29"/>
      <c r="BW237" s="29"/>
      <c r="BX237" s="29"/>
      <c r="BY237" s="29"/>
      <c r="BZ237" s="29"/>
      <c r="CA237" s="29"/>
      <c r="CB237" s="29"/>
      <c r="CC237" s="29"/>
      <c r="CD237" s="29"/>
      <c r="CE237" s="29"/>
      <c r="CF237" s="29"/>
      <c r="CG237" s="29"/>
      <c r="CH237" s="29"/>
      <c r="CI237" s="29"/>
      <c r="CJ237" s="29"/>
      <c r="CK237" s="29"/>
      <c r="CL237" s="29"/>
      <c r="CM237" s="29"/>
      <c r="CN237" s="29"/>
      <c r="CO237" s="29"/>
      <c r="CP237" s="29"/>
      <c r="CQ237" s="29"/>
      <c r="CR237" s="29"/>
      <c r="CS237" s="29"/>
      <c r="CT237" s="29"/>
      <c r="CU237" s="29"/>
      <c r="CV237" s="29"/>
      <c r="CW237" s="29"/>
      <c r="CX237" s="29"/>
      <c r="CY237" s="29"/>
      <c r="CZ237" s="29"/>
      <c r="DA237" s="29"/>
      <c r="DB237" s="29"/>
      <c r="DC237" s="29"/>
      <c r="DD237" s="29"/>
      <c r="DE237" s="29"/>
      <c r="DF237" s="29"/>
      <c r="DG237" s="29"/>
      <c r="DH237" s="29"/>
      <c r="DI237" s="29"/>
      <c r="DJ237" s="29"/>
      <c r="DK237" s="29"/>
      <c r="DL237" s="29"/>
      <c r="DM237" s="29"/>
      <c r="DN237" s="29"/>
      <c r="DO237" s="29"/>
      <c r="DP237" s="29"/>
      <c r="DQ237" s="29"/>
      <c r="DR237" s="29"/>
      <c r="DS237" s="29"/>
      <c r="DT237" s="29"/>
      <c r="DU237" s="29"/>
      <c r="DV237" s="29"/>
      <c r="DW237" s="29"/>
      <c r="DX237" s="29"/>
      <c r="DY237" s="29"/>
      <c r="DZ237" s="29"/>
      <c r="EA237" s="29"/>
      <c r="EB237" s="29"/>
      <c r="EC237" s="29"/>
      <c r="ED237" s="29"/>
      <c r="EE237" s="29"/>
      <c r="EF237" s="29"/>
      <c r="EG237" s="29"/>
      <c r="EH237" s="29"/>
      <c r="EI237" s="29"/>
      <c r="EJ237" s="29"/>
      <c r="EK237" s="29"/>
      <c r="EL237" s="29"/>
      <c r="EM237" s="29"/>
      <c r="EN237" s="29"/>
      <c r="EO237" s="29"/>
      <c r="EP237" s="29"/>
      <c r="EQ237" s="29"/>
      <c r="ER237" s="29"/>
      <c r="ES237" s="29"/>
      <c r="ET237" s="29"/>
      <c r="EU237" s="29"/>
      <c r="EV237" s="29"/>
      <c r="EW237" s="29"/>
      <c r="EX237" s="29"/>
      <c r="EY237" s="29"/>
      <c r="EZ237" s="29"/>
      <c r="FA237" s="29"/>
      <c r="FB237" s="29"/>
      <c r="FC237" s="29"/>
      <c r="FD237" s="29"/>
      <c r="FE237" s="29"/>
      <c r="FF237" s="29"/>
      <c r="FG237" s="29"/>
      <c r="FH237" s="29"/>
      <c r="FI237" s="29"/>
      <c r="FJ237" s="29"/>
      <c r="FK237" s="29"/>
      <c r="FL237" s="29"/>
      <c r="FM237" s="29"/>
      <c r="FN237" s="29"/>
      <c r="FO237" s="29"/>
      <c r="FP237" s="29"/>
      <c r="FQ237" s="29"/>
      <c r="FR237" s="29"/>
      <c r="FS237" s="29"/>
      <c r="FT237" s="29"/>
      <c r="FU237" s="29"/>
      <c r="FV237" s="29"/>
      <c r="FW237" s="29"/>
      <c r="FX237" s="29"/>
      <c r="FY237" s="29"/>
      <c r="FZ237" s="29"/>
      <c r="GA237" s="29"/>
      <c r="GB237" s="29"/>
      <c r="GC237" s="29"/>
      <c r="GD237" s="29"/>
      <c r="GE237" s="29"/>
      <c r="GF237" s="29"/>
      <c r="GG237" s="29"/>
      <c r="GH237" s="29"/>
      <c r="GI237" s="29"/>
      <c r="GJ237" s="29"/>
      <c r="GK237" s="29"/>
      <c r="GL237" s="29"/>
      <c r="GM237" s="29"/>
      <c r="GN237" s="29"/>
      <c r="GO237" s="29"/>
      <c r="GP237" s="29"/>
      <c r="GQ237" s="29"/>
      <c r="GR237" s="29"/>
      <c r="GS237" s="29"/>
      <c r="GT237" s="29"/>
      <c r="GU237" s="29"/>
      <c r="GV237" s="29"/>
      <c r="GW237" s="29"/>
      <c r="GX237" s="29"/>
      <c r="GY237" s="29"/>
      <c r="GZ237" s="29"/>
      <c r="HA237" s="29"/>
      <c r="HB237" s="29"/>
      <c r="HC237" s="29"/>
      <c r="HD237" s="29"/>
      <c r="HE237" s="29"/>
      <c r="HF237" s="29"/>
      <c r="HG237" s="29"/>
      <c r="HH237" s="29"/>
      <c r="HI237" s="29"/>
      <c r="HJ237" s="29"/>
      <c r="HK237" s="29"/>
      <c r="HL237" s="29"/>
      <c r="HM237" s="29"/>
      <c r="HN237" s="29"/>
      <c r="HO237" s="29"/>
      <c r="HP237" s="29"/>
      <c r="HQ237" s="29"/>
      <c r="HR237" s="29"/>
      <c r="HS237" s="29"/>
      <c r="HT237" s="29"/>
      <c r="HU237" s="29"/>
      <c r="HV237" s="29"/>
      <c r="HW237" s="29"/>
      <c r="HX237" s="29"/>
      <c r="HY237" s="29"/>
      <c r="HZ237" s="29"/>
      <c r="IA237" s="29"/>
      <c r="IB237" s="29"/>
      <c r="IC237" s="29"/>
      <c r="ID237" s="29"/>
      <c r="IE237" s="29"/>
      <c r="IF237" s="29"/>
      <c r="IG237" s="29"/>
      <c r="IH237" s="29"/>
      <c r="II237" s="29"/>
      <c r="IJ237" s="29"/>
      <c r="IK237" s="29"/>
      <c r="IL237" s="29"/>
      <c r="IM237" s="29"/>
      <c r="IN237" s="29"/>
      <c r="IO237" s="29"/>
      <c r="IP237" s="29"/>
      <c r="IQ237" s="29"/>
      <c r="IR237" s="29"/>
      <c r="IS237" s="29"/>
      <c r="IT237" s="29"/>
      <c r="IU237" s="29"/>
      <c r="IV237" s="29"/>
      <c r="IW237" s="29"/>
      <c r="IX237" s="29"/>
      <c r="IY237" s="29"/>
      <c r="IZ237" s="29"/>
      <c r="JA237" s="29"/>
      <c r="JB237" s="29"/>
      <c r="JC237" s="29"/>
      <c r="JD237" s="29"/>
      <c r="JE237" s="29"/>
      <c r="JF237" s="29"/>
      <c r="JG237" s="29"/>
      <c r="JH237" s="29"/>
      <c r="JI237" s="29"/>
      <c r="JJ237" s="29"/>
      <c r="JK237" s="29"/>
      <c r="JL237" s="29"/>
    </row>
    <row r="238" spans="1:272" ht="34.5" customHeight="1">
      <c r="A238" s="30" t="s">
        <v>142</v>
      </c>
      <c r="B238" s="30" t="s">
        <v>72</v>
      </c>
      <c r="C238" s="30"/>
      <c r="D238" s="30" t="s">
        <v>706</v>
      </c>
      <c r="E238" s="30"/>
      <c r="F238" s="30" t="s">
        <v>694</v>
      </c>
      <c r="G238" s="129" t="s">
        <v>215</v>
      </c>
      <c r="H238" s="30"/>
      <c r="I238" s="30"/>
      <c r="J238" s="30" t="s">
        <v>129</v>
      </c>
      <c r="K238" s="30" t="s">
        <v>91</v>
      </c>
      <c r="L238" s="30"/>
      <c r="M238" s="39"/>
      <c r="N238" s="39">
        <v>5832.84</v>
      </c>
      <c r="O238" s="30"/>
      <c r="P238" s="30"/>
      <c r="Q238" s="30" t="s">
        <v>294</v>
      </c>
      <c r="R238" s="30"/>
      <c r="S238" s="41">
        <v>2014</v>
      </c>
      <c r="T238" s="31" t="s">
        <v>690</v>
      </c>
      <c r="U238" s="31" t="s">
        <v>691</v>
      </c>
      <c r="V238" s="30" t="s">
        <v>692</v>
      </c>
      <c r="W238" s="129" t="s">
        <v>36</v>
      </c>
      <c r="X238" s="30" t="s">
        <v>345</v>
      </c>
      <c r="Y238" s="30" t="s">
        <v>345</v>
      </c>
      <c r="Z238" s="30" t="s">
        <v>345</v>
      </c>
      <c r="AA238" s="30"/>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c r="BR238" s="29"/>
      <c r="BS238" s="29"/>
      <c r="BT238" s="29"/>
      <c r="BU238" s="29"/>
      <c r="BV238" s="29"/>
      <c r="BW238" s="29"/>
      <c r="BX238" s="29"/>
      <c r="BY238" s="29"/>
      <c r="BZ238" s="29"/>
      <c r="CA238" s="29"/>
      <c r="CB238" s="29"/>
      <c r="CC238" s="29"/>
      <c r="CD238" s="29"/>
      <c r="CE238" s="29"/>
      <c r="CF238" s="29"/>
      <c r="CG238" s="29"/>
      <c r="CH238" s="29"/>
      <c r="CI238" s="29"/>
      <c r="CJ238" s="29"/>
      <c r="CK238" s="29"/>
      <c r="CL238" s="29"/>
      <c r="CM238" s="29"/>
      <c r="CN238" s="29"/>
      <c r="CO238" s="29"/>
      <c r="CP238" s="29"/>
      <c r="CQ238" s="29"/>
      <c r="CR238" s="29"/>
      <c r="CS238" s="29"/>
      <c r="CT238" s="29"/>
      <c r="CU238" s="29"/>
      <c r="CV238" s="29"/>
      <c r="CW238" s="29"/>
      <c r="CX238" s="29"/>
      <c r="CY238" s="29"/>
      <c r="CZ238" s="29"/>
      <c r="DA238" s="29"/>
      <c r="DB238" s="29"/>
      <c r="DC238" s="29"/>
      <c r="DD238" s="29"/>
      <c r="DE238" s="29"/>
      <c r="DF238" s="29"/>
      <c r="DG238" s="29"/>
      <c r="DH238" s="29"/>
      <c r="DI238" s="29"/>
      <c r="DJ238" s="29"/>
      <c r="DK238" s="29"/>
      <c r="DL238" s="29"/>
      <c r="DM238" s="29"/>
      <c r="DN238" s="29"/>
      <c r="DO238" s="29"/>
      <c r="DP238" s="29"/>
      <c r="DQ238" s="29"/>
      <c r="DR238" s="29"/>
      <c r="DS238" s="29"/>
      <c r="DT238" s="29"/>
      <c r="DU238" s="29"/>
      <c r="DV238" s="29"/>
      <c r="DW238" s="29"/>
      <c r="DX238" s="29"/>
      <c r="DY238" s="29"/>
      <c r="DZ238" s="29"/>
      <c r="EA238" s="29"/>
      <c r="EB238" s="29"/>
      <c r="EC238" s="29"/>
      <c r="ED238" s="29"/>
      <c r="EE238" s="29"/>
      <c r="EF238" s="29"/>
      <c r="EG238" s="29"/>
      <c r="EH238" s="29"/>
      <c r="EI238" s="29"/>
      <c r="EJ238" s="29"/>
      <c r="EK238" s="29"/>
      <c r="EL238" s="29"/>
      <c r="EM238" s="29"/>
      <c r="EN238" s="29"/>
      <c r="EO238" s="29"/>
      <c r="EP238" s="29"/>
      <c r="EQ238" s="29"/>
      <c r="ER238" s="29"/>
      <c r="ES238" s="29"/>
      <c r="ET238" s="29"/>
      <c r="EU238" s="29"/>
      <c r="EV238" s="29"/>
      <c r="EW238" s="29"/>
      <c r="EX238" s="29"/>
      <c r="EY238" s="29"/>
      <c r="EZ238" s="29"/>
      <c r="FA238" s="29"/>
      <c r="FB238" s="29"/>
      <c r="FC238" s="29"/>
      <c r="FD238" s="29"/>
      <c r="FE238" s="29"/>
      <c r="FF238" s="29"/>
      <c r="FG238" s="29"/>
      <c r="FH238" s="29"/>
      <c r="FI238" s="29"/>
      <c r="FJ238" s="29"/>
      <c r="FK238" s="29"/>
      <c r="FL238" s="29"/>
      <c r="FM238" s="29"/>
      <c r="FN238" s="29"/>
      <c r="FO238" s="29"/>
      <c r="FP238" s="29"/>
      <c r="FQ238" s="29"/>
      <c r="FR238" s="29"/>
      <c r="FS238" s="29"/>
      <c r="FT238" s="29"/>
      <c r="FU238" s="29"/>
      <c r="FV238" s="29"/>
      <c r="FW238" s="29"/>
      <c r="FX238" s="29"/>
      <c r="FY238" s="29"/>
      <c r="FZ238" s="29"/>
      <c r="GA238" s="29"/>
      <c r="GB238" s="29"/>
      <c r="GC238" s="29"/>
      <c r="GD238" s="29"/>
      <c r="GE238" s="29"/>
      <c r="GF238" s="29"/>
      <c r="GG238" s="29"/>
      <c r="GH238" s="29"/>
      <c r="GI238" s="29"/>
      <c r="GJ238" s="29"/>
      <c r="GK238" s="29"/>
      <c r="GL238" s="29"/>
      <c r="GM238" s="29"/>
      <c r="GN238" s="29"/>
      <c r="GO238" s="29"/>
      <c r="GP238" s="29"/>
      <c r="GQ238" s="29"/>
      <c r="GR238" s="29"/>
      <c r="GS238" s="29"/>
      <c r="GT238" s="29"/>
      <c r="GU238" s="29"/>
      <c r="GV238" s="29"/>
      <c r="GW238" s="29"/>
      <c r="GX238" s="29"/>
      <c r="GY238" s="29"/>
      <c r="GZ238" s="29"/>
      <c r="HA238" s="29"/>
      <c r="HB238" s="29"/>
      <c r="HC238" s="29"/>
      <c r="HD238" s="29"/>
      <c r="HE238" s="29"/>
      <c r="HF238" s="29"/>
      <c r="HG238" s="29"/>
      <c r="HH238" s="29"/>
      <c r="HI238" s="29"/>
      <c r="HJ238" s="29"/>
      <c r="HK238" s="29"/>
      <c r="HL238" s="29"/>
      <c r="HM238" s="29"/>
      <c r="HN238" s="29"/>
      <c r="HO238" s="29"/>
      <c r="HP238" s="29"/>
      <c r="HQ238" s="29"/>
      <c r="HR238" s="29"/>
      <c r="HS238" s="29"/>
      <c r="HT238" s="29"/>
      <c r="HU238" s="29"/>
      <c r="HV238" s="29"/>
      <c r="HW238" s="29"/>
      <c r="HX238" s="29"/>
      <c r="HY238" s="29"/>
      <c r="HZ238" s="29"/>
      <c r="IA238" s="29"/>
      <c r="IB238" s="29"/>
      <c r="IC238" s="29"/>
      <c r="ID238" s="29"/>
      <c r="IE238" s="29"/>
      <c r="IF238" s="29"/>
      <c r="IG238" s="29"/>
      <c r="IH238" s="29"/>
      <c r="II238" s="29"/>
      <c r="IJ238" s="29"/>
      <c r="IK238" s="29"/>
      <c r="IL238" s="29"/>
      <c r="IM238" s="29"/>
      <c r="IN238" s="29"/>
      <c r="IO238" s="29"/>
      <c r="IP238" s="29"/>
      <c r="IQ238" s="29"/>
      <c r="IR238" s="29"/>
      <c r="IS238" s="29"/>
      <c r="IT238" s="29"/>
      <c r="IU238" s="29"/>
      <c r="IV238" s="29"/>
      <c r="IW238" s="29"/>
      <c r="IX238" s="29"/>
      <c r="IY238" s="29"/>
      <c r="IZ238" s="29"/>
      <c r="JA238" s="29"/>
      <c r="JB238" s="29"/>
      <c r="JC238" s="29"/>
      <c r="JD238" s="29"/>
      <c r="JE238" s="29"/>
      <c r="JF238" s="29"/>
      <c r="JG238" s="29"/>
      <c r="JH238" s="29"/>
      <c r="JI238" s="29"/>
      <c r="JJ238" s="29"/>
      <c r="JK238" s="29"/>
      <c r="JL238" s="29"/>
    </row>
    <row r="239" spans="1:272" ht="34.5" customHeight="1">
      <c r="A239" s="30" t="s">
        <v>142</v>
      </c>
      <c r="B239" s="30" t="s">
        <v>72</v>
      </c>
      <c r="C239" s="30"/>
      <c r="D239" s="30" t="s">
        <v>707</v>
      </c>
      <c r="E239" s="30"/>
      <c r="F239" s="30" t="s">
        <v>694</v>
      </c>
      <c r="G239" s="129" t="s">
        <v>215</v>
      </c>
      <c r="H239" s="30"/>
      <c r="I239" s="30"/>
      <c r="J239" s="30" t="s">
        <v>129</v>
      </c>
      <c r="K239" s="30" t="s">
        <v>91</v>
      </c>
      <c r="L239" s="30"/>
      <c r="M239" s="39"/>
      <c r="N239" s="39">
        <v>10068.81</v>
      </c>
      <c r="O239" s="30"/>
      <c r="P239" s="30"/>
      <c r="Q239" s="30" t="s">
        <v>294</v>
      </c>
      <c r="R239" s="30"/>
      <c r="S239" s="41">
        <v>2014</v>
      </c>
      <c r="T239" s="31" t="s">
        <v>690</v>
      </c>
      <c r="U239" s="31" t="s">
        <v>691</v>
      </c>
      <c r="V239" s="30" t="s">
        <v>692</v>
      </c>
      <c r="W239" s="129" t="s">
        <v>36</v>
      </c>
      <c r="X239" s="30" t="s">
        <v>345</v>
      </c>
      <c r="Y239" s="30" t="s">
        <v>345</v>
      </c>
      <c r="Z239" s="30" t="s">
        <v>345</v>
      </c>
      <c r="AA239" s="30"/>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29"/>
      <c r="BT239" s="29"/>
      <c r="BU239" s="29"/>
      <c r="BV239" s="29"/>
      <c r="BW239" s="29"/>
      <c r="BX239" s="29"/>
      <c r="BY239" s="29"/>
      <c r="BZ239" s="29"/>
      <c r="CA239" s="29"/>
      <c r="CB239" s="29"/>
      <c r="CC239" s="29"/>
      <c r="CD239" s="29"/>
      <c r="CE239" s="29"/>
      <c r="CF239" s="29"/>
      <c r="CG239" s="29"/>
      <c r="CH239" s="29"/>
      <c r="CI239" s="29"/>
      <c r="CJ239" s="29"/>
      <c r="CK239" s="29"/>
      <c r="CL239" s="29"/>
      <c r="CM239" s="29"/>
      <c r="CN239" s="29"/>
      <c r="CO239" s="29"/>
      <c r="CP239" s="29"/>
      <c r="CQ239" s="29"/>
      <c r="CR239" s="29"/>
      <c r="CS239" s="29"/>
      <c r="CT239" s="29"/>
      <c r="CU239" s="29"/>
      <c r="CV239" s="29"/>
      <c r="CW239" s="29"/>
      <c r="CX239" s="29"/>
      <c r="CY239" s="29"/>
      <c r="CZ239" s="29"/>
      <c r="DA239" s="29"/>
      <c r="DB239" s="29"/>
      <c r="DC239" s="29"/>
      <c r="DD239" s="29"/>
      <c r="DE239" s="29"/>
      <c r="DF239" s="29"/>
      <c r="DG239" s="29"/>
      <c r="DH239" s="29"/>
      <c r="DI239" s="29"/>
      <c r="DJ239" s="29"/>
      <c r="DK239" s="29"/>
      <c r="DL239" s="29"/>
      <c r="DM239" s="29"/>
      <c r="DN239" s="29"/>
      <c r="DO239" s="29"/>
      <c r="DP239" s="29"/>
      <c r="DQ239" s="29"/>
      <c r="DR239" s="29"/>
      <c r="DS239" s="29"/>
      <c r="DT239" s="29"/>
      <c r="DU239" s="29"/>
      <c r="DV239" s="29"/>
      <c r="DW239" s="29"/>
      <c r="DX239" s="29"/>
      <c r="DY239" s="29"/>
      <c r="DZ239" s="29"/>
      <c r="EA239" s="29"/>
      <c r="EB239" s="29"/>
      <c r="EC239" s="29"/>
      <c r="ED239" s="29"/>
      <c r="EE239" s="29"/>
      <c r="EF239" s="29"/>
      <c r="EG239" s="29"/>
      <c r="EH239" s="29"/>
      <c r="EI239" s="29"/>
      <c r="EJ239" s="29"/>
      <c r="EK239" s="29"/>
      <c r="EL239" s="29"/>
      <c r="EM239" s="29"/>
      <c r="EN239" s="29"/>
      <c r="EO239" s="29"/>
      <c r="EP239" s="29"/>
      <c r="EQ239" s="29"/>
      <c r="ER239" s="29"/>
      <c r="ES239" s="29"/>
      <c r="ET239" s="29"/>
      <c r="EU239" s="29"/>
      <c r="EV239" s="29"/>
      <c r="EW239" s="29"/>
      <c r="EX239" s="29"/>
      <c r="EY239" s="29"/>
      <c r="EZ239" s="29"/>
      <c r="FA239" s="29"/>
      <c r="FB239" s="29"/>
      <c r="FC239" s="29"/>
      <c r="FD239" s="29"/>
      <c r="FE239" s="29"/>
      <c r="FF239" s="29"/>
      <c r="FG239" s="29"/>
      <c r="FH239" s="29"/>
      <c r="FI239" s="29"/>
      <c r="FJ239" s="29"/>
      <c r="FK239" s="29"/>
      <c r="FL239" s="29"/>
      <c r="FM239" s="29"/>
      <c r="FN239" s="29"/>
      <c r="FO239" s="29"/>
      <c r="FP239" s="29"/>
      <c r="FQ239" s="29"/>
      <c r="FR239" s="29"/>
      <c r="FS239" s="29"/>
      <c r="FT239" s="29"/>
      <c r="FU239" s="29"/>
      <c r="FV239" s="29"/>
      <c r="FW239" s="29"/>
      <c r="FX239" s="29"/>
      <c r="FY239" s="29"/>
      <c r="FZ239" s="29"/>
      <c r="GA239" s="29"/>
      <c r="GB239" s="29"/>
      <c r="GC239" s="29"/>
      <c r="GD239" s="29"/>
      <c r="GE239" s="29"/>
      <c r="GF239" s="29"/>
      <c r="GG239" s="29"/>
      <c r="GH239" s="29"/>
      <c r="GI239" s="29"/>
      <c r="GJ239" s="29"/>
      <c r="GK239" s="29"/>
      <c r="GL239" s="29"/>
      <c r="GM239" s="29"/>
      <c r="GN239" s="29"/>
      <c r="GO239" s="29"/>
      <c r="GP239" s="29"/>
      <c r="GQ239" s="29"/>
      <c r="GR239" s="29"/>
      <c r="GS239" s="29"/>
      <c r="GT239" s="29"/>
      <c r="GU239" s="29"/>
      <c r="GV239" s="29"/>
      <c r="GW239" s="29"/>
      <c r="GX239" s="29"/>
      <c r="GY239" s="29"/>
      <c r="GZ239" s="29"/>
      <c r="HA239" s="29"/>
      <c r="HB239" s="29"/>
      <c r="HC239" s="29"/>
      <c r="HD239" s="29"/>
      <c r="HE239" s="29"/>
      <c r="HF239" s="29"/>
      <c r="HG239" s="29"/>
      <c r="HH239" s="29"/>
      <c r="HI239" s="29"/>
      <c r="HJ239" s="29"/>
      <c r="HK239" s="29"/>
      <c r="HL239" s="29"/>
      <c r="HM239" s="29"/>
      <c r="HN239" s="29"/>
      <c r="HO239" s="29"/>
      <c r="HP239" s="29"/>
      <c r="HQ239" s="29"/>
      <c r="HR239" s="29"/>
      <c r="HS239" s="29"/>
      <c r="HT239" s="29"/>
      <c r="HU239" s="29"/>
      <c r="HV239" s="29"/>
      <c r="HW239" s="29"/>
      <c r="HX239" s="29"/>
      <c r="HY239" s="29"/>
      <c r="HZ239" s="29"/>
      <c r="IA239" s="29"/>
      <c r="IB239" s="29"/>
      <c r="IC239" s="29"/>
      <c r="ID239" s="29"/>
      <c r="IE239" s="29"/>
      <c r="IF239" s="29"/>
      <c r="IG239" s="29"/>
      <c r="IH239" s="29"/>
      <c r="II239" s="29"/>
      <c r="IJ239" s="29"/>
      <c r="IK239" s="29"/>
      <c r="IL239" s="29"/>
      <c r="IM239" s="29"/>
      <c r="IN239" s="29"/>
      <c r="IO239" s="29"/>
      <c r="IP239" s="29"/>
      <c r="IQ239" s="29"/>
      <c r="IR239" s="29"/>
      <c r="IS239" s="29"/>
      <c r="IT239" s="29"/>
      <c r="IU239" s="29"/>
      <c r="IV239" s="29"/>
      <c r="IW239" s="29"/>
      <c r="IX239" s="29"/>
      <c r="IY239" s="29"/>
      <c r="IZ239" s="29"/>
      <c r="JA239" s="29"/>
      <c r="JB239" s="29"/>
      <c r="JC239" s="29"/>
      <c r="JD239" s="29"/>
      <c r="JE239" s="29"/>
      <c r="JF239" s="29"/>
      <c r="JG239" s="29"/>
      <c r="JH239" s="29"/>
      <c r="JI239" s="29"/>
      <c r="JJ239" s="29"/>
      <c r="JK239" s="29"/>
      <c r="JL239" s="29"/>
    </row>
    <row r="240" spans="1:272" ht="34.5" customHeight="1">
      <c r="A240" s="30" t="s">
        <v>142</v>
      </c>
      <c r="B240" s="30" t="s">
        <v>72</v>
      </c>
      <c r="C240" s="30"/>
      <c r="D240" s="30" t="s">
        <v>708</v>
      </c>
      <c r="E240" s="30"/>
      <c r="F240" s="129" t="s">
        <v>3362</v>
      </c>
      <c r="G240" s="30" t="s">
        <v>231</v>
      </c>
      <c r="H240" s="30"/>
      <c r="I240" s="30"/>
      <c r="J240" s="30" t="s">
        <v>129</v>
      </c>
      <c r="K240" s="30" t="s">
        <v>91</v>
      </c>
      <c r="L240" s="30"/>
      <c r="M240" s="39"/>
      <c r="N240" s="39">
        <v>26419.56</v>
      </c>
      <c r="O240" s="30"/>
      <c r="P240" s="30"/>
      <c r="Q240" s="30" t="s">
        <v>294</v>
      </c>
      <c r="R240" s="30"/>
      <c r="S240" s="41">
        <v>2014</v>
      </c>
      <c r="T240" s="31" t="s">
        <v>690</v>
      </c>
      <c r="U240" s="31" t="s">
        <v>691</v>
      </c>
      <c r="V240" s="30" t="s">
        <v>692</v>
      </c>
      <c r="W240" s="129" t="s">
        <v>36</v>
      </c>
      <c r="X240" s="30" t="s">
        <v>345</v>
      </c>
      <c r="Y240" s="30" t="s">
        <v>345</v>
      </c>
      <c r="Z240" s="30" t="s">
        <v>345</v>
      </c>
      <c r="AA240" s="30"/>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c r="BU240" s="29"/>
      <c r="BV240" s="29"/>
      <c r="BW240" s="29"/>
      <c r="BX240" s="29"/>
      <c r="BY240" s="29"/>
      <c r="BZ240" s="29"/>
      <c r="CA240" s="29"/>
      <c r="CB240" s="29"/>
      <c r="CC240" s="29"/>
      <c r="CD240" s="29"/>
      <c r="CE240" s="29"/>
      <c r="CF240" s="29"/>
      <c r="CG240" s="29"/>
      <c r="CH240" s="29"/>
      <c r="CI240" s="29"/>
      <c r="CJ240" s="29"/>
      <c r="CK240" s="29"/>
      <c r="CL240" s="29"/>
      <c r="CM240" s="29"/>
      <c r="CN240" s="29"/>
      <c r="CO240" s="29"/>
      <c r="CP240" s="29"/>
      <c r="CQ240" s="29"/>
      <c r="CR240" s="29"/>
      <c r="CS240" s="29"/>
      <c r="CT240" s="29"/>
      <c r="CU240" s="29"/>
      <c r="CV240" s="29"/>
      <c r="CW240" s="29"/>
      <c r="CX240" s="29"/>
      <c r="CY240" s="29"/>
      <c r="CZ240" s="29"/>
      <c r="DA240" s="29"/>
      <c r="DB240" s="29"/>
      <c r="DC240" s="29"/>
      <c r="DD240" s="29"/>
      <c r="DE240" s="29"/>
      <c r="DF240" s="29"/>
      <c r="DG240" s="29"/>
      <c r="DH240" s="29"/>
      <c r="DI240" s="29"/>
      <c r="DJ240" s="29"/>
      <c r="DK240" s="29"/>
      <c r="DL240" s="29"/>
      <c r="DM240" s="29"/>
      <c r="DN240" s="29"/>
      <c r="DO240" s="29"/>
      <c r="DP240" s="29"/>
      <c r="DQ240" s="29"/>
      <c r="DR240" s="29"/>
      <c r="DS240" s="29"/>
      <c r="DT240" s="29"/>
      <c r="DU240" s="29"/>
      <c r="DV240" s="29"/>
      <c r="DW240" s="29"/>
      <c r="DX240" s="29"/>
      <c r="DY240" s="29"/>
      <c r="DZ240" s="29"/>
      <c r="EA240" s="29"/>
      <c r="EB240" s="29"/>
      <c r="EC240" s="29"/>
      <c r="ED240" s="29"/>
      <c r="EE240" s="29"/>
      <c r="EF240" s="29"/>
      <c r="EG240" s="29"/>
      <c r="EH240" s="29"/>
      <c r="EI240" s="29"/>
      <c r="EJ240" s="29"/>
      <c r="EK240" s="29"/>
      <c r="EL240" s="29"/>
      <c r="EM240" s="29"/>
      <c r="EN240" s="29"/>
      <c r="EO240" s="29"/>
      <c r="EP240" s="29"/>
      <c r="EQ240" s="29"/>
      <c r="ER240" s="29"/>
      <c r="ES240" s="29"/>
      <c r="ET240" s="29"/>
      <c r="EU240" s="29"/>
      <c r="EV240" s="29"/>
      <c r="EW240" s="29"/>
      <c r="EX240" s="29"/>
      <c r="EY240" s="29"/>
      <c r="EZ240" s="29"/>
      <c r="FA240" s="29"/>
      <c r="FB240" s="29"/>
      <c r="FC240" s="29"/>
      <c r="FD240" s="29"/>
      <c r="FE240" s="29"/>
      <c r="FF240" s="29"/>
      <c r="FG240" s="29"/>
      <c r="FH240" s="29"/>
      <c r="FI240" s="29"/>
      <c r="FJ240" s="29"/>
      <c r="FK240" s="29"/>
      <c r="FL240" s="29"/>
      <c r="FM240" s="29"/>
      <c r="FN240" s="29"/>
      <c r="FO240" s="29"/>
      <c r="FP240" s="29"/>
      <c r="FQ240" s="29"/>
      <c r="FR240" s="29"/>
      <c r="FS240" s="29"/>
      <c r="FT240" s="29"/>
      <c r="FU240" s="29"/>
      <c r="FV240" s="29"/>
      <c r="FW240" s="29"/>
      <c r="FX240" s="29"/>
      <c r="FY240" s="29"/>
      <c r="FZ240" s="29"/>
      <c r="GA240" s="29"/>
      <c r="GB240" s="29"/>
      <c r="GC240" s="29"/>
      <c r="GD240" s="29"/>
      <c r="GE240" s="29"/>
      <c r="GF240" s="29"/>
      <c r="GG240" s="29"/>
      <c r="GH240" s="29"/>
      <c r="GI240" s="29"/>
      <c r="GJ240" s="29"/>
      <c r="GK240" s="29"/>
      <c r="GL240" s="29"/>
      <c r="GM240" s="29"/>
      <c r="GN240" s="29"/>
      <c r="GO240" s="29"/>
      <c r="GP240" s="29"/>
      <c r="GQ240" s="29"/>
      <c r="GR240" s="29"/>
      <c r="GS240" s="29"/>
      <c r="GT240" s="29"/>
      <c r="GU240" s="29"/>
      <c r="GV240" s="29"/>
      <c r="GW240" s="29"/>
      <c r="GX240" s="29"/>
      <c r="GY240" s="29"/>
      <c r="GZ240" s="29"/>
      <c r="HA240" s="29"/>
      <c r="HB240" s="29"/>
      <c r="HC240" s="29"/>
      <c r="HD240" s="29"/>
      <c r="HE240" s="29"/>
      <c r="HF240" s="29"/>
      <c r="HG240" s="29"/>
      <c r="HH240" s="29"/>
      <c r="HI240" s="29"/>
      <c r="HJ240" s="29"/>
      <c r="HK240" s="29"/>
      <c r="HL240" s="29"/>
      <c r="HM240" s="29"/>
      <c r="HN240" s="29"/>
      <c r="HO240" s="29"/>
      <c r="HP240" s="29"/>
      <c r="HQ240" s="29"/>
      <c r="HR240" s="29"/>
      <c r="HS240" s="29"/>
      <c r="HT240" s="29"/>
      <c r="HU240" s="29"/>
      <c r="HV240" s="29"/>
      <c r="HW240" s="29"/>
      <c r="HX240" s="29"/>
      <c r="HY240" s="29"/>
      <c r="HZ240" s="29"/>
      <c r="IA240" s="29"/>
      <c r="IB240" s="29"/>
      <c r="IC240" s="29"/>
      <c r="ID240" s="29"/>
      <c r="IE240" s="29"/>
      <c r="IF240" s="29"/>
      <c r="IG240" s="29"/>
      <c r="IH240" s="29"/>
      <c r="II240" s="29"/>
      <c r="IJ240" s="29"/>
      <c r="IK240" s="29"/>
      <c r="IL240" s="29"/>
      <c r="IM240" s="29"/>
      <c r="IN240" s="29"/>
      <c r="IO240" s="29"/>
      <c r="IP240" s="29"/>
      <c r="IQ240" s="29"/>
      <c r="IR240" s="29"/>
      <c r="IS240" s="29"/>
      <c r="IT240" s="29"/>
      <c r="IU240" s="29"/>
      <c r="IV240" s="29"/>
      <c r="IW240" s="29"/>
      <c r="IX240" s="29"/>
      <c r="IY240" s="29"/>
      <c r="IZ240" s="29"/>
      <c r="JA240" s="29"/>
      <c r="JB240" s="29"/>
      <c r="JC240" s="29"/>
      <c r="JD240" s="29"/>
      <c r="JE240" s="29"/>
      <c r="JF240" s="29"/>
      <c r="JG240" s="29"/>
      <c r="JH240" s="29"/>
      <c r="JI240" s="29"/>
      <c r="JJ240" s="29"/>
      <c r="JK240" s="29"/>
      <c r="JL240" s="29"/>
    </row>
    <row r="241" spans="1:27" s="29" customFormat="1" ht="34.5" customHeight="1">
      <c r="A241" s="30" t="s">
        <v>142</v>
      </c>
      <c r="B241" s="30" t="s">
        <v>72</v>
      </c>
      <c r="C241" s="30"/>
      <c r="D241" s="30" t="s">
        <v>709</v>
      </c>
      <c r="E241" s="30"/>
      <c r="F241" s="30" t="s">
        <v>528</v>
      </c>
      <c r="G241" s="129" t="s">
        <v>215</v>
      </c>
      <c r="H241" s="30"/>
      <c r="I241" s="30"/>
      <c r="J241" s="30" t="s">
        <v>129</v>
      </c>
      <c r="K241" s="30" t="s">
        <v>91</v>
      </c>
      <c r="L241" s="30"/>
      <c r="M241" s="39"/>
      <c r="N241" s="39">
        <v>3110</v>
      </c>
      <c r="O241" s="30"/>
      <c r="P241" s="30"/>
      <c r="Q241" s="30" t="s">
        <v>294</v>
      </c>
      <c r="R241" s="30"/>
      <c r="S241" s="41">
        <v>2014</v>
      </c>
      <c r="T241" s="31" t="s">
        <v>690</v>
      </c>
      <c r="U241" s="31" t="s">
        <v>691</v>
      </c>
      <c r="V241" s="30" t="s">
        <v>692</v>
      </c>
      <c r="W241" s="129" t="s">
        <v>36</v>
      </c>
      <c r="X241" s="30" t="s">
        <v>345</v>
      </c>
      <c r="Y241" s="30" t="s">
        <v>345</v>
      </c>
      <c r="Z241" s="30" t="s">
        <v>345</v>
      </c>
      <c r="AA241" s="30"/>
    </row>
    <row r="242" spans="1:27" s="29" customFormat="1" ht="34.5" customHeight="1">
      <c r="A242" s="30" t="s">
        <v>142</v>
      </c>
      <c r="B242" s="30" t="s">
        <v>72</v>
      </c>
      <c r="C242" s="30"/>
      <c r="D242" s="30" t="s">
        <v>710</v>
      </c>
      <c r="E242" s="30"/>
      <c r="F242" s="30" t="s">
        <v>711</v>
      </c>
      <c r="G242" s="129" t="s">
        <v>215</v>
      </c>
      <c r="H242" s="30"/>
      <c r="I242" s="30"/>
      <c r="J242" s="30" t="s">
        <v>129</v>
      </c>
      <c r="K242" s="30" t="s">
        <v>91</v>
      </c>
      <c r="L242" s="30"/>
      <c r="M242" s="39"/>
      <c r="N242" s="39">
        <v>21066.77</v>
      </c>
      <c r="O242" s="30"/>
      <c r="P242" s="30"/>
      <c r="Q242" s="30" t="s">
        <v>294</v>
      </c>
      <c r="R242" s="30"/>
      <c r="S242" s="41">
        <v>2014</v>
      </c>
      <c r="T242" s="31" t="s">
        <v>690</v>
      </c>
      <c r="U242" s="31" t="s">
        <v>691</v>
      </c>
      <c r="V242" s="30" t="s">
        <v>692</v>
      </c>
      <c r="W242" s="129" t="s">
        <v>36</v>
      </c>
      <c r="X242" s="30" t="s">
        <v>345</v>
      </c>
      <c r="Y242" s="30" t="s">
        <v>345</v>
      </c>
      <c r="Z242" s="30" t="s">
        <v>345</v>
      </c>
      <c r="AA242" s="30"/>
    </row>
    <row r="243" spans="1:27" s="29" customFormat="1" ht="34.5" customHeight="1">
      <c r="A243" s="30" t="s">
        <v>142</v>
      </c>
      <c r="B243" s="30" t="s">
        <v>72</v>
      </c>
      <c r="C243" s="30"/>
      <c r="D243" s="30" t="s">
        <v>712</v>
      </c>
      <c r="E243" s="30"/>
      <c r="F243" s="30" t="s">
        <v>702</v>
      </c>
      <c r="G243" s="30" t="s">
        <v>231</v>
      </c>
      <c r="H243" s="30"/>
      <c r="I243" s="30"/>
      <c r="J243" s="30" t="s">
        <v>129</v>
      </c>
      <c r="K243" s="30" t="s">
        <v>91</v>
      </c>
      <c r="L243" s="30"/>
      <c r="M243" s="39"/>
      <c r="N243" s="39">
        <v>14762</v>
      </c>
      <c r="O243" s="30"/>
      <c r="P243" s="30"/>
      <c r="Q243" s="30" t="s">
        <v>294</v>
      </c>
      <c r="R243" s="30"/>
      <c r="S243" s="41">
        <v>2014</v>
      </c>
      <c r="T243" s="31" t="s">
        <v>690</v>
      </c>
      <c r="U243" s="31" t="s">
        <v>691</v>
      </c>
      <c r="V243" s="30" t="s">
        <v>692</v>
      </c>
      <c r="W243" s="129" t="s">
        <v>36</v>
      </c>
      <c r="X243" s="30" t="s">
        <v>345</v>
      </c>
      <c r="Y243" s="30" t="s">
        <v>345</v>
      </c>
      <c r="Z243" s="30" t="s">
        <v>345</v>
      </c>
      <c r="AA243" s="30"/>
    </row>
    <row r="244" spans="1:27" s="29" customFormat="1" ht="34.5" customHeight="1">
      <c r="A244" s="30" t="s">
        <v>142</v>
      </c>
      <c r="B244" s="30" t="s">
        <v>72</v>
      </c>
      <c r="C244" s="30"/>
      <c r="D244" s="30" t="s">
        <v>713</v>
      </c>
      <c r="E244" s="30"/>
      <c r="F244" s="30" t="s">
        <v>698</v>
      </c>
      <c r="G244" s="30" t="s">
        <v>231</v>
      </c>
      <c r="H244" s="30"/>
      <c r="I244" s="30"/>
      <c r="J244" s="30" t="s">
        <v>129</v>
      </c>
      <c r="K244" s="30" t="s">
        <v>91</v>
      </c>
      <c r="L244" s="30"/>
      <c r="M244" s="39"/>
      <c r="N244" s="39">
        <v>7519.85</v>
      </c>
      <c r="O244" s="30"/>
      <c r="P244" s="30"/>
      <c r="Q244" s="30" t="s">
        <v>294</v>
      </c>
      <c r="R244" s="30"/>
      <c r="S244" s="41">
        <v>2014</v>
      </c>
      <c r="T244" s="31" t="s">
        <v>690</v>
      </c>
      <c r="U244" s="31" t="s">
        <v>691</v>
      </c>
      <c r="V244" s="30" t="s">
        <v>692</v>
      </c>
      <c r="W244" s="129" t="s">
        <v>36</v>
      </c>
      <c r="X244" s="30" t="s">
        <v>345</v>
      </c>
      <c r="Y244" s="30" t="s">
        <v>345</v>
      </c>
      <c r="Z244" s="30" t="s">
        <v>345</v>
      </c>
      <c r="AA244" s="30"/>
    </row>
    <row r="245" spans="1:27" s="29" customFormat="1" ht="34.5" customHeight="1">
      <c r="A245" s="30" t="s">
        <v>142</v>
      </c>
      <c r="B245" s="30" t="s">
        <v>72</v>
      </c>
      <c r="C245" s="30"/>
      <c r="D245" s="30" t="s">
        <v>714</v>
      </c>
      <c r="E245" s="30"/>
      <c r="F245" s="30" t="s">
        <v>698</v>
      </c>
      <c r="G245" s="30" t="s">
        <v>231</v>
      </c>
      <c r="H245" s="30"/>
      <c r="I245" s="30"/>
      <c r="J245" s="30" t="s">
        <v>129</v>
      </c>
      <c r="K245" s="30" t="s">
        <v>91</v>
      </c>
      <c r="L245" s="30"/>
      <c r="M245" s="39"/>
      <c r="N245" s="39">
        <v>6649.32</v>
      </c>
      <c r="O245" s="30"/>
      <c r="P245" s="30"/>
      <c r="Q245" s="30" t="s">
        <v>294</v>
      </c>
      <c r="R245" s="30"/>
      <c r="S245" s="41">
        <v>2014</v>
      </c>
      <c r="T245" s="31" t="s">
        <v>690</v>
      </c>
      <c r="U245" s="31" t="s">
        <v>691</v>
      </c>
      <c r="V245" s="30" t="s">
        <v>692</v>
      </c>
      <c r="W245" s="129" t="s">
        <v>36</v>
      </c>
      <c r="X245" s="30" t="s">
        <v>345</v>
      </c>
      <c r="Y245" s="30" t="s">
        <v>345</v>
      </c>
      <c r="Z245" s="30" t="s">
        <v>345</v>
      </c>
      <c r="AA245" s="30"/>
    </row>
    <row r="246" spans="1:27" s="29" customFormat="1" ht="34.5" customHeight="1">
      <c r="A246" s="30" t="s">
        <v>142</v>
      </c>
      <c r="B246" s="30" t="s">
        <v>72</v>
      </c>
      <c r="C246" s="30"/>
      <c r="D246" s="30" t="s">
        <v>715</v>
      </c>
      <c r="E246" s="30"/>
      <c r="F246" s="30" t="s">
        <v>716</v>
      </c>
      <c r="G246" s="129" t="s">
        <v>215</v>
      </c>
      <c r="H246" s="30"/>
      <c r="I246" s="30"/>
      <c r="J246" s="30" t="s">
        <v>129</v>
      </c>
      <c r="K246" s="30" t="s">
        <v>91</v>
      </c>
      <c r="L246" s="30"/>
      <c r="M246" s="39"/>
      <c r="N246" s="39">
        <v>8773.4</v>
      </c>
      <c r="O246" s="30"/>
      <c r="P246" s="30"/>
      <c r="Q246" s="30" t="s">
        <v>294</v>
      </c>
      <c r="R246" s="30"/>
      <c r="S246" s="41">
        <v>2014</v>
      </c>
      <c r="T246" s="31" t="s">
        <v>690</v>
      </c>
      <c r="U246" s="31" t="s">
        <v>691</v>
      </c>
      <c r="V246" s="30" t="s">
        <v>692</v>
      </c>
      <c r="W246" s="129" t="s">
        <v>36</v>
      </c>
      <c r="X246" s="30" t="s">
        <v>345</v>
      </c>
      <c r="Y246" s="30" t="s">
        <v>345</v>
      </c>
      <c r="Z246" s="30" t="s">
        <v>345</v>
      </c>
      <c r="AA246" s="30"/>
    </row>
    <row r="247" spans="1:27" s="29" customFormat="1" ht="34.5" customHeight="1">
      <c r="A247" s="30" t="s">
        <v>142</v>
      </c>
      <c r="B247" s="30" t="s">
        <v>72</v>
      </c>
      <c r="C247" s="30"/>
      <c r="D247" s="30" t="s">
        <v>717</v>
      </c>
      <c r="E247" s="30"/>
      <c r="F247" s="30" t="s">
        <v>694</v>
      </c>
      <c r="G247" s="129" t="s">
        <v>215</v>
      </c>
      <c r="H247" s="30"/>
      <c r="I247" s="30"/>
      <c r="J247" s="30" t="s">
        <v>129</v>
      </c>
      <c r="K247" s="30" t="s">
        <v>91</v>
      </c>
      <c r="L247" s="30"/>
      <c r="M247" s="39"/>
      <c r="N247" s="39">
        <v>7702.7</v>
      </c>
      <c r="O247" s="30"/>
      <c r="P247" s="30"/>
      <c r="Q247" s="30" t="s">
        <v>294</v>
      </c>
      <c r="R247" s="30"/>
      <c r="S247" s="41">
        <v>2014</v>
      </c>
      <c r="T247" s="31" t="s">
        <v>690</v>
      </c>
      <c r="U247" s="31" t="s">
        <v>691</v>
      </c>
      <c r="V247" s="30" t="s">
        <v>692</v>
      </c>
      <c r="W247" s="129" t="s">
        <v>36</v>
      </c>
      <c r="X247" s="30" t="s">
        <v>345</v>
      </c>
      <c r="Y247" s="30" t="s">
        <v>345</v>
      </c>
      <c r="Z247" s="30" t="s">
        <v>345</v>
      </c>
      <c r="AA247" s="30"/>
    </row>
    <row r="248" spans="1:27" s="29" customFormat="1" ht="34.5" customHeight="1">
      <c r="A248" s="30" t="s">
        <v>142</v>
      </c>
      <c r="B248" s="30" t="s">
        <v>72</v>
      </c>
      <c r="C248" s="30"/>
      <c r="D248" s="30" t="s">
        <v>718</v>
      </c>
      <c r="E248" s="30"/>
      <c r="F248" s="30" t="s">
        <v>694</v>
      </c>
      <c r="G248" s="129" t="s">
        <v>215</v>
      </c>
      <c r="H248" s="30"/>
      <c r="I248" s="30"/>
      <c r="J248" s="30" t="s">
        <v>129</v>
      </c>
      <c r="K248" s="30" t="s">
        <v>91</v>
      </c>
      <c r="L248" s="30"/>
      <c r="M248" s="39"/>
      <c r="N248" s="39">
        <v>9075.48</v>
      </c>
      <c r="O248" s="30"/>
      <c r="P248" s="30"/>
      <c r="Q248" s="30" t="s">
        <v>294</v>
      </c>
      <c r="R248" s="30"/>
      <c r="S248" s="41">
        <v>2014</v>
      </c>
      <c r="T248" s="31" t="s">
        <v>690</v>
      </c>
      <c r="U248" s="31" t="s">
        <v>691</v>
      </c>
      <c r="V248" s="30" t="s">
        <v>692</v>
      </c>
      <c r="W248" s="129" t="s">
        <v>36</v>
      </c>
      <c r="X248" s="30" t="s">
        <v>345</v>
      </c>
      <c r="Y248" s="30" t="s">
        <v>345</v>
      </c>
      <c r="Z248" s="30" t="s">
        <v>345</v>
      </c>
      <c r="AA248" s="30"/>
    </row>
    <row r="249" spans="1:27" s="29" customFormat="1" ht="34.5" customHeight="1">
      <c r="A249" s="30" t="s">
        <v>142</v>
      </c>
      <c r="B249" s="30" t="s">
        <v>72</v>
      </c>
      <c r="C249" s="30" t="s">
        <v>719</v>
      </c>
      <c r="D249" s="30" t="s">
        <v>720</v>
      </c>
      <c r="E249" s="30"/>
      <c r="F249" s="30" t="s">
        <v>694</v>
      </c>
      <c r="G249" s="129" t="s">
        <v>215</v>
      </c>
      <c r="H249" s="30"/>
      <c r="I249" s="30"/>
      <c r="J249" s="30" t="s">
        <v>129</v>
      </c>
      <c r="K249" s="30" t="s">
        <v>91</v>
      </c>
      <c r="L249" s="30"/>
      <c r="M249" s="39"/>
      <c r="N249" s="39">
        <v>28900</v>
      </c>
      <c r="O249" s="30"/>
      <c r="P249" s="30"/>
      <c r="Q249" s="30" t="s">
        <v>294</v>
      </c>
      <c r="R249" s="30"/>
      <c r="S249" s="41">
        <v>2014</v>
      </c>
      <c r="T249" s="31" t="s">
        <v>690</v>
      </c>
      <c r="U249" s="31" t="s">
        <v>691</v>
      </c>
      <c r="V249" s="30" t="s">
        <v>692</v>
      </c>
      <c r="W249" s="129" t="s">
        <v>36</v>
      </c>
      <c r="X249" s="30" t="s">
        <v>345</v>
      </c>
      <c r="Y249" s="30" t="s">
        <v>345</v>
      </c>
      <c r="Z249" s="30" t="s">
        <v>345</v>
      </c>
      <c r="AA249" s="30"/>
    </row>
    <row r="250" spans="1:27" s="29" customFormat="1" ht="34.5" customHeight="1">
      <c r="A250" s="30" t="s">
        <v>142</v>
      </c>
      <c r="B250" s="30" t="s">
        <v>72</v>
      </c>
      <c r="C250" s="30" t="s">
        <v>721</v>
      </c>
      <c r="D250" s="30" t="s">
        <v>722</v>
      </c>
      <c r="E250" s="30"/>
      <c r="F250" s="30" t="s">
        <v>694</v>
      </c>
      <c r="G250" s="129" t="s">
        <v>215</v>
      </c>
      <c r="H250" s="30"/>
      <c r="I250" s="30"/>
      <c r="J250" s="30" t="s">
        <v>129</v>
      </c>
      <c r="K250" s="30" t="s">
        <v>91</v>
      </c>
      <c r="L250" s="30"/>
      <c r="M250" s="39"/>
      <c r="N250" s="39">
        <v>3392.5</v>
      </c>
      <c r="O250" s="30"/>
      <c r="P250" s="30"/>
      <c r="Q250" s="30" t="s">
        <v>294</v>
      </c>
      <c r="R250" s="30"/>
      <c r="S250" s="41">
        <v>2014</v>
      </c>
      <c r="T250" s="31" t="s">
        <v>690</v>
      </c>
      <c r="U250" s="31" t="s">
        <v>691</v>
      </c>
      <c r="V250" s="30" t="s">
        <v>692</v>
      </c>
      <c r="W250" s="129" t="s">
        <v>36</v>
      </c>
      <c r="X250" s="30" t="s">
        <v>345</v>
      </c>
      <c r="Y250" s="30" t="s">
        <v>345</v>
      </c>
      <c r="Z250" s="30" t="s">
        <v>345</v>
      </c>
      <c r="AA250" s="30"/>
    </row>
    <row r="251" spans="1:27" s="29" customFormat="1" ht="34.5" customHeight="1">
      <c r="A251" s="30" t="s">
        <v>142</v>
      </c>
      <c r="B251" s="30" t="s">
        <v>72</v>
      </c>
      <c r="C251" s="30" t="s">
        <v>723</v>
      </c>
      <c r="D251" s="30" t="s">
        <v>724</v>
      </c>
      <c r="E251" s="30"/>
      <c r="F251" s="30" t="s">
        <v>725</v>
      </c>
      <c r="G251" s="30" t="s">
        <v>197</v>
      </c>
      <c r="H251" s="30">
        <v>531190</v>
      </c>
      <c r="I251" s="30" t="s">
        <v>345</v>
      </c>
      <c r="J251" s="30" t="s">
        <v>129</v>
      </c>
      <c r="K251" s="30" t="s">
        <v>44</v>
      </c>
      <c r="L251" s="30" t="s">
        <v>726</v>
      </c>
      <c r="M251" s="39"/>
      <c r="N251" s="39">
        <v>3000000</v>
      </c>
      <c r="O251" s="30" t="s">
        <v>79</v>
      </c>
      <c r="P251" s="30" t="s">
        <v>302</v>
      </c>
      <c r="Q251" s="30" t="s">
        <v>294</v>
      </c>
      <c r="R251" s="155" t="s">
        <v>80</v>
      </c>
      <c r="S251" s="41">
        <v>2014</v>
      </c>
      <c r="T251" s="31" t="s">
        <v>727</v>
      </c>
      <c r="U251" s="31" t="s">
        <v>728</v>
      </c>
      <c r="V251" s="30" t="s">
        <v>729</v>
      </c>
      <c r="W251" s="30" t="s">
        <v>36</v>
      </c>
      <c r="X251" s="30" t="s">
        <v>345</v>
      </c>
      <c r="Y251" s="30" t="s">
        <v>345</v>
      </c>
      <c r="Z251" s="30" t="s">
        <v>345</v>
      </c>
      <c r="AA251" s="30" t="s">
        <v>3342</v>
      </c>
    </row>
    <row r="252" spans="1:27" s="29" customFormat="1" ht="34.5" customHeight="1">
      <c r="A252" s="30" t="s">
        <v>142</v>
      </c>
      <c r="B252" s="30" t="s">
        <v>72</v>
      </c>
      <c r="C252" s="30" t="s">
        <v>723</v>
      </c>
      <c r="D252" s="30" t="s">
        <v>724</v>
      </c>
      <c r="E252" s="30"/>
      <c r="F252" s="30" t="s">
        <v>730</v>
      </c>
      <c r="G252" s="30" t="s">
        <v>197</v>
      </c>
      <c r="H252" s="30">
        <v>531190</v>
      </c>
      <c r="I252" s="30" t="s">
        <v>345</v>
      </c>
      <c r="J252" s="30" t="s">
        <v>129</v>
      </c>
      <c r="K252" s="30" t="s">
        <v>44</v>
      </c>
      <c r="L252" s="30" t="s">
        <v>726</v>
      </c>
      <c r="M252" s="39"/>
      <c r="N252" s="39">
        <v>1600000</v>
      </c>
      <c r="O252" s="30" t="s">
        <v>590</v>
      </c>
      <c r="P252" s="30" t="s">
        <v>302</v>
      </c>
      <c r="Q252" s="30" t="s">
        <v>294</v>
      </c>
      <c r="R252" s="155" t="s">
        <v>80</v>
      </c>
      <c r="S252" s="41">
        <v>2014</v>
      </c>
      <c r="T252" s="31" t="s">
        <v>727</v>
      </c>
      <c r="U252" s="31" t="s">
        <v>728</v>
      </c>
      <c r="V252" s="30" t="s">
        <v>729</v>
      </c>
      <c r="W252" s="30" t="s">
        <v>36</v>
      </c>
      <c r="X252" s="30" t="s">
        <v>345</v>
      </c>
      <c r="Y252" s="30" t="s">
        <v>345</v>
      </c>
      <c r="Z252" s="30" t="s">
        <v>345</v>
      </c>
      <c r="AA252" s="30" t="s">
        <v>3342</v>
      </c>
    </row>
    <row r="253" spans="1:27" s="29" customFormat="1" ht="34.5" customHeight="1">
      <c r="A253" s="30" t="s">
        <v>142</v>
      </c>
      <c r="B253" s="30" t="s">
        <v>72</v>
      </c>
      <c r="C253" s="30" t="s">
        <v>723</v>
      </c>
      <c r="D253" s="30" t="s">
        <v>731</v>
      </c>
      <c r="E253" s="30"/>
      <c r="F253" s="30" t="s">
        <v>538</v>
      </c>
      <c r="G253" s="30" t="s">
        <v>197</v>
      </c>
      <c r="H253" s="30"/>
      <c r="I253" s="30" t="s">
        <v>98</v>
      </c>
      <c r="J253" s="30" t="s">
        <v>129</v>
      </c>
      <c r="K253" s="129" t="s">
        <v>44</v>
      </c>
      <c r="L253" s="30" t="s">
        <v>350</v>
      </c>
      <c r="M253" s="39"/>
      <c r="N253" s="39">
        <v>5900000</v>
      </c>
      <c r="O253" s="30" t="s">
        <v>590</v>
      </c>
      <c r="P253" s="30" t="s">
        <v>302</v>
      </c>
      <c r="Q253" s="30"/>
      <c r="R253" s="30"/>
      <c r="S253" s="41">
        <v>2014</v>
      </c>
      <c r="T253" s="31" t="s">
        <v>732</v>
      </c>
      <c r="U253" s="31" t="s">
        <v>733</v>
      </c>
      <c r="V253" s="30" t="s">
        <v>734</v>
      </c>
      <c r="W253" s="30" t="s">
        <v>36</v>
      </c>
      <c r="X253" s="44">
        <v>41576</v>
      </c>
      <c r="Y253" s="30" t="s">
        <v>448</v>
      </c>
      <c r="Z253" s="30" t="s">
        <v>345</v>
      </c>
      <c r="AA253" s="30" t="s">
        <v>3352</v>
      </c>
    </row>
    <row r="254" spans="1:27" s="29" customFormat="1" ht="34.5" customHeight="1">
      <c r="A254" s="30" t="s">
        <v>142</v>
      </c>
      <c r="B254" s="30" t="s">
        <v>72</v>
      </c>
      <c r="C254" s="30" t="s">
        <v>735</v>
      </c>
      <c r="D254" s="30" t="s">
        <v>736</v>
      </c>
      <c r="E254" s="30"/>
      <c r="F254" s="30" t="s">
        <v>588</v>
      </c>
      <c r="G254" s="30" t="s">
        <v>197</v>
      </c>
      <c r="H254" s="30"/>
      <c r="I254" s="30"/>
      <c r="J254" s="30" t="s">
        <v>129</v>
      </c>
      <c r="K254" s="30" t="s">
        <v>148</v>
      </c>
      <c r="L254" s="30"/>
      <c r="M254" s="39"/>
      <c r="N254" s="39">
        <v>543470</v>
      </c>
      <c r="O254" s="30" t="s">
        <v>79</v>
      </c>
      <c r="P254" s="30" t="s">
        <v>737</v>
      </c>
      <c r="Q254" s="30" t="s">
        <v>294</v>
      </c>
      <c r="R254" s="155" t="s">
        <v>80</v>
      </c>
      <c r="S254" s="41">
        <v>2014</v>
      </c>
      <c r="T254" s="31" t="s">
        <v>738</v>
      </c>
      <c r="U254" s="31" t="s">
        <v>739</v>
      </c>
      <c r="V254" s="30" t="s">
        <v>740</v>
      </c>
      <c r="W254" s="30" t="s">
        <v>36</v>
      </c>
      <c r="X254" s="30" t="s">
        <v>302</v>
      </c>
      <c r="Y254" s="30" t="s">
        <v>334</v>
      </c>
      <c r="Z254" s="44">
        <v>44880</v>
      </c>
      <c r="AA254" s="30" t="s">
        <v>3353</v>
      </c>
    </row>
    <row r="255" spans="1:27" s="29" customFormat="1" ht="34.5" customHeight="1">
      <c r="A255" s="30" t="s">
        <v>142</v>
      </c>
      <c r="B255" s="30" t="s">
        <v>94</v>
      </c>
      <c r="C255" s="30" t="s">
        <v>741</v>
      </c>
      <c r="D255" s="30" t="s">
        <v>742</v>
      </c>
      <c r="E255" s="30" t="s">
        <v>88</v>
      </c>
      <c r="F255" s="30" t="s">
        <v>743</v>
      </c>
      <c r="G255" s="30" t="s">
        <v>237</v>
      </c>
      <c r="H255" s="30">
        <v>238220</v>
      </c>
      <c r="I255" s="30" t="s">
        <v>744</v>
      </c>
      <c r="J255" s="30" t="s">
        <v>129</v>
      </c>
      <c r="K255" s="129" t="s">
        <v>69</v>
      </c>
      <c r="L255" s="30" t="s">
        <v>744</v>
      </c>
      <c r="M255" s="39">
        <v>20000</v>
      </c>
      <c r="N255" s="39">
        <v>25000</v>
      </c>
      <c r="O255" s="30" t="s">
        <v>149</v>
      </c>
      <c r="P255" s="30" t="s">
        <v>302</v>
      </c>
      <c r="Q255" s="30" t="s">
        <v>294</v>
      </c>
      <c r="R255" s="155" t="s">
        <v>80</v>
      </c>
      <c r="S255" s="41">
        <v>2014</v>
      </c>
      <c r="T255" s="31" t="s">
        <v>746</v>
      </c>
      <c r="U255" s="31" t="s">
        <v>747</v>
      </c>
      <c r="V255" s="30" t="s">
        <v>748</v>
      </c>
      <c r="W255" s="30" t="s">
        <v>46</v>
      </c>
      <c r="X255" s="44">
        <v>41671</v>
      </c>
      <c r="Y255" s="44">
        <v>41690</v>
      </c>
      <c r="Z255" s="44">
        <v>41749</v>
      </c>
      <c r="AA255" s="30" t="s">
        <v>464</v>
      </c>
    </row>
    <row r="256" spans="1:27" s="29" customFormat="1" ht="34.5" customHeight="1">
      <c r="A256" s="30" t="s">
        <v>142</v>
      </c>
      <c r="B256" s="30" t="s">
        <v>94</v>
      </c>
      <c r="C256" s="30" t="s">
        <v>749</v>
      </c>
      <c r="D256" s="30" t="s">
        <v>750</v>
      </c>
      <c r="E256" s="30" t="s">
        <v>88</v>
      </c>
      <c r="F256" s="30" t="s">
        <v>751</v>
      </c>
      <c r="G256" s="30" t="s">
        <v>237</v>
      </c>
      <c r="H256" s="30">
        <v>238220</v>
      </c>
      <c r="I256" s="30" t="s">
        <v>744</v>
      </c>
      <c r="J256" s="30" t="s">
        <v>129</v>
      </c>
      <c r="K256" s="30" t="s">
        <v>69</v>
      </c>
      <c r="L256" s="30" t="s">
        <v>744</v>
      </c>
      <c r="M256" s="39">
        <v>80000</v>
      </c>
      <c r="N256" s="39">
        <v>90000</v>
      </c>
      <c r="O256" s="30" t="s">
        <v>79</v>
      </c>
      <c r="P256" s="30" t="s">
        <v>302</v>
      </c>
      <c r="Q256" s="30" t="s">
        <v>294</v>
      </c>
      <c r="R256" s="30" t="s">
        <v>150</v>
      </c>
      <c r="S256" s="41">
        <v>2014</v>
      </c>
      <c r="T256" s="31" t="s">
        <v>746</v>
      </c>
      <c r="U256" s="31" t="s">
        <v>747</v>
      </c>
      <c r="V256" s="30" t="s">
        <v>748</v>
      </c>
      <c r="W256" s="30" t="s">
        <v>46</v>
      </c>
      <c r="X256" s="44">
        <v>41974</v>
      </c>
      <c r="Y256" s="44">
        <v>42003</v>
      </c>
      <c r="Z256" s="44">
        <v>41789</v>
      </c>
      <c r="AA256" s="30" t="s">
        <v>464</v>
      </c>
    </row>
    <row r="257" spans="1:27" s="29" customFormat="1" ht="34.5" customHeight="1">
      <c r="A257" s="30" t="s">
        <v>142</v>
      </c>
      <c r="B257" s="30" t="s">
        <v>94</v>
      </c>
      <c r="C257" s="30" t="s">
        <v>741</v>
      </c>
      <c r="D257" s="30" t="s">
        <v>752</v>
      </c>
      <c r="E257" s="30" t="s">
        <v>164</v>
      </c>
      <c r="F257" s="30" t="s">
        <v>753</v>
      </c>
      <c r="G257" s="30" t="s">
        <v>237</v>
      </c>
      <c r="H257" s="30">
        <v>238320</v>
      </c>
      <c r="I257" s="30" t="s">
        <v>546</v>
      </c>
      <c r="J257" s="30" t="s">
        <v>129</v>
      </c>
      <c r="K257" s="30" t="s">
        <v>69</v>
      </c>
      <c r="L257" s="30" t="s">
        <v>754</v>
      </c>
      <c r="M257" s="39">
        <v>35000</v>
      </c>
      <c r="N257" s="39">
        <v>40000</v>
      </c>
      <c r="O257" s="30" t="s">
        <v>79</v>
      </c>
      <c r="P257" s="30" t="s">
        <v>302</v>
      </c>
      <c r="Q257" s="129" t="s">
        <v>294</v>
      </c>
      <c r="R257" s="30" t="s">
        <v>100</v>
      </c>
      <c r="S257" s="41">
        <v>2014</v>
      </c>
      <c r="T257" s="31" t="s">
        <v>746</v>
      </c>
      <c r="U257" s="31" t="s">
        <v>747</v>
      </c>
      <c r="V257" s="30" t="s">
        <v>748</v>
      </c>
      <c r="W257" s="30" t="s">
        <v>46</v>
      </c>
      <c r="X257" s="44">
        <v>41760</v>
      </c>
      <c r="Y257" s="44">
        <v>41781</v>
      </c>
      <c r="Z257" s="44">
        <v>41850</v>
      </c>
      <c r="AA257" s="30" t="s">
        <v>464</v>
      </c>
    </row>
    <row r="258" spans="1:27" s="29" customFormat="1" ht="38.25" customHeight="1">
      <c r="A258" s="30" t="s">
        <v>142</v>
      </c>
      <c r="B258" s="30" t="s">
        <v>94</v>
      </c>
      <c r="C258" s="30" t="s">
        <v>741</v>
      </c>
      <c r="D258" s="129" t="s">
        <v>3361</v>
      </c>
      <c r="E258" s="30" t="s">
        <v>164</v>
      </c>
      <c r="F258" s="30" t="s">
        <v>753</v>
      </c>
      <c r="G258" s="30" t="s">
        <v>237</v>
      </c>
      <c r="H258" s="30">
        <v>236220</v>
      </c>
      <c r="I258" s="30" t="s">
        <v>546</v>
      </c>
      <c r="J258" s="30" t="s">
        <v>129</v>
      </c>
      <c r="K258" s="30" t="s">
        <v>69</v>
      </c>
      <c r="L258" s="30" t="s">
        <v>754</v>
      </c>
      <c r="M258" s="39">
        <v>50000</v>
      </c>
      <c r="N258" s="45">
        <v>60000</v>
      </c>
      <c r="O258" s="50" t="s">
        <v>590</v>
      </c>
      <c r="P258" s="30" t="s">
        <v>302</v>
      </c>
      <c r="Q258" s="30" t="s">
        <v>294</v>
      </c>
      <c r="R258" s="155" t="s">
        <v>80</v>
      </c>
      <c r="S258" s="41">
        <v>2014</v>
      </c>
      <c r="T258" s="31" t="s">
        <v>746</v>
      </c>
      <c r="U258" s="31" t="s">
        <v>747</v>
      </c>
      <c r="V258" s="30" t="s">
        <v>748</v>
      </c>
      <c r="W258" s="30" t="s">
        <v>46</v>
      </c>
      <c r="X258" s="44">
        <v>41669</v>
      </c>
      <c r="Y258" s="44">
        <v>41685</v>
      </c>
      <c r="Z258" s="44">
        <v>41820</v>
      </c>
      <c r="AA258" s="30" t="s">
        <v>464</v>
      </c>
    </row>
    <row r="259" spans="1:27" s="29" customFormat="1" ht="34.5" customHeight="1">
      <c r="A259" s="30" t="s">
        <v>142</v>
      </c>
      <c r="B259" s="30" t="s">
        <v>94</v>
      </c>
      <c r="C259" s="30" t="s">
        <v>741</v>
      </c>
      <c r="D259" s="30" t="s">
        <v>755</v>
      </c>
      <c r="E259" s="30" t="s">
        <v>164</v>
      </c>
      <c r="F259" s="30" t="s">
        <v>753</v>
      </c>
      <c r="G259" s="30" t="s">
        <v>237</v>
      </c>
      <c r="H259" s="30">
        <v>238320</v>
      </c>
      <c r="I259" s="30" t="s">
        <v>546</v>
      </c>
      <c r="J259" s="30" t="s">
        <v>129</v>
      </c>
      <c r="K259" s="30" t="s">
        <v>69</v>
      </c>
      <c r="L259" s="30" t="s">
        <v>754</v>
      </c>
      <c r="M259" s="39">
        <v>20000</v>
      </c>
      <c r="N259" s="39">
        <v>30000</v>
      </c>
      <c r="O259" s="30" t="s">
        <v>149</v>
      </c>
      <c r="P259" s="30" t="s">
        <v>302</v>
      </c>
      <c r="Q259" s="30" t="s">
        <v>294</v>
      </c>
      <c r="R259" s="155" t="s">
        <v>80</v>
      </c>
      <c r="S259" s="41">
        <v>2014</v>
      </c>
      <c r="T259" s="31" t="s">
        <v>746</v>
      </c>
      <c r="U259" s="31" t="s">
        <v>747</v>
      </c>
      <c r="V259" s="30" t="s">
        <v>748</v>
      </c>
      <c r="W259" s="30" t="s">
        <v>46</v>
      </c>
      <c r="X259" s="44">
        <v>41669</v>
      </c>
      <c r="Y259" s="44">
        <v>41685</v>
      </c>
      <c r="Z259" s="44">
        <v>41759</v>
      </c>
      <c r="AA259" s="30" t="s">
        <v>464</v>
      </c>
    </row>
    <row r="260" spans="1:27" s="29" customFormat="1" ht="34.5" customHeight="1">
      <c r="A260" s="30" t="s">
        <v>142</v>
      </c>
      <c r="B260" s="30" t="s">
        <v>94</v>
      </c>
      <c r="C260" s="30" t="s">
        <v>144</v>
      </c>
      <c r="D260" s="30" t="s">
        <v>756</v>
      </c>
      <c r="E260" s="30" t="s">
        <v>88</v>
      </c>
      <c r="F260" s="30" t="s">
        <v>753</v>
      </c>
      <c r="G260" s="30" t="s">
        <v>237</v>
      </c>
      <c r="H260" s="30">
        <v>238220</v>
      </c>
      <c r="I260" s="30" t="s">
        <v>744</v>
      </c>
      <c r="J260" s="30" t="s">
        <v>129</v>
      </c>
      <c r="K260" s="30" t="s">
        <v>69</v>
      </c>
      <c r="L260" s="30" t="s">
        <v>744</v>
      </c>
      <c r="M260" s="39">
        <v>10000</v>
      </c>
      <c r="N260" s="39">
        <v>20000</v>
      </c>
      <c r="O260" s="30" t="s">
        <v>149</v>
      </c>
      <c r="P260" s="30" t="s">
        <v>302</v>
      </c>
      <c r="Q260" s="30" t="s">
        <v>294</v>
      </c>
      <c r="R260" s="30" t="s">
        <v>150</v>
      </c>
      <c r="S260" s="41">
        <v>2014</v>
      </c>
      <c r="T260" s="31" t="s">
        <v>746</v>
      </c>
      <c r="U260" s="31" t="s">
        <v>747</v>
      </c>
      <c r="V260" s="30" t="s">
        <v>748</v>
      </c>
      <c r="W260" s="30" t="s">
        <v>46</v>
      </c>
      <c r="X260" s="44">
        <v>41577</v>
      </c>
      <c r="Y260" s="44">
        <v>41593</v>
      </c>
      <c r="Z260" s="44">
        <v>41744</v>
      </c>
      <c r="AA260" s="30" t="s">
        <v>464</v>
      </c>
    </row>
    <row r="261" spans="1:27" s="29" customFormat="1" ht="34.5" customHeight="1">
      <c r="A261" s="30" t="s">
        <v>142</v>
      </c>
      <c r="B261" s="30" t="s">
        <v>94</v>
      </c>
      <c r="C261" s="30" t="s">
        <v>749</v>
      </c>
      <c r="D261" s="30" t="s">
        <v>757</v>
      </c>
      <c r="E261" s="30" t="s">
        <v>88</v>
      </c>
      <c r="F261" s="30" t="s">
        <v>753</v>
      </c>
      <c r="G261" s="30" t="s">
        <v>237</v>
      </c>
      <c r="H261" s="30">
        <v>238220</v>
      </c>
      <c r="I261" s="30" t="s">
        <v>744</v>
      </c>
      <c r="J261" s="30" t="s">
        <v>129</v>
      </c>
      <c r="K261" s="30" t="s">
        <v>69</v>
      </c>
      <c r="L261" s="30" t="s">
        <v>744</v>
      </c>
      <c r="M261" s="39">
        <v>15000</v>
      </c>
      <c r="N261" s="39">
        <v>20000</v>
      </c>
      <c r="O261" s="30" t="s">
        <v>149</v>
      </c>
      <c r="P261" s="30" t="s">
        <v>302</v>
      </c>
      <c r="Q261" s="30" t="s">
        <v>294</v>
      </c>
      <c r="R261" s="30" t="s">
        <v>150</v>
      </c>
      <c r="S261" s="41">
        <v>2014</v>
      </c>
      <c r="T261" s="31" t="s">
        <v>746</v>
      </c>
      <c r="U261" s="31" t="s">
        <v>747</v>
      </c>
      <c r="V261" s="30" t="s">
        <v>748</v>
      </c>
      <c r="W261" s="30" t="s">
        <v>46</v>
      </c>
      <c r="X261" s="44">
        <v>41609</v>
      </c>
      <c r="Y261" s="44">
        <v>41638</v>
      </c>
      <c r="Z261" s="44">
        <v>41728</v>
      </c>
      <c r="AA261" s="30" t="s">
        <v>464</v>
      </c>
    </row>
    <row r="262" spans="1:27" s="29" customFormat="1" ht="34.5" customHeight="1">
      <c r="A262" s="30" t="s">
        <v>142</v>
      </c>
      <c r="B262" s="30" t="s">
        <v>94</v>
      </c>
      <c r="C262" s="30" t="s">
        <v>741</v>
      </c>
      <c r="D262" s="30" t="s">
        <v>758</v>
      </c>
      <c r="E262" s="30" t="s">
        <v>164</v>
      </c>
      <c r="F262" s="30" t="s">
        <v>759</v>
      </c>
      <c r="G262" s="30" t="s">
        <v>233</v>
      </c>
      <c r="H262" s="30">
        <v>238130</v>
      </c>
      <c r="I262" s="30" t="s">
        <v>760</v>
      </c>
      <c r="J262" s="30" t="s">
        <v>129</v>
      </c>
      <c r="K262" s="30" t="s">
        <v>69</v>
      </c>
      <c r="L262" s="30" t="s">
        <v>760</v>
      </c>
      <c r="M262" s="39">
        <v>15000</v>
      </c>
      <c r="N262" s="39">
        <v>20000</v>
      </c>
      <c r="O262" s="30" t="s">
        <v>149</v>
      </c>
      <c r="P262" s="30" t="s">
        <v>302</v>
      </c>
      <c r="Q262" s="30" t="s">
        <v>294</v>
      </c>
      <c r="R262" s="30" t="s">
        <v>100</v>
      </c>
      <c r="S262" s="41">
        <v>2014</v>
      </c>
      <c r="T262" s="31" t="s">
        <v>746</v>
      </c>
      <c r="U262" s="31" t="s">
        <v>747</v>
      </c>
      <c r="V262" s="30" t="s">
        <v>748</v>
      </c>
      <c r="W262" s="30" t="s">
        <v>46</v>
      </c>
      <c r="X262" s="44">
        <v>41759</v>
      </c>
      <c r="Y262" s="44">
        <v>41774</v>
      </c>
      <c r="Z262" s="44">
        <v>41866</v>
      </c>
      <c r="AA262" s="30" t="s">
        <v>464</v>
      </c>
    </row>
    <row r="263" spans="1:27" s="29" customFormat="1" ht="34.5" customHeight="1">
      <c r="A263" s="30" t="s">
        <v>142</v>
      </c>
      <c r="B263" s="30" t="s">
        <v>94</v>
      </c>
      <c r="C263" s="30" t="s">
        <v>741</v>
      </c>
      <c r="D263" s="30" t="s">
        <v>761</v>
      </c>
      <c r="E263" s="30" t="s">
        <v>164</v>
      </c>
      <c r="F263" s="30" t="s">
        <v>762</v>
      </c>
      <c r="G263" s="30" t="s">
        <v>237</v>
      </c>
      <c r="H263" s="30">
        <v>238120</v>
      </c>
      <c r="I263" s="30" t="s">
        <v>546</v>
      </c>
      <c r="J263" s="30" t="s">
        <v>129</v>
      </c>
      <c r="K263" s="30" t="s">
        <v>69</v>
      </c>
      <c r="L263" s="30" t="s">
        <v>763</v>
      </c>
      <c r="M263" s="39">
        <v>10000</v>
      </c>
      <c r="N263" s="39">
        <v>20000</v>
      </c>
      <c r="O263" s="30" t="s">
        <v>149</v>
      </c>
      <c r="P263" s="30" t="s">
        <v>302</v>
      </c>
      <c r="Q263" s="30" t="s">
        <v>294</v>
      </c>
      <c r="R263" s="30" t="s">
        <v>100</v>
      </c>
      <c r="S263" s="41">
        <v>2014</v>
      </c>
      <c r="T263" s="31" t="s">
        <v>746</v>
      </c>
      <c r="U263" s="31" t="s">
        <v>747</v>
      </c>
      <c r="V263" s="30" t="s">
        <v>748</v>
      </c>
      <c r="W263" s="30" t="s">
        <v>46</v>
      </c>
      <c r="X263" s="44">
        <v>41759</v>
      </c>
      <c r="Y263" s="44">
        <v>41774</v>
      </c>
      <c r="Z263" s="44">
        <v>41830</v>
      </c>
      <c r="AA263" s="30" t="s">
        <v>464</v>
      </c>
    </row>
    <row r="264" spans="1:27" s="29" customFormat="1" ht="34.5" customHeight="1">
      <c r="A264" s="30" t="s">
        <v>142</v>
      </c>
      <c r="B264" s="30" t="s">
        <v>94</v>
      </c>
      <c r="C264" s="30" t="s">
        <v>741</v>
      </c>
      <c r="D264" s="30" t="s">
        <v>764</v>
      </c>
      <c r="E264" s="30" t="s">
        <v>164</v>
      </c>
      <c r="F264" s="30" t="s">
        <v>762</v>
      </c>
      <c r="G264" s="30" t="s">
        <v>237</v>
      </c>
      <c r="H264" s="30">
        <v>238320</v>
      </c>
      <c r="I264" s="129" t="s">
        <v>546</v>
      </c>
      <c r="J264" s="30" t="s">
        <v>129</v>
      </c>
      <c r="K264" s="30" t="s">
        <v>69</v>
      </c>
      <c r="L264" s="30" t="s">
        <v>763</v>
      </c>
      <c r="M264" s="39">
        <v>10000</v>
      </c>
      <c r="N264" s="39">
        <v>15000</v>
      </c>
      <c r="O264" s="30" t="s">
        <v>149</v>
      </c>
      <c r="P264" s="30" t="s">
        <v>302</v>
      </c>
      <c r="Q264" s="30" t="s">
        <v>294</v>
      </c>
      <c r="R264" s="30" t="s">
        <v>100</v>
      </c>
      <c r="S264" s="41">
        <v>2014</v>
      </c>
      <c r="T264" s="31" t="s">
        <v>746</v>
      </c>
      <c r="U264" s="31" t="s">
        <v>747</v>
      </c>
      <c r="V264" s="30" t="s">
        <v>748</v>
      </c>
      <c r="W264" s="30" t="s">
        <v>46</v>
      </c>
      <c r="X264" s="44">
        <v>41759</v>
      </c>
      <c r="Y264" s="44">
        <v>41774</v>
      </c>
      <c r="Z264" s="44">
        <v>41820</v>
      </c>
      <c r="AA264" s="30" t="s">
        <v>464</v>
      </c>
    </row>
    <row r="265" spans="1:27" s="29" customFormat="1" ht="34.5" customHeight="1">
      <c r="A265" s="30" t="s">
        <v>142</v>
      </c>
      <c r="B265" s="30" t="s">
        <v>94</v>
      </c>
      <c r="C265" s="30" t="s">
        <v>741</v>
      </c>
      <c r="D265" s="30" t="s">
        <v>765</v>
      </c>
      <c r="E265" s="30" t="s">
        <v>88</v>
      </c>
      <c r="F265" s="30" t="s">
        <v>762</v>
      </c>
      <c r="G265" s="30" t="s">
        <v>237</v>
      </c>
      <c r="H265" s="30">
        <v>238220</v>
      </c>
      <c r="I265" s="30" t="s">
        <v>98</v>
      </c>
      <c r="J265" s="30" t="s">
        <v>129</v>
      </c>
      <c r="K265" s="30" t="s">
        <v>69</v>
      </c>
      <c r="L265" s="30" t="s">
        <v>754</v>
      </c>
      <c r="M265" s="39">
        <v>45000</v>
      </c>
      <c r="N265" s="39">
        <v>55000</v>
      </c>
      <c r="O265" s="30" t="s">
        <v>79</v>
      </c>
      <c r="P265" s="30" t="s">
        <v>302</v>
      </c>
      <c r="Q265" s="30" t="s">
        <v>294</v>
      </c>
      <c r="R265" s="155" t="s">
        <v>80</v>
      </c>
      <c r="S265" s="41">
        <v>2014</v>
      </c>
      <c r="T265" s="31" t="s">
        <v>746</v>
      </c>
      <c r="U265" s="31" t="s">
        <v>747</v>
      </c>
      <c r="V265" s="30" t="s">
        <v>748</v>
      </c>
      <c r="W265" s="30" t="s">
        <v>46</v>
      </c>
      <c r="X265" s="44">
        <v>41685</v>
      </c>
      <c r="Y265" s="44">
        <v>41723</v>
      </c>
      <c r="Z265" s="44">
        <v>41883</v>
      </c>
      <c r="AA265" s="30" t="s">
        <v>464</v>
      </c>
    </row>
    <row r="266" spans="1:27" s="29" customFormat="1" ht="34.5" customHeight="1">
      <c r="A266" s="30" t="s">
        <v>142</v>
      </c>
      <c r="B266" s="30" t="s">
        <v>94</v>
      </c>
      <c r="C266" s="30" t="s">
        <v>144</v>
      </c>
      <c r="D266" s="30" t="s">
        <v>766</v>
      </c>
      <c r="E266" s="30" t="s">
        <v>164</v>
      </c>
      <c r="F266" s="30" t="s">
        <v>762</v>
      </c>
      <c r="G266" s="30" t="s">
        <v>237</v>
      </c>
      <c r="H266" s="30">
        <v>236220</v>
      </c>
      <c r="I266" s="30" t="s">
        <v>744</v>
      </c>
      <c r="J266" s="30" t="s">
        <v>129</v>
      </c>
      <c r="K266" s="30" t="s">
        <v>69</v>
      </c>
      <c r="L266" s="30" t="s">
        <v>744</v>
      </c>
      <c r="M266" s="39">
        <v>10000</v>
      </c>
      <c r="N266" s="39">
        <v>15000</v>
      </c>
      <c r="O266" s="30" t="s">
        <v>149</v>
      </c>
      <c r="P266" s="30" t="s">
        <v>302</v>
      </c>
      <c r="Q266" s="30" t="s">
        <v>294</v>
      </c>
      <c r="R266" s="30" t="s">
        <v>150</v>
      </c>
      <c r="S266" s="41">
        <v>2014</v>
      </c>
      <c r="T266" s="31" t="s">
        <v>746</v>
      </c>
      <c r="U266" s="31" t="s">
        <v>747</v>
      </c>
      <c r="V266" s="30" t="s">
        <v>748</v>
      </c>
      <c r="W266" s="30" t="s">
        <v>46</v>
      </c>
      <c r="X266" s="44">
        <v>41944</v>
      </c>
      <c r="Y266" s="44">
        <v>41958</v>
      </c>
      <c r="Z266" s="44">
        <v>42003</v>
      </c>
      <c r="AA266" s="30" t="s">
        <v>464</v>
      </c>
    </row>
    <row r="267" spans="1:27" s="29" customFormat="1" ht="34.5" customHeight="1">
      <c r="A267" s="30" t="s">
        <v>142</v>
      </c>
      <c r="B267" s="30" t="s">
        <v>94</v>
      </c>
      <c r="C267" s="30" t="s">
        <v>749</v>
      </c>
      <c r="D267" s="30" t="s">
        <v>767</v>
      </c>
      <c r="E267" s="30" t="s">
        <v>164</v>
      </c>
      <c r="F267" s="30" t="s">
        <v>762</v>
      </c>
      <c r="G267" s="30" t="s">
        <v>237</v>
      </c>
      <c r="H267" s="30">
        <v>238320</v>
      </c>
      <c r="I267" s="129" t="s">
        <v>546</v>
      </c>
      <c r="J267" s="30" t="s">
        <v>129</v>
      </c>
      <c r="K267" s="30" t="s">
        <v>69</v>
      </c>
      <c r="L267" s="30" t="s">
        <v>763</v>
      </c>
      <c r="M267" s="39">
        <v>10000</v>
      </c>
      <c r="N267" s="39">
        <v>15000</v>
      </c>
      <c r="O267" s="30" t="s">
        <v>149</v>
      </c>
      <c r="P267" s="30" t="s">
        <v>302</v>
      </c>
      <c r="Q267" s="30" t="s">
        <v>294</v>
      </c>
      <c r="R267" s="30" t="s">
        <v>150</v>
      </c>
      <c r="S267" s="41">
        <v>2014</v>
      </c>
      <c r="T267" s="31" t="s">
        <v>746</v>
      </c>
      <c r="U267" s="31" t="s">
        <v>747</v>
      </c>
      <c r="V267" s="30" t="s">
        <v>748</v>
      </c>
      <c r="W267" s="30" t="s">
        <v>46</v>
      </c>
      <c r="X267" s="44">
        <v>41609</v>
      </c>
      <c r="Y267" s="44">
        <v>41638</v>
      </c>
      <c r="Z267" s="44">
        <v>41713</v>
      </c>
      <c r="AA267" s="30" t="s">
        <v>464</v>
      </c>
    </row>
    <row r="268" spans="1:27" s="29" customFormat="1" ht="34.5" customHeight="1">
      <c r="A268" s="30" t="s">
        <v>142</v>
      </c>
      <c r="B268" s="30" t="s">
        <v>94</v>
      </c>
      <c r="C268" s="30" t="s">
        <v>749</v>
      </c>
      <c r="D268" s="30" t="s">
        <v>768</v>
      </c>
      <c r="E268" s="30" t="s">
        <v>164</v>
      </c>
      <c r="F268" s="30" t="s">
        <v>762</v>
      </c>
      <c r="G268" s="30" t="s">
        <v>237</v>
      </c>
      <c r="H268" s="30">
        <v>238350</v>
      </c>
      <c r="I268" s="129" t="s">
        <v>546</v>
      </c>
      <c r="J268" s="30" t="s">
        <v>129</v>
      </c>
      <c r="K268" s="30" t="s">
        <v>69</v>
      </c>
      <c r="L268" s="30" t="s">
        <v>763</v>
      </c>
      <c r="M268" s="39">
        <v>10000</v>
      </c>
      <c r="N268" s="39">
        <v>15000</v>
      </c>
      <c r="O268" s="30" t="s">
        <v>149</v>
      </c>
      <c r="P268" s="30" t="s">
        <v>302</v>
      </c>
      <c r="Q268" s="30" t="s">
        <v>294</v>
      </c>
      <c r="R268" s="30" t="s">
        <v>150</v>
      </c>
      <c r="S268" s="41">
        <v>2014</v>
      </c>
      <c r="T268" s="31" t="s">
        <v>746</v>
      </c>
      <c r="U268" s="31" t="s">
        <v>747</v>
      </c>
      <c r="V268" s="30" t="s">
        <v>748</v>
      </c>
      <c r="W268" s="30" t="s">
        <v>46</v>
      </c>
      <c r="X268" s="44">
        <v>41609</v>
      </c>
      <c r="Y268" s="44">
        <v>41638</v>
      </c>
      <c r="Z268" s="44">
        <v>41728</v>
      </c>
      <c r="AA268" s="30" t="s">
        <v>464</v>
      </c>
    </row>
    <row r="269" spans="1:27" s="29" customFormat="1" ht="34.5" customHeight="1">
      <c r="A269" s="30" t="s">
        <v>142</v>
      </c>
      <c r="B269" s="30" t="s">
        <v>94</v>
      </c>
      <c r="C269" s="30" t="s">
        <v>741</v>
      </c>
      <c r="D269" s="30" t="s">
        <v>761</v>
      </c>
      <c r="E269" s="30" t="s">
        <v>164</v>
      </c>
      <c r="F269" s="30" t="s">
        <v>762</v>
      </c>
      <c r="G269" s="30" t="s">
        <v>237</v>
      </c>
      <c r="H269" s="30">
        <v>238120</v>
      </c>
      <c r="I269" s="129" t="s">
        <v>546</v>
      </c>
      <c r="J269" s="30" t="s">
        <v>129</v>
      </c>
      <c r="K269" s="30" t="s">
        <v>69</v>
      </c>
      <c r="L269" s="30" t="s">
        <v>763</v>
      </c>
      <c r="M269" s="39">
        <v>10000</v>
      </c>
      <c r="N269" s="39">
        <v>20000</v>
      </c>
      <c r="O269" s="30" t="s">
        <v>149</v>
      </c>
      <c r="P269" s="30" t="s">
        <v>302</v>
      </c>
      <c r="Q269" s="30" t="s">
        <v>294</v>
      </c>
      <c r="R269" s="30" t="s">
        <v>100</v>
      </c>
      <c r="S269" s="41">
        <v>2014</v>
      </c>
      <c r="T269" s="31" t="s">
        <v>746</v>
      </c>
      <c r="U269" s="31" t="s">
        <v>747</v>
      </c>
      <c r="V269" s="30" t="s">
        <v>748</v>
      </c>
      <c r="W269" s="30" t="s">
        <v>46</v>
      </c>
      <c r="X269" s="44">
        <v>41759</v>
      </c>
      <c r="Y269" s="44">
        <v>41774</v>
      </c>
      <c r="Z269" s="44">
        <v>41830</v>
      </c>
      <c r="AA269" s="30" t="s">
        <v>464</v>
      </c>
    </row>
    <row r="270" spans="1:27" s="29" customFormat="1" ht="34.5" customHeight="1">
      <c r="A270" s="30" t="s">
        <v>142</v>
      </c>
      <c r="B270" s="30" t="s">
        <v>94</v>
      </c>
      <c r="C270" s="30" t="s">
        <v>741</v>
      </c>
      <c r="D270" s="30" t="s">
        <v>769</v>
      </c>
      <c r="E270" s="30" t="s">
        <v>164</v>
      </c>
      <c r="F270" s="30" t="s">
        <v>770</v>
      </c>
      <c r="G270" s="30" t="s">
        <v>233</v>
      </c>
      <c r="H270" s="30">
        <v>238120</v>
      </c>
      <c r="I270" s="30" t="s">
        <v>98</v>
      </c>
      <c r="J270" s="30" t="s">
        <v>129</v>
      </c>
      <c r="K270" s="30" t="s">
        <v>69</v>
      </c>
      <c r="L270" s="30" t="s">
        <v>754</v>
      </c>
      <c r="M270" s="39">
        <v>10000</v>
      </c>
      <c r="N270" s="39">
        <v>15000</v>
      </c>
      <c r="O270" s="30" t="s">
        <v>149</v>
      </c>
      <c r="P270" s="30" t="s">
        <v>302</v>
      </c>
      <c r="Q270" s="30" t="s">
        <v>294</v>
      </c>
      <c r="R270" s="30" t="s">
        <v>100</v>
      </c>
      <c r="S270" s="41">
        <v>2014</v>
      </c>
      <c r="T270" s="31" t="s">
        <v>746</v>
      </c>
      <c r="U270" s="31" t="s">
        <v>747</v>
      </c>
      <c r="V270" s="30" t="s">
        <v>748</v>
      </c>
      <c r="W270" s="30" t="s">
        <v>46</v>
      </c>
      <c r="X270" s="44">
        <v>41759</v>
      </c>
      <c r="Y270" s="44">
        <v>41774</v>
      </c>
      <c r="Z270" s="44">
        <v>41830</v>
      </c>
      <c r="AA270" s="30" t="s">
        <v>464</v>
      </c>
    </row>
    <row r="271" spans="1:27" s="29" customFormat="1" ht="34.5" customHeight="1">
      <c r="A271" s="31" t="s">
        <v>142</v>
      </c>
      <c r="B271" s="30" t="s">
        <v>94</v>
      </c>
      <c r="C271" s="30" t="s">
        <v>144</v>
      </c>
      <c r="D271" s="30" t="s">
        <v>515</v>
      </c>
      <c r="E271" s="30" t="s">
        <v>161</v>
      </c>
      <c r="F271" s="30" t="s">
        <v>771</v>
      </c>
      <c r="G271" s="30" t="s">
        <v>213</v>
      </c>
      <c r="H271" s="30">
        <v>236220</v>
      </c>
      <c r="I271" s="129" t="s">
        <v>546</v>
      </c>
      <c r="J271" s="30" t="s">
        <v>129</v>
      </c>
      <c r="K271" s="31" t="s">
        <v>69</v>
      </c>
      <c r="L271" s="30" t="s">
        <v>772</v>
      </c>
      <c r="M271" s="39">
        <v>10000</v>
      </c>
      <c r="N271" s="39">
        <v>10000</v>
      </c>
      <c r="O271" s="30" t="s">
        <v>149</v>
      </c>
      <c r="P271" s="30"/>
      <c r="Q271" s="155" t="s">
        <v>294</v>
      </c>
      <c r="R271" s="30" t="s">
        <v>35</v>
      </c>
      <c r="S271" s="41">
        <v>2013</v>
      </c>
      <c r="T271" s="31" t="s">
        <v>774</v>
      </c>
      <c r="U271" s="180" t="s">
        <v>3433</v>
      </c>
      <c r="V271" s="30" t="s">
        <v>775</v>
      </c>
      <c r="W271" s="30" t="s">
        <v>46</v>
      </c>
      <c r="X271" s="44">
        <v>41449</v>
      </c>
      <c r="Y271" s="44">
        <v>41543</v>
      </c>
      <c r="Z271" s="44">
        <v>41609</v>
      </c>
      <c r="AA271" s="30" t="s">
        <v>464</v>
      </c>
    </row>
    <row r="272" spans="1:27" s="29" customFormat="1" ht="34.5" customHeight="1">
      <c r="A272" s="31" t="s">
        <v>142</v>
      </c>
      <c r="B272" s="30" t="s">
        <v>94</v>
      </c>
      <c r="C272" s="30" t="s">
        <v>144</v>
      </c>
      <c r="D272" s="30" t="s">
        <v>515</v>
      </c>
      <c r="E272" s="30" t="s">
        <v>161</v>
      </c>
      <c r="F272" s="30" t="s">
        <v>771</v>
      </c>
      <c r="G272" s="30" t="s">
        <v>213</v>
      </c>
      <c r="H272" s="30">
        <v>236220</v>
      </c>
      <c r="I272" s="129" t="s">
        <v>546</v>
      </c>
      <c r="J272" s="30" t="s">
        <v>129</v>
      </c>
      <c r="K272" s="31" t="s">
        <v>69</v>
      </c>
      <c r="L272" s="30" t="s">
        <v>772</v>
      </c>
      <c r="M272" s="39">
        <v>10000</v>
      </c>
      <c r="N272" s="39">
        <v>10000</v>
      </c>
      <c r="O272" s="30" t="s">
        <v>149</v>
      </c>
      <c r="P272" s="30"/>
      <c r="Q272" s="155" t="s">
        <v>294</v>
      </c>
      <c r="R272" s="30" t="s">
        <v>35</v>
      </c>
      <c r="S272" s="41">
        <v>2013</v>
      </c>
      <c r="T272" s="31" t="s">
        <v>776</v>
      </c>
      <c r="U272" s="31" t="s">
        <v>777</v>
      </c>
      <c r="V272" s="30" t="s">
        <v>778</v>
      </c>
      <c r="W272" s="30" t="s">
        <v>46</v>
      </c>
      <c r="X272" s="44">
        <v>41540</v>
      </c>
      <c r="Y272" s="44">
        <v>41543</v>
      </c>
      <c r="Z272" s="44">
        <v>41578</v>
      </c>
      <c r="AA272" s="30" t="s">
        <v>464</v>
      </c>
    </row>
    <row r="273" spans="1:272" ht="38.25" customHeight="1">
      <c r="A273" s="31" t="s">
        <v>71</v>
      </c>
      <c r="B273" s="31" t="s">
        <v>38</v>
      </c>
      <c r="C273" s="30" t="s">
        <v>95</v>
      </c>
      <c r="D273" s="30" t="s">
        <v>779</v>
      </c>
      <c r="E273" s="30" t="s">
        <v>135</v>
      </c>
      <c r="F273" s="30" t="s">
        <v>780</v>
      </c>
      <c r="G273" s="30" t="s">
        <v>205</v>
      </c>
      <c r="H273" s="30">
        <v>541611</v>
      </c>
      <c r="I273" s="30" t="s">
        <v>67</v>
      </c>
      <c r="J273" s="30" t="s">
        <v>124</v>
      </c>
      <c r="K273" s="30" t="s">
        <v>78</v>
      </c>
      <c r="L273" s="30" t="s">
        <v>781</v>
      </c>
      <c r="M273" s="39">
        <v>8600000</v>
      </c>
      <c r="N273" s="39">
        <v>9000000</v>
      </c>
      <c r="O273" s="30" t="s">
        <v>79</v>
      </c>
      <c r="P273" s="30" t="s">
        <v>782</v>
      </c>
      <c r="Q273" s="30" t="s">
        <v>294</v>
      </c>
      <c r="R273" s="30" t="s">
        <v>150</v>
      </c>
      <c r="S273" s="41">
        <v>2014</v>
      </c>
      <c r="T273" s="31" t="s">
        <v>783</v>
      </c>
      <c r="U273" s="31" t="s">
        <v>784</v>
      </c>
      <c r="V273" s="30" t="s">
        <v>785</v>
      </c>
      <c r="W273" s="30" t="s">
        <v>786</v>
      </c>
      <c r="X273" s="44">
        <v>41579</v>
      </c>
      <c r="Y273" s="44">
        <v>41306</v>
      </c>
      <c r="Z273" s="44">
        <v>43496</v>
      </c>
      <c r="AA273" s="30"/>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c r="BO273" s="29"/>
      <c r="BP273" s="29"/>
      <c r="BQ273" s="29"/>
      <c r="BR273" s="29"/>
      <c r="BS273" s="29"/>
      <c r="BT273" s="29"/>
      <c r="BU273" s="29"/>
      <c r="BV273" s="29"/>
      <c r="BW273" s="29"/>
      <c r="BX273" s="29"/>
      <c r="BY273" s="29"/>
      <c r="BZ273" s="29"/>
      <c r="CA273" s="29"/>
      <c r="CB273" s="29"/>
      <c r="CC273" s="29"/>
      <c r="CD273" s="29"/>
      <c r="CE273" s="29"/>
      <c r="CF273" s="29"/>
      <c r="CG273" s="29"/>
      <c r="CH273" s="29"/>
      <c r="CI273" s="29"/>
      <c r="CJ273" s="29"/>
      <c r="CK273" s="29"/>
      <c r="CL273" s="29"/>
      <c r="CM273" s="29"/>
      <c r="CN273" s="29"/>
      <c r="CO273" s="29"/>
      <c r="CP273" s="29"/>
      <c r="CQ273" s="29"/>
      <c r="CR273" s="29"/>
      <c r="CS273" s="29"/>
      <c r="CT273" s="29"/>
      <c r="CU273" s="29"/>
      <c r="CV273" s="29"/>
      <c r="CW273" s="29"/>
      <c r="CX273" s="29"/>
      <c r="CY273" s="29"/>
      <c r="CZ273" s="29"/>
      <c r="DA273" s="29"/>
      <c r="DB273" s="29"/>
      <c r="DC273" s="29"/>
      <c r="DD273" s="29"/>
      <c r="DE273" s="29"/>
      <c r="DF273" s="29"/>
      <c r="DG273" s="29"/>
      <c r="DH273" s="29"/>
      <c r="DI273" s="29"/>
      <c r="DJ273" s="29"/>
      <c r="DK273" s="29"/>
      <c r="DL273" s="29"/>
      <c r="DM273" s="29"/>
      <c r="DN273" s="29"/>
      <c r="DO273" s="29"/>
      <c r="DP273" s="29"/>
      <c r="DQ273" s="29"/>
      <c r="DR273" s="29"/>
      <c r="DS273" s="29"/>
      <c r="DT273" s="29"/>
      <c r="DU273" s="29"/>
      <c r="DV273" s="29"/>
      <c r="DW273" s="29"/>
      <c r="DX273" s="29"/>
      <c r="DY273" s="29"/>
      <c r="DZ273" s="29"/>
      <c r="EA273" s="29"/>
      <c r="EB273" s="29"/>
      <c r="EC273" s="29"/>
      <c r="ED273" s="29"/>
      <c r="EE273" s="29"/>
      <c r="EF273" s="29"/>
      <c r="EG273" s="29"/>
      <c r="EH273" s="29"/>
      <c r="EI273" s="29"/>
      <c r="EJ273" s="29"/>
      <c r="EK273" s="29"/>
      <c r="EL273" s="29"/>
      <c r="EM273" s="29"/>
      <c r="EN273" s="29"/>
      <c r="EO273" s="29"/>
      <c r="EP273" s="29"/>
      <c r="EQ273" s="29"/>
      <c r="ER273" s="29"/>
      <c r="ES273" s="29"/>
      <c r="ET273" s="29"/>
      <c r="EU273" s="29"/>
      <c r="EV273" s="29"/>
      <c r="EW273" s="29"/>
      <c r="EX273" s="29"/>
      <c r="EY273" s="29"/>
      <c r="EZ273" s="29"/>
      <c r="FA273" s="29"/>
      <c r="FB273" s="29"/>
      <c r="FC273" s="29"/>
      <c r="FD273" s="29"/>
      <c r="FE273" s="29"/>
      <c r="FF273" s="29"/>
      <c r="FG273" s="29"/>
      <c r="FH273" s="29"/>
      <c r="FI273" s="29"/>
      <c r="FJ273" s="29"/>
      <c r="FK273" s="29"/>
      <c r="FL273" s="29"/>
      <c r="FM273" s="29"/>
      <c r="FN273" s="29"/>
      <c r="FO273" s="29"/>
      <c r="FP273" s="29"/>
      <c r="FQ273" s="29"/>
      <c r="FR273" s="29"/>
      <c r="FS273" s="29"/>
      <c r="FT273" s="29"/>
      <c r="FU273" s="29"/>
      <c r="FV273" s="29"/>
      <c r="FW273" s="29"/>
      <c r="FX273" s="29"/>
      <c r="FY273" s="29"/>
      <c r="FZ273" s="29"/>
      <c r="GA273" s="29"/>
      <c r="GB273" s="29"/>
      <c r="GC273" s="29"/>
      <c r="GD273" s="29"/>
      <c r="GE273" s="29"/>
      <c r="GF273" s="29"/>
      <c r="GG273" s="29"/>
      <c r="GH273" s="29"/>
      <c r="GI273" s="29"/>
      <c r="GJ273" s="29"/>
      <c r="GK273" s="29"/>
      <c r="GL273" s="29"/>
      <c r="GM273" s="29"/>
      <c r="GN273" s="29"/>
      <c r="GO273" s="29"/>
      <c r="GP273" s="29"/>
      <c r="GQ273" s="29"/>
      <c r="GR273" s="29"/>
      <c r="GS273" s="29"/>
      <c r="GT273" s="29"/>
      <c r="GU273" s="29"/>
      <c r="GV273" s="29"/>
      <c r="GW273" s="29"/>
      <c r="GX273" s="29"/>
      <c r="GY273" s="29"/>
      <c r="GZ273" s="29"/>
      <c r="HA273" s="29"/>
      <c r="HB273" s="29"/>
      <c r="HC273" s="29"/>
      <c r="HD273" s="29"/>
      <c r="HE273" s="29"/>
      <c r="HF273" s="29"/>
      <c r="HG273" s="29"/>
      <c r="HH273" s="29"/>
      <c r="HI273" s="29"/>
      <c r="HJ273" s="29"/>
      <c r="HK273" s="29"/>
      <c r="HL273" s="29"/>
      <c r="HM273" s="29"/>
      <c r="HN273" s="29"/>
      <c r="HO273" s="29"/>
      <c r="HP273" s="29"/>
      <c r="HQ273" s="29"/>
      <c r="HR273" s="29"/>
      <c r="HS273" s="29"/>
      <c r="HT273" s="29"/>
      <c r="HU273" s="29"/>
      <c r="HV273" s="29"/>
      <c r="HW273" s="29"/>
      <c r="HX273" s="29"/>
      <c r="HY273" s="29"/>
      <c r="HZ273" s="29"/>
      <c r="IA273" s="29"/>
      <c r="IB273" s="29"/>
      <c r="IC273" s="29"/>
      <c r="ID273" s="29"/>
      <c r="IE273" s="29"/>
      <c r="IF273" s="29"/>
      <c r="IG273" s="29"/>
      <c r="IH273" s="29"/>
      <c r="II273" s="29"/>
      <c r="IJ273" s="29"/>
      <c r="IK273" s="29"/>
      <c r="IL273" s="29"/>
      <c r="IM273" s="29"/>
      <c r="IN273" s="29"/>
      <c r="IO273" s="29"/>
      <c r="IP273" s="29"/>
      <c r="IQ273" s="29"/>
      <c r="IR273" s="29"/>
      <c r="IS273" s="29"/>
      <c r="IT273" s="29"/>
      <c r="IU273" s="29"/>
      <c r="IV273" s="29"/>
      <c r="IW273" s="29"/>
      <c r="IX273" s="29"/>
      <c r="IY273" s="29"/>
      <c r="IZ273" s="29"/>
      <c r="JA273" s="29"/>
      <c r="JB273" s="29"/>
      <c r="JC273" s="29"/>
      <c r="JD273" s="29"/>
      <c r="JE273" s="29"/>
      <c r="JF273" s="29"/>
      <c r="JG273" s="29"/>
      <c r="JH273" s="29"/>
      <c r="JI273" s="29"/>
      <c r="JJ273" s="29"/>
      <c r="JK273" s="29"/>
      <c r="JL273" s="29"/>
    </row>
    <row r="274" spans="1:272" ht="38.25" customHeight="1">
      <c r="A274" s="31" t="s">
        <v>71</v>
      </c>
      <c r="B274" s="31" t="s">
        <v>38</v>
      </c>
      <c r="C274" s="30" t="s">
        <v>39</v>
      </c>
      <c r="D274" s="30" t="s">
        <v>787</v>
      </c>
      <c r="E274" s="30" t="s">
        <v>135</v>
      </c>
      <c r="F274" s="30" t="s">
        <v>788</v>
      </c>
      <c r="G274" s="30" t="s">
        <v>205</v>
      </c>
      <c r="H274" s="30" t="s">
        <v>789</v>
      </c>
      <c r="I274" s="30" t="s">
        <v>45</v>
      </c>
      <c r="J274" s="30" t="s">
        <v>77</v>
      </c>
      <c r="K274" s="30" t="s">
        <v>34</v>
      </c>
      <c r="L274" s="30" t="s">
        <v>91</v>
      </c>
      <c r="M274" s="39">
        <v>100000000</v>
      </c>
      <c r="N274" s="39">
        <v>200000000</v>
      </c>
      <c r="O274" s="30" t="s">
        <v>79</v>
      </c>
      <c r="P274" s="30" t="s">
        <v>302</v>
      </c>
      <c r="Q274" s="30" t="s">
        <v>294</v>
      </c>
      <c r="R274" s="155" t="s">
        <v>80</v>
      </c>
      <c r="S274" s="41">
        <v>2014</v>
      </c>
      <c r="T274" s="31" t="s">
        <v>783</v>
      </c>
      <c r="U274" s="31" t="s">
        <v>784</v>
      </c>
      <c r="V274" s="30" t="s">
        <v>785</v>
      </c>
      <c r="W274" s="129" t="s">
        <v>62</v>
      </c>
      <c r="X274" s="30" t="s">
        <v>345</v>
      </c>
      <c r="Y274" s="30" t="s">
        <v>345</v>
      </c>
      <c r="Z274" s="30" t="s">
        <v>345</v>
      </c>
      <c r="AA274" s="30" t="s">
        <v>396</v>
      </c>
    </row>
    <row r="275" spans="1:272" ht="38.25" customHeight="1">
      <c r="A275" s="31" t="s">
        <v>71</v>
      </c>
      <c r="B275" s="31" t="s">
        <v>38</v>
      </c>
      <c r="C275" s="30" t="s">
        <v>39</v>
      </c>
      <c r="D275" s="30" t="s">
        <v>790</v>
      </c>
      <c r="E275" s="30" t="s">
        <v>135</v>
      </c>
      <c r="F275" s="30" t="s">
        <v>791</v>
      </c>
      <c r="G275" s="30" t="s">
        <v>183</v>
      </c>
      <c r="H275" s="30" t="s">
        <v>789</v>
      </c>
      <c r="I275" s="30" t="s">
        <v>45</v>
      </c>
      <c r="J275" s="30" t="s">
        <v>52</v>
      </c>
      <c r="K275" s="30" t="s">
        <v>61</v>
      </c>
      <c r="L275" s="30" t="s">
        <v>91</v>
      </c>
      <c r="M275" s="39" t="s">
        <v>345</v>
      </c>
      <c r="N275" s="45" t="s">
        <v>345</v>
      </c>
      <c r="O275" s="30" t="s">
        <v>79</v>
      </c>
      <c r="P275" s="30" t="s">
        <v>302</v>
      </c>
      <c r="Q275" s="30" t="s">
        <v>294</v>
      </c>
      <c r="R275" s="155" t="s">
        <v>80</v>
      </c>
      <c r="S275" s="41">
        <v>2014</v>
      </c>
      <c r="T275" s="31" t="s">
        <v>783</v>
      </c>
      <c r="U275" s="31" t="s">
        <v>784</v>
      </c>
      <c r="V275" s="30" t="s">
        <v>785</v>
      </c>
      <c r="W275" s="129" t="s">
        <v>62</v>
      </c>
      <c r="X275" s="30" t="s">
        <v>345</v>
      </c>
      <c r="Y275" s="30" t="s">
        <v>345</v>
      </c>
      <c r="Z275" s="30" t="s">
        <v>345</v>
      </c>
      <c r="AA275" s="30" t="s">
        <v>396</v>
      </c>
    </row>
    <row r="276" spans="1:272" ht="34.5" customHeight="1">
      <c r="A276" s="31" t="s">
        <v>71</v>
      </c>
      <c r="B276" s="31" t="s">
        <v>48</v>
      </c>
      <c r="C276" s="30" t="s">
        <v>39</v>
      </c>
      <c r="D276" s="30" t="s">
        <v>792</v>
      </c>
      <c r="E276" s="30" t="s">
        <v>272</v>
      </c>
      <c r="F276" s="129" t="s">
        <v>822</v>
      </c>
      <c r="G276" s="30" t="s">
        <v>243</v>
      </c>
      <c r="H276" s="30">
        <v>325520</v>
      </c>
      <c r="I276" s="30" t="s">
        <v>45</v>
      </c>
      <c r="J276" s="30" t="s">
        <v>52</v>
      </c>
      <c r="K276" s="31" t="s">
        <v>91</v>
      </c>
      <c r="L276" s="30" t="s">
        <v>345</v>
      </c>
      <c r="M276" s="45">
        <v>1539046</v>
      </c>
      <c r="N276" s="45">
        <v>6000000</v>
      </c>
      <c r="O276" s="30" t="s">
        <v>79</v>
      </c>
      <c r="P276" s="30" t="s">
        <v>302</v>
      </c>
      <c r="Q276" s="30" t="s">
        <v>294</v>
      </c>
      <c r="R276" s="155" t="s">
        <v>80</v>
      </c>
      <c r="S276" s="41">
        <v>2014</v>
      </c>
      <c r="T276" s="31" t="s">
        <v>793</v>
      </c>
      <c r="U276" s="180" t="s">
        <v>3434</v>
      </c>
      <c r="V276" s="30" t="s">
        <v>794</v>
      </c>
      <c r="W276" s="30" t="s">
        <v>70</v>
      </c>
      <c r="X276" s="44">
        <v>41681</v>
      </c>
      <c r="Y276" s="44">
        <v>41744</v>
      </c>
      <c r="Z276" s="44">
        <v>43585</v>
      </c>
      <c r="AA276" s="30"/>
      <c r="AE276" s="29"/>
      <c r="AF276" s="29"/>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c r="BC276" s="29"/>
      <c r="BD276" s="29"/>
      <c r="BE276" s="29"/>
      <c r="BF276" s="29"/>
      <c r="BG276" s="29"/>
      <c r="BH276" s="29"/>
      <c r="BI276" s="29"/>
      <c r="BJ276" s="29"/>
      <c r="BK276" s="29"/>
      <c r="BL276" s="29"/>
      <c r="BM276" s="29"/>
      <c r="BN276" s="29"/>
      <c r="BO276" s="29"/>
      <c r="BP276" s="29"/>
      <c r="BQ276" s="29"/>
      <c r="BR276" s="29"/>
      <c r="BS276" s="29"/>
      <c r="BT276" s="29"/>
      <c r="BU276" s="29"/>
      <c r="BV276" s="29"/>
      <c r="BW276" s="29"/>
      <c r="BX276" s="29"/>
      <c r="BY276" s="29"/>
      <c r="BZ276" s="29"/>
      <c r="CA276" s="29"/>
      <c r="CB276" s="29"/>
      <c r="CC276" s="29"/>
      <c r="CD276" s="29"/>
      <c r="CE276" s="29"/>
      <c r="CF276" s="29"/>
      <c r="CG276" s="29"/>
      <c r="CH276" s="29"/>
      <c r="CI276" s="29"/>
      <c r="CJ276" s="29"/>
      <c r="CK276" s="29"/>
      <c r="CL276" s="29"/>
      <c r="CM276" s="29"/>
      <c r="CN276" s="29"/>
      <c r="CO276" s="29"/>
      <c r="CP276" s="29"/>
      <c r="CQ276" s="29"/>
      <c r="CR276" s="29"/>
      <c r="CS276" s="29"/>
      <c r="CT276" s="29"/>
      <c r="CU276" s="29"/>
      <c r="CV276" s="29"/>
      <c r="CW276" s="29"/>
      <c r="CX276" s="29"/>
      <c r="CY276" s="29"/>
      <c r="CZ276" s="29"/>
      <c r="DA276" s="29"/>
      <c r="DB276" s="29"/>
      <c r="DC276" s="29"/>
      <c r="DD276" s="29"/>
      <c r="DE276" s="29"/>
      <c r="DF276" s="29"/>
      <c r="DG276" s="29"/>
      <c r="DH276" s="29"/>
      <c r="DI276" s="29"/>
      <c r="DJ276" s="29"/>
      <c r="DK276" s="29"/>
      <c r="DL276" s="29"/>
      <c r="DM276" s="29"/>
      <c r="DN276" s="29"/>
      <c r="DO276" s="29"/>
      <c r="DP276" s="29"/>
      <c r="DQ276" s="29"/>
      <c r="DR276" s="29"/>
      <c r="DS276" s="29"/>
      <c r="DT276" s="29"/>
      <c r="DU276" s="29"/>
      <c r="DV276" s="29"/>
      <c r="DW276" s="29"/>
      <c r="DX276" s="29"/>
      <c r="DY276" s="29"/>
      <c r="DZ276" s="29"/>
      <c r="EA276" s="29"/>
      <c r="EB276" s="29"/>
      <c r="EC276" s="29"/>
      <c r="ED276" s="29"/>
      <c r="EE276" s="29"/>
      <c r="EF276" s="29"/>
      <c r="EG276" s="29"/>
      <c r="EH276" s="29"/>
      <c r="EI276" s="29"/>
      <c r="EJ276" s="29"/>
      <c r="EK276" s="29"/>
      <c r="EL276" s="29"/>
      <c r="EM276" s="29"/>
      <c r="EN276" s="29"/>
      <c r="EO276" s="29"/>
      <c r="EP276" s="29"/>
      <c r="EQ276" s="29"/>
      <c r="ER276" s="29"/>
      <c r="ES276" s="29"/>
      <c r="ET276" s="29"/>
      <c r="EU276" s="29"/>
      <c r="EV276" s="29"/>
      <c r="EW276" s="29"/>
      <c r="EX276" s="29"/>
      <c r="EY276" s="29"/>
      <c r="EZ276" s="29"/>
      <c r="FA276" s="29"/>
      <c r="FB276" s="29"/>
      <c r="FC276" s="29"/>
      <c r="FD276" s="29"/>
      <c r="FE276" s="29"/>
      <c r="FF276" s="29"/>
      <c r="FG276" s="29"/>
      <c r="FH276" s="29"/>
      <c r="FI276" s="29"/>
      <c r="FJ276" s="29"/>
      <c r="FK276" s="29"/>
      <c r="FL276" s="29"/>
      <c r="FM276" s="29"/>
      <c r="FN276" s="29"/>
      <c r="FO276" s="29"/>
      <c r="FP276" s="29"/>
      <c r="FQ276" s="29"/>
      <c r="FR276" s="29"/>
      <c r="FS276" s="29"/>
      <c r="FT276" s="29"/>
      <c r="FU276" s="29"/>
      <c r="FV276" s="29"/>
      <c r="FW276" s="29"/>
      <c r="FX276" s="29"/>
      <c r="FY276" s="29"/>
      <c r="FZ276" s="29"/>
      <c r="GA276" s="29"/>
      <c r="GB276" s="29"/>
      <c r="GC276" s="29"/>
      <c r="GD276" s="29"/>
      <c r="GE276" s="29"/>
      <c r="GF276" s="29"/>
      <c r="GG276" s="29"/>
      <c r="GH276" s="29"/>
      <c r="GI276" s="29"/>
      <c r="GJ276" s="29"/>
      <c r="GK276" s="29"/>
      <c r="GL276" s="29"/>
      <c r="GM276" s="29"/>
      <c r="GN276" s="29"/>
      <c r="GO276" s="29"/>
      <c r="GP276" s="29"/>
      <c r="GQ276" s="29"/>
      <c r="GR276" s="29"/>
      <c r="GS276" s="29"/>
      <c r="GT276" s="29"/>
      <c r="GU276" s="29"/>
      <c r="GV276" s="29"/>
      <c r="GW276" s="29"/>
      <c r="GX276" s="29"/>
      <c r="GY276" s="29"/>
      <c r="GZ276" s="29"/>
      <c r="HA276" s="29"/>
      <c r="HB276" s="29"/>
      <c r="HC276" s="29"/>
      <c r="HD276" s="29"/>
      <c r="HE276" s="29"/>
      <c r="HF276" s="29"/>
      <c r="HG276" s="29"/>
      <c r="HH276" s="29"/>
      <c r="HI276" s="29"/>
      <c r="HJ276" s="29"/>
      <c r="HK276" s="29"/>
      <c r="HL276" s="29"/>
      <c r="HM276" s="29"/>
      <c r="HN276" s="29"/>
      <c r="HO276" s="29"/>
      <c r="HP276" s="29"/>
      <c r="HQ276" s="29"/>
      <c r="HR276" s="29"/>
      <c r="HS276" s="29"/>
      <c r="HT276" s="29"/>
      <c r="HU276" s="29"/>
      <c r="HV276" s="29"/>
      <c r="HW276" s="29"/>
      <c r="HX276" s="29"/>
      <c r="HY276" s="29"/>
      <c r="HZ276" s="29"/>
      <c r="IA276" s="29"/>
      <c r="IB276" s="29"/>
      <c r="IC276" s="29"/>
      <c r="ID276" s="29"/>
      <c r="IE276" s="29"/>
      <c r="IF276" s="29"/>
      <c r="IG276" s="29"/>
      <c r="IH276" s="29"/>
      <c r="II276" s="29"/>
      <c r="IJ276" s="29"/>
      <c r="IK276" s="29"/>
      <c r="IL276" s="29"/>
      <c r="IM276" s="29"/>
      <c r="IN276" s="29"/>
      <c r="IO276" s="29"/>
      <c r="IP276" s="29"/>
      <c r="IQ276" s="29"/>
      <c r="IR276" s="29"/>
      <c r="IS276" s="29"/>
      <c r="IT276" s="29"/>
      <c r="IU276" s="29"/>
      <c r="IV276" s="29"/>
      <c r="IW276" s="29"/>
      <c r="IX276" s="29"/>
      <c r="IY276" s="29"/>
      <c r="IZ276" s="29"/>
      <c r="JA276" s="29"/>
      <c r="JB276" s="29"/>
      <c r="JC276" s="29"/>
      <c r="JD276" s="29"/>
      <c r="JE276" s="29"/>
      <c r="JF276" s="29"/>
      <c r="JG276" s="29"/>
      <c r="JH276" s="29"/>
      <c r="JI276" s="29"/>
      <c r="JJ276" s="29"/>
      <c r="JK276" s="29"/>
      <c r="JL276" s="29"/>
    </row>
    <row r="277" spans="1:272" ht="34.5" customHeight="1">
      <c r="A277" s="31" t="s">
        <v>71</v>
      </c>
      <c r="B277" s="41" t="s">
        <v>48</v>
      </c>
      <c r="C277" s="30" t="s">
        <v>39</v>
      </c>
      <c r="D277" s="30" t="s">
        <v>795</v>
      </c>
      <c r="E277" s="30" t="s">
        <v>272</v>
      </c>
      <c r="F277" s="129" t="s">
        <v>822</v>
      </c>
      <c r="G277" s="30" t="s">
        <v>243</v>
      </c>
      <c r="H277" s="30">
        <v>325520</v>
      </c>
      <c r="I277" s="30" t="s">
        <v>45</v>
      </c>
      <c r="J277" s="30" t="s">
        <v>52</v>
      </c>
      <c r="K277" s="31" t="s">
        <v>91</v>
      </c>
      <c r="L277" s="30" t="s">
        <v>345</v>
      </c>
      <c r="M277" s="39">
        <v>1532473</v>
      </c>
      <c r="N277" s="39">
        <v>6000000</v>
      </c>
      <c r="O277" s="30" t="s">
        <v>79</v>
      </c>
      <c r="P277" s="30" t="s">
        <v>302</v>
      </c>
      <c r="Q277" s="30" t="s">
        <v>294</v>
      </c>
      <c r="R277" s="155" t="s">
        <v>80</v>
      </c>
      <c r="S277" s="41">
        <v>2014</v>
      </c>
      <c r="T277" s="31" t="s">
        <v>793</v>
      </c>
      <c r="U277" s="180" t="s">
        <v>3434</v>
      </c>
      <c r="V277" s="30" t="s">
        <v>794</v>
      </c>
      <c r="W277" s="30" t="s">
        <v>70</v>
      </c>
      <c r="X277" s="44">
        <v>41682</v>
      </c>
      <c r="Y277" s="44">
        <v>41774</v>
      </c>
      <c r="Z277" s="44">
        <v>43615</v>
      </c>
      <c r="AA277" s="30"/>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c r="BO277" s="29"/>
      <c r="BP277" s="29"/>
      <c r="BQ277" s="29"/>
      <c r="BR277" s="29"/>
      <c r="BS277" s="29"/>
      <c r="BT277" s="29"/>
      <c r="BU277" s="29"/>
      <c r="BV277" s="29"/>
      <c r="BW277" s="29"/>
      <c r="BX277" s="29"/>
      <c r="BY277" s="29"/>
      <c r="BZ277" s="29"/>
      <c r="CA277" s="29"/>
      <c r="CB277" s="29"/>
      <c r="CC277" s="29"/>
      <c r="CD277" s="29"/>
      <c r="CE277" s="29"/>
      <c r="CF277" s="29"/>
      <c r="CG277" s="29"/>
      <c r="CH277" s="29"/>
      <c r="CI277" s="29"/>
      <c r="CJ277" s="29"/>
      <c r="CK277" s="29"/>
      <c r="CL277" s="29"/>
      <c r="CM277" s="29"/>
      <c r="CN277" s="29"/>
      <c r="CO277" s="29"/>
      <c r="CP277" s="29"/>
      <c r="CQ277" s="29"/>
      <c r="CR277" s="29"/>
      <c r="CS277" s="29"/>
      <c r="CT277" s="29"/>
      <c r="CU277" s="29"/>
      <c r="CV277" s="29"/>
      <c r="CW277" s="29"/>
      <c r="CX277" s="29"/>
      <c r="CY277" s="29"/>
      <c r="CZ277" s="29"/>
      <c r="DA277" s="29"/>
      <c r="DB277" s="29"/>
      <c r="DC277" s="29"/>
      <c r="DD277" s="29"/>
      <c r="DE277" s="29"/>
      <c r="DF277" s="29"/>
      <c r="DG277" s="29"/>
      <c r="DH277" s="29"/>
      <c r="DI277" s="29"/>
      <c r="DJ277" s="29"/>
      <c r="DK277" s="29"/>
      <c r="DL277" s="29"/>
      <c r="DM277" s="29"/>
      <c r="DN277" s="29"/>
      <c r="DO277" s="29"/>
      <c r="DP277" s="29"/>
      <c r="DQ277" s="29"/>
      <c r="DR277" s="29"/>
      <c r="DS277" s="29"/>
      <c r="DT277" s="29"/>
      <c r="DU277" s="29"/>
      <c r="DV277" s="29"/>
      <c r="DW277" s="29"/>
      <c r="DX277" s="29"/>
      <c r="DY277" s="29"/>
      <c r="DZ277" s="29"/>
      <c r="EA277" s="29"/>
      <c r="EB277" s="29"/>
      <c r="EC277" s="29"/>
      <c r="ED277" s="29"/>
      <c r="EE277" s="29"/>
      <c r="EF277" s="29"/>
      <c r="EG277" s="29"/>
      <c r="EH277" s="29"/>
      <c r="EI277" s="29"/>
      <c r="EJ277" s="29"/>
      <c r="EK277" s="29"/>
      <c r="EL277" s="29"/>
      <c r="EM277" s="29"/>
      <c r="EN277" s="29"/>
      <c r="EO277" s="29"/>
      <c r="EP277" s="29"/>
      <c r="EQ277" s="29"/>
      <c r="ER277" s="29"/>
      <c r="ES277" s="29"/>
      <c r="ET277" s="29"/>
      <c r="EU277" s="29"/>
      <c r="EV277" s="29"/>
      <c r="EW277" s="29"/>
      <c r="EX277" s="29"/>
      <c r="EY277" s="29"/>
      <c r="EZ277" s="29"/>
      <c r="FA277" s="29"/>
      <c r="FB277" s="29"/>
      <c r="FC277" s="29"/>
      <c r="FD277" s="29"/>
      <c r="FE277" s="29"/>
      <c r="FF277" s="29"/>
      <c r="FG277" s="29"/>
      <c r="FH277" s="29"/>
      <c r="FI277" s="29"/>
      <c r="FJ277" s="29"/>
      <c r="FK277" s="29"/>
      <c r="FL277" s="29"/>
      <c r="FM277" s="29"/>
      <c r="FN277" s="29"/>
      <c r="FO277" s="29"/>
      <c r="FP277" s="29"/>
      <c r="FQ277" s="29"/>
      <c r="FR277" s="29"/>
      <c r="FS277" s="29"/>
      <c r="FT277" s="29"/>
      <c r="FU277" s="29"/>
      <c r="FV277" s="29"/>
      <c r="FW277" s="29"/>
      <c r="FX277" s="29"/>
      <c r="FY277" s="29"/>
      <c r="FZ277" s="29"/>
      <c r="GA277" s="29"/>
      <c r="GB277" s="29"/>
      <c r="GC277" s="29"/>
      <c r="GD277" s="29"/>
      <c r="GE277" s="29"/>
      <c r="GF277" s="29"/>
      <c r="GG277" s="29"/>
      <c r="GH277" s="29"/>
      <c r="GI277" s="29"/>
      <c r="GJ277" s="29"/>
      <c r="GK277" s="29"/>
      <c r="GL277" s="29"/>
      <c r="GM277" s="29"/>
      <c r="GN277" s="29"/>
      <c r="GO277" s="29"/>
      <c r="GP277" s="29"/>
      <c r="GQ277" s="29"/>
      <c r="GR277" s="29"/>
      <c r="GS277" s="29"/>
      <c r="GT277" s="29"/>
      <c r="GU277" s="29"/>
      <c r="GV277" s="29"/>
      <c r="GW277" s="29"/>
      <c r="GX277" s="29"/>
      <c r="GY277" s="29"/>
      <c r="GZ277" s="29"/>
      <c r="HA277" s="29"/>
      <c r="HB277" s="29"/>
      <c r="HC277" s="29"/>
      <c r="HD277" s="29"/>
      <c r="HE277" s="29"/>
      <c r="HF277" s="29"/>
      <c r="HG277" s="29"/>
      <c r="HH277" s="29"/>
      <c r="HI277" s="29"/>
      <c r="HJ277" s="29"/>
      <c r="HK277" s="29"/>
      <c r="HL277" s="29"/>
      <c r="HM277" s="29"/>
      <c r="HN277" s="29"/>
      <c r="HO277" s="29"/>
      <c r="HP277" s="29"/>
      <c r="HQ277" s="29"/>
      <c r="HR277" s="29"/>
      <c r="HS277" s="29"/>
      <c r="HT277" s="29"/>
      <c r="HU277" s="29"/>
      <c r="HV277" s="29"/>
      <c r="HW277" s="29"/>
      <c r="HX277" s="29"/>
      <c r="HY277" s="29"/>
      <c r="HZ277" s="29"/>
      <c r="IA277" s="29"/>
      <c r="IB277" s="29"/>
      <c r="IC277" s="29"/>
      <c r="ID277" s="29"/>
      <c r="IE277" s="29"/>
      <c r="IF277" s="29"/>
      <c r="IG277" s="29"/>
      <c r="IH277" s="29"/>
      <c r="II277" s="29"/>
      <c r="IJ277" s="29"/>
      <c r="IK277" s="29"/>
      <c r="IL277" s="29"/>
      <c r="IM277" s="29"/>
      <c r="IN277" s="29"/>
      <c r="IO277" s="29"/>
      <c r="IP277" s="29"/>
      <c r="IQ277" s="29"/>
      <c r="IR277" s="29"/>
      <c r="IS277" s="29"/>
      <c r="IT277" s="29"/>
      <c r="IU277" s="29"/>
      <c r="IV277" s="29"/>
      <c r="IW277" s="29"/>
      <c r="IX277" s="29"/>
      <c r="IY277" s="29"/>
      <c r="IZ277" s="29"/>
      <c r="JA277" s="29"/>
      <c r="JB277" s="29"/>
      <c r="JC277" s="29"/>
      <c r="JD277" s="29"/>
      <c r="JE277" s="29"/>
      <c r="JF277" s="29"/>
      <c r="JG277" s="29"/>
      <c r="JH277" s="29"/>
      <c r="JI277" s="29"/>
      <c r="JJ277" s="29"/>
      <c r="JK277" s="29"/>
      <c r="JL277" s="29"/>
    </row>
    <row r="278" spans="1:272" ht="34.5" customHeight="1">
      <c r="A278" s="31" t="s">
        <v>71</v>
      </c>
      <c r="B278" s="31" t="s">
        <v>48</v>
      </c>
      <c r="C278" s="30" t="s">
        <v>39</v>
      </c>
      <c r="D278" s="30" t="s">
        <v>796</v>
      </c>
      <c r="E278" s="30" t="s">
        <v>272</v>
      </c>
      <c r="F278" s="129" t="s">
        <v>822</v>
      </c>
      <c r="G278" s="30" t="s">
        <v>243</v>
      </c>
      <c r="H278" s="30">
        <v>325520</v>
      </c>
      <c r="I278" s="30" t="s">
        <v>45</v>
      </c>
      <c r="J278" s="30" t="s">
        <v>52</v>
      </c>
      <c r="K278" s="31" t="s">
        <v>91</v>
      </c>
      <c r="L278" s="30" t="s">
        <v>345</v>
      </c>
      <c r="M278" s="39">
        <v>425115</v>
      </c>
      <c r="N278" s="39">
        <v>6000000</v>
      </c>
      <c r="O278" s="30" t="s">
        <v>79</v>
      </c>
      <c r="P278" s="30" t="s">
        <v>302</v>
      </c>
      <c r="Q278" s="30" t="s">
        <v>294</v>
      </c>
      <c r="R278" s="30" t="s">
        <v>45</v>
      </c>
      <c r="S278" s="41">
        <v>2014</v>
      </c>
      <c r="T278" s="31" t="s">
        <v>797</v>
      </c>
      <c r="U278" s="180" t="s">
        <v>3435</v>
      </c>
      <c r="V278" s="30" t="s">
        <v>798</v>
      </c>
      <c r="W278" s="30" t="s">
        <v>70</v>
      </c>
      <c r="X278" s="30" t="s">
        <v>345</v>
      </c>
      <c r="Y278" s="30" t="s">
        <v>345</v>
      </c>
      <c r="Z278" s="30" t="s">
        <v>345</v>
      </c>
      <c r="AA278" s="30"/>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c r="BU278" s="29"/>
      <c r="BV278" s="29"/>
      <c r="BW278" s="29"/>
      <c r="BX278" s="29"/>
      <c r="BY278" s="29"/>
      <c r="BZ278" s="29"/>
      <c r="CA278" s="29"/>
      <c r="CB278" s="29"/>
      <c r="CC278" s="29"/>
      <c r="CD278" s="29"/>
      <c r="CE278" s="29"/>
      <c r="CF278" s="29"/>
      <c r="CG278" s="29"/>
      <c r="CH278" s="29"/>
      <c r="CI278" s="29"/>
      <c r="CJ278" s="29"/>
      <c r="CK278" s="29"/>
      <c r="CL278" s="29"/>
      <c r="CM278" s="29"/>
      <c r="CN278" s="29"/>
      <c r="CO278" s="29"/>
      <c r="CP278" s="29"/>
      <c r="CQ278" s="29"/>
      <c r="CR278" s="29"/>
      <c r="CS278" s="29"/>
      <c r="CT278" s="29"/>
      <c r="CU278" s="29"/>
      <c r="CV278" s="29"/>
      <c r="CW278" s="29"/>
      <c r="CX278" s="29"/>
      <c r="CY278" s="29"/>
      <c r="CZ278" s="29"/>
      <c r="DA278" s="29"/>
      <c r="DB278" s="29"/>
      <c r="DC278" s="29"/>
      <c r="DD278" s="29"/>
      <c r="DE278" s="29"/>
      <c r="DF278" s="29"/>
      <c r="DG278" s="29"/>
      <c r="DH278" s="29"/>
      <c r="DI278" s="29"/>
      <c r="DJ278" s="29"/>
      <c r="DK278" s="29"/>
      <c r="DL278" s="29"/>
      <c r="DM278" s="29"/>
      <c r="DN278" s="29"/>
      <c r="DO278" s="29"/>
      <c r="DP278" s="29"/>
      <c r="DQ278" s="29"/>
      <c r="DR278" s="29"/>
      <c r="DS278" s="29"/>
      <c r="DT278" s="29"/>
      <c r="DU278" s="29"/>
      <c r="DV278" s="29"/>
      <c r="DW278" s="29"/>
      <c r="DX278" s="29"/>
      <c r="DY278" s="29"/>
      <c r="DZ278" s="29"/>
      <c r="EA278" s="29"/>
      <c r="EB278" s="29"/>
      <c r="EC278" s="29"/>
      <c r="ED278" s="29"/>
      <c r="EE278" s="29"/>
      <c r="EF278" s="29"/>
      <c r="EG278" s="29"/>
      <c r="EH278" s="29"/>
      <c r="EI278" s="29"/>
      <c r="EJ278" s="29"/>
      <c r="EK278" s="29"/>
      <c r="EL278" s="29"/>
      <c r="EM278" s="29"/>
      <c r="EN278" s="29"/>
      <c r="EO278" s="29"/>
      <c r="EP278" s="29"/>
      <c r="EQ278" s="29"/>
      <c r="ER278" s="29"/>
      <c r="ES278" s="29"/>
      <c r="ET278" s="29"/>
      <c r="EU278" s="29"/>
      <c r="EV278" s="29"/>
      <c r="EW278" s="29"/>
      <c r="EX278" s="29"/>
      <c r="EY278" s="29"/>
      <c r="EZ278" s="29"/>
      <c r="FA278" s="29"/>
      <c r="FB278" s="29"/>
      <c r="FC278" s="29"/>
      <c r="FD278" s="29"/>
      <c r="FE278" s="29"/>
      <c r="FF278" s="29"/>
      <c r="FG278" s="29"/>
      <c r="FH278" s="29"/>
      <c r="FI278" s="29"/>
      <c r="FJ278" s="29"/>
      <c r="FK278" s="29"/>
      <c r="FL278" s="29"/>
      <c r="FM278" s="29"/>
      <c r="FN278" s="29"/>
      <c r="FO278" s="29"/>
      <c r="FP278" s="29"/>
      <c r="FQ278" s="29"/>
      <c r="FR278" s="29"/>
      <c r="FS278" s="29"/>
      <c r="FT278" s="29"/>
      <c r="FU278" s="29"/>
      <c r="FV278" s="29"/>
      <c r="FW278" s="29"/>
      <c r="FX278" s="29"/>
      <c r="FY278" s="29"/>
      <c r="FZ278" s="29"/>
      <c r="GA278" s="29"/>
      <c r="GB278" s="29"/>
      <c r="GC278" s="29"/>
      <c r="GD278" s="29"/>
      <c r="GE278" s="29"/>
      <c r="GF278" s="29"/>
      <c r="GG278" s="29"/>
      <c r="GH278" s="29"/>
      <c r="GI278" s="29"/>
      <c r="GJ278" s="29"/>
      <c r="GK278" s="29"/>
      <c r="GL278" s="29"/>
      <c r="GM278" s="29"/>
      <c r="GN278" s="29"/>
      <c r="GO278" s="29"/>
      <c r="GP278" s="29"/>
      <c r="GQ278" s="29"/>
      <c r="GR278" s="29"/>
      <c r="GS278" s="29"/>
      <c r="GT278" s="29"/>
      <c r="GU278" s="29"/>
      <c r="GV278" s="29"/>
      <c r="GW278" s="29"/>
      <c r="GX278" s="29"/>
      <c r="GY278" s="29"/>
      <c r="GZ278" s="29"/>
      <c r="HA278" s="29"/>
      <c r="HB278" s="29"/>
      <c r="HC278" s="29"/>
      <c r="HD278" s="29"/>
      <c r="HE278" s="29"/>
      <c r="HF278" s="29"/>
      <c r="HG278" s="29"/>
      <c r="HH278" s="29"/>
      <c r="HI278" s="29"/>
      <c r="HJ278" s="29"/>
      <c r="HK278" s="29"/>
      <c r="HL278" s="29"/>
      <c r="HM278" s="29"/>
      <c r="HN278" s="29"/>
      <c r="HO278" s="29"/>
      <c r="HP278" s="29"/>
      <c r="HQ278" s="29"/>
      <c r="HR278" s="29"/>
      <c r="HS278" s="29"/>
      <c r="HT278" s="29"/>
      <c r="HU278" s="29"/>
      <c r="HV278" s="29"/>
      <c r="HW278" s="29"/>
      <c r="HX278" s="29"/>
      <c r="HY278" s="29"/>
      <c r="HZ278" s="29"/>
      <c r="IA278" s="29"/>
      <c r="IB278" s="29"/>
      <c r="IC278" s="29"/>
      <c r="ID278" s="29"/>
      <c r="IE278" s="29"/>
      <c r="IF278" s="29"/>
      <c r="IG278" s="29"/>
      <c r="IH278" s="29"/>
      <c r="II278" s="29"/>
      <c r="IJ278" s="29"/>
      <c r="IK278" s="29"/>
      <c r="IL278" s="29"/>
      <c r="IM278" s="29"/>
      <c r="IN278" s="29"/>
      <c r="IO278" s="29"/>
      <c r="IP278" s="29"/>
      <c r="IQ278" s="29"/>
      <c r="IR278" s="29"/>
      <c r="IS278" s="29"/>
      <c r="IT278" s="29"/>
      <c r="IU278" s="29"/>
      <c r="IV278" s="29"/>
      <c r="IW278" s="29"/>
      <c r="IX278" s="29"/>
      <c r="IY278" s="29"/>
      <c r="IZ278" s="29"/>
      <c r="JA278" s="29"/>
      <c r="JB278" s="29"/>
      <c r="JC278" s="29"/>
      <c r="JD278" s="29"/>
      <c r="JE278" s="29"/>
      <c r="JF278" s="29"/>
      <c r="JG278" s="29"/>
      <c r="JH278" s="29"/>
      <c r="JI278" s="29"/>
      <c r="JJ278" s="29"/>
      <c r="JK278" s="29"/>
      <c r="JL278" s="29"/>
    </row>
    <row r="279" spans="1:272" ht="34.5" customHeight="1">
      <c r="A279" s="30" t="s">
        <v>71</v>
      </c>
      <c r="B279" s="31" t="s">
        <v>48</v>
      </c>
      <c r="C279" s="30" t="s">
        <v>29</v>
      </c>
      <c r="D279" s="30" t="s">
        <v>799</v>
      </c>
      <c r="E279" s="30" t="s">
        <v>272</v>
      </c>
      <c r="F279" s="129" t="s">
        <v>822</v>
      </c>
      <c r="G279" s="30" t="s">
        <v>243</v>
      </c>
      <c r="H279" s="30">
        <v>325520</v>
      </c>
      <c r="I279" s="30" t="s">
        <v>67</v>
      </c>
      <c r="J279" s="30" t="s">
        <v>52</v>
      </c>
      <c r="K279" s="30" t="s">
        <v>78</v>
      </c>
      <c r="L279" s="30" t="s">
        <v>800</v>
      </c>
      <c r="M279" s="45">
        <v>245283</v>
      </c>
      <c r="N279" s="45">
        <v>6000000</v>
      </c>
      <c r="O279" s="30" t="s">
        <v>79</v>
      </c>
      <c r="P279" s="30" t="s">
        <v>302</v>
      </c>
      <c r="Q279" s="30" t="s">
        <v>294</v>
      </c>
      <c r="R279" s="30" t="s">
        <v>45</v>
      </c>
      <c r="S279" s="41">
        <v>2014</v>
      </c>
      <c r="T279" s="31" t="s">
        <v>797</v>
      </c>
      <c r="U279" s="180" t="s">
        <v>3435</v>
      </c>
      <c r="V279" s="30" t="s">
        <v>798</v>
      </c>
      <c r="W279" s="30" t="s">
        <v>70</v>
      </c>
      <c r="X279" s="30" t="s">
        <v>345</v>
      </c>
      <c r="Y279" s="30" t="s">
        <v>345</v>
      </c>
      <c r="Z279" s="30" t="s">
        <v>345</v>
      </c>
      <c r="AA279" s="30"/>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c r="BU279" s="29"/>
      <c r="BV279" s="29"/>
      <c r="BW279" s="29"/>
      <c r="BX279" s="29"/>
      <c r="BY279" s="29"/>
      <c r="BZ279" s="29"/>
      <c r="CA279" s="29"/>
      <c r="CB279" s="29"/>
      <c r="CC279" s="29"/>
      <c r="CD279" s="29"/>
      <c r="CE279" s="29"/>
      <c r="CF279" s="29"/>
      <c r="CG279" s="29"/>
      <c r="CH279" s="29"/>
      <c r="CI279" s="29"/>
      <c r="CJ279" s="29"/>
      <c r="CK279" s="29"/>
      <c r="CL279" s="29"/>
      <c r="CM279" s="29"/>
      <c r="CN279" s="29"/>
      <c r="CO279" s="29"/>
      <c r="CP279" s="29"/>
      <c r="CQ279" s="29"/>
      <c r="CR279" s="29"/>
      <c r="CS279" s="29"/>
      <c r="CT279" s="29"/>
      <c r="CU279" s="29"/>
      <c r="CV279" s="29"/>
      <c r="CW279" s="29"/>
      <c r="CX279" s="29"/>
      <c r="CY279" s="29"/>
      <c r="CZ279" s="29"/>
      <c r="DA279" s="29"/>
      <c r="DB279" s="29"/>
      <c r="DC279" s="29"/>
      <c r="DD279" s="29"/>
      <c r="DE279" s="29"/>
      <c r="DF279" s="29"/>
      <c r="DG279" s="29"/>
      <c r="DH279" s="29"/>
      <c r="DI279" s="29"/>
      <c r="DJ279" s="29"/>
      <c r="DK279" s="29"/>
      <c r="DL279" s="29"/>
      <c r="DM279" s="29"/>
      <c r="DN279" s="29"/>
      <c r="DO279" s="29"/>
      <c r="DP279" s="29"/>
      <c r="DQ279" s="29"/>
      <c r="DR279" s="29"/>
      <c r="DS279" s="29"/>
      <c r="DT279" s="29"/>
      <c r="DU279" s="29"/>
      <c r="DV279" s="29"/>
      <c r="DW279" s="29"/>
      <c r="DX279" s="29"/>
      <c r="DY279" s="29"/>
      <c r="DZ279" s="29"/>
      <c r="EA279" s="29"/>
      <c r="EB279" s="29"/>
      <c r="EC279" s="29"/>
      <c r="ED279" s="29"/>
      <c r="EE279" s="29"/>
      <c r="EF279" s="29"/>
      <c r="EG279" s="29"/>
      <c r="EH279" s="29"/>
      <c r="EI279" s="29"/>
      <c r="EJ279" s="29"/>
      <c r="EK279" s="29"/>
      <c r="EL279" s="29"/>
      <c r="EM279" s="29"/>
      <c r="EN279" s="29"/>
      <c r="EO279" s="29"/>
      <c r="EP279" s="29"/>
      <c r="EQ279" s="29"/>
      <c r="ER279" s="29"/>
      <c r="ES279" s="29"/>
      <c r="ET279" s="29"/>
      <c r="EU279" s="29"/>
      <c r="EV279" s="29"/>
      <c r="EW279" s="29"/>
      <c r="EX279" s="29"/>
      <c r="EY279" s="29"/>
      <c r="EZ279" s="29"/>
      <c r="FA279" s="29"/>
      <c r="FB279" s="29"/>
      <c r="FC279" s="29"/>
      <c r="FD279" s="29"/>
      <c r="FE279" s="29"/>
      <c r="FF279" s="29"/>
      <c r="FG279" s="29"/>
      <c r="FH279" s="29"/>
      <c r="FI279" s="29"/>
      <c r="FJ279" s="29"/>
      <c r="FK279" s="29"/>
      <c r="FL279" s="29"/>
      <c r="FM279" s="29"/>
      <c r="FN279" s="29"/>
      <c r="FO279" s="29"/>
      <c r="FP279" s="29"/>
      <c r="FQ279" s="29"/>
      <c r="FR279" s="29"/>
      <c r="FS279" s="29"/>
      <c r="FT279" s="29"/>
      <c r="FU279" s="29"/>
      <c r="FV279" s="29"/>
      <c r="FW279" s="29"/>
      <c r="FX279" s="29"/>
      <c r="FY279" s="29"/>
      <c r="FZ279" s="29"/>
      <c r="GA279" s="29"/>
      <c r="GB279" s="29"/>
      <c r="GC279" s="29"/>
      <c r="GD279" s="29"/>
      <c r="GE279" s="29"/>
      <c r="GF279" s="29"/>
      <c r="GG279" s="29"/>
      <c r="GH279" s="29"/>
      <c r="GI279" s="29"/>
      <c r="GJ279" s="29"/>
      <c r="GK279" s="29"/>
      <c r="GL279" s="29"/>
      <c r="GM279" s="29"/>
      <c r="GN279" s="29"/>
      <c r="GO279" s="29"/>
      <c r="GP279" s="29"/>
      <c r="GQ279" s="29"/>
      <c r="GR279" s="29"/>
      <c r="GS279" s="29"/>
      <c r="GT279" s="29"/>
      <c r="GU279" s="29"/>
      <c r="GV279" s="29"/>
      <c r="GW279" s="29"/>
      <c r="GX279" s="29"/>
      <c r="GY279" s="29"/>
      <c r="GZ279" s="29"/>
      <c r="HA279" s="29"/>
      <c r="HB279" s="29"/>
      <c r="HC279" s="29"/>
      <c r="HD279" s="29"/>
      <c r="HE279" s="29"/>
      <c r="HF279" s="29"/>
      <c r="HG279" s="29"/>
      <c r="HH279" s="29"/>
      <c r="HI279" s="29"/>
      <c r="HJ279" s="29"/>
      <c r="HK279" s="29"/>
      <c r="HL279" s="29"/>
      <c r="HM279" s="29"/>
      <c r="HN279" s="29"/>
      <c r="HO279" s="29"/>
      <c r="HP279" s="29"/>
      <c r="HQ279" s="29"/>
      <c r="HR279" s="29"/>
      <c r="HS279" s="29"/>
      <c r="HT279" s="29"/>
      <c r="HU279" s="29"/>
      <c r="HV279" s="29"/>
      <c r="HW279" s="29"/>
      <c r="HX279" s="29"/>
      <c r="HY279" s="29"/>
      <c r="HZ279" s="29"/>
      <c r="IA279" s="29"/>
      <c r="IB279" s="29"/>
      <c r="IC279" s="29"/>
      <c r="ID279" s="29"/>
      <c r="IE279" s="29"/>
      <c r="IF279" s="29"/>
      <c r="IG279" s="29"/>
      <c r="IH279" s="29"/>
      <c r="II279" s="29"/>
      <c r="IJ279" s="29"/>
      <c r="IK279" s="29"/>
      <c r="IL279" s="29"/>
      <c r="IM279" s="29"/>
      <c r="IN279" s="29"/>
      <c r="IO279" s="29"/>
      <c r="IP279" s="29"/>
      <c r="IQ279" s="29"/>
      <c r="IR279" s="29"/>
      <c r="IS279" s="29"/>
      <c r="IT279" s="29"/>
      <c r="IU279" s="29"/>
      <c r="IV279" s="29"/>
      <c r="IW279" s="29"/>
      <c r="IX279" s="29"/>
      <c r="IY279" s="29"/>
      <c r="IZ279" s="29"/>
      <c r="JA279" s="29"/>
      <c r="JB279" s="29"/>
      <c r="JC279" s="29"/>
      <c r="JD279" s="29"/>
      <c r="JE279" s="29"/>
      <c r="JF279" s="29"/>
      <c r="JG279" s="29"/>
      <c r="JH279" s="29"/>
      <c r="JI279" s="29"/>
      <c r="JJ279" s="29"/>
      <c r="JK279" s="29"/>
      <c r="JL279" s="29"/>
    </row>
    <row r="280" spans="1:272" ht="34.5" customHeight="1">
      <c r="A280" s="30" t="s">
        <v>71</v>
      </c>
      <c r="B280" s="31" t="s">
        <v>48</v>
      </c>
      <c r="C280" s="30" t="s">
        <v>39</v>
      </c>
      <c r="D280" s="30" t="s">
        <v>801</v>
      </c>
      <c r="E280" s="30" t="s">
        <v>272</v>
      </c>
      <c r="F280" s="129" t="s">
        <v>822</v>
      </c>
      <c r="G280" s="30" t="s">
        <v>243</v>
      </c>
      <c r="H280" s="30">
        <v>325520</v>
      </c>
      <c r="I280" s="30" t="s">
        <v>45</v>
      </c>
      <c r="J280" s="30" t="s">
        <v>52</v>
      </c>
      <c r="K280" s="31" t="s">
        <v>91</v>
      </c>
      <c r="L280" s="30" t="s">
        <v>345</v>
      </c>
      <c r="M280" s="45">
        <v>5251500</v>
      </c>
      <c r="N280" s="45">
        <v>6000000</v>
      </c>
      <c r="O280" s="30" t="s">
        <v>79</v>
      </c>
      <c r="P280" s="30" t="s">
        <v>302</v>
      </c>
      <c r="Q280" s="30" t="s">
        <v>294</v>
      </c>
      <c r="R280" s="30" t="s">
        <v>45</v>
      </c>
      <c r="S280" s="41">
        <v>2014</v>
      </c>
      <c r="T280" s="31" t="s">
        <v>797</v>
      </c>
      <c r="U280" s="180" t="s">
        <v>3435</v>
      </c>
      <c r="V280" s="30" t="s">
        <v>798</v>
      </c>
      <c r="W280" s="30" t="s">
        <v>70</v>
      </c>
      <c r="X280" s="30" t="s">
        <v>345</v>
      </c>
      <c r="Y280" s="30" t="s">
        <v>345</v>
      </c>
      <c r="Z280" s="30" t="s">
        <v>345</v>
      </c>
      <c r="AA280" s="30"/>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c r="BI280" s="29"/>
      <c r="BJ280" s="29"/>
      <c r="BK280" s="29"/>
      <c r="BL280" s="29"/>
      <c r="BM280" s="29"/>
      <c r="BN280" s="29"/>
      <c r="BO280" s="29"/>
      <c r="BP280" s="29"/>
      <c r="BQ280" s="29"/>
      <c r="BR280" s="29"/>
      <c r="BS280" s="29"/>
      <c r="BT280" s="29"/>
      <c r="BU280" s="29"/>
      <c r="BV280" s="29"/>
      <c r="BW280" s="29"/>
      <c r="BX280" s="29"/>
      <c r="BY280" s="29"/>
      <c r="BZ280" s="29"/>
      <c r="CA280" s="29"/>
      <c r="CB280" s="29"/>
      <c r="CC280" s="29"/>
      <c r="CD280" s="29"/>
      <c r="CE280" s="29"/>
      <c r="CF280" s="29"/>
      <c r="CG280" s="29"/>
      <c r="CH280" s="29"/>
      <c r="CI280" s="29"/>
      <c r="CJ280" s="29"/>
      <c r="CK280" s="29"/>
      <c r="CL280" s="29"/>
      <c r="CM280" s="29"/>
      <c r="CN280" s="29"/>
      <c r="CO280" s="29"/>
      <c r="CP280" s="29"/>
      <c r="CQ280" s="29"/>
      <c r="CR280" s="29"/>
      <c r="CS280" s="29"/>
      <c r="CT280" s="29"/>
      <c r="CU280" s="29"/>
      <c r="CV280" s="29"/>
      <c r="CW280" s="29"/>
      <c r="CX280" s="29"/>
      <c r="CY280" s="29"/>
      <c r="CZ280" s="29"/>
      <c r="DA280" s="29"/>
      <c r="DB280" s="29"/>
      <c r="DC280" s="29"/>
      <c r="DD280" s="29"/>
      <c r="DE280" s="29"/>
      <c r="DF280" s="29"/>
      <c r="DG280" s="29"/>
      <c r="DH280" s="29"/>
      <c r="DI280" s="29"/>
      <c r="DJ280" s="29"/>
      <c r="DK280" s="29"/>
      <c r="DL280" s="29"/>
      <c r="DM280" s="29"/>
      <c r="DN280" s="29"/>
      <c r="DO280" s="29"/>
      <c r="DP280" s="29"/>
      <c r="DQ280" s="29"/>
      <c r="DR280" s="29"/>
      <c r="DS280" s="29"/>
      <c r="DT280" s="29"/>
      <c r="DU280" s="29"/>
      <c r="DV280" s="29"/>
      <c r="DW280" s="29"/>
      <c r="DX280" s="29"/>
      <c r="DY280" s="29"/>
      <c r="DZ280" s="29"/>
      <c r="EA280" s="29"/>
      <c r="EB280" s="29"/>
      <c r="EC280" s="29"/>
      <c r="ED280" s="29"/>
      <c r="EE280" s="29"/>
      <c r="EF280" s="29"/>
      <c r="EG280" s="29"/>
      <c r="EH280" s="29"/>
      <c r="EI280" s="29"/>
      <c r="EJ280" s="29"/>
      <c r="EK280" s="29"/>
      <c r="EL280" s="29"/>
      <c r="EM280" s="29"/>
      <c r="EN280" s="29"/>
      <c r="EO280" s="29"/>
      <c r="EP280" s="29"/>
      <c r="EQ280" s="29"/>
      <c r="ER280" s="29"/>
      <c r="ES280" s="29"/>
      <c r="ET280" s="29"/>
      <c r="EU280" s="29"/>
      <c r="EV280" s="29"/>
      <c r="EW280" s="29"/>
      <c r="EX280" s="29"/>
      <c r="EY280" s="29"/>
      <c r="EZ280" s="29"/>
      <c r="FA280" s="29"/>
      <c r="FB280" s="29"/>
      <c r="FC280" s="29"/>
      <c r="FD280" s="29"/>
      <c r="FE280" s="29"/>
      <c r="FF280" s="29"/>
      <c r="FG280" s="29"/>
      <c r="FH280" s="29"/>
      <c r="FI280" s="29"/>
      <c r="FJ280" s="29"/>
      <c r="FK280" s="29"/>
      <c r="FL280" s="29"/>
      <c r="FM280" s="29"/>
      <c r="FN280" s="29"/>
      <c r="FO280" s="29"/>
      <c r="FP280" s="29"/>
      <c r="FQ280" s="29"/>
      <c r="FR280" s="29"/>
      <c r="FS280" s="29"/>
      <c r="FT280" s="29"/>
      <c r="FU280" s="29"/>
      <c r="FV280" s="29"/>
      <c r="FW280" s="29"/>
      <c r="FX280" s="29"/>
      <c r="FY280" s="29"/>
      <c r="FZ280" s="29"/>
      <c r="GA280" s="29"/>
      <c r="GB280" s="29"/>
      <c r="GC280" s="29"/>
      <c r="GD280" s="29"/>
      <c r="GE280" s="29"/>
      <c r="GF280" s="29"/>
      <c r="GG280" s="29"/>
      <c r="GH280" s="29"/>
      <c r="GI280" s="29"/>
      <c r="GJ280" s="29"/>
      <c r="GK280" s="29"/>
      <c r="GL280" s="29"/>
      <c r="GM280" s="29"/>
      <c r="GN280" s="29"/>
      <c r="GO280" s="29"/>
      <c r="GP280" s="29"/>
      <c r="GQ280" s="29"/>
      <c r="GR280" s="29"/>
      <c r="GS280" s="29"/>
      <c r="GT280" s="29"/>
      <c r="GU280" s="29"/>
      <c r="GV280" s="29"/>
      <c r="GW280" s="29"/>
      <c r="GX280" s="29"/>
      <c r="GY280" s="29"/>
      <c r="GZ280" s="29"/>
      <c r="HA280" s="29"/>
      <c r="HB280" s="29"/>
      <c r="HC280" s="29"/>
      <c r="HD280" s="29"/>
      <c r="HE280" s="29"/>
      <c r="HF280" s="29"/>
      <c r="HG280" s="29"/>
      <c r="HH280" s="29"/>
      <c r="HI280" s="29"/>
      <c r="HJ280" s="29"/>
      <c r="HK280" s="29"/>
      <c r="HL280" s="29"/>
      <c r="HM280" s="29"/>
      <c r="HN280" s="29"/>
      <c r="HO280" s="29"/>
      <c r="HP280" s="29"/>
      <c r="HQ280" s="29"/>
      <c r="HR280" s="29"/>
      <c r="HS280" s="29"/>
      <c r="HT280" s="29"/>
      <c r="HU280" s="29"/>
      <c r="HV280" s="29"/>
      <c r="HW280" s="29"/>
      <c r="HX280" s="29"/>
      <c r="HY280" s="29"/>
      <c r="HZ280" s="29"/>
      <c r="IA280" s="29"/>
      <c r="IB280" s="29"/>
      <c r="IC280" s="29"/>
      <c r="ID280" s="29"/>
      <c r="IE280" s="29"/>
      <c r="IF280" s="29"/>
      <c r="IG280" s="29"/>
      <c r="IH280" s="29"/>
      <c r="II280" s="29"/>
      <c r="IJ280" s="29"/>
      <c r="IK280" s="29"/>
      <c r="IL280" s="29"/>
      <c r="IM280" s="29"/>
      <c r="IN280" s="29"/>
      <c r="IO280" s="29"/>
      <c r="IP280" s="29"/>
      <c r="IQ280" s="29"/>
      <c r="IR280" s="29"/>
      <c r="IS280" s="29"/>
      <c r="IT280" s="29"/>
      <c r="IU280" s="29"/>
      <c r="IV280" s="29"/>
      <c r="IW280" s="29"/>
      <c r="IX280" s="29"/>
      <c r="IY280" s="29"/>
      <c r="IZ280" s="29"/>
      <c r="JA280" s="29"/>
      <c r="JB280" s="29"/>
      <c r="JC280" s="29"/>
      <c r="JD280" s="29"/>
      <c r="JE280" s="29"/>
      <c r="JF280" s="29"/>
      <c r="JG280" s="29"/>
      <c r="JH280" s="29"/>
      <c r="JI280" s="29"/>
      <c r="JJ280" s="29"/>
      <c r="JK280" s="29"/>
      <c r="JL280" s="29"/>
    </row>
    <row r="281" spans="1:272" ht="34.5" customHeight="1">
      <c r="A281" s="30" t="s">
        <v>71</v>
      </c>
      <c r="B281" s="31" t="s">
        <v>48</v>
      </c>
      <c r="C281" s="30" t="s">
        <v>39</v>
      </c>
      <c r="D281" s="30" t="s">
        <v>802</v>
      </c>
      <c r="E281" s="30" t="s">
        <v>272</v>
      </c>
      <c r="F281" s="129" t="s">
        <v>822</v>
      </c>
      <c r="G281" s="30" t="s">
        <v>243</v>
      </c>
      <c r="H281" s="30">
        <v>325520</v>
      </c>
      <c r="I281" s="30" t="s">
        <v>45</v>
      </c>
      <c r="J281" s="30" t="s">
        <v>52</v>
      </c>
      <c r="K281" s="31" t="s">
        <v>91</v>
      </c>
      <c r="L281" s="30" t="s">
        <v>345</v>
      </c>
      <c r="M281" s="45">
        <v>1863840</v>
      </c>
      <c r="N281" s="45">
        <v>6000000</v>
      </c>
      <c r="O281" s="30" t="s">
        <v>79</v>
      </c>
      <c r="P281" s="30" t="s">
        <v>302</v>
      </c>
      <c r="Q281" s="30" t="s">
        <v>294</v>
      </c>
      <c r="R281" s="30" t="s">
        <v>150</v>
      </c>
      <c r="S281" s="41">
        <v>2014</v>
      </c>
      <c r="T281" s="31" t="s">
        <v>797</v>
      </c>
      <c r="U281" s="180" t="s">
        <v>3435</v>
      </c>
      <c r="V281" s="30" t="s">
        <v>798</v>
      </c>
      <c r="W281" s="30" t="s">
        <v>70</v>
      </c>
      <c r="X281" s="44">
        <v>41624</v>
      </c>
      <c r="Y281" s="44">
        <v>41667</v>
      </c>
      <c r="Z281" s="44">
        <v>43496</v>
      </c>
      <c r="AA281" s="30"/>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c r="BO281" s="29"/>
      <c r="BP281" s="29"/>
      <c r="BQ281" s="29"/>
      <c r="BR281" s="29"/>
      <c r="BS281" s="29"/>
      <c r="BT281" s="29"/>
      <c r="BU281" s="29"/>
      <c r="BV281" s="29"/>
      <c r="BW281" s="29"/>
      <c r="BX281" s="29"/>
      <c r="BY281" s="29"/>
      <c r="BZ281" s="29"/>
      <c r="CA281" s="29"/>
      <c r="CB281" s="29"/>
      <c r="CC281" s="29"/>
      <c r="CD281" s="29"/>
      <c r="CE281" s="29"/>
      <c r="CF281" s="29"/>
      <c r="CG281" s="29"/>
      <c r="CH281" s="29"/>
      <c r="CI281" s="29"/>
      <c r="CJ281" s="29"/>
      <c r="CK281" s="29"/>
      <c r="CL281" s="29"/>
      <c r="CM281" s="29"/>
      <c r="CN281" s="29"/>
      <c r="CO281" s="29"/>
      <c r="CP281" s="29"/>
      <c r="CQ281" s="29"/>
      <c r="CR281" s="29"/>
      <c r="CS281" s="29"/>
      <c r="CT281" s="29"/>
      <c r="CU281" s="29"/>
      <c r="CV281" s="29"/>
      <c r="CW281" s="29"/>
      <c r="CX281" s="29"/>
      <c r="CY281" s="29"/>
      <c r="CZ281" s="29"/>
      <c r="DA281" s="29"/>
      <c r="DB281" s="29"/>
      <c r="DC281" s="29"/>
      <c r="DD281" s="29"/>
      <c r="DE281" s="29"/>
      <c r="DF281" s="29"/>
      <c r="DG281" s="29"/>
      <c r="DH281" s="29"/>
      <c r="DI281" s="29"/>
      <c r="DJ281" s="29"/>
      <c r="DK281" s="29"/>
      <c r="DL281" s="29"/>
      <c r="DM281" s="29"/>
      <c r="DN281" s="29"/>
      <c r="DO281" s="29"/>
      <c r="DP281" s="29"/>
      <c r="DQ281" s="29"/>
      <c r="DR281" s="29"/>
      <c r="DS281" s="29"/>
      <c r="DT281" s="29"/>
      <c r="DU281" s="29"/>
      <c r="DV281" s="29"/>
      <c r="DW281" s="29"/>
      <c r="DX281" s="29"/>
      <c r="DY281" s="29"/>
      <c r="DZ281" s="29"/>
      <c r="EA281" s="29"/>
      <c r="EB281" s="29"/>
      <c r="EC281" s="29"/>
      <c r="ED281" s="29"/>
      <c r="EE281" s="29"/>
      <c r="EF281" s="29"/>
      <c r="EG281" s="29"/>
      <c r="EH281" s="29"/>
      <c r="EI281" s="29"/>
      <c r="EJ281" s="29"/>
      <c r="EK281" s="29"/>
      <c r="EL281" s="29"/>
      <c r="EM281" s="29"/>
      <c r="EN281" s="29"/>
      <c r="EO281" s="29"/>
      <c r="EP281" s="29"/>
      <c r="EQ281" s="29"/>
      <c r="ER281" s="29"/>
      <c r="ES281" s="29"/>
      <c r="ET281" s="29"/>
      <c r="EU281" s="29"/>
      <c r="EV281" s="29"/>
      <c r="EW281" s="29"/>
      <c r="EX281" s="29"/>
      <c r="EY281" s="29"/>
      <c r="EZ281" s="29"/>
      <c r="FA281" s="29"/>
      <c r="FB281" s="29"/>
      <c r="FC281" s="29"/>
      <c r="FD281" s="29"/>
      <c r="FE281" s="29"/>
      <c r="FF281" s="29"/>
      <c r="FG281" s="29"/>
      <c r="FH281" s="29"/>
      <c r="FI281" s="29"/>
      <c r="FJ281" s="29"/>
      <c r="FK281" s="29"/>
      <c r="FL281" s="29"/>
      <c r="FM281" s="29"/>
      <c r="FN281" s="29"/>
      <c r="FO281" s="29"/>
      <c r="FP281" s="29"/>
      <c r="FQ281" s="29"/>
      <c r="FR281" s="29"/>
      <c r="FS281" s="29"/>
      <c r="FT281" s="29"/>
      <c r="FU281" s="29"/>
      <c r="FV281" s="29"/>
      <c r="FW281" s="29"/>
      <c r="FX281" s="29"/>
      <c r="FY281" s="29"/>
      <c r="FZ281" s="29"/>
      <c r="GA281" s="29"/>
      <c r="GB281" s="29"/>
      <c r="GC281" s="29"/>
      <c r="GD281" s="29"/>
      <c r="GE281" s="29"/>
      <c r="GF281" s="29"/>
      <c r="GG281" s="29"/>
      <c r="GH281" s="29"/>
      <c r="GI281" s="29"/>
      <c r="GJ281" s="29"/>
      <c r="GK281" s="29"/>
      <c r="GL281" s="29"/>
      <c r="GM281" s="29"/>
      <c r="GN281" s="29"/>
      <c r="GO281" s="29"/>
      <c r="GP281" s="29"/>
      <c r="GQ281" s="29"/>
      <c r="GR281" s="29"/>
      <c r="GS281" s="29"/>
      <c r="GT281" s="29"/>
      <c r="GU281" s="29"/>
      <c r="GV281" s="29"/>
      <c r="GW281" s="29"/>
      <c r="GX281" s="29"/>
      <c r="GY281" s="29"/>
      <c r="GZ281" s="29"/>
      <c r="HA281" s="29"/>
      <c r="HB281" s="29"/>
      <c r="HC281" s="29"/>
      <c r="HD281" s="29"/>
      <c r="HE281" s="29"/>
      <c r="HF281" s="29"/>
      <c r="HG281" s="29"/>
      <c r="HH281" s="29"/>
      <c r="HI281" s="29"/>
      <c r="HJ281" s="29"/>
      <c r="HK281" s="29"/>
      <c r="HL281" s="29"/>
      <c r="HM281" s="29"/>
      <c r="HN281" s="29"/>
      <c r="HO281" s="29"/>
      <c r="HP281" s="29"/>
      <c r="HQ281" s="29"/>
      <c r="HR281" s="29"/>
      <c r="HS281" s="29"/>
      <c r="HT281" s="29"/>
      <c r="HU281" s="29"/>
      <c r="HV281" s="29"/>
      <c r="HW281" s="29"/>
      <c r="HX281" s="29"/>
      <c r="HY281" s="29"/>
      <c r="HZ281" s="29"/>
      <c r="IA281" s="29"/>
      <c r="IB281" s="29"/>
      <c r="IC281" s="29"/>
      <c r="ID281" s="29"/>
      <c r="IE281" s="29"/>
      <c r="IF281" s="29"/>
      <c r="IG281" s="29"/>
      <c r="IH281" s="29"/>
      <c r="II281" s="29"/>
      <c r="IJ281" s="29"/>
      <c r="IK281" s="29"/>
      <c r="IL281" s="29"/>
      <c r="IM281" s="29"/>
      <c r="IN281" s="29"/>
      <c r="IO281" s="29"/>
      <c r="IP281" s="29"/>
      <c r="IQ281" s="29"/>
      <c r="IR281" s="29"/>
      <c r="IS281" s="29"/>
      <c r="IT281" s="29"/>
      <c r="IU281" s="29"/>
      <c r="IV281" s="29"/>
      <c r="IW281" s="29"/>
      <c r="IX281" s="29"/>
      <c r="IY281" s="29"/>
      <c r="IZ281" s="29"/>
      <c r="JA281" s="29"/>
      <c r="JB281" s="29"/>
      <c r="JC281" s="29"/>
      <c r="JD281" s="29"/>
      <c r="JE281" s="29"/>
      <c r="JF281" s="29"/>
      <c r="JG281" s="29"/>
      <c r="JH281" s="29"/>
      <c r="JI281" s="29"/>
      <c r="JJ281" s="29"/>
      <c r="JK281" s="29"/>
      <c r="JL281" s="29"/>
    </row>
    <row r="282" spans="1:272" ht="34.5" customHeight="1">
      <c r="A282" s="30" t="s">
        <v>71</v>
      </c>
      <c r="B282" s="31" t="s">
        <v>48</v>
      </c>
      <c r="C282" s="30" t="s">
        <v>39</v>
      </c>
      <c r="D282" s="30" t="s">
        <v>803</v>
      </c>
      <c r="E282" s="30" t="s">
        <v>272</v>
      </c>
      <c r="F282" s="129" t="s">
        <v>822</v>
      </c>
      <c r="G282" s="30" t="s">
        <v>243</v>
      </c>
      <c r="H282" s="30">
        <v>325510</v>
      </c>
      <c r="I282" s="30" t="s">
        <v>45</v>
      </c>
      <c r="J282" s="30" t="s">
        <v>52</v>
      </c>
      <c r="K282" s="31" t="s">
        <v>91</v>
      </c>
      <c r="L282" s="30" t="s">
        <v>345</v>
      </c>
      <c r="M282" s="45">
        <v>2108316</v>
      </c>
      <c r="N282" s="45">
        <v>6000000</v>
      </c>
      <c r="O282" s="30" t="s">
        <v>79</v>
      </c>
      <c r="P282" s="30" t="s">
        <v>302</v>
      </c>
      <c r="Q282" s="30" t="s">
        <v>294</v>
      </c>
      <c r="R282" s="155" t="s">
        <v>80</v>
      </c>
      <c r="S282" s="41">
        <v>2014</v>
      </c>
      <c r="T282" s="31" t="s">
        <v>804</v>
      </c>
      <c r="U282" s="180" t="s">
        <v>3436</v>
      </c>
      <c r="V282" s="30" t="s">
        <v>805</v>
      </c>
      <c r="W282" s="30" t="s">
        <v>70</v>
      </c>
      <c r="X282" s="44">
        <v>41652</v>
      </c>
      <c r="Y282" s="44">
        <v>41791</v>
      </c>
      <c r="Z282" s="44">
        <v>43616</v>
      </c>
      <c r="AA282" s="30"/>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29"/>
      <c r="BT282" s="29"/>
      <c r="BU282" s="29"/>
      <c r="BV282" s="29"/>
      <c r="BW282" s="29"/>
      <c r="BX282" s="29"/>
      <c r="BY282" s="29"/>
      <c r="BZ282" s="29"/>
      <c r="CA282" s="29"/>
      <c r="CB282" s="29"/>
      <c r="CC282" s="29"/>
      <c r="CD282" s="29"/>
      <c r="CE282" s="29"/>
      <c r="CF282" s="29"/>
      <c r="CG282" s="29"/>
      <c r="CH282" s="29"/>
      <c r="CI282" s="29"/>
      <c r="CJ282" s="29"/>
      <c r="CK282" s="29"/>
      <c r="CL282" s="29"/>
      <c r="CM282" s="29"/>
      <c r="CN282" s="29"/>
      <c r="CO282" s="29"/>
      <c r="CP282" s="29"/>
      <c r="CQ282" s="29"/>
      <c r="CR282" s="29"/>
      <c r="CS282" s="29"/>
      <c r="CT282" s="29"/>
      <c r="CU282" s="29"/>
      <c r="CV282" s="29"/>
      <c r="CW282" s="29"/>
      <c r="CX282" s="29"/>
      <c r="CY282" s="29"/>
      <c r="CZ282" s="29"/>
      <c r="DA282" s="29"/>
      <c r="DB282" s="29"/>
      <c r="DC282" s="29"/>
      <c r="DD282" s="29"/>
      <c r="DE282" s="29"/>
      <c r="DF282" s="29"/>
      <c r="DG282" s="29"/>
      <c r="DH282" s="29"/>
      <c r="DI282" s="29"/>
      <c r="DJ282" s="29"/>
      <c r="DK282" s="29"/>
      <c r="DL282" s="29"/>
      <c r="DM282" s="29"/>
      <c r="DN282" s="29"/>
      <c r="DO282" s="29"/>
      <c r="DP282" s="29"/>
      <c r="DQ282" s="29"/>
      <c r="DR282" s="29"/>
      <c r="DS282" s="29"/>
      <c r="DT282" s="29"/>
      <c r="DU282" s="29"/>
      <c r="DV282" s="29"/>
      <c r="DW282" s="29"/>
      <c r="DX282" s="29"/>
      <c r="DY282" s="29"/>
      <c r="DZ282" s="29"/>
      <c r="EA282" s="29"/>
      <c r="EB282" s="29"/>
      <c r="EC282" s="29"/>
      <c r="ED282" s="29"/>
      <c r="EE282" s="29"/>
      <c r="EF282" s="29"/>
      <c r="EG282" s="29"/>
      <c r="EH282" s="29"/>
      <c r="EI282" s="29"/>
      <c r="EJ282" s="29"/>
      <c r="EK282" s="29"/>
      <c r="EL282" s="29"/>
      <c r="EM282" s="29"/>
      <c r="EN282" s="29"/>
      <c r="EO282" s="29"/>
      <c r="EP282" s="29"/>
      <c r="EQ282" s="29"/>
      <c r="ER282" s="29"/>
      <c r="ES282" s="29"/>
      <c r="ET282" s="29"/>
      <c r="EU282" s="29"/>
      <c r="EV282" s="29"/>
      <c r="EW282" s="29"/>
      <c r="EX282" s="29"/>
      <c r="EY282" s="29"/>
      <c r="EZ282" s="29"/>
      <c r="FA282" s="29"/>
      <c r="FB282" s="29"/>
      <c r="FC282" s="29"/>
      <c r="FD282" s="29"/>
      <c r="FE282" s="29"/>
      <c r="FF282" s="29"/>
      <c r="FG282" s="29"/>
      <c r="FH282" s="29"/>
      <c r="FI282" s="29"/>
      <c r="FJ282" s="29"/>
      <c r="FK282" s="29"/>
      <c r="FL282" s="29"/>
      <c r="FM282" s="29"/>
      <c r="FN282" s="29"/>
      <c r="FO282" s="29"/>
      <c r="FP282" s="29"/>
      <c r="FQ282" s="29"/>
      <c r="FR282" s="29"/>
      <c r="FS282" s="29"/>
      <c r="FT282" s="29"/>
      <c r="FU282" s="29"/>
      <c r="FV282" s="29"/>
      <c r="FW282" s="29"/>
      <c r="FX282" s="29"/>
      <c r="FY282" s="29"/>
      <c r="FZ282" s="29"/>
      <c r="GA282" s="29"/>
      <c r="GB282" s="29"/>
      <c r="GC282" s="29"/>
      <c r="GD282" s="29"/>
      <c r="GE282" s="29"/>
      <c r="GF282" s="29"/>
      <c r="GG282" s="29"/>
      <c r="GH282" s="29"/>
      <c r="GI282" s="29"/>
      <c r="GJ282" s="29"/>
      <c r="GK282" s="29"/>
      <c r="GL282" s="29"/>
      <c r="GM282" s="29"/>
      <c r="GN282" s="29"/>
      <c r="GO282" s="29"/>
      <c r="GP282" s="29"/>
      <c r="GQ282" s="29"/>
      <c r="GR282" s="29"/>
      <c r="GS282" s="29"/>
      <c r="GT282" s="29"/>
      <c r="GU282" s="29"/>
      <c r="GV282" s="29"/>
      <c r="GW282" s="29"/>
      <c r="GX282" s="29"/>
      <c r="GY282" s="29"/>
      <c r="GZ282" s="29"/>
      <c r="HA282" s="29"/>
      <c r="HB282" s="29"/>
      <c r="HC282" s="29"/>
      <c r="HD282" s="29"/>
      <c r="HE282" s="29"/>
      <c r="HF282" s="29"/>
      <c r="HG282" s="29"/>
      <c r="HH282" s="29"/>
      <c r="HI282" s="29"/>
      <c r="HJ282" s="29"/>
      <c r="HK282" s="29"/>
      <c r="HL282" s="29"/>
      <c r="HM282" s="29"/>
      <c r="HN282" s="29"/>
      <c r="HO282" s="29"/>
      <c r="HP282" s="29"/>
      <c r="HQ282" s="29"/>
      <c r="HR282" s="29"/>
      <c r="HS282" s="29"/>
      <c r="HT282" s="29"/>
      <c r="HU282" s="29"/>
      <c r="HV282" s="29"/>
      <c r="HW282" s="29"/>
      <c r="HX282" s="29"/>
      <c r="HY282" s="29"/>
      <c r="HZ282" s="29"/>
      <c r="IA282" s="29"/>
      <c r="IB282" s="29"/>
      <c r="IC282" s="29"/>
      <c r="ID282" s="29"/>
      <c r="IE282" s="29"/>
      <c r="IF282" s="29"/>
      <c r="IG282" s="29"/>
      <c r="IH282" s="29"/>
      <c r="II282" s="29"/>
      <c r="IJ282" s="29"/>
      <c r="IK282" s="29"/>
      <c r="IL282" s="29"/>
      <c r="IM282" s="29"/>
      <c r="IN282" s="29"/>
      <c r="IO282" s="29"/>
      <c r="IP282" s="29"/>
      <c r="IQ282" s="29"/>
      <c r="IR282" s="29"/>
      <c r="IS282" s="29"/>
      <c r="IT282" s="29"/>
      <c r="IU282" s="29"/>
      <c r="IV282" s="29"/>
      <c r="IW282" s="29"/>
      <c r="IX282" s="29"/>
      <c r="IY282" s="29"/>
      <c r="IZ282" s="29"/>
      <c r="JA282" s="29"/>
      <c r="JB282" s="29"/>
      <c r="JC282" s="29"/>
      <c r="JD282" s="29"/>
      <c r="JE282" s="29"/>
      <c r="JF282" s="29"/>
      <c r="JG282" s="29"/>
      <c r="JH282" s="29"/>
      <c r="JI282" s="29"/>
      <c r="JJ282" s="29"/>
      <c r="JK282" s="29"/>
      <c r="JL282" s="29"/>
    </row>
    <row r="283" spans="1:272" ht="34.5" customHeight="1">
      <c r="A283" s="30" t="s">
        <v>71</v>
      </c>
      <c r="B283" s="31" t="s">
        <v>48</v>
      </c>
      <c r="C283" s="30" t="s">
        <v>39</v>
      </c>
      <c r="D283" s="30" t="s">
        <v>806</v>
      </c>
      <c r="E283" s="30" t="s">
        <v>272</v>
      </c>
      <c r="F283" s="129" t="s">
        <v>822</v>
      </c>
      <c r="G283" s="30" t="s">
        <v>243</v>
      </c>
      <c r="H283" s="30">
        <v>325510</v>
      </c>
      <c r="I283" s="30" t="s">
        <v>45</v>
      </c>
      <c r="J283" s="30" t="s">
        <v>52</v>
      </c>
      <c r="K283" s="31" t="s">
        <v>91</v>
      </c>
      <c r="L283" s="30" t="s">
        <v>345</v>
      </c>
      <c r="M283" s="45">
        <v>1436275</v>
      </c>
      <c r="N283" s="45">
        <v>6000000</v>
      </c>
      <c r="O283" s="30" t="s">
        <v>79</v>
      </c>
      <c r="P283" s="30" t="s">
        <v>302</v>
      </c>
      <c r="Q283" s="30" t="s">
        <v>294</v>
      </c>
      <c r="R283" s="30" t="s">
        <v>45</v>
      </c>
      <c r="S283" s="41">
        <v>2014</v>
      </c>
      <c r="T283" s="31" t="s">
        <v>804</v>
      </c>
      <c r="U283" s="180" t="s">
        <v>3436</v>
      </c>
      <c r="V283" s="30" t="s">
        <v>805</v>
      </c>
      <c r="W283" s="30" t="s">
        <v>70</v>
      </c>
      <c r="X283" s="30" t="s">
        <v>345</v>
      </c>
      <c r="Y283" s="30" t="s">
        <v>345</v>
      </c>
      <c r="Z283" s="30" t="s">
        <v>345</v>
      </c>
      <c r="AA283" s="30"/>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c r="BO283" s="29"/>
      <c r="BP283" s="29"/>
      <c r="BQ283" s="29"/>
      <c r="BR283" s="29"/>
      <c r="BS283" s="29"/>
      <c r="BT283" s="29"/>
      <c r="BU283" s="29"/>
      <c r="BV283" s="29"/>
      <c r="BW283" s="29"/>
      <c r="BX283" s="29"/>
      <c r="BY283" s="29"/>
      <c r="BZ283" s="29"/>
      <c r="CA283" s="29"/>
      <c r="CB283" s="29"/>
      <c r="CC283" s="29"/>
      <c r="CD283" s="29"/>
      <c r="CE283" s="29"/>
      <c r="CF283" s="29"/>
      <c r="CG283" s="29"/>
      <c r="CH283" s="29"/>
      <c r="CI283" s="29"/>
      <c r="CJ283" s="29"/>
      <c r="CK283" s="29"/>
      <c r="CL283" s="29"/>
      <c r="CM283" s="29"/>
      <c r="CN283" s="29"/>
      <c r="CO283" s="29"/>
      <c r="CP283" s="29"/>
      <c r="CQ283" s="29"/>
      <c r="CR283" s="29"/>
      <c r="CS283" s="29"/>
      <c r="CT283" s="29"/>
      <c r="CU283" s="29"/>
      <c r="CV283" s="29"/>
      <c r="CW283" s="29"/>
      <c r="CX283" s="29"/>
      <c r="CY283" s="29"/>
      <c r="CZ283" s="29"/>
      <c r="DA283" s="29"/>
      <c r="DB283" s="29"/>
      <c r="DC283" s="29"/>
      <c r="DD283" s="29"/>
      <c r="DE283" s="29"/>
      <c r="DF283" s="29"/>
      <c r="DG283" s="29"/>
      <c r="DH283" s="29"/>
      <c r="DI283" s="29"/>
      <c r="DJ283" s="29"/>
      <c r="DK283" s="29"/>
      <c r="DL283" s="29"/>
      <c r="DM283" s="29"/>
      <c r="DN283" s="29"/>
      <c r="DO283" s="29"/>
      <c r="DP283" s="29"/>
      <c r="DQ283" s="29"/>
      <c r="DR283" s="29"/>
      <c r="DS283" s="29"/>
      <c r="DT283" s="29"/>
      <c r="DU283" s="29"/>
      <c r="DV283" s="29"/>
      <c r="DW283" s="29"/>
      <c r="DX283" s="29"/>
      <c r="DY283" s="29"/>
      <c r="DZ283" s="29"/>
      <c r="EA283" s="29"/>
      <c r="EB283" s="29"/>
      <c r="EC283" s="29"/>
      <c r="ED283" s="29"/>
      <c r="EE283" s="29"/>
      <c r="EF283" s="29"/>
      <c r="EG283" s="29"/>
      <c r="EH283" s="29"/>
      <c r="EI283" s="29"/>
      <c r="EJ283" s="29"/>
      <c r="EK283" s="29"/>
      <c r="EL283" s="29"/>
      <c r="EM283" s="29"/>
      <c r="EN283" s="29"/>
      <c r="EO283" s="29"/>
      <c r="EP283" s="29"/>
      <c r="EQ283" s="29"/>
      <c r="ER283" s="29"/>
      <c r="ES283" s="29"/>
      <c r="ET283" s="29"/>
      <c r="EU283" s="29"/>
      <c r="EV283" s="29"/>
      <c r="EW283" s="29"/>
      <c r="EX283" s="29"/>
      <c r="EY283" s="29"/>
      <c r="EZ283" s="29"/>
      <c r="FA283" s="29"/>
      <c r="FB283" s="29"/>
      <c r="FC283" s="29"/>
      <c r="FD283" s="29"/>
      <c r="FE283" s="29"/>
      <c r="FF283" s="29"/>
      <c r="FG283" s="29"/>
      <c r="FH283" s="29"/>
      <c r="FI283" s="29"/>
      <c r="FJ283" s="29"/>
      <c r="FK283" s="29"/>
      <c r="FL283" s="29"/>
      <c r="FM283" s="29"/>
      <c r="FN283" s="29"/>
      <c r="FO283" s="29"/>
      <c r="FP283" s="29"/>
      <c r="FQ283" s="29"/>
      <c r="FR283" s="29"/>
      <c r="FS283" s="29"/>
      <c r="FT283" s="29"/>
      <c r="FU283" s="29"/>
      <c r="FV283" s="29"/>
      <c r="FW283" s="29"/>
      <c r="FX283" s="29"/>
      <c r="FY283" s="29"/>
      <c r="FZ283" s="29"/>
      <c r="GA283" s="29"/>
      <c r="GB283" s="29"/>
      <c r="GC283" s="29"/>
      <c r="GD283" s="29"/>
      <c r="GE283" s="29"/>
      <c r="GF283" s="29"/>
      <c r="GG283" s="29"/>
      <c r="GH283" s="29"/>
      <c r="GI283" s="29"/>
      <c r="GJ283" s="29"/>
      <c r="GK283" s="29"/>
      <c r="GL283" s="29"/>
      <c r="GM283" s="29"/>
      <c r="GN283" s="29"/>
      <c r="GO283" s="29"/>
      <c r="GP283" s="29"/>
      <c r="GQ283" s="29"/>
      <c r="GR283" s="29"/>
      <c r="GS283" s="29"/>
      <c r="GT283" s="29"/>
      <c r="GU283" s="29"/>
      <c r="GV283" s="29"/>
      <c r="GW283" s="29"/>
      <c r="GX283" s="29"/>
      <c r="GY283" s="29"/>
      <c r="GZ283" s="29"/>
      <c r="HA283" s="29"/>
      <c r="HB283" s="29"/>
      <c r="HC283" s="29"/>
      <c r="HD283" s="29"/>
      <c r="HE283" s="29"/>
      <c r="HF283" s="29"/>
      <c r="HG283" s="29"/>
      <c r="HH283" s="29"/>
      <c r="HI283" s="29"/>
      <c r="HJ283" s="29"/>
      <c r="HK283" s="29"/>
      <c r="HL283" s="29"/>
      <c r="HM283" s="29"/>
      <c r="HN283" s="29"/>
      <c r="HO283" s="29"/>
      <c r="HP283" s="29"/>
      <c r="HQ283" s="29"/>
      <c r="HR283" s="29"/>
      <c r="HS283" s="29"/>
      <c r="HT283" s="29"/>
      <c r="HU283" s="29"/>
      <c r="HV283" s="29"/>
      <c r="HW283" s="29"/>
      <c r="HX283" s="29"/>
      <c r="HY283" s="29"/>
      <c r="HZ283" s="29"/>
      <c r="IA283" s="29"/>
      <c r="IB283" s="29"/>
      <c r="IC283" s="29"/>
      <c r="ID283" s="29"/>
      <c r="IE283" s="29"/>
      <c r="IF283" s="29"/>
      <c r="IG283" s="29"/>
      <c r="IH283" s="29"/>
      <c r="II283" s="29"/>
      <c r="IJ283" s="29"/>
      <c r="IK283" s="29"/>
      <c r="IL283" s="29"/>
      <c r="IM283" s="29"/>
      <c r="IN283" s="29"/>
      <c r="IO283" s="29"/>
      <c r="IP283" s="29"/>
      <c r="IQ283" s="29"/>
      <c r="IR283" s="29"/>
      <c r="IS283" s="29"/>
      <c r="IT283" s="29"/>
      <c r="IU283" s="29"/>
      <c r="IV283" s="29"/>
      <c r="IW283" s="29"/>
      <c r="IX283" s="29"/>
      <c r="IY283" s="29"/>
      <c r="IZ283" s="29"/>
      <c r="JA283" s="29"/>
      <c r="JB283" s="29"/>
      <c r="JC283" s="29"/>
      <c r="JD283" s="29"/>
      <c r="JE283" s="29"/>
      <c r="JF283" s="29"/>
      <c r="JG283" s="29"/>
      <c r="JH283" s="29"/>
      <c r="JI283" s="29"/>
      <c r="JJ283" s="29"/>
      <c r="JK283" s="29"/>
      <c r="JL283" s="29"/>
    </row>
    <row r="284" spans="1:272" ht="34.5" customHeight="1">
      <c r="A284" s="30" t="s">
        <v>71</v>
      </c>
      <c r="B284" s="31" t="s">
        <v>48</v>
      </c>
      <c r="C284" s="30" t="s">
        <v>39</v>
      </c>
      <c r="D284" s="30" t="s">
        <v>807</v>
      </c>
      <c r="E284" s="30" t="s">
        <v>272</v>
      </c>
      <c r="F284" s="129" t="s">
        <v>822</v>
      </c>
      <c r="G284" s="30" t="s">
        <v>243</v>
      </c>
      <c r="H284" s="30">
        <v>325510</v>
      </c>
      <c r="I284" s="30" t="s">
        <v>45</v>
      </c>
      <c r="J284" s="30" t="s">
        <v>52</v>
      </c>
      <c r="K284" s="31" t="s">
        <v>91</v>
      </c>
      <c r="L284" s="30" t="s">
        <v>345</v>
      </c>
      <c r="M284" s="45">
        <v>4267974</v>
      </c>
      <c r="N284" s="45">
        <v>6000000</v>
      </c>
      <c r="O284" s="30" t="s">
        <v>79</v>
      </c>
      <c r="P284" s="30" t="s">
        <v>302</v>
      </c>
      <c r="Q284" s="30" t="s">
        <v>294</v>
      </c>
      <c r="R284" s="30" t="s">
        <v>150</v>
      </c>
      <c r="S284" s="41">
        <v>2014</v>
      </c>
      <c r="T284" s="31" t="s">
        <v>808</v>
      </c>
      <c r="U284" s="180" t="s">
        <v>3437</v>
      </c>
      <c r="V284" s="30" t="s">
        <v>809</v>
      </c>
      <c r="W284" s="30" t="s">
        <v>70</v>
      </c>
      <c r="X284" s="44">
        <v>41589</v>
      </c>
      <c r="Y284" s="44">
        <v>41694</v>
      </c>
      <c r="Z284" s="44">
        <v>43519</v>
      </c>
      <c r="AA284" s="30"/>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c r="BC284" s="29"/>
      <c r="BD284" s="29"/>
      <c r="BE284" s="29"/>
      <c r="BF284" s="29"/>
      <c r="BG284" s="29"/>
      <c r="BH284" s="29"/>
      <c r="BI284" s="29"/>
      <c r="BJ284" s="29"/>
      <c r="BK284" s="29"/>
      <c r="BL284" s="29"/>
      <c r="BM284" s="29"/>
      <c r="BN284" s="29"/>
      <c r="BO284" s="29"/>
      <c r="BP284" s="29"/>
      <c r="BQ284" s="29"/>
      <c r="BR284" s="29"/>
      <c r="BS284" s="29"/>
      <c r="BT284" s="29"/>
      <c r="BU284" s="29"/>
      <c r="BV284" s="29"/>
      <c r="BW284" s="29"/>
      <c r="BX284" s="29"/>
      <c r="BY284" s="29"/>
      <c r="BZ284" s="29"/>
      <c r="CA284" s="29"/>
      <c r="CB284" s="29"/>
      <c r="CC284" s="29"/>
      <c r="CD284" s="29"/>
      <c r="CE284" s="29"/>
      <c r="CF284" s="29"/>
      <c r="CG284" s="29"/>
      <c r="CH284" s="29"/>
      <c r="CI284" s="29"/>
      <c r="CJ284" s="29"/>
      <c r="CK284" s="29"/>
      <c r="CL284" s="29"/>
      <c r="CM284" s="29"/>
      <c r="CN284" s="29"/>
      <c r="CO284" s="29"/>
      <c r="CP284" s="29"/>
      <c r="CQ284" s="29"/>
      <c r="CR284" s="29"/>
      <c r="CS284" s="29"/>
      <c r="CT284" s="29"/>
      <c r="CU284" s="29"/>
      <c r="CV284" s="29"/>
      <c r="CW284" s="29"/>
      <c r="CX284" s="29"/>
      <c r="CY284" s="29"/>
      <c r="CZ284" s="29"/>
      <c r="DA284" s="29"/>
      <c r="DB284" s="29"/>
      <c r="DC284" s="29"/>
      <c r="DD284" s="29"/>
      <c r="DE284" s="29"/>
      <c r="DF284" s="29"/>
      <c r="DG284" s="29"/>
      <c r="DH284" s="29"/>
      <c r="DI284" s="29"/>
      <c r="DJ284" s="29"/>
      <c r="DK284" s="29"/>
      <c r="DL284" s="29"/>
      <c r="DM284" s="29"/>
      <c r="DN284" s="29"/>
      <c r="DO284" s="29"/>
      <c r="DP284" s="29"/>
      <c r="DQ284" s="29"/>
      <c r="DR284" s="29"/>
      <c r="DS284" s="29"/>
      <c r="DT284" s="29"/>
      <c r="DU284" s="29"/>
      <c r="DV284" s="29"/>
      <c r="DW284" s="29"/>
      <c r="DX284" s="29"/>
      <c r="DY284" s="29"/>
      <c r="DZ284" s="29"/>
      <c r="EA284" s="29"/>
      <c r="EB284" s="29"/>
      <c r="EC284" s="29"/>
      <c r="ED284" s="29"/>
      <c r="EE284" s="29"/>
      <c r="EF284" s="29"/>
      <c r="EG284" s="29"/>
      <c r="EH284" s="29"/>
      <c r="EI284" s="29"/>
      <c r="EJ284" s="29"/>
      <c r="EK284" s="29"/>
      <c r="EL284" s="29"/>
      <c r="EM284" s="29"/>
      <c r="EN284" s="29"/>
      <c r="EO284" s="29"/>
      <c r="EP284" s="29"/>
      <c r="EQ284" s="29"/>
      <c r="ER284" s="29"/>
      <c r="ES284" s="29"/>
      <c r="ET284" s="29"/>
      <c r="EU284" s="29"/>
      <c r="EV284" s="29"/>
      <c r="EW284" s="29"/>
      <c r="EX284" s="29"/>
      <c r="EY284" s="29"/>
      <c r="EZ284" s="29"/>
      <c r="FA284" s="29"/>
      <c r="FB284" s="29"/>
      <c r="FC284" s="29"/>
      <c r="FD284" s="29"/>
      <c r="FE284" s="29"/>
      <c r="FF284" s="29"/>
      <c r="FG284" s="29"/>
      <c r="FH284" s="29"/>
      <c r="FI284" s="29"/>
      <c r="FJ284" s="29"/>
      <c r="FK284" s="29"/>
      <c r="FL284" s="29"/>
      <c r="FM284" s="29"/>
      <c r="FN284" s="29"/>
      <c r="FO284" s="29"/>
      <c r="FP284" s="29"/>
      <c r="FQ284" s="29"/>
      <c r="FR284" s="29"/>
      <c r="FS284" s="29"/>
      <c r="FT284" s="29"/>
      <c r="FU284" s="29"/>
      <c r="FV284" s="29"/>
      <c r="FW284" s="29"/>
      <c r="FX284" s="29"/>
      <c r="FY284" s="29"/>
      <c r="FZ284" s="29"/>
      <c r="GA284" s="29"/>
      <c r="GB284" s="29"/>
      <c r="GC284" s="29"/>
      <c r="GD284" s="29"/>
      <c r="GE284" s="29"/>
      <c r="GF284" s="29"/>
      <c r="GG284" s="29"/>
      <c r="GH284" s="29"/>
      <c r="GI284" s="29"/>
      <c r="GJ284" s="29"/>
      <c r="GK284" s="29"/>
      <c r="GL284" s="29"/>
      <c r="GM284" s="29"/>
      <c r="GN284" s="29"/>
      <c r="GO284" s="29"/>
      <c r="GP284" s="29"/>
      <c r="GQ284" s="29"/>
      <c r="GR284" s="29"/>
      <c r="GS284" s="29"/>
      <c r="GT284" s="29"/>
      <c r="GU284" s="29"/>
      <c r="GV284" s="29"/>
      <c r="GW284" s="29"/>
      <c r="GX284" s="29"/>
      <c r="GY284" s="29"/>
      <c r="GZ284" s="29"/>
      <c r="HA284" s="29"/>
      <c r="HB284" s="29"/>
      <c r="HC284" s="29"/>
      <c r="HD284" s="29"/>
      <c r="HE284" s="29"/>
      <c r="HF284" s="29"/>
      <c r="HG284" s="29"/>
      <c r="HH284" s="29"/>
      <c r="HI284" s="29"/>
      <c r="HJ284" s="29"/>
      <c r="HK284" s="29"/>
      <c r="HL284" s="29"/>
      <c r="HM284" s="29"/>
      <c r="HN284" s="29"/>
      <c r="HO284" s="29"/>
      <c r="HP284" s="29"/>
      <c r="HQ284" s="29"/>
      <c r="HR284" s="29"/>
      <c r="HS284" s="29"/>
      <c r="HT284" s="29"/>
      <c r="HU284" s="29"/>
      <c r="HV284" s="29"/>
      <c r="HW284" s="29"/>
      <c r="HX284" s="29"/>
      <c r="HY284" s="29"/>
      <c r="HZ284" s="29"/>
      <c r="IA284" s="29"/>
      <c r="IB284" s="29"/>
      <c r="IC284" s="29"/>
      <c r="ID284" s="29"/>
      <c r="IE284" s="29"/>
      <c r="IF284" s="29"/>
      <c r="IG284" s="29"/>
      <c r="IH284" s="29"/>
      <c r="II284" s="29"/>
      <c r="IJ284" s="29"/>
      <c r="IK284" s="29"/>
      <c r="IL284" s="29"/>
      <c r="IM284" s="29"/>
      <c r="IN284" s="29"/>
      <c r="IO284" s="29"/>
      <c r="IP284" s="29"/>
      <c r="IQ284" s="29"/>
      <c r="IR284" s="29"/>
      <c r="IS284" s="29"/>
      <c r="IT284" s="29"/>
      <c r="IU284" s="29"/>
      <c r="IV284" s="29"/>
      <c r="IW284" s="29"/>
      <c r="IX284" s="29"/>
      <c r="IY284" s="29"/>
      <c r="IZ284" s="29"/>
      <c r="JA284" s="29"/>
      <c r="JB284" s="29"/>
      <c r="JC284" s="29"/>
      <c r="JD284" s="29"/>
      <c r="JE284" s="29"/>
      <c r="JF284" s="29"/>
      <c r="JG284" s="29"/>
      <c r="JH284" s="29"/>
      <c r="JI284" s="29"/>
      <c r="JJ284" s="29"/>
      <c r="JK284" s="29"/>
      <c r="JL284" s="29"/>
    </row>
    <row r="285" spans="1:272" ht="34.5" customHeight="1">
      <c r="A285" s="30" t="s">
        <v>71</v>
      </c>
      <c r="B285" s="31" t="s">
        <v>48</v>
      </c>
      <c r="C285" s="30" t="s">
        <v>39</v>
      </c>
      <c r="D285" s="30" t="s">
        <v>810</v>
      </c>
      <c r="E285" s="30" t="s">
        <v>272</v>
      </c>
      <c r="F285" s="129" t="s">
        <v>822</v>
      </c>
      <c r="G285" s="30" t="s">
        <v>243</v>
      </c>
      <c r="H285" s="30">
        <v>325510</v>
      </c>
      <c r="I285" s="30" t="s">
        <v>45</v>
      </c>
      <c r="J285" s="30" t="s">
        <v>52</v>
      </c>
      <c r="K285" s="31" t="s">
        <v>91</v>
      </c>
      <c r="L285" s="30" t="s">
        <v>345</v>
      </c>
      <c r="M285" s="45">
        <v>605036</v>
      </c>
      <c r="N285" s="45">
        <v>6000000</v>
      </c>
      <c r="O285" s="30" t="s">
        <v>79</v>
      </c>
      <c r="P285" s="30" t="s">
        <v>302</v>
      </c>
      <c r="Q285" s="30" t="s">
        <v>294</v>
      </c>
      <c r="R285" s="30" t="s">
        <v>150</v>
      </c>
      <c r="S285" s="41">
        <v>2014</v>
      </c>
      <c r="T285" s="31" t="s">
        <v>808</v>
      </c>
      <c r="U285" s="180" t="s">
        <v>3437</v>
      </c>
      <c r="V285" s="30" t="s">
        <v>809</v>
      </c>
      <c r="W285" s="30" t="s">
        <v>70</v>
      </c>
      <c r="X285" s="44">
        <v>41610</v>
      </c>
      <c r="Y285" s="44">
        <v>41728</v>
      </c>
      <c r="Z285" s="44">
        <v>43553</v>
      </c>
      <c r="AA285" s="30"/>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c r="BO285" s="29"/>
      <c r="BP285" s="29"/>
      <c r="BQ285" s="29"/>
      <c r="BR285" s="29"/>
      <c r="BS285" s="29"/>
      <c r="BT285" s="29"/>
      <c r="BU285" s="29"/>
      <c r="BV285" s="29"/>
      <c r="BW285" s="29"/>
      <c r="BX285" s="29"/>
      <c r="BY285" s="29"/>
      <c r="BZ285" s="29"/>
      <c r="CA285" s="29"/>
      <c r="CB285" s="29"/>
      <c r="CC285" s="29"/>
      <c r="CD285" s="29"/>
      <c r="CE285" s="29"/>
      <c r="CF285" s="29"/>
      <c r="CG285" s="29"/>
      <c r="CH285" s="29"/>
      <c r="CI285" s="29"/>
      <c r="CJ285" s="29"/>
      <c r="CK285" s="29"/>
      <c r="CL285" s="29"/>
      <c r="CM285" s="29"/>
      <c r="CN285" s="29"/>
      <c r="CO285" s="29"/>
      <c r="CP285" s="29"/>
      <c r="CQ285" s="29"/>
      <c r="CR285" s="29"/>
      <c r="CS285" s="29"/>
      <c r="CT285" s="29"/>
      <c r="CU285" s="29"/>
      <c r="CV285" s="29"/>
      <c r="CW285" s="29"/>
      <c r="CX285" s="29"/>
      <c r="CY285" s="29"/>
      <c r="CZ285" s="29"/>
      <c r="DA285" s="29"/>
      <c r="DB285" s="29"/>
      <c r="DC285" s="29"/>
      <c r="DD285" s="29"/>
      <c r="DE285" s="29"/>
      <c r="DF285" s="29"/>
      <c r="DG285" s="29"/>
      <c r="DH285" s="29"/>
      <c r="DI285" s="29"/>
      <c r="DJ285" s="29"/>
      <c r="DK285" s="29"/>
      <c r="DL285" s="29"/>
      <c r="DM285" s="29"/>
      <c r="DN285" s="29"/>
      <c r="DO285" s="29"/>
      <c r="DP285" s="29"/>
      <c r="DQ285" s="29"/>
      <c r="DR285" s="29"/>
      <c r="DS285" s="29"/>
      <c r="DT285" s="29"/>
      <c r="DU285" s="29"/>
      <c r="DV285" s="29"/>
      <c r="DW285" s="29"/>
      <c r="DX285" s="29"/>
      <c r="DY285" s="29"/>
      <c r="DZ285" s="29"/>
      <c r="EA285" s="29"/>
      <c r="EB285" s="29"/>
      <c r="EC285" s="29"/>
      <c r="ED285" s="29"/>
      <c r="EE285" s="29"/>
      <c r="EF285" s="29"/>
      <c r="EG285" s="29"/>
      <c r="EH285" s="29"/>
      <c r="EI285" s="29"/>
      <c r="EJ285" s="29"/>
      <c r="EK285" s="29"/>
      <c r="EL285" s="29"/>
      <c r="EM285" s="29"/>
      <c r="EN285" s="29"/>
      <c r="EO285" s="29"/>
      <c r="EP285" s="29"/>
      <c r="EQ285" s="29"/>
      <c r="ER285" s="29"/>
      <c r="ES285" s="29"/>
      <c r="ET285" s="29"/>
      <c r="EU285" s="29"/>
      <c r="EV285" s="29"/>
      <c r="EW285" s="29"/>
      <c r="EX285" s="29"/>
      <c r="EY285" s="29"/>
      <c r="EZ285" s="29"/>
      <c r="FA285" s="29"/>
      <c r="FB285" s="29"/>
      <c r="FC285" s="29"/>
      <c r="FD285" s="29"/>
      <c r="FE285" s="29"/>
      <c r="FF285" s="29"/>
      <c r="FG285" s="29"/>
      <c r="FH285" s="29"/>
      <c r="FI285" s="29"/>
      <c r="FJ285" s="29"/>
      <c r="FK285" s="29"/>
      <c r="FL285" s="29"/>
      <c r="FM285" s="29"/>
      <c r="FN285" s="29"/>
      <c r="FO285" s="29"/>
      <c r="FP285" s="29"/>
      <c r="FQ285" s="29"/>
      <c r="FR285" s="29"/>
      <c r="FS285" s="29"/>
      <c r="FT285" s="29"/>
      <c r="FU285" s="29"/>
      <c r="FV285" s="29"/>
      <c r="FW285" s="29"/>
      <c r="FX285" s="29"/>
      <c r="FY285" s="29"/>
      <c r="FZ285" s="29"/>
      <c r="GA285" s="29"/>
      <c r="GB285" s="29"/>
      <c r="GC285" s="29"/>
      <c r="GD285" s="29"/>
      <c r="GE285" s="29"/>
      <c r="GF285" s="29"/>
      <c r="GG285" s="29"/>
      <c r="GH285" s="29"/>
      <c r="GI285" s="29"/>
      <c r="GJ285" s="29"/>
      <c r="GK285" s="29"/>
      <c r="GL285" s="29"/>
      <c r="GM285" s="29"/>
      <c r="GN285" s="29"/>
      <c r="GO285" s="29"/>
      <c r="GP285" s="29"/>
      <c r="GQ285" s="29"/>
      <c r="GR285" s="29"/>
      <c r="GS285" s="29"/>
      <c r="GT285" s="29"/>
      <c r="GU285" s="29"/>
      <c r="GV285" s="29"/>
      <c r="GW285" s="29"/>
      <c r="GX285" s="29"/>
      <c r="GY285" s="29"/>
      <c r="GZ285" s="29"/>
      <c r="HA285" s="29"/>
      <c r="HB285" s="29"/>
      <c r="HC285" s="29"/>
      <c r="HD285" s="29"/>
      <c r="HE285" s="29"/>
      <c r="HF285" s="29"/>
      <c r="HG285" s="29"/>
      <c r="HH285" s="29"/>
      <c r="HI285" s="29"/>
      <c r="HJ285" s="29"/>
      <c r="HK285" s="29"/>
      <c r="HL285" s="29"/>
      <c r="HM285" s="29"/>
      <c r="HN285" s="29"/>
      <c r="HO285" s="29"/>
      <c r="HP285" s="29"/>
      <c r="HQ285" s="29"/>
      <c r="HR285" s="29"/>
      <c r="HS285" s="29"/>
      <c r="HT285" s="29"/>
      <c r="HU285" s="29"/>
      <c r="HV285" s="29"/>
      <c r="HW285" s="29"/>
      <c r="HX285" s="29"/>
      <c r="HY285" s="29"/>
      <c r="HZ285" s="29"/>
      <c r="IA285" s="29"/>
      <c r="IB285" s="29"/>
      <c r="IC285" s="29"/>
      <c r="ID285" s="29"/>
      <c r="IE285" s="29"/>
      <c r="IF285" s="29"/>
      <c r="IG285" s="29"/>
      <c r="IH285" s="29"/>
      <c r="II285" s="29"/>
      <c r="IJ285" s="29"/>
      <c r="IK285" s="29"/>
      <c r="IL285" s="29"/>
      <c r="IM285" s="29"/>
      <c r="IN285" s="29"/>
      <c r="IO285" s="29"/>
      <c r="IP285" s="29"/>
      <c r="IQ285" s="29"/>
      <c r="IR285" s="29"/>
      <c r="IS285" s="29"/>
      <c r="IT285" s="29"/>
      <c r="IU285" s="29"/>
      <c r="IV285" s="29"/>
      <c r="IW285" s="29"/>
      <c r="IX285" s="29"/>
      <c r="IY285" s="29"/>
      <c r="IZ285" s="29"/>
      <c r="JA285" s="29"/>
      <c r="JB285" s="29"/>
      <c r="JC285" s="29"/>
      <c r="JD285" s="29"/>
      <c r="JE285" s="29"/>
      <c r="JF285" s="29"/>
      <c r="JG285" s="29"/>
      <c r="JH285" s="29"/>
      <c r="JI285" s="29"/>
      <c r="JJ285" s="29"/>
      <c r="JK285" s="29"/>
      <c r="JL285" s="29"/>
    </row>
    <row r="286" spans="1:272" ht="34.5" customHeight="1">
      <c r="A286" s="30" t="s">
        <v>71</v>
      </c>
      <c r="B286" s="31" t="s">
        <v>48</v>
      </c>
      <c r="C286" s="30" t="s">
        <v>39</v>
      </c>
      <c r="D286" s="30" t="s">
        <v>811</v>
      </c>
      <c r="E286" s="30" t="s">
        <v>272</v>
      </c>
      <c r="F286" s="129" t="s">
        <v>822</v>
      </c>
      <c r="G286" s="30" t="s">
        <v>243</v>
      </c>
      <c r="H286" s="30">
        <v>325510</v>
      </c>
      <c r="I286" s="30" t="s">
        <v>67</v>
      </c>
      <c r="J286" s="30" t="s">
        <v>52</v>
      </c>
      <c r="K286" s="31" t="s">
        <v>69</v>
      </c>
      <c r="L286" s="30" t="s">
        <v>812</v>
      </c>
      <c r="M286" s="45">
        <v>3472870</v>
      </c>
      <c r="N286" s="45">
        <v>6000000</v>
      </c>
      <c r="O286" s="30" t="s">
        <v>79</v>
      </c>
      <c r="P286" s="30" t="s">
        <v>302</v>
      </c>
      <c r="Q286" s="30" t="s">
        <v>294</v>
      </c>
      <c r="R286" s="30" t="s">
        <v>150</v>
      </c>
      <c r="S286" s="41">
        <v>2014</v>
      </c>
      <c r="T286" s="31" t="s">
        <v>793</v>
      </c>
      <c r="U286" s="180" t="s">
        <v>3434</v>
      </c>
      <c r="V286" s="30" t="s">
        <v>794</v>
      </c>
      <c r="W286" s="30" t="s">
        <v>70</v>
      </c>
      <c r="X286" s="44">
        <v>41589</v>
      </c>
      <c r="Y286" s="44">
        <v>41694</v>
      </c>
      <c r="Z286" s="44">
        <v>43519</v>
      </c>
      <c r="AA286" s="30"/>
      <c r="AE286" s="29"/>
      <c r="AF286" s="29"/>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c r="BC286" s="29"/>
      <c r="BD286" s="29"/>
      <c r="BE286" s="29"/>
      <c r="BF286" s="29"/>
      <c r="BG286" s="29"/>
      <c r="BH286" s="29"/>
      <c r="BI286" s="29"/>
      <c r="BJ286" s="29"/>
      <c r="BK286" s="29"/>
      <c r="BL286" s="29"/>
      <c r="BM286" s="29"/>
      <c r="BN286" s="29"/>
      <c r="BO286" s="29"/>
      <c r="BP286" s="29"/>
      <c r="BQ286" s="29"/>
      <c r="BR286" s="29"/>
      <c r="BS286" s="29"/>
      <c r="BT286" s="29"/>
      <c r="BU286" s="29"/>
      <c r="BV286" s="29"/>
      <c r="BW286" s="29"/>
      <c r="BX286" s="29"/>
      <c r="BY286" s="29"/>
      <c r="BZ286" s="29"/>
      <c r="CA286" s="29"/>
      <c r="CB286" s="29"/>
      <c r="CC286" s="29"/>
      <c r="CD286" s="29"/>
      <c r="CE286" s="29"/>
      <c r="CF286" s="29"/>
      <c r="CG286" s="29"/>
      <c r="CH286" s="29"/>
      <c r="CI286" s="29"/>
      <c r="CJ286" s="29"/>
      <c r="CK286" s="29"/>
      <c r="CL286" s="29"/>
      <c r="CM286" s="29"/>
      <c r="CN286" s="29"/>
      <c r="CO286" s="29"/>
      <c r="CP286" s="29"/>
      <c r="CQ286" s="29"/>
      <c r="CR286" s="29"/>
      <c r="CS286" s="29"/>
      <c r="CT286" s="29"/>
      <c r="CU286" s="29"/>
      <c r="CV286" s="29"/>
      <c r="CW286" s="29"/>
      <c r="CX286" s="29"/>
      <c r="CY286" s="29"/>
      <c r="CZ286" s="29"/>
      <c r="DA286" s="29"/>
      <c r="DB286" s="29"/>
      <c r="DC286" s="29"/>
      <c r="DD286" s="29"/>
      <c r="DE286" s="29"/>
      <c r="DF286" s="29"/>
      <c r="DG286" s="29"/>
      <c r="DH286" s="29"/>
      <c r="DI286" s="29"/>
      <c r="DJ286" s="29"/>
      <c r="DK286" s="29"/>
      <c r="DL286" s="29"/>
      <c r="DM286" s="29"/>
      <c r="DN286" s="29"/>
      <c r="DO286" s="29"/>
      <c r="DP286" s="29"/>
      <c r="DQ286" s="29"/>
      <c r="DR286" s="29"/>
      <c r="DS286" s="29"/>
      <c r="DT286" s="29"/>
      <c r="DU286" s="29"/>
      <c r="DV286" s="29"/>
      <c r="DW286" s="29"/>
      <c r="DX286" s="29"/>
      <c r="DY286" s="29"/>
      <c r="DZ286" s="29"/>
      <c r="EA286" s="29"/>
      <c r="EB286" s="29"/>
      <c r="EC286" s="29"/>
      <c r="ED286" s="29"/>
      <c r="EE286" s="29"/>
      <c r="EF286" s="29"/>
      <c r="EG286" s="29"/>
      <c r="EH286" s="29"/>
      <c r="EI286" s="29"/>
      <c r="EJ286" s="29"/>
      <c r="EK286" s="29"/>
      <c r="EL286" s="29"/>
      <c r="EM286" s="29"/>
      <c r="EN286" s="29"/>
      <c r="EO286" s="29"/>
      <c r="EP286" s="29"/>
      <c r="EQ286" s="29"/>
      <c r="ER286" s="29"/>
      <c r="ES286" s="29"/>
      <c r="ET286" s="29"/>
      <c r="EU286" s="29"/>
      <c r="EV286" s="29"/>
      <c r="EW286" s="29"/>
      <c r="EX286" s="29"/>
      <c r="EY286" s="29"/>
      <c r="EZ286" s="29"/>
      <c r="FA286" s="29"/>
      <c r="FB286" s="29"/>
      <c r="FC286" s="29"/>
      <c r="FD286" s="29"/>
      <c r="FE286" s="29"/>
      <c r="FF286" s="29"/>
      <c r="FG286" s="29"/>
      <c r="FH286" s="29"/>
      <c r="FI286" s="29"/>
      <c r="FJ286" s="29"/>
      <c r="FK286" s="29"/>
      <c r="FL286" s="29"/>
      <c r="FM286" s="29"/>
      <c r="FN286" s="29"/>
      <c r="FO286" s="29"/>
      <c r="FP286" s="29"/>
      <c r="FQ286" s="29"/>
      <c r="FR286" s="29"/>
      <c r="FS286" s="29"/>
      <c r="FT286" s="29"/>
      <c r="FU286" s="29"/>
      <c r="FV286" s="29"/>
      <c r="FW286" s="29"/>
      <c r="FX286" s="29"/>
      <c r="FY286" s="29"/>
      <c r="FZ286" s="29"/>
      <c r="GA286" s="29"/>
      <c r="GB286" s="29"/>
      <c r="GC286" s="29"/>
      <c r="GD286" s="29"/>
      <c r="GE286" s="29"/>
      <c r="GF286" s="29"/>
      <c r="GG286" s="29"/>
      <c r="GH286" s="29"/>
      <c r="GI286" s="29"/>
      <c r="GJ286" s="29"/>
      <c r="GK286" s="29"/>
      <c r="GL286" s="29"/>
      <c r="GM286" s="29"/>
      <c r="GN286" s="29"/>
      <c r="GO286" s="29"/>
      <c r="GP286" s="29"/>
      <c r="GQ286" s="29"/>
      <c r="GR286" s="29"/>
      <c r="GS286" s="29"/>
      <c r="GT286" s="29"/>
      <c r="GU286" s="29"/>
      <c r="GV286" s="29"/>
      <c r="GW286" s="29"/>
      <c r="GX286" s="29"/>
      <c r="GY286" s="29"/>
      <c r="GZ286" s="29"/>
      <c r="HA286" s="29"/>
      <c r="HB286" s="29"/>
      <c r="HC286" s="29"/>
      <c r="HD286" s="29"/>
      <c r="HE286" s="29"/>
      <c r="HF286" s="29"/>
      <c r="HG286" s="29"/>
      <c r="HH286" s="29"/>
      <c r="HI286" s="29"/>
      <c r="HJ286" s="29"/>
      <c r="HK286" s="29"/>
      <c r="HL286" s="29"/>
      <c r="HM286" s="29"/>
      <c r="HN286" s="29"/>
      <c r="HO286" s="29"/>
      <c r="HP286" s="29"/>
      <c r="HQ286" s="29"/>
      <c r="HR286" s="29"/>
      <c r="HS286" s="29"/>
      <c r="HT286" s="29"/>
      <c r="HU286" s="29"/>
      <c r="HV286" s="29"/>
      <c r="HW286" s="29"/>
      <c r="HX286" s="29"/>
      <c r="HY286" s="29"/>
      <c r="HZ286" s="29"/>
      <c r="IA286" s="29"/>
      <c r="IB286" s="29"/>
      <c r="IC286" s="29"/>
      <c r="ID286" s="29"/>
      <c r="IE286" s="29"/>
      <c r="IF286" s="29"/>
      <c r="IG286" s="29"/>
      <c r="IH286" s="29"/>
      <c r="II286" s="29"/>
      <c r="IJ286" s="29"/>
      <c r="IK286" s="29"/>
      <c r="IL286" s="29"/>
      <c r="IM286" s="29"/>
      <c r="IN286" s="29"/>
      <c r="IO286" s="29"/>
      <c r="IP286" s="29"/>
      <c r="IQ286" s="29"/>
      <c r="IR286" s="29"/>
      <c r="IS286" s="29"/>
      <c r="IT286" s="29"/>
      <c r="IU286" s="29"/>
      <c r="IV286" s="29"/>
      <c r="IW286" s="29"/>
      <c r="IX286" s="29"/>
      <c r="IY286" s="29"/>
      <c r="IZ286" s="29"/>
      <c r="JA286" s="29"/>
      <c r="JB286" s="29"/>
      <c r="JC286" s="29"/>
      <c r="JD286" s="29"/>
      <c r="JE286" s="29"/>
      <c r="JF286" s="29"/>
      <c r="JG286" s="29"/>
      <c r="JH286" s="29"/>
      <c r="JI286" s="29"/>
      <c r="JJ286" s="29"/>
      <c r="JK286" s="29"/>
      <c r="JL286" s="29"/>
    </row>
    <row r="287" spans="1:272" ht="34.5" customHeight="1">
      <c r="A287" s="30" t="s">
        <v>71</v>
      </c>
      <c r="B287" s="31" t="s">
        <v>48</v>
      </c>
      <c r="C287" s="30" t="s">
        <v>39</v>
      </c>
      <c r="D287" s="30" t="s">
        <v>813</v>
      </c>
      <c r="E287" s="30" t="s">
        <v>272</v>
      </c>
      <c r="F287" s="129" t="s">
        <v>822</v>
      </c>
      <c r="G287" s="30" t="s">
        <v>243</v>
      </c>
      <c r="H287" s="30">
        <v>325510</v>
      </c>
      <c r="I287" s="30" t="s">
        <v>45</v>
      </c>
      <c r="J287" s="30" t="s">
        <v>52</v>
      </c>
      <c r="K287" s="31" t="s">
        <v>91</v>
      </c>
      <c r="L287" s="30" t="s">
        <v>345</v>
      </c>
      <c r="M287" s="45">
        <v>4932412</v>
      </c>
      <c r="N287" s="45">
        <v>6000000</v>
      </c>
      <c r="O287" s="30" t="s">
        <v>79</v>
      </c>
      <c r="P287" s="30" t="s">
        <v>302</v>
      </c>
      <c r="Q287" s="30" t="s">
        <v>294</v>
      </c>
      <c r="R287" s="30" t="s">
        <v>45</v>
      </c>
      <c r="S287" s="41">
        <v>2014</v>
      </c>
      <c r="T287" s="31" t="s">
        <v>808</v>
      </c>
      <c r="U287" s="180" t="s">
        <v>3437</v>
      </c>
      <c r="V287" s="30" t="s">
        <v>809</v>
      </c>
      <c r="W287" s="30" t="s">
        <v>70</v>
      </c>
      <c r="X287" s="44">
        <v>41589</v>
      </c>
      <c r="Y287" s="44">
        <v>41694</v>
      </c>
      <c r="Z287" s="44">
        <v>43519</v>
      </c>
      <c r="AA287" s="30"/>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c r="BI287" s="29"/>
      <c r="BJ287" s="29"/>
      <c r="BK287" s="29"/>
      <c r="BL287" s="29"/>
      <c r="BM287" s="29"/>
      <c r="BN287" s="29"/>
      <c r="BO287" s="29"/>
      <c r="BP287" s="29"/>
      <c r="BQ287" s="29"/>
      <c r="BR287" s="29"/>
      <c r="BS287" s="29"/>
      <c r="BT287" s="29"/>
      <c r="BU287" s="29"/>
      <c r="BV287" s="29"/>
      <c r="BW287" s="29"/>
      <c r="BX287" s="29"/>
      <c r="BY287" s="29"/>
      <c r="BZ287" s="29"/>
      <c r="CA287" s="29"/>
      <c r="CB287" s="29"/>
      <c r="CC287" s="29"/>
      <c r="CD287" s="29"/>
      <c r="CE287" s="29"/>
      <c r="CF287" s="29"/>
      <c r="CG287" s="29"/>
      <c r="CH287" s="29"/>
      <c r="CI287" s="29"/>
      <c r="CJ287" s="29"/>
      <c r="CK287" s="29"/>
      <c r="CL287" s="29"/>
      <c r="CM287" s="29"/>
      <c r="CN287" s="29"/>
      <c r="CO287" s="29"/>
      <c r="CP287" s="29"/>
      <c r="CQ287" s="29"/>
      <c r="CR287" s="29"/>
      <c r="CS287" s="29"/>
      <c r="CT287" s="29"/>
      <c r="CU287" s="29"/>
      <c r="CV287" s="29"/>
      <c r="CW287" s="29"/>
      <c r="CX287" s="29"/>
      <c r="CY287" s="29"/>
      <c r="CZ287" s="29"/>
      <c r="DA287" s="29"/>
      <c r="DB287" s="29"/>
      <c r="DC287" s="29"/>
      <c r="DD287" s="29"/>
      <c r="DE287" s="29"/>
      <c r="DF287" s="29"/>
      <c r="DG287" s="29"/>
      <c r="DH287" s="29"/>
      <c r="DI287" s="29"/>
      <c r="DJ287" s="29"/>
      <c r="DK287" s="29"/>
      <c r="DL287" s="29"/>
      <c r="DM287" s="29"/>
      <c r="DN287" s="29"/>
      <c r="DO287" s="29"/>
      <c r="DP287" s="29"/>
      <c r="DQ287" s="29"/>
      <c r="DR287" s="29"/>
      <c r="DS287" s="29"/>
      <c r="DT287" s="29"/>
      <c r="DU287" s="29"/>
      <c r="DV287" s="29"/>
      <c r="DW287" s="29"/>
      <c r="DX287" s="29"/>
      <c r="DY287" s="29"/>
      <c r="DZ287" s="29"/>
      <c r="EA287" s="29"/>
      <c r="EB287" s="29"/>
      <c r="EC287" s="29"/>
      <c r="ED287" s="29"/>
      <c r="EE287" s="29"/>
      <c r="EF287" s="29"/>
      <c r="EG287" s="29"/>
      <c r="EH287" s="29"/>
      <c r="EI287" s="29"/>
      <c r="EJ287" s="29"/>
      <c r="EK287" s="29"/>
      <c r="EL287" s="29"/>
      <c r="EM287" s="29"/>
      <c r="EN287" s="29"/>
      <c r="EO287" s="29"/>
      <c r="EP287" s="29"/>
      <c r="EQ287" s="29"/>
      <c r="ER287" s="29"/>
      <c r="ES287" s="29"/>
      <c r="ET287" s="29"/>
      <c r="EU287" s="29"/>
      <c r="EV287" s="29"/>
      <c r="EW287" s="29"/>
      <c r="EX287" s="29"/>
      <c r="EY287" s="29"/>
      <c r="EZ287" s="29"/>
      <c r="FA287" s="29"/>
      <c r="FB287" s="29"/>
      <c r="FC287" s="29"/>
      <c r="FD287" s="29"/>
      <c r="FE287" s="29"/>
      <c r="FF287" s="29"/>
      <c r="FG287" s="29"/>
      <c r="FH287" s="29"/>
      <c r="FI287" s="29"/>
      <c r="FJ287" s="29"/>
      <c r="FK287" s="29"/>
      <c r="FL287" s="29"/>
      <c r="FM287" s="29"/>
      <c r="FN287" s="29"/>
      <c r="FO287" s="29"/>
      <c r="FP287" s="29"/>
      <c r="FQ287" s="29"/>
      <c r="FR287" s="29"/>
      <c r="FS287" s="29"/>
      <c r="FT287" s="29"/>
      <c r="FU287" s="29"/>
      <c r="FV287" s="29"/>
      <c r="FW287" s="29"/>
      <c r="FX287" s="29"/>
      <c r="FY287" s="29"/>
      <c r="FZ287" s="29"/>
      <c r="GA287" s="29"/>
      <c r="GB287" s="29"/>
      <c r="GC287" s="29"/>
      <c r="GD287" s="29"/>
      <c r="GE287" s="29"/>
      <c r="GF287" s="29"/>
      <c r="GG287" s="29"/>
      <c r="GH287" s="29"/>
      <c r="GI287" s="29"/>
      <c r="GJ287" s="29"/>
      <c r="GK287" s="29"/>
      <c r="GL287" s="29"/>
      <c r="GM287" s="29"/>
      <c r="GN287" s="29"/>
      <c r="GO287" s="29"/>
      <c r="GP287" s="29"/>
      <c r="GQ287" s="29"/>
      <c r="GR287" s="29"/>
      <c r="GS287" s="29"/>
      <c r="GT287" s="29"/>
      <c r="GU287" s="29"/>
      <c r="GV287" s="29"/>
      <c r="GW287" s="29"/>
      <c r="GX287" s="29"/>
      <c r="GY287" s="29"/>
      <c r="GZ287" s="29"/>
      <c r="HA287" s="29"/>
      <c r="HB287" s="29"/>
      <c r="HC287" s="29"/>
      <c r="HD287" s="29"/>
      <c r="HE287" s="29"/>
      <c r="HF287" s="29"/>
      <c r="HG287" s="29"/>
      <c r="HH287" s="29"/>
      <c r="HI287" s="29"/>
      <c r="HJ287" s="29"/>
      <c r="HK287" s="29"/>
      <c r="HL287" s="29"/>
      <c r="HM287" s="29"/>
      <c r="HN287" s="29"/>
      <c r="HO287" s="29"/>
      <c r="HP287" s="29"/>
      <c r="HQ287" s="29"/>
      <c r="HR287" s="29"/>
      <c r="HS287" s="29"/>
      <c r="HT287" s="29"/>
      <c r="HU287" s="29"/>
      <c r="HV287" s="29"/>
      <c r="HW287" s="29"/>
      <c r="HX287" s="29"/>
      <c r="HY287" s="29"/>
      <c r="HZ287" s="29"/>
      <c r="IA287" s="29"/>
      <c r="IB287" s="29"/>
      <c r="IC287" s="29"/>
      <c r="ID287" s="29"/>
      <c r="IE287" s="29"/>
      <c r="IF287" s="29"/>
      <c r="IG287" s="29"/>
      <c r="IH287" s="29"/>
      <c r="II287" s="29"/>
      <c r="IJ287" s="29"/>
      <c r="IK287" s="29"/>
      <c r="IL287" s="29"/>
      <c r="IM287" s="29"/>
      <c r="IN287" s="29"/>
      <c r="IO287" s="29"/>
      <c r="IP287" s="29"/>
      <c r="IQ287" s="29"/>
      <c r="IR287" s="29"/>
      <c r="IS287" s="29"/>
      <c r="IT287" s="29"/>
      <c r="IU287" s="29"/>
      <c r="IV287" s="29"/>
      <c r="IW287" s="29"/>
      <c r="IX287" s="29"/>
      <c r="IY287" s="29"/>
      <c r="IZ287" s="29"/>
      <c r="JA287" s="29"/>
      <c r="JB287" s="29"/>
      <c r="JC287" s="29"/>
      <c r="JD287" s="29"/>
      <c r="JE287" s="29"/>
      <c r="JF287" s="29"/>
      <c r="JG287" s="29"/>
      <c r="JH287" s="29"/>
      <c r="JI287" s="29"/>
      <c r="JJ287" s="29"/>
      <c r="JK287" s="29"/>
      <c r="JL287" s="29"/>
    </row>
    <row r="288" spans="1:272" ht="34.5" customHeight="1">
      <c r="A288" s="30" t="s">
        <v>71</v>
      </c>
      <c r="B288" s="31" t="s">
        <v>48</v>
      </c>
      <c r="C288" s="30" t="s">
        <v>39</v>
      </c>
      <c r="D288" s="30" t="s">
        <v>814</v>
      </c>
      <c r="E288" s="30" t="s">
        <v>272</v>
      </c>
      <c r="F288" s="129" t="s">
        <v>822</v>
      </c>
      <c r="G288" s="30" t="s">
        <v>243</v>
      </c>
      <c r="H288" s="30">
        <v>325510</v>
      </c>
      <c r="I288" s="30" t="s">
        <v>45</v>
      </c>
      <c r="J288" s="30" t="s">
        <v>52</v>
      </c>
      <c r="K288" s="31" t="s">
        <v>91</v>
      </c>
      <c r="L288" s="30" t="s">
        <v>345</v>
      </c>
      <c r="M288" s="45">
        <v>5274527</v>
      </c>
      <c r="N288" s="45">
        <v>6000000</v>
      </c>
      <c r="O288" s="30" t="s">
        <v>79</v>
      </c>
      <c r="P288" s="30" t="s">
        <v>302</v>
      </c>
      <c r="Q288" s="30" t="s">
        <v>294</v>
      </c>
      <c r="R288" s="30" t="s">
        <v>150</v>
      </c>
      <c r="S288" s="41">
        <v>2014</v>
      </c>
      <c r="T288" s="31" t="s">
        <v>808</v>
      </c>
      <c r="U288" s="180" t="s">
        <v>3437</v>
      </c>
      <c r="V288" s="30" t="s">
        <v>809</v>
      </c>
      <c r="W288" s="30" t="s">
        <v>70</v>
      </c>
      <c r="X288" s="44">
        <v>41610</v>
      </c>
      <c r="Y288" s="44">
        <v>41729</v>
      </c>
      <c r="Z288" s="44">
        <v>43554</v>
      </c>
      <c r="AA288" s="30"/>
      <c r="AE288" s="29"/>
      <c r="AF288" s="29"/>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c r="BC288" s="29"/>
      <c r="BD288" s="29"/>
      <c r="BE288" s="29"/>
      <c r="BF288" s="29"/>
      <c r="BG288" s="29"/>
      <c r="BH288" s="29"/>
      <c r="BI288" s="29"/>
      <c r="BJ288" s="29"/>
      <c r="BK288" s="29"/>
      <c r="BL288" s="29"/>
      <c r="BM288" s="29"/>
      <c r="BN288" s="29"/>
      <c r="BO288" s="29"/>
      <c r="BP288" s="29"/>
      <c r="BQ288" s="29"/>
      <c r="BR288" s="29"/>
      <c r="BS288" s="29"/>
      <c r="BT288" s="29"/>
      <c r="BU288" s="29"/>
      <c r="BV288" s="29"/>
      <c r="BW288" s="29"/>
      <c r="BX288" s="29"/>
      <c r="BY288" s="29"/>
      <c r="BZ288" s="29"/>
      <c r="CA288" s="29"/>
      <c r="CB288" s="29"/>
      <c r="CC288" s="29"/>
      <c r="CD288" s="29"/>
      <c r="CE288" s="29"/>
      <c r="CF288" s="29"/>
      <c r="CG288" s="29"/>
      <c r="CH288" s="29"/>
      <c r="CI288" s="29"/>
      <c r="CJ288" s="29"/>
      <c r="CK288" s="29"/>
      <c r="CL288" s="29"/>
      <c r="CM288" s="29"/>
      <c r="CN288" s="29"/>
      <c r="CO288" s="29"/>
      <c r="CP288" s="29"/>
      <c r="CQ288" s="29"/>
      <c r="CR288" s="29"/>
      <c r="CS288" s="29"/>
      <c r="CT288" s="29"/>
      <c r="CU288" s="29"/>
      <c r="CV288" s="29"/>
      <c r="CW288" s="29"/>
      <c r="CX288" s="29"/>
      <c r="CY288" s="29"/>
      <c r="CZ288" s="29"/>
      <c r="DA288" s="29"/>
      <c r="DB288" s="29"/>
      <c r="DC288" s="29"/>
      <c r="DD288" s="29"/>
      <c r="DE288" s="29"/>
      <c r="DF288" s="29"/>
      <c r="DG288" s="29"/>
      <c r="DH288" s="29"/>
      <c r="DI288" s="29"/>
      <c r="DJ288" s="29"/>
      <c r="DK288" s="29"/>
      <c r="DL288" s="29"/>
      <c r="DM288" s="29"/>
      <c r="DN288" s="29"/>
      <c r="DO288" s="29"/>
      <c r="DP288" s="29"/>
      <c r="DQ288" s="29"/>
      <c r="DR288" s="29"/>
      <c r="DS288" s="29"/>
      <c r="DT288" s="29"/>
      <c r="DU288" s="29"/>
      <c r="DV288" s="29"/>
      <c r="DW288" s="29"/>
      <c r="DX288" s="29"/>
      <c r="DY288" s="29"/>
      <c r="DZ288" s="29"/>
      <c r="EA288" s="29"/>
      <c r="EB288" s="29"/>
      <c r="EC288" s="29"/>
      <c r="ED288" s="29"/>
      <c r="EE288" s="29"/>
      <c r="EF288" s="29"/>
      <c r="EG288" s="29"/>
      <c r="EH288" s="29"/>
      <c r="EI288" s="29"/>
      <c r="EJ288" s="29"/>
      <c r="EK288" s="29"/>
      <c r="EL288" s="29"/>
      <c r="EM288" s="29"/>
      <c r="EN288" s="29"/>
      <c r="EO288" s="29"/>
      <c r="EP288" s="29"/>
      <c r="EQ288" s="29"/>
      <c r="ER288" s="29"/>
      <c r="ES288" s="29"/>
      <c r="ET288" s="29"/>
      <c r="EU288" s="29"/>
      <c r="EV288" s="29"/>
      <c r="EW288" s="29"/>
      <c r="EX288" s="29"/>
      <c r="EY288" s="29"/>
      <c r="EZ288" s="29"/>
      <c r="FA288" s="29"/>
      <c r="FB288" s="29"/>
      <c r="FC288" s="29"/>
      <c r="FD288" s="29"/>
      <c r="FE288" s="29"/>
      <c r="FF288" s="29"/>
      <c r="FG288" s="29"/>
      <c r="FH288" s="29"/>
      <c r="FI288" s="29"/>
      <c r="FJ288" s="29"/>
      <c r="FK288" s="29"/>
      <c r="FL288" s="29"/>
      <c r="FM288" s="29"/>
      <c r="FN288" s="29"/>
      <c r="FO288" s="29"/>
      <c r="FP288" s="29"/>
      <c r="FQ288" s="29"/>
      <c r="FR288" s="29"/>
      <c r="FS288" s="29"/>
      <c r="FT288" s="29"/>
      <c r="FU288" s="29"/>
      <c r="FV288" s="29"/>
      <c r="FW288" s="29"/>
      <c r="FX288" s="29"/>
      <c r="FY288" s="29"/>
      <c r="FZ288" s="29"/>
      <c r="GA288" s="29"/>
      <c r="GB288" s="29"/>
      <c r="GC288" s="29"/>
      <c r="GD288" s="29"/>
      <c r="GE288" s="29"/>
      <c r="GF288" s="29"/>
      <c r="GG288" s="29"/>
      <c r="GH288" s="29"/>
      <c r="GI288" s="29"/>
      <c r="GJ288" s="29"/>
      <c r="GK288" s="29"/>
      <c r="GL288" s="29"/>
      <c r="GM288" s="29"/>
      <c r="GN288" s="29"/>
      <c r="GO288" s="29"/>
      <c r="GP288" s="29"/>
      <c r="GQ288" s="29"/>
      <c r="GR288" s="29"/>
      <c r="GS288" s="29"/>
      <c r="GT288" s="29"/>
      <c r="GU288" s="29"/>
      <c r="GV288" s="29"/>
      <c r="GW288" s="29"/>
      <c r="GX288" s="29"/>
      <c r="GY288" s="29"/>
      <c r="GZ288" s="29"/>
      <c r="HA288" s="29"/>
      <c r="HB288" s="29"/>
      <c r="HC288" s="29"/>
      <c r="HD288" s="29"/>
      <c r="HE288" s="29"/>
      <c r="HF288" s="29"/>
      <c r="HG288" s="29"/>
      <c r="HH288" s="29"/>
      <c r="HI288" s="29"/>
      <c r="HJ288" s="29"/>
      <c r="HK288" s="29"/>
      <c r="HL288" s="29"/>
      <c r="HM288" s="29"/>
      <c r="HN288" s="29"/>
      <c r="HO288" s="29"/>
      <c r="HP288" s="29"/>
      <c r="HQ288" s="29"/>
      <c r="HR288" s="29"/>
      <c r="HS288" s="29"/>
      <c r="HT288" s="29"/>
      <c r="HU288" s="29"/>
      <c r="HV288" s="29"/>
      <c r="HW288" s="29"/>
      <c r="HX288" s="29"/>
      <c r="HY288" s="29"/>
      <c r="HZ288" s="29"/>
      <c r="IA288" s="29"/>
      <c r="IB288" s="29"/>
      <c r="IC288" s="29"/>
      <c r="ID288" s="29"/>
      <c r="IE288" s="29"/>
      <c r="IF288" s="29"/>
      <c r="IG288" s="29"/>
      <c r="IH288" s="29"/>
      <c r="II288" s="29"/>
      <c r="IJ288" s="29"/>
      <c r="IK288" s="29"/>
      <c r="IL288" s="29"/>
      <c r="IM288" s="29"/>
      <c r="IN288" s="29"/>
      <c r="IO288" s="29"/>
      <c r="IP288" s="29"/>
      <c r="IQ288" s="29"/>
      <c r="IR288" s="29"/>
      <c r="IS288" s="29"/>
      <c r="IT288" s="29"/>
      <c r="IU288" s="29"/>
      <c r="IV288" s="29"/>
      <c r="IW288" s="29"/>
      <c r="IX288" s="29"/>
      <c r="IY288" s="29"/>
      <c r="IZ288" s="29"/>
      <c r="JA288" s="29"/>
      <c r="JB288" s="29"/>
      <c r="JC288" s="29"/>
      <c r="JD288" s="29"/>
      <c r="JE288" s="29"/>
      <c r="JF288" s="29"/>
      <c r="JG288" s="29"/>
      <c r="JH288" s="29"/>
      <c r="JI288" s="29"/>
      <c r="JJ288" s="29"/>
      <c r="JK288" s="29"/>
      <c r="JL288" s="29"/>
    </row>
    <row r="289" spans="1:27" s="29" customFormat="1" ht="34.5" customHeight="1">
      <c r="A289" s="30" t="s">
        <v>71</v>
      </c>
      <c r="B289" s="31" t="s">
        <v>48</v>
      </c>
      <c r="C289" s="30" t="s">
        <v>39</v>
      </c>
      <c r="D289" s="30" t="s">
        <v>815</v>
      </c>
      <c r="E289" s="30" t="s">
        <v>272</v>
      </c>
      <c r="F289" s="129" t="s">
        <v>822</v>
      </c>
      <c r="G289" s="30" t="s">
        <v>243</v>
      </c>
      <c r="H289" s="30">
        <v>325510</v>
      </c>
      <c r="I289" s="30" t="s">
        <v>98</v>
      </c>
      <c r="J289" s="30" t="s">
        <v>52</v>
      </c>
      <c r="K289" s="31" t="s">
        <v>91</v>
      </c>
      <c r="L289" s="30" t="s">
        <v>345</v>
      </c>
      <c r="M289" s="45">
        <v>1693688</v>
      </c>
      <c r="N289" s="45">
        <v>6000000</v>
      </c>
      <c r="O289" s="30" t="s">
        <v>79</v>
      </c>
      <c r="P289" s="30" t="s">
        <v>302</v>
      </c>
      <c r="Q289" s="30" t="s">
        <v>294</v>
      </c>
      <c r="R289" s="30" t="s">
        <v>45</v>
      </c>
      <c r="S289" s="41">
        <v>2014</v>
      </c>
      <c r="T289" s="31" t="s">
        <v>793</v>
      </c>
      <c r="U289" s="180" t="s">
        <v>3434</v>
      </c>
      <c r="V289" s="30" t="s">
        <v>794</v>
      </c>
      <c r="W289" s="30" t="s">
        <v>70</v>
      </c>
      <c r="X289" s="30" t="s">
        <v>345</v>
      </c>
      <c r="Y289" s="30" t="s">
        <v>345</v>
      </c>
      <c r="Z289" s="30" t="s">
        <v>345</v>
      </c>
      <c r="AA289" s="30"/>
    </row>
    <row r="290" spans="1:27" s="29" customFormat="1" ht="34.5" customHeight="1">
      <c r="A290" s="30" t="s">
        <v>71</v>
      </c>
      <c r="B290" s="31" t="s">
        <v>48</v>
      </c>
      <c r="C290" s="30" t="s">
        <v>39</v>
      </c>
      <c r="D290" s="30" t="s">
        <v>816</v>
      </c>
      <c r="E290" s="30" t="s">
        <v>272</v>
      </c>
      <c r="F290" s="129" t="s">
        <v>822</v>
      </c>
      <c r="G290" s="30" t="s">
        <v>243</v>
      </c>
      <c r="H290" s="30">
        <v>325520</v>
      </c>
      <c r="I290" s="30" t="s">
        <v>45</v>
      </c>
      <c r="J290" s="30" t="s">
        <v>52</v>
      </c>
      <c r="K290" s="31" t="s">
        <v>91</v>
      </c>
      <c r="L290" s="30" t="s">
        <v>345</v>
      </c>
      <c r="M290" s="45">
        <v>856189</v>
      </c>
      <c r="N290" s="45">
        <v>6000000</v>
      </c>
      <c r="O290" s="30" t="s">
        <v>79</v>
      </c>
      <c r="P290" s="30" t="s">
        <v>302</v>
      </c>
      <c r="Q290" s="30" t="s">
        <v>294</v>
      </c>
      <c r="R290" s="30" t="s">
        <v>45</v>
      </c>
      <c r="S290" s="41">
        <v>2014</v>
      </c>
      <c r="T290" s="31" t="s">
        <v>817</v>
      </c>
      <c r="U290" s="180" t="s">
        <v>3438</v>
      </c>
      <c r="V290" s="30" t="s">
        <v>818</v>
      </c>
      <c r="W290" s="30" t="s">
        <v>70</v>
      </c>
      <c r="X290" s="30" t="s">
        <v>345</v>
      </c>
      <c r="Y290" s="30" t="s">
        <v>345</v>
      </c>
      <c r="Z290" s="30" t="s">
        <v>345</v>
      </c>
      <c r="AA290" s="30"/>
    </row>
    <row r="291" spans="1:27" s="29" customFormat="1" ht="34.5" customHeight="1">
      <c r="A291" s="30" t="s">
        <v>71</v>
      </c>
      <c r="B291" s="31" t="s">
        <v>48</v>
      </c>
      <c r="C291" s="30" t="s">
        <v>29</v>
      </c>
      <c r="D291" s="30" t="s">
        <v>819</v>
      </c>
      <c r="E291" s="30" t="s">
        <v>272</v>
      </c>
      <c r="F291" s="129" t="s">
        <v>822</v>
      </c>
      <c r="G291" s="30" t="s">
        <v>243</v>
      </c>
      <c r="H291" s="30">
        <v>339994</v>
      </c>
      <c r="I291" s="30" t="s">
        <v>98</v>
      </c>
      <c r="J291" s="30" t="s">
        <v>52</v>
      </c>
      <c r="K291" s="31" t="s">
        <v>91</v>
      </c>
      <c r="L291" s="30" t="s">
        <v>345</v>
      </c>
      <c r="M291" s="45">
        <v>665463</v>
      </c>
      <c r="N291" s="45">
        <v>6000000</v>
      </c>
      <c r="O291" s="30" t="s">
        <v>79</v>
      </c>
      <c r="P291" s="30" t="s">
        <v>302</v>
      </c>
      <c r="Q291" s="30" t="s">
        <v>294</v>
      </c>
      <c r="R291" s="30" t="s">
        <v>45</v>
      </c>
      <c r="S291" s="41">
        <v>2014</v>
      </c>
      <c r="T291" s="31" t="s">
        <v>817</v>
      </c>
      <c r="U291" s="180" t="s">
        <v>3438</v>
      </c>
      <c r="V291" s="30" t="s">
        <v>818</v>
      </c>
      <c r="W291" s="30" t="s">
        <v>70</v>
      </c>
      <c r="X291" s="30" t="s">
        <v>345</v>
      </c>
      <c r="Y291" s="30" t="s">
        <v>345</v>
      </c>
      <c r="Z291" s="30" t="s">
        <v>345</v>
      </c>
      <c r="AA291" s="30"/>
    </row>
    <row r="292" spans="1:27" s="29" customFormat="1" ht="34.5" customHeight="1">
      <c r="A292" s="30" t="s">
        <v>71</v>
      </c>
      <c r="B292" s="31" t="s">
        <v>48</v>
      </c>
      <c r="C292" s="30" t="s">
        <v>39</v>
      </c>
      <c r="D292" s="30" t="s">
        <v>820</v>
      </c>
      <c r="E292" s="30" t="s">
        <v>272</v>
      </c>
      <c r="F292" s="129" t="s">
        <v>822</v>
      </c>
      <c r="G292" s="30" t="s">
        <v>243</v>
      </c>
      <c r="H292" s="30">
        <v>339994</v>
      </c>
      <c r="I292" s="30" t="s">
        <v>45</v>
      </c>
      <c r="J292" s="30" t="s">
        <v>52</v>
      </c>
      <c r="K292" s="31" t="s">
        <v>91</v>
      </c>
      <c r="L292" s="30" t="s">
        <v>345</v>
      </c>
      <c r="M292" s="39">
        <v>503337</v>
      </c>
      <c r="N292" s="45">
        <v>6000000</v>
      </c>
      <c r="O292" s="30" t="s">
        <v>79</v>
      </c>
      <c r="P292" s="30" t="s">
        <v>302</v>
      </c>
      <c r="Q292" s="30" t="s">
        <v>294</v>
      </c>
      <c r="R292" s="30" t="s">
        <v>45</v>
      </c>
      <c r="S292" s="41">
        <v>2014</v>
      </c>
      <c r="T292" s="31" t="s">
        <v>817</v>
      </c>
      <c r="U292" s="180" t="s">
        <v>3438</v>
      </c>
      <c r="V292" s="30" t="s">
        <v>818</v>
      </c>
      <c r="W292" s="30" t="s">
        <v>70</v>
      </c>
      <c r="X292" s="30" t="s">
        <v>345</v>
      </c>
      <c r="Y292" s="30" t="s">
        <v>345</v>
      </c>
      <c r="Z292" s="30" t="s">
        <v>345</v>
      </c>
      <c r="AA292" s="30"/>
    </row>
    <row r="293" spans="1:27" s="29" customFormat="1" ht="38.25" customHeight="1">
      <c r="A293" s="30" t="s">
        <v>71</v>
      </c>
      <c r="B293" s="31" t="s">
        <v>48</v>
      </c>
      <c r="C293" s="30" t="s">
        <v>29</v>
      </c>
      <c r="D293" s="30" t="s">
        <v>821</v>
      </c>
      <c r="E293" s="30" t="s">
        <v>244</v>
      </c>
      <c r="F293" s="30" t="s">
        <v>822</v>
      </c>
      <c r="G293" s="30" t="s">
        <v>243</v>
      </c>
      <c r="H293" s="30">
        <v>332216</v>
      </c>
      <c r="I293" s="30" t="s">
        <v>98</v>
      </c>
      <c r="J293" s="30" t="s">
        <v>52</v>
      </c>
      <c r="K293" s="31" t="s">
        <v>69</v>
      </c>
      <c r="L293" s="30" t="s">
        <v>823</v>
      </c>
      <c r="M293" s="39">
        <v>1500000</v>
      </c>
      <c r="N293" s="39">
        <v>2000000</v>
      </c>
      <c r="O293" s="30" t="s">
        <v>79</v>
      </c>
      <c r="P293" s="129" t="s">
        <v>822</v>
      </c>
      <c r="Q293" s="129" t="s">
        <v>3417</v>
      </c>
      <c r="R293" s="155" t="s">
        <v>80</v>
      </c>
      <c r="S293" s="41">
        <v>2014</v>
      </c>
      <c r="T293" s="31" t="s">
        <v>824</v>
      </c>
      <c r="U293" s="31" t="s">
        <v>825</v>
      </c>
      <c r="V293" s="30" t="s">
        <v>826</v>
      </c>
      <c r="W293" s="30" t="s">
        <v>70</v>
      </c>
      <c r="X293" s="44">
        <v>41593</v>
      </c>
      <c r="Y293" s="44">
        <v>41671</v>
      </c>
      <c r="Z293" s="44">
        <v>43496</v>
      </c>
      <c r="AA293" s="30"/>
    </row>
    <row r="294" spans="1:27" s="29" customFormat="1" ht="38.25" customHeight="1">
      <c r="A294" s="30" t="s">
        <v>71</v>
      </c>
      <c r="B294" s="31" t="s">
        <v>48</v>
      </c>
      <c r="C294" s="30" t="s">
        <v>95</v>
      </c>
      <c r="D294" s="30" t="s">
        <v>827</v>
      </c>
      <c r="E294" s="30" t="s">
        <v>244</v>
      </c>
      <c r="F294" s="30" t="s">
        <v>822</v>
      </c>
      <c r="G294" s="30" t="s">
        <v>243</v>
      </c>
      <c r="H294" s="30">
        <v>332216</v>
      </c>
      <c r="I294" s="30" t="s">
        <v>67</v>
      </c>
      <c r="J294" s="30" t="s">
        <v>52</v>
      </c>
      <c r="K294" s="30" t="s">
        <v>61</v>
      </c>
      <c r="L294" s="30" t="s">
        <v>828</v>
      </c>
      <c r="M294" s="39">
        <v>2000000</v>
      </c>
      <c r="N294" s="39">
        <v>2500000</v>
      </c>
      <c r="O294" s="30" t="s">
        <v>79</v>
      </c>
      <c r="P294" s="129" t="s">
        <v>822</v>
      </c>
      <c r="Q294" s="129" t="s">
        <v>3417</v>
      </c>
      <c r="R294" s="30" t="s">
        <v>150</v>
      </c>
      <c r="S294" s="41">
        <v>2014</v>
      </c>
      <c r="T294" s="31" t="s">
        <v>829</v>
      </c>
      <c r="U294" s="31" t="s">
        <v>830</v>
      </c>
      <c r="V294" s="30" t="s">
        <v>831</v>
      </c>
      <c r="W294" s="30" t="s">
        <v>70</v>
      </c>
      <c r="X294" s="44">
        <v>41548</v>
      </c>
      <c r="Y294" s="44">
        <v>41642</v>
      </c>
      <c r="Z294" s="44">
        <v>43467</v>
      </c>
      <c r="AA294" s="30" t="s">
        <v>832</v>
      </c>
    </row>
    <row r="295" spans="1:27" s="29" customFormat="1" ht="38.25" customHeight="1">
      <c r="A295" s="30" t="s">
        <v>71</v>
      </c>
      <c r="B295" s="31" t="s">
        <v>48</v>
      </c>
      <c r="C295" s="30" t="s">
        <v>29</v>
      </c>
      <c r="D295" s="30" t="s">
        <v>833</v>
      </c>
      <c r="E295" s="30" t="s">
        <v>244</v>
      </c>
      <c r="F295" s="30" t="s">
        <v>822</v>
      </c>
      <c r="G295" s="30" t="s">
        <v>243</v>
      </c>
      <c r="H295" s="30">
        <v>332216</v>
      </c>
      <c r="I295" s="30" t="s">
        <v>67</v>
      </c>
      <c r="J295" s="30" t="s">
        <v>52</v>
      </c>
      <c r="K295" s="30" t="s">
        <v>61</v>
      </c>
      <c r="L295" s="129" t="s">
        <v>3408</v>
      </c>
      <c r="M295" s="39">
        <v>150000</v>
      </c>
      <c r="N295" s="39">
        <v>200000</v>
      </c>
      <c r="O295" s="30" t="s">
        <v>79</v>
      </c>
      <c r="P295" s="129" t="s">
        <v>822</v>
      </c>
      <c r="Q295" s="129" t="s">
        <v>3417</v>
      </c>
      <c r="R295" s="155" t="s">
        <v>80</v>
      </c>
      <c r="S295" s="41">
        <v>2014</v>
      </c>
      <c r="T295" s="31" t="s">
        <v>834</v>
      </c>
      <c r="U295" s="31" t="s">
        <v>835</v>
      </c>
      <c r="V295" s="30" t="s">
        <v>836</v>
      </c>
      <c r="W295" s="30" t="s">
        <v>70</v>
      </c>
      <c r="X295" s="44">
        <v>41593</v>
      </c>
      <c r="Y295" s="44">
        <v>41654</v>
      </c>
      <c r="Z295" s="44">
        <v>43479</v>
      </c>
      <c r="AA295" s="30"/>
    </row>
    <row r="296" spans="1:27" s="29" customFormat="1" ht="38.25" customHeight="1">
      <c r="A296" s="30" t="s">
        <v>71</v>
      </c>
      <c r="B296" s="31" t="s">
        <v>48</v>
      </c>
      <c r="C296" s="30" t="s">
        <v>39</v>
      </c>
      <c r="D296" s="30" t="s">
        <v>837</v>
      </c>
      <c r="E296" s="30" t="s">
        <v>246</v>
      </c>
      <c r="F296" s="30" t="s">
        <v>822</v>
      </c>
      <c r="G296" s="30" t="s">
        <v>243</v>
      </c>
      <c r="H296" s="30">
        <v>332216</v>
      </c>
      <c r="I296" s="30" t="s">
        <v>45</v>
      </c>
      <c r="J296" s="30" t="s">
        <v>52</v>
      </c>
      <c r="K296" s="30" t="s">
        <v>45</v>
      </c>
      <c r="L296" s="129" t="s">
        <v>3409</v>
      </c>
      <c r="M296" s="39">
        <v>1500000</v>
      </c>
      <c r="N296" s="39">
        <v>20000000</v>
      </c>
      <c r="O296" s="30" t="s">
        <v>79</v>
      </c>
      <c r="P296" s="129" t="s">
        <v>822</v>
      </c>
      <c r="Q296" s="129" t="s">
        <v>3417</v>
      </c>
      <c r="R296" s="155" t="s">
        <v>80</v>
      </c>
      <c r="S296" s="41">
        <v>2014</v>
      </c>
      <c r="T296" s="31" t="s">
        <v>838</v>
      </c>
      <c r="U296" s="31" t="s">
        <v>839</v>
      </c>
      <c r="V296" s="30" t="s">
        <v>840</v>
      </c>
      <c r="W296" s="30" t="s">
        <v>70</v>
      </c>
      <c r="X296" s="44">
        <v>41671</v>
      </c>
      <c r="Y296" s="44">
        <v>41730</v>
      </c>
      <c r="Z296" s="44">
        <v>43555</v>
      </c>
      <c r="AA296" s="30"/>
    </row>
    <row r="297" spans="1:27" s="29" customFormat="1" ht="38.25" customHeight="1">
      <c r="A297" s="30" t="s">
        <v>71</v>
      </c>
      <c r="B297" s="31" t="s">
        <v>48</v>
      </c>
      <c r="C297" s="30" t="s">
        <v>39</v>
      </c>
      <c r="D297" s="30" t="s">
        <v>841</v>
      </c>
      <c r="E297" s="30" t="s">
        <v>244</v>
      </c>
      <c r="F297" s="30" t="s">
        <v>822</v>
      </c>
      <c r="G297" s="30" t="s">
        <v>243</v>
      </c>
      <c r="H297" s="30">
        <v>332216</v>
      </c>
      <c r="I297" s="30" t="s">
        <v>45</v>
      </c>
      <c r="J297" s="30" t="s">
        <v>52</v>
      </c>
      <c r="K297" s="30" t="s">
        <v>61</v>
      </c>
      <c r="L297" s="129" t="s">
        <v>3409</v>
      </c>
      <c r="M297" s="39">
        <v>500000</v>
      </c>
      <c r="N297" s="39">
        <v>750000</v>
      </c>
      <c r="O297" s="30" t="s">
        <v>79</v>
      </c>
      <c r="P297" s="129" t="s">
        <v>822</v>
      </c>
      <c r="Q297" s="129" t="s">
        <v>3417</v>
      </c>
      <c r="R297" s="155" t="s">
        <v>80</v>
      </c>
      <c r="S297" s="41">
        <v>2014</v>
      </c>
      <c r="T297" s="31" t="s">
        <v>829</v>
      </c>
      <c r="U297" s="31" t="s">
        <v>830</v>
      </c>
      <c r="V297" s="30" t="s">
        <v>831</v>
      </c>
      <c r="W297" s="30" t="s">
        <v>70</v>
      </c>
      <c r="X297" s="44">
        <v>41365</v>
      </c>
      <c r="Y297" s="44">
        <v>41791</v>
      </c>
      <c r="Z297" s="44">
        <v>43616</v>
      </c>
      <c r="AA297" s="30"/>
    </row>
    <row r="298" spans="1:27" s="29" customFormat="1" ht="38.25" customHeight="1">
      <c r="A298" s="30" t="s">
        <v>71</v>
      </c>
      <c r="B298" s="31" t="s">
        <v>48</v>
      </c>
      <c r="C298" s="30" t="s">
        <v>39</v>
      </c>
      <c r="D298" s="30" t="s">
        <v>842</v>
      </c>
      <c r="E298" s="30" t="s">
        <v>244</v>
      </c>
      <c r="F298" s="30" t="s">
        <v>822</v>
      </c>
      <c r="G298" s="30" t="s">
        <v>243</v>
      </c>
      <c r="H298" s="30">
        <v>332216</v>
      </c>
      <c r="I298" s="30" t="s">
        <v>45</v>
      </c>
      <c r="J298" s="30" t="s">
        <v>43</v>
      </c>
      <c r="K298" s="30" t="s">
        <v>61</v>
      </c>
      <c r="L298" s="129" t="s">
        <v>3409</v>
      </c>
      <c r="M298" s="39">
        <v>750000</v>
      </c>
      <c r="N298" s="39">
        <v>1000000</v>
      </c>
      <c r="O298" s="30" t="s">
        <v>79</v>
      </c>
      <c r="P298" s="129" t="s">
        <v>822</v>
      </c>
      <c r="Q298" s="129" t="s">
        <v>3417</v>
      </c>
      <c r="R298" s="155" t="s">
        <v>80</v>
      </c>
      <c r="S298" s="41">
        <v>2014</v>
      </c>
      <c r="T298" s="31" t="s">
        <v>829</v>
      </c>
      <c r="U298" s="31" t="s">
        <v>830</v>
      </c>
      <c r="V298" s="30" t="s">
        <v>831</v>
      </c>
      <c r="W298" s="30" t="s">
        <v>70</v>
      </c>
      <c r="X298" s="44">
        <v>41623</v>
      </c>
      <c r="Y298" s="44">
        <v>41654</v>
      </c>
      <c r="Z298" s="44">
        <v>43479</v>
      </c>
      <c r="AA298" s="30"/>
    </row>
    <row r="299" spans="1:27" s="29" customFormat="1" ht="38.25" customHeight="1">
      <c r="A299" s="30" t="s">
        <v>71</v>
      </c>
      <c r="B299" s="31" t="s">
        <v>48</v>
      </c>
      <c r="C299" s="30" t="s">
        <v>39</v>
      </c>
      <c r="D299" s="30" t="s">
        <v>843</v>
      </c>
      <c r="E299" s="30" t="s">
        <v>244</v>
      </c>
      <c r="F299" s="30" t="s">
        <v>822</v>
      </c>
      <c r="G299" s="30" t="s">
        <v>243</v>
      </c>
      <c r="H299" s="30">
        <v>332216</v>
      </c>
      <c r="I299" s="30" t="s">
        <v>45</v>
      </c>
      <c r="J299" s="30" t="s">
        <v>52</v>
      </c>
      <c r="K299" s="31" t="s">
        <v>91</v>
      </c>
      <c r="L299" s="129" t="s">
        <v>3409</v>
      </c>
      <c r="M299" s="39">
        <v>2000000</v>
      </c>
      <c r="N299" s="39">
        <v>2500000</v>
      </c>
      <c r="O299" s="30" t="s">
        <v>79</v>
      </c>
      <c r="P299" s="129" t="s">
        <v>822</v>
      </c>
      <c r="Q299" s="129" t="s">
        <v>3417</v>
      </c>
      <c r="R299" s="155" t="s">
        <v>80</v>
      </c>
      <c r="S299" s="41">
        <v>2014</v>
      </c>
      <c r="T299" s="31" t="s">
        <v>844</v>
      </c>
      <c r="U299" s="31" t="s">
        <v>845</v>
      </c>
      <c r="V299" s="30" t="s">
        <v>846</v>
      </c>
      <c r="W299" s="30" t="s">
        <v>70</v>
      </c>
      <c r="X299" s="44">
        <v>41609</v>
      </c>
      <c r="Y299" s="44">
        <v>41671</v>
      </c>
      <c r="Z299" s="44">
        <v>43496</v>
      </c>
      <c r="AA299" s="30"/>
    </row>
    <row r="300" spans="1:27" s="29" customFormat="1" ht="38.25" customHeight="1">
      <c r="A300" s="30" t="s">
        <v>71</v>
      </c>
      <c r="B300" s="31" t="s">
        <v>48</v>
      </c>
      <c r="C300" s="30" t="s">
        <v>39</v>
      </c>
      <c r="D300" s="30" t="s">
        <v>847</v>
      </c>
      <c r="E300" s="30" t="s">
        <v>244</v>
      </c>
      <c r="F300" s="30" t="s">
        <v>822</v>
      </c>
      <c r="G300" s="30" t="s">
        <v>243</v>
      </c>
      <c r="H300" s="30">
        <v>332216</v>
      </c>
      <c r="I300" s="30" t="s">
        <v>45</v>
      </c>
      <c r="J300" s="30" t="s">
        <v>52</v>
      </c>
      <c r="K300" s="31" t="s">
        <v>91</v>
      </c>
      <c r="L300" s="129" t="s">
        <v>3408</v>
      </c>
      <c r="M300" s="39">
        <v>500000</v>
      </c>
      <c r="N300" s="39">
        <v>750000</v>
      </c>
      <c r="O300" s="30" t="s">
        <v>79</v>
      </c>
      <c r="P300" s="129" t="s">
        <v>822</v>
      </c>
      <c r="Q300" s="129" t="s">
        <v>3417</v>
      </c>
      <c r="R300" s="155" t="s">
        <v>80</v>
      </c>
      <c r="S300" s="41">
        <v>2014</v>
      </c>
      <c r="T300" s="31" t="s">
        <v>848</v>
      </c>
      <c r="U300" s="31" t="s">
        <v>849</v>
      </c>
      <c r="V300" s="30" t="s">
        <v>850</v>
      </c>
      <c r="W300" s="30" t="s">
        <v>70</v>
      </c>
      <c r="X300" s="44">
        <v>41654</v>
      </c>
      <c r="Y300" s="44">
        <v>41713</v>
      </c>
      <c r="Z300" s="44">
        <v>43538</v>
      </c>
      <c r="AA300" s="30"/>
    </row>
    <row r="301" spans="1:27" s="29" customFormat="1" ht="38.25" customHeight="1">
      <c r="A301" s="30" t="s">
        <v>71</v>
      </c>
      <c r="B301" s="31" t="s">
        <v>48</v>
      </c>
      <c r="C301" s="30" t="s">
        <v>39</v>
      </c>
      <c r="D301" s="30" t="s">
        <v>851</v>
      </c>
      <c r="E301" s="30" t="s">
        <v>244</v>
      </c>
      <c r="F301" s="30" t="s">
        <v>822</v>
      </c>
      <c r="G301" s="30" t="s">
        <v>243</v>
      </c>
      <c r="H301" s="30">
        <v>332216</v>
      </c>
      <c r="I301" s="30" t="s">
        <v>45</v>
      </c>
      <c r="J301" s="30" t="s">
        <v>52</v>
      </c>
      <c r="K301" s="31" t="s">
        <v>91</v>
      </c>
      <c r="L301" s="129" t="s">
        <v>3409</v>
      </c>
      <c r="M301" s="39">
        <v>8000000</v>
      </c>
      <c r="N301" s="39">
        <v>10000000</v>
      </c>
      <c r="O301" s="30" t="s">
        <v>79</v>
      </c>
      <c r="P301" s="129" t="s">
        <v>822</v>
      </c>
      <c r="Q301" s="30" t="s">
        <v>852</v>
      </c>
      <c r="R301" s="155" t="s">
        <v>80</v>
      </c>
      <c r="S301" s="41">
        <v>2014</v>
      </c>
      <c r="T301" s="31" t="s">
        <v>834</v>
      </c>
      <c r="U301" s="31" t="s">
        <v>835</v>
      </c>
      <c r="V301" s="30" t="s">
        <v>836</v>
      </c>
      <c r="W301" s="30" t="s">
        <v>70</v>
      </c>
      <c r="X301" s="44">
        <v>41699</v>
      </c>
      <c r="Y301" s="44">
        <v>42156</v>
      </c>
      <c r="Z301" s="44">
        <v>43617</v>
      </c>
      <c r="AA301" s="30" t="s">
        <v>853</v>
      </c>
    </row>
    <row r="302" spans="1:27" s="29" customFormat="1" ht="38.25" customHeight="1">
      <c r="A302" s="30" t="s">
        <v>71</v>
      </c>
      <c r="B302" s="31" t="s">
        <v>48</v>
      </c>
      <c r="C302" s="30" t="s">
        <v>39</v>
      </c>
      <c r="D302" s="30" t="s">
        <v>854</v>
      </c>
      <c r="E302" s="30" t="s">
        <v>244</v>
      </c>
      <c r="F302" s="30" t="s">
        <v>822</v>
      </c>
      <c r="G302" s="30" t="s">
        <v>243</v>
      </c>
      <c r="H302" s="30">
        <v>332216</v>
      </c>
      <c r="I302" s="30" t="s">
        <v>45</v>
      </c>
      <c r="J302" s="30" t="s">
        <v>52</v>
      </c>
      <c r="K302" s="31" t="s">
        <v>91</v>
      </c>
      <c r="L302" s="129" t="s">
        <v>3409</v>
      </c>
      <c r="M302" s="39">
        <v>9000000</v>
      </c>
      <c r="N302" s="39">
        <v>11000000</v>
      </c>
      <c r="O302" s="30" t="s">
        <v>79</v>
      </c>
      <c r="P302" s="129" t="s">
        <v>822</v>
      </c>
      <c r="Q302" s="30" t="s">
        <v>852</v>
      </c>
      <c r="R302" s="30" t="s">
        <v>35</v>
      </c>
      <c r="S302" s="41">
        <v>2014</v>
      </c>
      <c r="T302" s="31" t="s">
        <v>848</v>
      </c>
      <c r="U302" s="31" t="s">
        <v>849</v>
      </c>
      <c r="V302" s="30" t="s">
        <v>850</v>
      </c>
      <c r="W302" s="30" t="s">
        <v>70</v>
      </c>
      <c r="X302" s="44">
        <v>41487</v>
      </c>
      <c r="Y302" s="44">
        <v>42005</v>
      </c>
      <c r="Z302" s="44">
        <v>44196</v>
      </c>
      <c r="AA302" s="30" t="s">
        <v>855</v>
      </c>
    </row>
    <row r="303" spans="1:27" s="29" customFormat="1" ht="38.25" customHeight="1">
      <c r="A303" s="30" t="s">
        <v>142</v>
      </c>
      <c r="B303" s="31" t="s">
        <v>48</v>
      </c>
      <c r="C303" s="30" t="s">
        <v>144</v>
      </c>
      <c r="D303" s="30" t="s">
        <v>856</v>
      </c>
      <c r="E303" s="30" t="s">
        <v>88</v>
      </c>
      <c r="F303" s="30" t="s">
        <v>857</v>
      </c>
      <c r="G303" s="30" t="s">
        <v>187</v>
      </c>
      <c r="H303" s="30">
        <v>561621</v>
      </c>
      <c r="I303" s="30" t="s">
        <v>67</v>
      </c>
      <c r="J303" s="30" t="s">
        <v>129</v>
      </c>
      <c r="K303" s="30" t="s">
        <v>44</v>
      </c>
      <c r="L303" s="30" t="s">
        <v>858</v>
      </c>
      <c r="M303" s="39">
        <v>83900</v>
      </c>
      <c r="N303" s="39">
        <v>85000</v>
      </c>
      <c r="O303" s="30" t="s">
        <v>79</v>
      </c>
      <c r="P303" s="30" t="s">
        <v>859</v>
      </c>
      <c r="Q303" s="129" t="s">
        <v>867</v>
      </c>
      <c r="R303" s="30" t="s">
        <v>100</v>
      </c>
      <c r="S303" s="41">
        <v>2014</v>
      </c>
      <c r="T303" s="31" t="s">
        <v>1461</v>
      </c>
      <c r="U303" s="31" t="s">
        <v>861</v>
      </c>
      <c r="V303" s="30" t="s">
        <v>862</v>
      </c>
      <c r="W303" s="30" t="s">
        <v>70</v>
      </c>
      <c r="X303" s="129" t="s">
        <v>302</v>
      </c>
      <c r="Y303" s="44">
        <v>41730</v>
      </c>
      <c r="Z303" s="44">
        <v>43982</v>
      </c>
      <c r="AA303" s="30"/>
    </row>
    <row r="304" spans="1:27" s="29" customFormat="1" ht="34.5" customHeight="1">
      <c r="A304" s="30" t="s">
        <v>142</v>
      </c>
      <c r="B304" s="31" t="s">
        <v>48</v>
      </c>
      <c r="C304" s="30" t="s">
        <v>144</v>
      </c>
      <c r="D304" s="30" t="s">
        <v>856</v>
      </c>
      <c r="E304" s="30" t="s">
        <v>88</v>
      </c>
      <c r="F304" s="30" t="s">
        <v>791</v>
      </c>
      <c r="G304" s="30" t="s">
        <v>183</v>
      </c>
      <c r="H304" s="30">
        <v>561621</v>
      </c>
      <c r="I304" s="30" t="s">
        <v>67</v>
      </c>
      <c r="J304" s="30" t="s">
        <v>129</v>
      </c>
      <c r="K304" s="30" t="s">
        <v>44</v>
      </c>
      <c r="L304" s="30" t="s">
        <v>858</v>
      </c>
      <c r="M304" s="39">
        <v>400000</v>
      </c>
      <c r="N304" s="39">
        <v>410000</v>
      </c>
      <c r="O304" s="30" t="s">
        <v>79</v>
      </c>
      <c r="P304" s="30" t="s">
        <v>859</v>
      </c>
      <c r="Q304" s="129" t="s">
        <v>867</v>
      </c>
      <c r="R304" s="30" t="s">
        <v>35</v>
      </c>
      <c r="S304" s="41">
        <v>2014</v>
      </c>
      <c r="T304" s="31" t="s">
        <v>1461</v>
      </c>
      <c r="U304" s="31" t="s">
        <v>861</v>
      </c>
      <c r="V304" s="30" t="s">
        <v>862</v>
      </c>
      <c r="W304" s="30" t="s">
        <v>70</v>
      </c>
      <c r="X304" s="129" t="s">
        <v>302</v>
      </c>
      <c r="Y304" s="44">
        <v>41852</v>
      </c>
      <c r="Z304" s="44">
        <v>44439</v>
      </c>
      <c r="AA304" s="30"/>
    </row>
    <row r="305" spans="1:27" s="29" customFormat="1" ht="34.5" customHeight="1">
      <c r="A305" s="30" t="s">
        <v>142</v>
      </c>
      <c r="B305" s="31" t="s">
        <v>56</v>
      </c>
      <c r="C305" s="30" t="s">
        <v>39</v>
      </c>
      <c r="D305" s="30" t="s">
        <v>356</v>
      </c>
      <c r="E305" s="30" t="s">
        <v>139</v>
      </c>
      <c r="F305" s="30" t="s">
        <v>864</v>
      </c>
      <c r="G305" s="30" t="s">
        <v>162</v>
      </c>
      <c r="H305" s="30">
        <v>561720</v>
      </c>
      <c r="I305" s="30" t="s">
        <v>67</v>
      </c>
      <c r="J305" s="30" t="s">
        <v>129</v>
      </c>
      <c r="K305" s="30" t="s">
        <v>148</v>
      </c>
      <c r="L305" s="30" t="s">
        <v>865</v>
      </c>
      <c r="M305" s="39"/>
      <c r="N305" s="39"/>
      <c r="O305" s="30" t="s">
        <v>79</v>
      </c>
      <c r="P305" s="30" t="s">
        <v>866</v>
      </c>
      <c r="Q305" s="30" t="s">
        <v>867</v>
      </c>
      <c r="R305" s="30" t="s">
        <v>100</v>
      </c>
      <c r="S305" s="41">
        <v>2014</v>
      </c>
      <c r="T305" s="31" t="s">
        <v>868</v>
      </c>
      <c r="U305" s="31" t="s">
        <v>869</v>
      </c>
      <c r="V305" s="30" t="s">
        <v>870</v>
      </c>
      <c r="W305" s="30" t="s">
        <v>92</v>
      </c>
      <c r="X305" s="44">
        <v>41821</v>
      </c>
      <c r="Y305" s="44">
        <v>42216</v>
      </c>
      <c r="Z305" s="30"/>
      <c r="AA305" s="30" t="s">
        <v>871</v>
      </c>
    </row>
    <row r="306" spans="1:27" s="29" customFormat="1" ht="34.5" customHeight="1">
      <c r="A306" s="31" t="s">
        <v>142</v>
      </c>
      <c r="B306" s="41" t="s">
        <v>56</v>
      </c>
      <c r="C306" s="30" t="s">
        <v>39</v>
      </c>
      <c r="D306" s="30" t="s">
        <v>356</v>
      </c>
      <c r="E306" s="30" t="s">
        <v>139</v>
      </c>
      <c r="F306" s="129" t="s">
        <v>3368</v>
      </c>
      <c r="G306" s="30" t="s">
        <v>225</v>
      </c>
      <c r="H306" s="30">
        <v>561720</v>
      </c>
      <c r="I306" s="30" t="s">
        <v>67</v>
      </c>
      <c r="J306" s="30" t="s">
        <v>129</v>
      </c>
      <c r="K306" s="30" t="s">
        <v>148</v>
      </c>
      <c r="L306" s="30" t="s">
        <v>865</v>
      </c>
      <c r="M306" s="39"/>
      <c r="N306" s="39"/>
      <c r="O306" s="30" t="s">
        <v>79</v>
      </c>
      <c r="P306" s="30" t="s">
        <v>872</v>
      </c>
      <c r="Q306" s="30" t="s">
        <v>867</v>
      </c>
      <c r="R306" s="30" t="s">
        <v>100</v>
      </c>
      <c r="S306" s="41">
        <v>2014</v>
      </c>
      <c r="T306" s="31" t="s">
        <v>873</v>
      </c>
      <c r="U306" s="31" t="s">
        <v>874</v>
      </c>
      <c r="V306" s="30" t="s">
        <v>875</v>
      </c>
      <c r="W306" s="30" t="s">
        <v>92</v>
      </c>
      <c r="X306" s="44">
        <v>41821</v>
      </c>
      <c r="Y306" s="44">
        <v>42216</v>
      </c>
      <c r="Z306" s="30"/>
      <c r="AA306" s="30" t="s">
        <v>876</v>
      </c>
    </row>
    <row r="307" spans="1:27" s="29" customFormat="1" ht="34.5" customHeight="1">
      <c r="A307" s="31" t="s">
        <v>142</v>
      </c>
      <c r="B307" s="31" t="s">
        <v>56</v>
      </c>
      <c r="C307" s="30" t="s">
        <v>39</v>
      </c>
      <c r="D307" s="30" t="s">
        <v>356</v>
      </c>
      <c r="E307" s="30" t="s">
        <v>139</v>
      </c>
      <c r="F307" s="30" t="s">
        <v>877</v>
      </c>
      <c r="G307" s="30" t="s">
        <v>162</v>
      </c>
      <c r="H307" s="30">
        <v>561720</v>
      </c>
      <c r="I307" s="30" t="s">
        <v>67</v>
      </c>
      <c r="J307" s="30" t="s">
        <v>129</v>
      </c>
      <c r="K307" s="30" t="s">
        <v>148</v>
      </c>
      <c r="L307" s="30" t="s">
        <v>865</v>
      </c>
      <c r="M307" s="39">
        <v>60000</v>
      </c>
      <c r="N307" s="39">
        <v>300000</v>
      </c>
      <c r="O307" s="30" t="s">
        <v>79</v>
      </c>
      <c r="P307" s="30" t="s">
        <v>878</v>
      </c>
      <c r="Q307" s="30" t="s">
        <v>867</v>
      </c>
      <c r="R307" s="30" t="s">
        <v>35</v>
      </c>
      <c r="S307" s="41">
        <v>2014</v>
      </c>
      <c r="T307" s="31" t="s">
        <v>868</v>
      </c>
      <c r="U307" s="31" t="s">
        <v>869</v>
      </c>
      <c r="V307" s="30" t="s">
        <v>870</v>
      </c>
      <c r="W307" s="30" t="s">
        <v>92</v>
      </c>
      <c r="X307" s="44">
        <v>41852</v>
      </c>
      <c r="Y307" s="44">
        <v>42247</v>
      </c>
      <c r="Z307" s="30"/>
      <c r="AA307" s="30" t="s">
        <v>879</v>
      </c>
    </row>
    <row r="308" spans="1:27" s="29" customFormat="1" ht="34.5" customHeight="1">
      <c r="A308" s="30" t="s">
        <v>142</v>
      </c>
      <c r="B308" s="31" t="s">
        <v>56</v>
      </c>
      <c r="C308" s="30" t="s">
        <v>39</v>
      </c>
      <c r="D308" s="30" t="s">
        <v>356</v>
      </c>
      <c r="E308" s="30" t="s">
        <v>139</v>
      </c>
      <c r="F308" s="30" t="s">
        <v>880</v>
      </c>
      <c r="G308" s="30" t="s">
        <v>225</v>
      </c>
      <c r="H308" s="30">
        <v>561720</v>
      </c>
      <c r="I308" s="30" t="s">
        <v>67</v>
      </c>
      <c r="J308" s="30" t="s">
        <v>129</v>
      </c>
      <c r="K308" s="30" t="s">
        <v>148</v>
      </c>
      <c r="L308" s="30" t="s">
        <v>865</v>
      </c>
      <c r="M308" s="39">
        <v>25500</v>
      </c>
      <c r="N308" s="39">
        <v>133000</v>
      </c>
      <c r="O308" s="30" t="s">
        <v>79</v>
      </c>
      <c r="P308" s="30" t="s">
        <v>881</v>
      </c>
      <c r="Q308" s="30" t="s">
        <v>867</v>
      </c>
      <c r="R308" s="30" t="s">
        <v>100</v>
      </c>
      <c r="S308" s="41">
        <v>2014</v>
      </c>
      <c r="T308" s="31" t="s">
        <v>868</v>
      </c>
      <c r="U308" s="31" t="s">
        <v>869</v>
      </c>
      <c r="V308" s="30" t="s">
        <v>870</v>
      </c>
      <c r="W308" s="30" t="s">
        <v>92</v>
      </c>
      <c r="X308" s="44">
        <v>41852</v>
      </c>
      <c r="Y308" s="44">
        <v>42247</v>
      </c>
      <c r="Z308" s="30"/>
      <c r="AA308" s="30" t="s">
        <v>882</v>
      </c>
    </row>
    <row r="309" spans="1:27" s="29" customFormat="1" ht="34.5" customHeight="1">
      <c r="A309" s="30" t="s">
        <v>142</v>
      </c>
      <c r="B309" s="31" t="s">
        <v>56</v>
      </c>
      <c r="C309" s="30" t="s">
        <v>39</v>
      </c>
      <c r="D309" s="30" t="s">
        <v>356</v>
      </c>
      <c r="E309" s="30" t="s">
        <v>139</v>
      </c>
      <c r="F309" s="30" t="s">
        <v>883</v>
      </c>
      <c r="G309" s="30" t="s">
        <v>225</v>
      </c>
      <c r="H309" s="30">
        <v>561720</v>
      </c>
      <c r="I309" s="129" t="s">
        <v>546</v>
      </c>
      <c r="J309" s="30" t="s">
        <v>129</v>
      </c>
      <c r="K309" s="31" t="s">
        <v>69</v>
      </c>
      <c r="L309" s="30"/>
      <c r="M309" s="39"/>
      <c r="N309" s="39"/>
      <c r="O309" s="30" t="s">
        <v>79</v>
      </c>
      <c r="P309" s="30" t="s">
        <v>884</v>
      </c>
      <c r="Q309" s="30" t="s">
        <v>867</v>
      </c>
      <c r="R309" s="155" t="s">
        <v>80</v>
      </c>
      <c r="S309" s="41">
        <v>2014</v>
      </c>
      <c r="T309" s="31" t="s">
        <v>873</v>
      </c>
      <c r="U309" s="31" t="s">
        <v>874</v>
      </c>
      <c r="V309" s="30" t="s">
        <v>875</v>
      </c>
      <c r="W309" s="30" t="s">
        <v>92</v>
      </c>
      <c r="X309" s="44">
        <v>41883</v>
      </c>
      <c r="Y309" s="44">
        <v>42277</v>
      </c>
      <c r="Z309" s="30"/>
      <c r="AA309" s="30" t="s">
        <v>885</v>
      </c>
    </row>
    <row r="310" spans="1:27" s="29" customFormat="1" ht="34.5" customHeight="1">
      <c r="A310" s="30" t="s">
        <v>142</v>
      </c>
      <c r="B310" s="31" t="s">
        <v>56</v>
      </c>
      <c r="C310" s="30" t="s">
        <v>39</v>
      </c>
      <c r="D310" s="30" t="s">
        <v>886</v>
      </c>
      <c r="E310" s="30" t="s">
        <v>88</v>
      </c>
      <c r="F310" s="30" t="s">
        <v>887</v>
      </c>
      <c r="G310" s="30" t="s">
        <v>195</v>
      </c>
      <c r="H310" s="30">
        <v>561210</v>
      </c>
      <c r="I310" s="30" t="s">
        <v>98</v>
      </c>
      <c r="J310" s="30" t="s">
        <v>129</v>
      </c>
      <c r="K310" s="31" t="s">
        <v>69</v>
      </c>
      <c r="L310" s="30"/>
      <c r="M310" s="39"/>
      <c r="N310" s="39"/>
      <c r="O310" s="30" t="s">
        <v>79</v>
      </c>
      <c r="P310" s="30" t="s">
        <v>888</v>
      </c>
      <c r="Q310" s="30" t="s">
        <v>867</v>
      </c>
      <c r="R310" s="30" t="s">
        <v>35</v>
      </c>
      <c r="S310" s="41">
        <v>2014</v>
      </c>
      <c r="T310" s="31" t="s">
        <v>889</v>
      </c>
      <c r="U310" s="31" t="s">
        <v>890</v>
      </c>
      <c r="V310" s="30" t="s">
        <v>891</v>
      </c>
      <c r="W310" s="30" t="s">
        <v>92</v>
      </c>
      <c r="X310" s="44">
        <v>41913</v>
      </c>
      <c r="Y310" s="44">
        <v>43039</v>
      </c>
      <c r="Z310" s="30"/>
      <c r="AA310" s="30" t="s">
        <v>892</v>
      </c>
    </row>
    <row r="311" spans="1:27" s="29" customFormat="1" ht="34.5" customHeight="1">
      <c r="A311" s="30" t="s">
        <v>142</v>
      </c>
      <c r="B311" s="31" t="s">
        <v>56</v>
      </c>
      <c r="C311" s="30" t="s">
        <v>39</v>
      </c>
      <c r="D311" s="30" t="s">
        <v>886</v>
      </c>
      <c r="E311" s="30" t="s">
        <v>88</v>
      </c>
      <c r="F311" s="30" t="s">
        <v>893</v>
      </c>
      <c r="G311" s="30" t="s">
        <v>162</v>
      </c>
      <c r="H311" s="30">
        <v>561210</v>
      </c>
      <c r="I311" s="30" t="s">
        <v>98</v>
      </c>
      <c r="J311" s="30" t="s">
        <v>129</v>
      </c>
      <c r="K311" s="30"/>
      <c r="L311" s="30" t="s">
        <v>894</v>
      </c>
      <c r="M311" s="39"/>
      <c r="N311" s="39"/>
      <c r="O311" s="30" t="s">
        <v>79</v>
      </c>
      <c r="P311" s="30" t="s">
        <v>895</v>
      </c>
      <c r="Q311" s="30" t="s">
        <v>896</v>
      </c>
      <c r="R311" s="30" t="s">
        <v>150</v>
      </c>
      <c r="S311" s="41">
        <v>2014</v>
      </c>
      <c r="T311" s="31" t="s">
        <v>868</v>
      </c>
      <c r="U311" s="31" t="s">
        <v>869</v>
      </c>
      <c r="V311" s="30" t="s">
        <v>870</v>
      </c>
      <c r="W311" s="30" t="s">
        <v>92</v>
      </c>
      <c r="X311" s="44">
        <v>41579</v>
      </c>
      <c r="Y311" s="44">
        <v>42338</v>
      </c>
      <c r="Z311" s="30"/>
      <c r="AA311" s="30" t="s">
        <v>897</v>
      </c>
    </row>
    <row r="312" spans="1:27" s="29" customFormat="1" ht="34.5" customHeight="1">
      <c r="A312" s="30" t="s">
        <v>142</v>
      </c>
      <c r="B312" s="31" t="s">
        <v>56</v>
      </c>
      <c r="C312" s="30" t="s">
        <v>286</v>
      </c>
      <c r="D312" s="30" t="s">
        <v>898</v>
      </c>
      <c r="E312" s="30" t="s">
        <v>164</v>
      </c>
      <c r="F312" s="30" t="s">
        <v>899</v>
      </c>
      <c r="G312" s="30" t="s">
        <v>195</v>
      </c>
      <c r="H312" s="30">
        <v>236220</v>
      </c>
      <c r="I312" s="30" t="s">
        <v>45</v>
      </c>
      <c r="J312" s="30" t="s">
        <v>129</v>
      </c>
      <c r="K312" s="30" t="s">
        <v>45</v>
      </c>
      <c r="L312" s="30" t="s">
        <v>345</v>
      </c>
      <c r="M312" s="39">
        <v>25000</v>
      </c>
      <c r="N312" s="39">
        <v>100000</v>
      </c>
      <c r="O312" s="129" t="s">
        <v>79</v>
      </c>
      <c r="P312" s="30" t="s">
        <v>302</v>
      </c>
      <c r="Q312" s="30" t="s">
        <v>294</v>
      </c>
      <c r="R312" s="155" t="s">
        <v>80</v>
      </c>
      <c r="S312" s="41">
        <v>2014</v>
      </c>
      <c r="T312" s="31" t="s">
        <v>900</v>
      </c>
      <c r="U312" s="31" t="s">
        <v>901</v>
      </c>
      <c r="V312" s="30" t="s">
        <v>902</v>
      </c>
      <c r="W312" s="30" t="s">
        <v>92</v>
      </c>
      <c r="X312" s="30" t="s">
        <v>345</v>
      </c>
      <c r="Y312" s="30" t="s">
        <v>345</v>
      </c>
      <c r="Z312" s="30" t="s">
        <v>345</v>
      </c>
      <c r="AA312" s="30"/>
    </row>
    <row r="313" spans="1:27" s="29" customFormat="1" ht="34.5" customHeight="1">
      <c r="A313" s="30" t="s">
        <v>142</v>
      </c>
      <c r="B313" s="31" t="s">
        <v>56</v>
      </c>
      <c r="C313" s="30" t="s">
        <v>39</v>
      </c>
      <c r="D313" s="30" t="s">
        <v>903</v>
      </c>
      <c r="E313" s="30" t="s">
        <v>164</v>
      </c>
      <c r="F313" s="30" t="s">
        <v>904</v>
      </c>
      <c r="G313" s="30" t="s">
        <v>207</v>
      </c>
      <c r="H313" s="30">
        <v>236220</v>
      </c>
      <c r="I313" s="30" t="s">
        <v>45</v>
      </c>
      <c r="J313" s="30" t="s">
        <v>129</v>
      </c>
      <c r="K313" s="30" t="s">
        <v>45</v>
      </c>
      <c r="L313" s="30" t="s">
        <v>45</v>
      </c>
      <c r="M313" s="39">
        <v>100000</v>
      </c>
      <c r="N313" s="39">
        <v>250000</v>
      </c>
      <c r="O313" s="30" t="s">
        <v>79</v>
      </c>
      <c r="P313" s="30" t="s">
        <v>302</v>
      </c>
      <c r="Q313" s="129" t="s">
        <v>294</v>
      </c>
      <c r="R313" s="155" t="s">
        <v>80</v>
      </c>
      <c r="S313" s="41">
        <v>2014</v>
      </c>
      <c r="T313" s="31" t="s">
        <v>905</v>
      </c>
      <c r="U313" s="31" t="s">
        <v>906</v>
      </c>
      <c r="V313" s="30" t="s">
        <v>907</v>
      </c>
      <c r="W313" s="30" t="s">
        <v>92</v>
      </c>
      <c r="X313" s="44">
        <v>41649</v>
      </c>
      <c r="Y313" s="44">
        <v>41695</v>
      </c>
      <c r="Z313" s="44">
        <v>41881</v>
      </c>
      <c r="AA313" s="30" t="s">
        <v>908</v>
      </c>
    </row>
    <row r="314" spans="1:27" s="29" customFormat="1" ht="34.5" customHeight="1">
      <c r="A314" s="30" t="s">
        <v>142</v>
      </c>
      <c r="B314" s="31" t="s">
        <v>56</v>
      </c>
      <c r="C314" s="30" t="s">
        <v>39</v>
      </c>
      <c r="D314" s="30" t="s">
        <v>909</v>
      </c>
      <c r="E314" s="30" t="s">
        <v>164</v>
      </c>
      <c r="F314" s="30" t="s">
        <v>904</v>
      </c>
      <c r="G314" s="30" t="s">
        <v>207</v>
      </c>
      <c r="H314" s="30">
        <v>236220</v>
      </c>
      <c r="I314" s="30" t="s">
        <v>45</v>
      </c>
      <c r="J314" s="30" t="s">
        <v>129</v>
      </c>
      <c r="K314" s="30" t="s">
        <v>45</v>
      </c>
      <c r="L314" s="30" t="s">
        <v>45</v>
      </c>
      <c r="M314" s="39">
        <v>100000</v>
      </c>
      <c r="N314" s="39">
        <v>250000</v>
      </c>
      <c r="O314" s="30" t="s">
        <v>79</v>
      </c>
      <c r="P314" s="30" t="s">
        <v>302</v>
      </c>
      <c r="Q314" s="129" t="s">
        <v>294</v>
      </c>
      <c r="R314" s="155" t="s">
        <v>80</v>
      </c>
      <c r="S314" s="41">
        <v>2014</v>
      </c>
      <c r="T314" s="31" t="s">
        <v>905</v>
      </c>
      <c r="U314" s="31" t="s">
        <v>906</v>
      </c>
      <c r="V314" s="30" t="s">
        <v>907</v>
      </c>
      <c r="W314" s="30" t="s">
        <v>92</v>
      </c>
      <c r="X314" s="44">
        <v>41623</v>
      </c>
      <c r="Y314" s="44">
        <v>41685</v>
      </c>
      <c r="Z314" s="44">
        <v>41850</v>
      </c>
      <c r="AA314" s="30" t="s">
        <v>908</v>
      </c>
    </row>
    <row r="315" spans="1:27" s="29" customFormat="1" ht="34.5" customHeight="1">
      <c r="A315" s="30" t="s">
        <v>142</v>
      </c>
      <c r="B315" s="31" t="s">
        <v>56</v>
      </c>
      <c r="C315" s="30" t="s">
        <v>39</v>
      </c>
      <c r="D315" s="30" t="s">
        <v>910</v>
      </c>
      <c r="E315" s="30" t="s">
        <v>164</v>
      </c>
      <c r="F315" s="30" t="s">
        <v>904</v>
      </c>
      <c r="G315" s="30" t="s">
        <v>207</v>
      </c>
      <c r="H315" s="30">
        <v>236220</v>
      </c>
      <c r="I315" s="30" t="s">
        <v>45</v>
      </c>
      <c r="J315" s="30" t="s">
        <v>129</v>
      </c>
      <c r="K315" s="30" t="s">
        <v>45</v>
      </c>
      <c r="L315" s="30" t="s">
        <v>45</v>
      </c>
      <c r="M315" s="39">
        <v>250000</v>
      </c>
      <c r="N315" s="39">
        <v>500000</v>
      </c>
      <c r="O315" s="30" t="s">
        <v>79</v>
      </c>
      <c r="P315" s="30" t="s">
        <v>302</v>
      </c>
      <c r="Q315" s="129" t="s">
        <v>294</v>
      </c>
      <c r="R315" s="30" t="s">
        <v>100</v>
      </c>
      <c r="S315" s="41">
        <v>2014</v>
      </c>
      <c r="T315" s="31" t="s">
        <v>905</v>
      </c>
      <c r="U315" s="31" t="s">
        <v>906</v>
      </c>
      <c r="V315" s="30" t="s">
        <v>907</v>
      </c>
      <c r="W315" s="30" t="s">
        <v>92</v>
      </c>
      <c r="X315" s="44">
        <v>41744</v>
      </c>
      <c r="Y315" s="44">
        <v>41789</v>
      </c>
      <c r="Z315" s="44">
        <v>41912</v>
      </c>
      <c r="AA315" s="30" t="s">
        <v>908</v>
      </c>
    </row>
    <row r="316" spans="1:27" s="29" customFormat="1" ht="34.5" customHeight="1">
      <c r="A316" s="30" t="s">
        <v>142</v>
      </c>
      <c r="B316" s="31" t="s">
        <v>56</v>
      </c>
      <c r="C316" s="30" t="s">
        <v>39</v>
      </c>
      <c r="D316" s="30" t="s">
        <v>911</v>
      </c>
      <c r="E316" s="30" t="s">
        <v>164</v>
      </c>
      <c r="F316" s="30" t="s">
        <v>904</v>
      </c>
      <c r="G316" s="30" t="s">
        <v>207</v>
      </c>
      <c r="H316" s="30">
        <v>236220</v>
      </c>
      <c r="I316" s="30" t="s">
        <v>45</v>
      </c>
      <c r="J316" s="30" t="s">
        <v>129</v>
      </c>
      <c r="K316" s="30" t="s">
        <v>45</v>
      </c>
      <c r="L316" s="30" t="s">
        <v>45</v>
      </c>
      <c r="M316" s="45">
        <v>25000</v>
      </c>
      <c r="N316" s="45">
        <v>100000</v>
      </c>
      <c r="O316" s="30" t="s">
        <v>79</v>
      </c>
      <c r="P316" s="30" t="s">
        <v>302</v>
      </c>
      <c r="Q316" s="129" t="s">
        <v>294</v>
      </c>
      <c r="R316" s="30" t="s">
        <v>100</v>
      </c>
      <c r="S316" s="41">
        <v>2014</v>
      </c>
      <c r="T316" s="31" t="s">
        <v>905</v>
      </c>
      <c r="U316" s="31" t="s">
        <v>906</v>
      </c>
      <c r="V316" s="30" t="s">
        <v>907</v>
      </c>
      <c r="W316" s="30" t="s">
        <v>92</v>
      </c>
      <c r="X316" s="44">
        <v>41760</v>
      </c>
      <c r="Y316" s="44">
        <v>41791</v>
      </c>
      <c r="Z316" s="44">
        <v>41912</v>
      </c>
      <c r="AA316" s="30" t="s">
        <v>908</v>
      </c>
    </row>
    <row r="317" spans="1:27" s="29" customFormat="1" ht="34.5" customHeight="1">
      <c r="A317" s="30" t="s">
        <v>142</v>
      </c>
      <c r="B317" s="31" t="s">
        <v>56</v>
      </c>
      <c r="C317" s="30" t="s">
        <v>39</v>
      </c>
      <c r="D317" s="30" t="s">
        <v>912</v>
      </c>
      <c r="E317" s="30" t="s">
        <v>164</v>
      </c>
      <c r="F317" s="30" t="s">
        <v>904</v>
      </c>
      <c r="G317" s="30" t="s">
        <v>207</v>
      </c>
      <c r="H317" s="30">
        <v>236220</v>
      </c>
      <c r="I317" s="30" t="s">
        <v>45</v>
      </c>
      <c r="J317" s="30" t="s">
        <v>129</v>
      </c>
      <c r="K317" s="30" t="s">
        <v>45</v>
      </c>
      <c r="L317" s="30" t="s">
        <v>45</v>
      </c>
      <c r="M317" s="45">
        <v>100000</v>
      </c>
      <c r="N317" s="45">
        <v>250000</v>
      </c>
      <c r="O317" s="30" t="s">
        <v>79</v>
      </c>
      <c r="P317" s="30" t="s">
        <v>302</v>
      </c>
      <c r="Q317" s="129" t="s">
        <v>294</v>
      </c>
      <c r="R317" s="155" t="s">
        <v>80</v>
      </c>
      <c r="S317" s="41">
        <v>2014</v>
      </c>
      <c r="T317" s="31" t="s">
        <v>905</v>
      </c>
      <c r="U317" s="31" t="s">
        <v>906</v>
      </c>
      <c r="V317" s="30" t="s">
        <v>907</v>
      </c>
      <c r="W317" s="30" t="s">
        <v>92</v>
      </c>
      <c r="X317" s="44">
        <v>41644</v>
      </c>
      <c r="Y317" s="44">
        <v>41713</v>
      </c>
      <c r="Z317" s="44">
        <v>41852</v>
      </c>
      <c r="AA317" s="30" t="s">
        <v>908</v>
      </c>
    </row>
    <row r="318" spans="1:27" s="29" customFormat="1" ht="34.5" customHeight="1">
      <c r="A318" s="30" t="s">
        <v>142</v>
      </c>
      <c r="B318" s="31" t="s">
        <v>56</v>
      </c>
      <c r="C318" s="30" t="s">
        <v>39</v>
      </c>
      <c r="D318" s="30" t="s">
        <v>913</v>
      </c>
      <c r="E318" s="30" t="s">
        <v>164</v>
      </c>
      <c r="F318" s="30" t="s">
        <v>914</v>
      </c>
      <c r="G318" s="30" t="s">
        <v>207</v>
      </c>
      <c r="H318" s="30">
        <v>236220</v>
      </c>
      <c r="I318" s="30" t="s">
        <v>45</v>
      </c>
      <c r="J318" s="30" t="s">
        <v>129</v>
      </c>
      <c r="K318" s="30" t="s">
        <v>45</v>
      </c>
      <c r="L318" s="30" t="s">
        <v>45</v>
      </c>
      <c r="M318" s="45">
        <v>250000</v>
      </c>
      <c r="N318" s="45">
        <v>500000</v>
      </c>
      <c r="O318" s="30" t="s">
        <v>79</v>
      </c>
      <c r="P318" s="30" t="s">
        <v>302</v>
      </c>
      <c r="Q318" s="30" t="s">
        <v>294</v>
      </c>
      <c r="R318" s="155" t="s">
        <v>80</v>
      </c>
      <c r="S318" s="41">
        <v>2014</v>
      </c>
      <c r="T318" s="31" t="s">
        <v>915</v>
      </c>
      <c r="U318" s="31" t="s">
        <v>916</v>
      </c>
      <c r="V318" s="30" t="s">
        <v>917</v>
      </c>
      <c r="W318" s="30" t="s">
        <v>92</v>
      </c>
      <c r="X318" s="44">
        <v>41654</v>
      </c>
      <c r="Y318" s="44">
        <v>41713</v>
      </c>
      <c r="Z318" s="44">
        <v>41866</v>
      </c>
      <c r="AA318" s="30" t="s">
        <v>908</v>
      </c>
    </row>
    <row r="319" spans="1:27" s="29" customFormat="1" ht="34.5" customHeight="1">
      <c r="A319" s="30" t="s">
        <v>142</v>
      </c>
      <c r="B319" s="31" t="s">
        <v>56</v>
      </c>
      <c r="C319" s="30" t="s">
        <v>39</v>
      </c>
      <c r="D319" s="30" t="s">
        <v>913</v>
      </c>
      <c r="E319" s="30" t="s">
        <v>164</v>
      </c>
      <c r="F319" s="30" t="s">
        <v>918</v>
      </c>
      <c r="G319" s="30" t="s">
        <v>207</v>
      </c>
      <c r="H319" s="30">
        <v>236220</v>
      </c>
      <c r="I319" s="30" t="s">
        <v>45</v>
      </c>
      <c r="J319" s="30" t="s">
        <v>129</v>
      </c>
      <c r="K319" s="30" t="s">
        <v>45</v>
      </c>
      <c r="L319" s="30" t="s">
        <v>45</v>
      </c>
      <c r="M319" s="45">
        <v>250000</v>
      </c>
      <c r="N319" s="45">
        <v>500000</v>
      </c>
      <c r="O319" s="30" t="s">
        <v>79</v>
      </c>
      <c r="P319" s="30" t="s">
        <v>302</v>
      </c>
      <c r="Q319" s="30" t="s">
        <v>294</v>
      </c>
      <c r="R319" s="155" t="s">
        <v>80</v>
      </c>
      <c r="S319" s="41">
        <v>2014</v>
      </c>
      <c r="T319" s="31" t="s">
        <v>915</v>
      </c>
      <c r="U319" s="31" t="s">
        <v>916</v>
      </c>
      <c r="V319" s="30" t="s">
        <v>917</v>
      </c>
      <c r="W319" s="30" t="s">
        <v>92</v>
      </c>
      <c r="X319" s="44">
        <v>41654</v>
      </c>
      <c r="Y319" s="44">
        <v>41713</v>
      </c>
      <c r="Z319" s="44">
        <v>41866</v>
      </c>
      <c r="AA319" s="30" t="s">
        <v>908</v>
      </c>
    </row>
    <row r="320" spans="1:27" s="29" customFormat="1" ht="34.5" customHeight="1">
      <c r="A320" s="30" t="s">
        <v>142</v>
      </c>
      <c r="B320" s="31" t="s">
        <v>56</v>
      </c>
      <c r="C320" s="30" t="s">
        <v>39</v>
      </c>
      <c r="D320" s="30" t="s">
        <v>919</v>
      </c>
      <c r="E320" s="30" t="s">
        <v>164</v>
      </c>
      <c r="F320" s="30" t="s">
        <v>914</v>
      </c>
      <c r="G320" s="30" t="s">
        <v>207</v>
      </c>
      <c r="H320" s="30">
        <v>236220</v>
      </c>
      <c r="I320" s="30" t="s">
        <v>45</v>
      </c>
      <c r="J320" s="30" t="s">
        <v>129</v>
      </c>
      <c r="K320" s="30" t="s">
        <v>45</v>
      </c>
      <c r="L320" s="30" t="s">
        <v>45</v>
      </c>
      <c r="M320" s="45">
        <v>100000</v>
      </c>
      <c r="N320" s="45">
        <v>250000</v>
      </c>
      <c r="O320" s="30" t="s">
        <v>79</v>
      </c>
      <c r="P320" s="30" t="s">
        <v>302</v>
      </c>
      <c r="Q320" s="30" t="s">
        <v>294</v>
      </c>
      <c r="R320" s="155" t="s">
        <v>80</v>
      </c>
      <c r="S320" s="41">
        <v>2014</v>
      </c>
      <c r="T320" s="31" t="s">
        <v>915</v>
      </c>
      <c r="U320" s="31" t="s">
        <v>916</v>
      </c>
      <c r="V320" s="30" t="s">
        <v>917</v>
      </c>
      <c r="W320" s="30" t="s">
        <v>92</v>
      </c>
      <c r="X320" s="44">
        <v>41671</v>
      </c>
      <c r="Y320" s="44">
        <v>41744</v>
      </c>
      <c r="Z320" s="44">
        <v>41912</v>
      </c>
      <c r="AA320" s="30" t="s">
        <v>908</v>
      </c>
    </row>
    <row r="321" spans="1:27" s="29" customFormat="1" ht="34.5" customHeight="1">
      <c r="A321" s="30" t="s">
        <v>142</v>
      </c>
      <c r="B321" s="31" t="s">
        <v>56</v>
      </c>
      <c r="C321" s="30" t="s">
        <v>39</v>
      </c>
      <c r="D321" s="30" t="s">
        <v>920</v>
      </c>
      <c r="E321" s="30" t="s">
        <v>164</v>
      </c>
      <c r="F321" s="30" t="s">
        <v>914</v>
      </c>
      <c r="G321" s="30" t="s">
        <v>207</v>
      </c>
      <c r="H321" s="30">
        <v>236220</v>
      </c>
      <c r="I321" s="30" t="s">
        <v>45</v>
      </c>
      <c r="J321" s="30" t="s">
        <v>129</v>
      </c>
      <c r="K321" s="30" t="s">
        <v>45</v>
      </c>
      <c r="L321" s="30" t="s">
        <v>45</v>
      </c>
      <c r="M321" s="45">
        <v>500000</v>
      </c>
      <c r="N321" s="45">
        <v>1000000</v>
      </c>
      <c r="O321" s="30" t="s">
        <v>79</v>
      </c>
      <c r="P321" s="30" t="s">
        <v>302</v>
      </c>
      <c r="Q321" s="30" t="s">
        <v>294</v>
      </c>
      <c r="R321" s="30" t="s">
        <v>100</v>
      </c>
      <c r="S321" s="41">
        <v>2014</v>
      </c>
      <c r="T321" s="31" t="s">
        <v>915</v>
      </c>
      <c r="U321" s="31" t="s">
        <v>916</v>
      </c>
      <c r="V321" s="30" t="s">
        <v>917</v>
      </c>
      <c r="W321" s="30" t="s">
        <v>92</v>
      </c>
      <c r="X321" s="44">
        <v>41685</v>
      </c>
      <c r="Y321" s="44">
        <v>41730</v>
      </c>
      <c r="Z321" s="44">
        <v>41912</v>
      </c>
      <c r="AA321" s="30" t="s">
        <v>908</v>
      </c>
    </row>
    <row r="322" spans="1:27" s="29" customFormat="1" ht="34.5" customHeight="1">
      <c r="A322" s="30" t="s">
        <v>142</v>
      </c>
      <c r="B322" s="31" t="s">
        <v>56</v>
      </c>
      <c r="C322" s="30" t="s">
        <v>29</v>
      </c>
      <c r="D322" s="30" t="s">
        <v>356</v>
      </c>
      <c r="E322" s="30" t="s">
        <v>139</v>
      </c>
      <c r="F322" s="30" t="s">
        <v>921</v>
      </c>
      <c r="G322" s="30" t="s">
        <v>162</v>
      </c>
      <c r="H322" s="30">
        <v>561720</v>
      </c>
      <c r="I322" s="30" t="s">
        <v>67</v>
      </c>
      <c r="J322" s="30" t="s">
        <v>129</v>
      </c>
      <c r="K322" s="30" t="s">
        <v>148</v>
      </c>
      <c r="L322" s="30" t="s">
        <v>865</v>
      </c>
      <c r="M322" s="45">
        <v>1850000</v>
      </c>
      <c r="N322" s="45">
        <v>9430000</v>
      </c>
      <c r="O322" s="30" t="s">
        <v>79</v>
      </c>
      <c r="P322" s="30" t="s">
        <v>922</v>
      </c>
      <c r="Q322" s="30" t="s">
        <v>294</v>
      </c>
      <c r="R322" s="30" t="s">
        <v>150</v>
      </c>
      <c r="S322" s="41">
        <v>2014</v>
      </c>
      <c r="T322" s="31" t="s">
        <v>868</v>
      </c>
      <c r="U322" s="31" t="s">
        <v>869</v>
      </c>
      <c r="V322" s="30" t="s">
        <v>923</v>
      </c>
      <c r="W322" s="30" t="s">
        <v>92</v>
      </c>
      <c r="X322" s="44">
        <v>41572</v>
      </c>
      <c r="Y322" s="44">
        <v>41664</v>
      </c>
      <c r="Z322" s="44">
        <v>43524</v>
      </c>
      <c r="AA322" s="30"/>
    </row>
    <row r="323" spans="1:27" s="29" customFormat="1" ht="34.5" customHeight="1">
      <c r="A323" s="30" t="s">
        <v>142</v>
      </c>
      <c r="B323" s="31" t="s">
        <v>56</v>
      </c>
      <c r="C323" s="30" t="s">
        <v>29</v>
      </c>
      <c r="D323" s="30" t="s">
        <v>886</v>
      </c>
      <c r="E323" s="30" t="s">
        <v>88</v>
      </c>
      <c r="F323" s="30" t="s">
        <v>924</v>
      </c>
      <c r="G323" s="30" t="s">
        <v>225</v>
      </c>
      <c r="H323" s="30">
        <v>561210</v>
      </c>
      <c r="I323" s="129" t="s">
        <v>59</v>
      </c>
      <c r="J323" s="30" t="s">
        <v>129</v>
      </c>
      <c r="K323" s="31" t="s">
        <v>69</v>
      </c>
      <c r="L323" s="30" t="s">
        <v>925</v>
      </c>
      <c r="M323" s="45">
        <v>3000000</v>
      </c>
      <c r="N323" s="45">
        <v>16000000</v>
      </c>
      <c r="O323" s="30" t="s">
        <v>79</v>
      </c>
      <c r="P323" s="30" t="s">
        <v>926</v>
      </c>
      <c r="Q323" s="30" t="s">
        <v>294</v>
      </c>
      <c r="R323" s="30" t="s">
        <v>150</v>
      </c>
      <c r="S323" s="41">
        <v>2014</v>
      </c>
      <c r="T323" s="31" t="s">
        <v>927</v>
      </c>
      <c r="U323" s="31" t="s">
        <v>928</v>
      </c>
      <c r="V323" s="30" t="s">
        <v>929</v>
      </c>
      <c r="W323" s="30" t="s">
        <v>92</v>
      </c>
      <c r="X323" s="44">
        <v>41635</v>
      </c>
      <c r="Y323" s="44">
        <v>41771</v>
      </c>
      <c r="Z323" s="44">
        <v>43646</v>
      </c>
      <c r="AA323" s="30" t="s">
        <v>930</v>
      </c>
    </row>
    <row r="324" spans="1:27" s="29" customFormat="1" ht="34.5" customHeight="1">
      <c r="A324" s="30" t="s">
        <v>142</v>
      </c>
      <c r="B324" s="31" t="s">
        <v>56</v>
      </c>
      <c r="C324" s="30" t="s">
        <v>39</v>
      </c>
      <c r="D324" s="30" t="s">
        <v>886</v>
      </c>
      <c r="E324" s="30" t="s">
        <v>88</v>
      </c>
      <c r="F324" s="30" t="s">
        <v>931</v>
      </c>
      <c r="G324" s="30" t="s">
        <v>225</v>
      </c>
      <c r="H324" s="30">
        <v>561210</v>
      </c>
      <c r="I324" s="30" t="s">
        <v>45</v>
      </c>
      <c r="J324" s="30" t="s">
        <v>129</v>
      </c>
      <c r="K324" s="31" t="s">
        <v>69</v>
      </c>
      <c r="L324" s="30" t="s">
        <v>932</v>
      </c>
      <c r="M324" s="45">
        <v>825000</v>
      </c>
      <c r="N324" s="45">
        <v>4200000</v>
      </c>
      <c r="O324" s="30" t="s">
        <v>79</v>
      </c>
      <c r="P324" s="30" t="s">
        <v>933</v>
      </c>
      <c r="Q324" s="30" t="s">
        <v>294</v>
      </c>
      <c r="R324" s="155" t="s">
        <v>80</v>
      </c>
      <c r="S324" s="41">
        <v>2014</v>
      </c>
      <c r="T324" s="31" t="s">
        <v>934</v>
      </c>
      <c r="U324" s="31" t="s">
        <v>935</v>
      </c>
      <c r="V324" s="30" t="s">
        <v>936</v>
      </c>
      <c r="W324" s="30" t="s">
        <v>92</v>
      </c>
      <c r="X324" s="44">
        <v>41699</v>
      </c>
      <c r="Y324" s="44">
        <v>41852</v>
      </c>
      <c r="Z324" s="44">
        <v>43707</v>
      </c>
      <c r="AA324" s="30" t="s">
        <v>930</v>
      </c>
    </row>
    <row r="325" spans="1:27" s="29" customFormat="1" ht="34.5" customHeight="1">
      <c r="A325" s="30" t="s">
        <v>142</v>
      </c>
      <c r="B325" s="31" t="s">
        <v>56</v>
      </c>
      <c r="C325" s="30" t="s">
        <v>39</v>
      </c>
      <c r="D325" s="30" t="s">
        <v>937</v>
      </c>
      <c r="E325" s="30" t="s">
        <v>139</v>
      </c>
      <c r="F325" s="30" t="s">
        <v>938</v>
      </c>
      <c r="G325" s="30" t="s">
        <v>225</v>
      </c>
      <c r="H325" s="30">
        <v>561720</v>
      </c>
      <c r="I325" s="129" t="s">
        <v>546</v>
      </c>
      <c r="J325" s="30" t="s">
        <v>129</v>
      </c>
      <c r="K325" s="30" t="s">
        <v>148</v>
      </c>
      <c r="L325" s="30" t="s">
        <v>45</v>
      </c>
      <c r="M325" s="45"/>
      <c r="N325" s="45"/>
      <c r="O325" s="30" t="s">
        <v>79</v>
      </c>
      <c r="P325" s="30" t="s">
        <v>939</v>
      </c>
      <c r="Q325" s="129" t="s">
        <v>3418</v>
      </c>
      <c r="R325" s="30" t="s">
        <v>150</v>
      </c>
      <c r="S325" s="41">
        <v>2014</v>
      </c>
      <c r="T325" s="31" t="s">
        <v>940</v>
      </c>
      <c r="U325" s="31" t="s">
        <v>941</v>
      </c>
      <c r="V325" s="30" t="s">
        <v>942</v>
      </c>
      <c r="W325" s="30" t="s">
        <v>92</v>
      </c>
      <c r="X325" s="30" t="s">
        <v>345</v>
      </c>
      <c r="Y325" s="30" t="s">
        <v>345</v>
      </c>
      <c r="Z325" s="30" t="s">
        <v>345</v>
      </c>
      <c r="AA325" s="30" t="s">
        <v>943</v>
      </c>
    </row>
    <row r="326" spans="1:27" s="29" customFormat="1" ht="34.5" customHeight="1">
      <c r="A326" s="30" t="s">
        <v>142</v>
      </c>
      <c r="B326" s="31" t="s">
        <v>56</v>
      </c>
      <c r="C326" s="30" t="s">
        <v>29</v>
      </c>
      <c r="D326" s="30" t="s">
        <v>356</v>
      </c>
      <c r="E326" s="30" t="s">
        <v>139</v>
      </c>
      <c r="F326" s="30" t="s">
        <v>944</v>
      </c>
      <c r="G326" s="30" t="s">
        <v>225</v>
      </c>
      <c r="H326" s="30">
        <v>561720</v>
      </c>
      <c r="I326" s="30" t="s">
        <v>67</v>
      </c>
      <c r="J326" s="30" t="s">
        <v>129</v>
      </c>
      <c r="K326" s="30" t="s">
        <v>148</v>
      </c>
      <c r="L326" s="52" t="s">
        <v>865</v>
      </c>
      <c r="M326" s="45">
        <v>490000</v>
      </c>
      <c r="N326" s="45">
        <v>2600000</v>
      </c>
      <c r="O326" s="30"/>
      <c r="P326" s="30" t="s">
        <v>945</v>
      </c>
      <c r="Q326" s="31" t="s">
        <v>294</v>
      </c>
      <c r="R326" s="30" t="s">
        <v>35</v>
      </c>
      <c r="S326" s="41">
        <v>2013</v>
      </c>
      <c r="T326" s="31" t="s">
        <v>934</v>
      </c>
      <c r="U326" s="31" t="s">
        <v>935</v>
      </c>
      <c r="V326" s="30" t="s">
        <v>936</v>
      </c>
      <c r="W326" s="30" t="s">
        <v>92</v>
      </c>
      <c r="X326" s="44">
        <v>41608</v>
      </c>
      <c r="Y326" s="44">
        <v>41744</v>
      </c>
      <c r="Z326" s="44">
        <v>43616</v>
      </c>
      <c r="AA326" s="30" t="s">
        <v>946</v>
      </c>
    </row>
    <row r="327" spans="1:27" s="29" customFormat="1" ht="34.5" customHeight="1">
      <c r="A327" s="30" t="s">
        <v>142</v>
      </c>
      <c r="B327" s="31" t="s">
        <v>56</v>
      </c>
      <c r="C327" s="30" t="s">
        <v>39</v>
      </c>
      <c r="D327" s="30" t="s">
        <v>356</v>
      </c>
      <c r="E327" s="30" t="s">
        <v>139</v>
      </c>
      <c r="F327" s="30" t="s">
        <v>947</v>
      </c>
      <c r="G327" s="30" t="s">
        <v>41</v>
      </c>
      <c r="H327" s="30">
        <v>561720</v>
      </c>
      <c r="I327" s="30" t="s">
        <v>67</v>
      </c>
      <c r="J327" s="30" t="s">
        <v>129</v>
      </c>
      <c r="K327" s="30" t="s">
        <v>148</v>
      </c>
      <c r="L327" s="30" t="s">
        <v>865</v>
      </c>
      <c r="M327" s="45">
        <v>120000</v>
      </c>
      <c r="N327" s="45">
        <v>620000</v>
      </c>
      <c r="O327" s="30" t="s">
        <v>79</v>
      </c>
      <c r="P327" s="30" t="s">
        <v>948</v>
      </c>
      <c r="Q327" s="30" t="s">
        <v>294</v>
      </c>
      <c r="R327" s="30" t="s">
        <v>150</v>
      </c>
      <c r="S327" s="41">
        <v>2014</v>
      </c>
      <c r="T327" s="31" t="s">
        <v>889</v>
      </c>
      <c r="U327" s="31" t="s">
        <v>890</v>
      </c>
      <c r="V327" s="30" t="s">
        <v>949</v>
      </c>
      <c r="W327" s="30" t="s">
        <v>92</v>
      </c>
      <c r="X327" s="44">
        <v>41593</v>
      </c>
      <c r="Y327" s="44">
        <v>41638</v>
      </c>
      <c r="Z327" s="44">
        <v>43496</v>
      </c>
      <c r="AA327" s="30" t="s">
        <v>946</v>
      </c>
    </row>
    <row r="328" spans="1:27" s="29" customFormat="1" ht="34.5" customHeight="1">
      <c r="A328" s="30" t="s">
        <v>142</v>
      </c>
      <c r="B328" s="31" t="s">
        <v>56</v>
      </c>
      <c r="C328" s="30" t="s">
        <v>39</v>
      </c>
      <c r="D328" s="30" t="s">
        <v>356</v>
      </c>
      <c r="E328" s="30" t="s">
        <v>139</v>
      </c>
      <c r="F328" s="30" t="s">
        <v>950</v>
      </c>
      <c r="G328" s="30" t="s">
        <v>162</v>
      </c>
      <c r="H328" s="30">
        <v>561720</v>
      </c>
      <c r="I328" s="30" t="s">
        <v>67</v>
      </c>
      <c r="J328" s="30" t="s">
        <v>129</v>
      </c>
      <c r="K328" s="30" t="s">
        <v>148</v>
      </c>
      <c r="L328" s="30" t="s">
        <v>865</v>
      </c>
      <c r="M328" s="45">
        <v>265000</v>
      </c>
      <c r="N328" s="45">
        <v>1400000</v>
      </c>
      <c r="O328" s="30" t="s">
        <v>79</v>
      </c>
      <c r="P328" s="30" t="s">
        <v>878</v>
      </c>
      <c r="Q328" s="30" t="s">
        <v>294</v>
      </c>
      <c r="R328" s="30" t="s">
        <v>150</v>
      </c>
      <c r="S328" s="41">
        <v>2014</v>
      </c>
      <c r="T328" s="31" t="s">
        <v>868</v>
      </c>
      <c r="U328" s="31" t="s">
        <v>869</v>
      </c>
      <c r="V328" s="30" t="s">
        <v>870</v>
      </c>
      <c r="W328" s="30" t="s">
        <v>92</v>
      </c>
      <c r="X328" s="44">
        <v>41593</v>
      </c>
      <c r="Y328" s="44">
        <v>41671</v>
      </c>
      <c r="Z328" s="44">
        <v>43524</v>
      </c>
      <c r="AA328" s="30" t="s">
        <v>946</v>
      </c>
    </row>
    <row r="329" spans="1:27" s="29" customFormat="1" ht="34.5" customHeight="1">
      <c r="A329" s="30" t="s">
        <v>142</v>
      </c>
      <c r="B329" s="31" t="s">
        <v>56</v>
      </c>
      <c r="C329" s="30" t="s">
        <v>39</v>
      </c>
      <c r="D329" s="30" t="s">
        <v>356</v>
      </c>
      <c r="E329" s="30" t="s">
        <v>139</v>
      </c>
      <c r="F329" s="30" t="s">
        <v>877</v>
      </c>
      <c r="G329" s="30" t="s">
        <v>162</v>
      </c>
      <c r="H329" s="30">
        <v>561720</v>
      </c>
      <c r="I329" s="30" t="s">
        <v>67</v>
      </c>
      <c r="J329" s="30" t="s">
        <v>129</v>
      </c>
      <c r="K329" s="30" t="s">
        <v>148</v>
      </c>
      <c r="L329" s="30" t="s">
        <v>865</v>
      </c>
      <c r="M329" s="45">
        <v>60000</v>
      </c>
      <c r="N329" s="45">
        <v>300000</v>
      </c>
      <c r="O329" s="30" t="s">
        <v>79</v>
      </c>
      <c r="P329" s="30" t="s">
        <v>878</v>
      </c>
      <c r="Q329" s="30" t="s">
        <v>294</v>
      </c>
      <c r="R329" s="30" t="s">
        <v>150</v>
      </c>
      <c r="S329" s="41">
        <v>2014</v>
      </c>
      <c r="T329" s="31" t="s">
        <v>868</v>
      </c>
      <c r="U329" s="31" t="s">
        <v>869</v>
      </c>
      <c r="V329" s="30" t="s">
        <v>870</v>
      </c>
      <c r="W329" s="30" t="s">
        <v>92</v>
      </c>
      <c r="X329" s="44">
        <v>41713</v>
      </c>
      <c r="Y329" s="44">
        <v>41852</v>
      </c>
      <c r="Z329" s="44">
        <v>43708</v>
      </c>
      <c r="AA329" s="30" t="s">
        <v>946</v>
      </c>
    </row>
    <row r="330" spans="1:27" s="29" customFormat="1" ht="34.5" customHeight="1">
      <c r="A330" s="30" t="s">
        <v>142</v>
      </c>
      <c r="B330" s="31" t="s">
        <v>56</v>
      </c>
      <c r="C330" s="30" t="s">
        <v>39</v>
      </c>
      <c r="D330" s="30" t="s">
        <v>356</v>
      </c>
      <c r="E330" s="30" t="s">
        <v>139</v>
      </c>
      <c r="F330" s="30" t="s">
        <v>899</v>
      </c>
      <c r="G330" s="30" t="s">
        <v>195</v>
      </c>
      <c r="H330" s="30">
        <v>561720</v>
      </c>
      <c r="I330" s="30" t="s">
        <v>67</v>
      </c>
      <c r="J330" s="30" t="s">
        <v>129</v>
      </c>
      <c r="K330" s="30" t="s">
        <v>148</v>
      </c>
      <c r="L330" s="30" t="s">
        <v>865</v>
      </c>
      <c r="M330" s="45">
        <v>235000</v>
      </c>
      <c r="N330" s="45">
        <v>1200000</v>
      </c>
      <c r="O330" s="30" t="s">
        <v>79</v>
      </c>
      <c r="P330" s="30" t="s">
        <v>951</v>
      </c>
      <c r="Q330" s="30" t="s">
        <v>294</v>
      </c>
      <c r="R330" s="30" t="s">
        <v>150</v>
      </c>
      <c r="S330" s="41">
        <v>2014</v>
      </c>
      <c r="T330" s="31" t="s">
        <v>889</v>
      </c>
      <c r="U330" s="31" t="s">
        <v>890</v>
      </c>
      <c r="V330" s="30" t="s">
        <v>949</v>
      </c>
      <c r="W330" s="30" t="s">
        <v>92</v>
      </c>
      <c r="X330" s="44">
        <v>41593</v>
      </c>
      <c r="Y330" s="44">
        <v>41730</v>
      </c>
      <c r="Z330" s="44">
        <v>43585</v>
      </c>
      <c r="AA330" s="30" t="s">
        <v>946</v>
      </c>
    </row>
    <row r="331" spans="1:27" s="29" customFormat="1" ht="34.5" customHeight="1">
      <c r="A331" s="30" t="s">
        <v>142</v>
      </c>
      <c r="B331" s="31" t="s">
        <v>56</v>
      </c>
      <c r="C331" s="30" t="s">
        <v>39</v>
      </c>
      <c r="D331" s="30" t="s">
        <v>952</v>
      </c>
      <c r="E331" s="30" t="s">
        <v>139</v>
      </c>
      <c r="F331" s="30" t="s">
        <v>904</v>
      </c>
      <c r="G331" s="30" t="s">
        <v>207</v>
      </c>
      <c r="H331" s="30">
        <v>561720</v>
      </c>
      <c r="I331" s="30" t="s">
        <v>67</v>
      </c>
      <c r="J331" s="30" t="s">
        <v>129</v>
      </c>
      <c r="K331" s="30" t="s">
        <v>148</v>
      </c>
      <c r="L331" s="30" t="s">
        <v>865</v>
      </c>
      <c r="M331" s="45">
        <v>9000000</v>
      </c>
      <c r="N331" s="45">
        <v>4600000</v>
      </c>
      <c r="O331" s="30" t="s">
        <v>79</v>
      </c>
      <c r="P331" s="30" t="s">
        <v>953</v>
      </c>
      <c r="Q331" s="30" t="s">
        <v>294</v>
      </c>
      <c r="R331" s="30" t="s">
        <v>150</v>
      </c>
      <c r="S331" s="41">
        <v>2014</v>
      </c>
      <c r="T331" s="31" t="s">
        <v>889</v>
      </c>
      <c r="U331" s="31" t="s">
        <v>890</v>
      </c>
      <c r="V331" s="30" t="s">
        <v>949</v>
      </c>
      <c r="W331" s="30" t="s">
        <v>92</v>
      </c>
      <c r="X331" s="44">
        <v>41654</v>
      </c>
      <c r="Y331" s="44">
        <v>43617</v>
      </c>
      <c r="Z331" s="44">
        <v>43646</v>
      </c>
      <c r="AA331" s="30" t="s">
        <v>946</v>
      </c>
    </row>
    <row r="332" spans="1:27" s="29" customFormat="1" ht="34.5" customHeight="1">
      <c r="A332" s="30" t="s">
        <v>142</v>
      </c>
      <c r="B332" s="31" t="s">
        <v>56</v>
      </c>
      <c r="C332" s="30" t="s">
        <v>39</v>
      </c>
      <c r="D332" s="30" t="s">
        <v>952</v>
      </c>
      <c r="E332" s="30" t="s">
        <v>139</v>
      </c>
      <c r="F332" s="30" t="s">
        <v>918</v>
      </c>
      <c r="G332" s="30" t="s">
        <v>207</v>
      </c>
      <c r="H332" s="30">
        <v>561720</v>
      </c>
      <c r="I332" s="30" t="s">
        <v>67</v>
      </c>
      <c r="J332" s="30" t="s">
        <v>129</v>
      </c>
      <c r="K332" s="30" t="s">
        <v>148</v>
      </c>
      <c r="L332" s="30" t="s">
        <v>865</v>
      </c>
      <c r="M332" s="45">
        <v>155000</v>
      </c>
      <c r="N332" s="45">
        <v>735000</v>
      </c>
      <c r="O332" s="30" t="s">
        <v>79</v>
      </c>
      <c r="P332" s="30" t="s">
        <v>954</v>
      </c>
      <c r="Q332" s="30" t="s">
        <v>294</v>
      </c>
      <c r="R332" s="30" t="s">
        <v>150</v>
      </c>
      <c r="S332" s="41">
        <v>2014</v>
      </c>
      <c r="T332" s="31" t="s">
        <v>889</v>
      </c>
      <c r="U332" s="31" t="s">
        <v>890</v>
      </c>
      <c r="V332" s="30" t="s">
        <v>949</v>
      </c>
      <c r="W332" s="30" t="s">
        <v>92</v>
      </c>
      <c r="X332" s="44">
        <v>41654</v>
      </c>
      <c r="Y332" s="44">
        <v>43617</v>
      </c>
      <c r="Z332" s="44">
        <v>43646</v>
      </c>
      <c r="AA332" s="30" t="s">
        <v>946</v>
      </c>
    </row>
    <row r="333" spans="1:27" s="29" customFormat="1" ht="34.5" customHeight="1">
      <c r="A333" s="30" t="s">
        <v>142</v>
      </c>
      <c r="B333" s="31" t="s">
        <v>56</v>
      </c>
      <c r="C333" s="30" t="s">
        <v>39</v>
      </c>
      <c r="D333" s="30" t="s">
        <v>952</v>
      </c>
      <c r="E333" s="30" t="s">
        <v>139</v>
      </c>
      <c r="F333" s="30" t="s">
        <v>955</v>
      </c>
      <c r="G333" s="30" t="s">
        <v>225</v>
      </c>
      <c r="H333" s="30">
        <v>561720</v>
      </c>
      <c r="I333" s="30" t="s">
        <v>67</v>
      </c>
      <c r="J333" s="30" t="s">
        <v>129</v>
      </c>
      <c r="K333" s="30" t="s">
        <v>148</v>
      </c>
      <c r="L333" s="30" t="s">
        <v>865</v>
      </c>
      <c r="M333" s="45">
        <v>500000</v>
      </c>
      <c r="N333" s="45">
        <v>11500000</v>
      </c>
      <c r="O333" s="30" t="s">
        <v>79</v>
      </c>
      <c r="P333" s="30" t="s">
        <v>956</v>
      </c>
      <c r="Q333" s="30" t="s">
        <v>294</v>
      </c>
      <c r="R333" s="155" t="s">
        <v>80</v>
      </c>
      <c r="S333" s="41">
        <v>2014</v>
      </c>
      <c r="T333" s="31" t="s">
        <v>940</v>
      </c>
      <c r="U333" s="31" t="s">
        <v>941</v>
      </c>
      <c r="V333" s="30" t="s">
        <v>942</v>
      </c>
      <c r="W333" s="30" t="s">
        <v>92</v>
      </c>
      <c r="X333" s="44">
        <v>41713</v>
      </c>
      <c r="Y333" s="44">
        <v>41852</v>
      </c>
      <c r="Z333" s="44">
        <v>43708</v>
      </c>
      <c r="AA333" s="30" t="s">
        <v>946</v>
      </c>
    </row>
    <row r="334" spans="1:27" s="29" customFormat="1" ht="34.5" customHeight="1">
      <c r="A334" s="30" t="s">
        <v>142</v>
      </c>
      <c r="B334" s="31" t="s">
        <v>56</v>
      </c>
      <c r="C334" s="30" t="s">
        <v>39</v>
      </c>
      <c r="D334" s="30" t="s">
        <v>957</v>
      </c>
      <c r="E334" s="30" t="s">
        <v>958</v>
      </c>
      <c r="F334" s="30" t="s">
        <v>883</v>
      </c>
      <c r="G334" s="30" t="s">
        <v>225</v>
      </c>
      <c r="H334" s="30">
        <v>713940</v>
      </c>
      <c r="I334" s="30" t="s">
        <v>45</v>
      </c>
      <c r="J334" s="30" t="s">
        <v>129</v>
      </c>
      <c r="K334" s="31" t="s">
        <v>91</v>
      </c>
      <c r="L334" s="30" t="s">
        <v>45</v>
      </c>
      <c r="M334" s="45">
        <v>1000</v>
      </c>
      <c r="N334" s="45" t="s">
        <v>345</v>
      </c>
      <c r="O334" s="129" t="s">
        <v>345</v>
      </c>
      <c r="P334" s="30"/>
      <c r="Q334" s="30" t="s">
        <v>294</v>
      </c>
      <c r="R334" s="30" t="s">
        <v>150</v>
      </c>
      <c r="S334" s="41">
        <v>2014</v>
      </c>
      <c r="T334" s="31" t="s">
        <v>873</v>
      </c>
      <c r="U334" s="31" t="s">
        <v>874</v>
      </c>
      <c r="V334" s="30" t="s">
        <v>959</v>
      </c>
      <c r="W334" s="30" t="s">
        <v>92</v>
      </c>
      <c r="X334" s="44">
        <v>41609</v>
      </c>
      <c r="Y334" s="44">
        <v>41671</v>
      </c>
      <c r="Z334" s="44">
        <v>43496</v>
      </c>
      <c r="AA334" s="30" t="s">
        <v>960</v>
      </c>
    </row>
    <row r="335" spans="1:27" s="29" customFormat="1" ht="34.5" customHeight="1">
      <c r="A335" s="30" t="s">
        <v>142</v>
      </c>
      <c r="B335" s="31" t="s">
        <v>56</v>
      </c>
      <c r="C335" s="30" t="s">
        <v>95</v>
      </c>
      <c r="D335" s="30" t="s">
        <v>961</v>
      </c>
      <c r="E335" s="30" t="s">
        <v>88</v>
      </c>
      <c r="F335" s="30" t="s">
        <v>962</v>
      </c>
      <c r="G335" s="30" t="s">
        <v>225</v>
      </c>
      <c r="H335" s="30">
        <v>561210</v>
      </c>
      <c r="I335" s="30" t="s">
        <v>98</v>
      </c>
      <c r="J335" s="30" t="s">
        <v>129</v>
      </c>
      <c r="K335" s="31" t="s">
        <v>69</v>
      </c>
      <c r="L335" s="30" t="s">
        <v>963</v>
      </c>
      <c r="M335" s="45">
        <v>750000</v>
      </c>
      <c r="N335" s="45">
        <v>8000000</v>
      </c>
      <c r="O335" s="30" t="s">
        <v>79</v>
      </c>
      <c r="P335" s="30" t="s">
        <v>964</v>
      </c>
      <c r="Q335" s="31" t="s">
        <v>294</v>
      </c>
      <c r="R335" s="30" t="s">
        <v>100</v>
      </c>
      <c r="S335" s="41">
        <v>2013</v>
      </c>
      <c r="T335" s="31" t="s">
        <v>940</v>
      </c>
      <c r="U335" s="31" t="s">
        <v>941</v>
      </c>
      <c r="V335" s="30" t="s">
        <v>942</v>
      </c>
      <c r="W335" s="30" t="s">
        <v>92</v>
      </c>
      <c r="X335" s="44">
        <v>41387</v>
      </c>
      <c r="Y335" s="44">
        <v>41609</v>
      </c>
      <c r="Z335" s="44">
        <v>45291</v>
      </c>
      <c r="AA335" s="30" t="s">
        <v>965</v>
      </c>
    </row>
    <row r="336" spans="1:27" s="29" customFormat="1" ht="34.5" customHeight="1">
      <c r="A336" s="30" t="s">
        <v>142</v>
      </c>
      <c r="B336" s="31" t="s">
        <v>56</v>
      </c>
      <c r="C336" s="30" t="s">
        <v>29</v>
      </c>
      <c r="D336" s="30" t="s">
        <v>966</v>
      </c>
      <c r="E336" s="30" t="s">
        <v>164</v>
      </c>
      <c r="F336" s="30" t="s">
        <v>967</v>
      </c>
      <c r="G336" s="30" t="s">
        <v>225</v>
      </c>
      <c r="H336" s="30">
        <v>236220</v>
      </c>
      <c r="I336" s="30" t="s">
        <v>98</v>
      </c>
      <c r="J336" s="30" t="s">
        <v>77</v>
      </c>
      <c r="K336" s="31" t="s">
        <v>69</v>
      </c>
      <c r="L336" s="30" t="s">
        <v>968</v>
      </c>
      <c r="M336" s="45">
        <v>2000</v>
      </c>
      <c r="N336" s="45">
        <v>2000000</v>
      </c>
      <c r="O336" s="30" t="s">
        <v>79</v>
      </c>
      <c r="P336" s="30" t="s">
        <v>302</v>
      </c>
      <c r="Q336" s="30" t="s">
        <v>294</v>
      </c>
      <c r="R336" s="30" t="s">
        <v>150</v>
      </c>
      <c r="S336" s="41">
        <v>2014</v>
      </c>
      <c r="T336" s="31" t="s">
        <v>969</v>
      </c>
      <c r="U336" s="31" t="s">
        <v>970</v>
      </c>
      <c r="V336" s="30" t="s">
        <v>971</v>
      </c>
      <c r="W336" s="30" t="s">
        <v>92</v>
      </c>
      <c r="X336" s="44">
        <v>41611</v>
      </c>
      <c r="Y336" s="44">
        <v>41768</v>
      </c>
      <c r="Z336" s="44">
        <v>43593</v>
      </c>
      <c r="AA336" s="30"/>
    </row>
    <row r="337" spans="1:27" s="29" customFormat="1" ht="34.5" customHeight="1">
      <c r="A337" s="30" t="s">
        <v>142</v>
      </c>
      <c r="B337" s="31" t="s">
        <v>56</v>
      </c>
      <c r="C337" s="30" t="s">
        <v>29</v>
      </c>
      <c r="D337" s="30" t="s">
        <v>966</v>
      </c>
      <c r="E337" s="30" t="s">
        <v>164</v>
      </c>
      <c r="F337" s="30" t="s">
        <v>944</v>
      </c>
      <c r="G337" s="30" t="s">
        <v>225</v>
      </c>
      <c r="H337" s="30">
        <v>236220</v>
      </c>
      <c r="I337" s="30" t="s">
        <v>98</v>
      </c>
      <c r="J337" s="30" t="s">
        <v>77</v>
      </c>
      <c r="K337" s="31" t="s">
        <v>69</v>
      </c>
      <c r="L337" s="30" t="s">
        <v>968</v>
      </c>
      <c r="M337" s="45">
        <v>2000</v>
      </c>
      <c r="N337" s="45">
        <v>3000000</v>
      </c>
      <c r="O337" s="30" t="s">
        <v>79</v>
      </c>
      <c r="P337" s="30" t="s">
        <v>302</v>
      </c>
      <c r="Q337" s="30" t="s">
        <v>294</v>
      </c>
      <c r="R337" s="30" t="s">
        <v>150</v>
      </c>
      <c r="S337" s="41">
        <v>2014</v>
      </c>
      <c r="T337" s="31" t="s">
        <v>969</v>
      </c>
      <c r="U337" s="31" t="s">
        <v>970</v>
      </c>
      <c r="V337" s="30" t="s">
        <v>971</v>
      </c>
      <c r="W337" s="30" t="s">
        <v>92</v>
      </c>
      <c r="X337" s="44">
        <v>41611</v>
      </c>
      <c r="Y337" s="44">
        <v>41758</v>
      </c>
      <c r="Z337" s="44">
        <v>43583</v>
      </c>
      <c r="AA337" s="30"/>
    </row>
    <row r="338" spans="1:27" s="29" customFormat="1" ht="34.5" customHeight="1">
      <c r="A338" s="30" t="s">
        <v>142</v>
      </c>
      <c r="B338" s="31" t="s">
        <v>56</v>
      </c>
      <c r="C338" s="30" t="s">
        <v>29</v>
      </c>
      <c r="D338" s="30" t="s">
        <v>966</v>
      </c>
      <c r="E338" s="30" t="s">
        <v>164</v>
      </c>
      <c r="F338" s="30" t="s">
        <v>972</v>
      </c>
      <c r="G338" s="30" t="s">
        <v>225</v>
      </c>
      <c r="H338" s="30">
        <v>236220</v>
      </c>
      <c r="I338" s="30" t="s">
        <v>98</v>
      </c>
      <c r="J338" s="30" t="s">
        <v>77</v>
      </c>
      <c r="K338" s="31" t="s">
        <v>69</v>
      </c>
      <c r="L338" s="52" t="s">
        <v>968</v>
      </c>
      <c r="M338" s="45">
        <v>2000</v>
      </c>
      <c r="N338" s="45">
        <v>2000000</v>
      </c>
      <c r="O338" s="30" t="s">
        <v>79</v>
      </c>
      <c r="P338" s="30" t="s">
        <v>302</v>
      </c>
      <c r="Q338" s="30" t="s">
        <v>294</v>
      </c>
      <c r="R338" s="30" t="s">
        <v>150</v>
      </c>
      <c r="S338" s="41">
        <v>2014</v>
      </c>
      <c r="T338" s="31" t="s">
        <v>973</v>
      </c>
      <c r="U338" s="31" t="s">
        <v>974</v>
      </c>
      <c r="V338" s="30" t="s">
        <v>975</v>
      </c>
      <c r="W338" s="30" t="s">
        <v>92</v>
      </c>
      <c r="X338" s="44">
        <v>41593</v>
      </c>
      <c r="Y338" s="44">
        <v>41704</v>
      </c>
      <c r="Z338" s="44">
        <v>43529</v>
      </c>
      <c r="AA338" s="30"/>
    </row>
    <row r="339" spans="1:27" s="29" customFormat="1" ht="34.5" customHeight="1">
      <c r="A339" s="30" t="s">
        <v>142</v>
      </c>
      <c r="B339" s="31" t="s">
        <v>56</v>
      </c>
      <c r="C339" s="30" t="s">
        <v>29</v>
      </c>
      <c r="D339" s="30" t="s">
        <v>966</v>
      </c>
      <c r="E339" s="30" t="s">
        <v>164</v>
      </c>
      <c r="F339" s="30" t="s">
        <v>976</v>
      </c>
      <c r="G339" s="30" t="s">
        <v>225</v>
      </c>
      <c r="H339" s="30">
        <v>236220</v>
      </c>
      <c r="I339" s="129" t="s">
        <v>546</v>
      </c>
      <c r="J339" s="30" t="s">
        <v>77</v>
      </c>
      <c r="K339" s="31" t="s">
        <v>69</v>
      </c>
      <c r="L339" s="30" t="s">
        <v>977</v>
      </c>
      <c r="M339" s="45">
        <v>2000</v>
      </c>
      <c r="N339" s="45">
        <v>1500000</v>
      </c>
      <c r="O339" s="30" t="s">
        <v>79</v>
      </c>
      <c r="P339" s="30" t="s">
        <v>302</v>
      </c>
      <c r="Q339" s="30" t="s">
        <v>294</v>
      </c>
      <c r="R339" s="30" t="s">
        <v>150</v>
      </c>
      <c r="S339" s="41">
        <v>2014</v>
      </c>
      <c r="T339" s="31" t="s">
        <v>973</v>
      </c>
      <c r="U339" s="31" t="s">
        <v>974</v>
      </c>
      <c r="V339" s="30" t="s">
        <v>975</v>
      </c>
      <c r="W339" s="30" t="s">
        <v>92</v>
      </c>
      <c r="X339" s="44">
        <v>41596</v>
      </c>
      <c r="Y339" s="44">
        <v>41711</v>
      </c>
      <c r="Z339" s="44">
        <v>43536</v>
      </c>
      <c r="AA339" s="30"/>
    </row>
    <row r="340" spans="1:27" s="29" customFormat="1" ht="34.5" customHeight="1">
      <c r="A340" s="30" t="s">
        <v>142</v>
      </c>
      <c r="B340" s="31" t="s">
        <v>56</v>
      </c>
      <c r="C340" s="30" t="s">
        <v>29</v>
      </c>
      <c r="D340" s="30" t="s">
        <v>966</v>
      </c>
      <c r="E340" s="30" t="s">
        <v>164</v>
      </c>
      <c r="F340" s="30" t="s">
        <v>978</v>
      </c>
      <c r="G340" s="30" t="s">
        <v>225</v>
      </c>
      <c r="H340" s="30">
        <v>236220</v>
      </c>
      <c r="I340" s="30" t="s">
        <v>98</v>
      </c>
      <c r="J340" s="30" t="s">
        <v>77</v>
      </c>
      <c r="K340" s="31" t="s">
        <v>69</v>
      </c>
      <c r="L340" s="30" t="s">
        <v>968</v>
      </c>
      <c r="M340" s="45">
        <v>2000</v>
      </c>
      <c r="N340" s="45">
        <v>2000000</v>
      </c>
      <c r="O340" s="30" t="s">
        <v>79</v>
      </c>
      <c r="P340" s="30" t="s">
        <v>302</v>
      </c>
      <c r="Q340" s="30" t="s">
        <v>294</v>
      </c>
      <c r="R340" s="30" t="s">
        <v>150</v>
      </c>
      <c r="S340" s="41">
        <v>2014</v>
      </c>
      <c r="T340" s="31" t="s">
        <v>973</v>
      </c>
      <c r="U340" s="31" t="s">
        <v>974</v>
      </c>
      <c r="V340" s="30" t="s">
        <v>975</v>
      </c>
      <c r="W340" s="30" t="s">
        <v>92</v>
      </c>
      <c r="X340" s="44">
        <v>41598</v>
      </c>
      <c r="Y340" s="44">
        <v>41719</v>
      </c>
      <c r="Z340" s="44">
        <v>43544</v>
      </c>
      <c r="AA340" s="30"/>
    </row>
    <row r="341" spans="1:27" s="29" customFormat="1" ht="38.25" customHeight="1">
      <c r="A341" s="30" t="s">
        <v>142</v>
      </c>
      <c r="B341" s="31" t="s">
        <v>56</v>
      </c>
      <c r="C341" s="30" t="s">
        <v>39</v>
      </c>
      <c r="D341" s="30" t="s">
        <v>979</v>
      </c>
      <c r="E341" s="30" t="s">
        <v>164</v>
      </c>
      <c r="F341" s="30" t="s">
        <v>955</v>
      </c>
      <c r="G341" s="30" t="s">
        <v>225</v>
      </c>
      <c r="H341" s="30">
        <v>236220</v>
      </c>
      <c r="I341" s="30" t="s">
        <v>98</v>
      </c>
      <c r="J341" s="30" t="s">
        <v>172</v>
      </c>
      <c r="K341" s="30" t="s">
        <v>78</v>
      </c>
      <c r="L341" s="30" t="s">
        <v>45</v>
      </c>
      <c r="M341" s="45">
        <v>100000</v>
      </c>
      <c r="N341" s="45">
        <v>250000</v>
      </c>
      <c r="O341" s="30" t="s">
        <v>79</v>
      </c>
      <c r="P341" s="30" t="s">
        <v>302</v>
      </c>
      <c r="Q341" s="30" t="s">
        <v>294</v>
      </c>
      <c r="R341" s="155" t="s">
        <v>80</v>
      </c>
      <c r="S341" s="41">
        <v>2014</v>
      </c>
      <c r="T341" s="31" t="s">
        <v>980</v>
      </c>
      <c r="U341" s="31" t="s">
        <v>981</v>
      </c>
      <c r="V341" s="30" t="s">
        <v>982</v>
      </c>
      <c r="W341" s="30" t="s">
        <v>92</v>
      </c>
      <c r="X341" s="44">
        <v>41728</v>
      </c>
      <c r="Y341" s="44">
        <v>41424</v>
      </c>
      <c r="Z341" s="44">
        <v>41912</v>
      </c>
      <c r="AA341" s="30" t="s">
        <v>983</v>
      </c>
    </row>
    <row r="342" spans="1:27" s="29" customFormat="1" ht="38.25" customHeight="1">
      <c r="A342" s="30" t="s">
        <v>142</v>
      </c>
      <c r="B342" s="31" t="s">
        <v>56</v>
      </c>
      <c r="C342" s="30" t="s">
        <v>39</v>
      </c>
      <c r="D342" s="30" t="s">
        <v>984</v>
      </c>
      <c r="E342" s="30" t="s">
        <v>164</v>
      </c>
      <c r="F342" s="30" t="s">
        <v>955</v>
      </c>
      <c r="G342" s="30" t="s">
        <v>225</v>
      </c>
      <c r="H342" s="30">
        <v>236220</v>
      </c>
      <c r="I342" s="30" t="s">
        <v>98</v>
      </c>
      <c r="J342" s="30" t="s">
        <v>172</v>
      </c>
      <c r="K342" s="30" t="s">
        <v>78</v>
      </c>
      <c r="L342" s="30" t="s">
        <v>45</v>
      </c>
      <c r="M342" s="45">
        <v>500000</v>
      </c>
      <c r="N342" s="45">
        <v>1000000</v>
      </c>
      <c r="O342" s="30" t="s">
        <v>79</v>
      </c>
      <c r="P342" s="30" t="s">
        <v>302</v>
      </c>
      <c r="Q342" s="30" t="s">
        <v>294</v>
      </c>
      <c r="R342" s="155" t="s">
        <v>80</v>
      </c>
      <c r="S342" s="41">
        <v>2014</v>
      </c>
      <c r="T342" s="31" t="s">
        <v>980</v>
      </c>
      <c r="U342" s="31" t="s">
        <v>981</v>
      </c>
      <c r="V342" s="30" t="s">
        <v>982</v>
      </c>
      <c r="W342" s="30" t="s">
        <v>92</v>
      </c>
      <c r="X342" s="44">
        <v>41728</v>
      </c>
      <c r="Y342" s="44">
        <v>41424</v>
      </c>
      <c r="Z342" s="44">
        <v>41912</v>
      </c>
      <c r="AA342" s="30" t="s">
        <v>983</v>
      </c>
    </row>
    <row r="343" spans="1:27" s="29" customFormat="1" ht="34.5" customHeight="1">
      <c r="A343" s="30" t="s">
        <v>142</v>
      </c>
      <c r="B343" s="31" t="s">
        <v>56</v>
      </c>
      <c r="C343" s="30" t="s">
        <v>29</v>
      </c>
      <c r="D343" s="30" t="s">
        <v>966</v>
      </c>
      <c r="E343" s="30" t="s">
        <v>164</v>
      </c>
      <c r="F343" s="30" t="s">
        <v>985</v>
      </c>
      <c r="G343" s="30" t="s">
        <v>225</v>
      </c>
      <c r="H343" s="30">
        <v>236220</v>
      </c>
      <c r="I343" s="129" t="s">
        <v>546</v>
      </c>
      <c r="J343" s="30" t="s">
        <v>77</v>
      </c>
      <c r="K343" s="31" t="s">
        <v>69</v>
      </c>
      <c r="L343" s="30" t="s">
        <v>977</v>
      </c>
      <c r="M343" s="45">
        <v>2000</v>
      </c>
      <c r="N343" s="45">
        <v>2000000</v>
      </c>
      <c r="O343" s="30" t="s">
        <v>79</v>
      </c>
      <c r="P343" s="30" t="s">
        <v>302</v>
      </c>
      <c r="Q343" s="30" t="s">
        <v>294</v>
      </c>
      <c r="R343" s="30" t="s">
        <v>150</v>
      </c>
      <c r="S343" s="41">
        <v>2014</v>
      </c>
      <c r="T343" s="31" t="s">
        <v>973</v>
      </c>
      <c r="U343" s="31" t="s">
        <v>974</v>
      </c>
      <c r="V343" s="30" t="s">
        <v>975</v>
      </c>
      <c r="W343" s="30" t="s">
        <v>92</v>
      </c>
      <c r="X343" s="44">
        <v>41599</v>
      </c>
      <c r="Y343" s="44">
        <v>41729</v>
      </c>
      <c r="Z343" s="44">
        <v>43554</v>
      </c>
      <c r="AA343" s="30"/>
    </row>
    <row r="344" spans="1:27" s="29" customFormat="1" ht="34.5" customHeight="1">
      <c r="A344" s="30" t="s">
        <v>142</v>
      </c>
      <c r="B344" s="31" t="s">
        <v>56</v>
      </c>
      <c r="C344" s="30" t="s">
        <v>39</v>
      </c>
      <c r="D344" s="30" t="s">
        <v>986</v>
      </c>
      <c r="E344" s="30" t="s">
        <v>74</v>
      </c>
      <c r="F344" s="132" t="s">
        <v>822</v>
      </c>
      <c r="G344" s="132" t="s">
        <v>3377</v>
      </c>
      <c r="H344" s="30">
        <v>541620</v>
      </c>
      <c r="I344" s="30" t="s">
        <v>45</v>
      </c>
      <c r="J344" s="30" t="s">
        <v>52</v>
      </c>
      <c r="K344" s="30" t="s">
        <v>61</v>
      </c>
      <c r="L344" s="30"/>
      <c r="M344" s="45">
        <v>2000</v>
      </c>
      <c r="N344" s="45">
        <v>1000000</v>
      </c>
      <c r="O344" s="30" t="s">
        <v>79</v>
      </c>
      <c r="P344" s="30" t="s">
        <v>987</v>
      </c>
      <c r="Q344" s="30" t="s">
        <v>294</v>
      </c>
      <c r="R344" s="155" t="s">
        <v>80</v>
      </c>
      <c r="S344" s="41">
        <v>2014</v>
      </c>
      <c r="T344" s="31" t="s">
        <v>988</v>
      </c>
      <c r="U344" s="31" t="s">
        <v>989</v>
      </c>
      <c r="V344" s="30" t="s">
        <v>990</v>
      </c>
      <c r="W344" s="30" t="s">
        <v>92</v>
      </c>
      <c r="X344" s="44">
        <v>41641</v>
      </c>
      <c r="Y344" s="44">
        <v>41713</v>
      </c>
      <c r="Z344" s="44">
        <v>43538</v>
      </c>
      <c r="AA344" s="30"/>
    </row>
    <row r="345" spans="1:27" s="29" customFormat="1" ht="34.5" customHeight="1">
      <c r="A345" s="30" t="s">
        <v>142</v>
      </c>
      <c r="B345" s="31" t="s">
        <v>56</v>
      </c>
      <c r="C345" s="30" t="s">
        <v>39</v>
      </c>
      <c r="D345" s="30" t="s">
        <v>328</v>
      </c>
      <c r="E345" s="30" t="s">
        <v>96</v>
      </c>
      <c r="F345" s="30" t="s">
        <v>991</v>
      </c>
      <c r="G345" s="30" t="s">
        <v>225</v>
      </c>
      <c r="H345" s="30">
        <v>541310</v>
      </c>
      <c r="I345" s="30" t="s">
        <v>45</v>
      </c>
      <c r="J345" s="30" t="s">
        <v>77</v>
      </c>
      <c r="K345" s="31" t="s">
        <v>91</v>
      </c>
      <c r="L345" s="30"/>
      <c r="M345" s="45">
        <v>1000</v>
      </c>
      <c r="N345" s="45">
        <v>2000000</v>
      </c>
      <c r="O345" s="30" t="s">
        <v>79</v>
      </c>
      <c r="P345" s="30" t="s">
        <v>992</v>
      </c>
      <c r="Q345" s="30" t="s">
        <v>294</v>
      </c>
      <c r="R345" s="155" t="s">
        <v>80</v>
      </c>
      <c r="S345" s="41">
        <v>2014</v>
      </c>
      <c r="T345" s="31" t="s">
        <v>988</v>
      </c>
      <c r="U345" s="31" t="s">
        <v>989</v>
      </c>
      <c r="V345" s="30" t="s">
        <v>990</v>
      </c>
      <c r="W345" s="30" t="s">
        <v>92</v>
      </c>
      <c r="X345" s="44">
        <v>41675</v>
      </c>
      <c r="Y345" s="44">
        <v>41880</v>
      </c>
      <c r="Z345" s="44">
        <v>43705</v>
      </c>
      <c r="AA345" s="30"/>
    </row>
    <row r="346" spans="1:27" s="29" customFormat="1" ht="34.5" customHeight="1">
      <c r="A346" s="30" t="s">
        <v>142</v>
      </c>
      <c r="B346" s="31" t="s">
        <v>56</v>
      </c>
      <c r="C346" s="30" t="s">
        <v>29</v>
      </c>
      <c r="D346" s="30" t="s">
        <v>328</v>
      </c>
      <c r="E346" s="30" t="s">
        <v>96</v>
      </c>
      <c r="F346" s="129" t="s">
        <v>822</v>
      </c>
      <c r="G346" s="30" t="s">
        <v>207</v>
      </c>
      <c r="H346" s="30">
        <v>541310</v>
      </c>
      <c r="I346" s="30" t="s">
        <v>45</v>
      </c>
      <c r="J346" s="30" t="s">
        <v>77</v>
      </c>
      <c r="K346" s="31" t="s">
        <v>91</v>
      </c>
      <c r="L346" s="30"/>
      <c r="M346" s="45">
        <v>1000</v>
      </c>
      <c r="N346" s="45">
        <v>2000000</v>
      </c>
      <c r="O346" s="30" t="s">
        <v>79</v>
      </c>
      <c r="P346" s="30" t="s">
        <v>993</v>
      </c>
      <c r="Q346" s="30" t="s">
        <v>294</v>
      </c>
      <c r="R346" s="30" t="s">
        <v>150</v>
      </c>
      <c r="S346" s="41">
        <v>2014</v>
      </c>
      <c r="T346" s="31" t="s">
        <v>988</v>
      </c>
      <c r="U346" s="31" t="s">
        <v>989</v>
      </c>
      <c r="V346" s="30" t="s">
        <v>990</v>
      </c>
      <c r="W346" s="30" t="s">
        <v>92</v>
      </c>
      <c r="X346" s="44">
        <v>41619</v>
      </c>
      <c r="Y346" s="44">
        <v>41773</v>
      </c>
      <c r="Z346" s="44">
        <v>43598</v>
      </c>
      <c r="AA346" s="30"/>
    </row>
    <row r="347" spans="1:27" s="29" customFormat="1" ht="34.5" customHeight="1">
      <c r="A347" s="30" t="s">
        <v>142</v>
      </c>
      <c r="B347" s="31" t="s">
        <v>56</v>
      </c>
      <c r="C347" s="30" t="s">
        <v>29</v>
      </c>
      <c r="D347" s="30" t="s">
        <v>328</v>
      </c>
      <c r="E347" s="30" t="s">
        <v>96</v>
      </c>
      <c r="F347" s="30" t="s">
        <v>976</v>
      </c>
      <c r="G347" s="30" t="s">
        <v>225</v>
      </c>
      <c r="H347" s="30">
        <v>541310</v>
      </c>
      <c r="I347" s="30" t="s">
        <v>45</v>
      </c>
      <c r="J347" s="30" t="s">
        <v>77</v>
      </c>
      <c r="K347" s="31" t="s">
        <v>91</v>
      </c>
      <c r="L347" s="30"/>
      <c r="M347" s="45">
        <v>1000</v>
      </c>
      <c r="N347" s="45">
        <v>2000000</v>
      </c>
      <c r="O347" s="30" t="s">
        <v>79</v>
      </c>
      <c r="P347" s="30" t="s">
        <v>994</v>
      </c>
      <c r="Q347" s="30" t="s">
        <v>294</v>
      </c>
      <c r="R347" s="30" t="s">
        <v>150</v>
      </c>
      <c r="S347" s="41">
        <v>2014</v>
      </c>
      <c r="T347" s="31" t="s">
        <v>988</v>
      </c>
      <c r="U347" s="31" t="s">
        <v>989</v>
      </c>
      <c r="V347" s="30" t="s">
        <v>990</v>
      </c>
      <c r="W347" s="30" t="s">
        <v>92</v>
      </c>
      <c r="X347" s="44">
        <v>41622</v>
      </c>
      <c r="Y347" s="44">
        <v>41759</v>
      </c>
      <c r="Z347" s="44">
        <v>43614</v>
      </c>
      <c r="AA347" s="30"/>
    </row>
    <row r="348" spans="1:27" s="29" customFormat="1" ht="34.5" customHeight="1">
      <c r="A348" s="30" t="s">
        <v>142</v>
      </c>
      <c r="B348" s="31" t="s">
        <v>56</v>
      </c>
      <c r="C348" s="30" t="s">
        <v>29</v>
      </c>
      <c r="D348" s="30" t="s">
        <v>995</v>
      </c>
      <c r="E348" s="30" t="s">
        <v>96</v>
      </c>
      <c r="F348" s="129" t="s">
        <v>822</v>
      </c>
      <c r="G348" s="30" t="s">
        <v>243</v>
      </c>
      <c r="H348" s="30">
        <v>541310</v>
      </c>
      <c r="I348" s="30" t="s">
        <v>45</v>
      </c>
      <c r="J348" s="30" t="s">
        <v>77</v>
      </c>
      <c r="K348" s="30" t="s">
        <v>99</v>
      </c>
      <c r="L348" s="30" t="s">
        <v>996</v>
      </c>
      <c r="M348" s="45">
        <v>1000</v>
      </c>
      <c r="N348" s="45">
        <v>60000000</v>
      </c>
      <c r="O348" s="30" t="s">
        <v>387</v>
      </c>
      <c r="P348" s="30" t="s">
        <v>302</v>
      </c>
      <c r="Q348" s="30" t="s">
        <v>294</v>
      </c>
      <c r="R348" s="155" t="s">
        <v>80</v>
      </c>
      <c r="S348" s="41">
        <v>2014</v>
      </c>
      <c r="T348" s="31" t="s">
        <v>997</v>
      </c>
      <c r="U348" s="31" t="s">
        <v>998</v>
      </c>
      <c r="V348" s="30" t="s">
        <v>999</v>
      </c>
      <c r="W348" s="30" t="s">
        <v>92</v>
      </c>
      <c r="X348" s="44">
        <v>41671</v>
      </c>
      <c r="Y348" s="44">
        <v>41821</v>
      </c>
      <c r="Z348" s="44">
        <v>43646</v>
      </c>
      <c r="AA348" s="30" t="s">
        <v>393</v>
      </c>
    </row>
    <row r="349" spans="1:27" s="29" customFormat="1" ht="34.5" customHeight="1">
      <c r="A349" s="30" t="s">
        <v>142</v>
      </c>
      <c r="B349" s="31" t="s">
        <v>56</v>
      </c>
      <c r="C349" s="30" t="s">
        <v>286</v>
      </c>
      <c r="D349" s="30" t="s">
        <v>1000</v>
      </c>
      <c r="E349" s="30" t="s">
        <v>164</v>
      </c>
      <c r="F349" s="30" t="s">
        <v>899</v>
      </c>
      <c r="G349" s="30" t="s">
        <v>195</v>
      </c>
      <c r="H349" s="30">
        <v>236220</v>
      </c>
      <c r="I349" s="30" t="s">
        <v>45</v>
      </c>
      <c r="J349" s="30" t="s">
        <v>77</v>
      </c>
      <c r="K349" s="30" t="s">
        <v>34</v>
      </c>
      <c r="L349" s="30" t="s">
        <v>345</v>
      </c>
      <c r="M349" s="45">
        <v>25000</v>
      </c>
      <c r="N349" s="45">
        <v>25000</v>
      </c>
      <c r="O349" s="129" t="s">
        <v>149</v>
      </c>
      <c r="P349" s="30" t="s">
        <v>302</v>
      </c>
      <c r="Q349" s="30"/>
      <c r="R349" s="155" t="s">
        <v>80</v>
      </c>
      <c r="S349" s="41">
        <v>2014</v>
      </c>
      <c r="T349" s="31" t="s">
        <v>900</v>
      </c>
      <c r="U349" s="31" t="s">
        <v>901</v>
      </c>
      <c r="V349" s="30" t="s">
        <v>902</v>
      </c>
      <c r="W349" s="30" t="s">
        <v>92</v>
      </c>
      <c r="X349" s="30" t="s">
        <v>345</v>
      </c>
      <c r="Y349" s="30" t="s">
        <v>345</v>
      </c>
      <c r="Z349" s="30" t="s">
        <v>345</v>
      </c>
      <c r="AA349" s="30"/>
    </row>
    <row r="350" spans="1:27" s="29" customFormat="1" ht="34.5" customHeight="1">
      <c r="A350" s="30" t="s">
        <v>142</v>
      </c>
      <c r="B350" s="31" t="s">
        <v>56</v>
      </c>
      <c r="C350" s="30" t="s">
        <v>39</v>
      </c>
      <c r="D350" s="30" t="s">
        <v>1001</v>
      </c>
      <c r="E350" s="30" t="s">
        <v>164</v>
      </c>
      <c r="F350" s="30" t="s">
        <v>1002</v>
      </c>
      <c r="G350" s="30" t="s">
        <v>195</v>
      </c>
      <c r="H350" s="30">
        <v>236220</v>
      </c>
      <c r="I350" s="30" t="s">
        <v>45</v>
      </c>
      <c r="J350" s="30" t="s">
        <v>129</v>
      </c>
      <c r="K350" s="31" t="s">
        <v>91</v>
      </c>
      <c r="L350" s="30" t="s">
        <v>91</v>
      </c>
      <c r="M350" s="45">
        <v>25000</v>
      </c>
      <c r="N350" s="45">
        <v>100000</v>
      </c>
      <c r="O350" s="30" t="s">
        <v>79</v>
      </c>
      <c r="P350" s="30" t="s">
        <v>302</v>
      </c>
      <c r="Q350" s="30" t="s">
        <v>294</v>
      </c>
      <c r="R350" s="155" t="s">
        <v>80</v>
      </c>
      <c r="S350" s="41">
        <v>2014</v>
      </c>
      <c r="T350" s="31" t="s">
        <v>1003</v>
      </c>
      <c r="U350" s="31" t="s">
        <v>1004</v>
      </c>
      <c r="V350" s="30" t="s">
        <v>1005</v>
      </c>
      <c r="W350" s="30" t="s">
        <v>92</v>
      </c>
      <c r="X350" s="44">
        <v>41680</v>
      </c>
      <c r="Y350" s="44">
        <v>41713</v>
      </c>
      <c r="Z350" s="44">
        <v>41805</v>
      </c>
      <c r="AA350" s="30" t="s">
        <v>393</v>
      </c>
    </row>
    <row r="351" spans="1:27" s="29" customFormat="1" ht="34.5" customHeight="1">
      <c r="A351" s="30" t="s">
        <v>142</v>
      </c>
      <c r="B351" s="31" t="s">
        <v>56</v>
      </c>
      <c r="C351" s="30" t="s">
        <v>39</v>
      </c>
      <c r="D351" s="30" t="s">
        <v>1006</v>
      </c>
      <c r="E351" s="30" t="s">
        <v>164</v>
      </c>
      <c r="F351" s="30" t="s">
        <v>1007</v>
      </c>
      <c r="G351" s="30" t="s">
        <v>195</v>
      </c>
      <c r="H351" s="30">
        <v>236220</v>
      </c>
      <c r="I351" s="30" t="s">
        <v>45</v>
      </c>
      <c r="J351" s="30" t="s">
        <v>129</v>
      </c>
      <c r="K351" s="31" t="s">
        <v>91</v>
      </c>
      <c r="L351" s="30" t="s">
        <v>91</v>
      </c>
      <c r="M351" s="45">
        <v>25000</v>
      </c>
      <c r="N351" s="39">
        <v>100000</v>
      </c>
      <c r="O351" s="30" t="s">
        <v>79</v>
      </c>
      <c r="P351" s="30" t="s">
        <v>302</v>
      </c>
      <c r="Q351" s="30" t="s">
        <v>294</v>
      </c>
      <c r="R351" s="155" t="s">
        <v>80</v>
      </c>
      <c r="S351" s="41">
        <v>2014</v>
      </c>
      <c r="T351" s="31" t="s">
        <v>1003</v>
      </c>
      <c r="U351" s="31" t="s">
        <v>1004</v>
      </c>
      <c r="V351" s="30" t="s">
        <v>1005</v>
      </c>
      <c r="W351" s="30" t="s">
        <v>92</v>
      </c>
      <c r="X351" s="44">
        <v>41654</v>
      </c>
      <c r="Y351" s="44">
        <v>41685</v>
      </c>
      <c r="Z351" s="44">
        <v>41805</v>
      </c>
      <c r="AA351" s="30" t="s">
        <v>393</v>
      </c>
    </row>
    <row r="352" spans="1:27" s="29" customFormat="1" ht="34.5" customHeight="1">
      <c r="A352" s="30" t="s">
        <v>142</v>
      </c>
      <c r="B352" s="31" t="s">
        <v>56</v>
      </c>
      <c r="C352" s="30" t="s">
        <v>39</v>
      </c>
      <c r="D352" s="30" t="s">
        <v>1008</v>
      </c>
      <c r="E352" s="30" t="s">
        <v>164</v>
      </c>
      <c r="F352" s="30" t="s">
        <v>899</v>
      </c>
      <c r="G352" s="30" t="s">
        <v>195</v>
      </c>
      <c r="H352" s="30">
        <v>236220</v>
      </c>
      <c r="I352" s="30" t="s">
        <v>45</v>
      </c>
      <c r="J352" s="30" t="s">
        <v>129</v>
      </c>
      <c r="K352" s="31" t="s">
        <v>91</v>
      </c>
      <c r="L352" s="30" t="s">
        <v>91</v>
      </c>
      <c r="M352" s="39">
        <v>25000</v>
      </c>
      <c r="N352" s="39">
        <v>100000</v>
      </c>
      <c r="O352" s="30" t="s">
        <v>79</v>
      </c>
      <c r="P352" s="30" t="s">
        <v>302</v>
      </c>
      <c r="Q352" s="30" t="s">
        <v>294</v>
      </c>
      <c r="R352" s="30" t="s">
        <v>150</v>
      </c>
      <c r="S352" s="41">
        <v>2014</v>
      </c>
      <c r="T352" s="31" t="s">
        <v>1003</v>
      </c>
      <c r="U352" s="31" t="s">
        <v>1004</v>
      </c>
      <c r="V352" s="30" t="s">
        <v>1005</v>
      </c>
      <c r="W352" s="30" t="s">
        <v>92</v>
      </c>
      <c r="X352" s="44">
        <v>41598</v>
      </c>
      <c r="Y352" s="44">
        <v>41638</v>
      </c>
      <c r="Z352" s="30" t="s">
        <v>1009</v>
      </c>
      <c r="AA352" s="30" t="s">
        <v>393</v>
      </c>
    </row>
    <row r="353" spans="1:27" s="29" customFormat="1" ht="34.5" customHeight="1">
      <c r="A353" s="30" t="s">
        <v>142</v>
      </c>
      <c r="B353" s="31" t="s">
        <v>56</v>
      </c>
      <c r="C353" s="30" t="s">
        <v>39</v>
      </c>
      <c r="D353" s="30" t="s">
        <v>1010</v>
      </c>
      <c r="E353" s="30" t="s">
        <v>164</v>
      </c>
      <c r="F353" s="30" t="s">
        <v>899</v>
      </c>
      <c r="G353" s="30" t="s">
        <v>195</v>
      </c>
      <c r="H353" s="30">
        <v>236220</v>
      </c>
      <c r="I353" s="30" t="s">
        <v>45</v>
      </c>
      <c r="J353" s="30" t="s">
        <v>129</v>
      </c>
      <c r="K353" s="31" t="s">
        <v>91</v>
      </c>
      <c r="L353" s="30" t="s">
        <v>91</v>
      </c>
      <c r="M353" s="39">
        <v>25000</v>
      </c>
      <c r="N353" s="39">
        <v>100000</v>
      </c>
      <c r="O353" s="30" t="s">
        <v>79</v>
      </c>
      <c r="P353" s="30" t="s">
        <v>302</v>
      </c>
      <c r="Q353" s="30" t="s">
        <v>294</v>
      </c>
      <c r="R353" s="155" t="s">
        <v>80</v>
      </c>
      <c r="S353" s="41">
        <v>2014</v>
      </c>
      <c r="T353" s="31" t="s">
        <v>1003</v>
      </c>
      <c r="U353" s="31" t="s">
        <v>1004</v>
      </c>
      <c r="V353" s="30" t="s">
        <v>1005</v>
      </c>
      <c r="W353" s="30" t="s">
        <v>92</v>
      </c>
      <c r="X353" s="44">
        <v>41649</v>
      </c>
      <c r="Y353" s="44">
        <v>41680</v>
      </c>
      <c r="Z353" s="44">
        <v>41708</v>
      </c>
      <c r="AA353" s="30" t="s">
        <v>396</v>
      </c>
    </row>
    <row r="354" spans="1:27" s="29" customFormat="1" ht="34.5" customHeight="1">
      <c r="A354" s="30" t="s">
        <v>142</v>
      </c>
      <c r="B354" s="31" t="s">
        <v>56</v>
      </c>
      <c r="C354" s="30" t="s">
        <v>39</v>
      </c>
      <c r="D354" s="30" t="s">
        <v>1011</v>
      </c>
      <c r="E354" s="30" t="s">
        <v>164</v>
      </c>
      <c r="F354" s="30" t="s">
        <v>899</v>
      </c>
      <c r="G354" s="30" t="s">
        <v>195</v>
      </c>
      <c r="H354" s="30">
        <v>236220</v>
      </c>
      <c r="I354" s="30" t="s">
        <v>45</v>
      </c>
      <c r="J354" s="30" t="s">
        <v>129</v>
      </c>
      <c r="K354" s="31" t="s">
        <v>91</v>
      </c>
      <c r="L354" s="30" t="s">
        <v>996</v>
      </c>
      <c r="M354" s="39">
        <v>25000</v>
      </c>
      <c r="N354" s="39">
        <v>100000</v>
      </c>
      <c r="O354" s="129" t="s">
        <v>79</v>
      </c>
      <c r="P354" s="30" t="s">
        <v>302</v>
      </c>
      <c r="Q354" s="129" t="s">
        <v>294</v>
      </c>
      <c r="R354" s="30" t="s">
        <v>100</v>
      </c>
      <c r="S354" s="41">
        <v>2014</v>
      </c>
      <c r="T354" s="31" t="s">
        <v>1003</v>
      </c>
      <c r="U354" s="31" t="s">
        <v>1004</v>
      </c>
      <c r="V354" s="30" t="s">
        <v>1005</v>
      </c>
      <c r="W354" s="30" t="s">
        <v>92</v>
      </c>
      <c r="X354" s="44">
        <v>41739</v>
      </c>
      <c r="Y354" s="44">
        <v>41769</v>
      </c>
      <c r="Z354" s="44">
        <v>41830</v>
      </c>
      <c r="AA354" s="30" t="s">
        <v>393</v>
      </c>
    </row>
    <row r="355" spans="1:27" s="29" customFormat="1" ht="34.5" customHeight="1">
      <c r="A355" s="30" t="s">
        <v>142</v>
      </c>
      <c r="B355" s="31" t="s">
        <v>56</v>
      </c>
      <c r="C355" s="30" t="s">
        <v>39</v>
      </c>
      <c r="D355" s="30" t="s">
        <v>1012</v>
      </c>
      <c r="E355" s="30" t="s">
        <v>164</v>
      </c>
      <c r="F355" s="30" t="s">
        <v>899</v>
      </c>
      <c r="G355" s="30" t="s">
        <v>195</v>
      </c>
      <c r="H355" s="30">
        <v>236220</v>
      </c>
      <c r="I355" s="30" t="s">
        <v>45</v>
      </c>
      <c r="J355" s="30" t="s">
        <v>129</v>
      </c>
      <c r="K355" s="31" t="s">
        <v>91</v>
      </c>
      <c r="L355" s="30" t="s">
        <v>1013</v>
      </c>
      <c r="M355" s="45">
        <v>25000</v>
      </c>
      <c r="N355" s="45">
        <v>100000</v>
      </c>
      <c r="O355" s="30" t="s">
        <v>79</v>
      </c>
      <c r="P355" s="30" t="s">
        <v>302</v>
      </c>
      <c r="Q355" s="30" t="s">
        <v>294</v>
      </c>
      <c r="R355" s="30" t="s">
        <v>100</v>
      </c>
      <c r="S355" s="41">
        <v>2014</v>
      </c>
      <c r="T355" s="31" t="s">
        <v>1003</v>
      </c>
      <c r="U355" s="31" t="s">
        <v>1004</v>
      </c>
      <c r="V355" s="30" t="s">
        <v>1005</v>
      </c>
      <c r="W355" s="30" t="s">
        <v>92</v>
      </c>
      <c r="X355" s="44">
        <v>41730</v>
      </c>
      <c r="Y355" s="44">
        <v>41760</v>
      </c>
      <c r="Z355" s="44">
        <v>41821</v>
      </c>
      <c r="AA355" s="30" t="s">
        <v>393</v>
      </c>
    </row>
    <row r="356" spans="1:27" s="29" customFormat="1" ht="34.5" customHeight="1">
      <c r="A356" s="30" t="s">
        <v>142</v>
      </c>
      <c r="B356" s="31" t="s">
        <v>56</v>
      </c>
      <c r="C356" s="30" t="s">
        <v>39</v>
      </c>
      <c r="D356" s="30" t="s">
        <v>1014</v>
      </c>
      <c r="E356" s="30" t="s">
        <v>164</v>
      </c>
      <c r="F356" s="30" t="s">
        <v>899</v>
      </c>
      <c r="G356" s="30" t="s">
        <v>195</v>
      </c>
      <c r="H356" s="30">
        <v>236220</v>
      </c>
      <c r="I356" s="30" t="s">
        <v>45</v>
      </c>
      <c r="J356" s="30" t="s">
        <v>129</v>
      </c>
      <c r="K356" s="31" t="s">
        <v>91</v>
      </c>
      <c r="L356" s="30" t="s">
        <v>424</v>
      </c>
      <c r="M356" s="45">
        <v>25000</v>
      </c>
      <c r="N356" s="45">
        <v>100000</v>
      </c>
      <c r="O356" s="30" t="s">
        <v>79</v>
      </c>
      <c r="P356" s="30" t="s">
        <v>302</v>
      </c>
      <c r="Q356" s="30" t="s">
        <v>294</v>
      </c>
      <c r="R356" s="30" t="s">
        <v>35</v>
      </c>
      <c r="S356" s="41">
        <v>2014</v>
      </c>
      <c r="T356" s="31" t="s">
        <v>1003</v>
      </c>
      <c r="U356" s="31" t="s">
        <v>1004</v>
      </c>
      <c r="V356" s="30" t="s">
        <v>1005</v>
      </c>
      <c r="W356" s="30" t="s">
        <v>92</v>
      </c>
      <c r="X356" s="44">
        <v>41830</v>
      </c>
      <c r="Y356" s="44">
        <v>41861</v>
      </c>
      <c r="Z356" s="44">
        <v>41912</v>
      </c>
      <c r="AA356" s="30" t="s">
        <v>396</v>
      </c>
    </row>
    <row r="357" spans="1:27" s="29" customFormat="1" ht="34.5" customHeight="1">
      <c r="A357" s="30" t="s">
        <v>142</v>
      </c>
      <c r="B357" s="31" t="s">
        <v>56</v>
      </c>
      <c r="C357" s="30" t="s">
        <v>39</v>
      </c>
      <c r="D357" s="30" t="s">
        <v>1015</v>
      </c>
      <c r="E357" s="30" t="s">
        <v>164</v>
      </c>
      <c r="F357" s="30" t="s">
        <v>1016</v>
      </c>
      <c r="G357" s="30" t="s">
        <v>195</v>
      </c>
      <c r="H357" s="30">
        <v>236220</v>
      </c>
      <c r="I357" s="30" t="s">
        <v>45</v>
      </c>
      <c r="J357" s="30" t="s">
        <v>129</v>
      </c>
      <c r="K357" s="31" t="s">
        <v>91</v>
      </c>
      <c r="L357" s="30" t="s">
        <v>424</v>
      </c>
      <c r="M357" s="45">
        <v>100000</v>
      </c>
      <c r="N357" s="45">
        <v>250000</v>
      </c>
      <c r="O357" s="30" t="s">
        <v>79</v>
      </c>
      <c r="P357" s="30" t="s">
        <v>302</v>
      </c>
      <c r="Q357" s="129" t="s">
        <v>294</v>
      </c>
      <c r="R357" s="30" t="s">
        <v>100</v>
      </c>
      <c r="S357" s="41">
        <v>2014</v>
      </c>
      <c r="T357" s="31" t="s">
        <v>1003</v>
      </c>
      <c r="U357" s="31" t="s">
        <v>1004</v>
      </c>
      <c r="V357" s="30" t="s">
        <v>1005</v>
      </c>
      <c r="W357" s="30" t="s">
        <v>92</v>
      </c>
      <c r="X357" s="44">
        <v>41739</v>
      </c>
      <c r="Y357" s="44">
        <v>41769</v>
      </c>
      <c r="Z357" s="44">
        <v>41850</v>
      </c>
      <c r="AA357" s="30" t="s">
        <v>396</v>
      </c>
    </row>
    <row r="358" spans="1:27" s="29" customFormat="1" ht="34.5" customHeight="1">
      <c r="A358" s="30" t="s">
        <v>142</v>
      </c>
      <c r="B358" s="31" t="s">
        <v>56</v>
      </c>
      <c r="C358" s="30" t="s">
        <v>39</v>
      </c>
      <c r="D358" s="30" t="s">
        <v>1001</v>
      </c>
      <c r="E358" s="30" t="s">
        <v>164</v>
      </c>
      <c r="F358" s="30" t="s">
        <v>1002</v>
      </c>
      <c r="G358" s="30" t="s">
        <v>195</v>
      </c>
      <c r="H358" s="30">
        <v>236220</v>
      </c>
      <c r="I358" s="30" t="s">
        <v>45</v>
      </c>
      <c r="J358" s="30" t="s">
        <v>129</v>
      </c>
      <c r="K358" s="31" t="s">
        <v>91</v>
      </c>
      <c r="L358" s="30" t="s">
        <v>91</v>
      </c>
      <c r="M358" s="45">
        <v>25000</v>
      </c>
      <c r="N358" s="45">
        <v>100000</v>
      </c>
      <c r="O358" s="30" t="s">
        <v>79</v>
      </c>
      <c r="P358" s="30" t="s">
        <v>302</v>
      </c>
      <c r="Q358" s="30" t="s">
        <v>294</v>
      </c>
      <c r="R358" s="155" t="s">
        <v>80</v>
      </c>
      <c r="S358" s="41">
        <v>2014</v>
      </c>
      <c r="T358" s="31" t="s">
        <v>1003</v>
      </c>
      <c r="U358" s="31" t="s">
        <v>1004</v>
      </c>
      <c r="V358" s="30" t="s">
        <v>1005</v>
      </c>
      <c r="W358" s="30" t="s">
        <v>92</v>
      </c>
      <c r="X358" s="44">
        <v>41618</v>
      </c>
      <c r="Y358" s="44">
        <v>41649</v>
      </c>
      <c r="Z358" s="30" t="s">
        <v>345</v>
      </c>
      <c r="AA358" s="30" t="s">
        <v>396</v>
      </c>
    </row>
    <row r="359" spans="1:27" s="29" customFormat="1" ht="34.5" customHeight="1">
      <c r="A359" s="30" t="s">
        <v>142</v>
      </c>
      <c r="B359" s="31" t="s">
        <v>56</v>
      </c>
      <c r="C359" s="30" t="s">
        <v>39</v>
      </c>
      <c r="D359" s="30" t="s">
        <v>1017</v>
      </c>
      <c r="E359" s="30" t="s">
        <v>164</v>
      </c>
      <c r="F359" s="30" t="s">
        <v>899</v>
      </c>
      <c r="G359" s="30" t="s">
        <v>195</v>
      </c>
      <c r="H359" s="30">
        <v>236220</v>
      </c>
      <c r="I359" s="30" t="s">
        <v>98</v>
      </c>
      <c r="J359" s="30" t="s">
        <v>129</v>
      </c>
      <c r="K359" s="31" t="s">
        <v>69</v>
      </c>
      <c r="L359" s="30" t="s">
        <v>91</v>
      </c>
      <c r="M359" s="45">
        <v>100000</v>
      </c>
      <c r="N359" s="45">
        <v>250000</v>
      </c>
      <c r="O359" s="30" t="s">
        <v>79</v>
      </c>
      <c r="P359" s="30" t="s">
        <v>302</v>
      </c>
      <c r="Q359" s="30" t="s">
        <v>294</v>
      </c>
      <c r="R359" s="155" t="s">
        <v>80</v>
      </c>
      <c r="S359" s="41">
        <v>2014</v>
      </c>
      <c r="T359" s="31" t="s">
        <v>1018</v>
      </c>
      <c r="U359" s="31" t="s">
        <v>1019</v>
      </c>
      <c r="V359" s="30" t="s">
        <v>1020</v>
      </c>
      <c r="W359" s="30" t="s">
        <v>92</v>
      </c>
      <c r="X359" s="44">
        <v>41674</v>
      </c>
      <c r="Y359" s="44">
        <v>41789</v>
      </c>
      <c r="Z359" s="30" t="s">
        <v>345</v>
      </c>
      <c r="AA359" s="30" t="s">
        <v>1021</v>
      </c>
    </row>
    <row r="360" spans="1:27" s="29" customFormat="1" ht="34.5" customHeight="1">
      <c r="A360" s="30" t="s">
        <v>142</v>
      </c>
      <c r="B360" s="31" t="s">
        <v>56</v>
      </c>
      <c r="C360" s="30" t="s">
        <v>39</v>
      </c>
      <c r="D360" s="30" t="s">
        <v>1022</v>
      </c>
      <c r="E360" s="30" t="s">
        <v>164</v>
      </c>
      <c r="F360" s="30" t="s">
        <v>899</v>
      </c>
      <c r="G360" s="30" t="s">
        <v>195</v>
      </c>
      <c r="H360" s="30">
        <v>236220</v>
      </c>
      <c r="I360" s="30" t="s">
        <v>98</v>
      </c>
      <c r="J360" s="30" t="s">
        <v>129</v>
      </c>
      <c r="K360" s="31" t="s">
        <v>69</v>
      </c>
      <c r="L360" s="30" t="s">
        <v>91</v>
      </c>
      <c r="M360" s="45">
        <v>250000</v>
      </c>
      <c r="N360" s="45" t="s">
        <v>1023</v>
      </c>
      <c r="O360" s="30" t="s">
        <v>79</v>
      </c>
      <c r="P360" s="30" t="s">
        <v>302</v>
      </c>
      <c r="Q360" s="129" t="s">
        <v>294</v>
      </c>
      <c r="R360" s="155" t="s">
        <v>80</v>
      </c>
      <c r="S360" s="41">
        <v>2014</v>
      </c>
      <c r="T360" s="31" t="s">
        <v>1018</v>
      </c>
      <c r="U360" s="31" t="s">
        <v>1019</v>
      </c>
      <c r="V360" s="30" t="s">
        <v>1020</v>
      </c>
      <c r="W360" s="30" t="s">
        <v>92</v>
      </c>
      <c r="X360" s="44">
        <v>41674</v>
      </c>
      <c r="Y360" s="30" t="s">
        <v>1024</v>
      </c>
      <c r="Z360" s="30" t="s">
        <v>345</v>
      </c>
      <c r="AA360" s="30"/>
    </row>
    <row r="361" spans="1:27" s="29" customFormat="1" ht="34.5" customHeight="1">
      <c r="A361" s="30" t="s">
        <v>142</v>
      </c>
      <c r="B361" s="31" t="s">
        <v>56</v>
      </c>
      <c r="C361" s="30" t="s">
        <v>39</v>
      </c>
      <c r="D361" s="30" t="s">
        <v>1025</v>
      </c>
      <c r="E361" s="30" t="s">
        <v>164</v>
      </c>
      <c r="F361" s="30" t="s">
        <v>899</v>
      </c>
      <c r="G361" s="30" t="s">
        <v>195</v>
      </c>
      <c r="H361" s="30">
        <v>236220</v>
      </c>
      <c r="I361" s="30" t="s">
        <v>45</v>
      </c>
      <c r="J361" s="30" t="s">
        <v>129</v>
      </c>
      <c r="K361" s="31" t="s">
        <v>91</v>
      </c>
      <c r="L361" s="30" t="s">
        <v>424</v>
      </c>
      <c r="M361" s="45">
        <v>25000</v>
      </c>
      <c r="N361" s="45">
        <v>100000</v>
      </c>
      <c r="O361" s="30" t="s">
        <v>79</v>
      </c>
      <c r="P361" s="30" t="s">
        <v>302</v>
      </c>
      <c r="Q361" s="30" t="s">
        <v>294</v>
      </c>
      <c r="R361" s="155" t="s">
        <v>80</v>
      </c>
      <c r="S361" s="41">
        <v>2014</v>
      </c>
      <c r="T361" s="31" t="s">
        <v>1003</v>
      </c>
      <c r="U361" s="31" t="s">
        <v>1004</v>
      </c>
      <c r="V361" s="30" t="s">
        <v>1005</v>
      </c>
      <c r="W361" s="30" t="s">
        <v>92</v>
      </c>
      <c r="X361" s="44">
        <v>41649</v>
      </c>
      <c r="Y361" s="44">
        <v>41680</v>
      </c>
      <c r="Z361" s="30" t="s">
        <v>345</v>
      </c>
      <c r="AA361" s="30" t="s">
        <v>393</v>
      </c>
    </row>
    <row r="362" spans="1:27" s="29" customFormat="1" ht="34.5" customHeight="1">
      <c r="A362" s="30" t="s">
        <v>142</v>
      </c>
      <c r="B362" s="31" t="s">
        <v>56</v>
      </c>
      <c r="C362" s="30" t="s">
        <v>39</v>
      </c>
      <c r="D362" s="30" t="s">
        <v>1006</v>
      </c>
      <c r="E362" s="30" t="s">
        <v>164</v>
      </c>
      <c r="F362" s="30" t="s">
        <v>1007</v>
      </c>
      <c r="G362" s="30" t="s">
        <v>195</v>
      </c>
      <c r="H362" s="30">
        <v>236220</v>
      </c>
      <c r="I362" s="30" t="s">
        <v>45</v>
      </c>
      <c r="J362" s="30" t="s">
        <v>129</v>
      </c>
      <c r="K362" s="31" t="s">
        <v>91</v>
      </c>
      <c r="L362" s="30" t="s">
        <v>424</v>
      </c>
      <c r="M362" s="45">
        <v>25000</v>
      </c>
      <c r="N362" s="45">
        <v>100000</v>
      </c>
      <c r="O362" s="30" t="s">
        <v>79</v>
      </c>
      <c r="P362" s="30" t="s">
        <v>302</v>
      </c>
      <c r="Q362" s="30" t="s">
        <v>294</v>
      </c>
      <c r="R362" s="155" t="s">
        <v>80</v>
      </c>
      <c r="S362" s="41">
        <v>2014</v>
      </c>
      <c r="T362" s="31" t="s">
        <v>1003</v>
      </c>
      <c r="U362" s="31" t="s">
        <v>1004</v>
      </c>
      <c r="V362" s="30" t="s">
        <v>1005</v>
      </c>
      <c r="W362" s="30" t="s">
        <v>92</v>
      </c>
      <c r="X362" s="44">
        <v>41654</v>
      </c>
      <c r="Y362" s="44">
        <v>41685</v>
      </c>
      <c r="Z362" s="30" t="s">
        <v>345</v>
      </c>
      <c r="AA362" s="30" t="s">
        <v>393</v>
      </c>
    </row>
    <row r="363" spans="1:27" s="29" customFormat="1" ht="34.5" customHeight="1">
      <c r="A363" s="30" t="s">
        <v>142</v>
      </c>
      <c r="B363" s="31" t="s">
        <v>56</v>
      </c>
      <c r="C363" s="30" t="s">
        <v>39</v>
      </c>
      <c r="D363" s="30" t="s">
        <v>1026</v>
      </c>
      <c r="E363" s="30" t="s">
        <v>164</v>
      </c>
      <c r="F363" s="30" t="s">
        <v>899</v>
      </c>
      <c r="G363" s="30" t="s">
        <v>195</v>
      </c>
      <c r="H363" s="30">
        <v>236220</v>
      </c>
      <c r="I363" s="30" t="s">
        <v>45</v>
      </c>
      <c r="J363" s="30" t="s">
        <v>129</v>
      </c>
      <c r="K363" s="31" t="s">
        <v>91</v>
      </c>
      <c r="L363" s="30" t="s">
        <v>996</v>
      </c>
      <c r="M363" s="45">
        <v>25000</v>
      </c>
      <c r="N363" s="45">
        <v>100000</v>
      </c>
      <c r="O363" s="30" t="s">
        <v>79</v>
      </c>
      <c r="P363" s="30" t="s">
        <v>302</v>
      </c>
      <c r="Q363" s="30" t="s">
        <v>294</v>
      </c>
      <c r="R363" s="155" t="s">
        <v>80</v>
      </c>
      <c r="S363" s="41">
        <v>2014</v>
      </c>
      <c r="T363" s="31" t="s">
        <v>1003</v>
      </c>
      <c r="U363" s="31" t="s">
        <v>1004</v>
      </c>
      <c r="V363" s="30" t="s">
        <v>1005</v>
      </c>
      <c r="W363" s="30" t="s">
        <v>92</v>
      </c>
      <c r="X363" s="44">
        <v>41669</v>
      </c>
      <c r="Y363" s="30" t="s">
        <v>1027</v>
      </c>
      <c r="Z363" s="30" t="s">
        <v>345</v>
      </c>
      <c r="AA363" s="30" t="s">
        <v>393</v>
      </c>
    </row>
    <row r="364" spans="1:27" s="29" customFormat="1" ht="34.5" customHeight="1">
      <c r="A364" s="30" t="s">
        <v>142</v>
      </c>
      <c r="B364" s="31" t="s">
        <v>56</v>
      </c>
      <c r="C364" s="30" t="s">
        <v>39</v>
      </c>
      <c r="D364" s="30" t="s">
        <v>1028</v>
      </c>
      <c r="E364" s="30" t="s">
        <v>164</v>
      </c>
      <c r="F364" s="30" t="s">
        <v>1002</v>
      </c>
      <c r="G364" s="30" t="s">
        <v>195</v>
      </c>
      <c r="H364" s="30">
        <v>236220</v>
      </c>
      <c r="I364" s="30" t="s">
        <v>45</v>
      </c>
      <c r="J364" s="30" t="s">
        <v>129</v>
      </c>
      <c r="K364" s="31" t="s">
        <v>91</v>
      </c>
      <c r="L364" s="30" t="s">
        <v>424</v>
      </c>
      <c r="M364" s="45">
        <v>25000</v>
      </c>
      <c r="N364" s="45">
        <v>100000</v>
      </c>
      <c r="O364" s="30" t="s">
        <v>79</v>
      </c>
      <c r="P364" s="30" t="s">
        <v>302</v>
      </c>
      <c r="Q364" s="30" t="s">
        <v>294</v>
      </c>
      <c r="R364" s="155" t="s">
        <v>80</v>
      </c>
      <c r="S364" s="41">
        <v>2014</v>
      </c>
      <c r="T364" s="31" t="s">
        <v>1003</v>
      </c>
      <c r="U364" s="31" t="s">
        <v>1004</v>
      </c>
      <c r="V364" s="30" t="s">
        <v>1005</v>
      </c>
      <c r="W364" s="30" t="s">
        <v>92</v>
      </c>
      <c r="X364" s="44">
        <v>41649</v>
      </c>
      <c r="Y364" s="44">
        <v>41680</v>
      </c>
      <c r="Z364" s="30" t="s">
        <v>345</v>
      </c>
      <c r="AA364" s="30" t="s">
        <v>372</v>
      </c>
    </row>
    <row r="365" spans="1:27" s="29" customFormat="1" ht="34.5" customHeight="1">
      <c r="A365" s="30" t="s">
        <v>142</v>
      </c>
      <c r="B365" s="31" t="s">
        <v>56</v>
      </c>
      <c r="C365" s="30" t="s">
        <v>39</v>
      </c>
      <c r="D365" s="30" t="s">
        <v>1025</v>
      </c>
      <c r="E365" s="30" t="s">
        <v>164</v>
      </c>
      <c r="F365" s="30" t="s">
        <v>899</v>
      </c>
      <c r="G365" s="30" t="s">
        <v>195</v>
      </c>
      <c r="H365" s="30">
        <v>236220</v>
      </c>
      <c r="I365" s="30" t="s">
        <v>45</v>
      </c>
      <c r="J365" s="30" t="s">
        <v>129</v>
      </c>
      <c r="K365" s="31" t="s">
        <v>91</v>
      </c>
      <c r="L365" s="30" t="s">
        <v>424</v>
      </c>
      <c r="M365" s="45">
        <v>25000</v>
      </c>
      <c r="N365" s="45">
        <v>100000</v>
      </c>
      <c r="O365" s="30" t="s">
        <v>79</v>
      </c>
      <c r="P365" s="30" t="s">
        <v>302</v>
      </c>
      <c r="Q365" s="30" t="s">
        <v>294</v>
      </c>
      <c r="R365" s="129" t="s">
        <v>150</v>
      </c>
      <c r="S365" s="41">
        <v>2014</v>
      </c>
      <c r="T365" s="31" t="s">
        <v>1003</v>
      </c>
      <c r="U365" s="31" t="s">
        <v>1004</v>
      </c>
      <c r="V365" s="30" t="s">
        <v>1005</v>
      </c>
      <c r="W365" s="30" t="s">
        <v>92</v>
      </c>
      <c r="X365" s="44">
        <v>41618</v>
      </c>
      <c r="Y365" s="44">
        <v>41669</v>
      </c>
      <c r="Z365" s="30" t="s">
        <v>345</v>
      </c>
      <c r="AA365" s="30" t="s">
        <v>372</v>
      </c>
    </row>
    <row r="366" spans="1:27" s="29" customFormat="1" ht="34.5" customHeight="1">
      <c r="A366" s="30" t="s">
        <v>142</v>
      </c>
      <c r="B366" s="31" t="s">
        <v>56</v>
      </c>
      <c r="C366" s="30" t="s">
        <v>39</v>
      </c>
      <c r="D366" s="30" t="s">
        <v>1029</v>
      </c>
      <c r="E366" s="30" t="s">
        <v>164</v>
      </c>
      <c r="F366" s="30" t="s">
        <v>899</v>
      </c>
      <c r="G366" s="30" t="s">
        <v>195</v>
      </c>
      <c r="H366" s="30">
        <v>236220</v>
      </c>
      <c r="I366" s="30" t="s">
        <v>45</v>
      </c>
      <c r="J366" s="30" t="s">
        <v>119</v>
      </c>
      <c r="K366" s="31" t="s">
        <v>91</v>
      </c>
      <c r="L366" s="30" t="s">
        <v>424</v>
      </c>
      <c r="M366" s="45">
        <v>25000</v>
      </c>
      <c r="N366" s="45">
        <v>100000</v>
      </c>
      <c r="O366" s="30" t="s">
        <v>79</v>
      </c>
      <c r="P366" s="30" t="s">
        <v>302</v>
      </c>
      <c r="Q366" s="30" t="s">
        <v>294</v>
      </c>
      <c r="R366" s="155" t="s">
        <v>80</v>
      </c>
      <c r="S366" s="41">
        <v>2014</v>
      </c>
      <c r="T366" s="31" t="s">
        <v>1003</v>
      </c>
      <c r="U366" s="31" t="s">
        <v>1004</v>
      </c>
      <c r="V366" s="30" t="s">
        <v>1005</v>
      </c>
      <c r="W366" s="30" t="s">
        <v>92</v>
      </c>
      <c r="X366" s="44">
        <v>41649</v>
      </c>
      <c r="Y366" s="44">
        <v>41680</v>
      </c>
      <c r="Z366" s="30" t="s">
        <v>345</v>
      </c>
      <c r="AA366" s="30" t="s">
        <v>372</v>
      </c>
    </row>
    <row r="367" spans="1:27" s="29" customFormat="1" ht="34.5" customHeight="1">
      <c r="A367" s="30" t="s">
        <v>142</v>
      </c>
      <c r="B367" s="31" t="s">
        <v>56</v>
      </c>
      <c r="C367" s="30" t="s">
        <v>39</v>
      </c>
      <c r="D367" s="30" t="s">
        <v>1030</v>
      </c>
      <c r="E367" s="30" t="s">
        <v>164</v>
      </c>
      <c r="F367" s="30" t="s">
        <v>1007</v>
      </c>
      <c r="G367" s="30" t="s">
        <v>195</v>
      </c>
      <c r="H367" s="30">
        <v>236220</v>
      </c>
      <c r="I367" s="30" t="s">
        <v>45</v>
      </c>
      <c r="J367" s="30" t="s">
        <v>129</v>
      </c>
      <c r="K367" s="31" t="s">
        <v>91</v>
      </c>
      <c r="L367" s="30" t="s">
        <v>424</v>
      </c>
      <c r="M367" s="45">
        <v>25000</v>
      </c>
      <c r="N367" s="45">
        <v>100000</v>
      </c>
      <c r="O367" s="30" t="s">
        <v>79</v>
      </c>
      <c r="P367" s="30" t="s">
        <v>302</v>
      </c>
      <c r="Q367" s="129" t="s">
        <v>294</v>
      </c>
      <c r="R367" s="155" t="s">
        <v>80</v>
      </c>
      <c r="S367" s="41">
        <v>2014</v>
      </c>
      <c r="T367" s="31" t="s">
        <v>1003</v>
      </c>
      <c r="U367" s="31" t="s">
        <v>1004</v>
      </c>
      <c r="V367" s="30" t="s">
        <v>1005</v>
      </c>
      <c r="W367" s="30" t="s">
        <v>92</v>
      </c>
      <c r="X367" s="44">
        <v>41654</v>
      </c>
      <c r="Y367" s="44">
        <v>41685</v>
      </c>
      <c r="Z367" s="30" t="s">
        <v>345</v>
      </c>
      <c r="AA367" s="30" t="s">
        <v>393</v>
      </c>
    </row>
    <row r="368" spans="1:27" s="29" customFormat="1" ht="34.5" customHeight="1">
      <c r="A368" s="30" t="s">
        <v>142</v>
      </c>
      <c r="B368" s="31" t="s">
        <v>56</v>
      </c>
      <c r="C368" s="30" t="s">
        <v>39</v>
      </c>
      <c r="D368" s="30" t="s">
        <v>1031</v>
      </c>
      <c r="E368" s="30" t="s">
        <v>164</v>
      </c>
      <c r="F368" s="30" t="s">
        <v>899</v>
      </c>
      <c r="G368" s="30" t="s">
        <v>195</v>
      </c>
      <c r="H368" s="30">
        <v>236220</v>
      </c>
      <c r="I368" s="30" t="s">
        <v>45</v>
      </c>
      <c r="J368" s="30" t="s">
        <v>129</v>
      </c>
      <c r="K368" s="31" t="s">
        <v>91</v>
      </c>
      <c r="L368" s="30" t="s">
        <v>424</v>
      </c>
      <c r="M368" s="45">
        <v>25000</v>
      </c>
      <c r="N368" s="45">
        <v>100000</v>
      </c>
      <c r="O368" s="30" t="s">
        <v>79</v>
      </c>
      <c r="P368" s="30" t="s">
        <v>302</v>
      </c>
      <c r="Q368" s="30" t="s">
        <v>294</v>
      </c>
      <c r="R368" s="155" t="s">
        <v>80</v>
      </c>
      <c r="S368" s="41">
        <v>2014</v>
      </c>
      <c r="T368" s="31" t="s">
        <v>1003</v>
      </c>
      <c r="U368" s="31" t="s">
        <v>1004</v>
      </c>
      <c r="V368" s="30" t="s">
        <v>1005</v>
      </c>
      <c r="W368" s="30" t="s">
        <v>92</v>
      </c>
      <c r="X368" s="44">
        <v>41669</v>
      </c>
      <c r="Y368" s="30" t="s">
        <v>1027</v>
      </c>
      <c r="Z368" s="30" t="s">
        <v>345</v>
      </c>
      <c r="AA368" s="30" t="s">
        <v>1032</v>
      </c>
    </row>
    <row r="369" spans="1:272" ht="34.5" customHeight="1">
      <c r="A369" s="30" t="s">
        <v>142</v>
      </c>
      <c r="B369" s="31" t="s">
        <v>56</v>
      </c>
      <c r="C369" s="30" t="s">
        <v>39</v>
      </c>
      <c r="D369" s="30" t="s">
        <v>1033</v>
      </c>
      <c r="E369" s="30" t="s">
        <v>164</v>
      </c>
      <c r="F369" s="30" t="s">
        <v>921</v>
      </c>
      <c r="G369" s="30" t="s">
        <v>162</v>
      </c>
      <c r="H369" s="30">
        <v>236220</v>
      </c>
      <c r="I369" s="30" t="s">
        <v>45</v>
      </c>
      <c r="J369" s="30" t="s">
        <v>129</v>
      </c>
      <c r="K369" s="31" t="s">
        <v>91</v>
      </c>
      <c r="L369" s="30" t="s">
        <v>424</v>
      </c>
      <c r="M369" s="45">
        <v>25000</v>
      </c>
      <c r="N369" s="45">
        <v>100000</v>
      </c>
      <c r="O369" s="30" t="s">
        <v>79</v>
      </c>
      <c r="P369" s="30" t="s">
        <v>302</v>
      </c>
      <c r="Q369" s="30" t="s">
        <v>294</v>
      </c>
      <c r="R369" s="155" t="s">
        <v>80</v>
      </c>
      <c r="S369" s="41">
        <v>2014</v>
      </c>
      <c r="T369" s="31" t="s">
        <v>1003</v>
      </c>
      <c r="U369" s="31" t="s">
        <v>1004</v>
      </c>
      <c r="V369" s="30" t="s">
        <v>1005</v>
      </c>
      <c r="W369" s="30" t="s">
        <v>92</v>
      </c>
      <c r="X369" s="44">
        <v>41669</v>
      </c>
      <c r="Y369" s="30" t="s">
        <v>1027</v>
      </c>
      <c r="Z369" s="30" t="s">
        <v>345</v>
      </c>
      <c r="AA369" s="30" t="s">
        <v>1032</v>
      </c>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c r="BF369" s="29"/>
      <c r="BG369" s="29"/>
      <c r="BH369" s="29"/>
      <c r="BI369" s="29"/>
      <c r="BJ369" s="29"/>
      <c r="BK369" s="29"/>
      <c r="BL369" s="29"/>
      <c r="BM369" s="29"/>
      <c r="BN369" s="29"/>
      <c r="BO369" s="29"/>
      <c r="BP369" s="29"/>
      <c r="BQ369" s="29"/>
      <c r="BR369" s="29"/>
      <c r="BS369" s="29"/>
      <c r="BT369" s="29"/>
      <c r="BU369" s="29"/>
      <c r="BV369" s="29"/>
      <c r="BW369" s="29"/>
      <c r="BX369" s="29"/>
      <c r="BY369" s="29"/>
      <c r="BZ369" s="29"/>
      <c r="CA369" s="29"/>
      <c r="CB369" s="29"/>
      <c r="CC369" s="29"/>
      <c r="CD369" s="29"/>
      <c r="CE369" s="29"/>
      <c r="CF369" s="29"/>
      <c r="CG369" s="29"/>
      <c r="CH369" s="29"/>
      <c r="CI369" s="29"/>
      <c r="CJ369" s="29"/>
      <c r="CK369" s="29"/>
      <c r="CL369" s="29"/>
      <c r="CM369" s="29"/>
      <c r="CN369" s="29"/>
      <c r="CO369" s="29"/>
      <c r="CP369" s="29"/>
      <c r="CQ369" s="29"/>
      <c r="CR369" s="29"/>
      <c r="CS369" s="29"/>
      <c r="CT369" s="29"/>
      <c r="CU369" s="29"/>
      <c r="CV369" s="29"/>
      <c r="CW369" s="29"/>
      <c r="CX369" s="29"/>
      <c r="CY369" s="29"/>
      <c r="CZ369" s="29"/>
      <c r="DA369" s="29"/>
      <c r="DB369" s="29"/>
      <c r="DC369" s="29"/>
      <c r="DD369" s="29"/>
      <c r="DE369" s="29"/>
      <c r="DF369" s="29"/>
      <c r="DG369" s="29"/>
      <c r="DH369" s="29"/>
      <c r="DI369" s="29"/>
      <c r="DJ369" s="29"/>
      <c r="DK369" s="29"/>
      <c r="DL369" s="29"/>
      <c r="DM369" s="29"/>
      <c r="DN369" s="29"/>
      <c r="DO369" s="29"/>
      <c r="DP369" s="29"/>
      <c r="DQ369" s="29"/>
      <c r="DR369" s="29"/>
      <c r="DS369" s="29"/>
      <c r="DT369" s="29"/>
      <c r="DU369" s="29"/>
      <c r="DV369" s="29"/>
      <c r="DW369" s="29"/>
      <c r="DX369" s="29"/>
      <c r="DY369" s="29"/>
      <c r="DZ369" s="29"/>
      <c r="EA369" s="29"/>
      <c r="EB369" s="29"/>
      <c r="EC369" s="29"/>
      <c r="ED369" s="29"/>
      <c r="EE369" s="29"/>
      <c r="EF369" s="29"/>
      <c r="EG369" s="29"/>
      <c r="EH369" s="29"/>
      <c r="EI369" s="29"/>
      <c r="EJ369" s="29"/>
      <c r="EK369" s="29"/>
      <c r="EL369" s="29"/>
      <c r="EM369" s="29"/>
      <c r="EN369" s="29"/>
      <c r="EO369" s="29"/>
      <c r="EP369" s="29"/>
      <c r="EQ369" s="29"/>
      <c r="ER369" s="29"/>
      <c r="ES369" s="29"/>
      <c r="ET369" s="29"/>
      <c r="EU369" s="29"/>
      <c r="EV369" s="29"/>
      <c r="EW369" s="29"/>
      <c r="EX369" s="29"/>
      <c r="EY369" s="29"/>
      <c r="EZ369" s="29"/>
      <c r="FA369" s="29"/>
      <c r="FB369" s="29"/>
      <c r="FC369" s="29"/>
      <c r="FD369" s="29"/>
      <c r="FE369" s="29"/>
      <c r="FF369" s="29"/>
      <c r="FG369" s="29"/>
      <c r="FH369" s="29"/>
      <c r="FI369" s="29"/>
      <c r="FJ369" s="29"/>
      <c r="FK369" s="29"/>
      <c r="FL369" s="29"/>
      <c r="FM369" s="29"/>
      <c r="FN369" s="29"/>
      <c r="FO369" s="29"/>
      <c r="FP369" s="29"/>
      <c r="FQ369" s="29"/>
      <c r="FR369" s="29"/>
      <c r="FS369" s="29"/>
      <c r="FT369" s="29"/>
      <c r="FU369" s="29"/>
      <c r="FV369" s="29"/>
      <c r="FW369" s="29"/>
      <c r="FX369" s="29"/>
      <c r="FY369" s="29"/>
      <c r="FZ369" s="29"/>
      <c r="GA369" s="29"/>
      <c r="GB369" s="29"/>
      <c r="GC369" s="29"/>
      <c r="GD369" s="29"/>
      <c r="GE369" s="29"/>
      <c r="GF369" s="29"/>
      <c r="GG369" s="29"/>
      <c r="GH369" s="29"/>
      <c r="GI369" s="29"/>
      <c r="GJ369" s="29"/>
      <c r="GK369" s="29"/>
      <c r="GL369" s="29"/>
      <c r="GM369" s="29"/>
      <c r="GN369" s="29"/>
      <c r="GO369" s="29"/>
      <c r="GP369" s="29"/>
      <c r="GQ369" s="29"/>
      <c r="GR369" s="29"/>
      <c r="GS369" s="29"/>
      <c r="GT369" s="29"/>
      <c r="GU369" s="29"/>
      <c r="GV369" s="29"/>
      <c r="GW369" s="29"/>
      <c r="GX369" s="29"/>
      <c r="GY369" s="29"/>
      <c r="GZ369" s="29"/>
      <c r="HA369" s="29"/>
      <c r="HB369" s="29"/>
      <c r="HC369" s="29"/>
      <c r="HD369" s="29"/>
      <c r="HE369" s="29"/>
      <c r="HF369" s="29"/>
      <c r="HG369" s="29"/>
      <c r="HH369" s="29"/>
      <c r="HI369" s="29"/>
      <c r="HJ369" s="29"/>
      <c r="HK369" s="29"/>
      <c r="HL369" s="29"/>
      <c r="HM369" s="29"/>
      <c r="HN369" s="29"/>
      <c r="HO369" s="29"/>
      <c r="HP369" s="29"/>
      <c r="HQ369" s="29"/>
      <c r="HR369" s="29"/>
      <c r="HS369" s="29"/>
      <c r="HT369" s="29"/>
      <c r="HU369" s="29"/>
      <c r="HV369" s="29"/>
      <c r="HW369" s="29"/>
      <c r="HX369" s="29"/>
      <c r="HY369" s="29"/>
      <c r="HZ369" s="29"/>
      <c r="IA369" s="29"/>
      <c r="IB369" s="29"/>
      <c r="IC369" s="29"/>
      <c r="ID369" s="29"/>
      <c r="IE369" s="29"/>
      <c r="IF369" s="29"/>
      <c r="IG369" s="29"/>
      <c r="IH369" s="29"/>
      <c r="II369" s="29"/>
      <c r="IJ369" s="29"/>
      <c r="IK369" s="29"/>
      <c r="IL369" s="29"/>
      <c r="IM369" s="29"/>
      <c r="IN369" s="29"/>
      <c r="IO369" s="29"/>
      <c r="IP369" s="29"/>
      <c r="IQ369" s="29"/>
      <c r="IR369" s="29"/>
      <c r="IS369" s="29"/>
      <c r="IT369" s="29"/>
      <c r="IU369" s="29"/>
      <c r="IV369" s="29"/>
      <c r="IW369" s="29"/>
      <c r="IX369" s="29"/>
      <c r="IY369" s="29"/>
      <c r="IZ369" s="29"/>
      <c r="JA369" s="29"/>
      <c r="JB369" s="29"/>
      <c r="JC369" s="29"/>
      <c r="JD369" s="29"/>
      <c r="JE369" s="29"/>
      <c r="JF369" s="29"/>
      <c r="JG369" s="29"/>
      <c r="JH369" s="29"/>
      <c r="JI369" s="29"/>
      <c r="JJ369" s="29"/>
      <c r="JK369" s="29"/>
      <c r="JL369" s="29"/>
    </row>
    <row r="370" spans="1:272" ht="34.5" customHeight="1">
      <c r="A370" s="30" t="s">
        <v>142</v>
      </c>
      <c r="B370" s="31" t="s">
        <v>56</v>
      </c>
      <c r="C370" s="30" t="s">
        <v>39</v>
      </c>
      <c r="D370" s="30" t="s">
        <v>1034</v>
      </c>
      <c r="E370" s="30" t="s">
        <v>164</v>
      </c>
      <c r="F370" s="30" t="s">
        <v>1035</v>
      </c>
      <c r="G370" s="30" t="s">
        <v>41</v>
      </c>
      <c r="H370" s="30">
        <v>236220</v>
      </c>
      <c r="I370" s="30" t="s">
        <v>45</v>
      </c>
      <c r="J370" s="30" t="s">
        <v>129</v>
      </c>
      <c r="K370" s="31" t="s">
        <v>91</v>
      </c>
      <c r="L370" s="30" t="s">
        <v>424</v>
      </c>
      <c r="M370" s="45">
        <v>25000</v>
      </c>
      <c r="N370" s="45">
        <v>100000</v>
      </c>
      <c r="O370" s="30" t="s">
        <v>79</v>
      </c>
      <c r="P370" s="30" t="s">
        <v>302</v>
      </c>
      <c r="Q370" s="30" t="s">
        <v>294</v>
      </c>
      <c r="R370" s="155" t="s">
        <v>80</v>
      </c>
      <c r="S370" s="41">
        <v>2014</v>
      </c>
      <c r="T370" s="31" t="s">
        <v>1003</v>
      </c>
      <c r="U370" s="31" t="s">
        <v>1004</v>
      </c>
      <c r="V370" s="30" t="s">
        <v>1005</v>
      </c>
      <c r="W370" s="30" t="s">
        <v>92</v>
      </c>
      <c r="X370" s="44">
        <v>41669</v>
      </c>
      <c r="Y370" s="30" t="s">
        <v>1027</v>
      </c>
      <c r="Z370" s="30" t="s">
        <v>345</v>
      </c>
      <c r="AA370" s="30" t="s">
        <v>1032</v>
      </c>
      <c r="AE370" s="29"/>
      <c r="AF370" s="29"/>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c r="BC370" s="29"/>
      <c r="BD370" s="29"/>
      <c r="BE370" s="29"/>
      <c r="BF370" s="29"/>
      <c r="BG370" s="29"/>
      <c r="BH370" s="29"/>
      <c r="BI370" s="29"/>
      <c r="BJ370" s="29"/>
      <c r="BK370" s="29"/>
      <c r="BL370" s="29"/>
      <c r="BM370" s="29"/>
      <c r="BN370" s="29"/>
      <c r="BO370" s="29"/>
      <c r="BP370" s="29"/>
      <c r="BQ370" s="29"/>
      <c r="BR370" s="29"/>
      <c r="BS370" s="29"/>
      <c r="BT370" s="29"/>
      <c r="BU370" s="29"/>
      <c r="BV370" s="29"/>
      <c r="BW370" s="29"/>
      <c r="BX370" s="29"/>
      <c r="BY370" s="29"/>
      <c r="BZ370" s="29"/>
      <c r="CA370" s="29"/>
      <c r="CB370" s="29"/>
      <c r="CC370" s="29"/>
      <c r="CD370" s="29"/>
      <c r="CE370" s="29"/>
      <c r="CF370" s="29"/>
      <c r="CG370" s="29"/>
      <c r="CH370" s="29"/>
      <c r="CI370" s="29"/>
      <c r="CJ370" s="29"/>
      <c r="CK370" s="29"/>
      <c r="CL370" s="29"/>
      <c r="CM370" s="29"/>
      <c r="CN370" s="29"/>
      <c r="CO370" s="29"/>
      <c r="CP370" s="29"/>
      <c r="CQ370" s="29"/>
      <c r="CR370" s="29"/>
      <c r="CS370" s="29"/>
      <c r="CT370" s="29"/>
      <c r="CU370" s="29"/>
      <c r="CV370" s="29"/>
      <c r="CW370" s="29"/>
      <c r="CX370" s="29"/>
      <c r="CY370" s="29"/>
      <c r="CZ370" s="29"/>
      <c r="DA370" s="29"/>
      <c r="DB370" s="29"/>
      <c r="DC370" s="29"/>
      <c r="DD370" s="29"/>
      <c r="DE370" s="29"/>
      <c r="DF370" s="29"/>
      <c r="DG370" s="29"/>
      <c r="DH370" s="29"/>
      <c r="DI370" s="29"/>
      <c r="DJ370" s="29"/>
      <c r="DK370" s="29"/>
      <c r="DL370" s="29"/>
      <c r="DM370" s="29"/>
      <c r="DN370" s="29"/>
      <c r="DO370" s="29"/>
      <c r="DP370" s="29"/>
      <c r="DQ370" s="29"/>
      <c r="DR370" s="29"/>
      <c r="DS370" s="29"/>
      <c r="DT370" s="29"/>
      <c r="DU370" s="29"/>
      <c r="DV370" s="29"/>
      <c r="DW370" s="29"/>
      <c r="DX370" s="29"/>
      <c r="DY370" s="29"/>
      <c r="DZ370" s="29"/>
      <c r="EA370" s="29"/>
      <c r="EB370" s="29"/>
      <c r="EC370" s="29"/>
      <c r="ED370" s="29"/>
      <c r="EE370" s="29"/>
      <c r="EF370" s="29"/>
      <c r="EG370" s="29"/>
      <c r="EH370" s="29"/>
      <c r="EI370" s="29"/>
      <c r="EJ370" s="29"/>
      <c r="EK370" s="29"/>
      <c r="EL370" s="29"/>
      <c r="EM370" s="29"/>
      <c r="EN370" s="29"/>
      <c r="EO370" s="29"/>
      <c r="EP370" s="29"/>
      <c r="EQ370" s="29"/>
      <c r="ER370" s="29"/>
      <c r="ES370" s="29"/>
      <c r="ET370" s="29"/>
      <c r="EU370" s="29"/>
      <c r="EV370" s="29"/>
      <c r="EW370" s="29"/>
      <c r="EX370" s="29"/>
      <c r="EY370" s="29"/>
      <c r="EZ370" s="29"/>
      <c r="FA370" s="29"/>
      <c r="FB370" s="29"/>
      <c r="FC370" s="29"/>
      <c r="FD370" s="29"/>
      <c r="FE370" s="29"/>
      <c r="FF370" s="29"/>
      <c r="FG370" s="29"/>
      <c r="FH370" s="29"/>
      <c r="FI370" s="29"/>
      <c r="FJ370" s="29"/>
      <c r="FK370" s="29"/>
      <c r="FL370" s="29"/>
      <c r="FM370" s="29"/>
      <c r="FN370" s="29"/>
      <c r="FO370" s="29"/>
      <c r="FP370" s="29"/>
      <c r="FQ370" s="29"/>
      <c r="FR370" s="29"/>
      <c r="FS370" s="29"/>
      <c r="FT370" s="29"/>
      <c r="FU370" s="29"/>
      <c r="FV370" s="29"/>
      <c r="FW370" s="29"/>
      <c r="FX370" s="29"/>
      <c r="FY370" s="29"/>
      <c r="FZ370" s="29"/>
      <c r="GA370" s="29"/>
      <c r="GB370" s="29"/>
      <c r="GC370" s="29"/>
      <c r="GD370" s="29"/>
      <c r="GE370" s="29"/>
      <c r="GF370" s="29"/>
      <c r="GG370" s="29"/>
      <c r="GH370" s="29"/>
      <c r="GI370" s="29"/>
      <c r="GJ370" s="29"/>
      <c r="GK370" s="29"/>
      <c r="GL370" s="29"/>
      <c r="GM370" s="29"/>
      <c r="GN370" s="29"/>
      <c r="GO370" s="29"/>
      <c r="GP370" s="29"/>
      <c r="GQ370" s="29"/>
      <c r="GR370" s="29"/>
      <c r="GS370" s="29"/>
      <c r="GT370" s="29"/>
      <c r="GU370" s="29"/>
      <c r="GV370" s="29"/>
      <c r="GW370" s="29"/>
      <c r="GX370" s="29"/>
      <c r="GY370" s="29"/>
      <c r="GZ370" s="29"/>
      <c r="HA370" s="29"/>
      <c r="HB370" s="29"/>
      <c r="HC370" s="29"/>
      <c r="HD370" s="29"/>
      <c r="HE370" s="29"/>
      <c r="HF370" s="29"/>
      <c r="HG370" s="29"/>
      <c r="HH370" s="29"/>
      <c r="HI370" s="29"/>
      <c r="HJ370" s="29"/>
      <c r="HK370" s="29"/>
      <c r="HL370" s="29"/>
      <c r="HM370" s="29"/>
      <c r="HN370" s="29"/>
      <c r="HO370" s="29"/>
      <c r="HP370" s="29"/>
      <c r="HQ370" s="29"/>
      <c r="HR370" s="29"/>
      <c r="HS370" s="29"/>
      <c r="HT370" s="29"/>
      <c r="HU370" s="29"/>
      <c r="HV370" s="29"/>
      <c r="HW370" s="29"/>
      <c r="HX370" s="29"/>
      <c r="HY370" s="29"/>
      <c r="HZ370" s="29"/>
      <c r="IA370" s="29"/>
      <c r="IB370" s="29"/>
      <c r="IC370" s="29"/>
      <c r="ID370" s="29"/>
      <c r="IE370" s="29"/>
      <c r="IF370" s="29"/>
      <c r="IG370" s="29"/>
      <c r="IH370" s="29"/>
      <c r="II370" s="29"/>
      <c r="IJ370" s="29"/>
      <c r="IK370" s="29"/>
      <c r="IL370" s="29"/>
      <c r="IM370" s="29"/>
      <c r="IN370" s="29"/>
      <c r="IO370" s="29"/>
      <c r="IP370" s="29"/>
      <c r="IQ370" s="29"/>
      <c r="IR370" s="29"/>
      <c r="IS370" s="29"/>
      <c r="IT370" s="29"/>
      <c r="IU370" s="29"/>
      <c r="IV370" s="29"/>
      <c r="IW370" s="29"/>
      <c r="IX370" s="29"/>
      <c r="IY370" s="29"/>
      <c r="IZ370" s="29"/>
      <c r="JA370" s="29"/>
      <c r="JB370" s="29"/>
      <c r="JC370" s="29"/>
      <c r="JD370" s="29"/>
      <c r="JE370" s="29"/>
      <c r="JF370" s="29"/>
      <c r="JG370" s="29"/>
      <c r="JH370" s="29"/>
      <c r="JI370" s="29"/>
      <c r="JJ370" s="29"/>
      <c r="JK370" s="29"/>
      <c r="JL370" s="29"/>
    </row>
    <row r="371" spans="1:272" ht="34.5" customHeight="1">
      <c r="A371" s="30" t="s">
        <v>142</v>
      </c>
      <c r="B371" s="31" t="s">
        <v>56</v>
      </c>
      <c r="C371" s="30" t="s">
        <v>39</v>
      </c>
      <c r="D371" s="30" t="s">
        <v>1036</v>
      </c>
      <c r="E371" s="30" t="s">
        <v>164</v>
      </c>
      <c r="F371" s="30" t="s">
        <v>921</v>
      </c>
      <c r="G371" s="30" t="s">
        <v>162</v>
      </c>
      <c r="H371" s="30">
        <v>236220</v>
      </c>
      <c r="I371" s="30" t="s">
        <v>45</v>
      </c>
      <c r="J371" s="30" t="s">
        <v>129</v>
      </c>
      <c r="K371" s="31" t="s">
        <v>91</v>
      </c>
      <c r="L371" s="30" t="s">
        <v>424</v>
      </c>
      <c r="M371" s="45">
        <v>25000</v>
      </c>
      <c r="N371" s="45">
        <v>100000</v>
      </c>
      <c r="O371" s="30" t="s">
        <v>79</v>
      </c>
      <c r="P371" s="30" t="s">
        <v>302</v>
      </c>
      <c r="Q371" s="30" t="s">
        <v>294</v>
      </c>
      <c r="R371" s="155" t="s">
        <v>80</v>
      </c>
      <c r="S371" s="41">
        <v>2014</v>
      </c>
      <c r="T371" s="31" t="s">
        <v>1003</v>
      </c>
      <c r="U371" s="31" t="s">
        <v>1004</v>
      </c>
      <c r="V371" s="30" t="s">
        <v>1005</v>
      </c>
      <c r="W371" s="30" t="s">
        <v>92</v>
      </c>
      <c r="X371" s="44">
        <v>41669</v>
      </c>
      <c r="Y371" s="30" t="s">
        <v>1027</v>
      </c>
      <c r="Z371" s="30" t="s">
        <v>345</v>
      </c>
      <c r="AA371" s="30" t="s">
        <v>1032</v>
      </c>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c r="BF371" s="29"/>
      <c r="BG371" s="29"/>
      <c r="BH371" s="29"/>
      <c r="BI371" s="29"/>
      <c r="BJ371" s="29"/>
      <c r="BK371" s="29"/>
      <c r="BL371" s="29"/>
      <c r="BM371" s="29"/>
      <c r="BN371" s="29"/>
      <c r="BO371" s="29"/>
      <c r="BP371" s="29"/>
      <c r="BQ371" s="29"/>
      <c r="BR371" s="29"/>
      <c r="BS371" s="29"/>
      <c r="BT371" s="29"/>
      <c r="BU371" s="29"/>
      <c r="BV371" s="29"/>
      <c r="BW371" s="29"/>
      <c r="BX371" s="29"/>
      <c r="BY371" s="29"/>
      <c r="BZ371" s="29"/>
      <c r="CA371" s="29"/>
      <c r="CB371" s="29"/>
      <c r="CC371" s="29"/>
      <c r="CD371" s="29"/>
      <c r="CE371" s="29"/>
      <c r="CF371" s="29"/>
      <c r="CG371" s="29"/>
      <c r="CH371" s="29"/>
      <c r="CI371" s="29"/>
      <c r="CJ371" s="29"/>
      <c r="CK371" s="29"/>
      <c r="CL371" s="29"/>
      <c r="CM371" s="29"/>
      <c r="CN371" s="29"/>
      <c r="CO371" s="29"/>
      <c r="CP371" s="29"/>
      <c r="CQ371" s="29"/>
      <c r="CR371" s="29"/>
      <c r="CS371" s="29"/>
      <c r="CT371" s="29"/>
      <c r="CU371" s="29"/>
      <c r="CV371" s="29"/>
      <c r="CW371" s="29"/>
      <c r="CX371" s="29"/>
      <c r="CY371" s="29"/>
      <c r="CZ371" s="29"/>
      <c r="DA371" s="29"/>
      <c r="DB371" s="29"/>
      <c r="DC371" s="29"/>
      <c r="DD371" s="29"/>
      <c r="DE371" s="29"/>
      <c r="DF371" s="29"/>
      <c r="DG371" s="29"/>
      <c r="DH371" s="29"/>
      <c r="DI371" s="29"/>
      <c r="DJ371" s="29"/>
      <c r="DK371" s="29"/>
      <c r="DL371" s="29"/>
      <c r="DM371" s="29"/>
      <c r="DN371" s="29"/>
      <c r="DO371" s="29"/>
      <c r="DP371" s="29"/>
      <c r="DQ371" s="29"/>
      <c r="DR371" s="29"/>
      <c r="DS371" s="29"/>
      <c r="DT371" s="29"/>
      <c r="DU371" s="29"/>
      <c r="DV371" s="29"/>
      <c r="DW371" s="29"/>
      <c r="DX371" s="29"/>
      <c r="DY371" s="29"/>
      <c r="DZ371" s="29"/>
      <c r="EA371" s="29"/>
      <c r="EB371" s="29"/>
      <c r="EC371" s="29"/>
      <c r="ED371" s="29"/>
      <c r="EE371" s="29"/>
      <c r="EF371" s="29"/>
      <c r="EG371" s="29"/>
      <c r="EH371" s="29"/>
      <c r="EI371" s="29"/>
      <c r="EJ371" s="29"/>
      <c r="EK371" s="29"/>
      <c r="EL371" s="29"/>
      <c r="EM371" s="29"/>
      <c r="EN371" s="29"/>
      <c r="EO371" s="29"/>
      <c r="EP371" s="29"/>
      <c r="EQ371" s="29"/>
      <c r="ER371" s="29"/>
      <c r="ES371" s="29"/>
      <c r="ET371" s="29"/>
      <c r="EU371" s="29"/>
      <c r="EV371" s="29"/>
      <c r="EW371" s="29"/>
      <c r="EX371" s="29"/>
      <c r="EY371" s="29"/>
      <c r="EZ371" s="29"/>
      <c r="FA371" s="29"/>
      <c r="FB371" s="29"/>
      <c r="FC371" s="29"/>
      <c r="FD371" s="29"/>
      <c r="FE371" s="29"/>
      <c r="FF371" s="29"/>
      <c r="FG371" s="29"/>
      <c r="FH371" s="29"/>
      <c r="FI371" s="29"/>
      <c r="FJ371" s="29"/>
      <c r="FK371" s="29"/>
      <c r="FL371" s="29"/>
      <c r="FM371" s="29"/>
      <c r="FN371" s="29"/>
      <c r="FO371" s="29"/>
      <c r="FP371" s="29"/>
      <c r="FQ371" s="29"/>
      <c r="FR371" s="29"/>
      <c r="FS371" s="29"/>
      <c r="FT371" s="29"/>
      <c r="FU371" s="29"/>
      <c r="FV371" s="29"/>
      <c r="FW371" s="29"/>
      <c r="FX371" s="29"/>
      <c r="FY371" s="29"/>
      <c r="FZ371" s="29"/>
      <c r="GA371" s="29"/>
      <c r="GB371" s="29"/>
      <c r="GC371" s="29"/>
      <c r="GD371" s="29"/>
      <c r="GE371" s="29"/>
      <c r="GF371" s="29"/>
      <c r="GG371" s="29"/>
      <c r="GH371" s="29"/>
      <c r="GI371" s="29"/>
      <c r="GJ371" s="29"/>
      <c r="GK371" s="29"/>
      <c r="GL371" s="29"/>
      <c r="GM371" s="29"/>
      <c r="GN371" s="29"/>
      <c r="GO371" s="29"/>
      <c r="GP371" s="29"/>
      <c r="GQ371" s="29"/>
      <c r="GR371" s="29"/>
      <c r="GS371" s="29"/>
      <c r="GT371" s="29"/>
      <c r="GU371" s="29"/>
      <c r="GV371" s="29"/>
      <c r="GW371" s="29"/>
      <c r="GX371" s="29"/>
      <c r="GY371" s="29"/>
      <c r="GZ371" s="29"/>
      <c r="HA371" s="29"/>
      <c r="HB371" s="29"/>
      <c r="HC371" s="29"/>
      <c r="HD371" s="29"/>
      <c r="HE371" s="29"/>
      <c r="HF371" s="29"/>
      <c r="HG371" s="29"/>
      <c r="HH371" s="29"/>
      <c r="HI371" s="29"/>
      <c r="HJ371" s="29"/>
      <c r="HK371" s="29"/>
      <c r="HL371" s="29"/>
      <c r="HM371" s="29"/>
      <c r="HN371" s="29"/>
      <c r="HO371" s="29"/>
      <c r="HP371" s="29"/>
      <c r="HQ371" s="29"/>
      <c r="HR371" s="29"/>
      <c r="HS371" s="29"/>
      <c r="HT371" s="29"/>
      <c r="HU371" s="29"/>
      <c r="HV371" s="29"/>
      <c r="HW371" s="29"/>
      <c r="HX371" s="29"/>
      <c r="HY371" s="29"/>
      <c r="HZ371" s="29"/>
      <c r="IA371" s="29"/>
      <c r="IB371" s="29"/>
      <c r="IC371" s="29"/>
      <c r="ID371" s="29"/>
      <c r="IE371" s="29"/>
      <c r="IF371" s="29"/>
      <c r="IG371" s="29"/>
      <c r="IH371" s="29"/>
      <c r="II371" s="29"/>
      <c r="IJ371" s="29"/>
      <c r="IK371" s="29"/>
      <c r="IL371" s="29"/>
      <c r="IM371" s="29"/>
      <c r="IN371" s="29"/>
      <c r="IO371" s="29"/>
      <c r="IP371" s="29"/>
      <c r="IQ371" s="29"/>
      <c r="IR371" s="29"/>
      <c r="IS371" s="29"/>
      <c r="IT371" s="29"/>
      <c r="IU371" s="29"/>
      <c r="IV371" s="29"/>
      <c r="IW371" s="29"/>
      <c r="IX371" s="29"/>
      <c r="IY371" s="29"/>
      <c r="IZ371" s="29"/>
      <c r="JA371" s="29"/>
      <c r="JB371" s="29"/>
      <c r="JC371" s="29"/>
      <c r="JD371" s="29"/>
      <c r="JE371" s="29"/>
      <c r="JF371" s="29"/>
      <c r="JG371" s="29"/>
      <c r="JH371" s="29"/>
      <c r="JI371" s="29"/>
      <c r="JJ371" s="29"/>
      <c r="JK371" s="29"/>
      <c r="JL371" s="29"/>
    </row>
    <row r="372" spans="1:272" ht="34.5" customHeight="1">
      <c r="A372" s="30" t="s">
        <v>142</v>
      </c>
      <c r="B372" s="31" t="s">
        <v>64</v>
      </c>
      <c r="C372" s="30" t="s">
        <v>39</v>
      </c>
      <c r="D372" s="30" t="s">
        <v>1037</v>
      </c>
      <c r="E372" s="30" t="s">
        <v>164</v>
      </c>
      <c r="F372" s="30" t="s">
        <v>1038</v>
      </c>
      <c r="G372" s="30" t="s">
        <v>58</v>
      </c>
      <c r="H372" s="30">
        <v>238220</v>
      </c>
      <c r="I372" s="30" t="s">
        <v>45</v>
      </c>
      <c r="J372" s="30" t="s">
        <v>129</v>
      </c>
      <c r="K372" s="31" t="s">
        <v>69</v>
      </c>
      <c r="L372" s="30" t="s">
        <v>1039</v>
      </c>
      <c r="M372" s="45">
        <v>800000</v>
      </c>
      <c r="N372" s="45">
        <v>800000</v>
      </c>
      <c r="O372" s="30" t="s">
        <v>79</v>
      </c>
      <c r="P372" s="30" t="s">
        <v>302</v>
      </c>
      <c r="Q372" s="30" t="s">
        <v>294</v>
      </c>
      <c r="R372" s="30" t="s">
        <v>100</v>
      </c>
      <c r="S372" s="41">
        <v>2014</v>
      </c>
      <c r="T372" s="31" t="s">
        <v>1040</v>
      </c>
      <c r="U372" s="31" t="s">
        <v>1041</v>
      </c>
      <c r="V372" s="30" t="s">
        <v>1042</v>
      </c>
      <c r="W372" s="30" t="s">
        <v>114</v>
      </c>
      <c r="X372" s="44">
        <v>41654</v>
      </c>
      <c r="Y372" s="44">
        <v>41699</v>
      </c>
      <c r="Z372" s="44">
        <v>41851</v>
      </c>
      <c r="AA372" s="30"/>
      <c r="AE372" s="29"/>
      <c r="AF372" s="29"/>
      <c r="AG372" s="29"/>
      <c r="AH372" s="29"/>
      <c r="AI372" s="29"/>
      <c r="AJ372" s="29"/>
      <c r="AK372" s="29"/>
      <c r="AL372" s="29"/>
      <c r="AM372" s="29"/>
      <c r="AN372" s="29"/>
      <c r="AO372" s="29"/>
      <c r="AP372" s="29"/>
      <c r="AQ372" s="29"/>
      <c r="AR372" s="29"/>
      <c r="AS372" s="29"/>
      <c r="AT372" s="29"/>
      <c r="AU372" s="29"/>
      <c r="AV372" s="29"/>
      <c r="AW372" s="29"/>
      <c r="AX372" s="29"/>
      <c r="AY372" s="29"/>
      <c r="AZ372" s="29"/>
      <c r="BA372" s="29"/>
      <c r="BB372" s="29"/>
      <c r="BC372" s="29"/>
      <c r="BD372" s="29"/>
      <c r="BE372" s="29"/>
      <c r="BF372" s="29"/>
      <c r="BG372" s="29"/>
      <c r="BH372" s="29"/>
      <c r="BI372" s="29"/>
      <c r="BJ372" s="29"/>
      <c r="BK372" s="29"/>
      <c r="BL372" s="29"/>
      <c r="BM372" s="29"/>
      <c r="BN372" s="29"/>
      <c r="BO372" s="29"/>
      <c r="BP372" s="29"/>
      <c r="BQ372" s="29"/>
      <c r="BR372" s="29"/>
      <c r="BS372" s="29"/>
      <c r="BT372" s="29"/>
      <c r="BU372" s="29"/>
      <c r="BV372" s="29"/>
      <c r="BW372" s="29"/>
      <c r="BX372" s="29"/>
      <c r="BY372" s="29"/>
      <c r="BZ372" s="29"/>
      <c r="CA372" s="29"/>
      <c r="CB372" s="29"/>
      <c r="CC372" s="29"/>
      <c r="CD372" s="29"/>
      <c r="CE372" s="29"/>
      <c r="CF372" s="29"/>
      <c r="CG372" s="29"/>
      <c r="CH372" s="29"/>
      <c r="CI372" s="29"/>
      <c r="CJ372" s="29"/>
      <c r="CK372" s="29"/>
      <c r="CL372" s="29"/>
      <c r="CM372" s="29"/>
      <c r="CN372" s="29"/>
      <c r="CO372" s="29"/>
      <c r="CP372" s="29"/>
      <c r="CQ372" s="29"/>
      <c r="CR372" s="29"/>
      <c r="CS372" s="29"/>
      <c r="CT372" s="29"/>
      <c r="CU372" s="29"/>
      <c r="CV372" s="29"/>
      <c r="CW372" s="29"/>
      <c r="CX372" s="29"/>
      <c r="CY372" s="29"/>
      <c r="CZ372" s="29"/>
      <c r="DA372" s="29"/>
      <c r="DB372" s="29"/>
      <c r="DC372" s="29"/>
      <c r="DD372" s="29"/>
      <c r="DE372" s="29"/>
      <c r="DF372" s="29"/>
      <c r="DG372" s="29"/>
      <c r="DH372" s="29"/>
      <c r="DI372" s="29"/>
      <c r="DJ372" s="29"/>
      <c r="DK372" s="29"/>
      <c r="DL372" s="29"/>
      <c r="DM372" s="29"/>
      <c r="DN372" s="29"/>
      <c r="DO372" s="29"/>
      <c r="DP372" s="29"/>
      <c r="DQ372" s="29"/>
      <c r="DR372" s="29"/>
      <c r="DS372" s="29"/>
      <c r="DT372" s="29"/>
      <c r="DU372" s="29"/>
      <c r="DV372" s="29"/>
      <c r="DW372" s="29"/>
      <c r="DX372" s="29"/>
      <c r="DY372" s="29"/>
      <c r="DZ372" s="29"/>
      <c r="EA372" s="29"/>
      <c r="EB372" s="29"/>
      <c r="EC372" s="29"/>
      <c r="ED372" s="29"/>
      <c r="EE372" s="29"/>
      <c r="EF372" s="29"/>
      <c r="EG372" s="29"/>
      <c r="EH372" s="29"/>
      <c r="EI372" s="29"/>
      <c r="EJ372" s="29"/>
      <c r="EK372" s="29"/>
      <c r="EL372" s="29"/>
      <c r="EM372" s="29"/>
      <c r="EN372" s="29"/>
      <c r="EO372" s="29"/>
      <c r="EP372" s="29"/>
      <c r="EQ372" s="29"/>
      <c r="ER372" s="29"/>
      <c r="ES372" s="29"/>
      <c r="ET372" s="29"/>
      <c r="EU372" s="29"/>
      <c r="EV372" s="29"/>
      <c r="EW372" s="29"/>
      <c r="EX372" s="29"/>
      <c r="EY372" s="29"/>
      <c r="EZ372" s="29"/>
      <c r="FA372" s="29"/>
      <c r="FB372" s="29"/>
      <c r="FC372" s="29"/>
      <c r="FD372" s="29"/>
      <c r="FE372" s="29"/>
      <c r="FF372" s="29"/>
      <c r="FG372" s="29"/>
      <c r="FH372" s="29"/>
      <c r="FI372" s="29"/>
      <c r="FJ372" s="29"/>
      <c r="FK372" s="29"/>
      <c r="FL372" s="29"/>
      <c r="FM372" s="29"/>
      <c r="FN372" s="29"/>
      <c r="FO372" s="29"/>
      <c r="FP372" s="29"/>
      <c r="FQ372" s="29"/>
      <c r="FR372" s="29"/>
      <c r="FS372" s="29"/>
      <c r="FT372" s="29"/>
      <c r="FU372" s="29"/>
      <c r="FV372" s="29"/>
      <c r="FW372" s="29"/>
      <c r="FX372" s="29"/>
      <c r="FY372" s="29"/>
      <c r="FZ372" s="29"/>
      <c r="GA372" s="29"/>
      <c r="GB372" s="29"/>
      <c r="GC372" s="29"/>
      <c r="GD372" s="29"/>
      <c r="GE372" s="29"/>
      <c r="GF372" s="29"/>
      <c r="GG372" s="29"/>
      <c r="GH372" s="29"/>
      <c r="GI372" s="29"/>
      <c r="GJ372" s="29"/>
      <c r="GK372" s="29"/>
      <c r="GL372" s="29"/>
      <c r="GM372" s="29"/>
      <c r="GN372" s="29"/>
      <c r="GO372" s="29"/>
      <c r="GP372" s="29"/>
      <c r="GQ372" s="29"/>
      <c r="GR372" s="29"/>
      <c r="GS372" s="29"/>
      <c r="GT372" s="29"/>
      <c r="GU372" s="29"/>
      <c r="GV372" s="29"/>
      <c r="GW372" s="29"/>
      <c r="GX372" s="29"/>
      <c r="GY372" s="29"/>
      <c r="GZ372" s="29"/>
      <c r="HA372" s="29"/>
      <c r="HB372" s="29"/>
      <c r="HC372" s="29"/>
      <c r="HD372" s="29"/>
      <c r="HE372" s="29"/>
      <c r="HF372" s="29"/>
      <c r="HG372" s="29"/>
      <c r="HH372" s="29"/>
      <c r="HI372" s="29"/>
      <c r="HJ372" s="29"/>
      <c r="HK372" s="29"/>
      <c r="HL372" s="29"/>
      <c r="HM372" s="29"/>
      <c r="HN372" s="29"/>
      <c r="HO372" s="29"/>
      <c r="HP372" s="29"/>
      <c r="HQ372" s="29"/>
      <c r="HR372" s="29"/>
      <c r="HS372" s="29"/>
      <c r="HT372" s="29"/>
      <c r="HU372" s="29"/>
      <c r="HV372" s="29"/>
      <c r="HW372" s="29"/>
      <c r="HX372" s="29"/>
      <c r="HY372" s="29"/>
      <c r="HZ372" s="29"/>
      <c r="IA372" s="29"/>
      <c r="IB372" s="29"/>
      <c r="IC372" s="29"/>
      <c r="ID372" s="29"/>
      <c r="IE372" s="29"/>
      <c r="IF372" s="29"/>
      <c r="IG372" s="29"/>
      <c r="IH372" s="29"/>
      <c r="II372" s="29"/>
      <c r="IJ372" s="29"/>
      <c r="IK372" s="29"/>
      <c r="IL372" s="29"/>
      <c r="IM372" s="29"/>
      <c r="IN372" s="29"/>
      <c r="IO372" s="29"/>
      <c r="IP372" s="29"/>
      <c r="IQ372" s="29"/>
      <c r="IR372" s="29"/>
      <c r="IS372" s="29"/>
      <c r="IT372" s="29"/>
      <c r="IU372" s="29"/>
      <c r="IV372" s="29"/>
      <c r="IW372" s="29"/>
      <c r="IX372" s="29"/>
      <c r="IY372" s="29"/>
      <c r="IZ372" s="29"/>
      <c r="JA372" s="29"/>
      <c r="JB372" s="29"/>
      <c r="JC372" s="29"/>
      <c r="JD372" s="29"/>
      <c r="JE372" s="29"/>
      <c r="JF372" s="29"/>
      <c r="JG372" s="29"/>
      <c r="JH372" s="29"/>
      <c r="JI372" s="29"/>
      <c r="JJ372" s="29"/>
      <c r="JK372" s="29"/>
      <c r="JL372" s="29"/>
    </row>
    <row r="373" spans="1:272" ht="34.5" customHeight="1">
      <c r="A373" s="31" t="s">
        <v>142</v>
      </c>
      <c r="B373" s="41" t="s">
        <v>64</v>
      </c>
      <c r="C373" s="30" t="s">
        <v>39</v>
      </c>
      <c r="D373" s="30" t="s">
        <v>1043</v>
      </c>
      <c r="E373" s="30" t="s">
        <v>164</v>
      </c>
      <c r="F373" s="30" t="s">
        <v>1038</v>
      </c>
      <c r="G373" s="30" t="s">
        <v>58</v>
      </c>
      <c r="H373" s="30">
        <v>238210</v>
      </c>
      <c r="I373" s="30" t="s">
        <v>45</v>
      </c>
      <c r="J373" s="30" t="s">
        <v>129</v>
      </c>
      <c r="K373" s="31" t="s">
        <v>69</v>
      </c>
      <c r="L373" s="30" t="s">
        <v>1039</v>
      </c>
      <c r="M373" s="39">
        <v>400000</v>
      </c>
      <c r="N373" s="39">
        <v>400000</v>
      </c>
      <c r="O373" s="30" t="s">
        <v>79</v>
      </c>
      <c r="P373" s="30" t="s">
        <v>302</v>
      </c>
      <c r="Q373" s="30" t="s">
        <v>294</v>
      </c>
      <c r="R373" s="30" t="s">
        <v>100</v>
      </c>
      <c r="S373" s="41">
        <v>2014</v>
      </c>
      <c r="T373" s="31" t="s">
        <v>1044</v>
      </c>
      <c r="U373" s="31" t="s">
        <v>1045</v>
      </c>
      <c r="V373" s="30" t="s">
        <v>1046</v>
      </c>
      <c r="W373" s="30" t="s">
        <v>114</v>
      </c>
      <c r="X373" s="44">
        <v>41974</v>
      </c>
      <c r="Y373" s="44">
        <v>41669</v>
      </c>
      <c r="Z373" s="44">
        <v>41759</v>
      </c>
      <c r="AA373" s="30"/>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c r="BF373" s="29"/>
      <c r="BG373" s="29"/>
      <c r="BH373" s="29"/>
      <c r="BI373" s="29"/>
      <c r="BJ373" s="29"/>
      <c r="BK373" s="29"/>
      <c r="BL373" s="29"/>
      <c r="BM373" s="29"/>
      <c r="BN373" s="29"/>
      <c r="BO373" s="29"/>
      <c r="BP373" s="29"/>
      <c r="BQ373" s="29"/>
      <c r="BR373" s="29"/>
      <c r="BS373" s="29"/>
      <c r="BT373" s="29"/>
      <c r="BU373" s="29"/>
      <c r="BV373" s="29"/>
      <c r="BW373" s="29"/>
      <c r="BX373" s="29"/>
      <c r="BY373" s="29"/>
      <c r="BZ373" s="29"/>
      <c r="CA373" s="29"/>
      <c r="CB373" s="29"/>
      <c r="CC373" s="29"/>
      <c r="CD373" s="29"/>
      <c r="CE373" s="29"/>
      <c r="CF373" s="29"/>
      <c r="CG373" s="29"/>
      <c r="CH373" s="29"/>
      <c r="CI373" s="29"/>
      <c r="CJ373" s="29"/>
      <c r="CK373" s="29"/>
      <c r="CL373" s="29"/>
      <c r="CM373" s="29"/>
      <c r="CN373" s="29"/>
      <c r="CO373" s="29"/>
      <c r="CP373" s="29"/>
      <c r="CQ373" s="29"/>
      <c r="CR373" s="29"/>
      <c r="CS373" s="29"/>
      <c r="CT373" s="29"/>
      <c r="CU373" s="29"/>
      <c r="CV373" s="29"/>
      <c r="CW373" s="29"/>
      <c r="CX373" s="29"/>
      <c r="CY373" s="29"/>
      <c r="CZ373" s="29"/>
      <c r="DA373" s="29"/>
      <c r="DB373" s="29"/>
      <c r="DC373" s="29"/>
      <c r="DD373" s="29"/>
      <c r="DE373" s="29"/>
      <c r="DF373" s="29"/>
      <c r="DG373" s="29"/>
      <c r="DH373" s="29"/>
      <c r="DI373" s="29"/>
      <c r="DJ373" s="29"/>
      <c r="DK373" s="29"/>
      <c r="DL373" s="29"/>
      <c r="DM373" s="29"/>
      <c r="DN373" s="29"/>
      <c r="DO373" s="29"/>
      <c r="DP373" s="29"/>
      <c r="DQ373" s="29"/>
      <c r="DR373" s="29"/>
      <c r="DS373" s="29"/>
      <c r="DT373" s="29"/>
      <c r="DU373" s="29"/>
      <c r="DV373" s="29"/>
      <c r="DW373" s="29"/>
      <c r="DX373" s="29"/>
      <c r="DY373" s="29"/>
      <c r="DZ373" s="29"/>
      <c r="EA373" s="29"/>
      <c r="EB373" s="29"/>
      <c r="EC373" s="29"/>
      <c r="ED373" s="29"/>
      <c r="EE373" s="29"/>
      <c r="EF373" s="29"/>
      <c r="EG373" s="29"/>
      <c r="EH373" s="29"/>
      <c r="EI373" s="29"/>
      <c r="EJ373" s="29"/>
      <c r="EK373" s="29"/>
      <c r="EL373" s="29"/>
      <c r="EM373" s="29"/>
      <c r="EN373" s="29"/>
      <c r="EO373" s="29"/>
      <c r="EP373" s="29"/>
      <c r="EQ373" s="29"/>
      <c r="ER373" s="29"/>
      <c r="ES373" s="29"/>
      <c r="ET373" s="29"/>
      <c r="EU373" s="29"/>
      <c r="EV373" s="29"/>
      <c r="EW373" s="29"/>
      <c r="EX373" s="29"/>
      <c r="EY373" s="29"/>
      <c r="EZ373" s="29"/>
      <c r="FA373" s="29"/>
      <c r="FB373" s="29"/>
      <c r="FC373" s="29"/>
      <c r="FD373" s="29"/>
      <c r="FE373" s="29"/>
      <c r="FF373" s="29"/>
      <c r="FG373" s="29"/>
      <c r="FH373" s="29"/>
      <c r="FI373" s="29"/>
      <c r="FJ373" s="29"/>
      <c r="FK373" s="29"/>
      <c r="FL373" s="29"/>
      <c r="FM373" s="29"/>
      <c r="FN373" s="29"/>
      <c r="FO373" s="29"/>
      <c r="FP373" s="29"/>
      <c r="FQ373" s="29"/>
      <c r="FR373" s="29"/>
      <c r="FS373" s="29"/>
      <c r="FT373" s="29"/>
      <c r="FU373" s="29"/>
      <c r="FV373" s="29"/>
      <c r="FW373" s="29"/>
      <c r="FX373" s="29"/>
      <c r="FY373" s="29"/>
      <c r="FZ373" s="29"/>
      <c r="GA373" s="29"/>
      <c r="GB373" s="29"/>
      <c r="GC373" s="29"/>
      <c r="GD373" s="29"/>
      <c r="GE373" s="29"/>
      <c r="GF373" s="29"/>
      <c r="GG373" s="29"/>
      <c r="GH373" s="29"/>
      <c r="GI373" s="29"/>
      <c r="GJ373" s="29"/>
      <c r="GK373" s="29"/>
      <c r="GL373" s="29"/>
      <c r="GM373" s="29"/>
      <c r="GN373" s="29"/>
      <c r="GO373" s="29"/>
      <c r="GP373" s="29"/>
      <c r="GQ373" s="29"/>
      <c r="GR373" s="29"/>
      <c r="GS373" s="29"/>
      <c r="GT373" s="29"/>
      <c r="GU373" s="29"/>
      <c r="GV373" s="29"/>
      <c r="GW373" s="29"/>
      <c r="GX373" s="29"/>
      <c r="GY373" s="29"/>
      <c r="GZ373" s="29"/>
      <c r="HA373" s="29"/>
      <c r="HB373" s="29"/>
      <c r="HC373" s="29"/>
      <c r="HD373" s="29"/>
      <c r="HE373" s="29"/>
      <c r="HF373" s="29"/>
      <c r="HG373" s="29"/>
      <c r="HH373" s="29"/>
      <c r="HI373" s="29"/>
      <c r="HJ373" s="29"/>
      <c r="HK373" s="29"/>
      <c r="HL373" s="29"/>
      <c r="HM373" s="29"/>
      <c r="HN373" s="29"/>
      <c r="HO373" s="29"/>
      <c r="HP373" s="29"/>
      <c r="HQ373" s="29"/>
      <c r="HR373" s="29"/>
      <c r="HS373" s="29"/>
      <c r="HT373" s="29"/>
      <c r="HU373" s="29"/>
      <c r="HV373" s="29"/>
      <c r="HW373" s="29"/>
      <c r="HX373" s="29"/>
      <c r="HY373" s="29"/>
      <c r="HZ373" s="29"/>
      <c r="IA373" s="29"/>
      <c r="IB373" s="29"/>
      <c r="IC373" s="29"/>
      <c r="ID373" s="29"/>
      <c r="IE373" s="29"/>
      <c r="IF373" s="29"/>
      <c r="IG373" s="29"/>
      <c r="IH373" s="29"/>
      <c r="II373" s="29"/>
      <c r="IJ373" s="29"/>
      <c r="IK373" s="29"/>
      <c r="IL373" s="29"/>
      <c r="IM373" s="29"/>
      <c r="IN373" s="29"/>
      <c r="IO373" s="29"/>
      <c r="IP373" s="29"/>
      <c r="IQ373" s="29"/>
      <c r="IR373" s="29"/>
      <c r="IS373" s="29"/>
      <c r="IT373" s="29"/>
      <c r="IU373" s="29"/>
      <c r="IV373" s="29"/>
      <c r="IW373" s="29"/>
      <c r="IX373" s="29"/>
      <c r="IY373" s="29"/>
      <c r="IZ373" s="29"/>
      <c r="JA373" s="29"/>
      <c r="JB373" s="29"/>
      <c r="JC373" s="29"/>
      <c r="JD373" s="29"/>
      <c r="JE373" s="29"/>
      <c r="JF373" s="29"/>
      <c r="JG373" s="29"/>
      <c r="JH373" s="29"/>
      <c r="JI373" s="29"/>
      <c r="JJ373" s="29"/>
      <c r="JK373" s="29"/>
      <c r="JL373" s="29"/>
    </row>
    <row r="374" spans="1:272" ht="34.5" customHeight="1">
      <c r="A374" s="31" t="s">
        <v>142</v>
      </c>
      <c r="B374" s="31" t="s">
        <v>64</v>
      </c>
      <c r="C374" s="30" t="s">
        <v>39</v>
      </c>
      <c r="D374" s="30" t="s">
        <v>1047</v>
      </c>
      <c r="E374" s="30" t="s">
        <v>164</v>
      </c>
      <c r="F374" s="30" t="s">
        <v>1038</v>
      </c>
      <c r="G374" s="30" t="s">
        <v>58</v>
      </c>
      <c r="H374" s="30">
        <v>238220</v>
      </c>
      <c r="I374" s="30" t="s">
        <v>98</v>
      </c>
      <c r="J374" s="30" t="s">
        <v>129</v>
      </c>
      <c r="K374" s="31" t="s">
        <v>69</v>
      </c>
      <c r="L374" s="30" t="s">
        <v>1048</v>
      </c>
      <c r="M374" s="39">
        <v>800000</v>
      </c>
      <c r="N374" s="39">
        <v>800000</v>
      </c>
      <c r="O374" s="30" t="s">
        <v>79</v>
      </c>
      <c r="P374" s="30" t="s">
        <v>302</v>
      </c>
      <c r="Q374" s="30" t="s">
        <v>294</v>
      </c>
      <c r="R374" s="155" t="s">
        <v>80</v>
      </c>
      <c r="S374" s="41">
        <v>2014</v>
      </c>
      <c r="T374" s="31" t="s">
        <v>1049</v>
      </c>
      <c r="U374" s="31" t="s">
        <v>1050</v>
      </c>
      <c r="V374" s="30" t="s">
        <v>1051</v>
      </c>
      <c r="W374" s="30" t="s">
        <v>114</v>
      </c>
      <c r="X374" s="44">
        <v>41640</v>
      </c>
      <c r="Y374" s="44">
        <v>41699</v>
      </c>
      <c r="Z374" s="44">
        <v>41881</v>
      </c>
      <c r="AA374" s="30"/>
      <c r="AE374" s="29"/>
      <c r="AF374" s="29"/>
      <c r="AG374" s="29"/>
      <c r="AH374" s="29"/>
      <c r="AI374" s="29"/>
      <c r="AJ374" s="29"/>
      <c r="AK374" s="29"/>
      <c r="AL374" s="29"/>
      <c r="AM374" s="29"/>
      <c r="AN374" s="29"/>
      <c r="AO374" s="29"/>
      <c r="AP374" s="29"/>
      <c r="AQ374" s="29"/>
      <c r="AR374" s="29"/>
      <c r="AS374" s="29"/>
      <c r="AT374" s="29"/>
      <c r="AU374" s="29"/>
      <c r="AV374" s="29"/>
      <c r="AW374" s="29"/>
      <c r="AX374" s="29"/>
      <c r="AY374" s="29"/>
      <c r="AZ374" s="29"/>
      <c r="BA374" s="29"/>
      <c r="BB374" s="29"/>
      <c r="BC374" s="29"/>
      <c r="BD374" s="29"/>
      <c r="BE374" s="29"/>
      <c r="BF374" s="29"/>
      <c r="BG374" s="29"/>
      <c r="BH374" s="29"/>
      <c r="BI374" s="29"/>
      <c r="BJ374" s="29"/>
      <c r="BK374" s="29"/>
      <c r="BL374" s="29"/>
      <c r="BM374" s="29"/>
      <c r="BN374" s="29"/>
      <c r="BO374" s="29"/>
      <c r="BP374" s="29"/>
      <c r="BQ374" s="29"/>
      <c r="BR374" s="29"/>
      <c r="BS374" s="29"/>
      <c r="BT374" s="29"/>
      <c r="BU374" s="29"/>
      <c r="BV374" s="29"/>
      <c r="BW374" s="29"/>
      <c r="BX374" s="29"/>
      <c r="BY374" s="29"/>
      <c r="BZ374" s="29"/>
      <c r="CA374" s="29"/>
      <c r="CB374" s="29"/>
      <c r="CC374" s="29"/>
      <c r="CD374" s="29"/>
      <c r="CE374" s="29"/>
      <c r="CF374" s="29"/>
      <c r="CG374" s="29"/>
      <c r="CH374" s="29"/>
      <c r="CI374" s="29"/>
      <c r="CJ374" s="29"/>
      <c r="CK374" s="29"/>
      <c r="CL374" s="29"/>
      <c r="CM374" s="29"/>
      <c r="CN374" s="29"/>
      <c r="CO374" s="29"/>
      <c r="CP374" s="29"/>
      <c r="CQ374" s="29"/>
      <c r="CR374" s="29"/>
      <c r="CS374" s="29"/>
      <c r="CT374" s="29"/>
      <c r="CU374" s="29"/>
      <c r="CV374" s="29"/>
      <c r="CW374" s="29"/>
      <c r="CX374" s="29"/>
      <c r="CY374" s="29"/>
      <c r="CZ374" s="29"/>
      <c r="DA374" s="29"/>
      <c r="DB374" s="29"/>
      <c r="DC374" s="29"/>
      <c r="DD374" s="29"/>
      <c r="DE374" s="29"/>
      <c r="DF374" s="29"/>
      <c r="DG374" s="29"/>
      <c r="DH374" s="29"/>
      <c r="DI374" s="29"/>
      <c r="DJ374" s="29"/>
      <c r="DK374" s="29"/>
      <c r="DL374" s="29"/>
      <c r="DM374" s="29"/>
      <c r="DN374" s="29"/>
      <c r="DO374" s="29"/>
      <c r="DP374" s="29"/>
      <c r="DQ374" s="29"/>
      <c r="DR374" s="29"/>
      <c r="DS374" s="29"/>
      <c r="DT374" s="29"/>
      <c r="DU374" s="29"/>
      <c r="DV374" s="29"/>
      <c r="DW374" s="29"/>
      <c r="DX374" s="29"/>
      <c r="DY374" s="29"/>
      <c r="DZ374" s="29"/>
      <c r="EA374" s="29"/>
      <c r="EB374" s="29"/>
      <c r="EC374" s="29"/>
      <c r="ED374" s="29"/>
      <c r="EE374" s="29"/>
      <c r="EF374" s="29"/>
      <c r="EG374" s="29"/>
      <c r="EH374" s="29"/>
      <c r="EI374" s="29"/>
      <c r="EJ374" s="29"/>
      <c r="EK374" s="29"/>
      <c r="EL374" s="29"/>
      <c r="EM374" s="29"/>
      <c r="EN374" s="29"/>
      <c r="EO374" s="29"/>
      <c r="EP374" s="29"/>
      <c r="EQ374" s="29"/>
      <c r="ER374" s="29"/>
      <c r="ES374" s="29"/>
      <c r="ET374" s="29"/>
      <c r="EU374" s="29"/>
      <c r="EV374" s="29"/>
      <c r="EW374" s="29"/>
      <c r="EX374" s="29"/>
      <c r="EY374" s="29"/>
      <c r="EZ374" s="29"/>
      <c r="FA374" s="29"/>
      <c r="FB374" s="29"/>
      <c r="FC374" s="29"/>
      <c r="FD374" s="29"/>
      <c r="FE374" s="29"/>
      <c r="FF374" s="29"/>
      <c r="FG374" s="29"/>
      <c r="FH374" s="29"/>
      <c r="FI374" s="29"/>
      <c r="FJ374" s="29"/>
      <c r="FK374" s="29"/>
      <c r="FL374" s="29"/>
      <c r="FM374" s="29"/>
      <c r="FN374" s="29"/>
      <c r="FO374" s="29"/>
      <c r="FP374" s="29"/>
      <c r="FQ374" s="29"/>
      <c r="FR374" s="29"/>
      <c r="FS374" s="29"/>
      <c r="FT374" s="29"/>
      <c r="FU374" s="29"/>
      <c r="FV374" s="29"/>
      <c r="FW374" s="29"/>
      <c r="FX374" s="29"/>
      <c r="FY374" s="29"/>
      <c r="FZ374" s="29"/>
      <c r="GA374" s="29"/>
      <c r="GB374" s="29"/>
      <c r="GC374" s="29"/>
      <c r="GD374" s="29"/>
      <c r="GE374" s="29"/>
      <c r="GF374" s="29"/>
      <c r="GG374" s="29"/>
      <c r="GH374" s="29"/>
      <c r="GI374" s="29"/>
      <c r="GJ374" s="29"/>
      <c r="GK374" s="29"/>
      <c r="GL374" s="29"/>
      <c r="GM374" s="29"/>
      <c r="GN374" s="29"/>
      <c r="GO374" s="29"/>
      <c r="GP374" s="29"/>
      <c r="GQ374" s="29"/>
      <c r="GR374" s="29"/>
      <c r="GS374" s="29"/>
      <c r="GT374" s="29"/>
      <c r="GU374" s="29"/>
      <c r="GV374" s="29"/>
      <c r="GW374" s="29"/>
      <c r="GX374" s="29"/>
      <c r="GY374" s="29"/>
      <c r="GZ374" s="29"/>
      <c r="HA374" s="29"/>
      <c r="HB374" s="29"/>
      <c r="HC374" s="29"/>
      <c r="HD374" s="29"/>
      <c r="HE374" s="29"/>
      <c r="HF374" s="29"/>
      <c r="HG374" s="29"/>
      <c r="HH374" s="29"/>
      <c r="HI374" s="29"/>
      <c r="HJ374" s="29"/>
      <c r="HK374" s="29"/>
      <c r="HL374" s="29"/>
      <c r="HM374" s="29"/>
      <c r="HN374" s="29"/>
      <c r="HO374" s="29"/>
      <c r="HP374" s="29"/>
      <c r="HQ374" s="29"/>
      <c r="HR374" s="29"/>
      <c r="HS374" s="29"/>
      <c r="HT374" s="29"/>
      <c r="HU374" s="29"/>
      <c r="HV374" s="29"/>
      <c r="HW374" s="29"/>
      <c r="HX374" s="29"/>
      <c r="HY374" s="29"/>
      <c r="HZ374" s="29"/>
      <c r="IA374" s="29"/>
      <c r="IB374" s="29"/>
      <c r="IC374" s="29"/>
      <c r="ID374" s="29"/>
      <c r="IE374" s="29"/>
      <c r="IF374" s="29"/>
      <c r="IG374" s="29"/>
      <c r="IH374" s="29"/>
      <c r="II374" s="29"/>
      <c r="IJ374" s="29"/>
      <c r="IK374" s="29"/>
      <c r="IL374" s="29"/>
      <c r="IM374" s="29"/>
      <c r="IN374" s="29"/>
      <c r="IO374" s="29"/>
      <c r="IP374" s="29"/>
      <c r="IQ374" s="29"/>
      <c r="IR374" s="29"/>
      <c r="IS374" s="29"/>
      <c r="IT374" s="29"/>
      <c r="IU374" s="29"/>
      <c r="IV374" s="29"/>
      <c r="IW374" s="29"/>
      <c r="IX374" s="29"/>
      <c r="IY374" s="29"/>
      <c r="IZ374" s="29"/>
      <c r="JA374" s="29"/>
      <c r="JB374" s="29"/>
      <c r="JC374" s="29"/>
      <c r="JD374" s="29"/>
      <c r="JE374" s="29"/>
      <c r="JF374" s="29"/>
      <c r="JG374" s="29"/>
      <c r="JH374" s="29"/>
      <c r="JI374" s="29"/>
      <c r="JJ374" s="29"/>
      <c r="JK374" s="29"/>
      <c r="JL374" s="29"/>
    </row>
    <row r="375" spans="1:272" ht="34.5" customHeight="1">
      <c r="A375" s="30" t="s">
        <v>142</v>
      </c>
      <c r="B375" s="31" t="s">
        <v>64</v>
      </c>
      <c r="C375" s="30" t="s">
        <v>39</v>
      </c>
      <c r="D375" s="30" t="s">
        <v>1052</v>
      </c>
      <c r="E375" s="30" t="s">
        <v>164</v>
      </c>
      <c r="F375" s="30" t="s">
        <v>1038</v>
      </c>
      <c r="G375" s="30" t="s">
        <v>58</v>
      </c>
      <c r="H375" s="30">
        <v>238210</v>
      </c>
      <c r="I375" s="129" t="s">
        <v>546</v>
      </c>
      <c r="J375" s="30" t="s">
        <v>129</v>
      </c>
      <c r="K375" s="31" t="s">
        <v>69</v>
      </c>
      <c r="L375" s="30" t="s">
        <v>1053</v>
      </c>
      <c r="M375" s="45">
        <v>30000</v>
      </c>
      <c r="N375" s="45">
        <v>30000</v>
      </c>
      <c r="O375" s="30" t="s">
        <v>79</v>
      </c>
      <c r="P375" s="30" t="s">
        <v>302</v>
      </c>
      <c r="Q375" s="30" t="s">
        <v>294</v>
      </c>
      <c r="R375" s="155" t="s">
        <v>80</v>
      </c>
      <c r="S375" s="41">
        <v>2014</v>
      </c>
      <c r="T375" s="31" t="s">
        <v>1054</v>
      </c>
      <c r="U375" s="31" t="s">
        <v>1055</v>
      </c>
      <c r="V375" s="30" t="s">
        <v>1056</v>
      </c>
      <c r="W375" s="30" t="s">
        <v>114</v>
      </c>
      <c r="X375" s="44">
        <v>41593</v>
      </c>
      <c r="Y375" s="44">
        <v>41623</v>
      </c>
      <c r="Z375" s="44">
        <v>41363</v>
      </c>
      <c r="AA375" s="30"/>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c r="BG375" s="29"/>
      <c r="BH375" s="29"/>
      <c r="BI375" s="29"/>
      <c r="BJ375" s="29"/>
      <c r="BK375" s="29"/>
      <c r="BL375" s="29"/>
      <c r="BM375" s="29"/>
      <c r="BN375" s="29"/>
      <c r="BO375" s="29"/>
      <c r="BP375" s="29"/>
      <c r="BQ375" s="29"/>
      <c r="BR375" s="29"/>
      <c r="BS375" s="29"/>
      <c r="BT375" s="29"/>
      <c r="BU375" s="29"/>
      <c r="BV375" s="29"/>
      <c r="BW375" s="29"/>
      <c r="BX375" s="29"/>
      <c r="BY375" s="29"/>
      <c r="BZ375" s="29"/>
      <c r="CA375" s="29"/>
      <c r="CB375" s="29"/>
      <c r="CC375" s="29"/>
      <c r="CD375" s="29"/>
      <c r="CE375" s="29"/>
      <c r="CF375" s="29"/>
      <c r="CG375" s="29"/>
      <c r="CH375" s="29"/>
      <c r="CI375" s="29"/>
      <c r="CJ375" s="29"/>
      <c r="CK375" s="29"/>
      <c r="CL375" s="29"/>
      <c r="CM375" s="29"/>
      <c r="CN375" s="29"/>
      <c r="CO375" s="29"/>
      <c r="CP375" s="29"/>
      <c r="CQ375" s="29"/>
      <c r="CR375" s="29"/>
      <c r="CS375" s="29"/>
      <c r="CT375" s="29"/>
      <c r="CU375" s="29"/>
      <c r="CV375" s="29"/>
      <c r="CW375" s="29"/>
      <c r="CX375" s="29"/>
      <c r="CY375" s="29"/>
      <c r="CZ375" s="29"/>
      <c r="DA375" s="29"/>
      <c r="DB375" s="29"/>
      <c r="DC375" s="29"/>
      <c r="DD375" s="29"/>
      <c r="DE375" s="29"/>
      <c r="DF375" s="29"/>
      <c r="DG375" s="29"/>
      <c r="DH375" s="29"/>
      <c r="DI375" s="29"/>
      <c r="DJ375" s="29"/>
      <c r="DK375" s="29"/>
      <c r="DL375" s="29"/>
      <c r="DM375" s="29"/>
      <c r="DN375" s="29"/>
      <c r="DO375" s="29"/>
      <c r="DP375" s="29"/>
      <c r="DQ375" s="29"/>
      <c r="DR375" s="29"/>
      <c r="DS375" s="29"/>
      <c r="DT375" s="29"/>
      <c r="DU375" s="29"/>
      <c r="DV375" s="29"/>
      <c r="DW375" s="29"/>
      <c r="DX375" s="29"/>
      <c r="DY375" s="29"/>
      <c r="DZ375" s="29"/>
      <c r="EA375" s="29"/>
      <c r="EB375" s="29"/>
      <c r="EC375" s="29"/>
      <c r="ED375" s="29"/>
      <c r="EE375" s="29"/>
      <c r="EF375" s="29"/>
      <c r="EG375" s="29"/>
      <c r="EH375" s="29"/>
      <c r="EI375" s="29"/>
      <c r="EJ375" s="29"/>
      <c r="EK375" s="29"/>
      <c r="EL375" s="29"/>
      <c r="EM375" s="29"/>
      <c r="EN375" s="29"/>
      <c r="EO375" s="29"/>
      <c r="EP375" s="29"/>
      <c r="EQ375" s="29"/>
      <c r="ER375" s="29"/>
      <c r="ES375" s="29"/>
      <c r="ET375" s="29"/>
      <c r="EU375" s="29"/>
      <c r="EV375" s="29"/>
      <c r="EW375" s="29"/>
      <c r="EX375" s="29"/>
      <c r="EY375" s="29"/>
      <c r="EZ375" s="29"/>
      <c r="FA375" s="29"/>
      <c r="FB375" s="29"/>
      <c r="FC375" s="29"/>
      <c r="FD375" s="29"/>
      <c r="FE375" s="29"/>
      <c r="FF375" s="29"/>
      <c r="FG375" s="29"/>
      <c r="FH375" s="29"/>
      <c r="FI375" s="29"/>
      <c r="FJ375" s="29"/>
      <c r="FK375" s="29"/>
      <c r="FL375" s="29"/>
      <c r="FM375" s="29"/>
      <c r="FN375" s="29"/>
      <c r="FO375" s="29"/>
      <c r="FP375" s="29"/>
      <c r="FQ375" s="29"/>
      <c r="FR375" s="29"/>
      <c r="FS375" s="29"/>
      <c r="FT375" s="29"/>
      <c r="FU375" s="29"/>
      <c r="FV375" s="29"/>
      <c r="FW375" s="29"/>
      <c r="FX375" s="29"/>
      <c r="FY375" s="29"/>
      <c r="FZ375" s="29"/>
      <c r="GA375" s="29"/>
      <c r="GB375" s="29"/>
      <c r="GC375" s="29"/>
      <c r="GD375" s="29"/>
      <c r="GE375" s="29"/>
      <c r="GF375" s="29"/>
      <c r="GG375" s="29"/>
      <c r="GH375" s="29"/>
      <c r="GI375" s="29"/>
      <c r="GJ375" s="29"/>
      <c r="GK375" s="29"/>
      <c r="GL375" s="29"/>
      <c r="GM375" s="29"/>
      <c r="GN375" s="29"/>
      <c r="GO375" s="29"/>
      <c r="GP375" s="29"/>
      <c r="GQ375" s="29"/>
      <c r="GR375" s="29"/>
      <c r="GS375" s="29"/>
      <c r="GT375" s="29"/>
      <c r="GU375" s="29"/>
      <c r="GV375" s="29"/>
      <c r="GW375" s="29"/>
      <c r="GX375" s="29"/>
      <c r="GY375" s="29"/>
      <c r="GZ375" s="29"/>
      <c r="HA375" s="29"/>
      <c r="HB375" s="29"/>
      <c r="HC375" s="29"/>
      <c r="HD375" s="29"/>
      <c r="HE375" s="29"/>
      <c r="HF375" s="29"/>
      <c r="HG375" s="29"/>
      <c r="HH375" s="29"/>
      <c r="HI375" s="29"/>
      <c r="HJ375" s="29"/>
      <c r="HK375" s="29"/>
      <c r="HL375" s="29"/>
      <c r="HM375" s="29"/>
      <c r="HN375" s="29"/>
      <c r="HO375" s="29"/>
      <c r="HP375" s="29"/>
      <c r="HQ375" s="29"/>
      <c r="HR375" s="29"/>
      <c r="HS375" s="29"/>
      <c r="HT375" s="29"/>
      <c r="HU375" s="29"/>
      <c r="HV375" s="29"/>
      <c r="HW375" s="29"/>
      <c r="HX375" s="29"/>
      <c r="HY375" s="29"/>
      <c r="HZ375" s="29"/>
      <c r="IA375" s="29"/>
      <c r="IB375" s="29"/>
      <c r="IC375" s="29"/>
      <c r="ID375" s="29"/>
      <c r="IE375" s="29"/>
      <c r="IF375" s="29"/>
      <c r="IG375" s="29"/>
      <c r="IH375" s="29"/>
      <c r="II375" s="29"/>
      <c r="IJ375" s="29"/>
      <c r="IK375" s="29"/>
      <c r="IL375" s="29"/>
      <c r="IM375" s="29"/>
      <c r="IN375" s="29"/>
      <c r="IO375" s="29"/>
      <c r="IP375" s="29"/>
      <c r="IQ375" s="29"/>
      <c r="IR375" s="29"/>
      <c r="IS375" s="29"/>
      <c r="IT375" s="29"/>
      <c r="IU375" s="29"/>
      <c r="IV375" s="29"/>
      <c r="IW375" s="29"/>
      <c r="IX375" s="29"/>
      <c r="IY375" s="29"/>
      <c r="IZ375" s="29"/>
      <c r="JA375" s="29"/>
      <c r="JB375" s="29"/>
      <c r="JC375" s="29"/>
      <c r="JD375" s="29"/>
      <c r="JE375" s="29"/>
      <c r="JF375" s="29"/>
      <c r="JG375" s="29"/>
      <c r="JH375" s="29"/>
      <c r="JI375" s="29"/>
      <c r="JJ375" s="29"/>
      <c r="JK375" s="29"/>
      <c r="JL375" s="29"/>
    </row>
    <row r="376" spans="1:272" ht="35.1" customHeight="1">
      <c r="A376" s="30" t="s">
        <v>142</v>
      </c>
      <c r="B376" s="31" t="s">
        <v>64</v>
      </c>
      <c r="C376" s="30" t="s">
        <v>39</v>
      </c>
      <c r="D376" s="30" t="s">
        <v>1057</v>
      </c>
      <c r="E376" s="30" t="s">
        <v>139</v>
      </c>
      <c r="F376" s="30" t="s">
        <v>1038</v>
      </c>
      <c r="G376" s="30" t="s">
        <v>58</v>
      </c>
      <c r="H376" s="30">
        <v>561720</v>
      </c>
      <c r="I376" s="129" t="s">
        <v>59</v>
      </c>
      <c r="J376" s="30" t="s">
        <v>129</v>
      </c>
      <c r="K376" s="31" t="s">
        <v>69</v>
      </c>
      <c r="L376" s="30" t="s">
        <v>1058</v>
      </c>
      <c r="M376" s="45">
        <v>10000000</v>
      </c>
      <c r="N376" s="45">
        <v>10000000</v>
      </c>
      <c r="O376" s="30" t="s">
        <v>79</v>
      </c>
      <c r="P376" s="30" t="s">
        <v>1059</v>
      </c>
      <c r="Q376" s="30" t="s">
        <v>1060</v>
      </c>
      <c r="R376" s="155" t="s">
        <v>80</v>
      </c>
      <c r="S376" s="41">
        <v>2014</v>
      </c>
      <c r="T376" s="31" t="s">
        <v>1054</v>
      </c>
      <c r="U376" s="31" t="s">
        <v>1055</v>
      </c>
      <c r="V376" s="30" t="s">
        <v>1056</v>
      </c>
      <c r="W376" s="30" t="s">
        <v>114</v>
      </c>
      <c r="X376" s="44">
        <v>41609</v>
      </c>
      <c r="Y376" s="44">
        <v>41671</v>
      </c>
      <c r="Z376" s="44">
        <v>43554</v>
      </c>
      <c r="AA376" s="30"/>
      <c r="AE376" s="29"/>
      <c r="AF376" s="29"/>
      <c r="AG376" s="29"/>
      <c r="AH376" s="29"/>
      <c r="AI376" s="29"/>
      <c r="AJ376" s="29"/>
      <c r="AK376" s="29"/>
      <c r="AL376" s="29"/>
      <c r="AM376" s="29"/>
      <c r="AN376" s="29"/>
      <c r="AO376" s="29"/>
      <c r="AP376" s="29"/>
      <c r="AQ376" s="29"/>
      <c r="AR376" s="29"/>
      <c r="AS376" s="29"/>
      <c r="AT376" s="29"/>
      <c r="AU376" s="29"/>
      <c r="AV376" s="29"/>
      <c r="AW376" s="29"/>
      <c r="AX376" s="29"/>
      <c r="AY376" s="29"/>
      <c r="AZ376" s="29"/>
      <c r="BA376" s="29"/>
      <c r="BB376" s="29"/>
      <c r="BC376" s="29"/>
      <c r="BD376" s="29"/>
      <c r="BE376" s="29"/>
      <c r="BF376" s="29"/>
      <c r="BG376" s="29"/>
      <c r="BH376" s="29"/>
      <c r="BI376" s="29"/>
      <c r="BJ376" s="29"/>
      <c r="BK376" s="29"/>
      <c r="BL376" s="29"/>
      <c r="BM376" s="29"/>
      <c r="BN376" s="29"/>
      <c r="BO376" s="29"/>
      <c r="BP376" s="29"/>
      <c r="BQ376" s="29"/>
      <c r="BR376" s="29"/>
      <c r="BS376" s="29"/>
      <c r="BT376" s="29"/>
      <c r="BU376" s="29"/>
      <c r="BV376" s="29"/>
      <c r="BW376" s="29"/>
      <c r="BX376" s="29"/>
      <c r="BY376" s="29"/>
      <c r="BZ376" s="29"/>
      <c r="CA376" s="29"/>
      <c r="CB376" s="29"/>
      <c r="CC376" s="29"/>
      <c r="CD376" s="29"/>
      <c r="CE376" s="29"/>
      <c r="CF376" s="29"/>
      <c r="CG376" s="29"/>
      <c r="CH376" s="29"/>
      <c r="CI376" s="29"/>
      <c r="CJ376" s="29"/>
      <c r="CK376" s="29"/>
      <c r="CL376" s="29"/>
      <c r="CM376" s="29"/>
      <c r="CN376" s="29"/>
      <c r="CO376" s="29"/>
      <c r="CP376" s="29"/>
      <c r="CQ376" s="29"/>
      <c r="CR376" s="29"/>
      <c r="CS376" s="29"/>
      <c r="CT376" s="29"/>
      <c r="CU376" s="29"/>
      <c r="CV376" s="29"/>
      <c r="CW376" s="29"/>
      <c r="CX376" s="29"/>
      <c r="CY376" s="29"/>
      <c r="CZ376" s="29"/>
      <c r="DA376" s="29"/>
      <c r="DB376" s="29"/>
      <c r="DC376" s="29"/>
      <c r="DD376" s="29"/>
      <c r="DE376" s="29"/>
      <c r="DF376" s="29"/>
      <c r="DG376" s="29"/>
      <c r="DH376" s="29"/>
      <c r="DI376" s="29"/>
      <c r="DJ376" s="29"/>
      <c r="DK376" s="29"/>
      <c r="DL376" s="29"/>
      <c r="DM376" s="29"/>
      <c r="DN376" s="29"/>
      <c r="DO376" s="29"/>
      <c r="DP376" s="29"/>
      <c r="DQ376" s="29"/>
      <c r="DR376" s="29"/>
      <c r="DS376" s="29"/>
      <c r="DT376" s="29"/>
      <c r="DU376" s="29"/>
      <c r="DV376" s="29"/>
      <c r="DW376" s="29"/>
      <c r="DX376" s="29"/>
      <c r="DY376" s="29"/>
      <c r="DZ376" s="29"/>
      <c r="EA376" s="29"/>
      <c r="EB376" s="29"/>
      <c r="EC376" s="29"/>
      <c r="ED376" s="29"/>
      <c r="EE376" s="29"/>
      <c r="EF376" s="29"/>
      <c r="EG376" s="29"/>
      <c r="EH376" s="29"/>
      <c r="EI376" s="29"/>
      <c r="EJ376" s="29"/>
      <c r="EK376" s="29"/>
      <c r="EL376" s="29"/>
      <c r="EM376" s="29"/>
      <c r="EN376" s="29"/>
      <c r="EO376" s="29"/>
      <c r="EP376" s="29"/>
      <c r="EQ376" s="29"/>
      <c r="ER376" s="29"/>
      <c r="ES376" s="29"/>
      <c r="ET376" s="29"/>
      <c r="EU376" s="29"/>
      <c r="EV376" s="29"/>
      <c r="EW376" s="29"/>
      <c r="EX376" s="29"/>
      <c r="EY376" s="29"/>
      <c r="EZ376" s="29"/>
      <c r="FA376" s="29"/>
      <c r="FB376" s="29"/>
      <c r="FC376" s="29"/>
      <c r="FD376" s="29"/>
      <c r="FE376" s="29"/>
      <c r="FF376" s="29"/>
      <c r="FG376" s="29"/>
      <c r="FH376" s="29"/>
      <c r="FI376" s="29"/>
      <c r="FJ376" s="29"/>
      <c r="FK376" s="29"/>
      <c r="FL376" s="29"/>
      <c r="FM376" s="29"/>
      <c r="FN376" s="29"/>
      <c r="FO376" s="29"/>
      <c r="FP376" s="29"/>
      <c r="FQ376" s="29"/>
      <c r="FR376" s="29"/>
      <c r="FS376" s="29"/>
      <c r="FT376" s="29"/>
      <c r="FU376" s="29"/>
      <c r="FV376" s="29"/>
      <c r="FW376" s="29"/>
      <c r="FX376" s="29"/>
      <c r="FY376" s="29"/>
      <c r="FZ376" s="29"/>
      <c r="GA376" s="29"/>
      <c r="GB376" s="29"/>
      <c r="GC376" s="29"/>
      <c r="GD376" s="29"/>
      <c r="GE376" s="29"/>
      <c r="GF376" s="29"/>
      <c r="GG376" s="29"/>
      <c r="GH376" s="29"/>
      <c r="GI376" s="29"/>
      <c r="GJ376" s="29"/>
      <c r="GK376" s="29"/>
      <c r="GL376" s="29"/>
      <c r="GM376" s="29"/>
      <c r="GN376" s="29"/>
      <c r="GO376" s="29"/>
      <c r="GP376" s="29"/>
      <c r="GQ376" s="29"/>
      <c r="GR376" s="29"/>
      <c r="GS376" s="29"/>
      <c r="GT376" s="29"/>
      <c r="GU376" s="29"/>
      <c r="GV376" s="29"/>
      <c r="GW376" s="29"/>
      <c r="GX376" s="29"/>
      <c r="GY376" s="29"/>
      <c r="GZ376" s="29"/>
      <c r="HA376" s="29"/>
      <c r="HB376" s="29"/>
      <c r="HC376" s="29"/>
      <c r="HD376" s="29"/>
      <c r="HE376" s="29"/>
      <c r="HF376" s="29"/>
      <c r="HG376" s="29"/>
      <c r="HH376" s="29"/>
      <c r="HI376" s="29"/>
      <c r="HJ376" s="29"/>
      <c r="HK376" s="29"/>
      <c r="HL376" s="29"/>
      <c r="HM376" s="29"/>
      <c r="HN376" s="29"/>
      <c r="HO376" s="29"/>
      <c r="HP376" s="29"/>
      <c r="HQ376" s="29"/>
      <c r="HR376" s="29"/>
      <c r="HS376" s="29"/>
      <c r="HT376" s="29"/>
      <c r="HU376" s="29"/>
      <c r="HV376" s="29"/>
      <c r="HW376" s="29"/>
      <c r="HX376" s="29"/>
      <c r="HY376" s="29"/>
      <c r="HZ376" s="29"/>
      <c r="IA376" s="29"/>
      <c r="IB376" s="29"/>
      <c r="IC376" s="29"/>
      <c r="ID376" s="29"/>
      <c r="IE376" s="29"/>
      <c r="IF376" s="29"/>
      <c r="IG376" s="29"/>
      <c r="IH376" s="29"/>
      <c r="II376" s="29"/>
      <c r="IJ376" s="29"/>
      <c r="IK376" s="29"/>
      <c r="IL376" s="29"/>
      <c r="IM376" s="29"/>
      <c r="IN376" s="29"/>
      <c r="IO376" s="29"/>
      <c r="IP376" s="29"/>
      <c r="IQ376" s="29"/>
      <c r="IR376" s="29"/>
      <c r="IS376" s="29"/>
      <c r="IT376" s="29"/>
      <c r="IU376" s="29"/>
      <c r="IV376" s="29"/>
      <c r="IW376" s="29"/>
      <c r="IX376" s="29"/>
      <c r="IY376" s="29"/>
      <c r="IZ376" s="29"/>
      <c r="JA376" s="29"/>
      <c r="JB376" s="29"/>
      <c r="JC376" s="29"/>
      <c r="JD376" s="29"/>
      <c r="JE376" s="29"/>
      <c r="JF376" s="29"/>
      <c r="JG376" s="29"/>
      <c r="JH376" s="29"/>
      <c r="JI376" s="29"/>
      <c r="JJ376" s="29"/>
      <c r="JK376" s="29"/>
      <c r="JL376" s="29"/>
    </row>
    <row r="377" spans="1:272" ht="35.1" customHeight="1">
      <c r="A377" s="30" t="s">
        <v>142</v>
      </c>
      <c r="B377" s="31" t="s">
        <v>64</v>
      </c>
      <c r="C377" s="30" t="s">
        <v>39</v>
      </c>
      <c r="D377" s="30" t="s">
        <v>1057</v>
      </c>
      <c r="E377" s="30" t="s">
        <v>139</v>
      </c>
      <c r="F377" s="30" t="s">
        <v>1038</v>
      </c>
      <c r="G377" s="30" t="s">
        <v>58</v>
      </c>
      <c r="H377" s="30">
        <v>561720</v>
      </c>
      <c r="I377" s="129" t="s">
        <v>546</v>
      </c>
      <c r="J377" s="30" t="s">
        <v>129</v>
      </c>
      <c r="K377" s="31" t="s">
        <v>69</v>
      </c>
      <c r="L377" s="30" t="s">
        <v>1061</v>
      </c>
      <c r="M377" s="45">
        <v>5500000</v>
      </c>
      <c r="N377" s="45">
        <v>5500000</v>
      </c>
      <c r="O377" s="30" t="s">
        <v>79</v>
      </c>
      <c r="P377" s="30" t="s">
        <v>1062</v>
      </c>
      <c r="Q377" s="30" t="s">
        <v>1060</v>
      </c>
      <c r="R377" s="155" t="s">
        <v>80</v>
      </c>
      <c r="S377" s="41">
        <v>2014</v>
      </c>
      <c r="T377" s="31" t="s">
        <v>1063</v>
      </c>
      <c r="U377" s="31" t="s">
        <v>1064</v>
      </c>
      <c r="V377" s="30" t="s">
        <v>1065</v>
      </c>
      <c r="W377" s="30" t="s">
        <v>114</v>
      </c>
      <c r="X377" s="44">
        <v>41609</v>
      </c>
      <c r="Y377" s="44">
        <v>41671</v>
      </c>
      <c r="Z377" s="44">
        <v>43554</v>
      </c>
      <c r="AA377" s="30"/>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c r="BO377" s="29"/>
      <c r="BP377" s="29"/>
      <c r="BQ377" s="29"/>
      <c r="BR377" s="29"/>
      <c r="BS377" s="29"/>
      <c r="BT377" s="29"/>
      <c r="BU377" s="29"/>
      <c r="BV377" s="29"/>
      <c r="BW377" s="29"/>
      <c r="BX377" s="29"/>
      <c r="BY377" s="29"/>
      <c r="BZ377" s="29"/>
      <c r="CA377" s="29"/>
      <c r="CB377" s="29"/>
      <c r="CC377" s="29"/>
      <c r="CD377" s="29"/>
      <c r="CE377" s="29"/>
      <c r="CF377" s="29"/>
      <c r="CG377" s="29"/>
      <c r="CH377" s="29"/>
      <c r="CI377" s="29"/>
      <c r="CJ377" s="29"/>
      <c r="CK377" s="29"/>
      <c r="CL377" s="29"/>
      <c r="CM377" s="29"/>
      <c r="CN377" s="29"/>
      <c r="CO377" s="29"/>
      <c r="CP377" s="29"/>
      <c r="CQ377" s="29"/>
      <c r="CR377" s="29"/>
      <c r="CS377" s="29"/>
      <c r="CT377" s="29"/>
      <c r="CU377" s="29"/>
      <c r="CV377" s="29"/>
      <c r="CW377" s="29"/>
      <c r="CX377" s="29"/>
      <c r="CY377" s="29"/>
      <c r="CZ377" s="29"/>
      <c r="DA377" s="29"/>
      <c r="DB377" s="29"/>
      <c r="DC377" s="29"/>
      <c r="DD377" s="29"/>
      <c r="DE377" s="29"/>
      <c r="DF377" s="29"/>
      <c r="DG377" s="29"/>
      <c r="DH377" s="29"/>
      <c r="DI377" s="29"/>
      <c r="DJ377" s="29"/>
      <c r="DK377" s="29"/>
      <c r="DL377" s="29"/>
      <c r="DM377" s="29"/>
      <c r="DN377" s="29"/>
      <c r="DO377" s="29"/>
      <c r="DP377" s="29"/>
      <c r="DQ377" s="29"/>
      <c r="DR377" s="29"/>
      <c r="DS377" s="29"/>
      <c r="DT377" s="29"/>
      <c r="DU377" s="29"/>
      <c r="DV377" s="29"/>
      <c r="DW377" s="29"/>
      <c r="DX377" s="29"/>
      <c r="DY377" s="29"/>
      <c r="DZ377" s="29"/>
      <c r="EA377" s="29"/>
      <c r="EB377" s="29"/>
      <c r="EC377" s="29"/>
      <c r="ED377" s="29"/>
      <c r="EE377" s="29"/>
      <c r="EF377" s="29"/>
      <c r="EG377" s="29"/>
      <c r="EH377" s="29"/>
      <c r="EI377" s="29"/>
      <c r="EJ377" s="29"/>
      <c r="EK377" s="29"/>
      <c r="EL377" s="29"/>
      <c r="EM377" s="29"/>
      <c r="EN377" s="29"/>
      <c r="EO377" s="29"/>
      <c r="EP377" s="29"/>
      <c r="EQ377" s="29"/>
      <c r="ER377" s="29"/>
      <c r="ES377" s="29"/>
      <c r="ET377" s="29"/>
      <c r="EU377" s="29"/>
      <c r="EV377" s="29"/>
      <c r="EW377" s="29"/>
      <c r="EX377" s="29"/>
      <c r="EY377" s="29"/>
      <c r="EZ377" s="29"/>
      <c r="FA377" s="29"/>
      <c r="FB377" s="29"/>
      <c r="FC377" s="29"/>
      <c r="FD377" s="29"/>
      <c r="FE377" s="29"/>
      <c r="FF377" s="29"/>
      <c r="FG377" s="29"/>
      <c r="FH377" s="29"/>
      <c r="FI377" s="29"/>
      <c r="FJ377" s="29"/>
      <c r="FK377" s="29"/>
      <c r="FL377" s="29"/>
      <c r="FM377" s="29"/>
      <c r="FN377" s="29"/>
      <c r="FO377" s="29"/>
      <c r="FP377" s="29"/>
      <c r="FQ377" s="29"/>
      <c r="FR377" s="29"/>
      <c r="FS377" s="29"/>
      <c r="FT377" s="29"/>
      <c r="FU377" s="29"/>
      <c r="FV377" s="29"/>
      <c r="FW377" s="29"/>
      <c r="FX377" s="29"/>
      <c r="FY377" s="29"/>
      <c r="FZ377" s="29"/>
      <c r="GA377" s="29"/>
      <c r="GB377" s="29"/>
      <c r="GC377" s="29"/>
      <c r="GD377" s="29"/>
      <c r="GE377" s="29"/>
      <c r="GF377" s="29"/>
      <c r="GG377" s="29"/>
      <c r="GH377" s="29"/>
      <c r="GI377" s="29"/>
      <c r="GJ377" s="29"/>
      <c r="GK377" s="29"/>
      <c r="GL377" s="29"/>
      <c r="GM377" s="29"/>
      <c r="GN377" s="29"/>
      <c r="GO377" s="29"/>
      <c r="GP377" s="29"/>
      <c r="GQ377" s="29"/>
      <c r="GR377" s="29"/>
      <c r="GS377" s="29"/>
      <c r="GT377" s="29"/>
      <c r="GU377" s="29"/>
      <c r="GV377" s="29"/>
      <c r="GW377" s="29"/>
      <c r="GX377" s="29"/>
      <c r="GY377" s="29"/>
      <c r="GZ377" s="29"/>
      <c r="HA377" s="29"/>
      <c r="HB377" s="29"/>
      <c r="HC377" s="29"/>
      <c r="HD377" s="29"/>
      <c r="HE377" s="29"/>
      <c r="HF377" s="29"/>
      <c r="HG377" s="29"/>
      <c r="HH377" s="29"/>
      <c r="HI377" s="29"/>
      <c r="HJ377" s="29"/>
      <c r="HK377" s="29"/>
      <c r="HL377" s="29"/>
      <c r="HM377" s="29"/>
      <c r="HN377" s="29"/>
      <c r="HO377" s="29"/>
      <c r="HP377" s="29"/>
      <c r="HQ377" s="29"/>
      <c r="HR377" s="29"/>
      <c r="HS377" s="29"/>
      <c r="HT377" s="29"/>
      <c r="HU377" s="29"/>
      <c r="HV377" s="29"/>
      <c r="HW377" s="29"/>
      <c r="HX377" s="29"/>
      <c r="HY377" s="29"/>
      <c r="HZ377" s="29"/>
      <c r="IA377" s="29"/>
      <c r="IB377" s="29"/>
      <c r="IC377" s="29"/>
      <c r="ID377" s="29"/>
      <c r="IE377" s="29"/>
      <c r="IF377" s="29"/>
      <c r="IG377" s="29"/>
      <c r="IH377" s="29"/>
      <c r="II377" s="29"/>
      <c r="IJ377" s="29"/>
      <c r="IK377" s="29"/>
      <c r="IL377" s="29"/>
      <c r="IM377" s="29"/>
      <c r="IN377" s="29"/>
      <c r="IO377" s="29"/>
      <c r="IP377" s="29"/>
      <c r="IQ377" s="29"/>
      <c r="IR377" s="29"/>
      <c r="IS377" s="29"/>
      <c r="IT377" s="29"/>
      <c r="IU377" s="29"/>
      <c r="IV377" s="29"/>
      <c r="IW377" s="29"/>
      <c r="IX377" s="29"/>
      <c r="IY377" s="29"/>
      <c r="IZ377" s="29"/>
      <c r="JA377" s="29"/>
      <c r="JB377" s="29"/>
      <c r="JC377" s="29"/>
      <c r="JD377" s="29"/>
      <c r="JE377" s="29"/>
      <c r="JF377" s="29"/>
      <c r="JG377" s="29"/>
      <c r="JH377" s="29"/>
      <c r="JI377" s="29"/>
      <c r="JJ377" s="29"/>
      <c r="JK377" s="29"/>
      <c r="JL377" s="29"/>
    </row>
    <row r="378" spans="1:272" ht="63.75">
      <c r="A378" s="30" t="s">
        <v>142</v>
      </c>
      <c r="B378" s="31" t="s">
        <v>64</v>
      </c>
      <c r="C378" s="30" t="s">
        <v>39</v>
      </c>
      <c r="D378" s="53" t="s">
        <v>1066</v>
      </c>
      <c r="E378" s="30" t="s">
        <v>139</v>
      </c>
      <c r="F378" s="30" t="s">
        <v>1067</v>
      </c>
      <c r="G378" s="30" t="s">
        <v>58</v>
      </c>
      <c r="H378" s="30">
        <v>561730</v>
      </c>
      <c r="I378" s="30" t="s">
        <v>67</v>
      </c>
      <c r="J378" s="30" t="s">
        <v>129</v>
      </c>
      <c r="K378" s="30" t="s">
        <v>78</v>
      </c>
      <c r="L378" s="30" t="s">
        <v>1068</v>
      </c>
      <c r="M378" s="45">
        <v>673000</v>
      </c>
      <c r="N378" s="45">
        <v>3365000</v>
      </c>
      <c r="O378" s="30" t="s">
        <v>79</v>
      </c>
      <c r="P378" s="30" t="s">
        <v>1069</v>
      </c>
      <c r="Q378" s="129" t="s">
        <v>294</v>
      </c>
      <c r="R378" s="30" t="s">
        <v>100</v>
      </c>
      <c r="S378" s="41">
        <v>2014</v>
      </c>
      <c r="T378" s="31" t="s">
        <v>1070</v>
      </c>
      <c r="U378" s="31" t="s">
        <v>1071</v>
      </c>
      <c r="V378" s="30" t="s">
        <v>1072</v>
      </c>
      <c r="W378" s="30" t="s">
        <v>114</v>
      </c>
      <c r="X378" s="44">
        <v>41673</v>
      </c>
      <c r="Y378" s="44">
        <v>41730</v>
      </c>
      <c r="Z378" s="44">
        <v>43585</v>
      </c>
      <c r="AA378" s="30"/>
      <c r="AE378" s="29"/>
      <c r="AF378" s="29"/>
      <c r="AG378" s="29"/>
      <c r="AH378" s="29"/>
      <c r="AI378" s="29"/>
      <c r="AJ378" s="29"/>
      <c r="AK378" s="29"/>
      <c r="AL378" s="29"/>
      <c r="AM378" s="29"/>
      <c r="AN378" s="29"/>
      <c r="AO378" s="29"/>
      <c r="AP378" s="29"/>
      <c r="AQ378" s="29"/>
      <c r="AR378" s="29"/>
      <c r="AS378" s="29"/>
      <c r="AT378" s="29"/>
      <c r="AU378" s="29"/>
      <c r="AV378" s="29"/>
      <c r="AW378" s="29"/>
      <c r="AX378" s="29"/>
      <c r="AY378" s="29"/>
      <c r="AZ378" s="29"/>
      <c r="BA378" s="29"/>
      <c r="BB378" s="29"/>
      <c r="BC378" s="29"/>
      <c r="BD378" s="29"/>
      <c r="BE378" s="29"/>
      <c r="BF378" s="29"/>
      <c r="BG378" s="29"/>
      <c r="BH378" s="29"/>
      <c r="BI378" s="29"/>
      <c r="BJ378" s="29"/>
      <c r="BK378" s="29"/>
      <c r="BL378" s="29"/>
      <c r="BM378" s="29"/>
      <c r="BN378" s="29"/>
      <c r="BO378" s="29"/>
      <c r="BP378" s="29"/>
      <c r="BQ378" s="29"/>
      <c r="BR378" s="29"/>
      <c r="BS378" s="29"/>
      <c r="BT378" s="29"/>
      <c r="BU378" s="29"/>
      <c r="BV378" s="29"/>
      <c r="BW378" s="29"/>
      <c r="BX378" s="29"/>
      <c r="BY378" s="29"/>
      <c r="BZ378" s="29"/>
      <c r="CA378" s="29"/>
      <c r="CB378" s="29"/>
      <c r="CC378" s="29"/>
      <c r="CD378" s="29"/>
      <c r="CE378" s="29"/>
      <c r="CF378" s="29"/>
      <c r="CG378" s="29"/>
      <c r="CH378" s="29"/>
      <c r="CI378" s="29"/>
      <c r="CJ378" s="29"/>
      <c r="CK378" s="29"/>
      <c r="CL378" s="29"/>
      <c r="CM378" s="29"/>
      <c r="CN378" s="29"/>
      <c r="CO378" s="29"/>
      <c r="CP378" s="29"/>
      <c r="CQ378" s="29"/>
      <c r="CR378" s="29"/>
      <c r="CS378" s="29"/>
      <c r="CT378" s="29"/>
      <c r="CU378" s="29"/>
      <c r="CV378" s="29"/>
      <c r="CW378" s="29"/>
      <c r="CX378" s="29"/>
      <c r="CY378" s="29"/>
      <c r="CZ378" s="29"/>
      <c r="DA378" s="29"/>
      <c r="DB378" s="29"/>
      <c r="DC378" s="29"/>
      <c r="DD378" s="29"/>
      <c r="DE378" s="29"/>
      <c r="DF378" s="29"/>
      <c r="DG378" s="29"/>
      <c r="DH378" s="29"/>
      <c r="DI378" s="29"/>
      <c r="DJ378" s="29"/>
      <c r="DK378" s="29"/>
      <c r="DL378" s="29"/>
      <c r="DM378" s="29"/>
      <c r="DN378" s="29"/>
      <c r="DO378" s="29"/>
      <c r="DP378" s="29"/>
      <c r="DQ378" s="29"/>
      <c r="DR378" s="29"/>
      <c r="DS378" s="29"/>
      <c r="DT378" s="29"/>
      <c r="DU378" s="29"/>
      <c r="DV378" s="29"/>
      <c r="DW378" s="29"/>
      <c r="DX378" s="29"/>
      <c r="DY378" s="29"/>
      <c r="DZ378" s="29"/>
      <c r="EA378" s="29"/>
      <c r="EB378" s="29"/>
      <c r="EC378" s="29"/>
      <c r="ED378" s="29"/>
      <c r="EE378" s="29"/>
      <c r="EF378" s="29"/>
      <c r="EG378" s="29"/>
      <c r="EH378" s="29"/>
      <c r="EI378" s="29"/>
      <c r="EJ378" s="29"/>
      <c r="EK378" s="29"/>
      <c r="EL378" s="29"/>
      <c r="EM378" s="29"/>
      <c r="EN378" s="29"/>
      <c r="EO378" s="29"/>
      <c r="EP378" s="29"/>
      <c r="EQ378" s="29"/>
      <c r="ER378" s="29"/>
      <c r="ES378" s="29"/>
      <c r="ET378" s="29"/>
      <c r="EU378" s="29"/>
      <c r="EV378" s="29"/>
      <c r="EW378" s="29"/>
      <c r="EX378" s="29"/>
      <c r="EY378" s="29"/>
      <c r="EZ378" s="29"/>
      <c r="FA378" s="29"/>
      <c r="FB378" s="29"/>
      <c r="FC378" s="29"/>
      <c r="FD378" s="29"/>
      <c r="FE378" s="29"/>
      <c r="FF378" s="29"/>
      <c r="FG378" s="29"/>
      <c r="FH378" s="29"/>
      <c r="FI378" s="29"/>
      <c r="FJ378" s="29"/>
      <c r="FK378" s="29"/>
      <c r="FL378" s="29"/>
      <c r="FM378" s="29"/>
      <c r="FN378" s="29"/>
      <c r="FO378" s="29"/>
      <c r="FP378" s="29"/>
      <c r="FQ378" s="29"/>
      <c r="FR378" s="29"/>
      <c r="FS378" s="29"/>
      <c r="FT378" s="29"/>
      <c r="FU378" s="29"/>
      <c r="FV378" s="29"/>
      <c r="FW378" s="29"/>
      <c r="FX378" s="29"/>
      <c r="FY378" s="29"/>
      <c r="FZ378" s="29"/>
      <c r="GA378" s="29"/>
      <c r="GB378" s="29"/>
      <c r="GC378" s="29"/>
      <c r="GD378" s="29"/>
      <c r="GE378" s="29"/>
      <c r="GF378" s="29"/>
      <c r="GG378" s="29"/>
      <c r="GH378" s="29"/>
      <c r="GI378" s="29"/>
      <c r="GJ378" s="29"/>
      <c r="GK378" s="29"/>
      <c r="GL378" s="29"/>
      <c r="GM378" s="29"/>
      <c r="GN378" s="29"/>
      <c r="GO378" s="29"/>
      <c r="GP378" s="29"/>
      <c r="GQ378" s="29"/>
      <c r="GR378" s="29"/>
      <c r="GS378" s="29"/>
      <c r="GT378" s="29"/>
      <c r="GU378" s="29"/>
      <c r="GV378" s="29"/>
      <c r="GW378" s="29"/>
      <c r="GX378" s="29"/>
      <c r="GY378" s="29"/>
      <c r="GZ378" s="29"/>
      <c r="HA378" s="29"/>
      <c r="HB378" s="29"/>
      <c r="HC378" s="29"/>
      <c r="HD378" s="29"/>
      <c r="HE378" s="29"/>
      <c r="HF378" s="29"/>
      <c r="HG378" s="29"/>
      <c r="HH378" s="29"/>
      <c r="HI378" s="29"/>
      <c r="HJ378" s="29"/>
      <c r="HK378" s="29"/>
      <c r="HL378" s="29"/>
      <c r="HM378" s="29"/>
      <c r="HN378" s="29"/>
      <c r="HO378" s="29"/>
      <c r="HP378" s="29"/>
      <c r="HQ378" s="29"/>
      <c r="HR378" s="29"/>
      <c r="HS378" s="29"/>
      <c r="HT378" s="29"/>
      <c r="HU378" s="29"/>
      <c r="HV378" s="29"/>
      <c r="HW378" s="29"/>
      <c r="HX378" s="29"/>
      <c r="HY378" s="29"/>
      <c r="HZ378" s="29"/>
      <c r="IA378" s="29"/>
      <c r="IB378" s="29"/>
      <c r="IC378" s="29"/>
      <c r="ID378" s="29"/>
      <c r="IE378" s="29"/>
      <c r="IF378" s="29"/>
      <c r="IG378" s="29"/>
      <c r="IH378" s="29"/>
      <c r="II378" s="29"/>
      <c r="IJ378" s="29"/>
      <c r="IK378" s="29"/>
      <c r="IL378" s="29"/>
      <c r="IM378" s="29"/>
      <c r="IN378" s="29"/>
      <c r="IO378" s="29"/>
      <c r="IP378" s="29"/>
      <c r="IQ378" s="29"/>
      <c r="IR378" s="29"/>
      <c r="IS378" s="29"/>
      <c r="IT378" s="29"/>
      <c r="IU378" s="29"/>
      <c r="IV378" s="29"/>
      <c r="IW378" s="29"/>
      <c r="IX378" s="29"/>
      <c r="IY378" s="29"/>
      <c r="IZ378" s="29"/>
      <c r="JA378" s="29"/>
      <c r="JB378" s="29"/>
      <c r="JC378" s="29"/>
      <c r="JD378" s="29"/>
      <c r="JE378" s="29"/>
      <c r="JF378" s="29"/>
      <c r="JG378" s="29"/>
      <c r="JH378" s="29"/>
      <c r="JI378" s="29"/>
      <c r="JJ378" s="29"/>
      <c r="JK378" s="29"/>
      <c r="JL378" s="29"/>
    </row>
    <row r="379" spans="1:272" ht="25.5">
      <c r="A379" s="30" t="s">
        <v>142</v>
      </c>
      <c r="B379" s="31" t="s">
        <v>64</v>
      </c>
      <c r="C379" s="30" t="s">
        <v>39</v>
      </c>
      <c r="D379" s="30" t="s">
        <v>1073</v>
      </c>
      <c r="E379" s="30" t="s">
        <v>88</v>
      </c>
      <c r="F379" s="30" t="s">
        <v>1038</v>
      </c>
      <c r="G379" s="30" t="s">
        <v>58</v>
      </c>
      <c r="H379" s="30">
        <v>561990</v>
      </c>
      <c r="I379" s="30" t="s">
        <v>67</v>
      </c>
      <c r="J379" s="52" t="s">
        <v>129</v>
      </c>
      <c r="K379" s="30" t="s">
        <v>78</v>
      </c>
      <c r="L379" s="30" t="s">
        <v>1074</v>
      </c>
      <c r="M379" s="45">
        <v>2100000</v>
      </c>
      <c r="N379" s="45">
        <v>2100000</v>
      </c>
      <c r="O379" s="30" t="s">
        <v>79</v>
      </c>
      <c r="P379" s="30" t="s">
        <v>1075</v>
      </c>
      <c r="Q379" s="30" t="s">
        <v>1060</v>
      </c>
      <c r="R379" s="155" t="s">
        <v>80</v>
      </c>
      <c r="S379" s="41">
        <v>2014</v>
      </c>
      <c r="T379" s="31" t="s">
        <v>1040</v>
      </c>
      <c r="U379" s="31" t="s">
        <v>1041</v>
      </c>
      <c r="V379" s="30" t="s">
        <v>1042</v>
      </c>
      <c r="W379" s="30" t="s">
        <v>114</v>
      </c>
      <c r="X379" s="44">
        <v>41609</v>
      </c>
      <c r="Y379" s="44">
        <v>41671</v>
      </c>
      <c r="Z379" s="44">
        <v>43554</v>
      </c>
      <c r="AA379" s="30"/>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c r="BO379" s="29"/>
      <c r="BP379" s="29"/>
      <c r="BQ379" s="29"/>
      <c r="BR379" s="29"/>
      <c r="BS379" s="29"/>
      <c r="BT379" s="29"/>
      <c r="BU379" s="29"/>
      <c r="BV379" s="29"/>
      <c r="BW379" s="29"/>
      <c r="BX379" s="29"/>
      <c r="BY379" s="29"/>
      <c r="BZ379" s="29"/>
      <c r="CA379" s="29"/>
      <c r="CB379" s="29"/>
      <c r="CC379" s="29"/>
      <c r="CD379" s="29"/>
      <c r="CE379" s="29"/>
      <c r="CF379" s="29"/>
      <c r="CG379" s="29"/>
      <c r="CH379" s="29"/>
      <c r="CI379" s="29"/>
      <c r="CJ379" s="29"/>
      <c r="CK379" s="29"/>
      <c r="CL379" s="29"/>
      <c r="CM379" s="29"/>
      <c r="CN379" s="29"/>
      <c r="CO379" s="29"/>
      <c r="CP379" s="29"/>
      <c r="CQ379" s="29"/>
      <c r="CR379" s="29"/>
      <c r="CS379" s="29"/>
      <c r="CT379" s="29"/>
      <c r="CU379" s="29"/>
      <c r="CV379" s="29"/>
      <c r="CW379" s="29"/>
      <c r="CX379" s="29"/>
      <c r="CY379" s="29"/>
      <c r="CZ379" s="29"/>
      <c r="DA379" s="29"/>
      <c r="DB379" s="29"/>
      <c r="DC379" s="29"/>
      <c r="DD379" s="29"/>
      <c r="DE379" s="29"/>
      <c r="DF379" s="29"/>
      <c r="DG379" s="29"/>
      <c r="DH379" s="29"/>
      <c r="DI379" s="29"/>
      <c r="DJ379" s="29"/>
      <c r="DK379" s="29"/>
      <c r="DL379" s="29"/>
      <c r="DM379" s="29"/>
      <c r="DN379" s="29"/>
      <c r="DO379" s="29"/>
      <c r="DP379" s="29"/>
      <c r="DQ379" s="29"/>
      <c r="DR379" s="29"/>
      <c r="DS379" s="29"/>
      <c r="DT379" s="29"/>
      <c r="DU379" s="29"/>
      <c r="DV379" s="29"/>
      <c r="DW379" s="29"/>
      <c r="DX379" s="29"/>
      <c r="DY379" s="29"/>
      <c r="DZ379" s="29"/>
      <c r="EA379" s="29"/>
      <c r="EB379" s="29"/>
      <c r="EC379" s="29"/>
      <c r="ED379" s="29"/>
      <c r="EE379" s="29"/>
      <c r="EF379" s="29"/>
      <c r="EG379" s="29"/>
      <c r="EH379" s="29"/>
      <c r="EI379" s="29"/>
      <c r="EJ379" s="29"/>
      <c r="EK379" s="29"/>
      <c r="EL379" s="29"/>
      <c r="EM379" s="29"/>
      <c r="EN379" s="29"/>
      <c r="EO379" s="29"/>
      <c r="EP379" s="29"/>
      <c r="EQ379" s="29"/>
      <c r="ER379" s="29"/>
      <c r="ES379" s="29"/>
      <c r="ET379" s="29"/>
      <c r="EU379" s="29"/>
      <c r="EV379" s="29"/>
      <c r="EW379" s="29"/>
      <c r="EX379" s="29"/>
      <c r="EY379" s="29"/>
      <c r="EZ379" s="29"/>
      <c r="FA379" s="29"/>
      <c r="FB379" s="29"/>
      <c r="FC379" s="29"/>
      <c r="FD379" s="29"/>
      <c r="FE379" s="29"/>
      <c r="FF379" s="29"/>
      <c r="FG379" s="29"/>
      <c r="FH379" s="29"/>
      <c r="FI379" s="29"/>
      <c r="FJ379" s="29"/>
      <c r="FK379" s="29"/>
      <c r="FL379" s="29"/>
      <c r="FM379" s="29"/>
      <c r="FN379" s="29"/>
      <c r="FO379" s="29"/>
      <c r="FP379" s="29"/>
      <c r="FQ379" s="29"/>
      <c r="FR379" s="29"/>
      <c r="FS379" s="29"/>
      <c r="FT379" s="29"/>
      <c r="FU379" s="29"/>
      <c r="FV379" s="29"/>
      <c r="FW379" s="29"/>
      <c r="FX379" s="29"/>
      <c r="FY379" s="29"/>
      <c r="FZ379" s="29"/>
      <c r="GA379" s="29"/>
      <c r="GB379" s="29"/>
      <c r="GC379" s="29"/>
      <c r="GD379" s="29"/>
      <c r="GE379" s="29"/>
      <c r="GF379" s="29"/>
      <c r="GG379" s="29"/>
      <c r="GH379" s="29"/>
      <c r="GI379" s="29"/>
      <c r="GJ379" s="29"/>
      <c r="GK379" s="29"/>
      <c r="GL379" s="29"/>
      <c r="GM379" s="29"/>
      <c r="GN379" s="29"/>
      <c r="GO379" s="29"/>
      <c r="GP379" s="29"/>
      <c r="GQ379" s="29"/>
      <c r="GR379" s="29"/>
      <c r="GS379" s="29"/>
      <c r="GT379" s="29"/>
      <c r="GU379" s="29"/>
      <c r="GV379" s="29"/>
      <c r="GW379" s="29"/>
      <c r="GX379" s="29"/>
      <c r="GY379" s="29"/>
      <c r="GZ379" s="29"/>
      <c r="HA379" s="29"/>
      <c r="HB379" s="29"/>
      <c r="HC379" s="29"/>
      <c r="HD379" s="29"/>
      <c r="HE379" s="29"/>
      <c r="HF379" s="29"/>
      <c r="HG379" s="29"/>
      <c r="HH379" s="29"/>
      <c r="HI379" s="29"/>
      <c r="HJ379" s="29"/>
      <c r="HK379" s="29"/>
      <c r="HL379" s="29"/>
      <c r="HM379" s="29"/>
      <c r="HN379" s="29"/>
      <c r="HO379" s="29"/>
      <c r="HP379" s="29"/>
      <c r="HQ379" s="29"/>
      <c r="HR379" s="29"/>
      <c r="HS379" s="29"/>
      <c r="HT379" s="29"/>
      <c r="HU379" s="29"/>
      <c r="HV379" s="29"/>
      <c r="HW379" s="29"/>
      <c r="HX379" s="29"/>
      <c r="HY379" s="29"/>
      <c r="HZ379" s="29"/>
      <c r="IA379" s="29"/>
      <c r="IB379" s="29"/>
      <c r="IC379" s="29"/>
      <c r="ID379" s="29"/>
      <c r="IE379" s="29"/>
      <c r="IF379" s="29"/>
      <c r="IG379" s="29"/>
      <c r="IH379" s="29"/>
      <c r="II379" s="29"/>
      <c r="IJ379" s="29"/>
      <c r="IK379" s="29"/>
      <c r="IL379" s="29"/>
      <c r="IM379" s="29"/>
      <c r="IN379" s="29"/>
      <c r="IO379" s="29"/>
      <c r="IP379" s="29"/>
      <c r="IQ379" s="29"/>
      <c r="IR379" s="29"/>
      <c r="IS379" s="29"/>
      <c r="IT379" s="29"/>
      <c r="IU379" s="29"/>
      <c r="IV379" s="29"/>
      <c r="IW379" s="29"/>
      <c r="IX379" s="29"/>
      <c r="IY379" s="29"/>
      <c r="IZ379" s="29"/>
      <c r="JA379" s="29"/>
      <c r="JB379" s="29"/>
      <c r="JC379" s="29"/>
      <c r="JD379" s="29"/>
      <c r="JE379" s="29"/>
      <c r="JF379" s="29"/>
      <c r="JG379" s="29"/>
      <c r="JH379" s="29"/>
      <c r="JI379" s="29"/>
      <c r="JJ379" s="29"/>
      <c r="JK379" s="29"/>
      <c r="JL379" s="29"/>
    </row>
    <row r="380" spans="1:272" ht="25.5">
      <c r="A380" s="30" t="s">
        <v>142</v>
      </c>
      <c r="B380" s="31" t="s">
        <v>64</v>
      </c>
      <c r="C380" s="30" t="s">
        <v>39</v>
      </c>
      <c r="D380" s="30" t="s">
        <v>961</v>
      </c>
      <c r="E380" s="30" t="s">
        <v>88</v>
      </c>
      <c r="F380" s="30" t="s">
        <v>1038</v>
      </c>
      <c r="G380" s="30" t="s">
        <v>58</v>
      </c>
      <c r="H380" s="30">
        <v>561210</v>
      </c>
      <c r="I380" s="129" t="s">
        <v>546</v>
      </c>
      <c r="J380" s="52" t="s">
        <v>129</v>
      </c>
      <c r="K380" s="31" t="s">
        <v>69</v>
      </c>
      <c r="L380" s="30" t="s">
        <v>1061</v>
      </c>
      <c r="M380" s="45">
        <v>7500000</v>
      </c>
      <c r="N380" s="45">
        <v>7500000</v>
      </c>
      <c r="O380" s="30" t="s">
        <v>79</v>
      </c>
      <c r="P380" s="30" t="s">
        <v>1076</v>
      </c>
      <c r="Q380" s="30" t="s">
        <v>1060</v>
      </c>
      <c r="R380" s="155" t="s">
        <v>80</v>
      </c>
      <c r="S380" s="41">
        <v>2014</v>
      </c>
      <c r="T380" s="31" t="s">
        <v>1077</v>
      </c>
      <c r="U380" s="31" t="s">
        <v>1078</v>
      </c>
      <c r="V380" s="30" t="s">
        <v>1079</v>
      </c>
      <c r="W380" s="30" t="s">
        <v>114</v>
      </c>
      <c r="X380" s="44">
        <v>41334</v>
      </c>
      <c r="Y380" s="44">
        <v>41379</v>
      </c>
      <c r="Z380" s="44">
        <v>43981</v>
      </c>
      <c r="AA380" s="30"/>
      <c r="AE380" s="29"/>
      <c r="AF380" s="29"/>
      <c r="AG380" s="29"/>
      <c r="AH380" s="29"/>
      <c r="AI380" s="29"/>
      <c r="AJ380" s="29"/>
      <c r="AK380" s="29"/>
      <c r="AL380" s="29"/>
      <c r="AM380" s="29"/>
      <c r="AN380" s="29"/>
      <c r="AO380" s="29"/>
      <c r="AP380" s="29"/>
      <c r="AQ380" s="29"/>
      <c r="AR380" s="29"/>
      <c r="AS380" s="29"/>
      <c r="AT380" s="29"/>
      <c r="AU380" s="29"/>
      <c r="AV380" s="29"/>
      <c r="AW380" s="29"/>
      <c r="AX380" s="29"/>
      <c r="AY380" s="29"/>
      <c r="AZ380" s="29"/>
      <c r="BA380" s="29"/>
      <c r="BB380" s="29"/>
      <c r="BC380" s="29"/>
      <c r="BD380" s="29"/>
      <c r="BE380" s="29"/>
      <c r="BF380" s="29"/>
      <c r="BG380" s="29"/>
      <c r="BH380" s="29"/>
      <c r="BI380" s="29"/>
      <c r="BJ380" s="29"/>
      <c r="BK380" s="29"/>
      <c r="BL380" s="29"/>
      <c r="BM380" s="29"/>
      <c r="BN380" s="29"/>
      <c r="BO380" s="29"/>
      <c r="BP380" s="29"/>
      <c r="BQ380" s="29"/>
      <c r="BR380" s="29"/>
      <c r="BS380" s="29"/>
      <c r="BT380" s="29"/>
      <c r="BU380" s="29"/>
      <c r="BV380" s="29"/>
      <c r="BW380" s="29"/>
      <c r="BX380" s="29"/>
      <c r="BY380" s="29"/>
      <c r="BZ380" s="29"/>
      <c r="CA380" s="29"/>
      <c r="CB380" s="29"/>
      <c r="CC380" s="29"/>
      <c r="CD380" s="29"/>
      <c r="CE380" s="29"/>
      <c r="CF380" s="29"/>
      <c r="CG380" s="29"/>
      <c r="CH380" s="29"/>
      <c r="CI380" s="29"/>
      <c r="CJ380" s="29"/>
      <c r="CK380" s="29"/>
      <c r="CL380" s="29"/>
      <c r="CM380" s="29"/>
      <c r="CN380" s="29"/>
      <c r="CO380" s="29"/>
      <c r="CP380" s="29"/>
      <c r="CQ380" s="29"/>
      <c r="CR380" s="29"/>
      <c r="CS380" s="29"/>
      <c r="CT380" s="29"/>
      <c r="CU380" s="29"/>
      <c r="CV380" s="29"/>
      <c r="CW380" s="29"/>
      <c r="CX380" s="29"/>
      <c r="CY380" s="29"/>
      <c r="CZ380" s="29"/>
      <c r="DA380" s="29"/>
      <c r="DB380" s="29"/>
      <c r="DC380" s="29"/>
      <c r="DD380" s="29"/>
      <c r="DE380" s="29"/>
      <c r="DF380" s="29"/>
      <c r="DG380" s="29"/>
      <c r="DH380" s="29"/>
      <c r="DI380" s="29"/>
      <c r="DJ380" s="29"/>
      <c r="DK380" s="29"/>
      <c r="DL380" s="29"/>
      <c r="DM380" s="29"/>
      <c r="DN380" s="29"/>
      <c r="DO380" s="29"/>
      <c r="DP380" s="29"/>
      <c r="DQ380" s="29"/>
      <c r="DR380" s="29"/>
      <c r="DS380" s="29"/>
      <c r="DT380" s="29"/>
      <c r="DU380" s="29"/>
      <c r="DV380" s="29"/>
      <c r="DW380" s="29"/>
      <c r="DX380" s="29"/>
      <c r="DY380" s="29"/>
      <c r="DZ380" s="29"/>
      <c r="EA380" s="29"/>
      <c r="EB380" s="29"/>
      <c r="EC380" s="29"/>
      <c r="ED380" s="29"/>
      <c r="EE380" s="29"/>
      <c r="EF380" s="29"/>
      <c r="EG380" s="29"/>
      <c r="EH380" s="29"/>
      <c r="EI380" s="29"/>
      <c r="EJ380" s="29"/>
      <c r="EK380" s="29"/>
      <c r="EL380" s="29"/>
      <c r="EM380" s="29"/>
      <c r="EN380" s="29"/>
      <c r="EO380" s="29"/>
      <c r="EP380" s="29"/>
      <c r="EQ380" s="29"/>
      <c r="ER380" s="29"/>
      <c r="ES380" s="29"/>
      <c r="ET380" s="29"/>
      <c r="EU380" s="29"/>
      <c r="EV380" s="29"/>
      <c r="EW380" s="29"/>
      <c r="EX380" s="29"/>
      <c r="EY380" s="29"/>
      <c r="EZ380" s="29"/>
      <c r="FA380" s="29"/>
      <c r="FB380" s="29"/>
      <c r="FC380" s="29"/>
      <c r="FD380" s="29"/>
      <c r="FE380" s="29"/>
      <c r="FF380" s="29"/>
      <c r="FG380" s="29"/>
      <c r="FH380" s="29"/>
      <c r="FI380" s="29"/>
      <c r="FJ380" s="29"/>
      <c r="FK380" s="29"/>
      <c r="FL380" s="29"/>
      <c r="FM380" s="29"/>
      <c r="FN380" s="29"/>
      <c r="FO380" s="29"/>
      <c r="FP380" s="29"/>
      <c r="FQ380" s="29"/>
      <c r="FR380" s="29"/>
      <c r="FS380" s="29"/>
      <c r="FT380" s="29"/>
      <c r="FU380" s="29"/>
      <c r="FV380" s="29"/>
      <c r="FW380" s="29"/>
      <c r="FX380" s="29"/>
      <c r="FY380" s="29"/>
      <c r="FZ380" s="29"/>
      <c r="GA380" s="29"/>
      <c r="GB380" s="29"/>
      <c r="GC380" s="29"/>
      <c r="GD380" s="29"/>
      <c r="GE380" s="29"/>
      <c r="GF380" s="29"/>
      <c r="GG380" s="29"/>
      <c r="GH380" s="29"/>
      <c r="GI380" s="29"/>
      <c r="GJ380" s="29"/>
      <c r="GK380" s="29"/>
      <c r="GL380" s="29"/>
      <c r="GM380" s="29"/>
      <c r="GN380" s="29"/>
      <c r="GO380" s="29"/>
      <c r="GP380" s="29"/>
      <c r="GQ380" s="29"/>
      <c r="GR380" s="29"/>
      <c r="GS380" s="29"/>
      <c r="GT380" s="29"/>
      <c r="GU380" s="29"/>
      <c r="GV380" s="29"/>
      <c r="GW380" s="29"/>
      <c r="GX380" s="29"/>
      <c r="GY380" s="29"/>
      <c r="GZ380" s="29"/>
      <c r="HA380" s="29"/>
      <c r="HB380" s="29"/>
      <c r="HC380" s="29"/>
      <c r="HD380" s="29"/>
      <c r="HE380" s="29"/>
      <c r="HF380" s="29"/>
      <c r="HG380" s="29"/>
      <c r="HH380" s="29"/>
      <c r="HI380" s="29"/>
      <c r="HJ380" s="29"/>
      <c r="HK380" s="29"/>
      <c r="HL380" s="29"/>
      <c r="HM380" s="29"/>
      <c r="HN380" s="29"/>
      <c r="HO380" s="29"/>
      <c r="HP380" s="29"/>
      <c r="HQ380" s="29"/>
      <c r="HR380" s="29"/>
      <c r="HS380" s="29"/>
      <c r="HT380" s="29"/>
      <c r="HU380" s="29"/>
      <c r="HV380" s="29"/>
      <c r="HW380" s="29"/>
      <c r="HX380" s="29"/>
      <c r="HY380" s="29"/>
      <c r="HZ380" s="29"/>
      <c r="IA380" s="29"/>
      <c r="IB380" s="29"/>
      <c r="IC380" s="29"/>
      <c r="ID380" s="29"/>
      <c r="IE380" s="29"/>
      <c r="IF380" s="29"/>
      <c r="IG380" s="29"/>
      <c r="IH380" s="29"/>
      <c r="II380" s="29"/>
      <c r="IJ380" s="29"/>
      <c r="IK380" s="29"/>
      <c r="IL380" s="29"/>
      <c r="IM380" s="29"/>
      <c r="IN380" s="29"/>
      <c r="IO380" s="29"/>
      <c r="IP380" s="29"/>
      <c r="IQ380" s="29"/>
      <c r="IR380" s="29"/>
      <c r="IS380" s="29"/>
      <c r="IT380" s="29"/>
      <c r="IU380" s="29"/>
      <c r="IV380" s="29"/>
      <c r="IW380" s="29"/>
      <c r="IX380" s="29"/>
      <c r="IY380" s="29"/>
      <c r="IZ380" s="29"/>
      <c r="JA380" s="29"/>
      <c r="JB380" s="29"/>
      <c r="JC380" s="29"/>
      <c r="JD380" s="29"/>
      <c r="JE380" s="29"/>
      <c r="JF380" s="29"/>
      <c r="JG380" s="29"/>
      <c r="JH380" s="29"/>
      <c r="JI380" s="29"/>
      <c r="JJ380" s="29"/>
      <c r="JK380" s="29"/>
      <c r="JL380" s="29"/>
    </row>
    <row r="381" spans="1:272" ht="38.25">
      <c r="A381" s="30" t="s">
        <v>142</v>
      </c>
      <c r="B381" s="31" t="s">
        <v>64</v>
      </c>
      <c r="C381" s="30" t="s">
        <v>1080</v>
      </c>
      <c r="D381" s="30" t="s">
        <v>1081</v>
      </c>
      <c r="E381" s="30" t="s">
        <v>88</v>
      </c>
      <c r="F381" s="30" t="s">
        <v>1082</v>
      </c>
      <c r="G381" s="30" t="s">
        <v>174</v>
      </c>
      <c r="H381" s="30">
        <v>238220</v>
      </c>
      <c r="I381" s="129" t="s">
        <v>59</v>
      </c>
      <c r="J381" s="30" t="s">
        <v>129</v>
      </c>
      <c r="K381" s="30" t="s">
        <v>350</v>
      </c>
      <c r="L381" s="30" t="s">
        <v>754</v>
      </c>
      <c r="M381" s="45">
        <v>230000</v>
      </c>
      <c r="N381" s="45">
        <v>1185000</v>
      </c>
      <c r="O381" s="30" t="s">
        <v>79</v>
      </c>
      <c r="P381" s="30" t="s">
        <v>1083</v>
      </c>
      <c r="Q381" s="31" t="s">
        <v>294</v>
      </c>
      <c r="R381" s="30" t="s">
        <v>35</v>
      </c>
      <c r="S381" s="41">
        <v>2013</v>
      </c>
      <c r="T381" s="31" t="s">
        <v>1084</v>
      </c>
      <c r="U381" s="31" t="s">
        <v>1085</v>
      </c>
      <c r="V381" s="30" t="str">
        <f>HYPERLINK("mailto:jane.doe@gsa.gov","jane.doe@gsa.gov")</f>
        <v>jane.doe@gsa.gov</v>
      </c>
      <c r="W381" s="129" t="s">
        <v>101</v>
      </c>
      <c r="X381" s="44">
        <v>41456</v>
      </c>
      <c r="Y381" s="44">
        <v>41518</v>
      </c>
      <c r="Z381" s="44">
        <v>41912</v>
      </c>
      <c r="AA381" s="30"/>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c r="BG381" s="29"/>
      <c r="BH381" s="29"/>
      <c r="BI381" s="29"/>
      <c r="BJ381" s="29"/>
      <c r="BK381" s="29"/>
      <c r="BL381" s="29"/>
      <c r="BM381" s="29"/>
      <c r="BN381" s="29"/>
      <c r="BO381" s="29"/>
      <c r="BP381" s="29"/>
      <c r="BQ381" s="29"/>
      <c r="BR381" s="29"/>
      <c r="BS381" s="29"/>
      <c r="BT381" s="29"/>
      <c r="BU381" s="29"/>
      <c r="BV381" s="29"/>
      <c r="BW381" s="29"/>
      <c r="BX381" s="29"/>
      <c r="BY381" s="29"/>
      <c r="BZ381" s="29"/>
      <c r="CA381" s="29"/>
      <c r="CB381" s="29"/>
      <c r="CC381" s="29"/>
      <c r="CD381" s="29"/>
      <c r="CE381" s="29"/>
      <c r="CF381" s="29"/>
      <c r="CG381" s="29"/>
      <c r="CH381" s="29"/>
      <c r="CI381" s="29"/>
      <c r="CJ381" s="29"/>
      <c r="CK381" s="29"/>
      <c r="CL381" s="29"/>
      <c r="CM381" s="29"/>
      <c r="CN381" s="29"/>
      <c r="CO381" s="29"/>
      <c r="CP381" s="29"/>
      <c r="CQ381" s="29"/>
      <c r="CR381" s="29"/>
      <c r="CS381" s="29"/>
      <c r="CT381" s="29"/>
      <c r="CU381" s="29"/>
      <c r="CV381" s="29"/>
      <c r="CW381" s="29"/>
      <c r="CX381" s="29"/>
      <c r="CY381" s="29"/>
      <c r="CZ381" s="29"/>
      <c r="DA381" s="29"/>
      <c r="DB381" s="29"/>
      <c r="DC381" s="29"/>
      <c r="DD381" s="29"/>
      <c r="DE381" s="29"/>
      <c r="DF381" s="29"/>
      <c r="DG381" s="29"/>
      <c r="DH381" s="29"/>
      <c r="DI381" s="29"/>
      <c r="DJ381" s="29"/>
      <c r="DK381" s="29"/>
      <c r="DL381" s="29"/>
      <c r="DM381" s="29"/>
      <c r="DN381" s="29"/>
      <c r="DO381" s="29"/>
      <c r="DP381" s="29"/>
      <c r="DQ381" s="29"/>
      <c r="DR381" s="29"/>
      <c r="DS381" s="29"/>
      <c r="DT381" s="29"/>
      <c r="DU381" s="29"/>
      <c r="DV381" s="29"/>
      <c r="DW381" s="29"/>
      <c r="DX381" s="29"/>
      <c r="DY381" s="29"/>
      <c r="DZ381" s="29"/>
      <c r="EA381" s="29"/>
      <c r="EB381" s="29"/>
      <c r="EC381" s="29"/>
      <c r="ED381" s="29"/>
      <c r="EE381" s="29"/>
      <c r="EF381" s="29"/>
      <c r="EG381" s="29"/>
      <c r="EH381" s="29"/>
      <c r="EI381" s="29"/>
      <c r="EJ381" s="29"/>
      <c r="EK381" s="29"/>
      <c r="EL381" s="29"/>
      <c r="EM381" s="29"/>
      <c r="EN381" s="29"/>
      <c r="EO381" s="29"/>
      <c r="EP381" s="29"/>
      <c r="EQ381" s="29"/>
      <c r="ER381" s="29"/>
      <c r="ES381" s="29"/>
      <c r="ET381" s="29"/>
      <c r="EU381" s="29"/>
      <c r="EV381" s="29"/>
      <c r="EW381" s="29"/>
      <c r="EX381" s="29"/>
      <c r="EY381" s="29"/>
      <c r="EZ381" s="29"/>
      <c r="FA381" s="29"/>
      <c r="FB381" s="29"/>
      <c r="FC381" s="29"/>
      <c r="FD381" s="29"/>
      <c r="FE381" s="29"/>
      <c r="FF381" s="29"/>
      <c r="FG381" s="29"/>
      <c r="FH381" s="29"/>
      <c r="FI381" s="29"/>
      <c r="FJ381" s="29"/>
      <c r="FK381" s="29"/>
      <c r="FL381" s="29"/>
      <c r="FM381" s="29"/>
      <c r="FN381" s="29"/>
      <c r="FO381" s="29"/>
      <c r="FP381" s="29"/>
      <c r="FQ381" s="29"/>
      <c r="FR381" s="29"/>
      <c r="FS381" s="29"/>
      <c r="FT381" s="29"/>
      <c r="FU381" s="29"/>
      <c r="FV381" s="29"/>
      <c r="FW381" s="29"/>
      <c r="FX381" s="29"/>
      <c r="FY381" s="29"/>
      <c r="FZ381" s="29"/>
      <c r="GA381" s="29"/>
      <c r="GB381" s="29"/>
      <c r="GC381" s="29"/>
      <c r="GD381" s="29"/>
      <c r="GE381" s="29"/>
      <c r="GF381" s="29"/>
      <c r="GG381" s="29"/>
      <c r="GH381" s="29"/>
      <c r="GI381" s="29"/>
      <c r="GJ381" s="29"/>
      <c r="GK381" s="29"/>
      <c r="GL381" s="29"/>
      <c r="GM381" s="29"/>
      <c r="GN381" s="29"/>
      <c r="GO381" s="29"/>
      <c r="GP381" s="29"/>
      <c r="GQ381" s="29"/>
      <c r="GR381" s="29"/>
      <c r="GS381" s="29"/>
      <c r="GT381" s="29"/>
      <c r="GU381" s="29"/>
      <c r="GV381" s="29"/>
      <c r="GW381" s="29"/>
      <c r="GX381" s="29"/>
      <c r="GY381" s="29"/>
      <c r="GZ381" s="29"/>
      <c r="HA381" s="29"/>
      <c r="HB381" s="29"/>
      <c r="HC381" s="29"/>
      <c r="HD381" s="29"/>
      <c r="HE381" s="29"/>
      <c r="HF381" s="29"/>
      <c r="HG381" s="29"/>
      <c r="HH381" s="29"/>
      <c r="HI381" s="29"/>
      <c r="HJ381" s="29"/>
      <c r="HK381" s="29"/>
      <c r="HL381" s="29"/>
      <c r="HM381" s="29"/>
      <c r="HN381" s="29"/>
      <c r="HO381" s="29"/>
      <c r="HP381" s="29"/>
      <c r="HQ381" s="29"/>
      <c r="HR381" s="29"/>
      <c r="HS381" s="29"/>
      <c r="HT381" s="29"/>
      <c r="HU381" s="29"/>
      <c r="HV381" s="29"/>
      <c r="HW381" s="29"/>
      <c r="HX381" s="29"/>
      <c r="HY381" s="29"/>
      <c r="HZ381" s="29"/>
      <c r="IA381" s="29"/>
      <c r="IB381" s="29"/>
      <c r="IC381" s="29"/>
      <c r="ID381" s="29"/>
      <c r="IE381" s="29"/>
      <c r="IF381" s="29"/>
      <c r="IG381" s="29"/>
      <c r="IH381" s="29"/>
      <c r="II381" s="29"/>
      <c r="IJ381" s="29"/>
      <c r="IK381" s="29"/>
      <c r="IL381" s="29"/>
      <c r="IM381" s="29"/>
      <c r="IN381" s="29"/>
      <c r="IO381" s="29"/>
      <c r="IP381" s="29"/>
      <c r="IQ381" s="29"/>
      <c r="IR381" s="29"/>
      <c r="IS381" s="29"/>
      <c r="IT381" s="29"/>
      <c r="IU381" s="29"/>
      <c r="IV381" s="29"/>
      <c r="IW381" s="29"/>
      <c r="IX381" s="29"/>
      <c r="IY381" s="29"/>
      <c r="IZ381" s="29"/>
      <c r="JA381" s="29"/>
      <c r="JB381" s="29"/>
      <c r="JC381" s="29"/>
      <c r="JD381" s="29"/>
      <c r="JE381" s="29"/>
      <c r="JF381" s="29"/>
      <c r="JG381" s="29"/>
      <c r="JH381" s="29"/>
      <c r="JI381" s="29"/>
      <c r="JJ381" s="29"/>
      <c r="JK381" s="29"/>
      <c r="JL381" s="29"/>
    </row>
    <row r="382" spans="1:272" ht="38.25" customHeight="1">
      <c r="A382" s="30" t="s">
        <v>142</v>
      </c>
      <c r="B382" s="31" t="s">
        <v>64</v>
      </c>
      <c r="C382" s="30" t="s">
        <v>29</v>
      </c>
      <c r="D382" s="30" t="s">
        <v>1086</v>
      </c>
      <c r="E382" s="30" t="s">
        <v>263</v>
      </c>
      <c r="F382" s="30" t="s">
        <v>1038</v>
      </c>
      <c r="G382" s="30" t="s">
        <v>58</v>
      </c>
      <c r="H382" s="30">
        <v>337214</v>
      </c>
      <c r="I382" s="30" t="s">
        <v>67</v>
      </c>
      <c r="J382" s="30" t="s">
        <v>129</v>
      </c>
      <c r="K382" s="30" t="s">
        <v>61</v>
      </c>
      <c r="L382" s="30" t="s">
        <v>1074</v>
      </c>
      <c r="M382" s="45">
        <v>2200000</v>
      </c>
      <c r="N382" s="45">
        <v>3000000</v>
      </c>
      <c r="O382" s="30" t="s">
        <v>79</v>
      </c>
      <c r="P382" s="30" t="s">
        <v>302</v>
      </c>
      <c r="Q382" s="129" t="s">
        <v>294</v>
      </c>
      <c r="R382" s="155" t="s">
        <v>80</v>
      </c>
      <c r="S382" s="41">
        <v>2014</v>
      </c>
      <c r="T382" s="31" t="s">
        <v>1087</v>
      </c>
      <c r="U382" s="31" t="s">
        <v>1088</v>
      </c>
      <c r="V382" s="30" t="s">
        <v>1089</v>
      </c>
      <c r="W382" s="30" t="s">
        <v>114</v>
      </c>
      <c r="X382" s="30"/>
      <c r="Y382" s="30"/>
      <c r="Z382" s="30"/>
      <c r="AA382" s="30"/>
      <c r="AE382" s="29"/>
      <c r="AF382" s="29"/>
      <c r="AG382" s="29"/>
      <c r="AH382" s="29"/>
      <c r="AI382" s="29"/>
      <c r="AJ382" s="29"/>
      <c r="AK382" s="29"/>
      <c r="AL382" s="29"/>
      <c r="AM382" s="29"/>
      <c r="AN382" s="29"/>
      <c r="AO382" s="29"/>
      <c r="AP382" s="29"/>
      <c r="AQ382" s="29"/>
      <c r="AR382" s="29"/>
      <c r="AS382" s="29"/>
      <c r="AT382" s="29"/>
      <c r="AU382" s="29"/>
      <c r="AV382" s="29"/>
      <c r="AW382" s="29"/>
      <c r="AX382" s="29"/>
      <c r="AY382" s="29"/>
      <c r="AZ382" s="29"/>
      <c r="BA382" s="29"/>
      <c r="BB382" s="29"/>
      <c r="BC382" s="29"/>
      <c r="BD382" s="29"/>
      <c r="BE382" s="29"/>
      <c r="BF382" s="29"/>
      <c r="BG382" s="29"/>
      <c r="BH382" s="29"/>
      <c r="BI382" s="29"/>
      <c r="BJ382" s="29"/>
      <c r="BK382" s="29"/>
      <c r="BL382" s="29"/>
      <c r="BM382" s="29"/>
      <c r="BN382" s="29"/>
      <c r="BO382" s="29"/>
      <c r="BP382" s="29"/>
      <c r="BQ382" s="29"/>
      <c r="BR382" s="29"/>
      <c r="BS382" s="29"/>
      <c r="BT382" s="29"/>
      <c r="BU382" s="29"/>
      <c r="BV382" s="29"/>
      <c r="BW382" s="29"/>
      <c r="BX382" s="29"/>
      <c r="BY382" s="29"/>
      <c r="BZ382" s="29"/>
      <c r="CA382" s="29"/>
      <c r="CB382" s="29"/>
      <c r="CC382" s="29"/>
      <c r="CD382" s="29"/>
      <c r="CE382" s="29"/>
      <c r="CF382" s="29"/>
      <c r="CG382" s="29"/>
      <c r="CH382" s="29"/>
      <c r="CI382" s="29"/>
      <c r="CJ382" s="29"/>
      <c r="CK382" s="29"/>
      <c r="CL382" s="29"/>
      <c r="CM382" s="29"/>
      <c r="CN382" s="29"/>
      <c r="CO382" s="29"/>
      <c r="CP382" s="29"/>
      <c r="CQ382" s="29"/>
      <c r="CR382" s="29"/>
      <c r="CS382" s="29"/>
      <c r="CT382" s="29"/>
      <c r="CU382" s="29"/>
      <c r="CV382" s="29"/>
      <c r="CW382" s="29"/>
      <c r="CX382" s="29"/>
      <c r="CY382" s="29"/>
      <c r="CZ382" s="29"/>
      <c r="DA382" s="29"/>
      <c r="DB382" s="29"/>
      <c r="DC382" s="29"/>
      <c r="DD382" s="29"/>
      <c r="DE382" s="29"/>
      <c r="DF382" s="29"/>
      <c r="DG382" s="29"/>
      <c r="DH382" s="29"/>
      <c r="DI382" s="29"/>
      <c r="DJ382" s="29"/>
      <c r="DK382" s="29"/>
      <c r="DL382" s="29"/>
      <c r="DM382" s="29"/>
      <c r="DN382" s="29"/>
      <c r="DO382" s="29"/>
      <c r="DP382" s="29"/>
      <c r="DQ382" s="29"/>
      <c r="DR382" s="29"/>
      <c r="DS382" s="29"/>
      <c r="DT382" s="29"/>
      <c r="DU382" s="29"/>
      <c r="DV382" s="29"/>
      <c r="DW382" s="29"/>
      <c r="DX382" s="29"/>
      <c r="DY382" s="29"/>
      <c r="DZ382" s="29"/>
      <c r="EA382" s="29"/>
      <c r="EB382" s="29"/>
      <c r="EC382" s="29"/>
      <c r="ED382" s="29"/>
      <c r="EE382" s="29"/>
      <c r="EF382" s="29"/>
      <c r="EG382" s="29"/>
      <c r="EH382" s="29"/>
      <c r="EI382" s="29"/>
      <c r="EJ382" s="29"/>
      <c r="EK382" s="29"/>
      <c r="EL382" s="29"/>
      <c r="EM382" s="29"/>
      <c r="EN382" s="29"/>
      <c r="EO382" s="29"/>
      <c r="EP382" s="29"/>
      <c r="EQ382" s="29"/>
      <c r="ER382" s="29"/>
      <c r="ES382" s="29"/>
      <c r="ET382" s="29"/>
      <c r="EU382" s="29"/>
      <c r="EV382" s="29"/>
      <c r="EW382" s="29"/>
      <c r="EX382" s="29"/>
      <c r="EY382" s="29"/>
      <c r="EZ382" s="29"/>
      <c r="FA382" s="29"/>
      <c r="FB382" s="29"/>
      <c r="FC382" s="29"/>
      <c r="FD382" s="29"/>
      <c r="FE382" s="29"/>
      <c r="FF382" s="29"/>
      <c r="FG382" s="29"/>
      <c r="FH382" s="29"/>
      <c r="FI382" s="29"/>
      <c r="FJ382" s="29"/>
      <c r="FK382" s="29"/>
      <c r="FL382" s="29"/>
      <c r="FM382" s="29"/>
      <c r="FN382" s="29"/>
      <c r="FO382" s="29"/>
      <c r="FP382" s="29"/>
      <c r="FQ382" s="29"/>
      <c r="FR382" s="29"/>
      <c r="FS382" s="29"/>
      <c r="FT382" s="29"/>
      <c r="FU382" s="29"/>
      <c r="FV382" s="29"/>
      <c r="FW382" s="29"/>
      <c r="FX382" s="29"/>
      <c r="FY382" s="29"/>
      <c r="FZ382" s="29"/>
      <c r="GA382" s="29"/>
      <c r="GB382" s="29"/>
      <c r="GC382" s="29"/>
      <c r="GD382" s="29"/>
      <c r="GE382" s="29"/>
      <c r="GF382" s="29"/>
      <c r="GG382" s="29"/>
      <c r="GH382" s="29"/>
      <c r="GI382" s="29"/>
      <c r="GJ382" s="29"/>
      <c r="GK382" s="29"/>
      <c r="GL382" s="29"/>
      <c r="GM382" s="29"/>
      <c r="GN382" s="29"/>
      <c r="GO382" s="29"/>
      <c r="GP382" s="29"/>
      <c r="GQ382" s="29"/>
      <c r="GR382" s="29"/>
      <c r="GS382" s="29"/>
      <c r="GT382" s="29"/>
      <c r="GU382" s="29"/>
      <c r="GV382" s="29"/>
      <c r="GW382" s="29"/>
      <c r="GX382" s="29"/>
      <c r="GY382" s="29"/>
      <c r="GZ382" s="29"/>
      <c r="HA382" s="29"/>
      <c r="HB382" s="29"/>
      <c r="HC382" s="29"/>
      <c r="HD382" s="29"/>
      <c r="HE382" s="29"/>
      <c r="HF382" s="29"/>
      <c r="HG382" s="29"/>
      <c r="HH382" s="29"/>
      <c r="HI382" s="29"/>
      <c r="HJ382" s="29"/>
      <c r="HK382" s="29"/>
      <c r="HL382" s="29"/>
      <c r="HM382" s="29"/>
      <c r="HN382" s="29"/>
      <c r="HO382" s="29"/>
      <c r="HP382" s="29"/>
      <c r="HQ382" s="29"/>
      <c r="HR382" s="29"/>
      <c r="HS382" s="29"/>
      <c r="HT382" s="29"/>
      <c r="HU382" s="29"/>
      <c r="HV382" s="29"/>
      <c r="HW382" s="29"/>
      <c r="HX382" s="29"/>
      <c r="HY382" s="29"/>
      <c r="HZ382" s="29"/>
      <c r="IA382" s="29"/>
      <c r="IB382" s="29"/>
      <c r="IC382" s="29"/>
      <c r="ID382" s="29"/>
      <c r="IE382" s="29"/>
      <c r="IF382" s="29"/>
      <c r="IG382" s="29"/>
      <c r="IH382" s="29"/>
      <c r="II382" s="29"/>
      <c r="IJ382" s="29"/>
      <c r="IK382" s="29"/>
      <c r="IL382" s="29"/>
      <c r="IM382" s="29"/>
      <c r="IN382" s="29"/>
      <c r="IO382" s="29"/>
      <c r="IP382" s="29"/>
      <c r="IQ382" s="29"/>
      <c r="IR382" s="29"/>
      <c r="IS382" s="29"/>
      <c r="IT382" s="29"/>
      <c r="IU382" s="29"/>
      <c r="IV382" s="29"/>
      <c r="IW382" s="29"/>
      <c r="IX382" s="29"/>
      <c r="IY382" s="29"/>
      <c r="IZ382" s="29"/>
      <c r="JA382" s="29"/>
      <c r="JB382" s="29"/>
      <c r="JC382" s="29"/>
      <c r="JD382" s="29"/>
      <c r="JE382" s="29"/>
      <c r="JF382" s="29"/>
      <c r="JG382" s="29"/>
      <c r="JH382" s="29"/>
      <c r="JI382" s="29"/>
      <c r="JJ382" s="29"/>
      <c r="JK382" s="29"/>
      <c r="JL382" s="29"/>
    </row>
    <row r="383" spans="1:272" s="59" customFormat="1" ht="38.25" customHeight="1">
      <c r="A383" s="52" t="s">
        <v>142</v>
      </c>
      <c r="B383" s="54" t="s">
        <v>87</v>
      </c>
      <c r="C383" s="52" t="s">
        <v>39</v>
      </c>
      <c r="D383" s="52" t="s">
        <v>1090</v>
      </c>
      <c r="E383" s="52" t="s">
        <v>161</v>
      </c>
      <c r="F383" s="52" t="s">
        <v>1091</v>
      </c>
      <c r="G383" s="52" t="s">
        <v>50</v>
      </c>
      <c r="H383" s="52" t="s">
        <v>345</v>
      </c>
      <c r="I383" s="52" t="s">
        <v>45</v>
      </c>
      <c r="J383" s="52" t="s">
        <v>129</v>
      </c>
      <c r="K383" s="52" t="s">
        <v>45</v>
      </c>
      <c r="L383" s="52" t="s">
        <v>1092</v>
      </c>
      <c r="M383" s="55" t="s">
        <v>345</v>
      </c>
      <c r="N383" s="55" t="s">
        <v>345</v>
      </c>
      <c r="O383" s="52" t="s">
        <v>79</v>
      </c>
      <c r="P383" s="30" t="s">
        <v>302</v>
      </c>
      <c r="Q383" s="52" t="s">
        <v>294</v>
      </c>
      <c r="R383" s="155" t="s">
        <v>80</v>
      </c>
      <c r="S383" s="56">
        <v>2014</v>
      </c>
      <c r="T383" s="54" t="s">
        <v>1093</v>
      </c>
      <c r="U383" s="54" t="s">
        <v>1094</v>
      </c>
      <c r="V383" s="57" t="s">
        <v>1095</v>
      </c>
      <c r="W383" s="129" t="s">
        <v>107</v>
      </c>
      <c r="X383" s="58" t="s">
        <v>302</v>
      </c>
      <c r="Y383" s="58" t="s">
        <v>302</v>
      </c>
      <c r="Z383" s="58" t="s">
        <v>302</v>
      </c>
      <c r="AA383" s="52" t="s">
        <v>302</v>
      </c>
    </row>
    <row r="384" spans="1:272" ht="38.25" customHeight="1">
      <c r="A384" s="30" t="s">
        <v>142</v>
      </c>
      <c r="B384" s="31" t="s">
        <v>87</v>
      </c>
      <c r="C384" s="30" t="s">
        <v>95</v>
      </c>
      <c r="D384" s="30" t="s">
        <v>1096</v>
      </c>
      <c r="E384" s="30" t="s">
        <v>96</v>
      </c>
      <c r="F384" s="30" t="s">
        <v>1097</v>
      </c>
      <c r="G384" s="30" t="s">
        <v>50</v>
      </c>
      <c r="H384" s="30">
        <v>541310</v>
      </c>
      <c r="I384" s="30" t="s">
        <v>98</v>
      </c>
      <c r="J384" s="30" t="s">
        <v>112</v>
      </c>
      <c r="K384" s="30" t="s">
        <v>34</v>
      </c>
      <c r="L384" s="30" t="s">
        <v>329</v>
      </c>
      <c r="M384" s="45">
        <v>25000</v>
      </c>
      <c r="N384" s="45">
        <v>50000</v>
      </c>
      <c r="O384" s="30" t="s">
        <v>79</v>
      </c>
      <c r="P384" s="30" t="s">
        <v>302</v>
      </c>
      <c r="Q384" s="30" t="s">
        <v>294</v>
      </c>
      <c r="R384" s="30" t="s">
        <v>150</v>
      </c>
      <c r="S384" s="41">
        <v>2014</v>
      </c>
      <c r="T384" s="31" t="s">
        <v>1098</v>
      </c>
      <c r="U384" s="31" t="s">
        <v>1099</v>
      </c>
      <c r="V384" s="30" t="s">
        <v>1100</v>
      </c>
      <c r="W384" s="129" t="s">
        <v>107</v>
      </c>
      <c r="X384" s="30" t="s">
        <v>302</v>
      </c>
      <c r="Y384" s="44">
        <v>41639</v>
      </c>
      <c r="Z384" s="30" t="s">
        <v>302</v>
      </c>
      <c r="AA384" s="30" t="s">
        <v>302</v>
      </c>
    </row>
    <row r="385" spans="1:272" ht="38.25" customHeight="1">
      <c r="A385" s="31" t="s">
        <v>142</v>
      </c>
      <c r="B385" s="41" t="s">
        <v>87</v>
      </c>
      <c r="C385" s="30" t="s">
        <v>95</v>
      </c>
      <c r="D385" s="30" t="s">
        <v>1101</v>
      </c>
      <c r="E385" s="30" t="s">
        <v>161</v>
      </c>
      <c r="F385" s="30" t="s">
        <v>1097</v>
      </c>
      <c r="G385" s="30" t="s">
        <v>50</v>
      </c>
      <c r="H385" s="30">
        <v>236220</v>
      </c>
      <c r="I385" s="129" t="s">
        <v>546</v>
      </c>
      <c r="J385" s="30" t="s">
        <v>129</v>
      </c>
      <c r="K385" s="30" t="s">
        <v>148</v>
      </c>
      <c r="L385" s="30" t="s">
        <v>1102</v>
      </c>
      <c r="M385" s="39">
        <v>500000</v>
      </c>
      <c r="N385" s="39">
        <v>1000000</v>
      </c>
      <c r="O385" s="30" t="s">
        <v>79</v>
      </c>
      <c r="P385" s="30" t="s">
        <v>302</v>
      </c>
      <c r="Q385" s="30" t="s">
        <v>294</v>
      </c>
      <c r="R385" s="30" t="s">
        <v>150</v>
      </c>
      <c r="S385" s="41">
        <v>2014</v>
      </c>
      <c r="T385" s="31" t="s">
        <v>1098</v>
      </c>
      <c r="U385" s="31" t="s">
        <v>1099</v>
      </c>
      <c r="V385" s="30" t="s">
        <v>1100</v>
      </c>
      <c r="W385" s="129" t="s">
        <v>107</v>
      </c>
      <c r="X385" s="30" t="s">
        <v>302</v>
      </c>
      <c r="Y385" s="44">
        <v>41639</v>
      </c>
      <c r="Z385" s="30" t="s">
        <v>302</v>
      </c>
      <c r="AA385" s="30" t="s">
        <v>302</v>
      </c>
    </row>
    <row r="386" spans="1:272" ht="38.25" customHeight="1">
      <c r="A386" s="30" t="s">
        <v>142</v>
      </c>
      <c r="B386" s="31" t="s">
        <v>87</v>
      </c>
      <c r="C386" s="30" t="s">
        <v>29</v>
      </c>
      <c r="D386" s="30" t="s">
        <v>1103</v>
      </c>
      <c r="E386" s="30" t="s">
        <v>88</v>
      </c>
      <c r="F386" s="30" t="s">
        <v>1097</v>
      </c>
      <c r="G386" s="30" t="s">
        <v>50</v>
      </c>
      <c r="H386" s="30" t="s">
        <v>345</v>
      </c>
      <c r="I386" s="30" t="s">
        <v>67</v>
      </c>
      <c r="J386" s="30" t="s">
        <v>61</v>
      </c>
      <c r="K386" s="30" t="s">
        <v>61</v>
      </c>
      <c r="L386" s="30" t="s">
        <v>61</v>
      </c>
      <c r="M386" s="39">
        <v>500000</v>
      </c>
      <c r="N386" s="39">
        <v>1000000</v>
      </c>
      <c r="O386" s="30" t="s">
        <v>79</v>
      </c>
      <c r="P386" s="30" t="s">
        <v>302</v>
      </c>
      <c r="Q386" s="30" t="s">
        <v>294</v>
      </c>
      <c r="R386" s="30" t="s">
        <v>150</v>
      </c>
      <c r="S386" s="41">
        <v>2014</v>
      </c>
      <c r="T386" s="31" t="s">
        <v>1093</v>
      </c>
      <c r="U386" s="31" t="s">
        <v>1094</v>
      </c>
      <c r="V386" s="30" t="s">
        <v>1095</v>
      </c>
      <c r="W386" s="129" t="s">
        <v>107</v>
      </c>
      <c r="X386" s="30" t="s">
        <v>302</v>
      </c>
      <c r="Y386" s="44">
        <v>41639</v>
      </c>
      <c r="Z386" s="30" t="s">
        <v>302</v>
      </c>
      <c r="AA386" s="30" t="s">
        <v>302</v>
      </c>
    </row>
    <row r="387" spans="1:272" ht="38.25" customHeight="1">
      <c r="A387" s="30" t="s">
        <v>142</v>
      </c>
      <c r="B387" s="31" t="s">
        <v>87</v>
      </c>
      <c r="C387" s="30" t="s">
        <v>39</v>
      </c>
      <c r="D387" s="30" t="s">
        <v>1057</v>
      </c>
      <c r="E387" s="30" t="s">
        <v>139</v>
      </c>
      <c r="F387" s="129" t="s">
        <v>1147</v>
      </c>
      <c r="G387" s="30" t="s">
        <v>50</v>
      </c>
      <c r="H387" s="30">
        <v>561720</v>
      </c>
      <c r="I387" s="129" t="s">
        <v>546</v>
      </c>
      <c r="J387" s="30" t="s">
        <v>129</v>
      </c>
      <c r="K387" s="30" t="s">
        <v>44</v>
      </c>
      <c r="L387" s="30" t="s">
        <v>860</v>
      </c>
      <c r="M387" s="39">
        <v>98842.08</v>
      </c>
      <c r="N387" s="39">
        <v>1186104.96</v>
      </c>
      <c r="O387" s="30" t="s">
        <v>79</v>
      </c>
      <c r="P387" s="30" t="s">
        <v>302</v>
      </c>
      <c r="Q387" s="129" t="s">
        <v>3419</v>
      </c>
      <c r="R387" s="30" t="s">
        <v>150</v>
      </c>
      <c r="S387" s="41">
        <v>2014</v>
      </c>
      <c r="T387" s="31" t="s">
        <v>1105</v>
      </c>
      <c r="U387" s="31" t="s">
        <v>1106</v>
      </c>
      <c r="V387" s="30" t="s">
        <v>1107</v>
      </c>
      <c r="W387" s="129" t="s">
        <v>107</v>
      </c>
      <c r="X387" s="44">
        <v>41579</v>
      </c>
      <c r="Y387" s="44">
        <v>41609</v>
      </c>
      <c r="Z387" s="44">
        <v>41639</v>
      </c>
      <c r="AA387" s="30" t="s">
        <v>908</v>
      </c>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c r="BF387" s="29"/>
      <c r="BG387" s="29"/>
      <c r="BH387" s="29"/>
      <c r="BI387" s="29"/>
      <c r="BJ387" s="29"/>
      <c r="BK387" s="29"/>
      <c r="BL387" s="29"/>
      <c r="BM387" s="29"/>
      <c r="BN387" s="29"/>
      <c r="BO387" s="29"/>
      <c r="BP387" s="29"/>
      <c r="BQ387" s="29"/>
      <c r="BR387" s="29"/>
      <c r="BS387" s="29"/>
      <c r="BT387" s="29"/>
      <c r="BU387" s="29"/>
      <c r="BV387" s="29"/>
      <c r="BW387" s="29"/>
      <c r="BX387" s="29"/>
      <c r="BY387" s="29"/>
      <c r="BZ387" s="29"/>
      <c r="CA387" s="29"/>
      <c r="CB387" s="29"/>
      <c r="CC387" s="29"/>
      <c r="CD387" s="29"/>
      <c r="CE387" s="29"/>
      <c r="CF387" s="29"/>
      <c r="CG387" s="29"/>
      <c r="CH387" s="29"/>
      <c r="CI387" s="29"/>
      <c r="CJ387" s="29"/>
      <c r="CK387" s="29"/>
      <c r="CL387" s="29"/>
      <c r="CM387" s="29"/>
      <c r="CN387" s="29"/>
      <c r="CO387" s="29"/>
      <c r="CP387" s="29"/>
      <c r="CQ387" s="29"/>
      <c r="CR387" s="29"/>
      <c r="CS387" s="29"/>
      <c r="CT387" s="29"/>
      <c r="CU387" s="29"/>
      <c r="CV387" s="29"/>
      <c r="CW387" s="29"/>
      <c r="CX387" s="29"/>
      <c r="CY387" s="29"/>
      <c r="CZ387" s="29"/>
      <c r="DA387" s="29"/>
      <c r="DB387" s="29"/>
      <c r="DC387" s="29"/>
      <c r="DD387" s="29"/>
      <c r="DE387" s="29"/>
      <c r="DF387" s="29"/>
      <c r="DG387" s="29"/>
      <c r="DH387" s="29"/>
      <c r="DI387" s="29"/>
      <c r="DJ387" s="29"/>
      <c r="DK387" s="29"/>
      <c r="DL387" s="29"/>
      <c r="DM387" s="29"/>
      <c r="DN387" s="29"/>
      <c r="DO387" s="29"/>
      <c r="DP387" s="29"/>
      <c r="DQ387" s="29"/>
      <c r="DR387" s="29"/>
      <c r="DS387" s="29"/>
      <c r="DT387" s="29"/>
      <c r="DU387" s="29"/>
      <c r="DV387" s="29"/>
      <c r="DW387" s="29"/>
      <c r="DX387" s="29"/>
      <c r="DY387" s="29"/>
      <c r="DZ387" s="29"/>
      <c r="EA387" s="29"/>
      <c r="EB387" s="29"/>
      <c r="EC387" s="29"/>
      <c r="ED387" s="29"/>
      <c r="EE387" s="29"/>
      <c r="EF387" s="29"/>
      <c r="EG387" s="29"/>
      <c r="EH387" s="29"/>
      <c r="EI387" s="29"/>
      <c r="EJ387" s="29"/>
      <c r="EK387" s="29"/>
      <c r="EL387" s="29"/>
      <c r="EM387" s="29"/>
      <c r="EN387" s="29"/>
      <c r="EO387" s="29"/>
      <c r="EP387" s="29"/>
      <c r="EQ387" s="29"/>
      <c r="ER387" s="29"/>
      <c r="ES387" s="29"/>
      <c r="ET387" s="29"/>
      <c r="EU387" s="29"/>
      <c r="EV387" s="29"/>
      <c r="EW387" s="29"/>
      <c r="EX387" s="29"/>
      <c r="EY387" s="29"/>
      <c r="EZ387" s="29"/>
      <c r="FA387" s="29"/>
      <c r="FB387" s="29"/>
      <c r="FC387" s="29"/>
      <c r="FD387" s="29"/>
      <c r="FE387" s="29"/>
      <c r="FF387" s="29"/>
      <c r="FG387" s="29"/>
      <c r="FH387" s="29"/>
      <c r="FI387" s="29"/>
      <c r="FJ387" s="29"/>
      <c r="FK387" s="29"/>
      <c r="FL387" s="29"/>
      <c r="FM387" s="29"/>
      <c r="FN387" s="29"/>
      <c r="FO387" s="29"/>
      <c r="FP387" s="29"/>
      <c r="FQ387" s="29"/>
      <c r="FR387" s="29"/>
      <c r="FS387" s="29"/>
      <c r="FT387" s="29"/>
      <c r="FU387" s="29"/>
      <c r="FV387" s="29"/>
      <c r="FW387" s="29"/>
      <c r="FX387" s="29"/>
      <c r="FY387" s="29"/>
      <c r="FZ387" s="29"/>
      <c r="GA387" s="29"/>
      <c r="GB387" s="29"/>
      <c r="GC387" s="29"/>
      <c r="GD387" s="29"/>
      <c r="GE387" s="29"/>
      <c r="GF387" s="29"/>
      <c r="GG387" s="29"/>
      <c r="GH387" s="29"/>
      <c r="GI387" s="29"/>
      <c r="GJ387" s="29"/>
      <c r="GK387" s="29"/>
      <c r="GL387" s="29"/>
      <c r="GM387" s="29"/>
      <c r="GN387" s="29"/>
      <c r="GO387" s="29"/>
      <c r="GP387" s="29"/>
      <c r="GQ387" s="29"/>
      <c r="GR387" s="29"/>
      <c r="GS387" s="29"/>
      <c r="GT387" s="29"/>
      <c r="GU387" s="29"/>
      <c r="GV387" s="29"/>
      <c r="GW387" s="29"/>
      <c r="GX387" s="29"/>
      <c r="GY387" s="29"/>
      <c r="GZ387" s="29"/>
      <c r="HA387" s="29"/>
      <c r="HB387" s="29"/>
      <c r="HC387" s="29"/>
      <c r="HD387" s="29"/>
      <c r="HE387" s="29"/>
      <c r="HF387" s="29"/>
      <c r="HG387" s="29"/>
      <c r="HH387" s="29"/>
      <c r="HI387" s="29"/>
      <c r="HJ387" s="29"/>
      <c r="HK387" s="29"/>
      <c r="HL387" s="29"/>
      <c r="HM387" s="29"/>
      <c r="HN387" s="29"/>
      <c r="HO387" s="29"/>
      <c r="HP387" s="29"/>
      <c r="HQ387" s="29"/>
      <c r="HR387" s="29"/>
      <c r="HS387" s="29"/>
      <c r="HT387" s="29"/>
      <c r="HU387" s="29"/>
      <c r="HV387" s="29"/>
      <c r="HW387" s="29"/>
      <c r="HX387" s="29"/>
      <c r="HY387" s="29"/>
      <c r="HZ387" s="29"/>
      <c r="IA387" s="29"/>
      <c r="IB387" s="29"/>
      <c r="IC387" s="29"/>
      <c r="ID387" s="29"/>
      <c r="IE387" s="29"/>
      <c r="IF387" s="29"/>
      <c r="IG387" s="29"/>
      <c r="IH387" s="29"/>
      <c r="II387" s="29"/>
      <c r="IJ387" s="29"/>
      <c r="IK387" s="29"/>
      <c r="IL387" s="29"/>
      <c r="IM387" s="29"/>
      <c r="IN387" s="29"/>
      <c r="IO387" s="29"/>
      <c r="IP387" s="29"/>
      <c r="IQ387" s="29"/>
      <c r="IR387" s="29"/>
      <c r="IS387" s="29"/>
      <c r="IT387" s="29"/>
      <c r="IU387" s="29"/>
      <c r="IV387" s="29"/>
      <c r="IW387" s="29"/>
      <c r="IX387" s="29"/>
      <c r="IY387" s="29"/>
      <c r="IZ387" s="29"/>
      <c r="JA387" s="29"/>
      <c r="JB387" s="29"/>
      <c r="JC387" s="29"/>
      <c r="JD387" s="29"/>
      <c r="JE387" s="29"/>
      <c r="JF387" s="29"/>
      <c r="JG387" s="29"/>
      <c r="JH387" s="29"/>
      <c r="JI387" s="29"/>
      <c r="JJ387" s="29"/>
      <c r="JK387" s="29"/>
      <c r="JL387" s="29"/>
    </row>
    <row r="388" spans="1:272" ht="53.25" customHeight="1">
      <c r="A388" s="30" t="s">
        <v>142</v>
      </c>
      <c r="B388" s="31" t="s">
        <v>87</v>
      </c>
      <c r="C388" s="30" t="s">
        <v>39</v>
      </c>
      <c r="D388" s="30" t="s">
        <v>1057</v>
      </c>
      <c r="E388" s="30" t="s">
        <v>139</v>
      </c>
      <c r="F388" s="129" t="s">
        <v>1147</v>
      </c>
      <c r="G388" s="30" t="s">
        <v>50</v>
      </c>
      <c r="H388" s="30">
        <v>561720</v>
      </c>
      <c r="I388" s="129" t="s">
        <v>546</v>
      </c>
      <c r="J388" s="30" t="s">
        <v>129</v>
      </c>
      <c r="K388" s="30" t="s">
        <v>44</v>
      </c>
      <c r="L388" s="30" t="s">
        <v>1108</v>
      </c>
      <c r="M388" s="39">
        <v>130766.06</v>
      </c>
      <c r="N388" s="39">
        <v>1569192.72</v>
      </c>
      <c r="O388" s="30" t="s">
        <v>79</v>
      </c>
      <c r="P388" s="30" t="s">
        <v>302</v>
      </c>
      <c r="Q388" s="30" t="s">
        <v>294</v>
      </c>
      <c r="R388" s="155" t="s">
        <v>80</v>
      </c>
      <c r="S388" s="41">
        <v>2014</v>
      </c>
      <c r="T388" s="31" t="s">
        <v>1105</v>
      </c>
      <c r="U388" s="31" t="s">
        <v>1106</v>
      </c>
      <c r="V388" s="30" t="s">
        <v>1107</v>
      </c>
      <c r="W388" s="129" t="s">
        <v>107</v>
      </c>
      <c r="X388" s="44">
        <v>41671</v>
      </c>
      <c r="Y388" s="44">
        <v>41698</v>
      </c>
      <c r="Z388" s="44">
        <v>41729</v>
      </c>
      <c r="AA388" s="30" t="s">
        <v>1109</v>
      </c>
      <c r="AE388" s="29"/>
      <c r="AF388" s="29"/>
      <c r="AG388" s="29"/>
      <c r="AH388" s="29"/>
      <c r="AI388" s="29"/>
      <c r="AJ388" s="29"/>
      <c r="AK388" s="29"/>
      <c r="AL388" s="29"/>
      <c r="AM388" s="29"/>
      <c r="AN388" s="29"/>
      <c r="AO388" s="29"/>
      <c r="AP388" s="29"/>
      <c r="AQ388" s="29"/>
      <c r="AR388" s="29"/>
      <c r="AS388" s="29"/>
      <c r="AT388" s="29"/>
      <c r="AU388" s="29"/>
      <c r="AV388" s="29"/>
      <c r="AW388" s="29"/>
      <c r="AX388" s="29"/>
      <c r="AY388" s="29"/>
      <c r="AZ388" s="29"/>
      <c r="BA388" s="29"/>
      <c r="BB388" s="29"/>
      <c r="BC388" s="29"/>
      <c r="BD388" s="29"/>
      <c r="BE388" s="29"/>
      <c r="BF388" s="29"/>
      <c r="BG388" s="29"/>
      <c r="BH388" s="29"/>
      <c r="BI388" s="29"/>
      <c r="BJ388" s="29"/>
      <c r="BK388" s="29"/>
      <c r="BL388" s="29"/>
      <c r="BM388" s="29"/>
      <c r="BN388" s="29"/>
      <c r="BO388" s="29"/>
      <c r="BP388" s="29"/>
      <c r="BQ388" s="29"/>
      <c r="BR388" s="29"/>
      <c r="BS388" s="29"/>
      <c r="BT388" s="29"/>
      <c r="BU388" s="29"/>
      <c r="BV388" s="29"/>
      <c r="BW388" s="29"/>
      <c r="BX388" s="29"/>
      <c r="BY388" s="29"/>
      <c r="BZ388" s="29"/>
      <c r="CA388" s="29"/>
      <c r="CB388" s="29"/>
      <c r="CC388" s="29"/>
      <c r="CD388" s="29"/>
      <c r="CE388" s="29"/>
      <c r="CF388" s="29"/>
      <c r="CG388" s="29"/>
      <c r="CH388" s="29"/>
      <c r="CI388" s="29"/>
      <c r="CJ388" s="29"/>
      <c r="CK388" s="29"/>
      <c r="CL388" s="29"/>
      <c r="CM388" s="29"/>
      <c r="CN388" s="29"/>
      <c r="CO388" s="29"/>
      <c r="CP388" s="29"/>
      <c r="CQ388" s="29"/>
      <c r="CR388" s="29"/>
      <c r="CS388" s="29"/>
      <c r="CT388" s="29"/>
      <c r="CU388" s="29"/>
      <c r="CV388" s="29"/>
      <c r="CW388" s="29"/>
      <c r="CX388" s="29"/>
      <c r="CY388" s="29"/>
      <c r="CZ388" s="29"/>
      <c r="DA388" s="29"/>
      <c r="DB388" s="29"/>
      <c r="DC388" s="29"/>
      <c r="DD388" s="29"/>
      <c r="DE388" s="29"/>
      <c r="DF388" s="29"/>
      <c r="DG388" s="29"/>
      <c r="DH388" s="29"/>
      <c r="DI388" s="29"/>
      <c r="DJ388" s="29"/>
      <c r="DK388" s="29"/>
      <c r="DL388" s="29"/>
      <c r="DM388" s="29"/>
      <c r="DN388" s="29"/>
      <c r="DO388" s="29"/>
      <c r="DP388" s="29"/>
      <c r="DQ388" s="29"/>
      <c r="DR388" s="29"/>
      <c r="DS388" s="29"/>
      <c r="DT388" s="29"/>
      <c r="DU388" s="29"/>
      <c r="DV388" s="29"/>
      <c r="DW388" s="29"/>
      <c r="DX388" s="29"/>
      <c r="DY388" s="29"/>
      <c r="DZ388" s="29"/>
      <c r="EA388" s="29"/>
      <c r="EB388" s="29"/>
      <c r="EC388" s="29"/>
      <c r="ED388" s="29"/>
      <c r="EE388" s="29"/>
      <c r="EF388" s="29"/>
      <c r="EG388" s="29"/>
      <c r="EH388" s="29"/>
      <c r="EI388" s="29"/>
      <c r="EJ388" s="29"/>
      <c r="EK388" s="29"/>
      <c r="EL388" s="29"/>
      <c r="EM388" s="29"/>
      <c r="EN388" s="29"/>
      <c r="EO388" s="29"/>
      <c r="EP388" s="29"/>
      <c r="EQ388" s="29"/>
      <c r="ER388" s="29"/>
      <c r="ES388" s="29"/>
      <c r="ET388" s="29"/>
      <c r="EU388" s="29"/>
      <c r="EV388" s="29"/>
      <c r="EW388" s="29"/>
      <c r="EX388" s="29"/>
      <c r="EY388" s="29"/>
      <c r="EZ388" s="29"/>
      <c r="FA388" s="29"/>
      <c r="FB388" s="29"/>
      <c r="FC388" s="29"/>
      <c r="FD388" s="29"/>
      <c r="FE388" s="29"/>
      <c r="FF388" s="29"/>
      <c r="FG388" s="29"/>
      <c r="FH388" s="29"/>
      <c r="FI388" s="29"/>
      <c r="FJ388" s="29"/>
      <c r="FK388" s="29"/>
      <c r="FL388" s="29"/>
      <c r="FM388" s="29"/>
      <c r="FN388" s="29"/>
      <c r="FO388" s="29"/>
      <c r="FP388" s="29"/>
      <c r="FQ388" s="29"/>
      <c r="FR388" s="29"/>
      <c r="FS388" s="29"/>
      <c r="FT388" s="29"/>
      <c r="FU388" s="29"/>
      <c r="FV388" s="29"/>
      <c r="FW388" s="29"/>
      <c r="FX388" s="29"/>
      <c r="FY388" s="29"/>
      <c r="FZ388" s="29"/>
      <c r="GA388" s="29"/>
      <c r="GB388" s="29"/>
      <c r="GC388" s="29"/>
      <c r="GD388" s="29"/>
      <c r="GE388" s="29"/>
      <c r="GF388" s="29"/>
      <c r="GG388" s="29"/>
      <c r="GH388" s="29"/>
      <c r="GI388" s="29"/>
      <c r="GJ388" s="29"/>
      <c r="GK388" s="29"/>
      <c r="GL388" s="29"/>
      <c r="GM388" s="29"/>
      <c r="GN388" s="29"/>
      <c r="GO388" s="29"/>
      <c r="GP388" s="29"/>
      <c r="GQ388" s="29"/>
      <c r="GR388" s="29"/>
      <c r="GS388" s="29"/>
      <c r="GT388" s="29"/>
      <c r="GU388" s="29"/>
      <c r="GV388" s="29"/>
      <c r="GW388" s="29"/>
      <c r="GX388" s="29"/>
      <c r="GY388" s="29"/>
      <c r="GZ388" s="29"/>
      <c r="HA388" s="29"/>
      <c r="HB388" s="29"/>
      <c r="HC388" s="29"/>
      <c r="HD388" s="29"/>
      <c r="HE388" s="29"/>
      <c r="HF388" s="29"/>
      <c r="HG388" s="29"/>
      <c r="HH388" s="29"/>
      <c r="HI388" s="29"/>
      <c r="HJ388" s="29"/>
      <c r="HK388" s="29"/>
      <c r="HL388" s="29"/>
      <c r="HM388" s="29"/>
      <c r="HN388" s="29"/>
      <c r="HO388" s="29"/>
      <c r="HP388" s="29"/>
      <c r="HQ388" s="29"/>
      <c r="HR388" s="29"/>
      <c r="HS388" s="29"/>
      <c r="HT388" s="29"/>
      <c r="HU388" s="29"/>
      <c r="HV388" s="29"/>
      <c r="HW388" s="29"/>
      <c r="HX388" s="29"/>
      <c r="HY388" s="29"/>
      <c r="HZ388" s="29"/>
      <c r="IA388" s="29"/>
      <c r="IB388" s="29"/>
      <c r="IC388" s="29"/>
      <c r="ID388" s="29"/>
      <c r="IE388" s="29"/>
      <c r="IF388" s="29"/>
      <c r="IG388" s="29"/>
      <c r="IH388" s="29"/>
      <c r="II388" s="29"/>
      <c r="IJ388" s="29"/>
      <c r="IK388" s="29"/>
      <c r="IL388" s="29"/>
      <c r="IM388" s="29"/>
      <c r="IN388" s="29"/>
      <c r="IO388" s="29"/>
      <c r="IP388" s="29"/>
      <c r="IQ388" s="29"/>
      <c r="IR388" s="29"/>
      <c r="IS388" s="29"/>
      <c r="IT388" s="29"/>
      <c r="IU388" s="29"/>
      <c r="IV388" s="29"/>
      <c r="IW388" s="29"/>
      <c r="IX388" s="29"/>
      <c r="IY388" s="29"/>
      <c r="IZ388" s="29"/>
      <c r="JA388" s="29"/>
      <c r="JB388" s="29"/>
      <c r="JC388" s="29"/>
      <c r="JD388" s="29"/>
      <c r="JE388" s="29"/>
      <c r="JF388" s="29"/>
      <c r="JG388" s="29"/>
      <c r="JH388" s="29"/>
      <c r="JI388" s="29"/>
      <c r="JJ388" s="29"/>
      <c r="JK388" s="29"/>
      <c r="JL388" s="29"/>
    </row>
    <row r="389" spans="1:272" ht="38.25" customHeight="1">
      <c r="A389" s="31" t="s">
        <v>142</v>
      </c>
      <c r="B389" s="31" t="s">
        <v>87</v>
      </c>
      <c r="C389" s="30" t="s">
        <v>39</v>
      </c>
      <c r="D389" s="30" t="s">
        <v>1057</v>
      </c>
      <c r="E389" s="30" t="s">
        <v>139</v>
      </c>
      <c r="F389" s="129" t="s">
        <v>1097</v>
      </c>
      <c r="G389" s="30" t="s">
        <v>50</v>
      </c>
      <c r="H389" s="30">
        <v>561720</v>
      </c>
      <c r="I389" s="129" t="s">
        <v>546</v>
      </c>
      <c r="J389" s="30" t="s">
        <v>129</v>
      </c>
      <c r="K389" s="30" t="s">
        <v>44</v>
      </c>
      <c r="L389" s="30" t="s">
        <v>860</v>
      </c>
      <c r="M389" s="39">
        <v>32112.86</v>
      </c>
      <c r="N389" s="39">
        <v>385354.42</v>
      </c>
      <c r="O389" s="30" t="s">
        <v>79</v>
      </c>
      <c r="P389" s="30" t="s">
        <v>302</v>
      </c>
      <c r="Q389" s="129" t="s">
        <v>3419</v>
      </c>
      <c r="R389" s="30" t="s">
        <v>150</v>
      </c>
      <c r="S389" s="41">
        <v>2014</v>
      </c>
      <c r="T389" s="31" t="s">
        <v>1110</v>
      </c>
      <c r="U389" s="31" t="s">
        <v>1111</v>
      </c>
      <c r="V389" s="30" t="s">
        <v>1112</v>
      </c>
      <c r="W389" s="129" t="s">
        <v>107</v>
      </c>
      <c r="X389" s="44">
        <v>41579</v>
      </c>
      <c r="Y389" s="44">
        <v>41608</v>
      </c>
      <c r="Z389" s="44">
        <v>41608</v>
      </c>
      <c r="AA389" s="30" t="s">
        <v>908</v>
      </c>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c r="BO389" s="29"/>
      <c r="BP389" s="29"/>
      <c r="BQ389" s="29"/>
      <c r="BR389" s="29"/>
      <c r="BS389" s="29"/>
      <c r="BT389" s="29"/>
      <c r="BU389" s="29"/>
      <c r="BV389" s="29"/>
      <c r="BW389" s="29"/>
      <c r="BX389" s="29"/>
      <c r="BY389" s="29"/>
      <c r="BZ389" s="29"/>
      <c r="CA389" s="29"/>
      <c r="CB389" s="29"/>
      <c r="CC389" s="29"/>
      <c r="CD389" s="29"/>
      <c r="CE389" s="29"/>
      <c r="CF389" s="29"/>
      <c r="CG389" s="29"/>
      <c r="CH389" s="29"/>
      <c r="CI389" s="29"/>
      <c r="CJ389" s="29"/>
      <c r="CK389" s="29"/>
      <c r="CL389" s="29"/>
      <c r="CM389" s="29"/>
      <c r="CN389" s="29"/>
      <c r="CO389" s="29"/>
      <c r="CP389" s="29"/>
      <c r="CQ389" s="29"/>
      <c r="CR389" s="29"/>
      <c r="CS389" s="29"/>
      <c r="CT389" s="29"/>
      <c r="CU389" s="29"/>
      <c r="CV389" s="29"/>
      <c r="CW389" s="29"/>
      <c r="CX389" s="29"/>
      <c r="CY389" s="29"/>
      <c r="CZ389" s="29"/>
      <c r="DA389" s="29"/>
      <c r="DB389" s="29"/>
      <c r="DC389" s="29"/>
      <c r="DD389" s="29"/>
      <c r="DE389" s="29"/>
      <c r="DF389" s="29"/>
      <c r="DG389" s="29"/>
      <c r="DH389" s="29"/>
      <c r="DI389" s="29"/>
      <c r="DJ389" s="29"/>
      <c r="DK389" s="29"/>
      <c r="DL389" s="29"/>
      <c r="DM389" s="29"/>
      <c r="DN389" s="29"/>
      <c r="DO389" s="29"/>
      <c r="DP389" s="29"/>
      <c r="DQ389" s="29"/>
      <c r="DR389" s="29"/>
      <c r="DS389" s="29"/>
      <c r="DT389" s="29"/>
      <c r="DU389" s="29"/>
      <c r="DV389" s="29"/>
      <c r="DW389" s="29"/>
      <c r="DX389" s="29"/>
      <c r="DY389" s="29"/>
      <c r="DZ389" s="29"/>
      <c r="EA389" s="29"/>
      <c r="EB389" s="29"/>
      <c r="EC389" s="29"/>
      <c r="ED389" s="29"/>
      <c r="EE389" s="29"/>
      <c r="EF389" s="29"/>
      <c r="EG389" s="29"/>
      <c r="EH389" s="29"/>
      <c r="EI389" s="29"/>
      <c r="EJ389" s="29"/>
      <c r="EK389" s="29"/>
      <c r="EL389" s="29"/>
      <c r="EM389" s="29"/>
      <c r="EN389" s="29"/>
      <c r="EO389" s="29"/>
      <c r="EP389" s="29"/>
      <c r="EQ389" s="29"/>
      <c r="ER389" s="29"/>
      <c r="ES389" s="29"/>
      <c r="ET389" s="29"/>
      <c r="EU389" s="29"/>
      <c r="EV389" s="29"/>
      <c r="EW389" s="29"/>
      <c r="EX389" s="29"/>
      <c r="EY389" s="29"/>
      <c r="EZ389" s="29"/>
      <c r="FA389" s="29"/>
      <c r="FB389" s="29"/>
      <c r="FC389" s="29"/>
      <c r="FD389" s="29"/>
      <c r="FE389" s="29"/>
      <c r="FF389" s="29"/>
      <c r="FG389" s="29"/>
      <c r="FH389" s="29"/>
      <c r="FI389" s="29"/>
      <c r="FJ389" s="29"/>
      <c r="FK389" s="29"/>
      <c r="FL389" s="29"/>
      <c r="FM389" s="29"/>
      <c r="FN389" s="29"/>
      <c r="FO389" s="29"/>
      <c r="FP389" s="29"/>
      <c r="FQ389" s="29"/>
      <c r="FR389" s="29"/>
      <c r="FS389" s="29"/>
      <c r="FT389" s="29"/>
      <c r="FU389" s="29"/>
      <c r="FV389" s="29"/>
      <c r="FW389" s="29"/>
      <c r="FX389" s="29"/>
      <c r="FY389" s="29"/>
      <c r="FZ389" s="29"/>
      <c r="GA389" s="29"/>
      <c r="GB389" s="29"/>
      <c r="GC389" s="29"/>
      <c r="GD389" s="29"/>
      <c r="GE389" s="29"/>
      <c r="GF389" s="29"/>
      <c r="GG389" s="29"/>
      <c r="GH389" s="29"/>
      <c r="GI389" s="29"/>
      <c r="GJ389" s="29"/>
      <c r="GK389" s="29"/>
      <c r="GL389" s="29"/>
      <c r="GM389" s="29"/>
      <c r="GN389" s="29"/>
      <c r="GO389" s="29"/>
      <c r="GP389" s="29"/>
      <c r="GQ389" s="29"/>
      <c r="GR389" s="29"/>
      <c r="GS389" s="29"/>
      <c r="GT389" s="29"/>
      <c r="GU389" s="29"/>
      <c r="GV389" s="29"/>
      <c r="GW389" s="29"/>
      <c r="GX389" s="29"/>
      <c r="GY389" s="29"/>
      <c r="GZ389" s="29"/>
      <c r="HA389" s="29"/>
      <c r="HB389" s="29"/>
      <c r="HC389" s="29"/>
      <c r="HD389" s="29"/>
      <c r="HE389" s="29"/>
      <c r="HF389" s="29"/>
      <c r="HG389" s="29"/>
      <c r="HH389" s="29"/>
      <c r="HI389" s="29"/>
      <c r="HJ389" s="29"/>
      <c r="HK389" s="29"/>
      <c r="HL389" s="29"/>
      <c r="HM389" s="29"/>
      <c r="HN389" s="29"/>
      <c r="HO389" s="29"/>
      <c r="HP389" s="29"/>
      <c r="HQ389" s="29"/>
      <c r="HR389" s="29"/>
      <c r="HS389" s="29"/>
      <c r="HT389" s="29"/>
      <c r="HU389" s="29"/>
      <c r="HV389" s="29"/>
      <c r="HW389" s="29"/>
      <c r="HX389" s="29"/>
      <c r="HY389" s="29"/>
      <c r="HZ389" s="29"/>
      <c r="IA389" s="29"/>
      <c r="IB389" s="29"/>
      <c r="IC389" s="29"/>
      <c r="ID389" s="29"/>
      <c r="IE389" s="29"/>
      <c r="IF389" s="29"/>
      <c r="IG389" s="29"/>
      <c r="IH389" s="29"/>
      <c r="II389" s="29"/>
      <c r="IJ389" s="29"/>
      <c r="IK389" s="29"/>
      <c r="IL389" s="29"/>
      <c r="IM389" s="29"/>
      <c r="IN389" s="29"/>
      <c r="IO389" s="29"/>
      <c r="IP389" s="29"/>
      <c r="IQ389" s="29"/>
      <c r="IR389" s="29"/>
      <c r="IS389" s="29"/>
      <c r="IT389" s="29"/>
      <c r="IU389" s="29"/>
      <c r="IV389" s="29"/>
      <c r="IW389" s="29"/>
      <c r="IX389" s="29"/>
      <c r="IY389" s="29"/>
      <c r="IZ389" s="29"/>
      <c r="JA389" s="29"/>
      <c r="JB389" s="29"/>
      <c r="JC389" s="29"/>
      <c r="JD389" s="29"/>
      <c r="JE389" s="29"/>
      <c r="JF389" s="29"/>
      <c r="JG389" s="29"/>
      <c r="JH389" s="29"/>
      <c r="JI389" s="29"/>
      <c r="JJ389" s="29"/>
      <c r="JK389" s="29"/>
      <c r="JL389" s="29"/>
    </row>
    <row r="390" spans="1:272" ht="38.25" customHeight="1">
      <c r="A390" s="30" t="s">
        <v>142</v>
      </c>
      <c r="B390" s="31" t="s">
        <v>87</v>
      </c>
      <c r="C390" s="30" t="s">
        <v>39</v>
      </c>
      <c r="D390" s="30" t="s">
        <v>1057</v>
      </c>
      <c r="E390" s="30" t="s">
        <v>139</v>
      </c>
      <c r="F390" s="30" t="s">
        <v>1113</v>
      </c>
      <c r="G390" s="30" t="s">
        <v>50</v>
      </c>
      <c r="H390" s="30">
        <v>561720</v>
      </c>
      <c r="I390" s="129" t="s">
        <v>546</v>
      </c>
      <c r="J390" s="30" t="s">
        <v>129</v>
      </c>
      <c r="K390" s="30" t="s">
        <v>44</v>
      </c>
      <c r="L390" s="30" t="s">
        <v>860</v>
      </c>
      <c r="M390" s="45">
        <v>26534.720000000001</v>
      </c>
      <c r="N390" s="45">
        <v>318416.64000000001</v>
      </c>
      <c r="O390" s="30" t="s">
        <v>79</v>
      </c>
      <c r="P390" s="30" t="s">
        <v>302</v>
      </c>
      <c r="Q390" s="129" t="s">
        <v>3419</v>
      </c>
      <c r="R390" s="30" t="s">
        <v>100</v>
      </c>
      <c r="S390" s="41">
        <v>2014</v>
      </c>
      <c r="T390" s="31" t="s">
        <v>1105</v>
      </c>
      <c r="U390" s="31" t="s">
        <v>1106</v>
      </c>
      <c r="V390" s="30" t="s">
        <v>1107</v>
      </c>
      <c r="W390" s="129" t="s">
        <v>107</v>
      </c>
      <c r="X390" s="44">
        <v>41760</v>
      </c>
      <c r="Y390" s="44">
        <v>41791</v>
      </c>
      <c r="Z390" s="44">
        <v>41820</v>
      </c>
      <c r="AA390" s="30" t="s">
        <v>908</v>
      </c>
      <c r="AE390" s="29"/>
      <c r="AF390" s="29"/>
      <c r="AG390" s="29"/>
      <c r="AH390" s="29"/>
      <c r="AI390" s="29"/>
      <c r="AJ390" s="29"/>
      <c r="AK390" s="29"/>
      <c r="AL390" s="29"/>
      <c r="AM390" s="29"/>
      <c r="AN390" s="29"/>
      <c r="AO390" s="29"/>
      <c r="AP390" s="29"/>
      <c r="AQ390" s="29"/>
      <c r="AR390" s="29"/>
      <c r="AS390" s="29"/>
      <c r="AT390" s="29"/>
      <c r="AU390" s="29"/>
      <c r="AV390" s="29"/>
      <c r="AW390" s="29"/>
      <c r="AX390" s="29"/>
      <c r="AY390" s="29"/>
      <c r="AZ390" s="29"/>
      <c r="BA390" s="29"/>
      <c r="BB390" s="29"/>
      <c r="BC390" s="29"/>
      <c r="BD390" s="29"/>
      <c r="BE390" s="29"/>
      <c r="BF390" s="29"/>
      <c r="BG390" s="29"/>
      <c r="BH390" s="29"/>
      <c r="BI390" s="29"/>
      <c r="BJ390" s="29"/>
      <c r="BK390" s="29"/>
      <c r="BL390" s="29"/>
      <c r="BM390" s="29"/>
      <c r="BN390" s="29"/>
      <c r="BO390" s="29"/>
      <c r="BP390" s="29"/>
      <c r="BQ390" s="29"/>
      <c r="BR390" s="29"/>
      <c r="BS390" s="29"/>
      <c r="BT390" s="29"/>
      <c r="BU390" s="29"/>
      <c r="BV390" s="29"/>
      <c r="BW390" s="29"/>
      <c r="BX390" s="29"/>
      <c r="BY390" s="29"/>
      <c r="BZ390" s="29"/>
      <c r="CA390" s="29"/>
      <c r="CB390" s="29"/>
      <c r="CC390" s="29"/>
      <c r="CD390" s="29"/>
      <c r="CE390" s="29"/>
      <c r="CF390" s="29"/>
      <c r="CG390" s="29"/>
      <c r="CH390" s="29"/>
      <c r="CI390" s="29"/>
      <c r="CJ390" s="29"/>
      <c r="CK390" s="29"/>
      <c r="CL390" s="29"/>
      <c r="CM390" s="29"/>
      <c r="CN390" s="29"/>
      <c r="CO390" s="29"/>
      <c r="CP390" s="29"/>
      <c r="CQ390" s="29"/>
      <c r="CR390" s="29"/>
      <c r="CS390" s="29"/>
      <c r="CT390" s="29"/>
      <c r="CU390" s="29"/>
      <c r="CV390" s="29"/>
      <c r="CW390" s="29"/>
      <c r="CX390" s="29"/>
      <c r="CY390" s="29"/>
      <c r="CZ390" s="29"/>
      <c r="DA390" s="29"/>
      <c r="DB390" s="29"/>
      <c r="DC390" s="29"/>
      <c r="DD390" s="29"/>
      <c r="DE390" s="29"/>
      <c r="DF390" s="29"/>
      <c r="DG390" s="29"/>
      <c r="DH390" s="29"/>
      <c r="DI390" s="29"/>
      <c r="DJ390" s="29"/>
      <c r="DK390" s="29"/>
      <c r="DL390" s="29"/>
      <c r="DM390" s="29"/>
      <c r="DN390" s="29"/>
      <c r="DO390" s="29"/>
      <c r="DP390" s="29"/>
      <c r="DQ390" s="29"/>
      <c r="DR390" s="29"/>
      <c r="DS390" s="29"/>
      <c r="DT390" s="29"/>
      <c r="DU390" s="29"/>
      <c r="DV390" s="29"/>
      <c r="DW390" s="29"/>
      <c r="DX390" s="29"/>
      <c r="DY390" s="29"/>
      <c r="DZ390" s="29"/>
      <c r="EA390" s="29"/>
      <c r="EB390" s="29"/>
      <c r="EC390" s="29"/>
      <c r="ED390" s="29"/>
      <c r="EE390" s="29"/>
      <c r="EF390" s="29"/>
      <c r="EG390" s="29"/>
      <c r="EH390" s="29"/>
      <c r="EI390" s="29"/>
      <c r="EJ390" s="29"/>
      <c r="EK390" s="29"/>
      <c r="EL390" s="29"/>
      <c r="EM390" s="29"/>
      <c r="EN390" s="29"/>
      <c r="EO390" s="29"/>
      <c r="EP390" s="29"/>
      <c r="EQ390" s="29"/>
      <c r="ER390" s="29"/>
      <c r="ES390" s="29"/>
      <c r="ET390" s="29"/>
      <c r="EU390" s="29"/>
      <c r="EV390" s="29"/>
      <c r="EW390" s="29"/>
      <c r="EX390" s="29"/>
      <c r="EY390" s="29"/>
      <c r="EZ390" s="29"/>
      <c r="FA390" s="29"/>
      <c r="FB390" s="29"/>
      <c r="FC390" s="29"/>
      <c r="FD390" s="29"/>
      <c r="FE390" s="29"/>
      <c r="FF390" s="29"/>
      <c r="FG390" s="29"/>
      <c r="FH390" s="29"/>
      <c r="FI390" s="29"/>
      <c r="FJ390" s="29"/>
      <c r="FK390" s="29"/>
      <c r="FL390" s="29"/>
      <c r="FM390" s="29"/>
      <c r="FN390" s="29"/>
      <c r="FO390" s="29"/>
      <c r="FP390" s="29"/>
      <c r="FQ390" s="29"/>
      <c r="FR390" s="29"/>
      <c r="FS390" s="29"/>
      <c r="FT390" s="29"/>
      <c r="FU390" s="29"/>
      <c r="FV390" s="29"/>
      <c r="FW390" s="29"/>
      <c r="FX390" s="29"/>
      <c r="FY390" s="29"/>
      <c r="FZ390" s="29"/>
      <c r="GA390" s="29"/>
      <c r="GB390" s="29"/>
      <c r="GC390" s="29"/>
      <c r="GD390" s="29"/>
      <c r="GE390" s="29"/>
      <c r="GF390" s="29"/>
      <c r="GG390" s="29"/>
      <c r="GH390" s="29"/>
      <c r="GI390" s="29"/>
      <c r="GJ390" s="29"/>
      <c r="GK390" s="29"/>
      <c r="GL390" s="29"/>
      <c r="GM390" s="29"/>
      <c r="GN390" s="29"/>
      <c r="GO390" s="29"/>
      <c r="GP390" s="29"/>
      <c r="GQ390" s="29"/>
      <c r="GR390" s="29"/>
      <c r="GS390" s="29"/>
      <c r="GT390" s="29"/>
      <c r="GU390" s="29"/>
      <c r="GV390" s="29"/>
      <c r="GW390" s="29"/>
      <c r="GX390" s="29"/>
      <c r="GY390" s="29"/>
      <c r="GZ390" s="29"/>
      <c r="HA390" s="29"/>
      <c r="HB390" s="29"/>
      <c r="HC390" s="29"/>
      <c r="HD390" s="29"/>
      <c r="HE390" s="29"/>
      <c r="HF390" s="29"/>
      <c r="HG390" s="29"/>
      <c r="HH390" s="29"/>
      <c r="HI390" s="29"/>
      <c r="HJ390" s="29"/>
      <c r="HK390" s="29"/>
      <c r="HL390" s="29"/>
      <c r="HM390" s="29"/>
      <c r="HN390" s="29"/>
      <c r="HO390" s="29"/>
      <c r="HP390" s="29"/>
      <c r="HQ390" s="29"/>
      <c r="HR390" s="29"/>
      <c r="HS390" s="29"/>
      <c r="HT390" s="29"/>
      <c r="HU390" s="29"/>
      <c r="HV390" s="29"/>
      <c r="HW390" s="29"/>
      <c r="HX390" s="29"/>
      <c r="HY390" s="29"/>
      <c r="HZ390" s="29"/>
      <c r="IA390" s="29"/>
      <c r="IB390" s="29"/>
      <c r="IC390" s="29"/>
      <c r="ID390" s="29"/>
      <c r="IE390" s="29"/>
      <c r="IF390" s="29"/>
      <c r="IG390" s="29"/>
      <c r="IH390" s="29"/>
      <c r="II390" s="29"/>
      <c r="IJ390" s="29"/>
      <c r="IK390" s="29"/>
      <c r="IL390" s="29"/>
      <c r="IM390" s="29"/>
      <c r="IN390" s="29"/>
      <c r="IO390" s="29"/>
      <c r="IP390" s="29"/>
      <c r="IQ390" s="29"/>
      <c r="IR390" s="29"/>
      <c r="IS390" s="29"/>
      <c r="IT390" s="29"/>
      <c r="IU390" s="29"/>
      <c r="IV390" s="29"/>
      <c r="IW390" s="29"/>
      <c r="IX390" s="29"/>
      <c r="IY390" s="29"/>
      <c r="IZ390" s="29"/>
      <c r="JA390" s="29"/>
      <c r="JB390" s="29"/>
      <c r="JC390" s="29"/>
      <c r="JD390" s="29"/>
      <c r="JE390" s="29"/>
      <c r="JF390" s="29"/>
      <c r="JG390" s="29"/>
      <c r="JH390" s="29"/>
      <c r="JI390" s="29"/>
      <c r="JJ390" s="29"/>
      <c r="JK390" s="29"/>
      <c r="JL390" s="29"/>
    </row>
    <row r="391" spans="1:272" ht="38.25" customHeight="1">
      <c r="A391" s="30" t="s">
        <v>142</v>
      </c>
      <c r="B391" s="31" t="s">
        <v>87</v>
      </c>
      <c r="C391" s="30" t="s">
        <v>39</v>
      </c>
      <c r="D391" s="30" t="s">
        <v>1057</v>
      </c>
      <c r="E391" s="30" t="s">
        <v>139</v>
      </c>
      <c r="F391" s="30" t="s">
        <v>1114</v>
      </c>
      <c r="G391" s="30" t="s">
        <v>31</v>
      </c>
      <c r="H391" s="30">
        <v>561270</v>
      </c>
      <c r="I391" s="30" t="s">
        <v>51</v>
      </c>
      <c r="J391" s="30" t="s">
        <v>129</v>
      </c>
      <c r="K391" s="30" t="s">
        <v>44</v>
      </c>
      <c r="L391" s="30" t="s">
        <v>860</v>
      </c>
      <c r="M391" s="45">
        <v>20953.39</v>
      </c>
      <c r="N391" s="45">
        <v>254004.76</v>
      </c>
      <c r="O391" s="30" t="s">
        <v>79</v>
      </c>
      <c r="P391" s="30" t="s">
        <v>302</v>
      </c>
      <c r="Q391" s="129" t="s">
        <v>3419</v>
      </c>
      <c r="R391" s="30" t="s">
        <v>100</v>
      </c>
      <c r="S391" s="41">
        <v>2014</v>
      </c>
      <c r="T391" s="31" t="s">
        <v>1115</v>
      </c>
      <c r="U391" s="31" t="s">
        <v>1116</v>
      </c>
      <c r="V391" s="30" t="s">
        <v>1117</v>
      </c>
      <c r="W391" s="129" t="s">
        <v>107</v>
      </c>
      <c r="X391" s="44">
        <v>41730</v>
      </c>
      <c r="Y391" s="44">
        <v>41760</v>
      </c>
      <c r="Z391" s="44">
        <v>41789</v>
      </c>
      <c r="AA391" s="30" t="s">
        <v>1109</v>
      </c>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c r="BF391" s="29"/>
      <c r="BG391" s="29"/>
      <c r="BH391" s="29"/>
      <c r="BI391" s="29"/>
      <c r="BJ391" s="29"/>
      <c r="BK391" s="29"/>
      <c r="BL391" s="29"/>
      <c r="BM391" s="29"/>
      <c r="BN391" s="29"/>
      <c r="BO391" s="29"/>
      <c r="BP391" s="29"/>
      <c r="BQ391" s="29"/>
      <c r="BR391" s="29"/>
      <c r="BS391" s="29"/>
      <c r="BT391" s="29"/>
      <c r="BU391" s="29"/>
      <c r="BV391" s="29"/>
      <c r="BW391" s="29"/>
      <c r="BX391" s="29"/>
      <c r="BY391" s="29"/>
      <c r="BZ391" s="29"/>
      <c r="CA391" s="29"/>
      <c r="CB391" s="29"/>
      <c r="CC391" s="29"/>
      <c r="CD391" s="29"/>
      <c r="CE391" s="29"/>
      <c r="CF391" s="29"/>
      <c r="CG391" s="29"/>
      <c r="CH391" s="29"/>
      <c r="CI391" s="29"/>
      <c r="CJ391" s="29"/>
      <c r="CK391" s="29"/>
      <c r="CL391" s="29"/>
      <c r="CM391" s="29"/>
      <c r="CN391" s="29"/>
      <c r="CO391" s="29"/>
      <c r="CP391" s="29"/>
      <c r="CQ391" s="29"/>
      <c r="CR391" s="29"/>
      <c r="CS391" s="29"/>
      <c r="CT391" s="29"/>
      <c r="CU391" s="29"/>
      <c r="CV391" s="29"/>
      <c r="CW391" s="29"/>
      <c r="CX391" s="29"/>
      <c r="CY391" s="29"/>
      <c r="CZ391" s="29"/>
      <c r="DA391" s="29"/>
      <c r="DB391" s="29"/>
      <c r="DC391" s="29"/>
      <c r="DD391" s="29"/>
      <c r="DE391" s="29"/>
      <c r="DF391" s="29"/>
      <c r="DG391" s="29"/>
      <c r="DH391" s="29"/>
      <c r="DI391" s="29"/>
      <c r="DJ391" s="29"/>
      <c r="DK391" s="29"/>
      <c r="DL391" s="29"/>
      <c r="DM391" s="29"/>
      <c r="DN391" s="29"/>
      <c r="DO391" s="29"/>
      <c r="DP391" s="29"/>
      <c r="DQ391" s="29"/>
      <c r="DR391" s="29"/>
      <c r="DS391" s="29"/>
      <c r="DT391" s="29"/>
      <c r="DU391" s="29"/>
      <c r="DV391" s="29"/>
      <c r="DW391" s="29"/>
      <c r="DX391" s="29"/>
      <c r="DY391" s="29"/>
      <c r="DZ391" s="29"/>
      <c r="EA391" s="29"/>
      <c r="EB391" s="29"/>
      <c r="EC391" s="29"/>
      <c r="ED391" s="29"/>
      <c r="EE391" s="29"/>
      <c r="EF391" s="29"/>
      <c r="EG391" s="29"/>
      <c r="EH391" s="29"/>
      <c r="EI391" s="29"/>
      <c r="EJ391" s="29"/>
      <c r="EK391" s="29"/>
      <c r="EL391" s="29"/>
      <c r="EM391" s="29"/>
      <c r="EN391" s="29"/>
      <c r="EO391" s="29"/>
      <c r="EP391" s="29"/>
      <c r="EQ391" s="29"/>
      <c r="ER391" s="29"/>
      <c r="ES391" s="29"/>
      <c r="ET391" s="29"/>
      <c r="EU391" s="29"/>
      <c r="EV391" s="29"/>
      <c r="EW391" s="29"/>
      <c r="EX391" s="29"/>
      <c r="EY391" s="29"/>
      <c r="EZ391" s="29"/>
      <c r="FA391" s="29"/>
      <c r="FB391" s="29"/>
      <c r="FC391" s="29"/>
      <c r="FD391" s="29"/>
      <c r="FE391" s="29"/>
      <c r="FF391" s="29"/>
      <c r="FG391" s="29"/>
      <c r="FH391" s="29"/>
      <c r="FI391" s="29"/>
      <c r="FJ391" s="29"/>
      <c r="FK391" s="29"/>
      <c r="FL391" s="29"/>
      <c r="FM391" s="29"/>
      <c r="FN391" s="29"/>
      <c r="FO391" s="29"/>
      <c r="FP391" s="29"/>
      <c r="FQ391" s="29"/>
      <c r="FR391" s="29"/>
      <c r="FS391" s="29"/>
      <c r="FT391" s="29"/>
      <c r="FU391" s="29"/>
      <c r="FV391" s="29"/>
      <c r="FW391" s="29"/>
      <c r="FX391" s="29"/>
      <c r="FY391" s="29"/>
      <c r="FZ391" s="29"/>
      <c r="GA391" s="29"/>
      <c r="GB391" s="29"/>
      <c r="GC391" s="29"/>
      <c r="GD391" s="29"/>
      <c r="GE391" s="29"/>
      <c r="GF391" s="29"/>
      <c r="GG391" s="29"/>
      <c r="GH391" s="29"/>
      <c r="GI391" s="29"/>
      <c r="GJ391" s="29"/>
      <c r="GK391" s="29"/>
      <c r="GL391" s="29"/>
      <c r="GM391" s="29"/>
      <c r="GN391" s="29"/>
      <c r="GO391" s="29"/>
      <c r="GP391" s="29"/>
      <c r="GQ391" s="29"/>
      <c r="GR391" s="29"/>
      <c r="GS391" s="29"/>
      <c r="GT391" s="29"/>
      <c r="GU391" s="29"/>
      <c r="GV391" s="29"/>
      <c r="GW391" s="29"/>
      <c r="GX391" s="29"/>
      <c r="GY391" s="29"/>
      <c r="GZ391" s="29"/>
      <c r="HA391" s="29"/>
      <c r="HB391" s="29"/>
      <c r="HC391" s="29"/>
      <c r="HD391" s="29"/>
      <c r="HE391" s="29"/>
      <c r="HF391" s="29"/>
      <c r="HG391" s="29"/>
      <c r="HH391" s="29"/>
      <c r="HI391" s="29"/>
      <c r="HJ391" s="29"/>
      <c r="HK391" s="29"/>
      <c r="HL391" s="29"/>
      <c r="HM391" s="29"/>
      <c r="HN391" s="29"/>
      <c r="HO391" s="29"/>
      <c r="HP391" s="29"/>
      <c r="HQ391" s="29"/>
      <c r="HR391" s="29"/>
      <c r="HS391" s="29"/>
      <c r="HT391" s="29"/>
      <c r="HU391" s="29"/>
      <c r="HV391" s="29"/>
      <c r="HW391" s="29"/>
      <c r="HX391" s="29"/>
      <c r="HY391" s="29"/>
      <c r="HZ391" s="29"/>
      <c r="IA391" s="29"/>
      <c r="IB391" s="29"/>
      <c r="IC391" s="29"/>
      <c r="ID391" s="29"/>
      <c r="IE391" s="29"/>
      <c r="IF391" s="29"/>
      <c r="IG391" s="29"/>
      <c r="IH391" s="29"/>
      <c r="II391" s="29"/>
      <c r="IJ391" s="29"/>
      <c r="IK391" s="29"/>
      <c r="IL391" s="29"/>
      <c r="IM391" s="29"/>
      <c r="IN391" s="29"/>
      <c r="IO391" s="29"/>
      <c r="IP391" s="29"/>
      <c r="IQ391" s="29"/>
      <c r="IR391" s="29"/>
      <c r="IS391" s="29"/>
      <c r="IT391" s="29"/>
      <c r="IU391" s="29"/>
      <c r="IV391" s="29"/>
      <c r="IW391" s="29"/>
      <c r="IX391" s="29"/>
      <c r="IY391" s="29"/>
      <c r="IZ391" s="29"/>
      <c r="JA391" s="29"/>
      <c r="JB391" s="29"/>
      <c r="JC391" s="29"/>
      <c r="JD391" s="29"/>
      <c r="JE391" s="29"/>
      <c r="JF391" s="29"/>
      <c r="JG391" s="29"/>
      <c r="JH391" s="29"/>
      <c r="JI391" s="29"/>
      <c r="JJ391" s="29"/>
      <c r="JK391" s="29"/>
      <c r="JL391" s="29"/>
    </row>
    <row r="392" spans="1:272" ht="38.25" customHeight="1">
      <c r="A392" s="30" t="s">
        <v>142</v>
      </c>
      <c r="B392" s="31" t="s">
        <v>87</v>
      </c>
      <c r="C392" s="30" t="s">
        <v>39</v>
      </c>
      <c r="D392" s="30" t="s">
        <v>1057</v>
      </c>
      <c r="E392" s="30" t="s">
        <v>139</v>
      </c>
      <c r="F392" s="129" t="s">
        <v>1097</v>
      </c>
      <c r="G392" s="30" t="s">
        <v>50</v>
      </c>
      <c r="H392" s="30">
        <v>561270</v>
      </c>
      <c r="I392" s="129" t="s">
        <v>546</v>
      </c>
      <c r="J392" s="30" t="s">
        <v>129</v>
      </c>
      <c r="K392" s="30" t="s">
        <v>44</v>
      </c>
      <c r="L392" s="30" t="s">
        <v>860</v>
      </c>
      <c r="M392" s="45">
        <v>83911.98</v>
      </c>
      <c r="N392" s="45">
        <v>1006943.76</v>
      </c>
      <c r="O392" s="30" t="s">
        <v>79</v>
      </c>
      <c r="P392" s="30" t="s">
        <v>302</v>
      </c>
      <c r="Q392" s="129" t="s">
        <v>3419</v>
      </c>
      <c r="R392" s="155" t="s">
        <v>80</v>
      </c>
      <c r="S392" s="41">
        <v>2014</v>
      </c>
      <c r="T392" s="31" t="s">
        <v>1118</v>
      </c>
      <c r="U392" s="31" t="s">
        <v>1119</v>
      </c>
      <c r="V392" s="30" t="s">
        <v>1120</v>
      </c>
      <c r="W392" s="129" t="s">
        <v>107</v>
      </c>
      <c r="X392" s="44">
        <v>41671</v>
      </c>
      <c r="Y392" s="44">
        <v>41699</v>
      </c>
      <c r="Z392" s="44">
        <v>41729</v>
      </c>
      <c r="AA392" s="30" t="s">
        <v>908</v>
      </c>
      <c r="AE392" s="29"/>
      <c r="AF392" s="29"/>
      <c r="AG392" s="29"/>
      <c r="AH392" s="29"/>
      <c r="AI392" s="29"/>
      <c r="AJ392" s="29"/>
      <c r="AK392" s="29"/>
      <c r="AL392" s="29"/>
      <c r="AM392" s="29"/>
      <c r="AN392" s="29"/>
      <c r="AO392" s="29"/>
      <c r="AP392" s="29"/>
      <c r="AQ392" s="29"/>
      <c r="AR392" s="29"/>
      <c r="AS392" s="29"/>
      <c r="AT392" s="29"/>
      <c r="AU392" s="29"/>
      <c r="AV392" s="29"/>
      <c r="AW392" s="29"/>
      <c r="AX392" s="29"/>
      <c r="AY392" s="29"/>
      <c r="AZ392" s="29"/>
      <c r="BA392" s="29"/>
      <c r="BB392" s="29"/>
      <c r="BC392" s="29"/>
      <c r="BD392" s="29"/>
      <c r="BE392" s="29"/>
      <c r="BF392" s="29"/>
      <c r="BG392" s="29"/>
      <c r="BH392" s="29"/>
      <c r="BI392" s="29"/>
      <c r="BJ392" s="29"/>
      <c r="BK392" s="29"/>
      <c r="BL392" s="29"/>
      <c r="BM392" s="29"/>
      <c r="BN392" s="29"/>
      <c r="BO392" s="29"/>
      <c r="BP392" s="29"/>
      <c r="BQ392" s="29"/>
      <c r="BR392" s="29"/>
      <c r="BS392" s="29"/>
      <c r="BT392" s="29"/>
      <c r="BU392" s="29"/>
      <c r="BV392" s="29"/>
      <c r="BW392" s="29"/>
      <c r="BX392" s="29"/>
      <c r="BY392" s="29"/>
      <c r="BZ392" s="29"/>
      <c r="CA392" s="29"/>
      <c r="CB392" s="29"/>
      <c r="CC392" s="29"/>
      <c r="CD392" s="29"/>
      <c r="CE392" s="29"/>
      <c r="CF392" s="29"/>
      <c r="CG392" s="29"/>
      <c r="CH392" s="29"/>
      <c r="CI392" s="29"/>
      <c r="CJ392" s="29"/>
      <c r="CK392" s="29"/>
      <c r="CL392" s="29"/>
      <c r="CM392" s="29"/>
      <c r="CN392" s="29"/>
      <c r="CO392" s="29"/>
      <c r="CP392" s="29"/>
      <c r="CQ392" s="29"/>
      <c r="CR392" s="29"/>
      <c r="CS392" s="29"/>
      <c r="CT392" s="29"/>
      <c r="CU392" s="29"/>
      <c r="CV392" s="29"/>
      <c r="CW392" s="29"/>
      <c r="CX392" s="29"/>
      <c r="CY392" s="29"/>
      <c r="CZ392" s="29"/>
      <c r="DA392" s="29"/>
      <c r="DB392" s="29"/>
      <c r="DC392" s="29"/>
      <c r="DD392" s="29"/>
      <c r="DE392" s="29"/>
      <c r="DF392" s="29"/>
      <c r="DG392" s="29"/>
      <c r="DH392" s="29"/>
      <c r="DI392" s="29"/>
      <c r="DJ392" s="29"/>
      <c r="DK392" s="29"/>
      <c r="DL392" s="29"/>
      <c r="DM392" s="29"/>
      <c r="DN392" s="29"/>
      <c r="DO392" s="29"/>
      <c r="DP392" s="29"/>
      <c r="DQ392" s="29"/>
      <c r="DR392" s="29"/>
      <c r="DS392" s="29"/>
      <c r="DT392" s="29"/>
      <c r="DU392" s="29"/>
      <c r="DV392" s="29"/>
      <c r="DW392" s="29"/>
      <c r="DX392" s="29"/>
      <c r="DY392" s="29"/>
      <c r="DZ392" s="29"/>
      <c r="EA392" s="29"/>
      <c r="EB392" s="29"/>
      <c r="EC392" s="29"/>
      <c r="ED392" s="29"/>
      <c r="EE392" s="29"/>
      <c r="EF392" s="29"/>
      <c r="EG392" s="29"/>
      <c r="EH392" s="29"/>
      <c r="EI392" s="29"/>
      <c r="EJ392" s="29"/>
      <c r="EK392" s="29"/>
      <c r="EL392" s="29"/>
      <c r="EM392" s="29"/>
      <c r="EN392" s="29"/>
      <c r="EO392" s="29"/>
      <c r="EP392" s="29"/>
      <c r="EQ392" s="29"/>
      <c r="ER392" s="29"/>
      <c r="ES392" s="29"/>
      <c r="ET392" s="29"/>
      <c r="EU392" s="29"/>
      <c r="EV392" s="29"/>
      <c r="EW392" s="29"/>
      <c r="EX392" s="29"/>
      <c r="EY392" s="29"/>
      <c r="EZ392" s="29"/>
      <c r="FA392" s="29"/>
      <c r="FB392" s="29"/>
      <c r="FC392" s="29"/>
      <c r="FD392" s="29"/>
      <c r="FE392" s="29"/>
      <c r="FF392" s="29"/>
      <c r="FG392" s="29"/>
      <c r="FH392" s="29"/>
      <c r="FI392" s="29"/>
      <c r="FJ392" s="29"/>
      <c r="FK392" s="29"/>
      <c r="FL392" s="29"/>
      <c r="FM392" s="29"/>
      <c r="FN392" s="29"/>
      <c r="FO392" s="29"/>
      <c r="FP392" s="29"/>
      <c r="FQ392" s="29"/>
      <c r="FR392" s="29"/>
      <c r="FS392" s="29"/>
      <c r="FT392" s="29"/>
      <c r="FU392" s="29"/>
      <c r="FV392" s="29"/>
      <c r="FW392" s="29"/>
      <c r="FX392" s="29"/>
      <c r="FY392" s="29"/>
      <c r="FZ392" s="29"/>
      <c r="GA392" s="29"/>
      <c r="GB392" s="29"/>
      <c r="GC392" s="29"/>
      <c r="GD392" s="29"/>
      <c r="GE392" s="29"/>
      <c r="GF392" s="29"/>
      <c r="GG392" s="29"/>
      <c r="GH392" s="29"/>
      <c r="GI392" s="29"/>
      <c r="GJ392" s="29"/>
      <c r="GK392" s="29"/>
      <c r="GL392" s="29"/>
      <c r="GM392" s="29"/>
      <c r="GN392" s="29"/>
      <c r="GO392" s="29"/>
      <c r="GP392" s="29"/>
      <c r="GQ392" s="29"/>
      <c r="GR392" s="29"/>
      <c r="GS392" s="29"/>
      <c r="GT392" s="29"/>
      <c r="GU392" s="29"/>
      <c r="GV392" s="29"/>
      <c r="GW392" s="29"/>
      <c r="GX392" s="29"/>
      <c r="GY392" s="29"/>
      <c r="GZ392" s="29"/>
      <c r="HA392" s="29"/>
      <c r="HB392" s="29"/>
      <c r="HC392" s="29"/>
      <c r="HD392" s="29"/>
      <c r="HE392" s="29"/>
      <c r="HF392" s="29"/>
      <c r="HG392" s="29"/>
      <c r="HH392" s="29"/>
      <c r="HI392" s="29"/>
      <c r="HJ392" s="29"/>
      <c r="HK392" s="29"/>
      <c r="HL392" s="29"/>
      <c r="HM392" s="29"/>
      <c r="HN392" s="29"/>
      <c r="HO392" s="29"/>
      <c r="HP392" s="29"/>
      <c r="HQ392" s="29"/>
      <c r="HR392" s="29"/>
      <c r="HS392" s="29"/>
      <c r="HT392" s="29"/>
      <c r="HU392" s="29"/>
      <c r="HV392" s="29"/>
      <c r="HW392" s="29"/>
      <c r="HX392" s="29"/>
      <c r="HY392" s="29"/>
      <c r="HZ392" s="29"/>
      <c r="IA392" s="29"/>
      <c r="IB392" s="29"/>
      <c r="IC392" s="29"/>
      <c r="ID392" s="29"/>
      <c r="IE392" s="29"/>
      <c r="IF392" s="29"/>
      <c r="IG392" s="29"/>
      <c r="IH392" s="29"/>
      <c r="II392" s="29"/>
      <c r="IJ392" s="29"/>
      <c r="IK392" s="29"/>
      <c r="IL392" s="29"/>
      <c r="IM392" s="29"/>
      <c r="IN392" s="29"/>
      <c r="IO392" s="29"/>
      <c r="IP392" s="29"/>
      <c r="IQ392" s="29"/>
      <c r="IR392" s="29"/>
      <c r="IS392" s="29"/>
      <c r="IT392" s="29"/>
      <c r="IU392" s="29"/>
      <c r="IV392" s="29"/>
      <c r="IW392" s="29"/>
      <c r="IX392" s="29"/>
      <c r="IY392" s="29"/>
      <c r="IZ392" s="29"/>
      <c r="JA392" s="29"/>
      <c r="JB392" s="29"/>
      <c r="JC392" s="29"/>
      <c r="JD392" s="29"/>
      <c r="JE392" s="29"/>
      <c r="JF392" s="29"/>
      <c r="JG392" s="29"/>
      <c r="JH392" s="29"/>
      <c r="JI392" s="29"/>
      <c r="JJ392" s="29"/>
      <c r="JK392" s="29"/>
      <c r="JL392" s="29"/>
    </row>
    <row r="393" spans="1:272" ht="38.25" customHeight="1">
      <c r="A393" s="30" t="s">
        <v>142</v>
      </c>
      <c r="B393" s="31" t="s">
        <v>87</v>
      </c>
      <c r="C393" s="30" t="s">
        <v>39</v>
      </c>
      <c r="D393" s="30" t="s">
        <v>1057</v>
      </c>
      <c r="E393" s="30" t="s">
        <v>139</v>
      </c>
      <c r="F393" s="30" t="s">
        <v>1121</v>
      </c>
      <c r="G393" s="30" t="s">
        <v>31</v>
      </c>
      <c r="H393" s="30">
        <v>561720</v>
      </c>
      <c r="I393" s="129" t="s">
        <v>546</v>
      </c>
      <c r="J393" s="30" t="s">
        <v>129</v>
      </c>
      <c r="K393" s="30" t="s">
        <v>44</v>
      </c>
      <c r="L393" s="30" t="s">
        <v>860</v>
      </c>
      <c r="M393" s="45">
        <v>24663.759999999998</v>
      </c>
      <c r="N393" s="45">
        <v>295965.06</v>
      </c>
      <c r="O393" s="30" t="s">
        <v>79</v>
      </c>
      <c r="P393" s="30" t="s">
        <v>302</v>
      </c>
      <c r="Q393" s="129" t="s">
        <v>3419</v>
      </c>
      <c r="R393" s="30" t="s">
        <v>100</v>
      </c>
      <c r="S393" s="41">
        <v>2014</v>
      </c>
      <c r="T393" s="31" t="s">
        <v>1115</v>
      </c>
      <c r="U393" s="31" t="s">
        <v>1116</v>
      </c>
      <c r="V393" s="30" t="s">
        <v>1117</v>
      </c>
      <c r="W393" s="129" t="s">
        <v>107</v>
      </c>
      <c r="X393" s="44">
        <v>41760</v>
      </c>
      <c r="Y393" s="44">
        <v>41789</v>
      </c>
      <c r="Z393" s="44">
        <v>41790</v>
      </c>
      <c r="AA393" s="30" t="s">
        <v>908</v>
      </c>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c r="BO393" s="29"/>
      <c r="BP393" s="29"/>
      <c r="BQ393" s="29"/>
      <c r="BR393" s="29"/>
      <c r="BS393" s="29"/>
      <c r="BT393" s="29"/>
      <c r="BU393" s="29"/>
      <c r="BV393" s="29"/>
      <c r="BW393" s="29"/>
      <c r="BX393" s="29"/>
      <c r="BY393" s="29"/>
      <c r="BZ393" s="29"/>
      <c r="CA393" s="29"/>
      <c r="CB393" s="29"/>
      <c r="CC393" s="29"/>
      <c r="CD393" s="29"/>
      <c r="CE393" s="29"/>
      <c r="CF393" s="29"/>
      <c r="CG393" s="29"/>
      <c r="CH393" s="29"/>
      <c r="CI393" s="29"/>
      <c r="CJ393" s="29"/>
      <c r="CK393" s="29"/>
      <c r="CL393" s="29"/>
      <c r="CM393" s="29"/>
      <c r="CN393" s="29"/>
      <c r="CO393" s="29"/>
      <c r="CP393" s="29"/>
      <c r="CQ393" s="29"/>
      <c r="CR393" s="29"/>
      <c r="CS393" s="29"/>
      <c r="CT393" s="29"/>
      <c r="CU393" s="29"/>
      <c r="CV393" s="29"/>
      <c r="CW393" s="29"/>
      <c r="CX393" s="29"/>
      <c r="CY393" s="29"/>
      <c r="CZ393" s="29"/>
      <c r="DA393" s="29"/>
      <c r="DB393" s="29"/>
      <c r="DC393" s="29"/>
      <c r="DD393" s="29"/>
      <c r="DE393" s="29"/>
      <c r="DF393" s="29"/>
      <c r="DG393" s="29"/>
      <c r="DH393" s="29"/>
      <c r="DI393" s="29"/>
      <c r="DJ393" s="29"/>
      <c r="DK393" s="29"/>
      <c r="DL393" s="29"/>
      <c r="DM393" s="29"/>
      <c r="DN393" s="29"/>
      <c r="DO393" s="29"/>
      <c r="DP393" s="29"/>
      <c r="DQ393" s="29"/>
      <c r="DR393" s="29"/>
      <c r="DS393" s="29"/>
      <c r="DT393" s="29"/>
      <c r="DU393" s="29"/>
      <c r="DV393" s="29"/>
      <c r="DW393" s="29"/>
      <c r="DX393" s="29"/>
      <c r="DY393" s="29"/>
      <c r="DZ393" s="29"/>
      <c r="EA393" s="29"/>
      <c r="EB393" s="29"/>
      <c r="EC393" s="29"/>
      <c r="ED393" s="29"/>
      <c r="EE393" s="29"/>
      <c r="EF393" s="29"/>
      <c r="EG393" s="29"/>
      <c r="EH393" s="29"/>
      <c r="EI393" s="29"/>
      <c r="EJ393" s="29"/>
      <c r="EK393" s="29"/>
      <c r="EL393" s="29"/>
      <c r="EM393" s="29"/>
      <c r="EN393" s="29"/>
      <c r="EO393" s="29"/>
      <c r="EP393" s="29"/>
      <c r="EQ393" s="29"/>
      <c r="ER393" s="29"/>
      <c r="ES393" s="29"/>
      <c r="ET393" s="29"/>
      <c r="EU393" s="29"/>
      <c r="EV393" s="29"/>
      <c r="EW393" s="29"/>
      <c r="EX393" s="29"/>
      <c r="EY393" s="29"/>
      <c r="EZ393" s="29"/>
      <c r="FA393" s="29"/>
      <c r="FB393" s="29"/>
      <c r="FC393" s="29"/>
      <c r="FD393" s="29"/>
      <c r="FE393" s="29"/>
      <c r="FF393" s="29"/>
      <c r="FG393" s="29"/>
      <c r="FH393" s="29"/>
      <c r="FI393" s="29"/>
      <c r="FJ393" s="29"/>
      <c r="FK393" s="29"/>
      <c r="FL393" s="29"/>
      <c r="FM393" s="29"/>
      <c r="FN393" s="29"/>
      <c r="FO393" s="29"/>
      <c r="FP393" s="29"/>
      <c r="FQ393" s="29"/>
      <c r="FR393" s="29"/>
      <c r="FS393" s="29"/>
      <c r="FT393" s="29"/>
      <c r="FU393" s="29"/>
      <c r="FV393" s="29"/>
      <c r="FW393" s="29"/>
      <c r="FX393" s="29"/>
      <c r="FY393" s="29"/>
      <c r="FZ393" s="29"/>
      <c r="GA393" s="29"/>
      <c r="GB393" s="29"/>
      <c r="GC393" s="29"/>
      <c r="GD393" s="29"/>
      <c r="GE393" s="29"/>
      <c r="GF393" s="29"/>
      <c r="GG393" s="29"/>
      <c r="GH393" s="29"/>
      <c r="GI393" s="29"/>
      <c r="GJ393" s="29"/>
      <c r="GK393" s="29"/>
      <c r="GL393" s="29"/>
      <c r="GM393" s="29"/>
      <c r="GN393" s="29"/>
      <c r="GO393" s="29"/>
      <c r="GP393" s="29"/>
      <c r="GQ393" s="29"/>
      <c r="GR393" s="29"/>
      <c r="GS393" s="29"/>
      <c r="GT393" s="29"/>
      <c r="GU393" s="29"/>
      <c r="GV393" s="29"/>
      <c r="GW393" s="29"/>
      <c r="GX393" s="29"/>
      <c r="GY393" s="29"/>
      <c r="GZ393" s="29"/>
      <c r="HA393" s="29"/>
      <c r="HB393" s="29"/>
      <c r="HC393" s="29"/>
      <c r="HD393" s="29"/>
      <c r="HE393" s="29"/>
      <c r="HF393" s="29"/>
      <c r="HG393" s="29"/>
      <c r="HH393" s="29"/>
      <c r="HI393" s="29"/>
      <c r="HJ393" s="29"/>
      <c r="HK393" s="29"/>
      <c r="HL393" s="29"/>
      <c r="HM393" s="29"/>
      <c r="HN393" s="29"/>
      <c r="HO393" s="29"/>
      <c r="HP393" s="29"/>
      <c r="HQ393" s="29"/>
      <c r="HR393" s="29"/>
      <c r="HS393" s="29"/>
      <c r="HT393" s="29"/>
      <c r="HU393" s="29"/>
      <c r="HV393" s="29"/>
      <c r="HW393" s="29"/>
      <c r="HX393" s="29"/>
      <c r="HY393" s="29"/>
      <c r="HZ393" s="29"/>
      <c r="IA393" s="29"/>
      <c r="IB393" s="29"/>
      <c r="IC393" s="29"/>
      <c r="ID393" s="29"/>
      <c r="IE393" s="29"/>
      <c r="IF393" s="29"/>
      <c r="IG393" s="29"/>
      <c r="IH393" s="29"/>
      <c r="II393" s="29"/>
      <c r="IJ393" s="29"/>
      <c r="IK393" s="29"/>
      <c r="IL393" s="29"/>
      <c r="IM393" s="29"/>
      <c r="IN393" s="29"/>
      <c r="IO393" s="29"/>
      <c r="IP393" s="29"/>
      <c r="IQ393" s="29"/>
      <c r="IR393" s="29"/>
      <c r="IS393" s="29"/>
      <c r="IT393" s="29"/>
      <c r="IU393" s="29"/>
      <c r="IV393" s="29"/>
      <c r="IW393" s="29"/>
      <c r="IX393" s="29"/>
      <c r="IY393" s="29"/>
      <c r="IZ393" s="29"/>
      <c r="JA393" s="29"/>
      <c r="JB393" s="29"/>
      <c r="JC393" s="29"/>
      <c r="JD393" s="29"/>
      <c r="JE393" s="29"/>
      <c r="JF393" s="29"/>
      <c r="JG393" s="29"/>
      <c r="JH393" s="29"/>
      <c r="JI393" s="29"/>
      <c r="JJ393" s="29"/>
      <c r="JK393" s="29"/>
      <c r="JL393" s="29"/>
    </row>
    <row r="394" spans="1:272" ht="38.25" customHeight="1">
      <c r="A394" s="30" t="s">
        <v>142</v>
      </c>
      <c r="B394" s="31" t="s">
        <v>87</v>
      </c>
      <c r="C394" s="30" t="s">
        <v>39</v>
      </c>
      <c r="D394" s="30" t="s">
        <v>1057</v>
      </c>
      <c r="E394" s="30" t="s">
        <v>139</v>
      </c>
      <c r="F394" s="30" t="s">
        <v>1114</v>
      </c>
      <c r="G394" s="30" t="s">
        <v>31</v>
      </c>
      <c r="H394" s="30">
        <v>561720</v>
      </c>
      <c r="I394" s="129" t="s">
        <v>546</v>
      </c>
      <c r="J394" s="30" t="s">
        <v>129</v>
      </c>
      <c r="K394" s="30" t="s">
        <v>44</v>
      </c>
      <c r="L394" s="30" t="s">
        <v>860</v>
      </c>
      <c r="M394" s="45">
        <v>5600.57</v>
      </c>
      <c r="N394" s="45">
        <v>69856.7</v>
      </c>
      <c r="O394" s="30" t="s">
        <v>149</v>
      </c>
      <c r="P394" s="30" t="s">
        <v>302</v>
      </c>
      <c r="Q394" s="129" t="s">
        <v>3419</v>
      </c>
      <c r="R394" s="30" t="s">
        <v>100</v>
      </c>
      <c r="S394" s="41">
        <v>2014</v>
      </c>
      <c r="T394" s="31" t="s">
        <v>1115</v>
      </c>
      <c r="U394" s="31" t="s">
        <v>1116</v>
      </c>
      <c r="V394" s="30" t="s">
        <v>1117</v>
      </c>
      <c r="W394" s="129" t="s">
        <v>107</v>
      </c>
      <c r="X394" s="44">
        <v>41760</v>
      </c>
      <c r="Y394" s="44">
        <v>41789</v>
      </c>
      <c r="Z394" s="44">
        <v>41790</v>
      </c>
      <c r="AA394" s="30" t="s">
        <v>908</v>
      </c>
      <c r="AE394" s="29"/>
      <c r="AF394" s="29"/>
      <c r="AG394" s="29"/>
      <c r="AH394" s="29"/>
      <c r="AI394" s="29"/>
      <c r="AJ394" s="29"/>
      <c r="AK394" s="29"/>
      <c r="AL394" s="29"/>
      <c r="AM394" s="29"/>
      <c r="AN394" s="29"/>
      <c r="AO394" s="29"/>
      <c r="AP394" s="29"/>
      <c r="AQ394" s="29"/>
      <c r="AR394" s="29"/>
      <c r="AS394" s="29"/>
      <c r="AT394" s="29"/>
      <c r="AU394" s="29"/>
      <c r="AV394" s="29"/>
      <c r="AW394" s="29"/>
      <c r="AX394" s="29"/>
      <c r="AY394" s="29"/>
      <c r="AZ394" s="29"/>
      <c r="BA394" s="29"/>
      <c r="BB394" s="29"/>
      <c r="BC394" s="29"/>
      <c r="BD394" s="29"/>
      <c r="BE394" s="29"/>
      <c r="BF394" s="29"/>
      <c r="BG394" s="29"/>
      <c r="BH394" s="29"/>
      <c r="BI394" s="29"/>
      <c r="BJ394" s="29"/>
      <c r="BK394" s="29"/>
      <c r="BL394" s="29"/>
      <c r="BM394" s="29"/>
      <c r="BN394" s="29"/>
      <c r="BO394" s="29"/>
      <c r="BP394" s="29"/>
      <c r="BQ394" s="29"/>
      <c r="BR394" s="29"/>
      <c r="BS394" s="29"/>
      <c r="BT394" s="29"/>
      <c r="BU394" s="29"/>
      <c r="BV394" s="29"/>
      <c r="BW394" s="29"/>
      <c r="BX394" s="29"/>
      <c r="BY394" s="29"/>
      <c r="BZ394" s="29"/>
      <c r="CA394" s="29"/>
      <c r="CB394" s="29"/>
      <c r="CC394" s="29"/>
      <c r="CD394" s="29"/>
      <c r="CE394" s="29"/>
      <c r="CF394" s="29"/>
      <c r="CG394" s="29"/>
      <c r="CH394" s="29"/>
      <c r="CI394" s="29"/>
      <c r="CJ394" s="29"/>
      <c r="CK394" s="29"/>
      <c r="CL394" s="29"/>
      <c r="CM394" s="29"/>
      <c r="CN394" s="29"/>
      <c r="CO394" s="29"/>
      <c r="CP394" s="29"/>
      <c r="CQ394" s="29"/>
      <c r="CR394" s="29"/>
      <c r="CS394" s="29"/>
      <c r="CT394" s="29"/>
      <c r="CU394" s="29"/>
      <c r="CV394" s="29"/>
      <c r="CW394" s="29"/>
      <c r="CX394" s="29"/>
      <c r="CY394" s="29"/>
      <c r="CZ394" s="29"/>
      <c r="DA394" s="29"/>
      <c r="DB394" s="29"/>
      <c r="DC394" s="29"/>
      <c r="DD394" s="29"/>
      <c r="DE394" s="29"/>
      <c r="DF394" s="29"/>
      <c r="DG394" s="29"/>
      <c r="DH394" s="29"/>
      <c r="DI394" s="29"/>
      <c r="DJ394" s="29"/>
      <c r="DK394" s="29"/>
      <c r="DL394" s="29"/>
      <c r="DM394" s="29"/>
      <c r="DN394" s="29"/>
      <c r="DO394" s="29"/>
      <c r="DP394" s="29"/>
      <c r="DQ394" s="29"/>
      <c r="DR394" s="29"/>
      <c r="DS394" s="29"/>
      <c r="DT394" s="29"/>
      <c r="DU394" s="29"/>
      <c r="DV394" s="29"/>
      <c r="DW394" s="29"/>
      <c r="DX394" s="29"/>
      <c r="DY394" s="29"/>
      <c r="DZ394" s="29"/>
      <c r="EA394" s="29"/>
      <c r="EB394" s="29"/>
      <c r="EC394" s="29"/>
      <c r="ED394" s="29"/>
      <c r="EE394" s="29"/>
      <c r="EF394" s="29"/>
      <c r="EG394" s="29"/>
      <c r="EH394" s="29"/>
      <c r="EI394" s="29"/>
      <c r="EJ394" s="29"/>
      <c r="EK394" s="29"/>
      <c r="EL394" s="29"/>
      <c r="EM394" s="29"/>
      <c r="EN394" s="29"/>
      <c r="EO394" s="29"/>
      <c r="EP394" s="29"/>
      <c r="EQ394" s="29"/>
      <c r="ER394" s="29"/>
      <c r="ES394" s="29"/>
      <c r="ET394" s="29"/>
      <c r="EU394" s="29"/>
      <c r="EV394" s="29"/>
      <c r="EW394" s="29"/>
      <c r="EX394" s="29"/>
      <c r="EY394" s="29"/>
      <c r="EZ394" s="29"/>
      <c r="FA394" s="29"/>
      <c r="FB394" s="29"/>
      <c r="FC394" s="29"/>
      <c r="FD394" s="29"/>
      <c r="FE394" s="29"/>
      <c r="FF394" s="29"/>
      <c r="FG394" s="29"/>
      <c r="FH394" s="29"/>
      <c r="FI394" s="29"/>
      <c r="FJ394" s="29"/>
      <c r="FK394" s="29"/>
      <c r="FL394" s="29"/>
      <c r="FM394" s="29"/>
      <c r="FN394" s="29"/>
      <c r="FO394" s="29"/>
      <c r="FP394" s="29"/>
      <c r="FQ394" s="29"/>
      <c r="FR394" s="29"/>
      <c r="FS394" s="29"/>
      <c r="FT394" s="29"/>
      <c r="FU394" s="29"/>
      <c r="FV394" s="29"/>
      <c r="FW394" s="29"/>
      <c r="FX394" s="29"/>
      <c r="FY394" s="29"/>
      <c r="FZ394" s="29"/>
      <c r="GA394" s="29"/>
      <c r="GB394" s="29"/>
      <c r="GC394" s="29"/>
      <c r="GD394" s="29"/>
      <c r="GE394" s="29"/>
      <c r="GF394" s="29"/>
      <c r="GG394" s="29"/>
      <c r="GH394" s="29"/>
      <c r="GI394" s="29"/>
      <c r="GJ394" s="29"/>
      <c r="GK394" s="29"/>
      <c r="GL394" s="29"/>
      <c r="GM394" s="29"/>
      <c r="GN394" s="29"/>
      <c r="GO394" s="29"/>
      <c r="GP394" s="29"/>
      <c r="GQ394" s="29"/>
      <c r="GR394" s="29"/>
      <c r="GS394" s="29"/>
      <c r="GT394" s="29"/>
      <c r="GU394" s="29"/>
      <c r="GV394" s="29"/>
      <c r="GW394" s="29"/>
      <c r="GX394" s="29"/>
      <c r="GY394" s="29"/>
      <c r="GZ394" s="29"/>
      <c r="HA394" s="29"/>
      <c r="HB394" s="29"/>
      <c r="HC394" s="29"/>
      <c r="HD394" s="29"/>
      <c r="HE394" s="29"/>
      <c r="HF394" s="29"/>
      <c r="HG394" s="29"/>
      <c r="HH394" s="29"/>
      <c r="HI394" s="29"/>
      <c r="HJ394" s="29"/>
      <c r="HK394" s="29"/>
      <c r="HL394" s="29"/>
      <c r="HM394" s="29"/>
      <c r="HN394" s="29"/>
      <c r="HO394" s="29"/>
      <c r="HP394" s="29"/>
      <c r="HQ394" s="29"/>
      <c r="HR394" s="29"/>
      <c r="HS394" s="29"/>
      <c r="HT394" s="29"/>
      <c r="HU394" s="29"/>
      <c r="HV394" s="29"/>
      <c r="HW394" s="29"/>
      <c r="HX394" s="29"/>
      <c r="HY394" s="29"/>
      <c r="HZ394" s="29"/>
      <c r="IA394" s="29"/>
      <c r="IB394" s="29"/>
      <c r="IC394" s="29"/>
      <c r="ID394" s="29"/>
      <c r="IE394" s="29"/>
      <c r="IF394" s="29"/>
      <c r="IG394" s="29"/>
      <c r="IH394" s="29"/>
      <c r="II394" s="29"/>
      <c r="IJ394" s="29"/>
      <c r="IK394" s="29"/>
      <c r="IL394" s="29"/>
      <c r="IM394" s="29"/>
      <c r="IN394" s="29"/>
      <c r="IO394" s="29"/>
      <c r="IP394" s="29"/>
      <c r="IQ394" s="29"/>
      <c r="IR394" s="29"/>
      <c r="IS394" s="29"/>
      <c r="IT394" s="29"/>
      <c r="IU394" s="29"/>
      <c r="IV394" s="29"/>
      <c r="IW394" s="29"/>
      <c r="IX394" s="29"/>
      <c r="IY394" s="29"/>
      <c r="IZ394" s="29"/>
      <c r="JA394" s="29"/>
      <c r="JB394" s="29"/>
      <c r="JC394" s="29"/>
      <c r="JD394" s="29"/>
      <c r="JE394" s="29"/>
      <c r="JF394" s="29"/>
      <c r="JG394" s="29"/>
      <c r="JH394" s="29"/>
      <c r="JI394" s="29"/>
      <c r="JJ394" s="29"/>
      <c r="JK394" s="29"/>
      <c r="JL394" s="29"/>
    </row>
    <row r="395" spans="1:272" ht="39.75" customHeight="1">
      <c r="A395" s="30" t="s">
        <v>142</v>
      </c>
      <c r="B395" s="31" t="s">
        <v>87</v>
      </c>
      <c r="C395" s="30" t="s">
        <v>39</v>
      </c>
      <c r="D395" s="30" t="s">
        <v>1057</v>
      </c>
      <c r="E395" s="30" t="s">
        <v>139</v>
      </c>
      <c r="F395" s="30" t="s">
        <v>1122</v>
      </c>
      <c r="G395" s="30" t="s">
        <v>31</v>
      </c>
      <c r="H395" s="30">
        <v>561720</v>
      </c>
      <c r="I395" s="129" t="s">
        <v>546</v>
      </c>
      <c r="J395" s="30" t="s">
        <v>129</v>
      </c>
      <c r="K395" s="30" t="s">
        <v>44</v>
      </c>
      <c r="L395" s="30" t="s">
        <v>863</v>
      </c>
      <c r="M395" s="45">
        <v>4760.33</v>
      </c>
      <c r="N395" s="45">
        <v>57123.93</v>
      </c>
      <c r="O395" s="30" t="s">
        <v>149</v>
      </c>
      <c r="P395" s="30" t="s">
        <v>302</v>
      </c>
      <c r="Q395" s="129" t="s">
        <v>3419</v>
      </c>
      <c r="R395" s="30" t="s">
        <v>35</v>
      </c>
      <c r="S395" s="41">
        <v>2014</v>
      </c>
      <c r="T395" s="31" t="s">
        <v>1115</v>
      </c>
      <c r="U395" s="31" t="s">
        <v>1116</v>
      </c>
      <c r="V395" s="30" t="s">
        <v>1117</v>
      </c>
      <c r="W395" s="129" t="s">
        <v>107</v>
      </c>
      <c r="X395" s="44">
        <v>41821</v>
      </c>
      <c r="Y395" s="44">
        <v>41850</v>
      </c>
      <c r="Z395" s="44">
        <v>41851</v>
      </c>
      <c r="AA395" s="30" t="s">
        <v>908</v>
      </c>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c r="BO395" s="29"/>
      <c r="BP395" s="29"/>
      <c r="BQ395" s="29"/>
      <c r="BR395" s="29"/>
      <c r="BS395" s="29"/>
      <c r="BT395" s="29"/>
      <c r="BU395" s="29"/>
      <c r="BV395" s="29"/>
      <c r="BW395" s="29"/>
      <c r="BX395" s="29"/>
      <c r="BY395" s="29"/>
      <c r="BZ395" s="29"/>
      <c r="CA395" s="29"/>
      <c r="CB395" s="29"/>
      <c r="CC395" s="29"/>
      <c r="CD395" s="29"/>
      <c r="CE395" s="29"/>
      <c r="CF395" s="29"/>
      <c r="CG395" s="29"/>
      <c r="CH395" s="29"/>
      <c r="CI395" s="29"/>
      <c r="CJ395" s="29"/>
      <c r="CK395" s="29"/>
      <c r="CL395" s="29"/>
      <c r="CM395" s="29"/>
      <c r="CN395" s="29"/>
      <c r="CO395" s="29"/>
      <c r="CP395" s="29"/>
      <c r="CQ395" s="29"/>
      <c r="CR395" s="29"/>
      <c r="CS395" s="29"/>
      <c r="CT395" s="29"/>
      <c r="CU395" s="29"/>
      <c r="CV395" s="29"/>
      <c r="CW395" s="29"/>
      <c r="CX395" s="29"/>
      <c r="CY395" s="29"/>
      <c r="CZ395" s="29"/>
      <c r="DA395" s="29"/>
      <c r="DB395" s="29"/>
      <c r="DC395" s="29"/>
      <c r="DD395" s="29"/>
      <c r="DE395" s="29"/>
      <c r="DF395" s="29"/>
      <c r="DG395" s="29"/>
      <c r="DH395" s="29"/>
      <c r="DI395" s="29"/>
      <c r="DJ395" s="29"/>
      <c r="DK395" s="29"/>
      <c r="DL395" s="29"/>
      <c r="DM395" s="29"/>
      <c r="DN395" s="29"/>
      <c r="DO395" s="29"/>
      <c r="DP395" s="29"/>
      <c r="DQ395" s="29"/>
      <c r="DR395" s="29"/>
      <c r="DS395" s="29"/>
      <c r="DT395" s="29"/>
      <c r="DU395" s="29"/>
      <c r="DV395" s="29"/>
      <c r="DW395" s="29"/>
      <c r="DX395" s="29"/>
      <c r="DY395" s="29"/>
      <c r="DZ395" s="29"/>
      <c r="EA395" s="29"/>
      <c r="EB395" s="29"/>
      <c r="EC395" s="29"/>
      <c r="ED395" s="29"/>
      <c r="EE395" s="29"/>
      <c r="EF395" s="29"/>
      <c r="EG395" s="29"/>
      <c r="EH395" s="29"/>
      <c r="EI395" s="29"/>
      <c r="EJ395" s="29"/>
      <c r="EK395" s="29"/>
      <c r="EL395" s="29"/>
      <c r="EM395" s="29"/>
      <c r="EN395" s="29"/>
      <c r="EO395" s="29"/>
      <c r="EP395" s="29"/>
      <c r="EQ395" s="29"/>
      <c r="ER395" s="29"/>
      <c r="ES395" s="29"/>
      <c r="ET395" s="29"/>
      <c r="EU395" s="29"/>
      <c r="EV395" s="29"/>
      <c r="EW395" s="29"/>
      <c r="EX395" s="29"/>
      <c r="EY395" s="29"/>
      <c r="EZ395" s="29"/>
      <c r="FA395" s="29"/>
      <c r="FB395" s="29"/>
      <c r="FC395" s="29"/>
      <c r="FD395" s="29"/>
      <c r="FE395" s="29"/>
      <c r="FF395" s="29"/>
      <c r="FG395" s="29"/>
      <c r="FH395" s="29"/>
      <c r="FI395" s="29"/>
      <c r="FJ395" s="29"/>
      <c r="FK395" s="29"/>
      <c r="FL395" s="29"/>
      <c r="FM395" s="29"/>
      <c r="FN395" s="29"/>
      <c r="FO395" s="29"/>
      <c r="FP395" s="29"/>
      <c r="FQ395" s="29"/>
      <c r="FR395" s="29"/>
      <c r="FS395" s="29"/>
      <c r="FT395" s="29"/>
      <c r="FU395" s="29"/>
      <c r="FV395" s="29"/>
      <c r="FW395" s="29"/>
      <c r="FX395" s="29"/>
      <c r="FY395" s="29"/>
      <c r="FZ395" s="29"/>
      <c r="GA395" s="29"/>
      <c r="GB395" s="29"/>
      <c r="GC395" s="29"/>
      <c r="GD395" s="29"/>
      <c r="GE395" s="29"/>
      <c r="GF395" s="29"/>
      <c r="GG395" s="29"/>
      <c r="GH395" s="29"/>
      <c r="GI395" s="29"/>
      <c r="GJ395" s="29"/>
      <c r="GK395" s="29"/>
      <c r="GL395" s="29"/>
      <c r="GM395" s="29"/>
      <c r="GN395" s="29"/>
      <c r="GO395" s="29"/>
      <c r="GP395" s="29"/>
      <c r="GQ395" s="29"/>
      <c r="GR395" s="29"/>
      <c r="GS395" s="29"/>
      <c r="GT395" s="29"/>
      <c r="GU395" s="29"/>
      <c r="GV395" s="29"/>
      <c r="GW395" s="29"/>
      <c r="GX395" s="29"/>
      <c r="GY395" s="29"/>
      <c r="GZ395" s="29"/>
      <c r="HA395" s="29"/>
      <c r="HB395" s="29"/>
      <c r="HC395" s="29"/>
      <c r="HD395" s="29"/>
      <c r="HE395" s="29"/>
      <c r="HF395" s="29"/>
      <c r="HG395" s="29"/>
      <c r="HH395" s="29"/>
      <c r="HI395" s="29"/>
      <c r="HJ395" s="29"/>
      <c r="HK395" s="29"/>
      <c r="HL395" s="29"/>
      <c r="HM395" s="29"/>
      <c r="HN395" s="29"/>
      <c r="HO395" s="29"/>
      <c r="HP395" s="29"/>
      <c r="HQ395" s="29"/>
      <c r="HR395" s="29"/>
      <c r="HS395" s="29"/>
      <c r="HT395" s="29"/>
      <c r="HU395" s="29"/>
      <c r="HV395" s="29"/>
      <c r="HW395" s="29"/>
      <c r="HX395" s="29"/>
      <c r="HY395" s="29"/>
      <c r="HZ395" s="29"/>
      <c r="IA395" s="29"/>
      <c r="IB395" s="29"/>
      <c r="IC395" s="29"/>
      <c r="ID395" s="29"/>
      <c r="IE395" s="29"/>
      <c r="IF395" s="29"/>
      <c r="IG395" s="29"/>
      <c r="IH395" s="29"/>
      <c r="II395" s="29"/>
      <c r="IJ395" s="29"/>
      <c r="IK395" s="29"/>
      <c r="IL395" s="29"/>
      <c r="IM395" s="29"/>
      <c r="IN395" s="29"/>
      <c r="IO395" s="29"/>
      <c r="IP395" s="29"/>
      <c r="IQ395" s="29"/>
      <c r="IR395" s="29"/>
      <c r="IS395" s="29"/>
      <c r="IT395" s="29"/>
      <c r="IU395" s="29"/>
      <c r="IV395" s="29"/>
      <c r="IW395" s="29"/>
      <c r="IX395" s="29"/>
      <c r="IY395" s="29"/>
      <c r="IZ395" s="29"/>
      <c r="JA395" s="29"/>
      <c r="JB395" s="29"/>
      <c r="JC395" s="29"/>
      <c r="JD395" s="29"/>
      <c r="JE395" s="29"/>
      <c r="JF395" s="29"/>
      <c r="JG395" s="29"/>
      <c r="JH395" s="29"/>
      <c r="JI395" s="29"/>
      <c r="JJ395" s="29"/>
      <c r="JK395" s="29"/>
      <c r="JL395" s="29"/>
    </row>
    <row r="396" spans="1:272" ht="39.75" customHeight="1">
      <c r="A396" s="30" t="s">
        <v>142</v>
      </c>
      <c r="B396" s="31" t="s">
        <v>87</v>
      </c>
      <c r="C396" s="30" t="s">
        <v>39</v>
      </c>
      <c r="D396" s="30" t="s">
        <v>1057</v>
      </c>
      <c r="E396" s="30" t="s">
        <v>139</v>
      </c>
      <c r="F396" s="30" t="s">
        <v>1114</v>
      </c>
      <c r="G396" s="30" t="s">
        <v>31</v>
      </c>
      <c r="H396" s="30">
        <v>561720</v>
      </c>
      <c r="I396" s="129" t="s">
        <v>546</v>
      </c>
      <c r="J396" s="30" t="s">
        <v>129</v>
      </c>
      <c r="K396" s="30" t="s">
        <v>44</v>
      </c>
      <c r="L396" s="30" t="s">
        <v>860</v>
      </c>
      <c r="M396" s="45">
        <v>48105.7</v>
      </c>
      <c r="N396" s="45">
        <v>577268.4</v>
      </c>
      <c r="O396" s="30" t="s">
        <v>79</v>
      </c>
      <c r="P396" s="30" t="s">
        <v>302</v>
      </c>
      <c r="Q396" s="129" t="s">
        <v>3419</v>
      </c>
      <c r="R396" s="155" t="s">
        <v>80</v>
      </c>
      <c r="S396" s="41">
        <v>2014</v>
      </c>
      <c r="T396" s="31" t="s">
        <v>1115</v>
      </c>
      <c r="U396" s="31" t="s">
        <v>1116</v>
      </c>
      <c r="V396" s="30" t="s">
        <v>1117</v>
      </c>
      <c r="W396" s="129" t="s">
        <v>107</v>
      </c>
      <c r="X396" s="44">
        <v>41730</v>
      </c>
      <c r="Y396" s="44">
        <v>41760</v>
      </c>
      <c r="Z396" s="44">
        <v>41790</v>
      </c>
      <c r="AA396" s="30" t="s">
        <v>908</v>
      </c>
      <c r="AE396" s="29"/>
      <c r="AF396" s="29"/>
      <c r="AG396" s="29"/>
      <c r="AH396" s="29"/>
      <c r="AI396" s="29"/>
      <c r="AJ396" s="29"/>
      <c r="AK396" s="29"/>
      <c r="AL396" s="29"/>
      <c r="AM396" s="29"/>
      <c r="AN396" s="29"/>
      <c r="AO396" s="29"/>
      <c r="AP396" s="29"/>
      <c r="AQ396" s="29"/>
      <c r="AR396" s="29"/>
      <c r="AS396" s="29"/>
      <c r="AT396" s="29"/>
      <c r="AU396" s="29"/>
      <c r="AV396" s="29"/>
      <c r="AW396" s="29"/>
      <c r="AX396" s="29"/>
      <c r="AY396" s="29"/>
      <c r="AZ396" s="29"/>
      <c r="BA396" s="29"/>
      <c r="BB396" s="29"/>
      <c r="BC396" s="29"/>
      <c r="BD396" s="29"/>
      <c r="BE396" s="29"/>
      <c r="BF396" s="29"/>
      <c r="BG396" s="29"/>
      <c r="BH396" s="29"/>
      <c r="BI396" s="29"/>
      <c r="BJ396" s="29"/>
      <c r="BK396" s="29"/>
      <c r="BL396" s="29"/>
      <c r="BM396" s="29"/>
      <c r="BN396" s="29"/>
      <c r="BO396" s="29"/>
      <c r="BP396" s="29"/>
      <c r="BQ396" s="29"/>
      <c r="BR396" s="29"/>
      <c r="BS396" s="29"/>
      <c r="BT396" s="29"/>
      <c r="BU396" s="29"/>
      <c r="BV396" s="29"/>
      <c r="BW396" s="29"/>
      <c r="BX396" s="29"/>
      <c r="BY396" s="29"/>
      <c r="BZ396" s="29"/>
      <c r="CA396" s="29"/>
      <c r="CB396" s="29"/>
      <c r="CC396" s="29"/>
      <c r="CD396" s="29"/>
      <c r="CE396" s="29"/>
      <c r="CF396" s="29"/>
      <c r="CG396" s="29"/>
      <c r="CH396" s="29"/>
      <c r="CI396" s="29"/>
      <c r="CJ396" s="29"/>
      <c r="CK396" s="29"/>
      <c r="CL396" s="29"/>
      <c r="CM396" s="29"/>
      <c r="CN396" s="29"/>
      <c r="CO396" s="29"/>
      <c r="CP396" s="29"/>
      <c r="CQ396" s="29"/>
      <c r="CR396" s="29"/>
      <c r="CS396" s="29"/>
      <c r="CT396" s="29"/>
      <c r="CU396" s="29"/>
      <c r="CV396" s="29"/>
      <c r="CW396" s="29"/>
      <c r="CX396" s="29"/>
      <c r="CY396" s="29"/>
      <c r="CZ396" s="29"/>
      <c r="DA396" s="29"/>
      <c r="DB396" s="29"/>
      <c r="DC396" s="29"/>
      <c r="DD396" s="29"/>
      <c r="DE396" s="29"/>
      <c r="DF396" s="29"/>
      <c r="DG396" s="29"/>
      <c r="DH396" s="29"/>
      <c r="DI396" s="29"/>
      <c r="DJ396" s="29"/>
      <c r="DK396" s="29"/>
      <c r="DL396" s="29"/>
      <c r="DM396" s="29"/>
      <c r="DN396" s="29"/>
      <c r="DO396" s="29"/>
      <c r="DP396" s="29"/>
      <c r="DQ396" s="29"/>
      <c r="DR396" s="29"/>
      <c r="DS396" s="29"/>
      <c r="DT396" s="29"/>
      <c r="DU396" s="29"/>
      <c r="DV396" s="29"/>
      <c r="DW396" s="29"/>
      <c r="DX396" s="29"/>
      <c r="DY396" s="29"/>
      <c r="DZ396" s="29"/>
      <c r="EA396" s="29"/>
      <c r="EB396" s="29"/>
      <c r="EC396" s="29"/>
      <c r="ED396" s="29"/>
      <c r="EE396" s="29"/>
      <c r="EF396" s="29"/>
      <c r="EG396" s="29"/>
      <c r="EH396" s="29"/>
      <c r="EI396" s="29"/>
      <c r="EJ396" s="29"/>
      <c r="EK396" s="29"/>
      <c r="EL396" s="29"/>
      <c r="EM396" s="29"/>
      <c r="EN396" s="29"/>
      <c r="EO396" s="29"/>
      <c r="EP396" s="29"/>
      <c r="EQ396" s="29"/>
      <c r="ER396" s="29"/>
      <c r="ES396" s="29"/>
      <c r="ET396" s="29"/>
      <c r="EU396" s="29"/>
      <c r="EV396" s="29"/>
      <c r="EW396" s="29"/>
      <c r="EX396" s="29"/>
      <c r="EY396" s="29"/>
      <c r="EZ396" s="29"/>
      <c r="FA396" s="29"/>
      <c r="FB396" s="29"/>
      <c r="FC396" s="29"/>
      <c r="FD396" s="29"/>
      <c r="FE396" s="29"/>
      <c r="FF396" s="29"/>
      <c r="FG396" s="29"/>
      <c r="FH396" s="29"/>
      <c r="FI396" s="29"/>
      <c r="FJ396" s="29"/>
      <c r="FK396" s="29"/>
      <c r="FL396" s="29"/>
      <c r="FM396" s="29"/>
      <c r="FN396" s="29"/>
      <c r="FO396" s="29"/>
      <c r="FP396" s="29"/>
      <c r="FQ396" s="29"/>
      <c r="FR396" s="29"/>
      <c r="FS396" s="29"/>
      <c r="FT396" s="29"/>
      <c r="FU396" s="29"/>
      <c r="FV396" s="29"/>
      <c r="FW396" s="29"/>
      <c r="FX396" s="29"/>
      <c r="FY396" s="29"/>
      <c r="FZ396" s="29"/>
      <c r="GA396" s="29"/>
      <c r="GB396" s="29"/>
      <c r="GC396" s="29"/>
      <c r="GD396" s="29"/>
      <c r="GE396" s="29"/>
      <c r="GF396" s="29"/>
      <c r="GG396" s="29"/>
      <c r="GH396" s="29"/>
      <c r="GI396" s="29"/>
      <c r="GJ396" s="29"/>
      <c r="GK396" s="29"/>
      <c r="GL396" s="29"/>
      <c r="GM396" s="29"/>
      <c r="GN396" s="29"/>
      <c r="GO396" s="29"/>
      <c r="GP396" s="29"/>
      <c r="GQ396" s="29"/>
      <c r="GR396" s="29"/>
      <c r="GS396" s="29"/>
      <c r="GT396" s="29"/>
      <c r="GU396" s="29"/>
      <c r="GV396" s="29"/>
      <c r="GW396" s="29"/>
      <c r="GX396" s="29"/>
      <c r="GY396" s="29"/>
      <c r="GZ396" s="29"/>
      <c r="HA396" s="29"/>
      <c r="HB396" s="29"/>
      <c r="HC396" s="29"/>
      <c r="HD396" s="29"/>
      <c r="HE396" s="29"/>
      <c r="HF396" s="29"/>
      <c r="HG396" s="29"/>
      <c r="HH396" s="29"/>
      <c r="HI396" s="29"/>
      <c r="HJ396" s="29"/>
      <c r="HK396" s="29"/>
      <c r="HL396" s="29"/>
      <c r="HM396" s="29"/>
      <c r="HN396" s="29"/>
      <c r="HO396" s="29"/>
      <c r="HP396" s="29"/>
      <c r="HQ396" s="29"/>
      <c r="HR396" s="29"/>
      <c r="HS396" s="29"/>
      <c r="HT396" s="29"/>
      <c r="HU396" s="29"/>
      <c r="HV396" s="29"/>
      <c r="HW396" s="29"/>
      <c r="HX396" s="29"/>
      <c r="HY396" s="29"/>
      <c r="HZ396" s="29"/>
      <c r="IA396" s="29"/>
      <c r="IB396" s="29"/>
      <c r="IC396" s="29"/>
      <c r="ID396" s="29"/>
      <c r="IE396" s="29"/>
      <c r="IF396" s="29"/>
      <c r="IG396" s="29"/>
      <c r="IH396" s="29"/>
      <c r="II396" s="29"/>
      <c r="IJ396" s="29"/>
      <c r="IK396" s="29"/>
      <c r="IL396" s="29"/>
      <c r="IM396" s="29"/>
      <c r="IN396" s="29"/>
      <c r="IO396" s="29"/>
      <c r="IP396" s="29"/>
      <c r="IQ396" s="29"/>
      <c r="IR396" s="29"/>
      <c r="IS396" s="29"/>
      <c r="IT396" s="29"/>
      <c r="IU396" s="29"/>
      <c r="IV396" s="29"/>
      <c r="IW396" s="29"/>
      <c r="IX396" s="29"/>
      <c r="IY396" s="29"/>
      <c r="IZ396" s="29"/>
      <c r="JA396" s="29"/>
      <c r="JB396" s="29"/>
      <c r="JC396" s="29"/>
      <c r="JD396" s="29"/>
      <c r="JE396" s="29"/>
      <c r="JF396" s="29"/>
      <c r="JG396" s="29"/>
      <c r="JH396" s="29"/>
      <c r="JI396" s="29"/>
      <c r="JJ396" s="29"/>
      <c r="JK396" s="29"/>
      <c r="JL396" s="29"/>
    </row>
    <row r="397" spans="1:272" ht="39.75" customHeight="1">
      <c r="A397" s="30" t="s">
        <v>142</v>
      </c>
      <c r="B397" s="31" t="s">
        <v>87</v>
      </c>
      <c r="C397" s="30" t="s">
        <v>39</v>
      </c>
      <c r="D397" s="30" t="s">
        <v>961</v>
      </c>
      <c r="E397" s="30" t="s">
        <v>88</v>
      </c>
      <c r="F397" s="129" t="s">
        <v>1147</v>
      </c>
      <c r="G397" s="30" t="s">
        <v>50</v>
      </c>
      <c r="H397" s="30">
        <v>238220</v>
      </c>
      <c r="I397" s="30" t="s">
        <v>98</v>
      </c>
      <c r="J397" s="30" t="s">
        <v>129</v>
      </c>
      <c r="K397" s="30" t="s">
        <v>44</v>
      </c>
      <c r="L397" s="30" t="s">
        <v>860</v>
      </c>
      <c r="M397" s="45">
        <v>125260.5</v>
      </c>
      <c r="N397" s="45">
        <v>1503126</v>
      </c>
      <c r="O397" s="30" t="s">
        <v>79</v>
      </c>
      <c r="P397" s="30" t="s">
        <v>302</v>
      </c>
      <c r="Q397" s="129" t="s">
        <v>3419</v>
      </c>
      <c r="R397" s="30" t="s">
        <v>100</v>
      </c>
      <c r="S397" s="41">
        <v>2014</v>
      </c>
      <c r="T397" s="31" t="s">
        <v>1105</v>
      </c>
      <c r="U397" s="31" t="s">
        <v>1106</v>
      </c>
      <c r="V397" s="30" t="s">
        <v>1107</v>
      </c>
      <c r="W397" s="129" t="s">
        <v>107</v>
      </c>
      <c r="X397" s="44">
        <v>41760</v>
      </c>
      <c r="Y397" s="44">
        <v>41791</v>
      </c>
      <c r="Z397" s="44">
        <v>41820</v>
      </c>
      <c r="AA397" s="30" t="s">
        <v>908</v>
      </c>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c r="BO397" s="29"/>
      <c r="BP397" s="29"/>
      <c r="BQ397" s="29"/>
      <c r="BR397" s="29"/>
      <c r="BS397" s="29"/>
      <c r="BT397" s="29"/>
      <c r="BU397" s="29"/>
      <c r="BV397" s="29"/>
      <c r="BW397" s="29"/>
      <c r="BX397" s="29"/>
      <c r="BY397" s="29"/>
      <c r="BZ397" s="29"/>
      <c r="CA397" s="29"/>
      <c r="CB397" s="29"/>
      <c r="CC397" s="29"/>
      <c r="CD397" s="29"/>
      <c r="CE397" s="29"/>
      <c r="CF397" s="29"/>
      <c r="CG397" s="29"/>
      <c r="CH397" s="29"/>
      <c r="CI397" s="29"/>
      <c r="CJ397" s="29"/>
      <c r="CK397" s="29"/>
      <c r="CL397" s="29"/>
      <c r="CM397" s="29"/>
      <c r="CN397" s="29"/>
      <c r="CO397" s="29"/>
      <c r="CP397" s="29"/>
      <c r="CQ397" s="29"/>
      <c r="CR397" s="29"/>
      <c r="CS397" s="29"/>
      <c r="CT397" s="29"/>
      <c r="CU397" s="29"/>
      <c r="CV397" s="29"/>
      <c r="CW397" s="29"/>
      <c r="CX397" s="29"/>
      <c r="CY397" s="29"/>
      <c r="CZ397" s="29"/>
      <c r="DA397" s="29"/>
      <c r="DB397" s="29"/>
      <c r="DC397" s="29"/>
      <c r="DD397" s="29"/>
      <c r="DE397" s="29"/>
      <c r="DF397" s="29"/>
      <c r="DG397" s="29"/>
      <c r="DH397" s="29"/>
      <c r="DI397" s="29"/>
      <c r="DJ397" s="29"/>
      <c r="DK397" s="29"/>
      <c r="DL397" s="29"/>
      <c r="DM397" s="29"/>
      <c r="DN397" s="29"/>
      <c r="DO397" s="29"/>
      <c r="DP397" s="29"/>
      <c r="DQ397" s="29"/>
      <c r="DR397" s="29"/>
      <c r="DS397" s="29"/>
      <c r="DT397" s="29"/>
      <c r="DU397" s="29"/>
      <c r="DV397" s="29"/>
      <c r="DW397" s="29"/>
      <c r="DX397" s="29"/>
      <c r="DY397" s="29"/>
      <c r="DZ397" s="29"/>
      <c r="EA397" s="29"/>
      <c r="EB397" s="29"/>
      <c r="EC397" s="29"/>
      <c r="ED397" s="29"/>
      <c r="EE397" s="29"/>
      <c r="EF397" s="29"/>
      <c r="EG397" s="29"/>
      <c r="EH397" s="29"/>
      <c r="EI397" s="29"/>
      <c r="EJ397" s="29"/>
      <c r="EK397" s="29"/>
      <c r="EL397" s="29"/>
      <c r="EM397" s="29"/>
      <c r="EN397" s="29"/>
      <c r="EO397" s="29"/>
      <c r="EP397" s="29"/>
      <c r="EQ397" s="29"/>
      <c r="ER397" s="29"/>
      <c r="ES397" s="29"/>
      <c r="ET397" s="29"/>
      <c r="EU397" s="29"/>
      <c r="EV397" s="29"/>
      <c r="EW397" s="29"/>
      <c r="EX397" s="29"/>
      <c r="EY397" s="29"/>
      <c r="EZ397" s="29"/>
      <c r="FA397" s="29"/>
      <c r="FB397" s="29"/>
      <c r="FC397" s="29"/>
      <c r="FD397" s="29"/>
      <c r="FE397" s="29"/>
      <c r="FF397" s="29"/>
      <c r="FG397" s="29"/>
      <c r="FH397" s="29"/>
      <c r="FI397" s="29"/>
      <c r="FJ397" s="29"/>
      <c r="FK397" s="29"/>
      <c r="FL397" s="29"/>
      <c r="FM397" s="29"/>
      <c r="FN397" s="29"/>
      <c r="FO397" s="29"/>
      <c r="FP397" s="29"/>
      <c r="FQ397" s="29"/>
      <c r="FR397" s="29"/>
      <c r="FS397" s="29"/>
      <c r="FT397" s="29"/>
      <c r="FU397" s="29"/>
      <c r="FV397" s="29"/>
      <c r="FW397" s="29"/>
      <c r="FX397" s="29"/>
      <c r="FY397" s="29"/>
      <c r="FZ397" s="29"/>
      <c r="GA397" s="29"/>
      <c r="GB397" s="29"/>
      <c r="GC397" s="29"/>
      <c r="GD397" s="29"/>
      <c r="GE397" s="29"/>
      <c r="GF397" s="29"/>
      <c r="GG397" s="29"/>
      <c r="GH397" s="29"/>
      <c r="GI397" s="29"/>
      <c r="GJ397" s="29"/>
      <c r="GK397" s="29"/>
      <c r="GL397" s="29"/>
      <c r="GM397" s="29"/>
      <c r="GN397" s="29"/>
      <c r="GO397" s="29"/>
      <c r="GP397" s="29"/>
      <c r="GQ397" s="29"/>
      <c r="GR397" s="29"/>
      <c r="GS397" s="29"/>
      <c r="GT397" s="29"/>
      <c r="GU397" s="29"/>
      <c r="GV397" s="29"/>
      <c r="GW397" s="29"/>
      <c r="GX397" s="29"/>
      <c r="GY397" s="29"/>
      <c r="GZ397" s="29"/>
      <c r="HA397" s="29"/>
      <c r="HB397" s="29"/>
      <c r="HC397" s="29"/>
      <c r="HD397" s="29"/>
      <c r="HE397" s="29"/>
      <c r="HF397" s="29"/>
      <c r="HG397" s="29"/>
      <c r="HH397" s="29"/>
      <c r="HI397" s="29"/>
      <c r="HJ397" s="29"/>
      <c r="HK397" s="29"/>
      <c r="HL397" s="29"/>
      <c r="HM397" s="29"/>
      <c r="HN397" s="29"/>
      <c r="HO397" s="29"/>
      <c r="HP397" s="29"/>
      <c r="HQ397" s="29"/>
      <c r="HR397" s="29"/>
      <c r="HS397" s="29"/>
      <c r="HT397" s="29"/>
      <c r="HU397" s="29"/>
      <c r="HV397" s="29"/>
      <c r="HW397" s="29"/>
      <c r="HX397" s="29"/>
      <c r="HY397" s="29"/>
      <c r="HZ397" s="29"/>
      <c r="IA397" s="29"/>
      <c r="IB397" s="29"/>
      <c r="IC397" s="29"/>
      <c r="ID397" s="29"/>
      <c r="IE397" s="29"/>
      <c r="IF397" s="29"/>
      <c r="IG397" s="29"/>
      <c r="IH397" s="29"/>
      <c r="II397" s="29"/>
      <c r="IJ397" s="29"/>
      <c r="IK397" s="29"/>
      <c r="IL397" s="29"/>
      <c r="IM397" s="29"/>
      <c r="IN397" s="29"/>
      <c r="IO397" s="29"/>
      <c r="IP397" s="29"/>
      <c r="IQ397" s="29"/>
      <c r="IR397" s="29"/>
      <c r="IS397" s="29"/>
      <c r="IT397" s="29"/>
      <c r="IU397" s="29"/>
      <c r="IV397" s="29"/>
      <c r="IW397" s="29"/>
      <c r="IX397" s="29"/>
      <c r="IY397" s="29"/>
      <c r="IZ397" s="29"/>
      <c r="JA397" s="29"/>
      <c r="JB397" s="29"/>
      <c r="JC397" s="29"/>
      <c r="JD397" s="29"/>
      <c r="JE397" s="29"/>
      <c r="JF397" s="29"/>
      <c r="JG397" s="29"/>
      <c r="JH397" s="29"/>
      <c r="JI397" s="29"/>
      <c r="JJ397" s="29"/>
      <c r="JK397" s="29"/>
      <c r="JL397" s="29"/>
    </row>
    <row r="398" spans="1:272" ht="39.75" customHeight="1">
      <c r="A398" s="30" t="s">
        <v>142</v>
      </c>
      <c r="B398" s="31" t="s">
        <v>87</v>
      </c>
      <c r="C398" s="30" t="s">
        <v>39</v>
      </c>
      <c r="D398" s="30" t="s">
        <v>961</v>
      </c>
      <c r="E398" s="30" t="s">
        <v>88</v>
      </c>
      <c r="F398" s="129" t="s">
        <v>1147</v>
      </c>
      <c r="G398" s="30" t="s">
        <v>50</v>
      </c>
      <c r="H398" s="30">
        <v>238220</v>
      </c>
      <c r="I398" s="30" t="s">
        <v>98</v>
      </c>
      <c r="J398" s="30" t="s">
        <v>129</v>
      </c>
      <c r="K398" s="30" t="s">
        <v>44</v>
      </c>
      <c r="L398" s="30" t="s">
        <v>860</v>
      </c>
      <c r="M398" s="45">
        <v>242171.09</v>
      </c>
      <c r="N398" s="45">
        <v>2906053.08</v>
      </c>
      <c r="O398" s="30" t="s">
        <v>79</v>
      </c>
      <c r="P398" s="30" t="s">
        <v>302</v>
      </c>
      <c r="Q398" s="129" t="s">
        <v>3419</v>
      </c>
      <c r="R398" s="30" t="s">
        <v>150</v>
      </c>
      <c r="S398" s="41">
        <v>2014</v>
      </c>
      <c r="T398" s="31" t="s">
        <v>1105</v>
      </c>
      <c r="U398" s="31" t="s">
        <v>1106</v>
      </c>
      <c r="V398" s="30" t="s">
        <v>1107</v>
      </c>
      <c r="W398" s="129" t="s">
        <v>107</v>
      </c>
      <c r="X398" s="44">
        <v>41579</v>
      </c>
      <c r="Y398" s="44">
        <v>41609</v>
      </c>
      <c r="Z398" s="44">
        <v>41639</v>
      </c>
      <c r="AA398" s="30" t="s">
        <v>908</v>
      </c>
      <c r="AE398" s="29"/>
      <c r="AF398" s="29"/>
      <c r="AG398" s="29"/>
      <c r="AH398" s="29"/>
      <c r="AI398" s="29"/>
      <c r="AJ398" s="29"/>
      <c r="AK398" s="29"/>
      <c r="AL398" s="29"/>
      <c r="AM398" s="29"/>
      <c r="AN398" s="29"/>
      <c r="AO398" s="29"/>
      <c r="AP398" s="29"/>
      <c r="AQ398" s="29"/>
      <c r="AR398" s="29"/>
      <c r="AS398" s="29"/>
      <c r="AT398" s="29"/>
      <c r="AU398" s="29"/>
      <c r="AV398" s="29"/>
      <c r="AW398" s="29"/>
      <c r="AX398" s="29"/>
      <c r="AY398" s="29"/>
      <c r="AZ398" s="29"/>
      <c r="BA398" s="29"/>
      <c r="BB398" s="29"/>
      <c r="BC398" s="29"/>
      <c r="BD398" s="29"/>
      <c r="BE398" s="29"/>
      <c r="BF398" s="29"/>
      <c r="BG398" s="29"/>
      <c r="BH398" s="29"/>
      <c r="BI398" s="29"/>
      <c r="BJ398" s="29"/>
      <c r="BK398" s="29"/>
      <c r="BL398" s="29"/>
      <c r="BM398" s="29"/>
      <c r="BN398" s="29"/>
      <c r="BO398" s="29"/>
      <c r="BP398" s="29"/>
      <c r="BQ398" s="29"/>
      <c r="BR398" s="29"/>
      <c r="BS398" s="29"/>
      <c r="BT398" s="29"/>
      <c r="BU398" s="29"/>
      <c r="BV398" s="29"/>
      <c r="BW398" s="29"/>
      <c r="BX398" s="29"/>
      <c r="BY398" s="29"/>
      <c r="BZ398" s="29"/>
      <c r="CA398" s="29"/>
      <c r="CB398" s="29"/>
      <c r="CC398" s="29"/>
      <c r="CD398" s="29"/>
      <c r="CE398" s="29"/>
      <c r="CF398" s="29"/>
      <c r="CG398" s="29"/>
      <c r="CH398" s="29"/>
      <c r="CI398" s="29"/>
      <c r="CJ398" s="29"/>
      <c r="CK398" s="29"/>
      <c r="CL398" s="29"/>
      <c r="CM398" s="29"/>
      <c r="CN398" s="29"/>
      <c r="CO398" s="29"/>
      <c r="CP398" s="29"/>
      <c r="CQ398" s="29"/>
      <c r="CR398" s="29"/>
      <c r="CS398" s="29"/>
      <c r="CT398" s="29"/>
      <c r="CU398" s="29"/>
      <c r="CV398" s="29"/>
      <c r="CW398" s="29"/>
      <c r="CX398" s="29"/>
      <c r="CY398" s="29"/>
      <c r="CZ398" s="29"/>
      <c r="DA398" s="29"/>
      <c r="DB398" s="29"/>
      <c r="DC398" s="29"/>
      <c r="DD398" s="29"/>
      <c r="DE398" s="29"/>
      <c r="DF398" s="29"/>
      <c r="DG398" s="29"/>
      <c r="DH398" s="29"/>
      <c r="DI398" s="29"/>
      <c r="DJ398" s="29"/>
      <c r="DK398" s="29"/>
      <c r="DL398" s="29"/>
      <c r="DM398" s="29"/>
      <c r="DN398" s="29"/>
      <c r="DO398" s="29"/>
      <c r="DP398" s="29"/>
      <c r="DQ398" s="29"/>
      <c r="DR398" s="29"/>
      <c r="DS398" s="29"/>
      <c r="DT398" s="29"/>
      <c r="DU398" s="29"/>
      <c r="DV398" s="29"/>
      <c r="DW398" s="29"/>
      <c r="DX398" s="29"/>
      <c r="DY398" s="29"/>
      <c r="DZ398" s="29"/>
      <c r="EA398" s="29"/>
      <c r="EB398" s="29"/>
      <c r="EC398" s="29"/>
      <c r="ED398" s="29"/>
      <c r="EE398" s="29"/>
      <c r="EF398" s="29"/>
      <c r="EG398" s="29"/>
      <c r="EH398" s="29"/>
      <c r="EI398" s="29"/>
      <c r="EJ398" s="29"/>
      <c r="EK398" s="29"/>
      <c r="EL398" s="29"/>
      <c r="EM398" s="29"/>
      <c r="EN398" s="29"/>
      <c r="EO398" s="29"/>
      <c r="EP398" s="29"/>
      <c r="EQ398" s="29"/>
      <c r="ER398" s="29"/>
      <c r="ES398" s="29"/>
      <c r="ET398" s="29"/>
      <c r="EU398" s="29"/>
      <c r="EV398" s="29"/>
      <c r="EW398" s="29"/>
      <c r="EX398" s="29"/>
      <c r="EY398" s="29"/>
      <c r="EZ398" s="29"/>
      <c r="FA398" s="29"/>
      <c r="FB398" s="29"/>
      <c r="FC398" s="29"/>
      <c r="FD398" s="29"/>
      <c r="FE398" s="29"/>
      <c r="FF398" s="29"/>
      <c r="FG398" s="29"/>
      <c r="FH398" s="29"/>
      <c r="FI398" s="29"/>
      <c r="FJ398" s="29"/>
      <c r="FK398" s="29"/>
      <c r="FL398" s="29"/>
      <c r="FM398" s="29"/>
      <c r="FN398" s="29"/>
      <c r="FO398" s="29"/>
      <c r="FP398" s="29"/>
      <c r="FQ398" s="29"/>
      <c r="FR398" s="29"/>
      <c r="FS398" s="29"/>
      <c r="FT398" s="29"/>
      <c r="FU398" s="29"/>
      <c r="FV398" s="29"/>
      <c r="FW398" s="29"/>
      <c r="FX398" s="29"/>
      <c r="FY398" s="29"/>
      <c r="FZ398" s="29"/>
      <c r="GA398" s="29"/>
      <c r="GB398" s="29"/>
      <c r="GC398" s="29"/>
      <c r="GD398" s="29"/>
      <c r="GE398" s="29"/>
      <c r="GF398" s="29"/>
      <c r="GG398" s="29"/>
      <c r="GH398" s="29"/>
      <c r="GI398" s="29"/>
      <c r="GJ398" s="29"/>
      <c r="GK398" s="29"/>
      <c r="GL398" s="29"/>
      <c r="GM398" s="29"/>
      <c r="GN398" s="29"/>
      <c r="GO398" s="29"/>
      <c r="GP398" s="29"/>
      <c r="GQ398" s="29"/>
      <c r="GR398" s="29"/>
      <c r="GS398" s="29"/>
      <c r="GT398" s="29"/>
      <c r="GU398" s="29"/>
      <c r="GV398" s="29"/>
      <c r="GW398" s="29"/>
      <c r="GX398" s="29"/>
      <c r="GY398" s="29"/>
      <c r="GZ398" s="29"/>
      <c r="HA398" s="29"/>
      <c r="HB398" s="29"/>
      <c r="HC398" s="29"/>
      <c r="HD398" s="29"/>
      <c r="HE398" s="29"/>
      <c r="HF398" s="29"/>
      <c r="HG398" s="29"/>
      <c r="HH398" s="29"/>
      <c r="HI398" s="29"/>
      <c r="HJ398" s="29"/>
      <c r="HK398" s="29"/>
      <c r="HL398" s="29"/>
      <c r="HM398" s="29"/>
      <c r="HN398" s="29"/>
      <c r="HO398" s="29"/>
      <c r="HP398" s="29"/>
      <c r="HQ398" s="29"/>
      <c r="HR398" s="29"/>
      <c r="HS398" s="29"/>
      <c r="HT398" s="29"/>
      <c r="HU398" s="29"/>
      <c r="HV398" s="29"/>
      <c r="HW398" s="29"/>
      <c r="HX398" s="29"/>
      <c r="HY398" s="29"/>
      <c r="HZ398" s="29"/>
      <c r="IA398" s="29"/>
      <c r="IB398" s="29"/>
      <c r="IC398" s="29"/>
      <c r="ID398" s="29"/>
      <c r="IE398" s="29"/>
      <c r="IF398" s="29"/>
      <c r="IG398" s="29"/>
      <c r="IH398" s="29"/>
      <c r="II398" s="29"/>
      <c r="IJ398" s="29"/>
      <c r="IK398" s="29"/>
      <c r="IL398" s="29"/>
      <c r="IM398" s="29"/>
      <c r="IN398" s="29"/>
      <c r="IO398" s="29"/>
      <c r="IP398" s="29"/>
      <c r="IQ398" s="29"/>
      <c r="IR398" s="29"/>
      <c r="IS398" s="29"/>
      <c r="IT398" s="29"/>
      <c r="IU398" s="29"/>
      <c r="IV398" s="29"/>
      <c r="IW398" s="29"/>
      <c r="IX398" s="29"/>
      <c r="IY398" s="29"/>
      <c r="IZ398" s="29"/>
      <c r="JA398" s="29"/>
      <c r="JB398" s="29"/>
      <c r="JC398" s="29"/>
      <c r="JD398" s="29"/>
      <c r="JE398" s="29"/>
      <c r="JF398" s="29"/>
      <c r="JG398" s="29"/>
      <c r="JH398" s="29"/>
      <c r="JI398" s="29"/>
      <c r="JJ398" s="29"/>
      <c r="JK398" s="29"/>
      <c r="JL398" s="29"/>
    </row>
    <row r="399" spans="1:272" ht="39.75" customHeight="1">
      <c r="A399" s="30" t="s">
        <v>142</v>
      </c>
      <c r="B399" s="31" t="s">
        <v>87</v>
      </c>
      <c r="C399" s="30" t="s">
        <v>39</v>
      </c>
      <c r="D399" s="30" t="s">
        <v>961</v>
      </c>
      <c r="E399" s="30" t="s">
        <v>88</v>
      </c>
      <c r="F399" s="129" t="s">
        <v>1147</v>
      </c>
      <c r="G399" s="30" t="s">
        <v>50</v>
      </c>
      <c r="H399" s="30">
        <v>238220</v>
      </c>
      <c r="I399" s="129" t="s">
        <v>546</v>
      </c>
      <c r="J399" s="30" t="s">
        <v>129</v>
      </c>
      <c r="K399" s="30" t="s">
        <v>44</v>
      </c>
      <c r="L399" s="30" t="s">
        <v>860</v>
      </c>
      <c r="M399" s="45">
        <v>43998.23</v>
      </c>
      <c r="N399" s="45">
        <v>527978.76</v>
      </c>
      <c r="O399" s="30" t="s">
        <v>79</v>
      </c>
      <c r="P399" s="30" t="s">
        <v>302</v>
      </c>
      <c r="Q399" s="129" t="s">
        <v>3419</v>
      </c>
      <c r="R399" s="30" t="s">
        <v>100</v>
      </c>
      <c r="S399" s="41">
        <v>2014</v>
      </c>
      <c r="T399" s="31" t="s">
        <v>1105</v>
      </c>
      <c r="U399" s="31" t="s">
        <v>1106</v>
      </c>
      <c r="V399" s="30" t="s">
        <v>1107</v>
      </c>
      <c r="W399" s="129" t="s">
        <v>107</v>
      </c>
      <c r="X399" s="44">
        <v>41760</v>
      </c>
      <c r="Y399" s="44">
        <v>41791</v>
      </c>
      <c r="Z399" s="44">
        <v>41820</v>
      </c>
      <c r="AA399" s="30" t="s">
        <v>908</v>
      </c>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c r="BF399" s="29"/>
      <c r="BG399" s="29"/>
      <c r="BH399" s="29"/>
      <c r="BI399" s="29"/>
      <c r="BJ399" s="29"/>
      <c r="BK399" s="29"/>
      <c r="BL399" s="29"/>
      <c r="BM399" s="29"/>
      <c r="BN399" s="29"/>
      <c r="BO399" s="29"/>
      <c r="BP399" s="29"/>
      <c r="BQ399" s="29"/>
      <c r="BR399" s="29"/>
      <c r="BS399" s="29"/>
      <c r="BT399" s="29"/>
      <c r="BU399" s="29"/>
      <c r="BV399" s="29"/>
      <c r="BW399" s="29"/>
      <c r="BX399" s="29"/>
      <c r="BY399" s="29"/>
      <c r="BZ399" s="29"/>
      <c r="CA399" s="29"/>
      <c r="CB399" s="29"/>
      <c r="CC399" s="29"/>
      <c r="CD399" s="29"/>
      <c r="CE399" s="29"/>
      <c r="CF399" s="29"/>
      <c r="CG399" s="29"/>
      <c r="CH399" s="29"/>
      <c r="CI399" s="29"/>
      <c r="CJ399" s="29"/>
      <c r="CK399" s="29"/>
      <c r="CL399" s="29"/>
      <c r="CM399" s="29"/>
      <c r="CN399" s="29"/>
      <c r="CO399" s="29"/>
      <c r="CP399" s="29"/>
      <c r="CQ399" s="29"/>
      <c r="CR399" s="29"/>
      <c r="CS399" s="29"/>
      <c r="CT399" s="29"/>
      <c r="CU399" s="29"/>
      <c r="CV399" s="29"/>
      <c r="CW399" s="29"/>
      <c r="CX399" s="29"/>
      <c r="CY399" s="29"/>
      <c r="CZ399" s="29"/>
      <c r="DA399" s="29"/>
      <c r="DB399" s="29"/>
      <c r="DC399" s="29"/>
      <c r="DD399" s="29"/>
      <c r="DE399" s="29"/>
      <c r="DF399" s="29"/>
      <c r="DG399" s="29"/>
      <c r="DH399" s="29"/>
      <c r="DI399" s="29"/>
      <c r="DJ399" s="29"/>
      <c r="DK399" s="29"/>
      <c r="DL399" s="29"/>
      <c r="DM399" s="29"/>
      <c r="DN399" s="29"/>
      <c r="DO399" s="29"/>
      <c r="DP399" s="29"/>
      <c r="DQ399" s="29"/>
      <c r="DR399" s="29"/>
      <c r="DS399" s="29"/>
      <c r="DT399" s="29"/>
      <c r="DU399" s="29"/>
      <c r="DV399" s="29"/>
      <c r="DW399" s="29"/>
      <c r="DX399" s="29"/>
      <c r="DY399" s="29"/>
      <c r="DZ399" s="29"/>
      <c r="EA399" s="29"/>
      <c r="EB399" s="29"/>
      <c r="EC399" s="29"/>
      <c r="ED399" s="29"/>
      <c r="EE399" s="29"/>
      <c r="EF399" s="29"/>
      <c r="EG399" s="29"/>
      <c r="EH399" s="29"/>
      <c r="EI399" s="29"/>
      <c r="EJ399" s="29"/>
      <c r="EK399" s="29"/>
      <c r="EL399" s="29"/>
      <c r="EM399" s="29"/>
      <c r="EN399" s="29"/>
      <c r="EO399" s="29"/>
      <c r="EP399" s="29"/>
      <c r="EQ399" s="29"/>
      <c r="ER399" s="29"/>
      <c r="ES399" s="29"/>
      <c r="ET399" s="29"/>
      <c r="EU399" s="29"/>
      <c r="EV399" s="29"/>
      <c r="EW399" s="29"/>
      <c r="EX399" s="29"/>
      <c r="EY399" s="29"/>
      <c r="EZ399" s="29"/>
      <c r="FA399" s="29"/>
      <c r="FB399" s="29"/>
      <c r="FC399" s="29"/>
      <c r="FD399" s="29"/>
      <c r="FE399" s="29"/>
      <c r="FF399" s="29"/>
      <c r="FG399" s="29"/>
      <c r="FH399" s="29"/>
      <c r="FI399" s="29"/>
      <c r="FJ399" s="29"/>
      <c r="FK399" s="29"/>
      <c r="FL399" s="29"/>
      <c r="FM399" s="29"/>
      <c r="FN399" s="29"/>
      <c r="FO399" s="29"/>
      <c r="FP399" s="29"/>
      <c r="FQ399" s="29"/>
      <c r="FR399" s="29"/>
      <c r="FS399" s="29"/>
      <c r="FT399" s="29"/>
      <c r="FU399" s="29"/>
      <c r="FV399" s="29"/>
      <c r="FW399" s="29"/>
      <c r="FX399" s="29"/>
      <c r="FY399" s="29"/>
      <c r="FZ399" s="29"/>
      <c r="GA399" s="29"/>
      <c r="GB399" s="29"/>
      <c r="GC399" s="29"/>
      <c r="GD399" s="29"/>
      <c r="GE399" s="29"/>
      <c r="GF399" s="29"/>
      <c r="GG399" s="29"/>
      <c r="GH399" s="29"/>
      <c r="GI399" s="29"/>
      <c r="GJ399" s="29"/>
      <c r="GK399" s="29"/>
      <c r="GL399" s="29"/>
      <c r="GM399" s="29"/>
      <c r="GN399" s="29"/>
      <c r="GO399" s="29"/>
      <c r="GP399" s="29"/>
      <c r="GQ399" s="29"/>
      <c r="GR399" s="29"/>
      <c r="GS399" s="29"/>
      <c r="GT399" s="29"/>
      <c r="GU399" s="29"/>
      <c r="GV399" s="29"/>
      <c r="GW399" s="29"/>
      <c r="GX399" s="29"/>
      <c r="GY399" s="29"/>
      <c r="GZ399" s="29"/>
      <c r="HA399" s="29"/>
      <c r="HB399" s="29"/>
      <c r="HC399" s="29"/>
      <c r="HD399" s="29"/>
      <c r="HE399" s="29"/>
      <c r="HF399" s="29"/>
      <c r="HG399" s="29"/>
      <c r="HH399" s="29"/>
      <c r="HI399" s="29"/>
      <c r="HJ399" s="29"/>
      <c r="HK399" s="29"/>
      <c r="HL399" s="29"/>
      <c r="HM399" s="29"/>
      <c r="HN399" s="29"/>
      <c r="HO399" s="29"/>
      <c r="HP399" s="29"/>
      <c r="HQ399" s="29"/>
      <c r="HR399" s="29"/>
      <c r="HS399" s="29"/>
      <c r="HT399" s="29"/>
      <c r="HU399" s="29"/>
      <c r="HV399" s="29"/>
      <c r="HW399" s="29"/>
      <c r="HX399" s="29"/>
      <c r="HY399" s="29"/>
      <c r="HZ399" s="29"/>
      <c r="IA399" s="29"/>
      <c r="IB399" s="29"/>
      <c r="IC399" s="29"/>
      <c r="ID399" s="29"/>
      <c r="IE399" s="29"/>
      <c r="IF399" s="29"/>
      <c r="IG399" s="29"/>
      <c r="IH399" s="29"/>
      <c r="II399" s="29"/>
      <c r="IJ399" s="29"/>
      <c r="IK399" s="29"/>
      <c r="IL399" s="29"/>
      <c r="IM399" s="29"/>
      <c r="IN399" s="29"/>
      <c r="IO399" s="29"/>
      <c r="IP399" s="29"/>
      <c r="IQ399" s="29"/>
      <c r="IR399" s="29"/>
      <c r="IS399" s="29"/>
      <c r="IT399" s="29"/>
      <c r="IU399" s="29"/>
      <c r="IV399" s="29"/>
      <c r="IW399" s="29"/>
      <c r="IX399" s="29"/>
      <c r="IY399" s="29"/>
      <c r="IZ399" s="29"/>
      <c r="JA399" s="29"/>
      <c r="JB399" s="29"/>
      <c r="JC399" s="29"/>
      <c r="JD399" s="29"/>
      <c r="JE399" s="29"/>
      <c r="JF399" s="29"/>
      <c r="JG399" s="29"/>
      <c r="JH399" s="29"/>
      <c r="JI399" s="29"/>
      <c r="JJ399" s="29"/>
      <c r="JK399" s="29"/>
      <c r="JL399" s="29"/>
    </row>
    <row r="400" spans="1:272" ht="39.75" customHeight="1">
      <c r="A400" s="30" t="s">
        <v>142</v>
      </c>
      <c r="B400" s="31" t="s">
        <v>87</v>
      </c>
      <c r="C400" s="30" t="s">
        <v>39</v>
      </c>
      <c r="D400" s="30" t="s">
        <v>961</v>
      </c>
      <c r="E400" s="30" t="s">
        <v>88</v>
      </c>
      <c r="F400" s="30" t="s">
        <v>1121</v>
      </c>
      <c r="G400" s="30" t="s">
        <v>31</v>
      </c>
      <c r="H400" s="30">
        <v>238220</v>
      </c>
      <c r="I400" s="129" t="s">
        <v>546</v>
      </c>
      <c r="J400" s="30" t="s">
        <v>129</v>
      </c>
      <c r="K400" s="30" t="s">
        <v>44</v>
      </c>
      <c r="L400" s="30" t="s">
        <v>860</v>
      </c>
      <c r="M400" s="45">
        <v>170205.01</v>
      </c>
      <c r="N400" s="45">
        <v>2042460.12</v>
      </c>
      <c r="O400" s="30" t="s">
        <v>79</v>
      </c>
      <c r="P400" s="30" t="s">
        <v>302</v>
      </c>
      <c r="Q400" s="129" t="s">
        <v>3419</v>
      </c>
      <c r="R400" s="30" t="s">
        <v>35</v>
      </c>
      <c r="S400" s="41">
        <v>2014</v>
      </c>
      <c r="T400" s="31" t="s">
        <v>1115</v>
      </c>
      <c r="U400" s="31" t="s">
        <v>1116</v>
      </c>
      <c r="V400" s="30" t="s">
        <v>1117</v>
      </c>
      <c r="W400" s="129" t="s">
        <v>107</v>
      </c>
      <c r="X400" s="44">
        <v>41821</v>
      </c>
      <c r="Y400" s="44">
        <v>41850</v>
      </c>
      <c r="Z400" s="44">
        <v>41851</v>
      </c>
      <c r="AA400" s="30" t="s">
        <v>908</v>
      </c>
      <c r="AE400" s="29"/>
      <c r="AF400" s="29"/>
      <c r="AG400" s="29"/>
      <c r="AH400" s="29"/>
      <c r="AI400" s="29"/>
      <c r="AJ400" s="29"/>
      <c r="AK400" s="29"/>
      <c r="AL400" s="29"/>
      <c r="AM400" s="29"/>
      <c r="AN400" s="29"/>
      <c r="AO400" s="29"/>
      <c r="AP400" s="29"/>
      <c r="AQ400" s="29"/>
      <c r="AR400" s="29"/>
      <c r="AS400" s="29"/>
      <c r="AT400" s="29"/>
      <c r="AU400" s="29"/>
      <c r="AV400" s="29"/>
      <c r="AW400" s="29"/>
      <c r="AX400" s="29"/>
      <c r="AY400" s="29"/>
      <c r="AZ400" s="29"/>
      <c r="BA400" s="29"/>
      <c r="BB400" s="29"/>
      <c r="BC400" s="29"/>
      <c r="BD400" s="29"/>
      <c r="BE400" s="29"/>
      <c r="BF400" s="29"/>
      <c r="BG400" s="29"/>
      <c r="BH400" s="29"/>
      <c r="BI400" s="29"/>
      <c r="BJ400" s="29"/>
      <c r="BK400" s="29"/>
      <c r="BL400" s="29"/>
      <c r="BM400" s="29"/>
      <c r="BN400" s="29"/>
      <c r="BO400" s="29"/>
      <c r="BP400" s="29"/>
      <c r="BQ400" s="29"/>
      <c r="BR400" s="29"/>
      <c r="BS400" s="29"/>
      <c r="BT400" s="29"/>
      <c r="BU400" s="29"/>
      <c r="BV400" s="29"/>
      <c r="BW400" s="29"/>
      <c r="BX400" s="29"/>
      <c r="BY400" s="29"/>
      <c r="BZ400" s="29"/>
      <c r="CA400" s="29"/>
      <c r="CB400" s="29"/>
      <c r="CC400" s="29"/>
      <c r="CD400" s="29"/>
      <c r="CE400" s="29"/>
      <c r="CF400" s="29"/>
      <c r="CG400" s="29"/>
      <c r="CH400" s="29"/>
      <c r="CI400" s="29"/>
      <c r="CJ400" s="29"/>
      <c r="CK400" s="29"/>
      <c r="CL400" s="29"/>
      <c r="CM400" s="29"/>
      <c r="CN400" s="29"/>
      <c r="CO400" s="29"/>
      <c r="CP400" s="29"/>
      <c r="CQ400" s="29"/>
      <c r="CR400" s="29"/>
      <c r="CS400" s="29"/>
      <c r="CT400" s="29"/>
      <c r="CU400" s="29"/>
      <c r="CV400" s="29"/>
      <c r="CW400" s="29"/>
      <c r="CX400" s="29"/>
      <c r="CY400" s="29"/>
      <c r="CZ400" s="29"/>
      <c r="DA400" s="29"/>
      <c r="DB400" s="29"/>
      <c r="DC400" s="29"/>
      <c r="DD400" s="29"/>
      <c r="DE400" s="29"/>
      <c r="DF400" s="29"/>
      <c r="DG400" s="29"/>
      <c r="DH400" s="29"/>
      <c r="DI400" s="29"/>
      <c r="DJ400" s="29"/>
      <c r="DK400" s="29"/>
      <c r="DL400" s="29"/>
      <c r="DM400" s="29"/>
      <c r="DN400" s="29"/>
      <c r="DO400" s="29"/>
      <c r="DP400" s="29"/>
      <c r="DQ400" s="29"/>
      <c r="DR400" s="29"/>
      <c r="DS400" s="29"/>
      <c r="DT400" s="29"/>
      <c r="DU400" s="29"/>
      <c r="DV400" s="29"/>
      <c r="DW400" s="29"/>
      <c r="DX400" s="29"/>
      <c r="DY400" s="29"/>
      <c r="DZ400" s="29"/>
      <c r="EA400" s="29"/>
      <c r="EB400" s="29"/>
      <c r="EC400" s="29"/>
      <c r="ED400" s="29"/>
      <c r="EE400" s="29"/>
      <c r="EF400" s="29"/>
      <c r="EG400" s="29"/>
      <c r="EH400" s="29"/>
      <c r="EI400" s="29"/>
      <c r="EJ400" s="29"/>
      <c r="EK400" s="29"/>
      <c r="EL400" s="29"/>
      <c r="EM400" s="29"/>
      <c r="EN400" s="29"/>
      <c r="EO400" s="29"/>
      <c r="EP400" s="29"/>
      <c r="EQ400" s="29"/>
      <c r="ER400" s="29"/>
      <c r="ES400" s="29"/>
      <c r="ET400" s="29"/>
      <c r="EU400" s="29"/>
      <c r="EV400" s="29"/>
      <c r="EW400" s="29"/>
      <c r="EX400" s="29"/>
      <c r="EY400" s="29"/>
      <c r="EZ400" s="29"/>
      <c r="FA400" s="29"/>
      <c r="FB400" s="29"/>
      <c r="FC400" s="29"/>
      <c r="FD400" s="29"/>
      <c r="FE400" s="29"/>
      <c r="FF400" s="29"/>
      <c r="FG400" s="29"/>
      <c r="FH400" s="29"/>
      <c r="FI400" s="29"/>
      <c r="FJ400" s="29"/>
      <c r="FK400" s="29"/>
      <c r="FL400" s="29"/>
      <c r="FM400" s="29"/>
      <c r="FN400" s="29"/>
      <c r="FO400" s="29"/>
      <c r="FP400" s="29"/>
      <c r="FQ400" s="29"/>
      <c r="FR400" s="29"/>
      <c r="FS400" s="29"/>
      <c r="FT400" s="29"/>
      <c r="FU400" s="29"/>
      <c r="FV400" s="29"/>
      <c r="FW400" s="29"/>
      <c r="FX400" s="29"/>
      <c r="FY400" s="29"/>
      <c r="FZ400" s="29"/>
      <c r="GA400" s="29"/>
      <c r="GB400" s="29"/>
      <c r="GC400" s="29"/>
      <c r="GD400" s="29"/>
      <c r="GE400" s="29"/>
      <c r="GF400" s="29"/>
      <c r="GG400" s="29"/>
      <c r="GH400" s="29"/>
      <c r="GI400" s="29"/>
      <c r="GJ400" s="29"/>
      <c r="GK400" s="29"/>
      <c r="GL400" s="29"/>
      <c r="GM400" s="29"/>
      <c r="GN400" s="29"/>
      <c r="GO400" s="29"/>
      <c r="GP400" s="29"/>
      <c r="GQ400" s="29"/>
      <c r="GR400" s="29"/>
      <c r="GS400" s="29"/>
      <c r="GT400" s="29"/>
      <c r="GU400" s="29"/>
      <c r="GV400" s="29"/>
      <c r="GW400" s="29"/>
      <c r="GX400" s="29"/>
      <c r="GY400" s="29"/>
      <c r="GZ400" s="29"/>
      <c r="HA400" s="29"/>
      <c r="HB400" s="29"/>
      <c r="HC400" s="29"/>
      <c r="HD400" s="29"/>
      <c r="HE400" s="29"/>
      <c r="HF400" s="29"/>
      <c r="HG400" s="29"/>
      <c r="HH400" s="29"/>
      <c r="HI400" s="29"/>
      <c r="HJ400" s="29"/>
      <c r="HK400" s="29"/>
      <c r="HL400" s="29"/>
      <c r="HM400" s="29"/>
      <c r="HN400" s="29"/>
      <c r="HO400" s="29"/>
      <c r="HP400" s="29"/>
      <c r="HQ400" s="29"/>
      <c r="HR400" s="29"/>
      <c r="HS400" s="29"/>
      <c r="HT400" s="29"/>
      <c r="HU400" s="29"/>
      <c r="HV400" s="29"/>
      <c r="HW400" s="29"/>
      <c r="HX400" s="29"/>
      <c r="HY400" s="29"/>
      <c r="HZ400" s="29"/>
      <c r="IA400" s="29"/>
      <c r="IB400" s="29"/>
      <c r="IC400" s="29"/>
      <c r="ID400" s="29"/>
      <c r="IE400" s="29"/>
      <c r="IF400" s="29"/>
      <c r="IG400" s="29"/>
      <c r="IH400" s="29"/>
      <c r="II400" s="29"/>
      <c r="IJ400" s="29"/>
      <c r="IK400" s="29"/>
      <c r="IL400" s="29"/>
      <c r="IM400" s="29"/>
      <c r="IN400" s="29"/>
      <c r="IO400" s="29"/>
      <c r="IP400" s="29"/>
      <c r="IQ400" s="29"/>
      <c r="IR400" s="29"/>
      <c r="IS400" s="29"/>
      <c r="IT400" s="29"/>
      <c r="IU400" s="29"/>
      <c r="IV400" s="29"/>
      <c r="IW400" s="29"/>
      <c r="IX400" s="29"/>
      <c r="IY400" s="29"/>
      <c r="IZ400" s="29"/>
      <c r="JA400" s="29"/>
      <c r="JB400" s="29"/>
      <c r="JC400" s="29"/>
      <c r="JD400" s="29"/>
      <c r="JE400" s="29"/>
      <c r="JF400" s="29"/>
      <c r="JG400" s="29"/>
      <c r="JH400" s="29"/>
      <c r="JI400" s="29"/>
      <c r="JJ400" s="29"/>
      <c r="JK400" s="29"/>
      <c r="JL400" s="29"/>
    </row>
    <row r="401" spans="1:27" s="29" customFormat="1" ht="39.75" customHeight="1">
      <c r="A401" s="30" t="s">
        <v>142</v>
      </c>
      <c r="B401" s="31" t="s">
        <v>87</v>
      </c>
      <c r="C401" s="30" t="s">
        <v>39</v>
      </c>
      <c r="D401" s="30" t="s">
        <v>1123</v>
      </c>
      <c r="E401" s="30" t="s">
        <v>74</v>
      </c>
      <c r="F401" s="129" t="s">
        <v>822</v>
      </c>
      <c r="G401" s="30" t="s">
        <v>50</v>
      </c>
      <c r="H401" s="30">
        <v>531320</v>
      </c>
      <c r="I401" s="30" t="s">
        <v>98</v>
      </c>
      <c r="J401" s="30" t="s">
        <v>129</v>
      </c>
      <c r="K401" s="30" t="s">
        <v>44</v>
      </c>
      <c r="L401" s="30" t="s">
        <v>1124</v>
      </c>
      <c r="M401" s="45">
        <v>120000</v>
      </c>
      <c r="N401" s="45">
        <v>150000</v>
      </c>
      <c r="O401" s="30" t="s">
        <v>149</v>
      </c>
      <c r="P401" s="30" t="s">
        <v>302</v>
      </c>
      <c r="Q401" s="30" t="s">
        <v>294</v>
      </c>
      <c r="R401" s="30" t="s">
        <v>100</v>
      </c>
      <c r="S401" s="41">
        <v>2014</v>
      </c>
      <c r="T401" s="31" t="s">
        <v>1125</v>
      </c>
      <c r="U401" s="31" t="s">
        <v>1126</v>
      </c>
      <c r="V401" s="30" t="s">
        <v>1127</v>
      </c>
      <c r="W401" s="129" t="s">
        <v>107</v>
      </c>
      <c r="X401" s="44">
        <v>41730</v>
      </c>
      <c r="Y401" s="44">
        <v>41744</v>
      </c>
      <c r="Z401" s="44">
        <v>41986</v>
      </c>
      <c r="AA401" s="30" t="s">
        <v>1128</v>
      </c>
    </row>
    <row r="402" spans="1:27" s="29" customFormat="1" ht="39.75" customHeight="1">
      <c r="A402" s="30" t="s">
        <v>142</v>
      </c>
      <c r="B402" s="31" t="s">
        <v>87</v>
      </c>
      <c r="C402" s="30" t="s">
        <v>39</v>
      </c>
      <c r="D402" s="30" t="s">
        <v>1123</v>
      </c>
      <c r="E402" s="30" t="s">
        <v>74</v>
      </c>
      <c r="F402" s="129" t="s">
        <v>822</v>
      </c>
      <c r="G402" s="30" t="s">
        <v>50</v>
      </c>
      <c r="H402" s="30">
        <v>531320</v>
      </c>
      <c r="I402" s="30" t="s">
        <v>98</v>
      </c>
      <c r="J402" s="30" t="s">
        <v>129</v>
      </c>
      <c r="K402" s="30" t="s">
        <v>44</v>
      </c>
      <c r="L402" s="30" t="s">
        <v>1124</v>
      </c>
      <c r="M402" s="45">
        <v>60000</v>
      </c>
      <c r="N402" s="45">
        <v>90000</v>
      </c>
      <c r="O402" s="30" t="s">
        <v>149</v>
      </c>
      <c r="P402" s="30" t="s">
        <v>302</v>
      </c>
      <c r="Q402" s="30" t="s">
        <v>294</v>
      </c>
      <c r="R402" s="30" t="s">
        <v>35</v>
      </c>
      <c r="S402" s="41">
        <v>2014</v>
      </c>
      <c r="T402" s="31" t="s">
        <v>1125</v>
      </c>
      <c r="U402" s="31" t="s">
        <v>1126</v>
      </c>
      <c r="V402" s="30" t="s">
        <v>1127</v>
      </c>
      <c r="W402" s="129" t="s">
        <v>107</v>
      </c>
      <c r="X402" s="30" t="s">
        <v>345</v>
      </c>
      <c r="Y402" s="30" t="s">
        <v>345</v>
      </c>
      <c r="Z402" s="30" t="s">
        <v>345</v>
      </c>
      <c r="AA402" s="30" t="s">
        <v>1128</v>
      </c>
    </row>
    <row r="403" spans="1:27" s="29" customFormat="1" ht="39.75" customHeight="1">
      <c r="A403" s="30" t="s">
        <v>142</v>
      </c>
      <c r="B403" s="31" t="s">
        <v>87</v>
      </c>
      <c r="C403" s="30" t="s">
        <v>39</v>
      </c>
      <c r="D403" s="30" t="s">
        <v>1129</v>
      </c>
      <c r="E403" s="30" t="s">
        <v>88</v>
      </c>
      <c r="F403" s="30" t="s">
        <v>1130</v>
      </c>
      <c r="G403" s="30" t="s">
        <v>50</v>
      </c>
      <c r="H403" s="30">
        <v>561210</v>
      </c>
      <c r="I403" s="129" t="s">
        <v>546</v>
      </c>
      <c r="J403" s="30" t="s">
        <v>129</v>
      </c>
      <c r="K403" s="30" t="s">
        <v>44</v>
      </c>
      <c r="L403" s="30" t="s">
        <v>1104</v>
      </c>
      <c r="M403" s="45">
        <v>258636.37</v>
      </c>
      <c r="N403" s="45">
        <v>3103636.44</v>
      </c>
      <c r="O403" s="30" t="s">
        <v>79</v>
      </c>
      <c r="P403" s="30" t="s">
        <v>1131</v>
      </c>
      <c r="Q403" s="129" t="s">
        <v>3419</v>
      </c>
      <c r="R403" s="30" t="s">
        <v>100</v>
      </c>
      <c r="S403" s="41">
        <v>2014</v>
      </c>
      <c r="T403" s="31" t="s">
        <v>1110</v>
      </c>
      <c r="U403" s="31" t="s">
        <v>1111</v>
      </c>
      <c r="V403" s="30" t="s">
        <v>1112</v>
      </c>
      <c r="W403" s="129" t="s">
        <v>107</v>
      </c>
      <c r="X403" s="44">
        <v>41699</v>
      </c>
      <c r="Y403" s="44">
        <v>41730</v>
      </c>
      <c r="Z403" s="44">
        <v>41759</v>
      </c>
      <c r="AA403" s="30" t="s">
        <v>908</v>
      </c>
    </row>
    <row r="404" spans="1:27" s="29" customFormat="1" ht="34.5" customHeight="1">
      <c r="A404" s="30" t="s">
        <v>142</v>
      </c>
      <c r="B404" s="31" t="s">
        <v>87</v>
      </c>
      <c r="C404" s="30" t="s">
        <v>39</v>
      </c>
      <c r="D404" s="30" t="s">
        <v>961</v>
      </c>
      <c r="E404" s="30" t="s">
        <v>88</v>
      </c>
      <c r="F404" s="30" t="s">
        <v>1122</v>
      </c>
      <c r="G404" s="30" t="s">
        <v>31</v>
      </c>
      <c r="H404" s="30">
        <v>561210</v>
      </c>
      <c r="I404" s="129" t="s">
        <v>546</v>
      </c>
      <c r="J404" s="30" t="s">
        <v>129</v>
      </c>
      <c r="K404" s="30" t="s">
        <v>44</v>
      </c>
      <c r="L404" s="30" t="s">
        <v>1104</v>
      </c>
      <c r="M404" s="45">
        <v>31993.55</v>
      </c>
      <c r="N404" s="45">
        <v>383922.6</v>
      </c>
      <c r="O404" s="30" t="s">
        <v>79</v>
      </c>
      <c r="P404" s="30" t="s">
        <v>1131</v>
      </c>
      <c r="Q404" s="129" t="s">
        <v>3419</v>
      </c>
      <c r="R404" s="30" t="s">
        <v>35</v>
      </c>
      <c r="S404" s="41">
        <v>2014</v>
      </c>
      <c r="T404" s="31" t="s">
        <v>1115</v>
      </c>
      <c r="U404" s="31" t="s">
        <v>1116</v>
      </c>
      <c r="V404" s="30" t="s">
        <v>1117</v>
      </c>
      <c r="W404" s="129" t="s">
        <v>107</v>
      </c>
      <c r="X404" s="44">
        <v>41852</v>
      </c>
      <c r="Y404" s="44">
        <v>41883</v>
      </c>
      <c r="Z404" s="44">
        <v>41912</v>
      </c>
      <c r="AA404" s="30" t="s">
        <v>1132</v>
      </c>
    </row>
    <row r="405" spans="1:27" s="29" customFormat="1" ht="34.5" customHeight="1">
      <c r="A405" s="30" t="s">
        <v>142</v>
      </c>
      <c r="B405" s="31" t="s">
        <v>87</v>
      </c>
      <c r="C405" s="30" t="s">
        <v>39</v>
      </c>
      <c r="D405" s="30" t="s">
        <v>961</v>
      </c>
      <c r="E405" s="30" t="s">
        <v>88</v>
      </c>
      <c r="F405" s="129" t="s">
        <v>1147</v>
      </c>
      <c r="G405" s="30" t="s">
        <v>50</v>
      </c>
      <c r="H405" s="30">
        <v>561210</v>
      </c>
      <c r="I405" s="30" t="s">
        <v>98</v>
      </c>
      <c r="J405" s="30" t="s">
        <v>129</v>
      </c>
      <c r="K405" s="30" t="s">
        <v>44</v>
      </c>
      <c r="L405" s="30" t="s">
        <v>1104</v>
      </c>
      <c r="M405" s="45">
        <v>63971.06</v>
      </c>
      <c r="N405" s="45">
        <v>767652.72</v>
      </c>
      <c r="O405" s="30" t="s">
        <v>79</v>
      </c>
      <c r="P405" s="30" t="s">
        <v>1133</v>
      </c>
      <c r="Q405" s="129" t="s">
        <v>3419</v>
      </c>
      <c r="R405" s="155" t="s">
        <v>80</v>
      </c>
      <c r="S405" s="41">
        <v>2014</v>
      </c>
      <c r="T405" s="31" t="s">
        <v>1105</v>
      </c>
      <c r="U405" s="31" t="s">
        <v>1106</v>
      </c>
      <c r="V405" s="30" t="s">
        <v>1107</v>
      </c>
      <c r="W405" s="129" t="s">
        <v>107</v>
      </c>
      <c r="X405" s="47">
        <v>41609</v>
      </c>
      <c r="Y405" s="47">
        <v>41640</v>
      </c>
      <c r="Z405" s="47">
        <v>41669</v>
      </c>
      <c r="AA405" s="30" t="s">
        <v>908</v>
      </c>
    </row>
    <row r="406" spans="1:27" s="29" customFormat="1" ht="34.5" customHeight="1">
      <c r="A406" s="30" t="s">
        <v>142</v>
      </c>
      <c r="B406" s="31" t="s">
        <v>87</v>
      </c>
      <c r="C406" s="30" t="s">
        <v>39</v>
      </c>
      <c r="D406" s="30" t="s">
        <v>966</v>
      </c>
      <c r="E406" s="30" t="s">
        <v>161</v>
      </c>
      <c r="F406" s="30" t="s">
        <v>1134</v>
      </c>
      <c r="G406" s="30" t="s">
        <v>50</v>
      </c>
      <c r="H406" s="30">
        <v>236220</v>
      </c>
      <c r="I406" s="30" t="s">
        <v>45</v>
      </c>
      <c r="J406" s="30" t="s">
        <v>129</v>
      </c>
      <c r="K406" s="31" t="s">
        <v>91</v>
      </c>
      <c r="L406" s="30" t="s">
        <v>45</v>
      </c>
      <c r="M406" s="45">
        <v>8000000</v>
      </c>
      <c r="N406" s="45">
        <v>8000000</v>
      </c>
      <c r="O406" s="30" t="s">
        <v>79</v>
      </c>
      <c r="P406" s="30" t="s">
        <v>302</v>
      </c>
      <c r="Q406" s="30" t="s">
        <v>294</v>
      </c>
      <c r="R406" s="155" t="s">
        <v>80</v>
      </c>
      <c r="S406" s="41">
        <v>2014</v>
      </c>
      <c r="T406" s="31" t="s">
        <v>1135</v>
      </c>
      <c r="U406" s="31" t="s">
        <v>1136</v>
      </c>
      <c r="V406" s="30" t="s">
        <v>1137</v>
      </c>
      <c r="W406" s="30" t="s">
        <v>107</v>
      </c>
      <c r="X406" s="44">
        <v>41670</v>
      </c>
      <c r="Y406" s="44">
        <v>41703</v>
      </c>
      <c r="Z406" s="30" t="s">
        <v>345</v>
      </c>
      <c r="AA406" s="30"/>
    </row>
    <row r="407" spans="1:27" s="29" customFormat="1" ht="34.5" customHeight="1">
      <c r="A407" s="30" t="s">
        <v>142</v>
      </c>
      <c r="B407" s="31" t="s">
        <v>87</v>
      </c>
      <c r="C407" s="30" t="s">
        <v>29</v>
      </c>
      <c r="D407" s="30" t="s">
        <v>966</v>
      </c>
      <c r="E407" s="30" t="s">
        <v>164</v>
      </c>
      <c r="F407" s="30" t="s">
        <v>1122</v>
      </c>
      <c r="G407" s="30" t="s">
        <v>31</v>
      </c>
      <c r="H407" s="30">
        <v>236220</v>
      </c>
      <c r="I407" s="129" t="s">
        <v>546</v>
      </c>
      <c r="J407" s="30" t="s">
        <v>129</v>
      </c>
      <c r="K407" s="31" t="s">
        <v>69</v>
      </c>
      <c r="L407" s="30" t="s">
        <v>1138</v>
      </c>
      <c r="M407" s="45">
        <v>300000</v>
      </c>
      <c r="N407" s="45">
        <v>300000</v>
      </c>
      <c r="O407" s="30" t="s">
        <v>79</v>
      </c>
      <c r="P407" s="30" t="s">
        <v>302</v>
      </c>
      <c r="Q407" s="30" t="s">
        <v>294</v>
      </c>
      <c r="R407" s="30" t="s">
        <v>150</v>
      </c>
      <c r="S407" s="41">
        <v>2014</v>
      </c>
      <c r="T407" s="31" t="s">
        <v>1139</v>
      </c>
      <c r="U407" s="31" t="s">
        <v>1140</v>
      </c>
      <c r="V407" s="30" t="s">
        <v>1141</v>
      </c>
      <c r="W407" s="30" t="s">
        <v>107</v>
      </c>
      <c r="X407" s="44">
        <v>41583</v>
      </c>
      <c r="Y407" s="44">
        <v>41603</v>
      </c>
      <c r="Z407" s="44">
        <v>41760</v>
      </c>
      <c r="AA407" s="30"/>
    </row>
    <row r="408" spans="1:27" s="29" customFormat="1" ht="34.5" customHeight="1">
      <c r="A408" s="30" t="s">
        <v>142</v>
      </c>
      <c r="B408" s="31" t="s">
        <v>87</v>
      </c>
      <c r="C408" s="30" t="s">
        <v>95</v>
      </c>
      <c r="D408" s="30" t="s">
        <v>1142</v>
      </c>
      <c r="E408" s="30" t="s">
        <v>164</v>
      </c>
      <c r="F408" s="30" t="s">
        <v>1143</v>
      </c>
      <c r="G408" s="30" t="s">
        <v>189</v>
      </c>
      <c r="H408" s="30">
        <v>236220</v>
      </c>
      <c r="I408" s="129" t="s">
        <v>546</v>
      </c>
      <c r="J408" s="30" t="s">
        <v>129</v>
      </c>
      <c r="K408" s="31" t="s">
        <v>91</v>
      </c>
      <c r="L408" s="30"/>
      <c r="M408" s="45">
        <v>47000</v>
      </c>
      <c r="N408" s="45">
        <v>47000</v>
      </c>
      <c r="O408" s="30" t="s">
        <v>79</v>
      </c>
      <c r="P408" s="30" t="s">
        <v>302</v>
      </c>
      <c r="Q408" s="30" t="s">
        <v>294</v>
      </c>
      <c r="R408" s="30" t="s">
        <v>150</v>
      </c>
      <c r="S408" s="41">
        <v>2014</v>
      </c>
      <c r="T408" s="31" t="s">
        <v>1144</v>
      </c>
      <c r="U408" s="31" t="s">
        <v>1145</v>
      </c>
      <c r="V408" s="30" t="s">
        <v>1146</v>
      </c>
      <c r="W408" s="30" t="s">
        <v>107</v>
      </c>
      <c r="X408" s="44">
        <v>41578</v>
      </c>
      <c r="Y408" s="44">
        <v>41590</v>
      </c>
      <c r="Z408" s="44">
        <v>41670</v>
      </c>
      <c r="AA408" s="30"/>
    </row>
    <row r="409" spans="1:27" s="29" customFormat="1" ht="34.5" customHeight="1">
      <c r="A409" s="30" t="s">
        <v>142</v>
      </c>
      <c r="B409" s="31" t="s">
        <v>87</v>
      </c>
      <c r="C409" s="30" t="s">
        <v>29</v>
      </c>
      <c r="D409" s="30" t="s">
        <v>349</v>
      </c>
      <c r="E409" s="30" t="s">
        <v>139</v>
      </c>
      <c r="F409" s="30" t="s">
        <v>1147</v>
      </c>
      <c r="G409" s="30" t="s">
        <v>50</v>
      </c>
      <c r="H409" s="30">
        <v>561730</v>
      </c>
      <c r="I409" s="30" t="s">
        <v>98</v>
      </c>
      <c r="J409" s="30" t="s">
        <v>129</v>
      </c>
      <c r="K409" s="31" t="s">
        <v>69</v>
      </c>
      <c r="L409" s="30" t="s">
        <v>350</v>
      </c>
      <c r="M409" s="45">
        <v>30000</v>
      </c>
      <c r="N409" s="45">
        <v>30000</v>
      </c>
      <c r="O409" s="30" t="s">
        <v>79</v>
      </c>
      <c r="P409" s="30" t="s">
        <v>1148</v>
      </c>
      <c r="Q409" s="30" t="s">
        <v>294</v>
      </c>
      <c r="R409" s="30" t="s">
        <v>100</v>
      </c>
      <c r="S409" s="41">
        <v>2014</v>
      </c>
      <c r="T409" s="31" t="s">
        <v>1149</v>
      </c>
      <c r="U409" s="31" t="s">
        <v>1150</v>
      </c>
      <c r="V409" s="30" t="s">
        <v>1151</v>
      </c>
      <c r="W409" s="129" t="s">
        <v>107</v>
      </c>
      <c r="X409" s="44">
        <v>41699</v>
      </c>
      <c r="Y409" s="44">
        <v>41791</v>
      </c>
      <c r="Z409" s="44">
        <v>43251</v>
      </c>
      <c r="AA409" s="30"/>
    </row>
    <row r="410" spans="1:27" s="29" customFormat="1" ht="34.5" customHeight="1">
      <c r="A410" s="30" t="s">
        <v>142</v>
      </c>
      <c r="B410" s="31" t="s">
        <v>87</v>
      </c>
      <c r="C410" s="30" t="s">
        <v>39</v>
      </c>
      <c r="D410" s="30" t="s">
        <v>1152</v>
      </c>
      <c r="E410" s="30" t="s">
        <v>164</v>
      </c>
      <c r="F410" s="30" t="s">
        <v>1097</v>
      </c>
      <c r="G410" s="30" t="s">
        <v>50</v>
      </c>
      <c r="H410" s="30">
        <v>90000</v>
      </c>
      <c r="I410" s="30" t="s">
        <v>98</v>
      </c>
      <c r="J410" s="30" t="s">
        <v>129</v>
      </c>
      <c r="K410" s="31" t="s">
        <v>91</v>
      </c>
      <c r="L410" s="30" t="s">
        <v>91</v>
      </c>
      <c r="M410" s="45">
        <v>90000</v>
      </c>
      <c r="N410" s="45">
        <v>90000</v>
      </c>
      <c r="O410" s="30" t="s">
        <v>79</v>
      </c>
      <c r="P410" s="30"/>
      <c r="Q410" s="30" t="s">
        <v>294</v>
      </c>
      <c r="R410" s="155" t="s">
        <v>80</v>
      </c>
      <c r="S410" s="41">
        <v>2014</v>
      </c>
      <c r="T410" s="31" t="s">
        <v>1153</v>
      </c>
      <c r="U410" s="31" t="s">
        <v>1154</v>
      </c>
      <c r="V410" s="30" t="s">
        <v>1155</v>
      </c>
      <c r="W410" s="129" t="s">
        <v>107</v>
      </c>
      <c r="X410" s="44">
        <v>41671</v>
      </c>
      <c r="Y410" s="44">
        <v>41791</v>
      </c>
      <c r="Z410" s="44">
        <v>41820</v>
      </c>
      <c r="AA410" s="30"/>
    </row>
    <row r="411" spans="1:27" s="29" customFormat="1" ht="34.5" customHeight="1">
      <c r="A411" s="30" t="s">
        <v>142</v>
      </c>
      <c r="B411" s="31" t="s">
        <v>87</v>
      </c>
      <c r="C411" s="30" t="s">
        <v>39</v>
      </c>
      <c r="D411" s="30" t="s">
        <v>1156</v>
      </c>
      <c r="E411" s="30" t="s">
        <v>164</v>
      </c>
      <c r="F411" s="30" t="s">
        <v>1157</v>
      </c>
      <c r="G411" s="30" t="s">
        <v>50</v>
      </c>
      <c r="H411" s="30">
        <v>35000</v>
      </c>
      <c r="I411" s="30" t="s">
        <v>1158</v>
      </c>
      <c r="J411" s="30" t="s">
        <v>129</v>
      </c>
      <c r="K411" s="30" t="s">
        <v>148</v>
      </c>
      <c r="L411" s="30"/>
      <c r="M411" s="45">
        <v>35000</v>
      </c>
      <c r="N411" s="45">
        <v>35000</v>
      </c>
      <c r="O411" s="30" t="s">
        <v>79</v>
      </c>
      <c r="P411" s="30" t="s">
        <v>1159</v>
      </c>
      <c r="Q411" s="30" t="s">
        <v>294</v>
      </c>
      <c r="R411" s="129" t="s">
        <v>100</v>
      </c>
      <c r="S411" s="41">
        <v>2014</v>
      </c>
      <c r="T411" s="31" t="s">
        <v>1153</v>
      </c>
      <c r="U411" s="31" t="s">
        <v>1154</v>
      </c>
      <c r="V411" s="30" t="s">
        <v>1155</v>
      </c>
      <c r="W411" s="129" t="s">
        <v>107</v>
      </c>
      <c r="X411" s="44">
        <v>41760</v>
      </c>
      <c r="Y411" s="44">
        <v>41791</v>
      </c>
      <c r="Z411" s="44">
        <v>41852</v>
      </c>
      <c r="AA411" s="30"/>
    </row>
    <row r="412" spans="1:27" s="29" customFormat="1" ht="34.5" customHeight="1">
      <c r="A412" s="30" t="s">
        <v>142</v>
      </c>
      <c r="B412" s="31" t="s">
        <v>87</v>
      </c>
      <c r="C412" s="30" t="s">
        <v>29</v>
      </c>
      <c r="D412" s="30" t="s">
        <v>1160</v>
      </c>
      <c r="E412" s="30" t="s">
        <v>161</v>
      </c>
      <c r="F412" s="30" t="s">
        <v>1147</v>
      </c>
      <c r="G412" s="30" t="s">
        <v>50</v>
      </c>
      <c r="H412" s="30">
        <v>236220</v>
      </c>
      <c r="I412" s="30" t="s">
        <v>98</v>
      </c>
      <c r="J412" s="30" t="s">
        <v>90</v>
      </c>
      <c r="K412" s="30" t="s">
        <v>34</v>
      </c>
      <c r="L412" s="30" t="s">
        <v>350</v>
      </c>
      <c r="M412" s="39">
        <v>10000</v>
      </c>
      <c r="N412" s="39">
        <v>750000</v>
      </c>
      <c r="O412" s="129" t="s">
        <v>79</v>
      </c>
      <c r="P412" s="30" t="s">
        <v>1161</v>
      </c>
      <c r="Q412" s="129" t="s">
        <v>294</v>
      </c>
      <c r="R412" s="30" t="s">
        <v>150</v>
      </c>
      <c r="S412" s="41">
        <v>2014</v>
      </c>
      <c r="T412" s="31" t="s">
        <v>1149</v>
      </c>
      <c r="U412" s="31" t="s">
        <v>1150</v>
      </c>
      <c r="V412" s="49" t="s">
        <v>1151</v>
      </c>
      <c r="W412" s="129" t="s">
        <v>107</v>
      </c>
      <c r="X412" s="30" t="s">
        <v>822</v>
      </c>
      <c r="Y412" s="44">
        <v>41548</v>
      </c>
      <c r="Z412" s="44">
        <v>41912</v>
      </c>
      <c r="AA412" s="30"/>
    </row>
    <row r="413" spans="1:27" s="29" customFormat="1" ht="34.5" customHeight="1">
      <c r="A413" s="30" t="s">
        <v>142</v>
      </c>
      <c r="B413" s="31" t="s">
        <v>87</v>
      </c>
      <c r="C413" s="30" t="s">
        <v>39</v>
      </c>
      <c r="D413" s="30" t="s">
        <v>1160</v>
      </c>
      <c r="E413" s="30" t="s">
        <v>161</v>
      </c>
      <c r="F413" s="30" t="s">
        <v>1147</v>
      </c>
      <c r="G413" s="30" t="s">
        <v>50</v>
      </c>
      <c r="H413" s="30">
        <v>236220</v>
      </c>
      <c r="I413" s="30" t="s">
        <v>98</v>
      </c>
      <c r="J413" s="30" t="s">
        <v>90</v>
      </c>
      <c r="K413" s="30" t="s">
        <v>34</v>
      </c>
      <c r="L413" s="30" t="s">
        <v>350</v>
      </c>
      <c r="M413" s="39">
        <v>10000</v>
      </c>
      <c r="N413" s="39">
        <v>750000</v>
      </c>
      <c r="O413" s="129" t="s">
        <v>79</v>
      </c>
      <c r="P413" s="30" t="s">
        <v>1161</v>
      </c>
      <c r="Q413" s="129" t="s">
        <v>294</v>
      </c>
      <c r="R413" s="30" t="s">
        <v>150</v>
      </c>
      <c r="S413" s="41">
        <v>2015</v>
      </c>
      <c r="T413" s="31" t="s">
        <v>1149</v>
      </c>
      <c r="U413" s="31" t="s">
        <v>1150</v>
      </c>
      <c r="V413" s="49" t="s">
        <v>1151</v>
      </c>
      <c r="W413" s="129" t="s">
        <v>107</v>
      </c>
      <c r="X413" s="30" t="s">
        <v>822</v>
      </c>
      <c r="Y413" s="44">
        <v>41913</v>
      </c>
      <c r="Z413" s="44">
        <v>42277</v>
      </c>
      <c r="AA413" s="30"/>
    </row>
    <row r="414" spans="1:27" s="29" customFormat="1" ht="34.5" customHeight="1">
      <c r="A414" s="30" t="s">
        <v>142</v>
      </c>
      <c r="B414" s="31" t="s">
        <v>87</v>
      </c>
      <c r="C414" s="30" t="s">
        <v>39</v>
      </c>
      <c r="D414" s="30" t="s">
        <v>1162</v>
      </c>
      <c r="E414" s="30" t="s">
        <v>164</v>
      </c>
      <c r="F414" s="30" t="s">
        <v>1143</v>
      </c>
      <c r="G414" s="30" t="s">
        <v>189</v>
      </c>
      <c r="H414" s="30">
        <v>238210</v>
      </c>
      <c r="I414" s="30" t="s">
        <v>45</v>
      </c>
      <c r="J414" s="30" t="s">
        <v>129</v>
      </c>
      <c r="K414" s="31" t="s">
        <v>91</v>
      </c>
      <c r="L414" s="30" t="s">
        <v>91</v>
      </c>
      <c r="M414" s="39">
        <v>500000</v>
      </c>
      <c r="N414" s="39">
        <v>775000</v>
      </c>
      <c r="O414" s="30" t="s">
        <v>79</v>
      </c>
      <c r="P414" s="30" t="s">
        <v>302</v>
      </c>
      <c r="Q414" s="30" t="s">
        <v>294</v>
      </c>
      <c r="R414" s="30" t="s">
        <v>100</v>
      </c>
      <c r="S414" s="41">
        <v>2014</v>
      </c>
      <c r="T414" s="31" t="s">
        <v>1163</v>
      </c>
      <c r="U414" s="31" t="s">
        <v>1164</v>
      </c>
      <c r="V414" s="49" t="s">
        <v>1165</v>
      </c>
      <c r="W414" s="30" t="s">
        <v>107</v>
      </c>
      <c r="X414" s="30" t="s">
        <v>345</v>
      </c>
      <c r="Y414" s="30" t="s">
        <v>345</v>
      </c>
      <c r="Z414" s="30" t="s">
        <v>345</v>
      </c>
      <c r="AA414" s="30"/>
    </row>
    <row r="415" spans="1:27" s="29" customFormat="1" ht="34.5" customHeight="1">
      <c r="A415" s="30" t="s">
        <v>142</v>
      </c>
      <c r="B415" s="31" t="s">
        <v>87</v>
      </c>
      <c r="C415" s="30" t="s">
        <v>39</v>
      </c>
      <c r="D415" s="30" t="s">
        <v>1166</v>
      </c>
      <c r="E415" s="30" t="s">
        <v>164</v>
      </c>
      <c r="F415" s="30" t="s">
        <v>1143</v>
      </c>
      <c r="G415" s="30" t="s">
        <v>189</v>
      </c>
      <c r="H415" s="30">
        <v>236210</v>
      </c>
      <c r="I415" s="30" t="s">
        <v>45</v>
      </c>
      <c r="J415" s="30" t="s">
        <v>129</v>
      </c>
      <c r="K415" s="31" t="s">
        <v>91</v>
      </c>
      <c r="L415" s="30" t="s">
        <v>91</v>
      </c>
      <c r="M415" s="39">
        <v>125000</v>
      </c>
      <c r="N415" s="39">
        <v>225000</v>
      </c>
      <c r="O415" s="30" t="s">
        <v>79</v>
      </c>
      <c r="P415" s="30" t="s">
        <v>302</v>
      </c>
      <c r="Q415" s="30" t="s">
        <v>294</v>
      </c>
      <c r="R415" s="30" t="s">
        <v>100</v>
      </c>
      <c r="S415" s="41">
        <v>2014</v>
      </c>
      <c r="T415" s="31" t="s">
        <v>1163</v>
      </c>
      <c r="U415" s="31" t="s">
        <v>1164</v>
      </c>
      <c r="V415" s="49" t="s">
        <v>1165</v>
      </c>
      <c r="W415" s="30" t="s">
        <v>107</v>
      </c>
      <c r="X415" s="30" t="s">
        <v>345</v>
      </c>
      <c r="Y415" s="30" t="s">
        <v>345</v>
      </c>
      <c r="Z415" s="30" t="s">
        <v>345</v>
      </c>
      <c r="AA415" s="30"/>
    </row>
    <row r="416" spans="1:27" s="29" customFormat="1" ht="34.5" customHeight="1">
      <c r="A416" s="30" t="s">
        <v>142</v>
      </c>
      <c r="B416" s="31" t="s">
        <v>87</v>
      </c>
      <c r="C416" s="30" t="s">
        <v>39</v>
      </c>
      <c r="D416" s="30" t="s">
        <v>1167</v>
      </c>
      <c r="E416" s="30" t="s">
        <v>164</v>
      </c>
      <c r="F416" s="30" t="s">
        <v>1168</v>
      </c>
      <c r="G416" s="30" t="s">
        <v>50</v>
      </c>
      <c r="H416" s="30">
        <v>236210</v>
      </c>
      <c r="I416" s="30" t="s">
        <v>45</v>
      </c>
      <c r="J416" s="30" t="s">
        <v>129</v>
      </c>
      <c r="K416" s="31" t="s">
        <v>91</v>
      </c>
      <c r="L416" s="30" t="s">
        <v>91</v>
      </c>
      <c r="M416" s="39">
        <v>1500000</v>
      </c>
      <c r="N416" s="39">
        <v>2000000</v>
      </c>
      <c r="O416" s="30" t="s">
        <v>79</v>
      </c>
      <c r="P416" s="30" t="s">
        <v>302</v>
      </c>
      <c r="Q416" s="30" t="s">
        <v>294</v>
      </c>
      <c r="R416" s="30" t="s">
        <v>100</v>
      </c>
      <c r="S416" s="41">
        <v>2014</v>
      </c>
      <c r="T416" s="31" t="s">
        <v>1169</v>
      </c>
      <c r="U416" s="31" t="s">
        <v>1170</v>
      </c>
      <c r="V416" s="49" t="s">
        <v>1171</v>
      </c>
      <c r="W416" s="30" t="s">
        <v>107</v>
      </c>
      <c r="X416" s="30" t="s">
        <v>345</v>
      </c>
      <c r="Y416" s="30" t="s">
        <v>345</v>
      </c>
      <c r="Z416" s="30" t="s">
        <v>345</v>
      </c>
      <c r="AA416" s="30"/>
    </row>
    <row r="417" spans="1:272" ht="34.5" customHeight="1">
      <c r="A417" s="30" t="s">
        <v>142</v>
      </c>
      <c r="B417" s="31" t="s">
        <v>87</v>
      </c>
      <c r="C417" s="30" t="s">
        <v>39</v>
      </c>
      <c r="D417" s="30" t="s">
        <v>1172</v>
      </c>
      <c r="E417" s="30" t="s">
        <v>164</v>
      </c>
      <c r="F417" s="30" t="s">
        <v>1173</v>
      </c>
      <c r="G417" s="30" t="s">
        <v>50</v>
      </c>
      <c r="H417" s="30">
        <v>561210</v>
      </c>
      <c r="I417" s="30" t="s">
        <v>1158</v>
      </c>
      <c r="J417" s="30" t="s">
        <v>129</v>
      </c>
      <c r="K417" s="30" t="s">
        <v>78</v>
      </c>
      <c r="L417" s="30" t="s">
        <v>78</v>
      </c>
      <c r="M417" s="39">
        <v>50000</v>
      </c>
      <c r="N417" s="39">
        <v>80000</v>
      </c>
      <c r="O417" s="30" t="s">
        <v>79</v>
      </c>
      <c r="P417" s="30" t="s">
        <v>302</v>
      </c>
      <c r="Q417" s="30" t="s">
        <v>294</v>
      </c>
      <c r="R417" s="155" t="s">
        <v>80</v>
      </c>
      <c r="S417" s="41">
        <v>2014</v>
      </c>
      <c r="T417" s="31" t="s">
        <v>1174</v>
      </c>
      <c r="U417" s="31" t="s">
        <v>1175</v>
      </c>
      <c r="V417" s="30" t="s">
        <v>1176</v>
      </c>
      <c r="W417" s="129" t="s">
        <v>107</v>
      </c>
      <c r="X417" s="30" t="s">
        <v>345</v>
      </c>
      <c r="Y417" s="30" t="s">
        <v>345</v>
      </c>
      <c r="Z417" s="30" t="s">
        <v>345</v>
      </c>
      <c r="AA417" s="30"/>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c r="BG417" s="29"/>
      <c r="BH417" s="29"/>
      <c r="BI417" s="29"/>
      <c r="BJ417" s="29"/>
      <c r="BK417" s="29"/>
      <c r="BL417" s="29"/>
      <c r="BM417" s="29"/>
      <c r="BN417" s="29"/>
      <c r="BO417" s="29"/>
      <c r="BP417" s="29"/>
      <c r="BQ417" s="29"/>
      <c r="BR417" s="29"/>
      <c r="BS417" s="29"/>
      <c r="BT417" s="29"/>
      <c r="BU417" s="29"/>
      <c r="BV417" s="29"/>
      <c r="BW417" s="29"/>
      <c r="BX417" s="29"/>
      <c r="BY417" s="29"/>
      <c r="BZ417" s="29"/>
      <c r="CA417" s="29"/>
      <c r="CB417" s="29"/>
      <c r="CC417" s="29"/>
      <c r="CD417" s="29"/>
      <c r="CE417" s="29"/>
      <c r="CF417" s="29"/>
      <c r="CG417" s="29"/>
      <c r="CH417" s="29"/>
      <c r="CI417" s="29"/>
      <c r="CJ417" s="29"/>
      <c r="CK417" s="29"/>
      <c r="CL417" s="29"/>
      <c r="CM417" s="29"/>
      <c r="CN417" s="29"/>
      <c r="CO417" s="29"/>
      <c r="CP417" s="29"/>
      <c r="CQ417" s="29"/>
      <c r="CR417" s="29"/>
      <c r="CS417" s="29"/>
      <c r="CT417" s="29"/>
      <c r="CU417" s="29"/>
      <c r="CV417" s="29"/>
      <c r="CW417" s="29"/>
      <c r="CX417" s="29"/>
      <c r="CY417" s="29"/>
      <c r="CZ417" s="29"/>
      <c r="DA417" s="29"/>
      <c r="DB417" s="29"/>
      <c r="DC417" s="29"/>
      <c r="DD417" s="29"/>
      <c r="DE417" s="29"/>
      <c r="DF417" s="29"/>
      <c r="DG417" s="29"/>
      <c r="DH417" s="29"/>
      <c r="DI417" s="29"/>
      <c r="DJ417" s="29"/>
      <c r="DK417" s="29"/>
      <c r="DL417" s="29"/>
      <c r="DM417" s="29"/>
      <c r="DN417" s="29"/>
      <c r="DO417" s="29"/>
      <c r="DP417" s="29"/>
      <c r="DQ417" s="29"/>
      <c r="DR417" s="29"/>
      <c r="DS417" s="29"/>
      <c r="DT417" s="29"/>
      <c r="DU417" s="29"/>
      <c r="DV417" s="29"/>
      <c r="DW417" s="29"/>
      <c r="DX417" s="29"/>
      <c r="DY417" s="29"/>
      <c r="DZ417" s="29"/>
      <c r="EA417" s="29"/>
      <c r="EB417" s="29"/>
      <c r="EC417" s="29"/>
      <c r="ED417" s="29"/>
      <c r="EE417" s="29"/>
      <c r="EF417" s="29"/>
      <c r="EG417" s="29"/>
      <c r="EH417" s="29"/>
      <c r="EI417" s="29"/>
      <c r="EJ417" s="29"/>
      <c r="EK417" s="29"/>
      <c r="EL417" s="29"/>
      <c r="EM417" s="29"/>
      <c r="EN417" s="29"/>
      <c r="EO417" s="29"/>
      <c r="EP417" s="29"/>
      <c r="EQ417" s="29"/>
      <c r="ER417" s="29"/>
      <c r="ES417" s="29"/>
      <c r="ET417" s="29"/>
      <c r="EU417" s="29"/>
      <c r="EV417" s="29"/>
      <c r="EW417" s="29"/>
      <c r="EX417" s="29"/>
      <c r="EY417" s="29"/>
      <c r="EZ417" s="29"/>
      <c r="FA417" s="29"/>
      <c r="FB417" s="29"/>
      <c r="FC417" s="29"/>
      <c r="FD417" s="29"/>
      <c r="FE417" s="29"/>
      <c r="FF417" s="29"/>
      <c r="FG417" s="29"/>
      <c r="FH417" s="29"/>
      <c r="FI417" s="29"/>
      <c r="FJ417" s="29"/>
      <c r="FK417" s="29"/>
      <c r="FL417" s="29"/>
      <c r="FM417" s="29"/>
      <c r="FN417" s="29"/>
      <c r="FO417" s="29"/>
      <c r="FP417" s="29"/>
      <c r="FQ417" s="29"/>
      <c r="FR417" s="29"/>
      <c r="FS417" s="29"/>
      <c r="FT417" s="29"/>
      <c r="FU417" s="29"/>
      <c r="FV417" s="29"/>
      <c r="FW417" s="29"/>
      <c r="FX417" s="29"/>
      <c r="FY417" s="29"/>
      <c r="FZ417" s="29"/>
      <c r="GA417" s="29"/>
      <c r="GB417" s="29"/>
      <c r="GC417" s="29"/>
      <c r="GD417" s="29"/>
      <c r="GE417" s="29"/>
      <c r="GF417" s="29"/>
      <c r="GG417" s="29"/>
      <c r="GH417" s="29"/>
      <c r="GI417" s="29"/>
      <c r="GJ417" s="29"/>
      <c r="GK417" s="29"/>
      <c r="GL417" s="29"/>
      <c r="GM417" s="29"/>
      <c r="GN417" s="29"/>
      <c r="GO417" s="29"/>
      <c r="GP417" s="29"/>
      <c r="GQ417" s="29"/>
      <c r="GR417" s="29"/>
      <c r="GS417" s="29"/>
      <c r="GT417" s="29"/>
      <c r="GU417" s="29"/>
      <c r="GV417" s="29"/>
      <c r="GW417" s="29"/>
      <c r="GX417" s="29"/>
      <c r="GY417" s="29"/>
      <c r="GZ417" s="29"/>
      <c r="HA417" s="29"/>
      <c r="HB417" s="29"/>
      <c r="HC417" s="29"/>
      <c r="HD417" s="29"/>
      <c r="HE417" s="29"/>
      <c r="HF417" s="29"/>
      <c r="HG417" s="29"/>
      <c r="HH417" s="29"/>
      <c r="HI417" s="29"/>
      <c r="HJ417" s="29"/>
      <c r="HK417" s="29"/>
      <c r="HL417" s="29"/>
      <c r="HM417" s="29"/>
      <c r="HN417" s="29"/>
      <c r="HO417" s="29"/>
      <c r="HP417" s="29"/>
      <c r="HQ417" s="29"/>
      <c r="HR417" s="29"/>
      <c r="HS417" s="29"/>
      <c r="HT417" s="29"/>
      <c r="HU417" s="29"/>
      <c r="HV417" s="29"/>
      <c r="HW417" s="29"/>
      <c r="HX417" s="29"/>
      <c r="HY417" s="29"/>
      <c r="HZ417" s="29"/>
      <c r="IA417" s="29"/>
      <c r="IB417" s="29"/>
      <c r="IC417" s="29"/>
      <c r="ID417" s="29"/>
      <c r="IE417" s="29"/>
      <c r="IF417" s="29"/>
      <c r="IG417" s="29"/>
      <c r="IH417" s="29"/>
      <c r="II417" s="29"/>
      <c r="IJ417" s="29"/>
      <c r="IK417" s="29"/>
      <c r="IL417" s="29"/>
      <c r="IM417" s="29"/>
      <c r="IN417" s="29"/>
      <c r="IO417" s="29"/>
      <c r="IP417" s="29"/>
      <c r="IQ417" s="29"/>
      <c r="IR417" s="29"/>
      <c r="IS417" s="29"/>
      <c r="IT417" s="29"/>
      <c r="IU417" s="29"/>
      <c r="IV417" s="29"/>
      <c r="IW417" s="29"/>
      <c r="IX417" s="29"/>
      <c r="IY417" s="29"/>
      <c r="IZ417" s="29"/>
      <c r="JA417" s="29"/>
      <c r="JB417" s="29"/>
      <c r="JC417" s="29"/>
      <c r="JD417" s="29"/>
      <c r="JE417" s="29"/>
      <c r="JF417" s="29"/>
      <c r="JG417" s="29"/>
      <c r="JH417" s="29"/>
      <c r="JI417" s="29"/>
      <c r="JJ417" s="29"/>
      <c r="JK417" s="29"/>
      <c r="JL417" s="29"/>
    </row>
    <row r="418" spans="1:272" ht="34.5" customHeight="1">
      <c r="A418" s="30" t="s">
        <v>142</v>
      </c>
      <c r="B418" s="31" t="s">
        <v>87</v>
      </c>
      <c r="C418" s="30" t="s">
        <v>39</v>
      </c>
      <c r="D418" s="30" t="s">
        <v>1177</v>
      </c>
      <c r="E418" s="30" t="s">
        <v>164</v>
      </c>
      <c r="F418" s="30" t="s">
        <v>1173</v>
      </c>
      <c r="G418" s="30" t="s">
        <v>50</v>
      </c>
      <c r="H418" s="30">
        <v>561210</v>
      </c>
      <c r="I418" s="30" t="s">
        <v>1158</v>
      </c>
      <c r="J418" s="30" t="s">
        <v>129</v>
      </c>
      <c r="K418" s="30" t="s">
        <v>78</v>
      </c>
      <c r="L418" s="30" t="s">
        <v>78</v>
      </c>
      <c r="M418" s="39">
        <v>65000</v>
      </c>
      <c r="N418" s="39">
        <v>100000</v>
      </c>
      <c r="O418" s="30" t="s">
        <v>79</v>
      </c>
      <c r="P418" s="30" t="s">
        <v>302</v>
      </c>
      <c r="Q418" s="30" t="s">
        <v>294</v>
      </c>
      <c r="R418" s="155" t="s">
        <v>80</v>
      </c>
      <c r="S418" s="41">
        <v>2014</v>
      </c>
      <c r="T418" s="31" t="s">
        <v>1174</v>
      </c>
      <c r="U418" s="31" t="s">
        <v>1175</v>
      </c>
      <c r="V418" s="30" t="s">
        <v>1176</v>
      </c>
      <c r="W418" s="129" t="s">
        <v>107</v>
      </c>
      <c r="X418" s="30" t="s">
        <v>345</v>
      </c>
      <c r="Y418" s="30" t="s">
        <v>345</v>
      </c>
      <c r="Z418" s="30" t="s">
        <v>345</v>
      </c>
      <c r="AA418" s="30"/>
      <c r="AE418" s="29"/>
      <c r="AF418" s="29"/>
      <c r="AG418" s="29"/>
      <c r="AH418" s="29"/>
      <c r="AI418" s="29"/>
      <c r="AJ418" s="29"/>
      <c r="AK418" s="29"/>
      <c r="AL418" s="29"/>
      <c r="AM418" s="29"/>
      <c r="AN418" s="29"/>
      <c r="AO418" s="29"/>
      <c r="AP418" s="29"/>
      <c r="AQ418" s="29"/>
      <c r="AR418" s="29"/>
      <c r="AS418" s="29"/>
      <c r="AT418" s="29"/>
      <c r="AU418" s="29"/>
      <c r="AV418" s="29"/>
      <c r="AW418" s="29"/>
      <c r="AX418" s="29"/>
      <c r="AY418" s="29"/>
      <c r="AZ418" s="29"/>
      <c r="BA418" s="29"/>
      <c r="BB418" s="29"/>
      <c r="BC418" s="29"/>
      <c r="BD418" s="29"/>
      <c r="BE418" s="29"/>
      <c r="BF418" s="29"/>
      <c r="BG418" s="29"/>
      <c r="BH418" s="29"/>
      <c r="BI418" s="29"/>
      <c r="BJ418" s="29"/>
      <c r="BK418" s="29"/>
      <c r="BL418" s="29"/>
      <c r="BM418" s="29"/>
      <c r="BN418" s="29"/>
      <c r="BO418" s="29"/>
      <c r="BP418" s="29"/>
      <c r="BQ418" s="29"/>
      <c r="BR418" s="29"/>
      <c r="BS418" s="29"/>
      <c r="BT418" s="29"/>
      <c r="BU418" s="29"/>
      <c r="BV418" s="29"/>
      <c r="BW418" s="29"/>
      <c r="BX418" s="29"/>
      <c r="BY418" s="29"/>
      <c r="BZ418" s="29"/>
      <c r="CA418" s="29"/>
      <c r="CB418" s="29"/>
      <c r="CC418" s="29"/>
      <c r="CD418" s="29"/>
      <c r="CE418" s="29"/>
      <c r="CF418" s="29"/>
      <c r="CG418" s="29"/>
      <c r="CH418" s="29"/>
      <c r="CI418" s="29"/>
      <c r="CJ418" s="29"/>
      <c r="CK418" s="29"/>
      <c r="CL418" s="29"/>
      <c r="CM418" s="29"/>
      <c r="CN418" s="29"/>
      <c r="CO418" s="29"/>
      <c r="CP418" s="29"/>
      <c r="CQ418" s="29"/>
      <c r="CR418" s="29"/>
      <c r="CS418" s="29"/>
      <c r="CT418" s="29"/>
      <c r="CU418" s="29"/>
      <c r="CV418" s="29"/>
      <c r="CW418" s="29"/>
      <c r="CX418" s="29"/>
      <c r="CY418" s="29"/>
      <c r="CZ418" s="29"/>
      <c r="DA418" s="29"/>
      <c r="DB418" s="29"/>
      <c r="DC418" s="29"/>
      <c r="DD418" s="29"/>
      <c r="DE418" s="29"/>
      <c r="DF418" s="29"/>
      <c r="DG418" s="29"/>
      <c r="DH418" s="29"/>
      <c r="DI418" s="29"/>
      <c r="DJ418" s="29"/>
      <c r="DK418" s="29"/>
      <c r="DL418" s="29"/>
      <c r="DM418" s="29"/>
      <c r="DN418" s="29"/>
      <c r="DO418" s="29"/>
      <c r="DP418" s="29"/>
      <c r="DQ418" s="29"/>
      <c r="DR418" s="29"/>
      <c r="DS418" s="29"/>
      <c r="DT418" s="29"/>
      <c r="DU418" s="29"/>
      <c r="DV418" s="29"/>
      <c r="DW418" s="29"/>
      <c r="DX418" s="29"/>
      <c r="DY418" s="29"/>
      <c r="DZ418" s="29"/>
      <c r="EA418" s="29"/>
      <c r="EB418" s="29"/>
      <c r="EC418" s="29"/>
      <c r="ED418" s="29"/>
      <c r="EE418" s="29"/>
      <c r="EF418" s="29"/>
      <c r="EG418" s="29"/>
      <c r="EH418" s="29"/>
      <c r="EI418" s="29"/>
      <c r="EJ418" s="29"/>
      <c r="EK418" s="29"/>
      <c r="EL418" s="29"/>
      <c r="EM418" s="29"/>
      <c r="EN418" s="29"/>
      <c r="EO418" s="29"/>
      <c r="EP418" s="29"/>
      <c r="EQ418" s="29"/>
      <c r="ER418" s="29"/>
      <c r="ES418" s="29"/>
      <c r="ET418" s="29"/>
      <c r="EU418" s="29"/>
      <c r="EV418" s="29"/>
      <c r="EW418" s="29"/>
      <c r="EX418" s="29"/>
      <c r="EY418" s="29"/>
      <c r="EZ418" s="29"/>
      <c r="FA418" s="29"/>
      <c r="FB418" s="29"/>
      <c r="FC418" s="29"/>
      <c r="FD418" s="29"/>
      <c r="FE418" s="29"/>
      <c r="FF418" s="29"/>
      <c r="FG418" s="29"/>
      <c r="FH418" s="29"/>
      <c r="FI418" s="29"/>
      <c r="FJ418" s="29"/>
      <c r="FK418" s="29"/>
      <c r="FL418" s="29"/>
      <c r="FM418" s="29"/>
      <c r="FN418" s="29"/>
      <c r="FO418" s="29"/>
      <c r="FP418" s="29"/>
      <c r="FQ418" s="29"/>
      <c r="FR418" s="29"/>
      <c r="FS418" s="29"/>
      <c r="FT418" s="29"/>
      <c r="FU418" s="29"/>
      <c r="FV418" s="29"/>
      <c r="FW418" s="29"/>
      <c r="FX418" s="29"/>
      <c r="FY418" s="29"/>
      <c r="FZ418" s="29"/>
      <c r="GA418" s="29"/>
      <c r="GB418" s="29"/>
      <c r="GC418" s="29"/>
      <c r="GD418" s="29"/>
      <c r="GE418" s="29"/>
      <c r="GF418" s="29"/>
      <c r="GG418" s="29"/>
      <c r="GH418" s="29"/>
      <c r="GI418" s="29"/>
      <c r="GJ418" s="29"/>
      <c r="GK418" s="29"/>
      <c r="GL418" s="29"/>
      <c r="GM418" s="29"/>
      <c r="GN418" s="29"/>
      <c r="GO418" s="29"/>
      <c r="GP418" s="29"/>
      <c r="GQ418" s="29"/>
      <c r="GR418" s="29"/>
      <c r="GS418" s="29"/>
      <c r="GT418" s="29"/>
      <c r="GU418" s="29"/>
      <c r="GV418" s="29"/>
      <c r="GW418" s="29"/>
      <c r="GX418" s="29"/>
      <c r="GY418" s="29"/>
      <c r="GZ418" s="29"/>
      <c r="HA418" s="29"/>
      <c r="HB418" s="29"/>
      <c r="HC418" s="29"/>
      <c r="HD418" s="29"/>
      <c r="HE418" s="29"/>
      <c r="HF418" s="29"/>
      <c r="HG418" s="29"/>
      <c r="HH418" s="29"/>
      <c r="HI418" s="29"/>
      <c r="HJ418" s="29"/>
      <c r="HK418" s="29"/>
      <c r="HL418" s="29"/>
      <c r="HM418" s="29"/>
      <c r="HN418" s="29"/>
      <c r="HO418" s="29"/>
      <c r="HP418" s="29"/>
      <c r="HQ418" s="29"/>
      <c r="HR418" s="29"/>
      <c r="HS418" s="29"/>
      <c r="HT418" s="29"/>
      <c r="HU418" s="29"/>
      <c r="HV418" s="29"/>
      <c r="HW418" s="29"/>
      <c r="HX418" s="29"/>
      <c r="HY418" s="29"/>
      <c r="HZ418" s="29"/>
      <c r="IA418" s="29"/>
      <c r="IB418" s="29"/>
      <c r="IC418" s="29"/>
      <c r="ID418" s="29"/>
      <c r="IE418" s="29"/>
      <c r="IF418" s="29"/>
      <c r="IG418" s="29"/>
      <c r="IH418" s="29"/>
      <c r="II418" s="29"/>
      <c r="IJ418" s="29"/>
      <c r="IK418" s="29"/>
      <c r="IL418" s="29"/>
      <c r="IM418" s="29"/>
      <c r="IN418" s="29"/>
      <c r="IO418" s="29"/>
      <c r="IP418" s="29"/>
      <c r="IQ418" s="29"/>
      <c r="IR418" s="29"/>
      <c r="IS418" s="29"/>
      <c r="IT418" s="29"/>
      <c r="IU418" s="29"/>
      <c r="IV418" s="29"/>
      <c r="IW418" s="29"/>
      <c r="IX418" s="29"/>
      <c r="IY418" s="29"/>
      <c r="IZ418" s="29"/>
      <c r="JA418" s="29"/>
      <c r="JB418" s="29"/>
      <c r="JC418" s="29"/>
      <c r="JD418" s="29"/>
      <c r="JE418" s="29"/>
      <c r="JF418" s="29"/>
      <c r="JG418" s="29"/>
      <c r="JH418" s="29"/>
      <c r="JI418" s="29"/>
      <c r="JJ418" s="29"/>
      <c r="JK418" s="29"/>
      <c r="JL418" s="29"/>
    </row>
    <row r="419" spans="1:272" ht="34.5" customHeight="1">
      <c r="A419" s="30" t="s">
        <v>142</v>
      </c>
      <c r="B419" s="31" t="s">
        <v>87</v>
      </c>
      <c r="C419" s="30" t="s">
        <v>39</v>
      </c>
      <c r="D419" s="30" t="s">
        <v>1178</v>
      </c>
      <c r="E419" s="30" t="s">
        <v>164</v>
      </c>
      <c r="F419" s="30" t="s">
        <v>1179</v>
      </c>
      <c r="G419" s="30" t="s">
        <v>50</v>
      </c>
      <c r="H419" s="30">
        <v>561210</v>
      </c>
      <c r="I419" s="129" t="s">
        <v>546</v>
      </c>
      <c r="J419" s="30" t="s">
        <v>129</v>
      </c>
      <c r="K419" s="30" t="s">
        <v>69</v>
      </c>
      <c r="L419" s="30" t="s">
        <v>745</v>
      </c>
      <c r="M419" s="39">
        <v>70000</v>
      </c>
      <c r="N419" s="39">
        <v>100000</v>
      </c>
      <c r="O419" s="30" t="s">
        <v>79</v>
      </c>
      <c r="P419" s="30" t="s">
        <v>302</v>
      </c>
      <c r="Q419" s="30" t="s">
        <v>294</v>
      </c>
      <c r="R419" s="155" t="s">
        <v>80</v>
      </c>
      <c r="S419" s="41">
        <v>2014</v>
      </c>
      <c r="T419" s="31" t="s">
        <v>1174</v>
      </c>
      <c r="U419" s="31" t="s">
        <v>1175</v>
      </c>
      <c r="V419" s="30" t="s">
        <v>1176</v>
      </c>
      <c r="W419" s="129" t="s">
        <v>107</v>
      </c>
      <c r="X419" s="30" t="s">
        <v>345</v>
      </c>
      <c r="Y419" s="30" t="s">
        <v>345</v>
      </c>
      <c r="Z419" s="30" t="s">
        <v>345</v>
      </c>
      <c r="AA419" s="30"/>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c r="BG419" s="29"/>
      <c r="BH419" s="29"/>
      <c r="BI419" s="29"/>
      <c r="BJ419" s="29"/>
      <c r="BK419" s="29"/>
      <c r="BL419" s="29"/>
      <c r="BM419" s="29"/>
      <c r="BN419" s="29"/>
      <c r="BO419" s="29"/>
      <c r="BP419" s="29"/>
      <c r="BQ419" s="29"/>
      <c r="BR419" s="29"/>
      <c r="BS419" s="29"/>
      <c r="BT419" s="29"/>
      <c r="BU419" s="29"/>
      <c r="BV419" s="29"/>
      <c r="BW419" s="29"/>
      <c r="BX419" s="29"/>
      <c r="BY419" s="29"/>
      <c r="BZ419" s="29"/>
      <c r="CA419" s="29"/>
      <c r="CB419" s="29"/>
      <c r="CC419" s="29"/>
      <c r="CD419" s="29"/>
      <c r="CE419" s="29"/>
      <c r="CF419" s="29"/>
      <c r="CG419" s="29"/>
      <c r="CH419" s="29"/>
      <c r="CI419" s="29"/>
      <c r="CJ419" s="29"/>
      <c r="CK419" s="29"/>
      <c r="CL419" s="29"/>
      <c r="CM419" s="29"/>
      <c r="CN419" s="29"/>
      <c r="CO419" s="29"/>
      <c r="CP419" s="29"/>
      <c r="CQ419" s="29"/>
      <c r="CR419" s="29"/>
      <c r="CS419" s="29"/>
      <c r="CT419" s="29"/>
      <c r="CU419" s="29"/>
      <c r="CV419" s="29"/>
      <c r="CW419" s="29"/>
      <c r="CX419" s="29"/>
      <c r="CY419" s="29"/>
      <c r="CZ419" s="29"/>
      <c r="DA419" s="29"/>
      <c r="DB419" s="29"/>
      <c r="DC419" s="29"/>
      <c r="DD419" s="29"/>
      <c r="DE419" s="29"/>
      <c r="DF419" s="29"/>
      <c r="DG419" s="29"/>
      <c r="DH419" s="29"/>
      <c r="DI419" s="29"/>
      <c r="DJ419" s="29"/>
      <c r="DK419" s="29"/>
      <c r="DL419" s="29"/>
      <c r="DM419" s="29"/>
      <c r="DN419" s="29"/>
      <c r="DO419" s="29"/>
      <c r="DP419" s="29"/>
      <c r="DQ419" s="29"/>
      <c r="DR419" s="29"/>
      <c r="DS419" s="29"/>
      <c r="DT419" s="29"/>
      <c r="DU419" s="29"/>
      <c r="DV419" s="29"/>
      <c r="DW419" s="29"/>
      <c r="DX419" s="29"/>
      <c r="DY419" s="29"/>
      <c r="DZ419" s="29"/>
      <c r="EA419" s="29"/>
      <c r="EB419" s="29"/>
      <c r="EC419" s="29"/>
      <c r="ED419" s="29"/>
      <c r="EE419" s="29"/>
      <c r="EF419" s="29"/>
      <c r="EG419" s="29"/>
      <c r="EH419" s="29"/>
      <c r="EI419" s="29"/>
      <c r="EJ419" s="29"/>
      <c r="EK419" s="29"/>
      <c r="EL419" s="29"/>
      <c r="EM419" s="29"/>
      <c r="EN419" s="29"/>
      <c r="EO419" s="29"/>
      <c r="EP419" s="29"/>
      <c r="EQ419" s="29"/>
      <c r="ER419" s="29"/>
      <c r="ES419" s="29"/>
      <c r="ET419" s="29"/>
      <c r="EU419" s="29"/>
      <c r="EV419" s="29"/>
      <c r="EW419" s="29"/>
      <c r="EX419" s="29"/>
      <c r="EY419" s="29"/>
      <c r="EZ419" s="29"/>
      <c r="FA419" s="29"/>
      <c r="FB419" s="29"/>
      <c r="FC419" s="29"/>
      <c r="FD419" s="29"/>
      <c r="FE419" s="29"/>
      <c r="FF419" s="29"/>
      <c r="FG419" s="29"/>
      <c r="FH419" s="29"/>
      <c r="FI419" s="29"/>
      <c r="FJ419" s="29"/>
      <c r="FK419" s="29"/>
      <c r="FL419" s="29"/>
      <c r="FM419" s="29"/>
      <c r="FN419" s="29"/>
      <c r="FO419" s="29"/>
      <c r="FP419" s="29"/>
      <c r="FQ419" s="29"/>
      <c r="FR419" s="29"/>
      <c r="FS419" s="29"/>
      <c r="FT419" s="29"/>
      <c r="FU419" s="29"/>
      <c r="FV419" s="29"/>
      <c r="FW419" s="29"/>
      <c r="FX419" s="29"/>
      <c r="FY419" s="29"/>
      <c r="FZ419" s="29"/>
      <c r="GA419" s="29"/>
      <c r="GB419" s="29"/>
      <c r="GC419" s="29"/>
      <c r="GD419" s="29"/>
      <c r="GE419" s="29"/>
      <c r="GF419" s="29"/>
      <c r="GG419" s="29"/>
      <c r="GH419" s="29"/>
      <c r="GI419" s="29"/>
      <c r="GJ419" s="29"/>
      <c r="GK419" s="29"/>
      <c r="GL419" s="29"/>
      <c r="GM419" s="29"/>
      <c r="GN419" s="29"/>
      <c r="GO419" s="29"/>
      <c r="GP419" s="29"/>
      <c r="GQ419" s="29"/>
      <c r="GR419" s="29"/>
      <c r="GS419" s="29"/>
      <c r="GT419" s="29"/>
      <c r="GU419" s="29"/>
      <c r="GV419" s="29"/>
      <c r="GW419" s="29"/>
      <c r="GX419" s="29"/>
      <c r="GY419" s="29"/>
      <c r="GZ419" s="29"/>
      <c r="HA419" s="29"/>
      <c r="HB419" s="29"/>
      <c r="HC419" s="29"/>
      <c r="HD419" s="29"/>
      <c r="HE419" s="29"/>
      <c r="HF419" s="29"/>
      <c r="HG419" s="29"/>
      <c r="HH419" s="29"/>
      <c r="HI419" s="29"/>
      <c r="HJ419" s="29"/>
      <c r="HK419" s="29"/>
      <c r="HL419" s="29"/>
      <c r="HM419" s="29"/>
      <c r="HN419" s="29"/>
      <c r="HO419" s="29"/>
      <c r="HP419" s="29"/>
      <c r="HQ419" s="29"/>
      <c r="HR419" s="29"/>
      <c r="HS419" s="29"/>
      <c r="HT419" s="29"/>
      <c r="HU419" s="29"/>
      <c r="HV419" s="29"/>
      <c r="HW419" s="29"/>
      <c r="HX419" s="29"/>
      <c r="HY419" s="29"/>
      <c r="HZ419" s="29"/>
      <c r="IA419" s="29"/>
      <c r="IB419" s="29"/>
      <c r="IC419" s="29"/>
      <c r="ID419" s="29"/>
      <c r="IE419" s="29"/>
      <c r="IF419" s="29"/>
      <c r="IG419" s="29"/>
      <c r="IH419" s="29"/>
      <c r="II419" s="29"/>
      <c r="IJ419" s="29"/>
      <c r="IK419" s="29"/>
      <c r="IL419" s="29"/>
      <c r="IM419" s="29"/>
      <c r="IN419" s="29"/>
      <c r="IO419" s="29"/>
      <c r="IP419" s="29"/>
      <c r="IQ419" s="29"/>
      <c r="IR419" s="29"/>
      <c r="IS419" s="29"/>
      <c r="IT419" s="29"/>
      <c r="IU419" s="29"/>
      <c r="IV419" s="29"/>
      <c r="IW419" s="29"/>
      <c r="IX419" s="29"/>
      <c r="IY419" s="29"/>
      <c r="IZ419" s="29"/>
      <c r="JA419" s="29"/>
      <c r="JB419" s="29"/>
      <c r="JC419" s="29"/>
      <c r="JD419" s="29"/>
      <c r="JE419" s="29"/>
      <c r="JF419" s="29"/>
      <c r="JG419" s="29"/>
      <c r="JH419" s="29"/>
      <c r="JI419" s="29"/>
      <c r="JJ419" s="29"/>
      <c r="JK419" s="29"/>
      <c r="JL419" s="29"/>
    </row>
    <row r="420" spans="1:272" ht="34.5" customHeight="1">
      <c r="A420" s="30" t="s">
        <v>142</v>
      </c>
      <c r="B420" s="31" t="s">
        <v>87</v>
      </c>
      <c r="C420" s="30" t="s">
        <v>39</v>
      </c>
      <c r="D420" s="30" t="s">
        <v>1180</v>
      </c>
      <c r="E420" s="30" t="s">
        <v>164</v>
      </c>
      <c r="F420" s="30" t="s">
        <v>1179</v>
      </c>
      <c r="G420" s="30" t="s">
        <v>50</v>
      </c>
      <c r="H420" s="30">
        <v>561210</v>
      </c>
      <c r="I420" s="30" t="s">
        <v>1158</v>
      </c>
      <c r="J420" s="30" t="s">
        <v>129</v>
      </c>
      <c r="K420" s="30" t="s">
        <v>78</v>
      </c>
      <c r="L420" s="30" t="s">
        <v>78</v>
      </c>
      <c r="M420" s="39">
        <v>50000</v>
      </c>
      <c r="N420" s="39">
        <v>80000</v>
      </c>
      <c r="O420" s="30" t="s">
        <v>79</v>
      </c>
      <c r="P420" s="30" t="s">
        <v>302</v>
      </c>
      <c r="Q420" s="30" t="s">
        <v>294</v>
      </c>
      <c r="R420" s="155" t="s">
        <v>80</v>
      </c>
      <c r="S420" s="41">
        <v>2014</v>
      </c>
      <c r="T420" s="31" t="s">
        <v>1174</v>
      </c>
      <c r="U420" s="31" t="s">
        <v>1175</v>
      </c>
      <c r="V420" s="30" t="s">
        <v>1176</v>
      </c>
      <c r="W420" s="129" t="s">
        <v>107</v>
      </c>
      <c r="X420" s="30" t="s">
        <v>345</v>
      </c>
      <c r="Y420" s="30" t="s">
        <v>345</v>
      </c>
      <c r="Z420" s="30" t="s">
        <v>345</v>
      </c>
      <c r="AA420" s="30"/>
      <c r="AE420" s="29"/>
      <c r="AF420" s="29"/>
      <c r="AG420" s="29"/>
      <c r="AH420" s="29"/>
      <c r="AI420" s="29"/>
      <c r="AJ420" s="29"/>
      <c r="AK420" s="29"/>
      <c r="AL420" s="29"/>
      <c r="AM420" s="29"/>
      <c r="AN420" s="29"/>
      <c r="AO420" s="29"/>
      <c r="AP420" s="29"/>
      <c r="AQ420" s="29"/>
      <c r="AR420" s="29"/>
      <c r="AS420" s="29"/>
      <c r="AT420" s="29"/>
      <c r="AU420" s="29"/>
      <c r="AV420" s="29"/>
      <c r="AW420" s="29"/>
      <c r="AX420" s="29"/>
      <c r="AY420" s="29"/>
      <c r="AZ420" s="29"/>
      <c r="BA420" s="29"/>
      <c r="BB420" s="29"/>
      <c r="BC420" s="29"/>
      <c r="BD420" s="29"/>
      <c r="BE420" s="29"/>
      <c r="BF420" s="29"/>
      <c r="BG420" s="29"/>
      <c r="BH420" s="29"/>
      <c r="BI420" s="29"/>
      <c r="BJ420" s="29"/>
      <c r="BK420" s="29"/>
      <c r="BL420" s="29"/>
      <c r="BM420" s="29"/>
      <c r="BN420" s="29"/>
      <c r="BO420" s="29"/>
      <c r="BP420" s="29"/>
      <c r="BQ420" s="29"/>
      <c r="BR420" s="29"/>
      <c r="BS420" s="29"/>
      <c r="BT420" s="29"/>
      <c r="BU420" s="29"/>
      <c r="BV420" s="29"/>
      <c r="BW420" s="29"/>
      <c r="BX420" s="29"/>
      <c r="BY420" s="29"/>
      <c r="BZ420" s="29"/>
      <c r="CA420" s="29"/>
      <c r="CB420" s="29"/>
      <c r="CC420" s="29"/>
      <c r="CD420" s="29"/>
      <c r="CE420" s="29"/>
      <c r="CF420" s="29"/>
      <c r="CG420" s="29"/>
      <c r="CH420" s="29"/>
      <c r="CI420" s="29"/>
      <c r="CJ420" s="29"/>
      <c r="CK420" s="29"/>
      <c r="CL420" s="29"/>
      <c r="CM420" s="29"/>
      <c r="CN420" s="29"/>
      <c r="CO420" s="29"/>
      <c r="CP420" s="29"/>
      <c r="CQ420" s="29"/>
      <c r="CR420" s="29"/>
      <c r="CS420" s="29"/>
      <c r="CT420" s="29"/>
      <c r="CU420" s="29"/>
      <c r="CV420" s="29"/>
      <c r="CW420" s="29"/>
      <c r="CX420" s="29"/>
      <c r="CY420" s="29"/>
      <c r="CZ420" s="29"/>
      <c r="DA420" s="29"/>
      <c r="DB420" s="29"/>
      <c r="DC420" s="29"/>
      <c r="DD420" s="29"/>
      <c r="DE420" s="29"/>
      <c r="DF420" s="29"/>
      <c r="DG420" s="29"/>
      <c r="DH420" s="29"/>
      <c r="DI420" s="29"/>
      <c r="DJ420" s="29"/>
      <c r="DK420" s="29"/>
      <c r="DL420" s="29"/>
      <c r="DM420" s="29"/>
      <c r="DN420" s="29"/>
      <c r="DO420" s="29"/>
      <c r="DP420" s="29"/>
      <c r="DQ420" s="29"/>
      <c r="DR420" s="29"/>
      <c r="DS420" s="29"/>
      <c r="DT420" s="29"/>
      <c r="DU420" s="29"/>
      <c r="DV420" s="29"/>
      <c r="DW420" s="29"/>
      <c r="DX420" s="29"/>
      <c r="DY420" s="29"/>
      <c r="DZ420" s="29"/>
      <c r="EA420" s="29"/>
      <c r="EB420" s="29"/>
      <c r="EC420" s="29"/>
      <c r="ED420" s="29"/>
      <c r="EE420" s="29"/>
      <c r="EF420" s="29"/>
      <c r="EG420" s="29"/>
      <c r="EH420" s="29"/>
      <c r="EI420" s="29"/>
      <c r="EJ420" s="29"/>
      <c r="EK420" s="29"/>
      <c r="EL420" s="29"/>
      <c r="EM420" s="29"/>
      <c r="EN420" s="29"/>
      <c r="EO420" s="29"/>
      <c r="EP420" s="29"/>
      <c r="EQ420" s="29"/>
      <c r="ER420" s="29"/>
      <c r="ES420" s="29"/>
      <c r="ET420" s="29"/>
      <c r="EU420" s="29"/>
      <c r="EV420" s="29"/>
      <c r="EW420" s="29"/>
      <c r="EX420" s="29"/>
      <c r="EY420" s="29"/>
      <c r="EZ420" s="29"/>
      <c r="FA420" s="29"/>
      <c r="FB420" s="29"/>
      <c r="FC420" s="29"/>
      <c r="FD420" s="29"/>
      <c r="FE420" s="29"/>
      <c r="FF420" s="29"/>
      <c r="FG420" s="29"/>
      <c r="FH420" s="29"/>
      <c r="FI420" s="29"/>
      <c r="FJ420" s="29"/>
      <c r="FK420" s="29"/>
      <c r="FL420" s="29"/>
      <c r="FM420" s="29"/>
      <c r="FN420" s="29"/>
      <c r="FO420" s="29"/>
      <c r="FP420" s="29"/>
      <c r="FQ420" s="29"/>
      <c r="FR420" s="29"/>
      <c r="FS420" s="29"/>
      <c r="FT420" s="29"/>
      <c r="FU420" s="29"/>
      <c r="FV420" s="29"/>
      <c r="FW420" s="29"/>
      <c r="FX420" s="29"/>
      <c r="FY420" s="29"/>
      <c r="FZ420" s="29"/>
      <c r="GA420" s="29"/>
      <c r="GB420" s="29"/>
      <c r="GC420" s="29"/>
      <c r="GD420" s="29"/>
      <c r="GE420" s="29"/>
      <c r="GF420" s="29"/>
      <c r="GG420" s="29"/>
      <c r="GH420" s="29"/>
      <c r="GI420" s="29"/>
      <c r="GJ420" s="29"/>
      <c r="GK420" s="29"/>
      <c r="GL420" s="29"/>
      <c r="GM420" s="29"/>
      <c r="GN420" s="29"/>
      <c r="GO420" s="29"/>
      <c r="GP420" s="29"/>
      <c r="GQ420" s="29"/>
      <c r="GR420" s="29"/>
      <c r="GS420" s="29"/>
      <c r="GT420" s="29"/>
      <c r="GU420" s="29"/>
      <c r="GV420" s="29"/>
      <c r="GW420" s="29"/>
      <c r="GX420" s="29"/>
      <c r="GY420" s="29"/>
      <c r="GZ420" s="29"/>
      <c r="HA420" s="29"/>
      <c r="HB420" s="29"/>
      <c r="HC420" s="29"/>
      <c r="HD420" s="29"/>
      <c r="HE420" s="29"/>
      <c r="HF420" s="29"/>
      <c r="HG420" s="29"/>
      <c r="HH420" s="29"/>
      <c r="HI420" s="29"/>
      <c r="HJ420" s="29"/>
      <c r="HK420" s="29"/>
      <c r="HL420" s="29"/>
      <c r="HM420" s="29"/>
      <c r="HN420" s="29"/>
      <c r="HO420" s="29"/>
      <c r="HP420" s="29"/>
      <c r="HQ420" s="29"/>
      <c r="HR420" s="29"/>
      <c r="HS420" s="29"/>
      <c r="HT420" s="29"/>
      <c r="HU420" s="29"/>
      <c r="HV420" s="29"/>
      <c r="HW420" s="29"/>
      <c r="HX420" s="29"/>
      <c r="HY420" s="29"/>
      <c r="HZ420" s="29"/>
      <c r="IA420" s="29"/>
      <c r="IB420" s="29"/>
      <c r="IC420" s="29"/>
      <c r="ID420" s="29"/>
      <c r="IE420" s="29"/>
      <c r="IF420" s="29"/>
      <c r="IG420" s="29"/>
      <c r="IH420" s="29"/>
      <c r="II420" s="29"/>
      <c r="IJ420" s="29"/>
      <c r="IK420" s="29"/>
      <c r="IL420" s="29"/>
      <c r="IM420" s="29"/>
      <c r="IN420" s="29"/>
      <c r="IO420" s="29"/>
      <c r="IP420" s="29"/>
      <c r="IQ420" s="29"/>
      <c r="IR420" s="29"/>
      <c r="IS420" s="29"/>
      <c r="IT420" s="29"/>
      <c r="IU420" s="29"/>
      <c r="IV420" s="29"/>
      <c r="IW420" s="29"/>
      <c r="IX420" s="29"/>
      <c r="IY420" s="29"/>
      <c r="IZ420" s="29"/>
      <c r="JA420" s="29"/>
      <c r="JB420" s="29"/>
      <c r="JC420" s="29"/>
      <c r="JD420" s="29"/>
      <c r="JE420" s="29"/>
      <c r="JF420" s="29"/>
      <c r="JG420" s="29"/>
      <c r="JH420" s="29"/>
      <c r="JI420" s="29"/>
      <c r="JJ420" s="29"/>
      <c r="JK420" s="29"/>
      <c r="JL420" s="29"/>
    </row>
    <row r="421" spans="1:272" ht="34.5" customHeight="1">
      <c r="A421" s="30" t="s">
        <v>142</v>
      </c>
      <c r="B421" s="31" t="s">
        <v>87</v>
      </c>
      <c r="C421" s="30" t="s">
        <v>144</v>
      </c>
      <c r="D421" s="30" t="s">
        <v>1181</v>
      </c>
      <c r="E421" s="30" t="s">
        <v>96</v>
      </c>
      <c r="F421" s="30" t="s">
        <v>1097</v>
      </c>
      <c r="G421" s="30" t="s">
        <v>50</v>
      </c>
      <c r="H421" s="30">
        <v>541310</v>
      </c>
      <c r="I421" s="30" t="s">
        <v>98</v>
      </c>
      <c r="J421" s="30" t="s">
        <v>112</v>
      </c>
      <c r="K421" s="30" t="s">
        <v>34</v>
      </c>
      <c r="L421" s="30" t="s">
        <v>98</v>
      </c>
      <c r="M421" s="39">
        <v>25000</v>
      </c>
      <c r="N421" s="39">
        <v>50000</v>
      </c>
      <c r="O421" s="30" t="s">
        <v>79</v>
      </c>
      <c r="P421" s="30" t="s">
        <v>302</v>
      </c>
      <c r="Q421" s="30" t="s">
        <v>294</v>
      </c>
      <c r="R421" s="30" t="s">
        <v>150</v>
      </c>
      <c r="S421" s="41">
        <v>2014</v>
      </c>
      <c r="T421" s="31" t="s">
        <v>1093</v>
      </c>
      <c r="U421" s="31" t="s">
        <v>1094</v>
      </c>
      <c r="V421" s="30" t="s">
        <v>1095</v>
      </c>
      <c r="W421" s="129" t="s">
        <v>107</v>
      </c>
      <c r="X421" s="30" t="s">
        <v>302</v>
      </c>
      <c r="Y421" s="30" t="s">
        <v>302</v>
      </c>
      <c r="Z421" s="30" t="s">
        <v>302</v>
      </c>
      <c r="AA421" s="30" t="s">
        <v>302</v>
      </c>
    </row>
    <row r="422" spans="1:272" ht="34.5" customHeight="1">
      <c r="A422" s="30" t="s">
        <v>142</v>
      </c>
      <c r="B422" s="31" t="s">
        <v>87</v>
      </c>
      <c r="C422" s="30" t="s">
        <v>144</v>
      </c>
      <c r="D422" s="30" t="s">
        <v>1182</v>
      </c>
      <c r="E422" s="30" t="s">
        <v>161</v>
      </c>
      <c r="F422" s="30" t="s">
        <v>1097</v>
      </c>
      <c r="G422" s="30" t="s">
        <v>50</v>
      </c>
      <c r="H422" s="30">
        <v>236220</v>
      </c>
      <c r="I422" s="129" t="s">
        <v>546</v>
      </c>
      <c r="J422" s="129" t="s">
        <v>129</v>
      </c>
      <c r="K422" s="30" t="s">
        <v>148</v>
      </c>
      <c r="L422" s="30" t="s">
        <v>1102</v>
      </c>
      <c r="M422" s="39">
        <v>500000</v>
      </c>
      <c r="N422" s="39">
        <v>1000000</v>
      </c>
      <c r="O422" s="30" t="s">
        <v>79</v>
      </c>
      <c r="P422" s="30" t="s">
        <v>302</v>
      </c>
      <c r="Q422" s="30" t="s">
        <v>294</v>
      </c>
      <c r="R422" s="30" t="s">
        <v>150</v>
      </c>
      <c r="S422" s="41">
        <v>2014</v>
      </c>
      <c r="T422" s="31" t="s">
        <v>1183</v>
      </c>
      <c r="U422" s="31" t="s">
        <v>1184</v>
      </c>
      <c r="V422" s="30" t="s">
        <v>1185</v>
      </c>
      <c r="W422" s="129" t="s">
        <v>107</v>
      </c>
      <c r="X422" s="30" t="s">
        <v>302</v>
      </c>
      <c r="Y422" s="30" t="s">
        <v>302</v>
      </c>
      <c r="Z422" s="30" t="s">
        <v>302</v>
      </c>
      <c r="AA422" s="30" t="s">
        <v>302</v>
      </c>
    </row>
    <row r="423" spans="1:272" ht="34.5" customHeight="1">
      <c r="A423" s="30" t="s">
        <v>142</v>
      </c>
      <c r="B423" s="31" t="s">
        <v>87</v>
      </c>
      <c r="C423" s="30" t="s">
        <v>95</v>
      </c>
      <c r="D423" s="30" t="s">
        <v>1186</v>
      </c>
      <c r="E423" s="30" t="s">
        <v>161</v>
      </c>
      <c r="F423" s="30" t="s">
        <v>1097</v>
      </c>
      <c r="G423" s="30" t="s">
        <v>50</v>
      </c>
      <c r="H423" s="30">
        <v>236220</v>
      </c>
      <c r="I423" s="30" t="s">
        <v>98</v>
      </c>
      <c r="J423" s="30" t="s">
        <v>112</v>
      </c>
      <c r="K423" s="30" t="s">
        <v>34</v>
      </c>
      <c r="L423" s="30" t="s">
        <v>98</v>
      </c>
      <c r="M423" s="39">
        <v>500000</v>
      </c>
      <c r="N423" s="39">
        <v>1500000</v>
      </c>
      <c r="O423" s="30" t="s">
        <v>79</v>
      </c>
      <c r="P423" s="30" t="s">
        <v>302</v>
      </c>
      <c r="Q423" s="30" t="s">
        <v>294</v>
      </c>
      <c r="R423" s="30" t="s">
        <v>150</v>
      </c>
      <c r="S423" s="41">
        <v>2014</v>
      </c>
      <c r="T423" s="31" t="s">
        <v>1098</v>
      </c>
      <c r="U423" s="31" t="s">
        <v>1099</v>
      </c>
      <c r="V423" s="30" t="s">
        <v>1100</v>
      </c>
      <c r="W423" s="129" t="s">
        <v>107</v>
      </c>
      <c r="X423" s="30" t="s">
        <v>302</v>
      </c>
      <c r="Y423" s="44">
        <v>41639</v>
      </c>
      <c r="Z423" s="30" t="s">
        <v>302</v>
      </c>
      <c r="AA423" s="30" t="s">
        <v>302</v>
      </c>
    </row>
    <row r="424" spans="1:272" ht="34.5" customHeight="1">
      <c r="A424" s="30" t="s">
        <v>142</v>
      </c>
      <c r="B424" s="31" t="s">
        <v>87</v>
      </c>
      <c r="C424" s="30" t="s">
        <v>95</v>
      </c>
      <c r="D424" s="30" t="s">
        <v>1187</v>
      </c>
      <c r="E424" s="30" t="s">
        <v>161</v>
      </c>
      <c r="F424" s="30" t="s">
        <v>1173</v>
      </c>
      <c r="G424" s="30" t="s">
        <v>50</v>
      </c>
      <c r="H424" s="30">
        <v>236220</v>
      </c>
      <c r="I424" s="30" t="s">
        <v>98</v>
      </c>
      <c r="J424" s="30" t="s">
        <v>112</v>
      </c>
      <c r="K424" s="30" t="s">
        <v>34</v>
      </c>
      <c r="L424" s="30" t="s">
        <v>98</v>
      </c>
      <c r="M424" s="45">
        <v>250000</v>
      </c>
      <c r="N424" s="45">
        <v>500000</v>
      </c>
      <c r="O424" s="30" t="s">
        <v>79</v>
      </c>
      <c r="P424" s="30" t="s">
        <v>302</v>
      </c>
      <c r="Q424" s="30" t="s">
        <v>294</v>
      </c>
      <c r="R424" s="30" t="s">
        <v>150</v>
      </c>
      <c r="S424" s="41">
        <v>2014</v>
      </c>
      <c r="T424" s="31" t="s">
        <v>1183</v>
      </c>
      <c r="U424" s="31" t="s">
        <v>1184</v>
      </c>
      <c r="V424" s="30" t="s">
        <v>1185</v>
      </c>
      <c r="W424" s="129" t="s">
        <v>107</v>
      </c>
      <c r="X424" s="30" t="s">
        <v>302</v>
      </c>
      <c r="Y424" s="44">
        <v>41639</v>
      </c>
      <c r="Z424" s="30" t="s">
        <v>302</v>
      </c>
      <c r="AA424" s="30" t="s">
        <v>302</v>
      </c>
    </row>
    <row r="425" spans="1:272" ht="34.5" customHeight="1">
      <c r="A425" s="30" t="s">
        <v>142</v>
      </c>
      <c r="B425" s="31" t="s">
        <v>87</v>
      </c>
      <c r="C425" s="30" t="s">
        <v>95</v>
      </c>
      <c r="D425" s="30" t="s">
        <v>1188</v>
      </c>
      <c r="E425" s="30" t="s">
        <v>96</v>
      </c>
      <c r="F425" s="30" t="s">
        <v>1173</v>
      </c>
      <c r="G425" s="30" t="s">
        <v>50</v>
      </c>
      <c r="H425" s="30">
        <v>541310</v>
      </c>
      <c r="I425" s="30" t="s">
        <v>98</v>
      </c>
      <c r="J425" s="30" t="s">
        <v>112</v>
      </c>
      <c r="K425" s="30" t="s">
        <v>34</v>
      </c>
      <c r="L425" s="30" t="s">
        <v>98</v>
      </c>
      <c r="M425" s="45">
        <v>25000</v>
      </c>
      <c r="N425" s="45">
        <v>50000</v>
      </c>
      <c r="O425" s="30" t="s">
        <v>79</v>
      </c>
      <c r="P425" s="30" t="s">
        <v>302</v>
      </c>
      <c r="Q425" s="30" t="s">
        <v>294</v>
      </c>
      <c r="R425" s="30" t="s">
        <v>150</v>
      </c>
      <c r="S425" s="41">
        <v>2014</v>
      </c>
      <c r="T425" s="31" t="s">
        <v>1183</v>
      </c>
      <c r="U425" s="31" t="s">
        <v>1184</v>
      </c>
      <c r="V425" s="30" t="s">
        <v>1185</v>
      </c>
      <c r="W425" s="129" t="s">
        <v>107</v>
      </c>
      <c r="X425" s="30" t="s">
        <v>302</v>
      </c>
      <c r="Y425" s="44">
        <v>41639</v>
      </c>
      <c r="Z425" s="30" t="s">
        <v>302</v>
      </c>
      <c r="AA425" s="30" t="s">
        <v>302</v>
      </c>
    </row>
    <row r="426" spans="1:272" ht="34.5" customHeight="1">
      <c r="A426" s="30" t="s">
        <v>142</v>
      </c>
      <c r="B426" s="31" t="s">
        <v>87</v>
      </c>
      <c r="C426" s="30" t="s">
        <v>39</v>
      </c>
      <c r="D426" s="30" t="s">
        <v>1189</v>
      </c>
      <c r="E426" s="30" t="s">
        <v>88</v>
      </c>
      <c r="F426" s="30" t="s">
        <v>1173</v>
      </c>
      <c r="G426" s="30" t="s">
        <v>50</v>
      </c>
      <c r="H426" s="30" t="s">
        <v>345</v>
      </c>
      <c r="I426" s="30" t="s">
        <v>67</v>
      </c>
      <c r="J426" s="30" t="s">
        <v>61</v>
      </c>
      <c r="K426" s="30" t="s">
        <v>61</v>
      </c>
      <c r="L426" s="30" t="s">
        <v>1092</v>
      </c>
      <c r="M426" s="45">
        <v>500000</v>
      </c>
      <c r="N426" s="45">
        <v>1000000</v>
      </c>
      <c r="O426" s="30" t="s">
        <v>79</v>
      </c>
      <c r="P426" s="30" t="s">
        <v>302</v>
      </c>
      <c r="Q426" s="30" t="s">
        <v>294</v>
      </c>
      <c r="R426" s="30" t="s">
        <v>150</v>
      </c>
      <c r="S426" s="41">
        <v>2014</v>
      </c>
      <c r="T426" s="31" t="s">
        <v>1093</v>
      </c>
      <c r="U426" s="31" t="s">
        <v>1094</v>
      </c>
      <c r="V426" s="30" t="s">
        <v>1095</v>
      </c>
      <c r="W426" s="129" t="s">
        <v>107</v>
      </c>
      <c r="X426" s="30" t="s">
        <v>302</v>
      </c>
      <c r="Y426" s="44">
        <v>41639</v>
      </c>
      <c r="Z426" s="30" t="s">
        <v>302</v>
      </c>
      <c r="AA426" s="30" t="s">
        <v>302</v>
      </c>
    </row>
    <row r="427" spans="1:272" ht="34.5" customHeight="1">
      <c r="A427" s="30" t="s">
        <v>71</v>
      </c>
      <c r="B427" s="30" t="s">
        <v>116</v>
      </c>
      <c r="C427" s="30" t="s">
        <v>144</v>
      </c>
      <c r="D427" s="30" t="s">
        <v>1190</v>
      </c>
      <c r="E427" s="30" t="s">
        <v>285</v>
      </c>
      <c r="F427" s="30" t="s">
        <v>1191</v>
      </c>
      <c r="G427" s="30" t="s">
        <v>66</v>
      </c>
      <c r="H427" s="30">
        <v>532112</v>
      </c>
      <c r="I427" s="129" t="s">
        <v>98</v>
      </c>
      <c r="J427" s="129" t="s">
        <v>3404</v>
      </c>
      <c r="K427" s="30" t="s">
        <v>1192</v>
      </c>
      <c r="L427" s="30" t="s">
        <v>1193</v>
      </c>
      <c r="M427" s="45">
        <v>0</v>
      </c>
      <c r="N427" s="45">
        <v>1309121.4099999999</v>
      </c>
      <c r="O427" s="129" t="s">
        <v>79</v>
      </c>
      <c r="P427" s="30" t="s">
        <v>1195</v>
      </c>
      <c r="Q427" s="30" t="s">
        <v>867</v>
      </c>
      <c r="R427" s="129" t="s">
        <v>150</v>
      </c>
      <c r="S427" s="41">
        <v>2014</v>
      </c>
      <c r="T427" s="31" t="s">
        <v>1196</v>
      </c>
      <c r="U427" s="31" t="s">
        <v>1197</v>
      </c>
      <c r="V427" s="30" t="s">
        <v>1198</v>
      </c>
      <c r="W427" s="129" t="s">
        <v>151</v>
      </c>
      <c r="X427" s="30" t="s">
        <v>302</v>
      </c>
      <c r="Y427" s="30" t="s">
        <v>302</v>
      </c>
      <c r="Z427" s="44">
        <v>42643</v>
      </c>
      <c r="AA427" s="31" t="s">
        <v>3359</v>
      </c>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c r="BG427" s="29"/>
      <c r="BH427" s="29"/>
      <c r="BI427" s="29"/>
      <c r="BJ427" s="29"/>
      <c r="BK427" s="29"/>
      <c r="BL427" s="29"/>
      <c r="BM427" s="29"/>
      <c r="BN427" s="29"/>
      <c r="BO427" s="29"/>
      <c r="BP427" s="29"/>
      <c r="BQ427" s="29"/>
      <c r="BR427" s="29"/>
      <c r="BS427" s="29"/>
      <c r="BT427" s="29"/>
      <c r="BU427" s="29"/>
      <c r="BV427" s="29"/>
      <c r="BW427" s="29"/>
      <c r="BX427" s="29"/>
      <c r="BY427" s="29"/>
      <c r="BZ427" s="29"/>
      <c r="CA427" s="29"/>
      <c r="CB427" s="29"/>
      <c r="CC427" s="29"/>
      <c r="CD427" s="29"/>
      <c r="CE427" s="29"/>
      <c r="CF427" s="29"/>
      <c r="CG427" s="29"/>
      <c r="CH427" s="29"/>
      <c r="CI427" s="29"/>
      <c r="CJ427" s="29"/>
      <c r="CK427" s="29"/>
      <c r="CL427" s="29"/>
      <c r="CM427" s="29"/>
      <c r="CN427" s="29"/>
      <c r="CO427" s="29"/>
      <c r="CP427" s="29"/>
      <c r="CQ427" s="29"/>
      <c r="CR427" s="29"/>
      <c r="CS427" s="29"/>
      <c r="CT427" s="29"/>
      <c r="CU427" s="29"/>
      <c r="CV427" s="29"/>
      <c r="CW427" s="29"/>
      <c r="CX427" s="29"/>
      <c r="CY427" s="29"/>
      <c r="CZ427" s="29"/>
      <c r="DA427" s="29"/>
      <c r="DB427" s="29"/>
      <c r="DC427" s="29"/>
      <c r="DD427" s="29"/>
      <c r="DE427" s="29"/>
      <c r="DF427" s="29"/>
      <c r="DG427" s="29"/>
      <c r="DH427" s="29"/>
      <c r="DI427" s="29"/>
      <c r="DJ427" s="29"/>
      <c r="DK427" s="29"/>
      <c r="DL427" s="29"/>
      <c r="DM427" s="29"/>
      <c r="DN427" s="29"/>
      <c r="DO427" s="29"/>
      <c r="DP427" s="29"/>
      <c r="DQ427" s="29"/>
      <c r="DR427" s="29"/>
      <c r="DS427" s="29"/>
      <c r="DT427" s="29"/>
      <c r="DU427" s="29"/>
      <c r="DV427" s="29"/>
      <c r="DW427" s="29"/>
      <c r="DX427" s="29"/>
      <c r="DY427" s="29"/>
      <c r="DZ427" s="29"/>
      <c r="EA427" s="29"/>
      <c r="EB427" s="29"/>
      <c r="EC427" s="29"/>
      <c r="ED427" s="29"/>
      <c r="EE427" s="29"/>
      <c r="EF427" s="29"/>
      <c r="EG427" s="29"/>
      <c r="EH427" s="29"/>
      <c r="EI427" s="29"/>
      <c r="EJ427" s="29"/>
      <c r="EK427" s="29"/>
      <c r="EL427" s="29"/>
      <c r="EM427" s="29"/>
      <c r="EN427" s="29"/>
      <c r="EO427" s="29"/>
      <c r="EP427" s="29"/>
      <c r="EQ427" s="29"/>
      <c r="ER427" s="29"/>
      <c r="ES427" s="29"/>
      <c r="ET427" s="29"/>
      <c r="EU427" s="29"/>
      <c r="EV427" s="29"/>
      <c r="EW427" s="29"/>
      <c r="EX427" s="29"/>
      <c r="EY427" s="29"/>
      <c r="EZ427" s="29"/>
      <c r="FA427" s="29"/>
      <c r="FB427" s="29"/>
      <c r="FC427" s="29"/>
      <c r="FD427" s="29"/>
      <c r="FE427" s="29"/>
      <c r="FF427" s="29"/>
      <c r="FG427" s="29"/>
      <c r="FH427" s="29"/>
      <c r="FI427" s="29"/>
      <c r="FJ427" s="29"/>
      <c r="FK427" s="29"/>
      <c r="FL427" s="29"/>
      <c r="FM427" s="29"/>
      <c r="FN427" s="29"/>
      <c r="FO427" s="29"/>
      <c r="FP427" s="29"/>
      <c r="FQ427" s="29"/>
      <c r="FR427" s="29"/>
      <c r="FS427" s="29"/>
      <c r="FT427" s="29"/>
      <c r="FU427" s="29"/>
      <c r="FV427" s="29"/>
      <c r="FW427" s="29"/>
      <c r="FX427" s="29"/>
      <c r="FY427" s="29"/>
      <c r="FZ427" s="29"/>
      <c r="GA427" s="29"/>
      <c r="GB427" s="29"/>
      <c r="GC427" s="29"/>
      <c r="GD427" s="29"/>
      <c r="GE427" s="29"/>
      <c r="GF427" s="29"/>
      <c r="GG427" s="29"/>
      <c r="GH427" s="29"/>
      <c r="GI427" s="29"/>
      <c r="GJ427" s="29"/>
      <c r="GK427" s="29"/>
      <c r="GL427" s="29"/>
      <c r="GM427" s="29"/>
      <c r="GN427" s="29"/>
      <c r="GO427" s="29"/>
      <c r="GP427" s="29"/>
      <c r="GQ427" s="29"/>
      <c r="GR427" s="29"/>
      <c r="GS427" s="29"/>
      <c r="GT427" s="29"/>
      <c r="GU427" s="29"/>
      <c r="GV427" s="29"/>
      <c r="GW427" s="29"/>
      <c r="GX427" s="29"/>
      <c r="GY427" s="29"/>
      <c r="GZ427" s="29"/>
      <c r="HA427" s="29"/>
      <c r="HB427" s="29"/>
      <c r="HC427" s="29"/>
      <c r="HD427" s="29"/>
      <c r="HE427" s="29"/>
      <c r="HF427" s="29"/>
      <c r="HG427" s="29"/>
      <c r="HH427" s="29"/>
      <c r="HI427" s="29"/>
      <c r="HJ427" s="29"/>
      <c r="HK427" s="29"/>
      <c r="HL427" s="29"/>
      <c r="HM427" s="29"/>
      <c r="HN427" s="29"/>
      <c r="HO427" s="29"/>
      <c r="HP427" s="29"/>
      <c r="HQ427" s="29"/>
      <c r="HR427" s="29"/>
      <c r="HS427" s="29"/>
      <c r="HT427" s="29"/>
      <c r="HU427" s="29"/>
      <c r="HV427" s="29"/>
      <c r="HW427" s="29"/>
      <c r="HX427" s="29"/>
      <c r="HY427" s="29"/>
      <c r="HZ427" s="29"/>
      <c r="IA427" s="29"/>
      <c r="IB427" s="29"/>
      <c r="IC427" s="29"/>
      <c r="ID427" s="29"/>
      <c r="IE427" s="29"/>
      <c r="IF427" s="29"/>
      <c r="IG427" s="29"/>
      <c r="IH427" s="29"/>
      <c r="II427" s="29"/>
      <c r="IJ427" s="29"/>
      <c r="IK427" s="29"/>
      <c r="IL427" s="29"/>
      <c r="IM427" s="29"/>
      <c r="IN427" s="29"/>
      <c r="IO427" s="29"/>
      <c r="IP427" s="29"/>
      <c r="IQ427" s="29"/>
      <c r="IR427" s="29"/>
      <c r="IS427" s="29"/>
      <c r="IT427" s="29"/>
      <c r="IU427" s="29"/>
      <c r="IV427" s="29"/>
      <c r="IW427" s="29"/>
      <c r="IX427" s="29"/>
      <c r="IY427" s="29"/>
      <c r="IZ427" s="29"/>
      <c r="JA427" s="29"/>
      <c r="JB427" s="29"/>
      <c r="JC427" s="29"/>
      <c r="JD427" s="29"/>
      <c r="JE427" s="29"/>
      <c r="JF427" s="29"/>
      <c r="JG427" s="29"/>
      <c r="JH427" s="29"/>
      <c r="JI427" s="29"/>
      <c r="JJ427" s="29"/>
      <c r="JK427" s="29"/>
      <c r="JL427" s="29"/>
    </row>
    <row r="428" spans="1:272" ht="34.5" customHeight="1">
      <c r="A428" s="30" t="s">
        <v>71</v>
      </c>
      <c r="B428" s="30" t="s">
        <v>116</v>
      </c>
      <c r="C428" s="30" t="s">
        <v>144</v>
      </c>
      <c r="D428" s="30" t="s">
        <v>1190</v>
      </c>
      <c r="E428" s="30" t="s">
        <v>285</v>
      </c>
      <c r="F428" s="30" t="s">
        <v>1191</v>
      </c>
      <c r="G428" s="30" t="s">
        <v>66</v>
      </c>
      <c r="H428" s="30">
        <v>532112</v>
      </c>
      <c r="I428" s="129" t="s">
        <v>98</v>
      </c>
      <c r="J428" s="129" t="s">
        <v>3404</v>
      </c>
      <c r="K428" s="30" t="s">
        <v>1192</v>
      </c>
      <c r="L428" s="30" t="s">
        <v>1193</v>
      </c>
      <c r="M428" s="45">
        <v>0</v>
      </c>
      <c r="N428" s="45">
        <v>1309121.4099999999</v>
      </c>
      <c r="O428" s="129" t="s">
        <v>79</v>
      </c>
      <c r="P428" s="30" t="s">
        <v>1195</v>
      </c>
      <c r="Q428" s="30" t="s">
        <v>867</v>
      </c>
      <c r="R428" s="129" t="s">
        <v>150</v>
      </c>
      <c r="S428" s="41">
        <v>2014</v>
      </c>
      <c r="T428" s="31" t="s">
        <v>1196</v>
      </c>
      <c r="U428" s="31" t="s">
        <v>1197</v>
      </c>
      <c r="V428" s="30" t="s">
        <v>1198</v>
      </c>
      <c r="W428" s="129" t="s">
        <v>151</v>
      </c>
      <c r="X428" s="30" t="s">
        <v>302</v>
      </c>
      <c r="Y428" s="30" t="s">
        <v>302</v>
      </c>
      <c r="Z428" s="44">
        <v>42643</v>
      </c>
      <c r="AA428" s="31" t="s">
        <v>3359</v>
      </c>
      <c r="AE428" s="29"/>
      <c r="AF428" s="29"/>
      <c r="AG428" s="29"/>
      <c r="AH428" s="29"/>
      <c r="AI428" s="29"/>
      <c r="AJ428" s="29"/>
      <c r="AK428" s="29"/>
      <c r="AL428" s="29"/>
      <c r="AM428" s="29"/>
      <c r="AN428" s="29"/>
      <c r="AO428" s="29"/>
      <c r="AP428" s="29"/>
      <c r="AQ428" s="29"/>
      <c r="AR428" s="29"/>
      <c r="AS428" s="29"/>
      <c r="AT428" s="29"/>
      <c r="AU428" s="29"/>
      <c r="AV428" s="29"/>
      <c r="AW428" s="29"/>
      <c r="AX428" s="29"/>
      <c r="AY428" s="29"/>
      <c r="AZ428" s="29"/>
      <c r="BA428" s="29"/>
      <c r="BB428" s="29"/>
      <c r="BC428" s="29"/>
      <c r="BD428" s="29"/>
      <c r="BE428" s="29"/>
      <c r="BF428" s="29"/>
      <c r="BG428" s="29"/>
      <c r="BH428" s="29"/>
      <c r="BI428" s="29"/>
      <c r="BJ428" s="29"/>
      <c r="BK428" s="29"/>
      <c r="BL428" s="29"/>
      <c r="BM428" s="29"/>
      <c r="BN428" s="29"/>
      <c r="BO428" s="29"/>
      <c r="BP428" s="29"/>
      <c r="BQ428" s="29"/>
      <c r="BR428" s="29"/>
      <c r="BS428" s="29"/>
      <c r="BT428" s="29"/>
      <c r="BU428" s="29"/>
      <c r="BV428" s="29"/>
      <c r="BW428" s="29"/>
      <c r="BX428" s="29"/>
      <c r="BY428" s="29"/>
      <c r="BZ428" s="29"/>
      <c r="CA428" s="29"/>
      <c r="CB428" s="29"/>
      <c r="CC428" s="29"/>
      <c r="CD428" s="29"/>
      <c r="CE428" s="29"/>
      <c r="CF428" s="29"/>
      <c r="CG428" s="29"/>
      <c r="CH428" s="29"/>
      <c r="CI428" s="29"/>
      <c r="CJ428" s="29"/>
      <c r="CK428" s="29"/>
      <c r="CL428" s="29"/>
      <c r="CM428" s="29"/>
      <c r="CN428" s="29"/>
      <c r="CO428" s="29"/>
      <c r="CP428" s="29"/>
      <c r="CQ428" s="29"/>
      <c r="CR428" s="29"/>
      <c r="CS428" s="29"/>
      <c r="CT428" s="29"/>
      <c r="CU428" s="29"/>
      <c r="CV428" s="29"/>
      <c r="CW428" s="29"/>
      <c r="CX428" s="29"/>
      <c r="CY428" s="29"/>
      <c r="CZ428" s="29"/>
      <c r="DA428" s="29"/>
      <c r="DB428" s="29"/>
      <c r="DC428" s="29"/>
      <c r="DD428" s="29"/>
      <c r="DE428" s="29"/>
      <c r="DF428" s="29"/>
      <c r="DG428" s="29"/>
      <c r="DH428" s="29"/>
      <c r="DI428" s="29"/>
      <c r="DJ428" s="29"/>
      <c r="DK428" s="29"/>
      <c r="DL428" s="29"/>
      <c r="DM428" s="29"/>
      <c r="DN428" s="29"/>
      <c r="DO428" s="29"/>
      <c r="DP428" s="29"/>
      <c r="DQ428" s="29"/>
      <c r="DR428" s="29"/>
      <c r="DS428" s="29"/>
      <c r="DT428" s="29"/>
      <c r="DU428" s="29"/>
      <c r="DV428" s="29"/>
      <c r="DW428" s="29"/>
      <c r="DX428" s="29"/>
      <c r="DY428" s="29"/>
      <c r="DZ428" s="29"/>
      <c r="EA428" s="29"/>
      <c r="EB428" s="29"/>
      <c r="EC428" s="29"/>
      <c r="ED428" s="29"/>
      <c r="EE428" s="29"/>
      <c r="EF428" s="29"/>
      <c r="EG428" s="29"/>
      <c r="EH428" s="29"/>
      <c r="EI428" s="29"/>
      <c r="EJ428" s="29"/>
      <c r="EK428" s="29"/>
      <c r="EL428" s="29"/>
      <c r="EM428" s="29"/>
      <c r="EN428" s="29"/>
      <c r="EO428" s="29"/>
      <c r="EP428" s="29"/>
      <c r="EQ428" s="29"/>
      <c r="ER428" s="29"/>
      <c r="ES428" s="29"/>
      <c r="ET428" s="29"/>
      <c r="EU428" s="29"/>
      <c r="EV428" s="29"/>
      <c r="EW428" s="29"/>
      <c r="EX428" s="29"/>
      <c r="EY428" s="29"/>
      <c r="EZ428" s="29"/>
      <c r="FA428" s="29"/>
      <c r="FB428" s="29"/>
      <c r="FC428" s="29"/>
      <c r="FD428" s="29"/>
      <c r="FE428" s="29"/>
      <c r="FF428" s="29"/>
      <c r="FG428" s="29"/>
      <c r="FH428" s="29"/>
      <c r="FI428" s="29"/>
      <c r="FJ428" s="29"/>
      <c r="FK428" s="29"/>
      <c r="FL428" s="29"/>
      <c r="FM428" s="29"/>
      <c r="FN428" s="29"/>
      <c r="FO428" s="29"/>
      <c r="FP428" s="29"/>
      <c r="FQ428" s="29"/>
      <c r="FR428" s="29"/>
      <c r="FS428" s="29"/>
      <c r="FT428" s="29"/>
      <c r="FU428" s="29"/>
      <c r="FV428" s="29"/>
      <c r="FW428" s="29"/>
      <c r="FX428" s="29"/>
      <c r="FY428" s="29"/>
      <c r="FZ428" s="29"/>
      <c r="GA428" s="29"/>
      <c r="GB428" s="29"/>
      <c r="GC428" s="29"/>
      <c r="GD428" s="29"/>
      <c r="GE428" s="29"/>
      <c r="GF428" s="29"/>
      <c r="GG428" s="29"/>
      <c r="GH428" s="29"/>
      <c r="GI428" s="29"/>
      <c r="GJ428" s="29"/>
      <c r="GK428" s="29"/>
      <c r="GL428" s="29"/>
      <c r="GM428" s="29"/>
      <c r="GN428" s="29"/>
      <c r="GO428" s="29"/>
      <c r="GP428" s="29"/>
      <c r="GQ428" s="29"/>
      <c r="GR428" s="29"/>
      <c r="GS428" s="29"/>
      <c r="GT428" s="29"/>
      <c r="GU428" s="29"/>
      <c r="GV428" s="29"/>
      <c r="GW428" s="29"/>
      <c r="GX428" s="29"/>
      <c r="GY428" s="29"/>
      <c r="GZ428" s="29"/>
      <c r="HA428" s="29"/>
      <c r="HB428" s="29"/>
      <c r="HC428" s="29"/>
      <c r="HD428" s="29"/>
      <c r="HE428" s="29"/>
      <c r="HF428" s="29"/>
      <c r="HG428" s="29"/>
      <c r="HH428" s="29"/>
      <c r="HI428" s="29"/>
      <c r="HJ428" s="29"/>
      <c r="HK428" s="29"/>
      <c r="HL428" s="29"/>
      <c r="HM428" s="29"/>
      <c r="HN428" s="29"/>
      <c r="HO428" s="29"/>
      <c r="HP428" s="29"/>
      <c r="HQ428" s="29"/>
      <c r="HR428" s="29"/>
      <c r="HS428" s="29"/>
      <c r="HT428" s="29"/>
      <c r="HU428" s="29"/>
      <c r="HV428" s="29"/>
      <c r="HW428" s="29"/>
      <c r="HX428" s="29"/>
      <c r="HY428" s="29"/>
      <c r="HZ428" s="29"/>
      <c r="IA428" s="29"/>
      <c r="IB428" s="29"/>
      <c r="IC428" s="29"/>
      <c r="ID428" s="29"/>
      <c r="IE428" s="29"/>
      <c r="IF428" s="29"/>
      <c r="IG428" s="29"/>
      <c r="IH428" s="29"/>
      <c r="II428" s="29"/>
      <c r="IJ428" s="29"/>
      <c r="IK428" s="29"/>
      <c r="IL428" s="29"/>
      <c r="IM428" s="29"/>
      <c r="IN428" s="29"/>
      <c r="IO428" s="29"/>
      <c r="IP428" s="29"/>
      <c r="IQ428" s="29"/>
      <c r="IR428" s="29"/>
      <c r="IS428" s="29"/>
      <c r="IT428" s="29"/>
      <c r="IU428" s="29"/>
      <c r="IV428" s="29"/>
      <c r="IW428" s="29"/>
      <c r="IX428" s="29"/>
      <c r="IY428" s="29"/>
      <c r="IZ428" s="29"/>
      <c r="JA428" s="29"/>
      <c r="JB428" s="29"/>
      <c r="JC428" s="29"/>
      <c r="JD428" s="29"/>
      <c r="JE428" s="29"/>
      <c r="JF428" s="29"/>
      <c r="JG428" s="29"/>
      <c r="JH428" s="29"/>
      <c r="JI428" s="29"/>
      <c r="JJ428" s="29"/>
      <c r="JK428" s="29"/>
      <c r="JL428" s="29"/>
    </row>
    <row r="429" spans="1:272" ht="34.5" customHeight="1">
      <c r="A429" s="30" t="s">
        <v>71</v>
      </c>
      <c r="B429" s="30" t="s">
        <v>116</v>
      </c>
      <c r="C429" s="30" t="s">
        <v>144</v>
      </c>
      <c r="D429" s="30" t="s">
        <v>1190</v>
      </c>
      <c r="E429" s="30" t="s">
        <v>285</v>
      </c>
      <c r="F429" s="30" t="s">
        <v>1199</v>
      </c>
      <c r="G429" s="30" t="s">
        <v>193</v>
      </c>
      <c r="H429" s="30">
        <v>532112</v>
      </c>
      <c r="I429" s="30" t="s">
        <v>67</v>
      </c>
      <c r="J429" s="129" t="s">
        <v>3404</v>
      </c>
      <c r="K429" s="30" t="s">
        <v>1192</v>
      </c>
      <c r="L429" s="30" t="s">
        <v>1193</v>
      </c>
      <c r="M429" s="45">
        <v>0</v>
      </c>
      <c r="N429" s="45">
        <v>663574.87</v>
      </c>
      <c r="O429" s="129" t="s">
        <v>79</v>
      </c>
      <c r="P429" s="30" t="s">
        <v>1200</v>
      </c>
      <c r="Q429" s="30" t="s">
        <v>867</v>
      </c>
      <c r="R429" s="129" t="s">
        <v>150</v>
      </c>
      <c r="S429" s="41">
        <v>2014</v>
      </c>
      <c r="T429" s="31" t="s">
        <v>1196</v>
      </c>
      <c r="U429" s="31" t="s">
        <v>1197</v>
      </c>
      <c r="V429" s="30" t="s">
        <v>1198</v>
      </c>
      <c r="W429" s="129" t="s">
        <v>151</v>
      </c>
      <c r="X429" s="30" t="s">
        <v>302</v>
      </c>
      <c r="Y429" s="30" t="s">
        <v>302</v>
      </c>
      <c r="Z429" s="44">
        <v>42643</v>
      </c>
      <c r="AA429" s="31" t="s">
        <v>3359</v>
      </c>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c r="BF429" s="29"/>
      <c r="BG429" s="29"/>
      <c r="BH429" s="29"/>
      <c r="BI429" s="29"/>
      <c r="BJ429" s="29"/>
      <c r="BK429" s="29"/>
      <c r="BL429" s="29"/>
      <c r="BM429" s="29"/>
      <c r="BN429" s="29"/>
      <c r="BO429" s="29"/>
      <c r="BP429" s="29"/>
      <c r="BQ429" s="29"/>
      <c r="BR429" s="29"/>
      <c r="BS429" s="29"/>
      <c r="BT429" s="29"/>
      <c r="BU429" s="29"/>
      <c r="BV429" s="29"/>
      <c r="BW429" s="29"/>
      <c r="BX429" s="29"/>
      <c r="BY429" s="29"/>
      <c r="BZ429" s="29"/>
      <c r="CA429" s="29"/>
      <c r="CB429" s="29"/>
      <c r="CC429" s="29"/>
      <c r="CD429" s="29"/>
      <c r="CE429" s="29"/>
      <c r="CF429" s="29"/>
      <c r="CG429" s="29"/>
      <c r="CH429" s="29"/>
      <c r="CI429" s="29"/>
      <c r="CJ429" s="29"/>
      <c r="CK429" s="29"/>
      <c r="CL429" s="29"/>
      <c r="CM429" s="29"/>
      <c r="CN429" s="29"/>
      <c r="CO429" s="29"/>
      <c r="CP429" s="29"/>
      <c r="CQ429" s="29"/>
      <c r="CR429" s="29"/>
      <c r="CS429" s="29"/>
      <c r="CT429" s="29"/>
      <c r="CU429" s="29"/>
      <c r="CV429" s="29"/>
      <c r="CW429" s="29"/>
      <c r="CX429" s="29"/>
      <c r="CY429" s="29"/>
      <c r="CZ429" s="29"/>
      <c r="DA429" s="29"/>
      <c r="DB429" s="29"/>
      <c r="DC429" s="29"/>
      <c r="DD429" s="29"/>
      <c r="DE429" s="29"/>
      <c r="DF429" s="29"/>
      <c r="DG429" s="29"/>
      <c r="DH429" s="29"/>
      <c r="DI429" s="29"/>
      <c r="DJ429" s="29"/>
      <c r="DK429" s="29"/>
      <c r="DL429" s="29"/>
      <c r="DM429" s="29"/>
      <c r="DN429" s="29"/>
      <c r="DO429" s="29"/>
      <c r="DP429" s="29"/>
      <c r="DQ429" s="29"/>
      <c r="DR429" s="29"/>
      <c r="DS429" s="29"/>
      <c r="DT429" s="29"/>
      <c r="DU429" s="29"/>
      <c r="DV429" s="29"/>
      <c r="DW429" s="29"/>
      <c r="DX429" s="29"/>
      <c r="DY429" s="29"/>
      <c r="DZ429" s="29"/>
      <c r="EA429" s="29"/>
      <c r="EB429" s="29"/>
      <c r="EC429" s="29"/>
      <c r="ED429" s="29"/>
      <c r="EE429" s="29"/>
      <c r="EF429" s="29"/>
      <c r="EG429" s="29"/>
      <c r="EH429" s="29"/>
      <c r="EI429" s="29"/>
      <c r="EJ429" s="29"/>
      <c r="EK429" s="29"/>
      <c r="EL429" s="29"/>
      <c r="EM429" s="29"/>
      <c r="EN429" s="29"/>
      <c r="EO429" s="29"/>
      <c r="EP429" s="29"/>
      <c r="EQ429" s="29"/>
      <c r="ER429" s="29"/>
      <c r="ES429" s="29"/>
      <c r="ET429" s="29"/>
      <c r="EU429" s="29"/>
      <c r="EV429" s="29"/>
      <c r="EW429" s="29"/>
      <c r="EX429" s="29"/>
      <c r="EY429" s="29"/>
      <c r="EZ429" s="29"/>
      <c r="FA429" s="29"/>
      <c r="FB429" s="29"/>
      <c r="FC429" s="29"/>
      <c r="FD429" s="29"/>
      <c r="FE429" s="29"/>
      <c r="FF429" s="29"/>
      <c r="FG429" s="29"/>
      <c r="FH429" s="29"/>
      <c r="FI429" s="29"/>
      <c r="FJ429" s="29"/>
      <c r="FK429" s="29"/>
      <c r="FL429" s="29"/>
      <c r="FM429" s="29"/>
      <c r="FN429" s="29"/>
      <c r="FO429" s="29"/>
      <c r="FP429" s="29"/>
      <c r="FQ429" s="29"/>
      <c r="FR429" s="29"/>
      <c r="FS429" s="29"/>
      <c r="FT429" s="29"/>
      <c r="FU429" s="29"/>
      <c r="FV429" s="29"/>
      <c r="FW429" s="29"/>
      <c r="FX429" s="29"/>
      <c r="FY429" s="29"/>
      <c r="FZ429" s="29"/>
      <c r="GA429" s="29"/>
      <c r="GB429" s="29"/>
      <c r="GC429" s="29"/>
      <c r="GD429" s="29"/>
      <c r="GE429" s="29"/>
      <c r="GF429" s="29"/>
      <c r="GG429" s="29"/>
      <c r="GH429" s="29"/>
      <c r="GI429" s="29"/>
      <c r="GJ429" s="29"/>
      <c r="GK429" s="29"/>
      <c r="GL429" s="29"/>
      <c r="GM429" s="29"/>
      <c r="GN429" s="29"/>
      <c r="GO429" s="29"/>
      <c r="GP429" s="29"/>
      <c r="GQ429" s="29"/>
      <c r="GR429" s="29"/>
      <c r="GS429" s="29"/>
      <c r="GT429" s="29"/>
      <c r="GU429" s="29"/>
      <c r="GV429" s="29"/>
      <c r="GW429" s="29"/>
      <c r="GX429" s="29"/>
      <c r="GY429" s="29"/>
      <c r="GZ429" s="29"/>
      <c r="HA429" s="29"/>
      <c r="HB429" s="29"/>
      <c r="HC429" s="29"/>
      <c r="HD429" s="29"/>
      <c r="HE429" s="29"/>
      <c r="HF429" s="29"/>
      <c r="HG429" s="29"/>
      <c r="HH429" s="29"/>
      <c r="HI429" s="29"/>
      <c r="HJ429" s="29"/>
      <c r="HK429" s="29"/>
      <c r="HL429" s="29"/>
      <c r="HM429" s="29"/>
      <c r="HN429" s="29"/>
      <c r="HO429" s="29"/>
      <c r="HP429" s="29"/>
      <c r="HQ429" s="29"/>
      <c r="HR429" s="29"/>
      <c r="HS429" s="29"/>
      <c r="HT429" s="29"/>
      <c r="HU429" s="29"/>
      <c r="HV429" s="29"/>
      <c r="HW429" s="29"/>
      <c r="HX429" s="29"/>
      <c r="HY429" s="29"/>
      <c r="HZ429" s="29"/>
      <c r="IA429" s="29"/>
      <c r="IB429" s="29"/>
      <c r="IC429" s="29"/>
      <c r="ID429" s="29"/>
      <c r="IE429" s="29"/>
      <c r="IF429" s="29"/>
      <c r="IG429" s="29"/>
      <c r="IH429" s="29"/>
      <c r="II429" s="29"/>
      <c r="IJ429" s="29"/>
      <c r="IK429" s="29"/>
      <c r="IL429" s="29"/>
      <c r="IM429" s="29"/>
      <c r="IN429" s="29"/>
      <c r="IO429" s="29"/>
      <c r="IP429" s="29"/>
      <c r="IQ429" s="29"/>
      <c r="IR429" s="29"/>
      <c r="IS429" s="29"/>
      <c r="IT429" s="29"/>
      <c r="IU429" s="29"/>
      <c r="IV429" s="29"/>
      <c r="IW429" s="29"/>
      <c r="IX429" s="29"/>
      <c r="IY429" s="29"/>
      <c r="IZ429" s="29"/>
      <c r="JA429" s="29"/>
      <c r="JB429" s="29"/>
      <c r="JC429" s="29"/>
      <c r="JD429" s="29"/>
      <c r="JE429" s="29"/>
      <c r="JF429" s="29"/>
      <c r="JG429" s="29"/>
      <c r="JH429" s="29"/>
      <c r="JI429" s="29"/>
      <c r="JJ429" s="29"/>
      <c r="JK429" s="29"/>
      <c r="JL429" s="29"/>
    </row>
    <row r="430" spans="1:272" ht="34.5" customHeight="1">
      <c r="A430" s="30" t="s">
        <v>71</v>
      </c>
      <c r="B430" s="30" t="s">
        <v>116</v>
      </c>
      <c r="C430" s="30" t="s">
        <v>144</v>
      </c>
      <c r="D430" s="30" t="s">
        <v>1190</v>
      </c>
      <c r="E430" s="30" t="s">
        <v>285</v>
      </c>
      <c r="F430" s="30" t="s">
        <v>1201</v>
      </c>
      <c r="G430" s="30" t="s">
        <v>183</v>
      </c>
      <c r="H430" s="30">
        <v>532112</v>
      </c>
      <c r="I430" s="30" t="s">
        <v>67</v>
      </c>
      <c r="J430" s="129" t="s">
        <v>3404</v>
      </c>
      <c r="K430" s="30" t="s">
        <v>1192</v>
      </c>
      <c r="L430" s="30" t="s">
        <v>1193</v>
      </c>
      <c r="M430" s="45">
        <v>0</v>
      </c>
      <c r="N430" s="45">
        <v>8267379</v>
      </c>
      <c r="O430" s="129" t="s">
        <v>79</v>
      </c>
      <c r="P430" s="30" t="s">
        <v>1202</v>
      </c>
      <c r="Q430" s="30" t="s">
        <v>867</v>
      </c>
      <c r="R430" s="129" t="s">
        <v>150</v>
      </c>
      <c r="S430" s="41">
        <v>2014</v>
      </c>
      <c r="T430" s="31" t="s">
        <v>1196</v>
      </c>
      <c r="U430" s="31" t="s">
        <v>1197</v>
      </c>
      <c r="V430" s="30" t="s">
        <v>1198</v>
      </c>
      <c r="W430" s="129" t="s">
        <v>151</v>
      </c>
      <c r="X430" s="30" t="s">
        <v>302</v>
      </c>
      <c r="Y430" s="30" t="s">
        <v>302</v>
      </c>
      <c r="Z430" s="44">
        <v>42643</v>
      </c>
      <c r="AA430" s="31" t="s">
        <v>3359</v>
      </c>
      <c r="AE430" s="29"/>
      <c r="AF430" s="29"/>
      <c r="AG430" s="29"/>
      <c r="AH430" s="29"/>
      <c r="AI430" s="29"/>
      <c r="AJ430" s="29"/>
      <c r="AK430" s="29"/>
      <c r="AL430" s="29"/>
      <c r="AM430" s="29"/>
      <c r="AN430" s="29"/>
      <c r="AO430" s="29"/>
      <c r="AP430" s="29"/>
      <c r="AQ430" s="29"/>
      <c r="AR430" s="29"/>
      <c r="AS430" s="29"/>
      <c r="AT430" s="29"/>
      <c r="AU430" s="29"/>
      <c r="AV430" s="29"/>
      <c r="AW430" s="29"/>
      <c r="AX430" s="29"/>
      <c r="AY430" s="29"/>
      <c r="AZ430" s="29"/>
      <c r="BA430" s="29"/>
      <c r="BB430" s="29"/>
      <c r="BC430" s="29"/>
      <c r="BD430" s="29"/>
      <c r="BE430" s="29"/>
      <c r="BF430" s="29"/>
      <c r="BG430" s="29"/>
      <c r="BH430" s="29"/>
      <c r="BI430" s="29"/>
      <c r="BJ430" s="29"/>
      <c r="BK430" s="29"/>
      <c r="BL430" s="29"/>
      <c r="BM430" s="29"/>
      <c r="BN430" s="29"/>
      <c r="BO430" s="29"/>
      <c r="BP430" s="29"/>
      <c r="BQ430" s="29"/>
      <c r="BR430" s="29"/>
      <c r="BS430" s="29"/>
      <c r="BT430" s="29"/>
      <c r="BU430" s="29"/>
      <c r="BV430" s="29"/>
      <c r="BW430" s="29"/>
      <c r="BX430" s="29"/>
      <c r="BY430" s="29"/>
      <c r="BZ430" s="29"/>
      <c r="CA430" s="29"/>
      <c r="CB430" s="29"/>
      <c r="CC430" s="29"/>
      <c r="CD430" s="29"/>
      <c r="CE430" s="29"/>
      <c r="CF430" s="29"/>
      <c r="CG430" s="29"/>
      <c r="CH430" s="29"/>
      <c r="CI430" s="29"/>
      <c r="CJ430" s="29"/>
      <c r="CK430" s="29"/>
      <c r="CL430" s="29"/>
      <c r="CM430" s="29"/>
      <c r="CN430" s="29"/>
      <c r="CO430" s="29"/>
      <c r="CP430" s="29"/>
      <c r="CQ430" s="29"/>
      <c r="CR430" s="29"/>
      <c r="CS430" s="29"/>
      <c r="CT430" s="29"/>
      <c r="CU430" s="29"/>
      <c r="CV430" s="29"/>
      <c r="CW430" s="29"/>
      <c r="CX430" s="29"/>
      <c r="CY430" s="29"/>
      <c r="CZ430" s="29"/>
      <c r="DA430" s="29"/>
      <c r="DB430" s="29"/>
      <c r="DC430" s="29"/>
      <c r="DD430" s="29"/>
      <c r="DE430" s="29"/>
      <c r="DF430" s="29"/>
      <c r="DG430" s="29"/>
      <c r="DH430" s="29"/>
      <c r="DI430" s="29"/>
      <c r="DJ430" s="29"/>
      <c r="DK430" s="29"/>
      <c r="DL430" s="29"/>
      <c r="DM430" s="29"/>
      <c r="DN430" s="29"/>
      <c r="DO430" s="29"/>
      <c r="DP430" s="29"/>
      <c r="DQ430" s="29"/>
      <c r="DR430" s="29"/>
      <c r="DS430" s="29"/>
      <c r="DT430" s="29"/>
      <c r="DU430" s="29"/>
      <c r="DV430" s="29"/>
      <c r="DW430" s="29"/>
      <c r="DX430" s="29"/>
      <c r="DY430" s="29"/>
      <c r="DZ430" s="29"/>
      <c r="EA430" s="29"/>
      <c r="EB430" s="29"/>
      <c r="EC430" s="29"/>
      <c r="ED430" s="29"/>
      <c r="EE430" s="29"/>
      <c r="EF430" s="29"/>
      <c r="EG430" s="29"/>
      <c r="EH430" s="29"/>
      <c r="EI430" s="29"/>
      <c r="EJ430" s="29"/>
      <c r="EK430" s="29"/>
      <c r="EL430" s="29"/>
      <c r="EM430" s="29"/>
      <c r="EN430" s="29"/>
      <c r="EO430" s="29"/>
      <c r="EP430" s="29"/>
      <c r="EQ430" s="29"/>
      <c r="ER430" s="29"/>
      <c r="ES430" s="29"/>
      <c r="ET430" s="29"/>
      <c r="EU430" s="29"/>
      <c r="EV430" s="29"/>
      <c r="EW430" s="29"/>
      <c r="EX430" s="29"/>
      <c r="EY430" s="29"/>
      <c r="EZ430" s="29"/>
      <c r="FA430" s="29"/>
      <c r="FB430" s="29"/>
      <c r="FC430" s="29"/>
      <c r="FD430" s="29"/>
      <c r="FE430" s="29"/>
      <c r="FF430" s="29"/>
      <c r="FG430" s="29"/>
      <c r="FH430" s="29"/>
      <c r="FI430" s="29"/>
      <c r="FJ430" s="29"/>
      <c r="FK430" s="29"/>
      <c r="FL430" s="29"/>
      <c r="FM430" s="29"/>
      <c r="FN430" s="29"/>
      <c r="FO430" s="29"/>
      <c r="FP430" s="29"/>
      <c r="FQ430" s="29"/>
      <c r="FR430" s="29"/>
      <c r="FS430" s="29"/>
      <c r="FT430" s="29"/>
      <c r="FU430" s="29"/>
      <c r="FV430" s="29"/>
      <c r="FW430" s="29"/>
      <c r="FX430" s="29"/>
      <c r="FY430" s="29"/>
      <c r="FZ430" s="29"/>
      <c r="GA430" s="29"/>
      <c r="GB430" s="29"/>
      <c r="GC430" s="29"/>
      <c r="GD430" s="29"/>
      <c r="GE430" s="29"/>
      <c r="GF430" s="29"/>
      <c r="GG430" s="29"/>
      <c r="GH430" s="29"/>
      <c r="GI430" s="29"/>
      <c r="GJ430" s="29"/>
      <c r="GK430" s="29"/>
      <c r="GL430" s="29"/>
      <c r="GM430" s="29"/>
      <c r="GN430" s="29"/>
      <c r="GO430" s="29"/>
      <c r="GP430" s="29"/>
      <c r="GQ430" s="29"/>
      <c r="GR430" s="29"/>
      <c r="GS430" s="29"/>
      <c r="GT430" s="29"/>
      <c r="GU430" s="29"/>
      <c r="GV430" s="29"/>
      <c r="GW430" s="29"/>
      <c r="GX430" s="29"/>
      <c r="GY430" s="29"/>
      <c r="GZ430" s="29"/>
      <c r="HA430" s="29"/>
      <c r="HB430" s="29"/>
      <c r="HC430" s="29"/>
      <c r="HD430" s="29"/>
      <c r="HE430" s="29"/>
      <c r="HF430" s="29"/>
      <c r="HG430" s="29"/>
      <c r="HH430" s="29"/>
      <c r="HI430" s="29"/>
      <c r="HJ430" s="29"/>
      <c r="HK430" s="29"/>
      <c r="HL430" s="29"/>
      <c r="HM430" s="29"/>
      <c r="HN430" s="29"/>
      <c r="HO430" s="29"/>
      <c r="HP430" s="29"/>
      <c r="HQ430" s="29"/>
      <c r="HR430" s="29"/>
      <c r="HS430" s="29"/>
      <c r="HT430" s="29"/>
      <c r="HU430" s="29"/>
      <c r="HV430" s="29"/>
      <c r="HW430" s="29"/>
      <c r="HX430" s="29"/>
      <c r="HY430" s="29"/>
      <c r="HZ430" s="29"/>
      <c r="IA430" s="29"/>
      <c r="IB430" s="29"/>
      <c r="IC430" s="29"/>
      <c r="ID430" s="29"/>
      <c r="IE430" s="29"/>
      <c r="IF430" s="29"/>
      <c r="IG430" s="29"/>
      <c r="IH430" s="29"/>
      <c r="II430" s="29"/>
      <c r="IJ430" s="29"/>
      <c r="IK430" s="29"/>
      <c r="IL430" s="29"/>
      <c r="IM430" s="29"/>
      <c r="IN430" s="29"/>
      <c r="IO430" s="29"/>
      <c r="IP430" s="29"/>
      <c r="IQ430" s="29"/>
      <c r="IR430" s="29"/>
      <c r="IS430" s="29"/>
      <c r="IT430" s="29"/>
      <c r="IU430" s="29"/>
      <c r="IV430" s="29"/>
      <c r="IW430" s="29"/>
      <c r="IX430" s="29"/>
      <c r="IY430" s="29"/>
      <c r="IZ430" s="29"/>
      <c r="JA430" s="29"/>
      <c r="JB430" s="29"/>
      <c r="JC430" s="29"/>
      <c r="JD430" s="29"/>
      <c r="JE430" s="29"/>
      <c r="JF430" s="29"/>
      <c r="JG430" s="29"/>
      <c r="JH430" s="29"/>
      <c r="JI430" s="29"/>
      <c r="JJ430" s="29"/>
      <c r="JK430" s="29"/>
      <c r="JL430" s="29"/>
    </row>
    <row r="431" spans="1:272" ht="34.5" customHeight="1">
      <c r="A431" s="30" t="s">
        <v>71</v>
      </c>
      <c r="B431" s="30" t="s">
        <v>116</v>
      </c>
      <c r="C431" s="30" t="s">
        <v>144</v>
      </c>
      <c r="D431" s="30" t="s">
        <v>1190</v>
      </c>
      <c r="E431" s="30" t="s">
        <v>285</v>
      </c>
      <c r="F431" s="30" t="s">
        <v>904</v>
      </c>
      <c r="G431" s="30" t="s">
        <v>207</v>
      </c>
      <c r="H431" s="30">
        <v>532112</v>
      </c>
      <c r="I431" s="30" t="s">
        <v>67</v>
      </c>
      <c r="J431" s="129" t="s">
        <v>3404</v>
      </c>
      <c r="K431" s="30" t="s">
        <v>1192</v>
      </c>
      <c r="L431" s="30" t="s">
        <v>1193</v>
      </c>
      <c r="M431" s="45">
        <v>0</v>
      </c>
      <c r="N431" s="45">
        <v>1916.37</v>
      </c>
      <c r="O431" s="129" t="s">
        <v>79</v>
      </c>
      <c r="P431" s="30" t="s">
        <v>1203</v>
      </c>
      <c r="Q431" s="30" t="s">
        <v>867</v>
      </c>
      <c r="R431" s="129" t="s">
        <v>150</v>
      </c>
      <c r="S431" s="41">
        <v>2014</v>
      </c>
      <c r="T431" s="31" t="s">
        <v>1196</v>
      </c>
      <c r="U431" s="31" t="s">
        <v>1197</v>
      </c>
      <c r="V431" s="30" t="s">
        <v>1198</v>
      </c>
      <c r="W431" s="129" t="s">
        <v>151</v>
      </c>
      <c r="X431" s="30" t="s">
        <v>302</v>
      </c>
      <c r="Y431" s="30" t="s">
        <v>302</v>
      </c>
      <c r="Z431" s="44">
        <v>42643</v>
      </c>
      <c r="AA431" s="31" t="s">
        <v>3359</v>
      </c>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c r="BF431" s="29"/>
      <c r="BG431" s="29"/>
      <c r="BH431" s="29"/>
      <c r="BI431" s="29"/>
      <c r="BJ431" s="29"/>
      <c r="BK431" s="29"/>
      <c r="BL431" s="29"/>
      <c r="BM431" s="29"/>
      <c r="BN431" s="29"/>
      <c r="BO431" s="29"/>
      <c r="BP431" s="29"/>
      <c r="BQ431" s="29"/>
      <c r="BR431" s="29"/>
      <c r="BS431" s="29"/>
      <c r="BT431" s="29"/>
      <c r="BU431" s="29"/>
      <c r="BV431" s="29"/>
      <c r="BW431" s="29"/>
      <c r="BX431" s="29"/>
      <c r="BY431" s="29"/>
      <c r="BZ431" s="29"/>
      <c r="CA431" s="29"/>
      <c r="CB431" s="29"/>
      <c r="CC431" s="29"/>
      <c r="CD431" s="29"/>
      <c r="CE431" s="29"/>
      <c r="CF431" s="29"/>
      <c r="CG431" s="29"/>
      <c r="CH431" s="29"/>
      <c r="CI431" s="29"/>
      <c r="CJ431" s="29"/>
      <c r="CK431" s="29"/>
      <c r="CL431" s="29"/>
      <c r="CM431" s="29"/>
      <c r="CN431" s="29"/>
      <c r="CO431" s="29"/>
      <c r="CP431" s="29"/>
      <c r="CQ431" s="29"/>
      <c r="CR431" s="29"/>
      <c r="CS431" s="29"/>
      <c r="CT431" s="29"/>
      <c r="CU431" s="29"/>
      <c r="CV431" s="29"/>
      <c r="CW431" s="29"/>
      <c r="CX431" s="29"/>
      <c r="CY431" s="29"/>
      <c r="CZ431" s="29"/>
      <c r="DA431" s="29"/>
      <c r="DB431" s="29"/>
      <c r="DC431" s="29"/>
      <c r="DD431" s="29"/>
      <c r="DE431" s="29"/>
      <c r="DF431" s="29"/>
      <c r="DG431" s="29"/>
      <c r="DH431" s="29"/>
      <c r="DI431" s="29"/>
      <c r="DJ431" s="29"/>
      <c r="DK431" s="29"/>
      <c r="DL431" s="29"/>
      <c r="DM431" s="29"/>
      <c r="DN431" s="29"/>
      <c r="DO431" s="29"/>
      <c r="DP431" s="29"/>
      <c r="DQ431" s="29"/>
      <c r="DR431" s="29"/>
      <c r="DS431" s="29"/>
      <c r="DT431" s="29"/>
      <c r="DU431" s="29"/>
      <c r="DV431" s="29"/>
      <c r="DW431" s="29"/>
      <c r="DX431" s="29"/>
      <c r="DY431" s="29"/>
      <c r="DZ431" s="29"/>
      <c r="EA431" s="29"/>
      <c r="EB431" s="29"/>
      <c r="EC431" s="29"/>
      <c r="ED431" s="29"/>
      <c r="EE431" s="29"/>
      <c r="EF431" s="29"/>
      <c r="EG431" s="29"/>
      <c r="EH431" s="29"/>
      <c r="EI431" s="29"/>
      <c r="EJ431" s="29"/>
      <c r="EK431" s="29"/>
      <c r="EL431" s="29"/>
      <c r="EM431" s="29"/>
      <c r="EN431" s="29"/>
      <c r="EO431" s="29"/>
      <c r="EP431" s="29"/>
      <c r="EQ431" s="29"/>
      <c r="ER431" s="29"/>
      <c r="ES431" s="29"/>
      <c r="ET431" s="29"/>
      <c r="EU431" s="29"/>
      <c r="EV431" s="29"/>
      <c r="EW431" s="29"/>
      <c r="EX431" s="29"/>
      <c r="EY431" s="29"/>
      <c r="EZ431" s="29"/>
      <c r="FA431" s="29"/>
      <c r="FB431" s="29"/>
      <c r="FC431" s="29"/>
      <c r="FD431" s="29"/>
      <c r="FE431" s="29"/>
      <c r="FF431" s="29"/>
      <c r="FG431" s="29"/>
      <c r="FH431" s="29"/>
      <c r="FI431" s="29"/>
      <c r="FJ431" s="29"/>
      <c r="FK431" s="29"/>
      <c r="FL431" s="29"/>
      <c r="FM431" s="29"/>
      <c r="FN431" s="29"/>
      <c r="FO431" s="29"/>
      <c r="FP431" s="29"/>
      <c r="FQ431" s="29"/>
      <c r="FR431" s="29"/>
      <c r="FS431" s="29"/>
      <c r="FT431" s="29"/>
      <c r="FU431" s="29"/>
      <c r="FV431" s="29"/>
      <c r="FW431" s="29"/>
      <c r="FX431" s="29"/>
      <c r="FY431" s="29"/>
      <c r="FZ431" s="29"/>
      <c r="GA431" s="29"/>
      <c r="GB431" s="29"/>
      <c r="GC431" s="29"/>
      <c r="GD431" s="29"/>
      <c r="GE431" s="29"/>
      <c r="GF431" s="29"/>
      <c r="GG431" s="29"/>
      <c r="GH431" s="29"/>
      <c r="GI431" s="29"/>
      <c r="GJ431" s="29"/>
      <c r="GK431" s="29"/>
      <c r="GL431" s="29"/>
      <c r="GM431" s="29"/>
      <c r="GN431" s="29"/>
      <c r="GO431" s="29"/>
      <c r="GP431" s="29"/>
      <c r="GQ431" s="29"/>
      <c r="GR431" s="29"/>
      <c r="GS431" s="29"/>
      <c r="GT431" s="29"/>
      <c r="GU431" s="29"/>
      <c r="GV431" s="29"/>
      <c r="GW431" s="29"/>
      <c r="GX431" s="29"/>
      <c r="GY431" s="29"/>
      <c r="GZ431" s="29"/>
      <c r="HA431" s="29"/>
      <c r="HB431" s="29"/>
      <c r="HC431" s="29"/>
      <c r="HD431" s="29"/>
      <c r="HE431" s="29"/>
      <c r="HF431" s="29"/>
      <c r="HG431" s="29"/>
      <c r="HH431" s="29"/>
      <c r="HI431" s="29"/>
      <c r="HJ431" s="29"/>
      <c r="HK431" s="29"/>
      <c r="HL431" s="29"/>
      <c r="HM431" s="29"/>
      <c r="HN431" s="29"/>
      <c r="HO431" s="29"/>
      <c r="HP431" s="29"/>
      <c r="HQ431" s="29"/>
      <c r="HR431" s="29"/>
      <c r="HS431" s="29"/>
      <c r="HT431" s="29"/>
      <c r="HU431" s="29"/>
      <c r="HV431" s="29"/>
      <c r="HW431" s="29"/>
      <c r="HX431" s="29"/>
      <c r="HY431" s="29"/>
      <c r="HZ431" s="29"/>
      <c r="IA431" s="29"/>
      <c r="IB431" s="29"/>
      <c r="IC431" s="29"/>
      <c r="ID431" s="29"/>
      <c r="IE431" s="29"/>
      <c r="IF431" s="29"/>
      <c r="IG431" s="29"/>
      <c r="IH431" s="29"/>
      <c r="II431" s="29"/>
      <c r="IJ431" s="29"/>
      <c r="IK431" s="29"/>
      <c r="IL431" s="29"/>
      <c r="IM431" s="29"/>
      <c r="IN431" s="29"/>
      <c r="IO431" s="29"/>
      <c r="IP431" s="29"/>
      <c r="IQ431" s="29"/>
      <c r="IR431" s="29"/>
      <c r="IS431" s="29"/>
      <c r="IT431" s="29"/>
      <c r="IU431" s="29"/>
      <c r="IV431" s="29"/>
      <c r="IW431" s="29"/>
      <c r="IX431" s="29"/>
      <c r="IY431" s="29"/>
      <c r="IZ431" s="29"/>
      <c r="JA431" s="29"/>
      <c r="JB431" s="29"/>
      <c r="JC431" s="29"/>
      <c r="JD431" s="29"/>
      <c r="JE431" s="29"/>
      <c r="JF431" s="29"/>
      <c r="JG431" s="29"/>
      <c r="JH431" s="29"/>
      <c r="JI431" s="29"/>
      <c r="JJ431" s="29"/>
      <c r="JK431" s="29"/>
      <c r="JL431" s="29"/>
    </row>
    <row r="432" spans="1:272" ht="34.5" customHeight="1">
      <c r="A432" s="30" t="s">
        <v>71</v>
      </c>
      <c r="B432" s="30" t="s">
        <v>116</v>
      </c>
      <c r="C432" s="30" t="s">
        <v>144</v>
      </c>
      <c r="D432" s="30" t="s">
        <v>1190</v>
      </c>
      <c r="E432" s="30" t="s">
        <v>285</v>
      </c>
      <c r="F432" s="30" t="s">
        <v>1204</v>
      </c>
      <c r="G432" s="30" t="s">
        <v>183</v>
      </c>
      <c r="H432" s="30">
        <v>532112</v>
      </c>
      <c r="I432" s="129" t="s">
        <v>98</v>
      </c>
      <c r="J432" s="129" t="s">
        <v>3404</v>
      </c>
      <c r="K432" s="30" t="s">
        <v>1192</v>
      </c>
      <c r="L432" s="30" t="s">
        <v>1193</v>
      </c>
      <c r="M432" s="45">
        <v>0</v>
      </c>
      <c r="N432" s="45">
        <v>1237977.8</v>
      </c>
      <c r="O432" s="129" t="s">
        <v>79</v>
      </c>
      <c r="P432" s="30" t="s">
        <v>1205</v>
      </c>
      <c r="Q432" s="30" t="s">
        <v>867</v>
      </c>
      <c r="R432" s="129" t="s">
        <v>150</v>
      </c>
      <c r="S432" s="41">
        <v>2014</v>
      </c>
      <c r="T432" s="31" t="s">
        <v>1196</v>
      </c>
      <c r="U432" s="31" t="s">
        <v>1197</v>
      </c>
      <c r="V432" s="30" t="s">
        <v>1198</v>
      </c>
      <c r="W432" s="129" t="s">
        <v>151</v>
      </c>
      <c r="X432" s="30" t="s">
        <v>302</v>
      </c>
      <c r="Y432" s="30" t="s">
        <v>302</v>
      </c>
      <c r="Z432" s="44">
        <v>42643</v>
      </c>
      <c r="AA432" s="31" t="s">
        <v>3359</v>
      </c>
      <c r="AE432" s="29"/>
      <c r="AF432" s="29"/>
      <c r="AG432" s="29"/>
      <c r="AH432" s="29"/>
      <c r="AI432" s="29"/>
      <c r="AJ432" s="29"/>
      <c r="AK432" s="29"/>
      <c r="AL432" s="29"/>
      <c r="AM432" s="29"/>
      <c r="AN432" s="29"/>
      <c r="AO432" s="29"/>
      <c r="AP432" s="29"/>
      <c r="AQ432" s="29"/>
      <c r="AR432" s="29"/>
      <c r="AS432" s="29"/>
      <c r="AT432" s="29"/>
      <c r="AU432" s="29"/>
      <c r="AV432" s="29"/>
      <c r="AW432" s="29"/>
      <c r="AX432" s="29"/>
      <c r="AY432" s="29"/>
      <c r="AZ432" s="29"/>
      <c r="BA432" s="29"/>
      <c r="BB432" s="29"/>
      <c r="BC432" s="29"/>
      <c r="BD432" s="29"/>
      <c r="BE432" s="29"/>
      <c r="BF432" s="29"/>
      <c r="BG432" s="29"/>
      <c r="BH432" s="29"/>
      <c r="BI432" s="29"/>
      <c r="BJ432" s="29"/>
      <c r="BK432" s="29"/>
      <c r="BL432" s="29"/>
      <c r="BM432" s="29"/>
      <c r="BN432" s="29"/>
      <c r="BO432" s="29"/>
      <c r="BP432" s="29"/>
      <c r="BQ432" s="29"/>
      <c r="BR432" s="29"/>
      <c r="BS432" s="29"/>
      <c r="BT432" s="29"/>
      <c r="BU432" s="29"/>
      <c r="BV432" s="29"/>
      <c r="BW432" s="29"/>
      <c r="BX432" s="29"/>
      <c r="BY432" s="29"/>
      <c r="BZ432" s="29"/>
      <c r="CA432" s="29"/>
      <c r="CB432" s="29"/>
      <c r="CC432" s="29"/>
      <c r="CD432" s="29"/>
      <c r="CE432" s="29"/>
      <c r="CF432" s="29"/>
      <c r="CG432" s="29"/>
      <c r="CH432" s="29"/>
      <c r="CI432" s="29"/>
      <c r="CJ432" s="29"/>
      <c r="CK432" s="29"/>
      <c r="CL432" s="29"/>
      <c r="CM432" s="29"/>
      <c r="CN432" s="29"/>
      <c r="CO432" s="29"/>
      <c r="CP432" s="29"/>
      <c r="CQ432" s="29"/>
      <c r="CR432" s="29"/>
      <c r="CS432" s="29"/>
      <c r="CT432" s="29"/>
      <c r="CU432" s="29"/>
      <c r="CV432" s="29"/>
      <c r="CW432" s="29"/>
      <c r="CX432" s="29"/>
      <c r="CY432" s="29"/>
      <c r="CZ432" s="29"/>
      <c r="DA432" s="29"/>
      <c r="DB432" s="29"/>
      <c r="DC432" s="29"/>
      <c r="DD432" s="29"/>
      <c r="DE432" s="29"/>
      <c r="DF432" s="29"/>
      <c r="DG432" s="29"/>
      <c r="DH432" s="29"/>
      <c r="DI432" s="29"/>
      <c r="DJ432" s="29"/>
      <c r="DK432" s="29"/>
      <c r="DL432" s="29"/>
      <c r="DM432" s="29"/>
      <c r="DN432" s="29"/>
      <c r="DO432" s="29"/>
      <c r="DP432" s="29"/>
      <c r="DQ432" s="29"/>
      <c r="DR432" s="29"/>
      <c r="DS432" s="29"/>
      <c r="DT432" s="29"/>
      <c r="DU432" s="29"/>
      <c r="DV432" s="29"/>
      <c r="DW432" s="29"/>
      <c r="DX432" s="29"/>
      <c r="DY432" s="29"/>
      <c r="DZ432" s="29"/>
      <c r="EA432" s="29"/>
      <c r="EB432" s="29"/>
      <c r="EC432" s="29"/>
      <c r="ED432" s="29"/>
      <c r="EE432" s="29"/>
      <c r="EF432" s="29"/>
      <c r="EG432" s="29"/>
      <c r="EH432" s="29"/>
      <c r="EI432" s="29"/>
      <c r="EJ432" s="29"/>
      <c r="EK432" s="29"/>
      <c r="EL432" s="29"/>
      <c r="EM432" s="29"/>
      <c r="EN432" s="29"/>
      <c r="EO432" s="29"/>
      <c r="EP432" s="29"/>
      <c r="EQ432" s="29"/>
      <c r="ER432" s="29"/>
      <c r="ES432" s="29"/>
      <c r="ET432" s="29"/>
      <c r="EU432" s="29"/>
      <c r="EV432" s="29"/>
      <c r="EW432" s="29"/>
      <c r="EX432" s="29"/>
      <c r="EY432" s="29"/>
      <c r="EZ432" s="29"/>
      <c r="FA432" s="29"/>
      <c r="FB432" s="29"/>
      <c r="FC432" s="29"/>
      <c r="FD432" s="29"/>
      <c r="FE432" s="29"/>
      <c r="FF432" s="29"/>
      <c r="FG432" s="29"/>
      <c r="FH432" s="29"/>
      <c r="FI432" s="29"/>
      <c r="FJ432" s="29"/>
      <c r="FK432" s="29"/>
      <c r="FL432" s="29"/>
      <c r="FM432" s="29"/>
      <c r="FN432" s="29"/>
      <c r="FO432" s="29"/>
      <c r="FP432" s="29"/>
      <c r="FQ432" s="29"/>
      <c r="FR432" s="29"/>
      <c r="FS432" s="29"/>
      <c r="FT432" s="29"/>
      <c r="FU432" s="29"/>
      <c r="FV432" s="29"/>
      <c r="FW432" s="29"/>
      <c r="FX432" s="29"/>
      <c r="FY432" s="29"/>
      <c r="FZ432" s="29"/>
      <c r="GA432" s="29"/>
      <c r="GB432" s="29"/>
      <c r="GC432" s="29"/>
      <c r="GD432" s="29"/>
      <c r="GE432" s="29"/>
      <c r="GF432" s="29"/>
      <c r="GG432" s="29"/>
      <c r="GH432" s="29"/>
      <c r="GI432" s="29"/>
      <c r="GJ432" s="29"/>
      <c r="GK432" s="29"/>
      <c r="GL432" s="29"/>
      <c r="GM432" s="29"/>
      <c r="GN432" s="29"/>
      <c r="GO432" s="29"/>
      <c r="GP432" s="29"/>
      <c r="GQ432" s="29"/>
      <c r="GR432" s="29"/>
      <c r="GS432" s="29"/>
      <c r="GT432" s="29"/>
      <c r="GU432" s="29"/>
      <c r="GV432" s="29"/>
      <c r="GW432" s="29"/>
      <c r="GX432" s="29"/>
      <c r="GY432" s="29"/>
      <c r="GZ432" s="29"/>
      <c r="HA432" s="29"/>
      <c r="HB432" s="29"/>
      <c r="HC432" s="29"/>
      <c r="HD432" s="29"/>
      <c r="HE432" s="29"/>
      <c r="HF432" s="29"/>
      <c r="HG432" s="29"/>
      <c r="HH432" s="29"/>
      <c r="HI432" s="29"/>
      <c r="HJ432" s="29"/>
      <c r="HK432" s="29"/>
      <c r="HL432" s="29"/>
      <c r="HM432" s="29"/>
      <c r="HN432" s="29"/>
      <c r="HO432" s="29"/>
      <c r="HP432" s="29"/>
      <c r="HQ432" s="29"/>
      <c r="HR432" s="29"/>
      <c r="HS432" s="29"/>
      <c r="HT432" s="29"/>
      <c r="HU432" s="29"/>
      <c r="HV432" s="29"/>
      <c r="HW432" s="29"/>
      <c r="HX432" s="29"/>
      <c r="HY432" s="29"/>
      <c r="HZ432" s="29"/>
      <c r="IA432" s="29"/>
      <c r="IB432" s="29"/>
      <c r="IC432" s="29"/>
      <c r="ID432" s="29"/>
      <c r="IE432" s="29"/>
      <c r="IF432" s="29"/>
      <c r="IG432" s="29"/>
      <c r="IH432" s="29"/>
      <c r="II432" s="29"/>
      <c r="IJ432" s="29"/>
      <c r="IK432" s="29"/>
      <c r="IL432" s="29"/>
      <c r="IM432" s="29"/>
      <c r="IN432" s="29"/>
      <c r="IO432" s="29"/>
      <c r="IP432" s="29"/>
      <c r="IQ432" s="29"/>
      <c r="IR432" s="29"/>
      <c r="IS432" s="29"/>
      <c r="IT432" s="29"/>
      <c r="IU432" s="29"/>
      <c r="IV432" s="29"/>
      <c r="IW432" s="29"/>
      <c r="IX432" s="29"/>
      <c r="IY432" s="29"/>
      <c r="IZ432" s="29"/>
      <c r="JA432" s="29"/>
      <c r="JB432" s="29"/>
      <c r="JC432" s="29"/>
      <c r="JD432" s="29"/>
      <c r="JE432" s="29"/>
      <c r="JF432" s="29"/>
      <c r="JG432" s="29"/>
      <c r="JH432" s="29"/>
      <c r="JI432" s="29"/>
      <c r="JJ432" s="29"/>
      <c r="JK432" s="29"/>
      <c r="JL432" s="29"/>
    </row>
    <row r="433" spans="1:27" s="29" customFormat="1" ht="34.5" customHeight="1">
      <c r="A433" s="30" t="s">
        <v>71</v>
      </c>
      <c r="B433" s="30" t="s">
        <v>116</v>
      </c>
      <c r="C433" s="30" t="s">
        <v>144</v>
      </c>
      <c r="D433" s="30" t="s">
        <v>1190</v>
      </c>
      <c r="E433" s="30" t="s">
        <v>285</v>
      </c>
      <c r="F433" s="30" t="s">
        <v>1206</v>
      </c>
      <c r="G433" s="30" t="s">
        <v>213</v>
      </c>
      <c r="H433" s="30">
        <v>532112</v>
      </c>
      <c r="I433" s="30" t="s">
        <v>67</v>
      </c>
      <c r="J433" s="129" t="s">
        <v>3404</v>
      </c>
      <c r="K433" s="30" t="s">
        <v>1192</v>
      </c>
      <c r="L433" s="30" t="s">
        <v>1193</v>
      </c>
      <c r="M433" s="45">
        <v>0</v>
      </c>
      <c r="N433" s="45">
        <v>1237966.8</v>
      </c>
      <c r="O433" s="129" t="s">
        <v>79</v>
      </c>
      <c r="P433" s="30" t="s">
        <v>1207</v>
      </c>
      <c r="Q433" s="30" t="s">
        <v>867</v>
      </c>
      <c r="R433" s="129" t="s">
        <v>150</v>
      </c>
      <c r="S433" s="41">
        <v>2014</v>
      </c>
      <c r="T433" s="31" t="s">
        <v>1196</v>
      </c>
      <c r="U433" s="31" t="s">
        <v>1197</v>
      </c>
      <c r="V433" s="30" t="s">
        <v>1198</v>
      </c>
      <c r="W433" s="129" t="s">
        <v>151</v>
      </c>
      <c r="X433" s="30" t="s">
        <v>302</v>
      </c>
      <c r="Y433" s="30" t="s">
        <v>302</v>
      </c>
      <c r="Z433" s="44">
        <v>42643</v>
      </c>
      <c r="AA433" s="31" t="s">
        <v>3359</v>
      </c>
    </row>
    <row r="434" spans="1:27" s="29" customFormat="1" ht="34.5" customHeight="1">
      <c r="A434" s="30" t="s">
        <v>71</v>
      </c>
      <c r="B434" s="30" t="s">
        <v>116</v>
      </c>
      <c r="C434" s="30" t="s">
        <v>144</v>
      </c>
      <c r="D434" s="30" t="s">
        <v>1190</v>
      </c>
      <c r="E434" s="30" t="s">
        <v>285</v>
      </c>
      <c r="F434" s="30" t="s">
        <v>1208</v>
      </c>
      <c r="G434" s="30" t="s">
        <v>162</v>
      </c>
      <c r="H434" s="30">
        <v>532112</v>
      </c>
      <c r="I434" s="129" t="s">
        <v>3388</v>
      </c>
      <c r="J434" s="129" t="s">
        <v>3404</v>
      </c>
      <c r="K434" s="30" t="s">
        <v>1192</v>
      </c>
      <c r="L434" s="30" t="s">
        <v>1193</v>
      </c>
      <c r="M434" s="45">
        <v>0</v>
      </c>
      <c r="N434" s="45">
        <v>1309121.4099999999</v>
      </c>
      <c r="O434" s="129" t="s">
        <v>79</v>
      </c>
      <c r="P434" s="30" t="s">
        <v>1209</v>
      </c>
      <c r="Q434" s="30" t="s">
        <v>867</v>
      </c>
      <c r="R434" s="129" t="s">
        <v>150</v>
      </c>
      <c r="S434" s="41">
        <v>2014</v>
      </c>
      <c r="T434" s="31" t="s">
        <v>1196</v>
      </c>
      <c r="U434" s="31" t="s">
        <v>1197</v>
      </c>
      <c r="V434" s="30" t="s">
        <v>1198</v>
      </c>
      <c r="W434" s="129" t="s">
        <v>151</v>
      </c>
      <c r="X434" s="30" t="s">
        <v>302</v>
      </c>
      <c r="Y434" s="30" t="s">
        <v>302</v>
      </c>
      <c r="Z434" s="44">
        <v>42643</v>
      </c>
      <c r="AA434" s="31" t="s">
        <v>3359</v>
      </c>
    </row>
    <row r="435" spans="1:27" s="29" customFormat="1" ht="34.5" customHeight="1">
      <c r="A435" s="30" t="s">
        <v>71</v>
      </c>
      <c r="B435" s="30" t="s">
        <v>116</v>
      </c>
      <c r="C435" s="30" t="s">
        <v>144</v>
      </c>
      <c r="D435" s="30" t="s">
        <v>1190</v>
      </c>
      <c r="E435" s="30" t="s">
        <v>285</v>
      </c>
      <c r="F435" s="30" t="s">
        <v>1210</v>
      </c>
      <c r="G435" s="30" t="s">
        <v>118</v>
      </c>
      <c r="H435" s="30">
        <v>532112</v>
      </c>
      <c r="I435" s="30" t="s">
        <v>67</v>
      </c>
      <c r="J435" s="129" t="s">
        <v>3404</v>
      </c>
      <c r="K435" s="30" t="s">
        <v>1192</v>
      </c>
      <c r="L435" s="30" t="s">
        <v>1193</v>
      </c>
      <c r="M435" s="45">
        <v>0</v>
      </c>
      <c r="N435" s="45">
        <v>904800</v>
      </c>
      <c r="O435" s="129" t="s">
        <v>79</v>
      </c>
      <c r="P435" s="30" t="s">
        <v>1211</v>
      </c>
      <c r="Q435" s="30" t="s">
        <v>867</v>
      </c>
      <c r="R435" s="129" t="s">
        <v>150</v>
      </c>
      <c r="S435" s="41">
        <v>2014</v>
      </c>
      <c r="T435" s="31" t="s">
        <v>1196</v>
      </c>
      <c r="U435" s="31" t="s">
        <v>1197</v>
      </c>
      <c r="V435" s="30" t="s">
        <v>1198</v>
      </c>
      <c r="W435" s="129" t="s">
        <v>151</v>
      </c>
      <c r="X435" s="30" t="s">
        <v>302</v>
      </c>
      <c r="Y435" s="30" t="s">
        <v>302</v>
      </c>
      <c r="Z435" s="44">
        <v>42643</v>
      </c>
      <c r="AA435" s="31" t="s">
        <v>3359</v>
      </c>
    </row>
    <row r="436" spans="1:27" s="29" customFormat="1" ht="34.5" customHeight="1">
      <c r="A436" s="30" t="s">
        <v>71</v>
      </c>
      <c r="B436" s="30" t="s">
        <v>116</v>
      </c>
      <c r="C436" s="30" t="s">
        <v>144</v>
      </c>
      <c r="D436" s="30" t="s">
        <v>1190</v>
      </c>
      <c r="E436" s="30" t="s">
        <v>285</v>
      </c>
      <c r="F436" s="30" t="s">
        <v>1212</v>
      </c>
      <c r="G436" s="30" t="s">
        <v>174</v>
      </c>
      <c r="H436" s="30">
        <v>532112</v>
      </c>
      <c r="I436" s="30" t="s">
        <v>67</v>
      </c>
      <c r="J436" s="129" t="s">
        <v>3404</v>
      </c>
      <c r="K436" s="30" t="s">
        <v>1192</v>
      </c>
      <c r="L436" s="30" t="s">
        <v>1193</v>
      </c>
      <c r="M436" s="45">
        <v>0</v>
      </c>
      <c r="N436" s="45">
        <v>16000</v>
      </c>
      <c r="O436" s="129" t="s">
        <v>79</v>
      </c>
      <c r="P436" s="30" t="s">
        <v>1213</v>
      </c>
      <c r="Q436" s="30" t="s">
        <v>867</v>
      </c>
      <c r="R436" s="129" t="s">
        <v>150</v>
      </c>
      <c r="S436" s="41">
        <v>2014</v>
      </c>
      <c r="T436" s="31" t="s">
        <v>1196</v>
      </c>
      <c r="U436" s="31" t="s">
        <v>1197</v>
      </c>
      <c r="V436" s="30" t="s">
        <v>1198</v>
      </c>
      <c r="W436" s="129" t="s">
        <v>151</v>
      </c>
      <c r="X436" s="30" t="s">
        <v>302</v>
      </c>
      <c r="Y436" s="30" t="s">
        <v>302</v>
      </c>
      <c r="Z436" s="44">
        <v>42643</v>
      </c>
      <c r="AA436" s="31" t="s">
        <v>3359</v>
      </c>
    </row>
    <row r="437" spans="1:27" s="29" customFormat="1" ht="34.5" customHeight="1">
      <c r="A437" s="30" t="s">
        <v>71</v>
      </c>
      <c r="B437" s="30" t="s">
        <v>116</v>
      </c>
      <c r="C437" s="30" t="s">
        <v>144</v>
      </c>
      <c r="D437" s="30" t="s">
        <v>1190</v>
      </c>
      <c r="E437" s="30" t="s">
        <v>285</v>
      </c>
      <c r="F437" s="30" t="s">
        <v>914</v>
      </c>
      <c r="G437" s="30" t="s">
        <v>207</v>
      </c>
      <c r="H437" s="30">
        <v>532112</v>
      </c>
      <c r="I437" s="30" t="s">
        <v>67</v>
      </c>
      <c r="J437" s="129" t="s">
        <v>3404</v>
      </c>
      <c r="K437" s="30" t="s">
        <v>1192</v>
      </c>
      <c r="L437" s="30" t="s">
        <v>1193</v>
      </c>
      <c r="M437" s="45">
        <v>0</v>
      </c>
      <c r="N437" s="45">
        <v>1730598.73</v>
      </c>
      <c r="O437" s="129" t="s">
        <v>79</v>
      </c>
      <c r="P437" s="30" t="s">
        <v>1214</v>
      </c>
      <c r="Q437" s="30" t="s">
        <v>867</v>
      </c>
      <c r="R437" s="129" t="s">
        <v>150</v>
      </c>
      <c r="S437" s="41">
        <v>2014</v>
      </c>
      <c r="T437" s="31" t="s">
        <v>1196</v>
      </c>
      <c r="U437" s="31" t="s">
        <v>1197</v>
      </c>
      <c r="V437" s="30" t="s">
        <v>1198</v>
      </c>
      <c r="W437" s="129" t="s">
        <v>151</v>
      </c>
      <c r="X437" s="30" t="s">
        <v>302</v>
      </c>
      <c r="Y437" s="30" t="s">
        <v>302</v>
      </c>
      <c r="Z437" s="44">
        <v>42643</v>
      </c>
      <c r="AA437" s="31" t="s">
        <v>3359</v>
      </c>
    </row>
    <row r="438" spans="1:27" s="29" customFormat="1" ht="34.5" customHeight="1">
      <c r="A438" s="30" t="s">
        <v>71</v>
      </c>
      <c r="B438" s="30" t="s">
        <v>116</v>
      </c>
      <c r="C438" s="30" t="s">
        <v>144</v>
      </c>
      <c r="D438" s="30" t="s">
        <v>1215</v>
      </c>
      <c r="E438" s="30" t="s">
        <v>285</v>
      </c>
      <c r="F438" s="30" t="s">
        <v>1210</v>
      </c>
      <c r="G438" s="30" t="s">
        <v>118</v>
      </c>
      <c r="H438" s="30">
        <v>333512</v>
      </c>
      <c r="I438" s="129" t="s">
        <v>98</v>
      </c>
      <c r="J438" s="129" t="s">
        <v>3404</v>
      </c>
      <c r="K438" s="30" t="s">
        <v>1192</v>
      </c>
      <c r="L438" s="30" t="s">
        <v>1193</v>
      </c>
      <c r="M438" s="45">
        <v>0</v>
      </c>
      <c r="N438" s="45">
        <v>61865.7</v>
      </c>
      <c r="O438" s="129" t="s">
        <v>79</v>
      </c>
      <c r="P438" s="30" t="s">
        <v>1216</v>
      </c>
      <c r="Q438" s="30" t="s">
        <v>867</v>
      </c>
      <c r="R438" s="129" t="s">
        <v>35</v>
      </c>
      <c r="S438" s="41">
        <v>2014</v>
      </c>
      <c r="T438" s="31" t="s">
        <v>1196</v>
      </c>
      <c r="U438" s="31" t="s">
        <v>1197</v>
      </c>
      <c r="V438" s="30" t="s">
        <v>1198</v>
      </c>
      <c r="W438" s="129" t="s">
        <v>151</v>
      </c>
      <c r="X438" s="30" t="s">
        <v>302</v>
      </c>
      <c r="Y438" s="30" t="s">
        <v>302</v>
      </c>
      <c r="Z438" s="44">
        <v>42277</v>
      </c>
      <c r="AA438" s="31" t="s">
        <v>3359</v>
      </c>
    </row>
    <row r="439" spans="1:27" s="29" customFormat="1" ht="34.5" customHeight="1">
      <c r="A439" s="30" t="s">
        <v>71</v>
      </c>
      <c r="B439" s="30" t="s">
        <v>116</v>
      </c>
      <c r="C439" s="30" t="s">
        <v>144</v>
      </c>
      <c r="D439" s="30" t="s">
        <v>1215</v>
      </c>
      <c r="E439" s="30" t="s">
        <v>285</v>
      </c>
      <c r="F439" s="30" t="s">
        <v>1217</v>
      </c>
      <c r="G439" s="30" t="s">
        <v>193</v>
      </c>
      <c r="H439" s="30">
        <v>333512</v>
      </c>
      <c r="I439" s="30" t="s">
        <v>67</v>
      </c>
      <c r="J439" s="129" t="s">
        <v>3404</v>
      </c>
      <c r="K439" s="30" t="s">
        <v>1192</v>
      </c>
      <c r="L439" s="30" t="s">
        <v>1193</v>
      </c>
      <c r="M439" s="45">
        <v>0</v>
      </c>
      <c r="N439" s="45">
        <v>210910.84</v>
      </c>
      <c r="O439" s="129" t="s">
        <v>79</v>
      </c>
      <c r="P439" s="30" t="s">
        <v>1218</v>
      </c>
      <c r="Q439" s="30" t="s">
        <v>867</v>
      </c>
      <c r="R439" s="129" t="s">
        <v>100</v>
      </c>
      <c r="S439" s="41">
        <v>2014</v>
      </c>
      <c r="T439" s="31" t="s">
        <v>1196</v>
      </c>
      <c r="U439" s="31" t="s">
        <v>1197</v>
      </c>
      <c r="V439" s="30" t="s">
        <v>1198</v>
      </c>
      <c r="W439" s="129" t="s">
        <v>151</v>
      </c>
      <c r="X439" s="30" t="s">
        <v>302</v>
      </c>
      <c r="Y439" s="30" t="s">
        <v>302</v>
      </c>
      <c r="Z439" s="44">
        <v>42277</v>
      </c>
      <c r="AA439" s="31" t="s">
        <v>3359</v>
      </c>
    </row>
    <row r="440" spans="1:27" s="29" customFormat="1" ht="34.5" customHeight="1">
      <c r="A440" s="30" t="s">
        <v>71</v>
      </c>
      <c r="B440" s="30" t="s">
        <v>116</v>
      </c>
      <c r="C440" s="30" t="s">
        <v>144</v>
      </c>
      <c r="D440" s="30" t="s">
        <v>1215</v>
      </c>
      <c r="E440" s="30" t="s">
        <v>285</v>
      </c>
      <c r="F440" s="30" t="s">
        <v>1219</v>
      </c>
      <c r="G440" s="30" t="s">
        <v>233</v>
      </c>
      <c r="H440" s="30">
        <v>333512</v>
      </c>
      <c r="I440" s="129" t="s">
        <v>59</v>
      </c>
      <c r="J440" s="129" t="s">
        <v>3404</v>
      </c>
      <c r="K440" s="30" t="s">
        <v>1192</v>
      </c>
      <c r="L440" s="30" t="s">
        <v>1193</v>
      </c>
      <c r="M440" s="45">
        <v>0</v>
      </c>
      <c r="N440" s="45">
        <v>28333</v>
      </c>
      <c r="O440" s="129" t="s">
        <v>79</v>
      </c>
      <c r="P440" s="30" t="s">
        <v>1220</v>
      </c>
      <c r="Q440" s="30" t="s">
        <v>867</v>
      </c>
      <c r="R440" s="129" t="s">
        <v>100</v>
      </c>
      <c r="S440" s="41">
        <v>2014</v>
      </c>
      <c r="T440" s="31" t="s">
        <v>1196</v>
      </c>
      <c r="U440" s="31" t="s">
        <v>1197</v>
      </c>
      <c r="V440" s="30" t="s">
        <v>1198</v>
      </c>
      <c r="W440" s="129" t="s">
        <v>151</v>
      </c>
      <c r="X440" s="30" t="s">
        <v>302</v>
      </c>
      <c r="Y440" s="30" t="s">
        <v>302</v>
      </c>
      <c r="Z440" s="44">
        <v>42277</v>
      </c>
      <c r="AA440" s="31" t="s">
        <v>3359</v>
      </c>
    </row>
    <row r="441" spans="1:27" s="29" customFormat="1" ht="34.5" customHeight="1">
      <c r="A441" s="30" t="s">
        <v>71</v>
      </c>
      <c r="B441" s="30" t="s">
        <v>116</v>
      </c>
      <c r="C441" s="30" t="s">
        <v>144</v>
      </c>
      <c r="D441" s="30" t="s">
        <v>1215</v>
      </c>
      <c r="E441" s="30" t="s">
        <v>285</v>
      </c>
      <c r="F441" s="30" t="s">
        <v>1221</v>
      </c>
      <c r="G441" s="30" t="s">
        <v>31</v>
      </c>
      <c r="H441" s="30">
        <v>333512</v>
      </c>
      <c r="I441" s="30" t="s">
        <v>67</v>
      </c>
      <c r="J441" s="129" t="s">
        <v>3404</v>
      </c>
      <c r="K441" s="30" t="s">
        <v>1192</v>
      </c>
      <c r="L441" s="30" t="s">
        <v>1193</v>
      </c>
      <c r="M441" s="45">
        <v>0</v>
      </c>
      <c r="N441" s="45">
        <v>154575.85</v>
      </c>
      <c r="O441" s="129" t="s">
        <v>79</v>
      </c>
      <c r="P441" s="30" t="s">
        <v>1222</v>
      </c>
      <c r="Q441" s="30" t="s">
        <v>867</v>
      </c>
      <c r="R441" s="129" t="s">
        <v>100</v>
      </c>
      <c r="S441" s="41">
        <v>2014</v>
      </c>
      <c r="T441" s="31" t="s">
        <v>1196</v>
      </c>
      <c r="U441" s="31" t="s">
        <v>1197</v>
      </c>
      <c r="V441" s="30" t="s">
        <v>1198</v>
      </c>
      <c r="W441" s="129" t="s">
        <v>151</v>
      </c>
      <c r="X441" s="30" t="s">
        <v>302</v>
      </c>
      <c r="Y441" s="30" t="s">
        <v>302</v>
      </c>
      <c r="Z441" s="44">
        <v>42277</v>
      </c>
      <c r="AA441" s="31" t="s">
        <v>3359</v>
      </c>
    </row>
    <row r="442" spans="1:27" s="29" customFormat="1" ht="34.5" customHeight="1">
      <c r="A442" s="30" t="s">
        <v>71</v>
      </c>
      <c r="B442" s="30" t="s">
        <v>116</v>
      </c>
      <c r="C442" s="30" t="s">
        <v>144</v>
      </c>
      <c r="D442" s="30" t="s">
        <v>1223</v>
      </c>
      <c r="E442" s="30" t="s">
        <v>285</v>
      </c>
      <c r="F442" s="30" t="s">
        <v>1224</v>
      </c>
      <c r="G442" s="30" t="s">
        <v>219</v>
      </c>
      <c r="H442" s="30">
        <v>425120</v>
      </c>
      <c r="I442" s="129" t="s">
        <v>98</v>
      </c>
      <c r="J442" s="129" t="s">
        <v>3397</v>
      </c>
      <c r="K442" s="30" t="s">
        <v>1225</v>
      </c>
      <c r="L442" s="30" t="s">
        <v>1193</v>
      </c>
      <c r="M442" s="45">
        <v>2500</v>
      </c>
      <c r="N442" s="45">
        <v>654794.34</v>
      </c>
      <c r="O442" s="129" t="s">
        <v>79</v>
      </c>
      <c r="P442" s="30" t="s">
        <v>1226</v>
      </c>
      <c r="Q442" s="30" t="s">
        <v>867</v>
      </c>
      <c r="R442" s="155" t="s">
        <v>80</v>
      </c>
      <c r="S442" s="41">
        <v>2014</v>
      </c>
      <c r="T442" s="31" t="s">
        <v>1196</v>
      </c>
      <c r="U442" s="31" t="s">
        <v>1197</v>
      </c>
      <c r="V442" s="30" t="s">
        <v>1198</v>
      </c>
      <c r="W442" s="129" t="s">
        <v>151</v>
      </c>
      <c r="X442" s="30" t="s">
        <v>302</v>
      </c>
      <c r="Y442" s="30" t="s">
        <v>302</v>
      </c>
      <c r="Z442" s="44">
        <v>41912</v>
      </c>
      <c r="AA442" s="31" t="s">
        <v>3359</v>
      </c>
    </row>
    <row r="443" spans="1:27" s="29" customFormat="1" ht="34.5" customHeight="1">
      <c r="A443" s="30" t="s">
        <v>71</v>
      </c>
      <c r="B443" s="30" t="s">
        <v>116</v>
      </c>
      <c r="C443" s="30" t="s">
        <v>144</v>
      </c>
      <c r="D443" s="30" t="s">
        <v>1223</v>
      </c>
      <c r="E443" s="30" t="s">
        <v>285</v>
      </c>
      <c r="F443" s="30" t="s">
        <v>1227</v>
      </c>
      <c r="G443" s="30" t="s">
        <v>223</v>
      </c>
      <c r="H443" s="30">
        <v>425120</v>
      </c>
      <c r="I443" s="129" t="s">
        <v>98</v>
      </c>
      <c r="J443" s="129" t="s">
        <v>3397</v>
      </c>
      <c r="K443" s="30" t="s">
        <v>1225</v>
      </c>
      <c r="L443" s="30" t="s">
        <v>1193</v>
      </c>
      <c r="M443" s="45">
        <v>2500</v>
      </c>
      <c r="N443" s="45">
        <v>85865.15</v>
      </c>
      <c r="O443" s="129" t="s">
        <v>79</v>
      </c>
      <c r="P443" s="30" t="s">
        <v>1228</v>
      </c>
      <c r="Q443" s="30" t="s">
        <v>867</v>
      </c>
      <c r="R443" s="155" t="s">
        <v>80</v>
      </c>
      <c r="S443" s="41">
        <v>2014</v>
      </c>
      <c r="T443" s="31" t="s">
        <v>1196</v>
      </c>
      <c r="U443" s="31" t="s">
        <v>1197</v>
      </c>
      <c r="V443" s="30" t="s">
        <v>1198</v>
      </c>
      <c r="W443" s="129" t="s">
        <v>151</v>
      </c>
      <c r="X443" s="30" t="s">
        <v>302</v>
      </c>
      <c r="Y443" s="30" t="s">
        <v>302</v>
      </c>
      <c r="Z443" s="44">
        <v>41912</v>
      </c>
      <c r="AA443" s="31" t="s">
        <v>3359</v>
      </c>
    </row>
    <row r="444" spans="1:27" s="29" customFormat="1" ht="34.5" customHeight="1">
      <c r="A444" s="30" t="s">
        <v>71</v>
      </c>
      <c r="B444" s="30" t="s">
        <v>116</v>
      </c>
      <c r="C444" s="30" t="s">
        <v>144</v>
      </c>
      <c r="D444" s="30" t="s">
        <v>1223</v>
      </c>
      <c r="E444" s="30" t="s">
        <v>285</v>
      </c>
      <c r="F444" s="30" t="s">
        <v>1229</v>
      </c>
      <c r="G444" s="30" t="s">
        <v>185</v>
      </c>
      <c r="H444" s="30">
        <v>425120</v>
      </c>
      <c r="I444" s="129" t="s">
        <v>98</v>
      </c>
      <c r="J444" s="129" t="s">
        <v>3397</v>
      </c>
      <c r="K444" s="30" t="s">
        <v>1225</v>
      </c>
      <c r="L444" s="30" t="s">
        <v>1193</v>
      </c>
      <c r="M444" s="45">
        <v>2500</v>
      </c>
      <c r="N444" s="45">
        <v>341919.43</v>
      </c>
      <c r="O444" s="129" t="s">
        <v>79</v>
      </c>
      <c r="P444" s="30" t="s">
        <v>1230</v>
      </c>
      <c r="Q444" s="30" t="s">
        <v>867</v>
      </c>
      <c r="R444" s="155" t="s">
        <v>80</v>
      </c>
      <c r="S444" s="41">
        <v>2014</v>
      </c>
      <c r="T444" s="31" t="s">
        <v>1196</v>
      </c>
      <c r="U444" s="31" t="s">
        <v>1197</v>
      </c>
      <c r="V444" s="30" t="s">
        <v>1198</v>
      </c>
      <c r="W444" s="129" t="s">
        <v>151</v>
      </c>
      <c r="X444" s="30" t="s">
        <v>302</v>
      </c>
      <c r="Y444" s="30" t="s">
        <v>302</v>
      </c>
      <c r="Z444" s="44">
        <v>41912</v>
      </c>
      <c r="AA444" s="31" t="s">
        <v>3359</v>
      </c>
    </row>
    <row r="445" spans="1:27" s="29" customFormat="1" ht="34.5" customHeight="1">
      <c r="A445" s="30" t="s">
        <v>71</v>
      </c>
      <c r="B445" s="30" t="s">
        <v>116</v>
      </c>
      <c r="C445" s="30" t="s">
        <v>144</v>
      </c>
      <c r="D445" s="30" t="s">
        <v>1223</v>
      </c>
      <c r="E445" s="30" t="s">
        <v>285</v>
      </c>
      <c r="F445" s="30" t="s">
        <v>1231</v>
      </c>
      <c r="G445" s="30" t="s">
        <v>58</v>
      </c>
      <c r="H445" s="30">
        <v>425120</v>
      </c>
      <c r="I445" s="129" t="s">
        <v>98</v>
      </c>
      <c r="J445" s="129" t="s">
        <v>3397</v>
      </c>
      <c r="K445" s="30" t="s">
        <v>1225</v>
      </c>
      <c r="L445" s="30" t="s">
        <v>1193</v>
      </c>
      <c r="M445" s="45">
        <v>2500</v>
      </c>
      <c r="N445" s="45">
        <v>7500</v>
      </c>
      <c r="O445" s="129" t="s">
        <v>149</v>
      </c>
      <c r="P445" s="30" t="s">
        <v>1232</v>
      </c>
      <c r="Q445" s="30" t="s">
        <v>867</v>
      </c>
      <c r="R445" s="155" t="s">
        <v>80</v>
      </c>
      <c r="S445" s="41">
        <v>2014</v>
      </c>
      <c r="T445" s="31" t="s">
        <v>1196</v>
      </c>
      <c r="U445" s="31" t="s">
        <v>1197</v>
      </c>
      <c r="V445" s="30" t="s">
        <v>1198</v>
      </c>
      <c r="W445" s="129" t="s">
        <v>151</v>
      </c>
      <c r="X445" s="30" t="s">
        <v>302</v>
      </c>
      <c r="Y445" s="30" t="s">
        <v>302</v>
      </c>
      <c r="Z445" s="44">
        <v>41912</v>
      </c>
      <c r="AA445" s="31" t="s">
        <v>3359</v>
      </c>
    </row>
    <row r="446" spans="1:27" s="29" customFormat="1" ht="34.5" customHeight="1">
      <c r="A446" s="30" t="s">
        <v>71</v>
      </c>
      <c r="B446" s="30" t="s">
        <v>116</v>
      </c>
      <c r="C446" s="30" t="s">
        <v>144</v>
      </c>
      <c r="D446" s="30" t="s">
        <v>1223</v>
      </c>
      <c r="E446" s="30" t="s">
        <v>285</v>
      </c>
      <c r="F446" s="30" t="s">
        <v>1233</v>
      </c>
      <c r="G446" s="30" t="s">
        <v>205</v>
      </c>
      <c r="H446" s="30">
        <v>425120</v>
      </c>
      <c r="I446" s="129" t="s">
        <v>98</v>
      </c>
      <c r="J446" s="129" t="s">
        <v>3397</v>
      </c>
      <c r="K446" s="30" t="s">
        <v>1225</v>
      </c>
      <c r="L446" s="30" t="s">
        <v>1193</v>
      </c>
      <c r="M446" s="45">
        <v>2500</v>
      </c>
      <c r="N446" s="45">
        <v>68762.460000000006</v>
      </c>
      <c r="O446" s="129" t="s">
        <v>79</v>
      </c>
      <c r="P446" s="30" t="s">
        <v>1234</v>
      </c>
      <c r="Q446" s="30" t="s">
        <v>867</v>
      </c>
      <c r="R446" s="155" t="s">
        <v>80</v>
      </c>
      <c r="S446" s="41">
        <v>2014</v>
      </c>
      <c r="T446" s="31" t="s">
        <v>1196</v>
      </c>
      <c r="U446" s="31" t="s">
        <v>1197</v>
      </c>
      <c r="V446" s="30" t="s">
        <v>1198</v>
      </c>
      <c r="W446" s="129" t="s">
        <v>151</v>
      </c>
      <c r="X446" s="30" t="s">
        <v>302</v>
      </c>
      <c r="Y446" s="30" t="s">
        <v>302</v>
      </c>
      <c r="Z446" s="44">
        <v>41912</v>
      </c>
      <c r="AA446" s="31" t="s">
        <v>3359</v>
      </c>
    </row>
    <row r="447" spans="1:27" s="29" customFormat="1" ht="34.5" customHeight="1">
      <c r="A447" s="30" t="s">
        <v>71</v>
      </c>
      <c r="B447" s="30" t="s">
        <v>116</v>
      </c>
      <c r="C447" s="30" t="s">
        <v>144</v>
      </c>
      <c r="D447" s="30" t="s">
        <v>1223</v>
      </c>
      <c r="E447" s="30" t="s">
        <v>285</v>
      </c>
      <c r="F447" s="30" t="s">
        <v>904</v>
      </c>
      <c r="G447" s="30" t="s">
        <v>207</v>
      </c>
      <c r="H447" s="30">
        <v>425120</v>
      </c>
      <c r="I447" s="129" t="s">
        <v>98</v>
      </c>
      <c r="J447" s="129" t="s">
        <v>3397</v>
      </c>
      <c r="K447" s="30" t="s">
        <v>1225</v>
      </c>
      <c r="L447" s="30" t="s">
        <v>1193</v>
      </c>
      <c r="M447" s="45">
        <v>2500</v>
      </c>
      <c r="N447" s="45">
        <v>510350.29</v>
      </c>
      <c r="O447" s="129" t="s">
        <v>79</v>
      </c>
      <c r="P447" s="30" t="s">
        <v>1235</v>
      </c>
      <c r="Q447" s="30" t="s">
        <v>867</v>
      </c>
      <c r="R447" s="155" t="s">
        <v>80</v>
      </c>
      <c r="S447" s="41">
        <v>2014</v>
      </c>
      <c r="T447" s="31" t="s">
        <v>1196</v>
      </c>
      <c r="U447" s="31" t="s">
        <v>1197</v>
      </c>
      <c r="V447" s="30" t="s">
        <v>1198</v>
      </c>
      <c r="W447" s="129" t="s">
        <v>151</v>
      </c>
      <c r="X447" s="30" t="s">
        <v>302</v>
      </c>
      <c r="Y447" s="30" t="s">
        <v>302</v>
      </c>
      <c r="Z447" s="44">
        <v>41912</v>
      </c>
      <c r="AA447" s="31" t="s">
        <v>3359</v>
      </c>
    </row>
    <row r="448" spans="1:27" s="29" customFormat="1" ht="34.5" customHeight="1">
      <c r="A448" s="30" t="s">
        <v>71</v>
      </c>
      <c r="B448" s="30" t="s">
        <v>116</v>
      </c>
      <c r="C448" s="30" t="s">
        <v>144</v>
      </c>
      <c r="D448" s="30" t="s">
        <v>1223</v>
      </c>
      <c r="E448" s="30" t="s">
        <v>285</v>
      </c>
      <c r="F448" s="30" t="s">
        <v>1236</v>
      </c>
      <c r="G448" s="30" t="s">
        <v>183</v>
      </c>
      <c r="H448" s="30">
        <v>425120</v>
      </c>
      <c r="I448" s="129" t="s">
        <v>3388</v>
      </c>
      <c r="J448" s="129" t="s">
        <v>3397</v>
      </c>
      <c r="K448" s="30" t="s">
        <v>1225</v>
      </c>
      <c r="L448" s="30" t="s">
        <v>1193</v>
      </c>
      <c r="M448" s="45">
        <v>2500</v>
      </c>
      <c r="N448" s="45">
        <v>320350.84000000003</v>
      </c>
      <c r="O448" s="129" t="s">
        <v>79</v>
      </c>
      <c r="P448" s="30" t="s">
        <v>1237</v>
      </c>
      <c r="Q448" s="30" t="s">
        <v>867</v>
      </c>
      <c r="R448" s="155" t="s">
        <v>80</v>
      </c>
      <c r="S448" s="41">
        <v>2014</v>
      </c>
      <c r="T448" s="31" t="s">
        <v>1196</v>
      </c>
      <c r="U448" s="31" t="s">
        <v>1197</v>
      </c>
      <c r="V448" s="30" t="s">
        <v>1198</v>
      </c>
      <c r="W448" s="129" t="s">
        <v>151</v>
      </c>
      <c r="X448" s="30" t="s">
        <v>302</v>
      </c>
      <c r="Y448" s="30" t="s">
        <v>302</v>
      </c>
      <c r="Z448" s="44">
        <v>41912</v>
      </c>
      <c r="AA448" s="31" t="s">
        <v>3359</v>
      </c>
    </row>
    <row r="449" spans="1:27" s="29" customFormat="1" ht="34.5" customHeight="1">
      <c r="A449" s="30" t="s">
        <v>71</v>
      </c>
      <c r="B449" s="30" t="s">
        <v>116</v>
      </c>
      <c r="C449" s="30" t="s">
        <v>144</v>
      </c>
      <c r="D449" s="30" t="s">
        <v>1223</v>
      </c>
      <c r="E449" s="30" t="s">
        <v>285</v>
      </c>
      <c r="F449" s="30" t="s">
        <v>1238</v>
      </c>
      <c r="G449" s="30" t="s">
        <v>50</v>
      </c>
      <c r="H449" s="30">
        <v>425120</v>
      </c>
      <c r="I449" s="129" t="s">
        <v>98</v>
      </c>
      <c r="J449" s="129" t="s">
        <v>3397</v>
      </c>
      <c r="K449" s="30" t="s">
        <v>1225</v>
      </c>
      <c r="L449" s="30" t="s">
        <v>1193</v>
      </c>
      <c r="M449" s="45">
        <v>2500</v>
      </c>
      <c r="N449" s="45">
        <v>962923.1</v>
      </c>
      <c r="O449" s="129" t="s">
        <v>79</v>
      </c>
      <c r="P449" s="30" t="s">
        <v>1239</v>
      </c>
      <c r="Q449" s="30" t="s">
        <v>867</v>
      </c>
      <c r="R449" s="155" t="s">
        <v>80</v>
      </c>
      <c r="S449" s="41">
        <v>2014</v>
      </c>
      <c r="T449" s="31" t="s">
        <v>1196</v>
      </c>
      <c r="U449" s="31" t="s">
        <v>1197</v>
      </c>
      <c r="V449" s="30" t="s">
        <v>1198</v>
      </c>
      <c r="W449" s="129" t="s">
        <v>151</v>
      </c>
      <c r="X449" s="30" t="s">
        <v>302</v>
      </c>
      <c r="Y449" s="30" t="s">
        <v>302</v>
      </c>
      <c r="Z449" s="44">
        <v>41912</v>
      </c>
      <c r="AA449" s="31" t="s">
        <v>3359</v>
      </c>
    </row>
    <row r="450" spans="1:27" s="29" customFormat="1" ht="34.5" customHeight="1">
      <c r="A450" s="30" t="s">
        <v>71</v>
      </c>
      <c r="B450" s="30" t="s">
        <v>116</v>
      </c>
      <c r="C450" s="30" t="s">
        <v>144</v>
      </c>
      <c r="D450" s="30" t="s">
        <v>1223</v>
      </c>
      <c r="E450" s="30" t="s">
        <v>285</v>
      </c>
      <c r="F450" s="30" t="s">
        <v>1240</v>
      </c>
      <c r="G450" s="30" t="s">
        <v>50</v>
      </c>
      <c r="H450" s="30">
        <v>425120</v>
      </c>
      <c r="I450" s="30" t="s">
        <v>67</v>
      </c>
      <c r="J450" s="129" t="s">
        <v>3397</v>
      </c>
      <c r="K450" s="30" t="s">
        <v>1225</v>
      </c>
      <c r="L450" s="30" t="s">
        <v>1193</v>
      </c>
      <c r="M450" s="45">
        <v>2500</v>
      </c>
      <c r="N450" s="45">
        <v>199401.77</v>
      </c>
      <c r="O450" s="129" t="s">
        <v>79</v>
      </c>
      <c r="P450" s="30" t="s">
        <v>1241</v>
      </c>
      <c r="Q450" s="30" t="s">
        <v>867</v>
      </c>
      <c r="R450" s="155" t="s">
        <v>80</v>
      </c>
      <c r="S450" s="41">
        <v>2014</v>
      </c>
      <c r="T450" s="31" t="s">
        <v>1196</v>
      </c>
      <c r="U450" s="31" t="s">
        <v>1197</v>
      </c>
      <c r="V450" s="30" t="s">
        <v>1198</v>
      </c>
      <c r="W450" s="129" t="s">
        <v>151</v>
      </c>
      <c r="X450" s="30" t="s">
        <v>302</v>
      </c>
      <c r="Y450" s="30" t="s">
        <v>302</v>
      </c>
      <c r="Z450" s="44">
        <v>41912</v>
      </c>
      <c r="AA450" s="31" t="s">
        <v>3359</v>
      </c>
    </row>
    <row r="451" spans="1:27" s="29" customFormat="1" ht="34.5" customHeight="1">
      <c r="A451" s="30" t="s">
        <v>71</v>
      </c>
      <c r="B451" s="30" t="s">
        <v>116</v>
      </c>
      <c r="C451" s="30" t="s">
        <v>144</v>
      </c>
      <c r="D451" s="30" t="s">
        <v>1223</v>
      </c>
      <c r="E451" s="30" t="s">
        <v>285</v>
      </c>
      <c r="F451" s="30" t="s">
        <v>1242</v>
      </c>
      <c r="G451" s="30" t="s">
        <v>50</v>
      </c>
      <c r="H451" s="30">
        <v>425120</v>
      </c>
      <c r="I451" s="129" t="s">
        <v>98</v>
      </c>
      <c r="J451" s="129" t="s">
        <v>3397</v>
      </c>
      <c r="K451" s="30" t="s">
        <v>1225</v>
      </c>
      <c r="L451" s="30" t="s">
        <v>1193</v>
      </c>
      <c r="M451" s="45">
        <v>2500</v>
      </c>
      <c r="N451" s="45">
        <v>851387.62</v>
      </c>
      <c r="O451" s="129" t="s">
        <v>79</v>
      </c>
      <c r="P451" s="30" t="s">
        <v>1243</v>
      </c>
      <c r="Q451" s="30" t="s">
        <v>867</v>
      </c>
      <c r="R451" s="155" t="s">
        <v>80</v>
      </c>
      <c r="S451" s="41">
        <v>2014</v>
      </c>
      <c r="T451" s="31" t="s">
        <v>1196</v>
      </c>
      <c r="U451" s="31" t="s">
        <v>1197</v>
      </c>
      <c r="V451" s="30" t="s">
        <v>1198</v>
      </c>
      <c r="W451" s="129" t="s">
        <v>151</v>
      </c>
      <c r="X451" s="30" t="s">
        <v>302</v>
      </c>
      <c r="Y451" s="30" t="s">
        <v>302</v>
      </c>
      <c r="Z451" s="44">
        <v>41912</v>
      </c>
      <c r="AA451" s="31" t="s">
        <v>3359</v>
      </c>
    </row>
    <row r="452" spans="1:27" s="29" customFormat="1" ht="34.5" customHeight="1">
      <c r="A452" s="30" t="s">
        <v>71</v>
      </c>
      <c r="B452" s="30" t="s">
        <v>116</v>
      </c>
      <c r="C452" s="30" t="s">
        <v>144</v>
      </c>
      <c r="D452" s="30" t="s">
        <v>1223</v>
      </c>
      <c r="E452" s="30" t="s">
        <v>285</v>
      </c>
      <c r="F452" s="30" t="s">
        <v>1244</v>
      </c>
      <c r="G452" s="30" t="s">
        <v>136</v>
      </c>
      <c r="H452" s="30">
        <v>425120</v>
      </c>
      <c r="I452" s="129" t="s">
        <v>98</v>
      </c>
      <c r="J452" s="129" t="s">
        <v>3397</v>
      </c>
      <c r="K452" s="30" t="s">
        <v>1225</v>
      </c>
      <c r="L452" s="30" t="s">
        <v>1193</v>
      </c>
      <c r="M452" s="45">
        <v>2500</v>
      </c>
      <c r="N452" s="45">
        <v>252799.2</v>
      </c>
      <c r="O452" s="129" t="s">
        <v>79</v>
      </c>
      <c r="P452" s="30" t="s">
        <v>1245</v>
      </c>
      <c r="Q452" s="30" t="s">
        <v>867</v>
      </c>
      <c r="R452" s="155" t="s">
        <v>80</v>
      </c>
      <c r="S452" s="41">
        <v>2014</v>
      </c>
      <c r="T452" s="31" t="s">
        <v>1196</v>
      </c>
      <c r="U452" s="31" t="s">
        <v>1197</v>
      </c>
      <c r="V452" s="30" t="s">
        <v>1198</v>
      </c>
      <c r="W452" s="129" t="s">
        <v>151</v>
      </c>
      <c r="X452" s="30" t="s">
        <v>302</v>
      </c>
      <c r="Y452" s="30" t="s">
        <v>302</v>
      </c>
      <c r="Z452" s="44">
        <v>41912</v>
      </c>
      <c r="AA452" s="31" t="s">
        <v>3359</v>
      </c>
    </row>
    <row r="453" spans="1:27" s="29" customFormat="1" ht="34.5" customHeight="1">
      <c r="A453" s="30" t="s">
        <v>71</v>
      </c>
      <c r="B453" s="30" t="s">
        <v>116</v>
      </c>
      <c r="C453" s="30" t="s">
        <v>144</v>
      </c>
      <c r="D453" s="30" t="s">
        <v>1223</v>
      </c>
      <c r="E453" s="30" t="s">
        <v>285</v>
      </c>
      <c r="F453" s="30" t="s">
        <v>1246</v>
      </c>
      <c r="G453" s="30" t="s">
        <v>235</v>
      </c>
      <c r="H453" s="30">
        <v>425120</v>
      </c>
      <c r="I453" s="129" t="s">
        <v>98</v>
      </c>
      <c r="J453" s="129" t="s">
        <v>3397</v>
      </c>
      <c r="K453" s="30" t="s">
        <v>1225</v>
      </c>
      <c r="L453" s="30" t="s">
        <v>1193</v>
      </c>
      <c r="M453" s="45">
        <v>2500</v>
      </c>
      <c r="N453" s="45">
        <v>29330.560000000001</v>
      </c>
      <c r="O453" s="129" t="s">
        <v>79</v>
      </c>
      <c r="P453" s="30" t="s">
        <v>1247</v>
      </c>
      <c r="Q453" s="30" t="s">
        <v>867</v>
      </c>
      <c r="R453" s="155" t="s">
        <v>80</v>
      </c>
      <c r="S453" s="41">
        <v>2014</v>
      </c>
      <c r="T453" s="31" t="s">
        <v>1196</v>
      </c>
      <c r="U453" s="31" t="s">
        <v>1197</v>
      </c>
      <c r="V453" s="30" t="s">
        <v>1198</v>
      </c>
      <c r="W453" s="129" t="s">
        <v>151</v>
      </c>
      <c r="X453" s="30" t="s">
        <v>302</v>
      </c>
      <c r="Y453" s="30" t="s">
        <v>302</v>
      </c>
      <c r="Z453" s="44">
        <v>41912</v>
      </c>
      <c r="AA453" s="31" t="s">
        <v>3359</v>
      </c>
    </row>
    <row r="454" spans="1:27" s="29" customFormat="1" ht="34.5" customHeight="1">
      <c r="A454" s="30" t="s">
        <v>71</v>
      </c>
      <c r="B454" s="30" t="s">
        <v>116</v>
      </c>
      <c r="C454" s="30" t="s">
        <v>144</v>
      </c>
      <c r="D454" s="30" t="s">
        <v>1223</v>
      </c>
      <c r="E454" s="30" t="s">
        <v>285</v>
      </c>
      <c r="F454" s="30" t="s">
        <v>341</v>
      </c>
      <c r="G454" s="30" t="s">
        <v>75</v>
      </c>
      <c r="H454" s="30">
        <v>425120</v>
      </c>
      <c r="I454" s="129" t="s">
        <v>98</v>
      </c>
      <c r="J454" s="129" t="s">
        <v>3397</v>
      </c>
      <c r="K454" s="30" t="s">
        <v>1225</v>
      </c>
      <c r="L454" s="30" t="s">
        <v>1193</v>
      </c>
      <c r="M454" s="39">
        <v>2500</v>
      </c>
      <c r="N454" s="39">
        <v>186197.02</v>
      </c>
      <c r="O454" s="129" t="s">
        <v>79</v>
      </c>
      <c r="P454" s="30" t="s">
        <v>1248</v>
      </c>
      <c r="Q454" s="30" t="s">
        <v>867</v>
      </c>
      <c r="R454" s="155" t="s">
        <v>80</v>
      </c>
      <c r="S454" s="41">
        <v>2014</v>
      </c>
      <c r="T454" s="31" t="s">
        <v>1196</v>
      </c>
      <c r="U454" s="31" t="s">
        <v>1197</v>
      </c>
      <c r="V454" s="30" t="s">
        <v>1198</v>
      </c>
      <c r="W454" s="129" t="s">
        <v>151</v>
      </c>
      <c r="X454" s="30" t="s">
        <v>302</v>
      </c>
      <c r="Y454" s="30" t="s">
        <v>302</v>
      </c>
      <c r="Z454" s="44">
        <v>41912</v>
      </c>
      <c r="AA454" s="31" t="s">
        <v>3359</v>
      </c>
    </row>
    <row r="455" spans="1:27" s="29" customFormat="1" ht="34.5" customHeight="1">
      <c r="A455" s="30" t="s">
        <v>71</v>
      </c>
      <c r="B455" s="30" t="s">
        <v>116</v>
      </c>
      <c r="C455" s="30" t="s">
        <v>144</v>
      </c>
      <c r="D455" s="30" t="s">
        <v>1223</v>
      </c>
      <c r="E455" s="30" t="s">
        <v>285</v>
      </c>
      <c r="F455" s="30" t="s">
        <v>367</v>
      </c>
      <c r="G455" s="30" t="s">
        <v>209</v>
      </c>
      <c r="H455" s="30">
        <v>425120</v>
      </c>
      <c r="I455" s="129" t="s">
        <v>98</v>
      </c>
      <c r="J455" s="129" t="s">
        <v>3397</v>
      </c>
      <c r="K455" s="30" t="s">
        <v>1225</v>
      </c>
      <c r="L455" s="30" t="s">
        <v>1193</v>
      </c>
      <c r="M455" s="39">
        <v>2500</v>
      </c>
      <c r="N455" s="39">
        <v>26380.05</v>
      </c>
      <c r="O455" s="129" t="s">
        <v>79</v>
      </c>
      <c r="P455" s="30" t="s">
        <v>1249</v>
      </c>
      <c r="Q455" s="30" t="s">
        <v>867</v>
      </c>
      <c r="R455" s="155" t="s">
        <v>80</v>
      </c>
      <c r="S455" s="41">
        <v>2014</v>
      </c>
      <c r="T455" s="31" t="s">
        <v>1196</v>
      </c>
      <c r="U455" s="31" t="s">
        <v>1197</v>
      </c>
      <c r="V455" s="30" t="s">
        <v>1198</v>
      </c>
      <c r="W455" s="129" t="s">
        <v>151</v>
      </c>
      <c r="X455" s="30" t="s">
        <v>302</v>
      </c>
      <c r="Y455" s="30" t="s">
        <v>302</v>
      </c>
      <c r="Z455" s="44">
        <v>41912</v>
      </c>
      <c r="AA455" s="31" t="s">
        <v>3359</v>
      </c>
    </row>
    <row r="456" spans="1:27" s="29" customFormat="1" ht="34.5" customHeight="1">
      <c r="A456" s="30" t="s">
        <v>71</v>
      </c>
      <c r="B456" s="30" t="s">
        <v>116</v>
      </c>
      <c r="C456" s="30" t="s">
        <v>144</v>
      </c>
      <c r="D456" s="30" t="s">
        <v>1223</v>
      </c>
      <c r="E456" s="30" t="s">
        <v>285</v>
      </c>
      <c r="F456" s="30" t="s">
        <v>361</v>
      </c>
      <c r="G456" s="30" t="s">
        <v>209</v>
      </c>
      <c r="H456" s="30">
        <v>425120</v>
      </c>
      <c r="I456" s="129" t="s">
        <v>98</v>
      </c>
      <c r="J456" s="129" t="s">
        <v>3397</v>
      </c>
      <c r="K456" s="30" t="s">
        <v>1225</v>
      </c>
      <c r="L456" s="30" t="s">
        <v>1193</v>
      </c>
      <c r="M456" s="45">
        <v>2500</v>
      </c>
      <c r="N456" s="45">
        <v>439508.38</v>
      </c>
      <c r="O456" s="129" t="s">
        <v>79</v>
      </c>
      <c r="P456" s="30" t="s">
        <v>1250</v>
      </c>
      <c r="Q456" s="30" t="s">
        <v>867</v>
      </c>
      <c r="R456" s="155" t="s">
        <v>80</v>
      </c>
      <c r="S456" s="41">
        <v>2014</v>
      </c>
      <c r="T456" s="31" t="s">
        <v>1196</v>
      </c>
      <c r="U456" s="31" t="s">
        <v>1197</v>
      </c>
      <c r="V456" s="30" t="s">
        <v>1198</v>
      </c>
      <c r="W456" s="129" t="s">
        <v>151</v>
      </c>
      <c r="X456" s="30" t="s">
        <v>302</v>
      </c>
      <c r="Y456" s="30" t="s">
        <v>302</v>
      </c>
      <c r="Z456" s="44">
        <v>41912</v>
      </c>
      <c r="AA456" s="31" t="s">
        <v>3359</v>
      </c>
    </row>
    <row r="457" spans="1:27" s="29" customFormat="1" ht="34.5" customHeight="1">
      <c r="A457" s="30" t="s">
        <v>71</v>
      </c>
      <c r="B457" s="30" t="s">
        <v>116</v>
      </c>
      <c r="C457" s="30" t="s">
        <v>144</v>
      </c>
      <c r="D457" s="30" t="s">
        <v>1223</v>
      </c>
      <c r="E457" s="30" t="s">
        <v>285</v>
      </c>
      <c r="F457" s="30" t="s">
        <v>1251</v>
      </c>
      <c r="G457" s="30" t="s">
        <v>235</v>
      </c>
      <c r="H457" s="30">
        <v>425120</v>
      </c>
      <c r="I457" s="30" t="s">
        <v>67</v>
      </c>
      <c r="J457" s="129" t="s">
        <v>3397</v>
      </c>
      <c r="K457" s="30" t="s">
        <v>1225</v>
      </c>
      <c r="L457" s="30" t="s">
        <v>1193</v>
      </c>
      <c r="M457" s="45">
        <v>2500</v>
      </c>
      <c r="N457" s="45">
        <v>81404</v>
      </c>
      <c r="O457" s="129" t="s">
        <v>79</v>
      </c>
      <c r="P457" s="30" t="s">
        <v>1252</v>
      </c>
      <c r="Q457" s="30" t="s">
        <v>867</v>
      </c>
      <c r="R457" s="155" t="s">
        <v>80</v>
      </c>
      <c r="S457" s="41">
        <v>2014</v>
      </c>
      <c r="T457" s="31" t="s">
        <v>1196</v>
      </c>
      <c r="U457" s="31" t="s">
        <v>1197</v>
      </c>
      <c r="V457" s="30" t="s">
        <v>1198</v>
      </c>
      <c r="W457" s="129" t="s">
        <v>151</v>
      </c>
      <c r="X457" s="30" t="s">
        <v>302</v>
      </c>
      <c r="Y457" s="30" t="s">
        <v>302</v>
      </c>
      <c r="Z457" s="44">
        <v>41912</v>
      </c>
      <c r="AA457" s="30" t="s">
        <v>3358</v>
      </c>
    </row>
    <row r="458" spans="1:27" s="29" customFormat="1" ht="34.5" customHeight="1">
      <c r="A458" s="30" t="s">
        <v>71</v>
      </c>
      <c r="B458" s="30" t="s">
        <v>116</v>
      </c>
      <c r="C458" s="30" t="s">
        <v>144</v>
      </c>
      <c r="D458" s="30" t="s">
        <v>1223</v>
      </c>
      <c r="E458" s="30" t="s">
        <v>285</v>
      </c>
      <c r="F458" s="30" t="s">
        <v>1253</v>
      </c>
      <c r="G458" s="30" t="s">
        <v>181</v>
      </c>
      <c r="H458" s="30">
        <v>425120</v>
      </c>
      <c r="I458" s="30" t="s">
        <v>67</v>
      </c>
      <c r="J458" s="129" t="s">
        <v>3397</v>
      </c>
      <c r="K458" s="30" t="s">
        <v>1225</v>
      </c>
      <c r="L458" s="30" t="s">
        <v>1193</v>
      </c>
      <c r="M458" s="45">
        <v>2500</v>
      </c>
      <c r="N458" s="45">
        <v>385322.1</v>
      </c>
      <c r="O458" s="129" t="s">
        <v>79</v>
      </c>
      <c r="P458" s="30" t="s">
        <v>1254</v>
      </c>
      <c r="Q458" s="30" t="s">
        <v>867</v>
      </c>
      <c r="R458" s="155" t="s">
        <v>80</v>
      </c>
      <c r="S458" s="41">
        <v>2014</v>
      </c>
      <c r="T458" s="31" t="s">
        <v>1196</v>
      </c>
      <c r="U458" s="31" t="s">
        <v>1197</v>
      </c>
      <c r="V458" s="30" t="s">
        <v>1198</v>
      </c>
      <c r="W458" s="129" t="s">
        <v>151</v>
      </c>
      <c r="X458" s="30" t="s">
        <v>302</v>
      </c>
      <c r="Y458" s="30" t="s">
        <v>302</v>
      </c>
      <c r="Z458" s="44">
        <v>41912</v>
      </c>
      <c r="AA458" s="30" t="s">
        <v>3358</v>
      </c>
    </row>
    <row r="459" spans="1:27" s="29" customFormat="1" ht="34.5" customHeight="1">
      <c r="A459" s="30" t="s">
        <v>71</v>
      </c>
      <c r="B459" s="30" t="s">
        <v>116</v>
      </c>
      <c r="C459" s="30" t="s">
        <v>144</v>
      </c>
      <c r="D459" s="30" t="s">
        <v>1223</v>
      </c>
      <c r="E459" s="30" t="s">
        <v>285</v>
      </c>
      <c r="F459" s="30" t="s">
        <v>1255</v>
      </c>
      <c r="G459" s="30" t="s">
        <v>171</v>
      </c>
      <c r="H459" s="30">
        <v>425120</v>
      </c>
      <c r="I459" s="129" t="s">
        <v>98</v>
      </c>
      <c r="J459" s="129" t="s">
        <v>3397</v>
      </c>
      <c r="K459" s="30" t="s">
        <v>1225</v>
      </c>
      <c r="L459" s="30" t="s">
        <v>1193</v>
      </c>
      <c r="M459" s="45">
        <v>2500</v>
      </c>
      <c r="N459" s="45">
        <v>489982.01</v>
      </c>
      <c r="O459" s="129" t="s">
        <v>79</v>
      </c>
      <c r="P459" s="30" t="s">
        <v>1256</v>
      </c>
      <c r="Q459" s="30" t="s">
        <v>867</v>
      </c>
      <c r="R459" s="155" t="s">
        <v>80</v>
      </c>
      <c r="S459" s="41">
        <v>2014</v>
      </c>
      <c r="T459" s="31" t="s">
        <v>1196</v>
      </c>
      <c r="U459" s="31" t="s">
        <v>1197</v>
      </c>
      <c r="V459" s="30" t="s">
        <v>1198</v>
      </c>
      <c r="W459" s="129" t="s">
        <v>151</v>
      </c>
      <c r="X459" s="30" t="s">
        <v>302</v>
      </c>
      <c r="Y459" s="30" t="s">
        <v>302</v>
      </c>
      <c r="Z459" s="44">
        <v>41912</v>
      </c>
      <c r="AA459" s="31" t="s">
        <v>3359</v>
      </c>
    </row>
    <row r="460" spans="1:27" s="29" customFormat="1" ht="34.5" customHeight="1">
      <c r="A460" s="30" t="s">
        <v>71</v>
      </c>
      <c r="B460" s="30" t="s">
        <v>116</v>
      </c>
      <c r="C460" s="30" t="s">
        <v>144</v>
      </c>
      <c r="D460" s="30" t="s">
        <v>1223</v>
      </c>
      <c r="E460" s="30" t="s">
        <v>285</v>
      </c>
      <c r="F460" s="129" t="s">
        <v>3369</v>
      </c>
      <c r="G460" s="30" t="s">
        <v>237</v>
      </c>
      <c r="H460" s="30">
        <v>425120</v>
      </c>
      <c r="I460" s="129" t="s">
        <v>98</v>
      </c>
      <c r="J460" s="129" t="s">
        <v>3397</v>
      </c>
      <c r="K460" s="30" t="s">
        <v>1225</v>
      </c>
      <c r="L460" s="30" t="s">
        <v>1193</v>
      </c>
      <c r="M460" s="45">
        <v>2500</v>
      </c>
      <c r="N460" s="45">
        <v>74178.3</v>
      </c>
      <c r="O460" s="129" t="s">
        <v>79</v>
      </c>
      <c r="P460" s="30" t="s">
        <v>1257</v>
      </c>
      <c r="Q460" s="30" t="s">
        <v>867</v>
      </c>
      <c r="R460" s="155" t="s">
        <v>80</v>
      </c>
      <c r="S460" s="41">
        <v>2014</v>
      </c>
      <c r="T460" s="31" t="s">
        <v>1196</v>
      </c>
      <c r="U460" s="31" t="s">
        <v>1197</v>
      </c>
      <c r="V460" s="30" t="s">
        <v>1198</v>
      </c>
      <c r="W460" s="129" t="s">
        <v>151</v>
      </c>
      <c r="X460" s="30" t="s">
        <v>302</v>
      </c>
      <c r="Y460" s="30" t="s">
        <v>302</v>
      </c>
      <c r="Z460" s="44">
        <v>41912</v>
      </c>
      <c r="AA460" s="31" t="s">
        <v>3359</v>
      </c>
    </row>
    <row r="461" spans="1:27" s="29" customFormat="1" ht="34.5" customHeight="1">
      <c r="A461" s="30" t="s">
        <v>71</v>
      </c>
      <c r="B461" s="30" t="s">
        <v>116</v>
      </c>
      <c r="C461" s="30" t="s">
        <v>144</v>
      </c>
      <c r="D461" s="30" t="s">
        <v>1223</v>
      </c>
      <c r="E461" s="30" t="s">
        <v>285</v>
      </c>
      <c r="F461" s="30" t="s">
        <v>904</v>
      </c>
      <c r="G461" s="30" t="s">
        <v>207</v>
      </c>
      <c r="H461" s="30">
        <v>425120</v>
      </c>
      <c r="I461" s="129" t="s">
        <v>98</v>
      </c>
      <c r="J461" s="129" t="s">
        <v>3397</v>
      </c>
      <c r="K461" s="30" t="s">
        <v>1225</v>
      </c>
      <c r="L461" s="30" t="s">
        <v>1193</v>
      </c>
      <c r="M461" s="45">
        <v>2500</v>
      </c>
      <c r="N461" s="45">
        <v>7500</v>
      </c>
      <c r="O461" s="129" t="s">
        <v>149</v>
      </c>
      <c r="P461" s="30" t="s">
        <v>1258</v>
      </c>
      <c r="Q461" s="30" t="s">
        <v>867</v>
      </c>
      <c r="R461" s="155" t="s">
        <v>80</v>
      </c>
      <c r="S461" s="41">
        <v>2014</v>
      </c>
      <c r="T461" s="31" t="s">
        <v>1196</v>
      </c>
      <c r="U461" s="31" t="s">
        <v>1197</v>
      </c>
      <c r="V461" s="30" t="s">
        <v>1198</v>
      </c>
      <c r="W461" s="129" t="s">
        <v>151</v>
      </c>
      <c r="X461" s="30" t="s">
        <v>302</v>
      </c>
      <c r="Y461" s="30" t="s">
        <v>302</v>
      </c>
      <c r="Z461" s="44">
        <v>41912</v>
      </c>
      <c r="AA461" s="31" t="s">
        <v>3359</v>
      </c>
    </row>
    <row r="462" spans="1:27" s="29" customFormat="1" ht="34.5" customHeight="1">
      <c r="A462" s="30" t="s">
        <v>71</v>
      </c>
      <c r="B462" s="30" t="s">
        <v>116</v>
      </c>
      <c r="C462" s="30" t="s">
        <v>144</v>
      </c>
      <c r="D462" s="30" t="s">
        <v>1223</v>
      </c>
      <c r="E462" s="30" t="s">
        <v>285</v>
      </c>
      <c r="F462" s="30" t="s">
        <v>1259</v>
      </c>
      <c r="G462" s="30" t="s">
        <v>225</v>
      </c>
      <c r="H462" s="30">
        <v>425120</v>
      </c>
      <c r="I462" s="129" t="s">
        <v>98</v>
      </c>
      <c r="J462" s="129" t="s">
        <v>3397</v>
      </c>
      <c r="K462" s="30" t="s">
        <v>1225</v>
      </c>
      <c r="L462" s="30" t="s">
        <v>1193</v>
      </c>
      <c r="M462" s="45">
        <v>2500</v>
      </c>
      <c r="N462" s="45">
        <v>431030.37</v>
      </c>
      <c r="O462" s="129" t="s">
        <v>79</v>
      </c>
      <c r="P462" s="30" t="s">
        <v>1260</v>
      </c>
      <c r="Q462" s="30" t="s">
        <v>867</v>
      </c>
      <c r="R462" s="155" t="s">
        <v>80</v>
      </c>
      <c r="S462" s="41">
        <v>2014</v>
      </c>
      <c r="T462" s="31" t="s">
        <v>1196</v>
      </c>
      <c r="U462" s="31" t="s">
        <v>1197</v>
      </c>
      <c r="V462" s="30" t="s">
        <v>1198</v>
      </c>
      <c r="W462" s="129" t="s">
        <v>151</v>
      </c>
      <c r="X462" s="30" t="s">
        <v>302</v>
      </c>
      <c r="Y462" s="30" t="s">
        <v>302</v>
      </c>
      <c r="Z462" s="44">
        <v>41912</v>
      </c>
      <c r="AA462" s="31" t="s">
        <v>3359</v>
      </c>
    </row>
    <row r="463" spans="1:27" s="29" customFormat="1" ht="34.5" customHeight="1">
      <c r="A463" s="30" t="s">
        <v>71</v>
      </c>
      <c r="B463" s="30" t="s">
        <v>116</v>
      </c>
      <c r="C463" s="30" t="s">
        <v>144</v>
      </c>
      <c r="D463" s="30" t="s">
        <v>1223</v>
      </c>
      <c r="E463" s="30" t="s">
        <v>285</v>
      </c>
      <c r="F463" s="30" t="s">
        <v>1261</v>
      </c>
      <c r="G463" s="30" t="s">
        <v>191</v>
      </c>
      <c r="H463" s="30">
        <v>425120</v>
      </c>
      <c r="I463" s="129" t="s">
        <v>98</v>
      </c>
      <c r="J463" s="129" t="s">
        <v>3397</v>
      </c>
      <c r="K463" s="30" t="s">
        <v>1225</v>
      </c>
      <c r="L463" s="30" t="s">
        <v>1193</v>
      </c>
      <c r="M463" s="45">
        <v>2500</v>
      </c>
      <c r="N463" s="45">
        <v>253108</v>
      </c>
      <c r="O463" s="129" t="s">
        <v>79</v>
      </c>
      <c r="P463" s="30" t="s">
        <v>1262</v>
      </c>
      <c r="Q463" s="30" t="s">
        <v>867</v>
      </c>
      <c r="R463" s="155" t="s">
        <v>80</v>
      </c>
      <c r="S463" s="41">
        <v>2014</v>
      </c>
      <c r="T463" s="31" t="s">
        <v>1196</v>
      </c>
      <c r="U463" s="31" t="s">
        <v>1197</v>
      </c>
      <c r="V463" s="30" t="s">
        <v>1198</v>
      </c>
      <c r="W463" s="129" t="s">
        <v>151</v>
      </c>
      <c r="X463" s="30" t="s">
        <v>302</v>
      </c>
      <c r="Y463" s="30" t="s">
        <v>302</v>
      </c>
      <c r="Z463" s="44">
        <v>41912</v>
      </c>
      <c r="AA463" s="31" t="s">
        <v>3359</v>
      </c>
    </row>
    <row r="464" spans="1:27" s="29" customFormat="1" ht="34.5" customHeight="1">
      <c r="A464" s="30" t="s">
        <v>71</v>
      </c>
      <c r="B464" s="30" t="s">
        <v>116</v>
      </c>
      <c r="C464" s="30" t="s">
        <v>144</v>
      </c>
      <c r="D464" s="30" t="s">
        <v>1223</v>
      </c>
      <c r="E464" s="30" t="s">
        <v>285</v>
      </c>
      <c r="F464" s="30" t="s">
        <v>1263</v>
      </c>
      <c r="G464" s="30" t="s">
        <v>66</v>
      </c>
      <c r="H464" s="30">
        <v>425120</v>
      </c>
      <c r="I464" s="129" t="s">
        <v>98</v>
      </c>
      <c r="J464" s="129" t="s">
        <v>3397</v>
      </c>
      <c r="K464" s="30" t="s">
        <v>1225</v>
      </c>
      <c r="L464" s="30" t="s">
        <v>1193</v>
      </c>
      <c r="M464" s="45">
        <v>2500</v>
      </c>
      <c r="N464" s="45">
        <v>113357.5</v>
      </c>
      <c r="O464" s="129" t="s">
        <v>79</v>
      </c>
      <c r="P464" s="30" t="s">
        <v>1264</v>
      </c>
      <c r="Q464" s="30" t="s">
        <v>867</v>
      </c>
      <c r="R464" s="155" t="s">
        <v>80</v>
      </c>
      <c r="S464" s="41">
        <v>2014</v>
      </c>
      <c r="T464" s="31" t="s">
        <v>1196</v>
      </c>
      <c r="U464" s="31" t="s">
        <v>1197</v>
      </c>
      <c r="V464" s="30" t="s">
        <v>1198</v>
      </c>
      <c r="W464" s="129" t="s">
        <v>151</v>
      </c>
      <c r="X464" s="30" t="s">
        <v>302</v>
      </c>
      <c r="Y464" s="30" t="s">
        <v>302</v>
      </c>
      <c r="Z464" s="44">
        <v>41912</v>
      </c>
      <c r="AA464" s="31" t="s">
        <v>3359</v>
      </c>
    </row>
    <row r="465" spans="1:27" s="29" customFormat="1" ht="34.5" customHeight="1">
      <c r="A465" s="30" t="s">
        <v>71</v>
      </c>
      <c r="B465" s="30" t="s">
        <v>116</v>
      </c>
      <c r="C465" s="30" t="s">
        <v>144</v>
      </c>
      <c r="D465" s="30" t="s">
        <v>1223</v>
      </c>
      <c r="E465" s="30" t="s">
        <v>285</v>
      </c>
      <c r="F465" s="30" t="s">
        <v>1265</v>
      </c>
      <c r="G465" s="30" t="s">
        <v>84</v>
      </c>
      <c r="H465" s="30">
        <v>425120</v>
      </c>
      <c r="I465" s="129" t="s">
        <v>98</v>
      </c>
      <c r="J465" s="129" t="s">
        <v>3397</v>
      </c>
      <c r="K465" s="30" t="s">
        <v>1225</v>
      </c>
      <c r="L465" s="30" t="s">
        <v>1193</v>
      </c>
      <c r="M465" s="45">
        <v>2500</v>
      </c>
      <c r="N465" s="45">
        <v>237733.44</v>
      </c>
      <c r="O465" s="129" t="s">
        <v>79</v>
      </c>
      <c r="P465" s="30" t="s">
        <v>1266</v>
      </c>
      <c r="Q465" s="30" t="s">
        <v>867</v>
      </c>
      <c r="R465" s="155" t="s">
        <v>80</v>
      </c>
      <c r="S465" s="41">
        <v>2014</v>
      </c>
      <c r="T465" s="31" t="s">
        <v>1196</v>
      </c>
      <c r="U465" s="31" t="s">
        <v>1197</v>
      </c>
      <c r="V465" s="30" t="s">
        <v>1198</v>
      </c>
      <c r="W465" s="129" t="s">
        <v>151</v>
      </c>
      <c r="X465" s="30" t="s">
        <v>302</v>
      </c>
      <c r="Y465" s="30" t="s">
        <v>302</v>
      </c>
      <c r="Z465" s="44">
        <v>41912</v>
      </c>
      <c r="AA465" s="31" t="s">
        <v>3359</v>
      </c>
    </row>
    <row r="466" spans="1:27" s="29" customFormat="1" ht="34.5" customHeight="1">
      <c r="A466" s="30" t="s">
        <v>71</v>
      </c>
      <c r="B466" s="30" t="s">
        <v>116</v>
      </c>
      <c r="C466" s="30" t="s">
        <v>144</v>
      </c>
      <c r="D466" s="30" t="s">
        <v>1223</v>
      </c>
      <c r="E466" s="30" t="s">
        <v>285</v>
      </c>
      <c r="F466" s="30" t="s">
        <v>791</v>
      </c>
      <c r="G466" s="30" t="s">
        <v>183</v>
      </c>
      <c r="H466" s="30">
        <v>425120</v>
      </c>
      <c r="I466" s="129" t="s">
        <v>98</v>
      </c>
      <c r="J466" s="129" t="s">
        <v>3397</v>
      </c>
      <c r="K466" s="30" t="s">
        <v>1225</v>
      </c>
      <c r="L466" s="30" t="s">
        <v>1193</v>
      </c>
      <c r="M466" s="45">
        <v>2500</v>
      </c>
      <c r="N466" s="45">
        <v>223368.16</v>
      </c>
      <c r="O466" s="129" t="s">
        <v>79</v>
      </c>
      <c r="P466" s="30" t="s">
        <v>1267</v>
      </c>
      <c r="Q466" s="30" t="s">
        <v>867</v>
      </c>
      <c r="R466" s="155" t="s">
        <v>80</v>
      </c>
      <c r="S466" s="41">
        <v>2014</v>
      </c>
      <c r="T466" s="31" t="s">
        <v>1196</v>
      </c>
      <c r="U466" s="31" t="s">
        <v>1197</v>
      </c>
      <c r="V466" s="30" t="s">
        <v>1198</v>
      </c>
      <c r="W466" s="129" t="s">
        <v>151</v>
      </c>
      <c r="X466" s="30" t="s">
        <v>302</v>
      </c>
      <c r="Y466" s="30" t="s">
        <v>302</v>
      </c>
      <c r="Z466" s="44">
        <v>41912</v>
      </c>
      <c r="AA466" s="31" t="s">
        <v>3359</v>
      </c>
    </row>
    <row r="467" spans="1:27" s="29" customFormat="1" ht="34.5" customHeight="1">
      <c r="A467" s="30" t="s">
        <v>71</v>
      </c>
      <c r="B467" s="30" t="s">
        <v>116</v>
      </c>
      <c r="C467" s="30" t="s">
        <v>144</v>
      </c>
      <c r="D467" s="30" t="s">
        <v>1223</v>
      </c>
      <c r="E467" s="30" t="s">
        <v>285</v>
      </c>
      <c r="F467" s="30" t="s">
        <v>1268</v>
      </c>
      <c r="G467" s="30" t="s">
        <v>223</v>
      </c>
      <c r="H467" s="30">
        <v>425120</v>
      </c>
      <c r="I467" s="129" t="s">
        <v>98</v>
      </c>
      <c r="J467" s="129" t="s">
        <v>3397</v>
      </c>
      <c r="K467" s="30" t="s">
        <v>1225</v>
      </c>
      <c r="L467" s="30" t="s">
        <v>1193</v>
      </c>
      <c r="M467" s="45">
        <v>2500</v>
      </c>
      <c r="N467" s="45">
        <v>7500</v>
      </c>
      <c r="O467" s="30" t="s">
        <v>149</v>
      </c>
      <c r="P467" s="30" t="s">
        <v>1269</v>
      </c>
      <c r="Q467" s="30" t="s">
        <v>867</v>
      </c>
      <c r="R467" s="155" t="s">
        <v>80</v>
      </c>
      <c r="S467" s="41">
        <v>2014</v>
      </c>
      <c r="T467" s="31" t="s">
        <v>1196</v>
      </c>
      <c r="U467" s="31" t="s">
        <v>1197</v>
      </c>
      <c r="V467" s="30" t="s">
        <v>1198</v>
      </c>
      <c r="W467" s="129" t="s">
        <v>151</v>
      </c>
      <c r="X467" s="30" t="s">
        <v>302</v>
      </c>
      <c r="Y467" s="30" t="s">
        <v>302</v>
      </c>
      <c r="Z467" s="44">
        <v>41912</v>
      </c>
      <c r="AA467" s="31" t="s">
        <v>3359</v>
      </c>
    </row>
    <row r="468" spans="1:27" s="29" customFormat="1" ht="34.5" customHeight="1">
      <c r="A468" s="30" t="s">
        <v>71</v>
      </c>
      <c r="B468" s="30" t="s">
        <v>116</v>
      </c>
      <c r="C468" s="30" t="s">
        <v>144</v>
      </c>
      <c r="D468" s="30" t="s">
        <v>1223</v>
      </c>
      <c r="E468" s="30" t="s">
        <v>285</v>
      </c>
      <c r="F468" s="30" t="s">
        <v>1270</v>
      </c>
      <c r="G468" s="30" t="s">
        <v>197</v>
      </c>
      <c r="H468" s="30">
        <v>425120</v>
      </c>
      <c r="I468" s="129" t="s">
        <v>98</v>
      </c>
      <c r="J468" s="129" t="s">
        <v>3397</v>
      </c>
      <c r="K468" s="30" t="s">
        <v>1225</v>
      </c>
      <c r="L468" s="30" t="s">
        <v>1193</v>
      </c>
      <c r="M468" s="45">
        <v>2500</v>
      </c>
      <c r="N468" s="45">
        <v>81900</v>
      </c>
      <c r="O468" s="129" t="s">
        <v>79</v>
      </c>
      <c r="P468" s="30" t="s">
        <v>1271</v>
      </c>
      <c r="Q468" s="30" t="s">
        <v>867</v>
      </c>
      <c r="R468" s="155" t="s">
        <v>80</v>
      </c>
      <c r="S468" s="41">
        <v>2014</v>
      </c>
      <c r="T468" s="31" t="s">
        <v>1196</v>
      </c>
      <c r="U468" s="31" t="s">
        <v>1197</v>
      </c>
      <c r="V468" s="30" t="s">
        <v>1198</v>
      </c>
      <c r="W468" s="129" t="s">
        <v>151</v>
      </c>
      <c r="X468" s="30" t="s">
        <v>302</v>
      </c>
      <c r="Y468" s="30" t="s">
        <v>302</v>
      </c>
      <c r="Z468" s="44">
        <v>41912</v>
      </c>
      <c r="AA468" s="31" t="s">
        <v>3359</v>
      </c>
    </row>
    <row r="469" spans="1:27" s="29" customFormat="1" ht="34.5" customHeight="1">
      <c r="A469" s="30" t="s">
        <v>71</v>
      </c>
      <c r="B469" s="30" t="s">
        <v>116</v>
      </c>
      <c r="C469" s="30" t="s">
        <v>144</v>
      </c>
      <c r="D469" s="30" t="s">
        <v>1223</v>
      </c>
      <c r="E469" s="30" t="s">
        <v>285</v>
      </c>
      <c r="F469" s="30" t="s">
        <v>1272</v>
      </c>
      <c r="G469" s="30" t="s">
        <v>205</v>
      </c>
      <c r="H469" s="30">
        <v>425120</v>
      </c>
      <c r="I469" s="129" t="s">
        <v>42</v>
      </c>
      <c r="J469" s="129" t="s">
        <v>3397</v>
      </c>
      <c r="K469" s="30" t="s">
        <v>1225</v>
      </c>
      <c r="L469" s="30" t="s">
        <v>1193</v>
      </c>
      <c r="M469" s="45">
        <v>2500</v>
      </c>
      <c r="N469" s="45">
        <v>87542.53</v>
      </c>
      <c r="O469" s="129" t="s">
        <v>79</v>
      </c>
      <c r="P469" s="30" t="s">
        <v>1273</v>
      </c>
      <c r="Q469" s="30" t="s">
        <v>867</v>
      </c>
      <c r="R469" s="155" t="s">
        <v>80</v>
      </c>
      <c r="S469" s="41">
        <v>2014</v>
      </c>
      <c r="T469" s="31" t="s">
        <v>1196</v>
      </c>
      <c r="U469" s="31" t="s">
        <v>1197</v>
      </c>
      <c r="V469" s="30" t="s">
        <v>1198</v>
      </c>
      <c r="W469" s="129" t="s">
        <v>151</v>
      </c>
      <c r="X469" s="30" t="s">
        <v>302</v>
      </c>
      <c r="Y469" s="30" t="s">
        <v>302</v>
      </c>
      <c r="Z469" s="44">
        <v>41912</v>
      </c>
      <c r="AA469" s="31" t="s">
        <v>3359</v>
      </c>
    </row>
    <row r="470" spans="1:27" s="29" customFormat="1" ht="34.5" customHeight="1">
      <c r="A470" s="30" t="s">
        <v>71</v>
      </c>
      <c r="B470" s="30" t="s">
        <v>116</v>
      </c>
      <c r="C470" s="30" t="s">
        <v>144</v>
      </c>
      <c r="D470" s="30" t="s">
        <v>1223</v>
      </c>
      <c r="E470" s="30" t="s">
        <v>285</v>
      </c>
      <c r="F470" s="30" t="s">
        <v>1274</v>
      </c>
      <c r="G470" s="30" t="s">
        <v>187</v>
      </c>
      <c r="H470" s="30">
        <v>425120</v>
      </c>
      <c r="I470" s="129" t="s">
        <v>98</v>
      </c>
      <c r="J470" s="129" t="s">
        <v>3397</v>
      </c>
      <c r="K470" s="30" t="s">
        <v>1225</v>
      </c>
      <c r="L470" s="30" t="s">
        <v>1193</v>
      </c>
      <c r="M470" s="45">
        <v>2500</v>
      </c>
      <c r="N470" s="45">
        <v>278744.37</v>
      </c>
      <c r="O470" s="30" t="s">
        <v>387</v>
      </c>
      <c r="P470" s="30" t="s">
        <v>1275</v>
      </c>
      <c r="Q470" s="30" t="s">
        <v>867</v>
      </c>
      <c r="R470" s="155" t="s">
        <v>80</v>
      </c>
      <c r="S470" s="41">
        <v>2014</v>
      </c>
      <c r="T470" s="31" t="s">
        <v>1196</v>
      </c>
      <c r="U470" s="31" t="s">
        <v>1197</v>
      </c>
      <c r="V470" s="30" t="s">
        <v>1198</v>
      </c>
      <c r="W470" s="129" t="s">
        <v>151</v>
      </c>
      <c r="X470" s="30" t="s">
        <v>302</v>
      </c>
      <c r="Y470" s="30" t="s">
        <v>302</v>
      </c>
      <c r="Z470" s="44">
        <v>41912</v>
      </c>
      <c r="AA470" s="31" t="s">
        <v>3359</v>
      </c>
    </row>
    <row r="471" spans="1:27" s="29" customFormat="1" ht="34.5" customHeight="1">
      <c r="A471" s="30" t="s">
        <v>71</v>
      </c>
      <c r="B471" s="30" t="s">
        <v>116</v>
      </c>
      <c r="C471" s="30" t="s">
        <v>144</v>
      </c>
      <c r="D471" s="30" t="s">
        <v>1223</v>
      </c>
      <c r="E471" s="30" t="s">
        <v>285</v>
      </c>
      <c r="F471" s="30" t="s">
        <v>955</v>
      </c>
      <c r="G471" s="30" t="s">
        <v>225</v>
      </c>
      <c r="H471" s="30">
        <v>425120</v>
      </c>
      <c r="I471" s="129" t="s">
        <v>98</v>
      </c>
      <c r="J471" s="129" t="s">
        <v>3397</v>
      </c>
      <c r="K471" s="30" t="s">
        <v>1225</v>
      </c>
      <c r="L471" s="30" t="s">
        <v>1193</v>
      </c>
      <c r="M471" s="45">
        <v>2500</v>
      </c>
      <c r="N471" s="45">
        <v>285605.39</v>
      </c>
      <c r="O471" s="129" t="s">
        <v>79</v>
      </c>
      <c r="P471" s="30" t="s">
        <v>1276</v>
      </c>
      <c r="Q471" s="30" t="s">
        <v>867</v>
      </c>
      <c r="R471" s="155" t="s">
        <v>80</v>
      </c>
      <c r="S471" s="41">
        <v>2014</v>
      </c>
      <c r="T471" s="31" t="s">
        <v>1196</v>
      </c>
      <c r="U471" s="31" t="s">
        <v>1197</v>
      </c>
      <c r="V471" s="30" t="s">
        <v>1198</v>
      </c>
      <c r="W471" s="129" t="s">
        <v>151</v>
      </c>
      <c r="X471" s="30" t="s">
        <v>302</v>
      </c>
      <c r="Y471" s="30" t="s">
        <v>302</v>
      </c>
      <c r="Z471" s="44">
        <v>41912</v>
      </c>
      <c r="AA471" s="31" t="s">
        <v>3359</v>
      </c>
    </row>
    <row r="472" spans="1:27" s="29" customFormat="1" ht="34.5" customHeight="1">
      <c r="A472" s="30" t="s">
        <v>71</v>
      </c>
      <c r="B472" s="30" t="s">
        <v>116</v>
      </c>
      <c r="C472" s="30" t="s">
        <v>144</v>
      </c>
      <c r="D472" s="30" t="s">
        <v>1223</v>
      </c>
      <c r="E472" s="30" t="s">
        <v>285</v>
      </c>
      <c r="F472" s="30" t="s">
        <v>1277</v>
      </c>
      <c r="G472" s="30" t="s">
        <v>223</v>
      </c>
      <c r="H472" s="30">
        <v>425120</v>
      </c>
      <c r="I472" s="129" t="s">
        <v>42</v>
      </c>
      <c r="J472" s="129" t="s">
        <v>3397</v>
      </c>
      <c r="K472" s="30" t="s">
        <v>1225</v>
      </c>
      <c r="L472" s="30" t="s">
        <v>1193</v>
      </c>
      <c r="M472" s="45">
        <v>2500</v>
      </c>
      <c r="N472" s="45">
        <v>405330.5</v>
      </c>
      <c r="O472" s="129" t="s">
        <v>79</v>
      </c>
      <c r="P472" s="30" t="s">
        <v>1278</v>
      </c>
      <c r="Q472" s="30" t="s">
        <v>867</v>
      </c>
      <c r="R472" s="155" t="s">
        <v>80</v>
      </c>
      <c r="S472" s="41">
        <v>2014</v>
      </c>
      <c r="T472" s="31" t="s">
        <v>1196</v>
      </c>
      <c r="U472" s="31" t="s">
        <v>1197</v>
      </c>
      <c r="V472" s="30" t="s">
        <v>1198</v>
      </c>
      <c r="W472" s="129" t="s">
        <v>151</v>
      </c>
      <c r="X472" s="30" t="s">
        <v>302</v>
      </c>
      <c r="Y472" s="30" t="s">
        <v>302</v>
      </c>
      <c r="Z472" s="44">
        <v>41912</v>
      </c>
      <c r="AA472" s="31" t="s">
        <v>3359</v>
      </c>
    </row>
    <row r="473" spans="1:27" s="29" customFormat="1" ht="34.5" customHeight="1">
      <c r="A473" s="30" t="s">
        <v>71</v>
      </c>
      <c r="B473" s="30" t="s">
        <v>116</v>
      </c>
      <c r="C473" s="30" t="s">
        <v>144</v>
      </c>
      <c r="D473" s="30" t="s">
        <v>1223</v>
      </c>
      <c r="E473" s="30" t="s">
        <v>285</v>
      </c>
      <c r="F473" s="30" t="s">
        <v>1279</v>
      </c>
      <c r="G473" s="30" t="s">
        <v>118</v>
      </c>
      <c r="H473" s="30">
        <v>425120</v>
      </c>
      <c r="I473" s="129" t="s">
        <v>98</v>
      </c>
      <c r="J473" s="129" t="s">
        <v>3397</v>
      </c>
      <c r="K473" s="30" t="s">
        <v>1225</v>
      </c>
      <c r="L473" s="30" t="s">
        <v>1193</v>
      </c>
      <c r="M473" s="45">
        <v>2500</v>
      </c>
      <c r="N473" s="45">
        <v>7500</v>
      </c>
      <c r="O473" s="129" t="s">
        <v>149</v>
      </c>
      <c r="P473" s="30" t="s">
        <v>1280</v>
      </c>
      <c r="Q473" s="30" t="s">
        <v>867</v>
      </c>
      <c r="R473" s="155" t="s">
        <v>80</v>
      </c>
      <c r="S473" s="41">
        <v>2014</v>
      </c>
      <c r="T473" s="31" t="s">
        <v>1196</v>
      </c>
      <c r="U473" s="31" t="s">
        <v>1197</v>
      </c>
      <c r="V473" s="30" t="s">
        <v>1198</v>
      </c>
      <c r="W473" s="129" t="s">
        <v>151</v>
      </c>
      <c r="X473" s="30" t="s">
        <v>302</v>
      </c>
      <c r="Y473" s="30" t="s">
        <v>302</v>
      </c>
      <c r="Z473" s="44">
        <v>41912</v>
      </c>
      <c r="AA473" s="31" t="s">
        <v>3359</v>
      </c>
    </row>
    <row r="474" spans="1:27" s="29" customFormat="1" ht="34.5" customHeight="1">
      <c r="A474" s="30" t="s">
        <v>71</v>
      </c>
      <c r="B474" s="30" t="s">
        <v>116</v>
      </c>
      <c r="C474" s="30" t="s">
        <v>144</v>
      </c>
      <c r="D474" s="30" t="s">
        <v>1223</v>
      </c>
      <c r="E474" s="30" t="s">
        <v>285</v>
      </c>
      <c r="F474" s="30" t="s">
        <v>1281</v>
      </c>
      <c r="G474" s="30" t="s">
        <v>213</v>
      </c>
      <c r="H474" s="30">
        <v>425120</v>
      </c>
      <c r="I474" s="30" t="s">
        <v>67</v>
      </c>
      <c r="J474" s="129" t="s">
        <v>3397</v>
      </c>
      <c r="K474" s="30" t="s">
        <v>1225</v>
      </c>
      <c r="L474" s="30" t="s">
        <v>1193</v>
      </c>
      <c r="M474" s="45">
        <v>2500</v>
      </c>
      <c r="N474" s="45">
        <v>44652</v>
      </c>
      <c r="O474" s="129" t="s">
        <v>79</v>
      </c>
      <c r="P474" s="30" t="s">
        <v>1282</v>
      </c>
      <c r="Q474" s="30" t="s">
        <v>867</v>
      </c>
      <c r="R474" s="155" t="s">
        <v>80</v>
      </c>
      <c r="S474" s="41">
        <v>2014</v>
      </c>
      <c r="T474" s="31" t="s">
        <v>1196</v>
      </c>
      <c r="U474" s="31" t="s">
        <v>1197</v>
      </c>
      <c r="V474" s="30" t="s">
        <v>1198</v>
      </c>
      <c r="W474" s="129" t="s">
        <v>151</v>
      </c>
      <c r="X474" s="30" t="s">
        <v>302</v>
      </c>
      <c r="Y474" s="30" t="s">
        <v>302</v>
      </c>
      <c r="Z474" s="44">
        <v>41912</v>
      </c>
      <c r="AA474" s="30" t="s">
        <v>3358</v>
      </c>
    </row>
    <row r="475" spans="1:27" s="29" customFormat="1" ht="34.5" customHeight="1">
      <c r="A475" s="30" t="s">
        <v>71</v>
      </c>
      <c r="B475" s="30" t="s">
        <v>116</v>
      </c>
      <c r="C475" s="30" t="s">
        <v>144</v>
      </c>
      <c r="D475" s="30" t="s">
        <v>1223</v>
      </c>
      <c r="E475" s="30" t="s">
        <v>285</v>
      </c>
      <c r="F475" s="30" t="s">
        <v>1122</v>
      </c>
      <c r="G475" s="30" t="s">
        <v>31</v>
      </c>
      <c r="H475" s="30">
        <v>425120</v>
      </c>
      <c r="I475" s="129" t="s">
        <v>98</v>
      </c>
      <c r="J475" s="129" t="s">
        <v>3397</v>
      </c>
      <c r="K475" s="30" t="s">
        <v>1225</v>
      </c>
      <c r="L475" s="30" t="s">
        <v>1193</v>
      </c>
      <c r="M475" s="45">
        <v>2500</v>
      </c>
      <c r="N475" s="45">
        <v>605245.06999999995</v>
      </c>
      <c r="O475" s="129" t="s">
        <v>79</v>
      </c>
      <c r="P475" s="30" t="s">
        <v>1283</v>
      </c>
      <c r="Q475" s="30" t="s">
        <v>867</v>
      </c>
      <c r="R475" s="155" t="s">
        <v>80</v>
      </c>
      <c r="S475" s="41">
        <v>2014</v>
      </c>
      <c r="T475" s="31" t="s">
        <v>1196</v>
      </c>
      <c r="U475" s="31" t="s">
        <v>1197</v>
      </c>
      <c r="V475" s="30" t="s">
        <v>1198</v>
      </c>
      <c r="W475" s="129" t="s">
        <v>151</v>
      </c>
      <c r="X475" s="30" t="s">
        <v>302</v>
      </c>
      <c r="Y475" s="30" t="s">
        <v>302</v>
      </c>
      <c r="Z475" s="44">
        <v>41912</v>
      </c>
      <c r="AA475" s="31" t="s">
        <v>3359</v>
      </c>
    </row>
    <row r="476" spans="1:27" s="29" customFormat="1" ht="34.5" customHeight="1">
      <c r="A476" s="30" t="s">
        <v>71</v>
      </c>
      <c r="B476" s="30" t="s">
        <v>116</v>
      </c>
      <c r="C476" s="30" t="s">
        <v>144</v>
      </c>
      <c r="D476" s="30" t="s">
        <v>1223</v>
      </c>
      <c r="E476" s="30" t="s">
        <v>285</v>
      </c>
      <c r="F476" s="30" t="s">
        <v>1284</v>
      </c>
      <c r="G476" s="30" t="s">
        <v>227</v>
      </c>
      <c r="H476" s="30">
        <v>425120</v>
      </c>
      <c r="I476" s="129" t="s">
        <v>98</v>
      </c>
      <c r="J476" s="129" t="s">
        <v>3397</v>
      </c>
      <c r="K476" s="30" t="s">
        <v>1225</v>
      </c>
      <c r="L476" s="30" t="s">
        <v>1193</v>
      </c>
      <c r="M476" s="45">
        <v>2500</v>
      </c>
      <c r="N476" s="45">
        <v>418495.07</v>
      </c>
      <c r="O476" s="129" t="s">
        <v>79</v>
      </c>
      <c r="P476" s="30" t="s">
        <v>1285</v>
      </c>
      <c r="Q476" s="30" t="s">
        <v>867</v>
      </c>
      <c r="R476" s="155" t="s">
        <v>80</v>
      </c>
      <c r="S476" s="41">
        <v>2014</v>
      </c>
      <c r="T476" s="31" t="s">
        <v>1196</v>
      </c>
      <c r="U476" s="31" t="s">
        <v>1197</v>
      </c>
      <c r="V476" s="30" t="s">
        <v>1198</v>
      </c>
      <c r="W476" s="129" t="s">
        <v>151</v>
      </c>
      <c r="X476" s="30" t="s">
        <v>302</v>
      </c>
      <c r="Y476" s="30" t="s">
        <v>302</v>
      </c>
      <c r="Z476" s="44">
        <v>41912</v>
      </c>
      <c r="AA476" s="31" t="s">
        <v>3359</v>
      </c>
    </row>
    <row r="477" spans="1:27" s="29" customFormat="1" ht="34.5" customHeight="1">
      <c r="A477" s="30" t="s">
        <v>71</v>
      </c>
      <c r="B477" s="30" t="s">
        <v>116</v>
      </c>
      <c r="C477" s="30" t="s">
        <v>144</v>
      </c>
      <c r="D477" s="30" t="s">
        <v>1223</v>
      </c>
      <c r="E477" s="30" t="s">
        <v>285</v>
      </c>
      <c r="F477" s="30" t="s">
        <v>1286</v>
      </c>
      <c r="G477" s="30" t="s">
        <v>31</v>
      </c>
      <c r="H477" s="30">
        <v>425120</v>
      </c>
      <c r="I477" s="129" t="s">
        <v>98</v>
      </c>
      <c r="J477" s="129" t="s">
        <v>3397</v>
      </c>
      <c r="K477" s="30" t="s">
        <v>1225</v>
      </c>
      <c r="L477" s="30" t="s">
        <v>1193</v>
      </c>
      <c r="M477" s="45">
        <v>2500</v>
      </c>
      <c r="N477" s="45">
        <v>31545</v>
      </c>
      <c r="O477" s="129" t="s">
        <v>79</v>
      </c>
      <c r="P477" s="30" t="s">
        <v>1287</v>
      </c>
      <c r="Q477" s="30" t="s">
        <v>867</v>
      </c>
      <c r="R477" s="155" t="s">
        <v>80</v>
      </c>
      <c r="S477" s="41">
        <v>2014</v>
      </c>
      <c r="T477" s="31" t="s">
        <v>1196</v>
      </c>
      <c r="U477" s="31" t="s">
        <v>1197</v>
      </c>
      <c r="V477" s="30" t="s">
        <v>1198</v>
      </c>
      <c r="W477" s="129" t="s">
        <v>151</v>
      </c>
      <c r="X477" s="30" t="s">
        <v>302</v>
      </c>
      <c r="Y477" s="30" t="s">
        <v>302</v>
      </c>
      <c r="Z477" s="44">
        <v>41912</v>
      </c>
      <c r="AA477" s="31" t="s">
        <v>3359</v>
      </c>
    </row>
    <row r="478" spans="1:27" s="29" customFormat="1" ht="34.5" customHeight="1">
      <c r="A478" s="30" t="s">
        <v>71</v>
      </c>
      <c r="B478" s="30" t="s">
        <v>116</v>
      </c>
      <c r="C478" s="30" t="s">
        <v>144</v>
      </c>
      <c r="D478" s="30" t="s">
        <v>1223</v>
      </c>
      <c r="E478" s="30" t="s">
        <v>285</v>
      </c>
      <c r="F478" s="30" t="s">
        <v>1288</v>
      </c>
      <c r="G478" s="30" t="s">
        <v>213</v>
      </c>
      <c r="H478" s="30">
        <v>425120</v>
      </c>
      <c r="I478" s="129" t="s">
        <v>98</v>
      </c>
      <c r="J478" s="129" t="s">
        <v>3397</v>
      </c>
      <c r="K478" s="30" t="s">
        <v>1225</v>
      </c>
      <c r="L478" s="30" t="s">
        <v>1193</v>
      </c>
      <c r="M478" s="45">
        <v>2500</v>
      </c>
      <c r="N478" s="45">
        <v>496281.04</v>
      </c>
      <c r="O478" s="129" t="s">
        <v>79</v>
      </c>
      <c r="P478" s="30" t="s">
        <v>1289</v>
      </c>
      <c r="Q478" s="30" t="s">
        <v>867</v>
      </c>
      <c r="R478" s="155" t="s">
        <v>80</v>
      </c>
      <c r="S478" s="41">
        <v>2014</v>
      </c>
      <c r="T478" s="31" t="s">
        <v>1196</v>
      </c>
      <c r="U478" s="31" t="s">
        <v>1197</v>
      </c>
      <c r="V478" s="30" t="s">
        <v>1198</v>
      </c>
      <c r="W478" s="129" t="s">
        <v>151</v>
      </c>
      <c r="X478" s="30" t="s">
        <v>302</v>
      </c>
      <c r="Y478" s="30" t="s">
        <v>302</v>
      </c>
      <c r="Z478" s="44">
        <v>41912</v>
      </c>
      <c r="AA478" s="31" t="s">
        <v>3359</v>
      </c>
    </row>
    <row r="479" spans="1:27" s="29" customFormat="1" ht="34.5" customHeight="1">
      <c r="A479" s="30" t="s">
        <v>71</v>
      </c>
      <c r="B479" s="30" t="s">
        <v>116</v>
      </c>
      <c r="C479" s="30" t="s">
        <v>144</v>
      </c>
      <c r="D479" s="30" t="s">
        <v>1223</v>
      </c>
      <c r="E479" s="30" t="s">
        <v>285</v>
      </c>
      <c r="F479" s="30" t="s">
        <v>1290</v>
      </c>
      <c r="G479" s="30" t="s">
        <v>199</v>
      </c>
      <c r="H479" s="30">
        <v>425120</v>
      </c>
      <c r="I479" s="129" t="s">
        <v>98</v>
      </c>
      <c r="J479" s="129" t="s">
        <v>3397</v>
      </c>
      <c r="K479" s="30" t="s">
        <v>1225</v>
      </c>
      <c r="L479" s="30" t="s">
        <v>1193</v>
      </c>
      <c r="M479" s="45">
        <v>2500</v>
      </c>
      <c r="N479" s="45">
        <v>336656.23</v>
      </c>
      <c r="O479" s="129" t="s">
        <v>79</v>
      </c>
      <c r="P479" s="30" t="s">
        <v>1291</v>
      </c>
      <c r="Q479" s="30" t="s">
        <v>867</v>
      </c>
      <c r="R479" s="155" t="s">
        <v>80</v>
      </c>
      <c r="S479" s="41">
        <v>2014</v>
      </c>
      <c r="T479" s="31" t="s">
        <v>1196</v>
      </c>
      <c r="U479" s="31" t="s">
        <v>1197</v>
      </c>
      <c r="V479" s="30" t="s">
        <v>1198</v>
      </c>
      <c r="W479" s="129" t="s">
        <v>151</v>
      </c>
      <c r="X479" s="30" t="s">
        <v>302</v>
      </c>
      <c r="Y479" s="30" t="s">
        <v>302</v>
      </c>
      <c r="Z479" s="44">
        <v>41912</v>
      </c>
      <c r="AA479" s="31" t="s">
        <v>3359</v>
      </c>
    </row>
    <row r="480" spans="1:27" s="29" customFormat="1" ht="34.5" customHeight="1">
      <c r="A480" s="30" t="s">
        <v>71</v>
      </c>
      <c r="B480" s="30" t="s">
        <v>116</v>
      </c>
      <c r="C480" s="30" t="s">
        <v>144</v>
      </c>
      <c r="D480" s="30" t="s">
        <v>1223</v>
      </c>
      <c r="E480" s="30" t="s">
        <v>285</v>
      </c>
      <c r="F480" s="30" t="s">
        <v>1292</v>
      </c>
      <c r="G480" s="30" t="s">
        <v>118</v>
      </c>
      <c r="H480" s="30">
        <v>425120</v>
      </c>
      <c r="I480" s="129" t="s">
        <v>98</v>
      </c>
      <c r="J480" s="129" t="s">
        <v>3397</v>
      </c>
      <c r="K480" s="30" t="s">
        <v>1225</v>
      </c>
      <c r="L480" s="30" t="s">
        <v>1193</v>
      </c>
      <c r="M480" s="45">
        <v>2500</v>
      </c>
      <c r="N480" s="45">
        <v>10298</v>
      </c>
      <c r="O480" s="129" t="s">
        <v>149</v>
      </c>
      <c r="P480" s="30" t="s">
        <v>1293</v>
      </c>
      <c r="Q480" s="30" t="s">
        <v>867</v>
      </c>
      <c r="R480" s="155" t="s">
        <v>80</v>
      </c>
      <c r="S480" s="41">
        <v>2014</v>
      </c>
      <c r="T480" s="31" t="s">
        <v>1196</v>
      </c>
      <c r="U480" s="31" t="s">
        <v>1197</v>
      </c>
      <c r="V480" s="30" t="s">
        <v>1198</v>
      </c>
      <c r="W480" s="129" t="s">
        <v>151</v>
      </c>
      <c r="X480" s="30" t="s">
        <v>302</v>
      </c>
      <c r="Y480" s="30" t="s">
        <v>302</v>
      </c>
      <c r="Z480" s="44">
        <v>41912</v>
      </c>
      <c r="AA480" s="31" t="s">
        <v>3359</v>
      </c>
    </row>
    <row r="481" spans="1:27" s="29" customFormat="1" ht="34.5" customHeight="1">
      <c r="A481" s="30" t="s">
        <v>71</v>
      </c>
      <c r="B481" s="30" t="s">
        <v>116</v>
      </c>
      <c r="C481" s="30" t="s">
        <v>144</v>
      </c>
      <c r="D481" s="30" t="s">
        <v>1223</v>
      </c>
      <c r="E481" s="30" t="s">
        <v>285</v>
      </c>
      <c r="F481" s="30" t="s">
        <v>1294</v>
      </c>
      <c r="G481" s="30" t="s">
        <v>195</v>
      </c>
      <c r="H481" s="30">
        <v>425120</v>
      </c>
      <c r="I481" s="129" t="s">
        <v>98</v>
      </c>
      <c r="J481" s="129" t="s">
        <v>3397</v>
      </c>
      <c r="K481" s="30" t="s">
        <v>1225</v>
      </c>
      <c r="L481" s="30" t="s">
        <v>1193</v>
      </c>
      <c r="M481" s="45">
        <v>2500</v>
      </c>
      <c r="N481" s="45">
        <v>521622.21</v>
      </c>
      <c r="O481" s="129" t="s">
        <v>79</v>
      </c>
      <c r="P481" s="30" t="s">
        <v>1295</v>
      </c>
      <c r="Q481" s="30" t="s">
        <v>867</v>
      </c>
      <c r="R481" s="155" t="s">
        <v>80</v>
      </c>
      <c r="S481" s="41">
        <v>2014</v>
      </c>
      <c r="T481" s="31" t="s">
        <v>1196</v>
      </c>
      <c r="U481" s="31" t="s">
        <v>1197</v>
      </c>
      <c r="V481" s="30" t="s">
        <v>1198</v>
      </c>
      <c r="W481" s="129" t="s">
        <v>151</v>
      </c>
      <c r="X481" s="30" t="s">
        <v>302</v>
      </c>
      <c r="Y481" s="30" t="s">
        <v>302</v>
      </c>
      <c r="Z481" s="44">
        <v>41912</v>
      </c>
      <c r="AA481" s="31" t="s">
        <v>3359</v>
      </c>
    </row>
    <row r="482" spans="1:27" s="29" customFormat="1" ht="34.5" customHeight="1">
      <c r="A482" s="30" t="s">
        <v>71</v>
      </c>
      <c r="B482" s="30" t="s">
        <v>116</v>
      </c>
      <c r="C482" s="30" t="s">
        <v>144</v>
      </c>
      <c r="D482" s="30" t="s">
        <v>1223</v>
      </c>
      <c r="E482" s="30" t="s">
        <v>285</v>
      </c>
      <c r="F482" s="30" t="s">
        <v>1296</v>
      </c>
      <c r="G482" s="30" t="s">
        <v>239</v>
      </c>
      <c r="H482" s="30">
        <v>425120</v>
      </c>
      <c r="I482" s="129" t="s">
        <v>98</v>
      </c>
      <c r="J482" s="129" t="s">
        <v>3397</v>
      </c>
      <c r="K482" s="30" t="s">
        <v>1225</v>
      </c>
      <c r="L482" s="30" t="s">
        <v>1193</v>
      </c>
      <c r="M482" s="45">
        <v>2500</v>
      </c>
      <c r="N482" s="45">
        <v>177128.09</v>
      </c>
      <c r="O482" s="129" t="s">
        <v>79</v>
      </c>
      <c r="P482" s="30" t="s">
        <v>1297</v>
      </c>
      <c r="Q482" s="30" t="s">
        <v>867</v>
      </c>
      <c r="R482" s="155" t="s">
        <v>80</v>
      </c>
      <c r="S482" s="41">
        <v>2014</v>
      </c>
      <c r="T482" s="31" t="s">
        <v>1196</v>
      </c>
      <c r="U482" s="31" t="s">
        <v>1197</v>
      </c>
      <c r="V482" s="30" t="s">
        <v>1198</v>
      </c>
      <c r="W482" s="129" t="s">
        <v>151</v>
      </c>
      <c r="X482" s="30" t="s">
        <v>302</v>
      </c>
      <c r="Y482" s="30" t="s">
        <v>302</v>
      </c>
      <c r="Z482" s="44">
        <v>41912</v>
      </c>
      <c r="AA482" s="31" t="s">
        <v>3359</v>
      </c>
    </row>
    <row r="483" spans="1:27" s="29" customFormat="1" ht="34.5" customHeight="1">
      <c r="A483" s="30" t="s">
        <v>71</v>
      </c>
      <c r="B483" s="30" t="s">
        <v>116</v>
      </c>
      <c r="C483" s="30" t="s">
        <v>144</v>
      </c>
      <c r="D483" s="30" t="s">
        <v>1223</v>
      </c>
      <c r="E483" s="30" t="s">
        <v>285</v>
      </c>
      <c r="F483" s="30" t="s">
        <v>1298</v>
      </c>
      <c r="G483" s="30" t="s">
        <v>179</v>
      </c>
      <c r="H483" s="30">
        <v>425120</v>
      </c>
      <c r="I483" s="129" t="s">
        <v>98</v>
      </c>
      <c r="J483" s="129" t="s">
        <v>3397</v>
      </c>
      <c r="K483" s="30" t="s">
        <v>1225</v>
      </c>
      <c r="L483" s="30" t="s">
        <v>1193</v>
      </c>
      <c r="M483" s="45">
        <v>2500</v>
      </c>
      <c r="N483" s="45">
        <v>294120</v>
      </c>
      <c r="O483" s="129" t="s">
        <v>79</v>
      </c>
      <c r="P483" s="30" t="s">
        <v>1299</v>
      </c>
      <c r="Q483" s="30" t="s">
        <v>867</v>
      </c>
      <c r="R483" s="155" t="s">
        <v>80</v>
      </c>
      <c r="S483" s="41">
        <v>2014</v>
      </c>
      <c r="T483" s="31" t="s">
        <v>1196</v>
      </c>
      <c r="U483" s="31" t="s">
        <v>1197</v>
      </c>
      <c r="V483" s="30" t="s">
        <v>1198</v>
      </c>
      <c r="W483" s="129" t="s">
        <v>151</v>
      </c>
      <c r="X483" s="30" t="s">
        <v>302</v>
      </c>
      <c r="Y483" s="30" t="s">
        <v>302</v>
      </c>
      <c r="Z483" s="44">
        <v>41912</v>
      </c>
      <c r="AA483" s="31" t="s">
        <v>3359</v>
      </c>
    </row>
    <row r="484" spans="1:27" s="29" customFormat="1" ht="34.5" customHeight="1">
      <c r="A484" s="30" t="s">
        <v>71</v>
      </c>
      <c r="B484" s="30" t="s">
        <v>116</v>
      </c>
      <c r="C484" s="30" t="s">
        <v>144</v>
      </c>
      <c r="D484" s="30" t="s">
        <v>1223</v>
      </c>
      <c r="E484" s="30" t="s">
        <v>285</v>
      </c>
      <c r="F484" s="30" t="s">
        <v>1300</v>
      </c>
      <c r="G484" s="30" t="s">
        <v>50</v>
      </c>
      <c r="H484" s="30">
        <v>425120</v>
      </c>
      <c r="I484" s="129" t="s">
        <v>98</v>
      </c>
      <c r="J484" s="129" t="s">
        <v>3397</v>
      </c>
      <c r="K484" s="30" t="s">
        <v>1225</v>
      </c>
      <c r="L484" s="30" t="s">
        <v>1193</v>
      </c>
      <c r="M484" s="45">
        <v>2500</v>
      </c>
      <c r="N484" s="45">
        <v>49029.63</v>
      </c>
      <c r="O484" s="129" t="s">
        <v>79</v>
      </c>
      <c r="P484" s="30" t="s">
        <v>1301</v>
      </c>
      <c r="Q484" s="30" t="s">
        <v>867</v>
      </c>
      <c r="R484" s="155" t="s">
        <v>80</v>
      </c>
      <c r="S484" s="41">
        <v>2014</v>
      </c>
      <c r="T484" s="31" t="s">
        <v>1196</v>
      </c>
      <c r="U484" s="31" t="s">
        <v>1197</v>
      </c>
      <c r="V484" s="30" t="s">
        <v>1198</v>
      </c>
      <c r="W484" s="129" t="s">
        <v>151</v>
      </c>
      <c r="X484" s="30" t="s">
        <v>302</v>
      </c>
      <c r="Y484" s="30" t="s">
        <v>302</v>
      </c>
      <c r="Z484" s="44">
        <v>41912</v>
      </c>
      <c r="AA484" s="31" t="s">
        <v>3359</v>
      </c>
    </row>
    <row r="485" spans="1:27" s="29" customFormat="1" ht="34.5" customHeight="1">
      <c r="A485" s="30" t="s">
        <v>71</v>
      </c>
      <c r="B485" s="30" t="s">
        <v>116</v>
      </c>
      <c r="C485" s="30" t="s">
        <v>144</v>
      </c>
      <c r="D485" s="30" t="s">
        <v>1223</v>
      </c>
      <c r="E485" s="30" t="s">
        <v>285</v>
      </c>
      <c r="F485" s="30" t="s">
        <v>1302</v>
      </c>
      <c r="G485" s="30" t="s">
        <v>140</v>
      </c>
      <c r="H485" s="30">
        <v>425120</v>
      </c>
      <c r="I485" s="129" t="s">
        <v>98</v>
      </c>
      <c r="J485" s="129" t="s">
        <v>3397</v>
      </c>
      <c r="K485" s="30" t="s">
        <v>1225</v>
      </c>
      <c r="L485" s="30" t="s">
        <v>1193</v>
      </c>
      <c r="M485" s="45">
        <v>2500</v>
      </c>
      <c r="N485" s="45">
        <v>194481.38</v>
      </c>
      <c r="O485" s="129" t="s">
        <v>79</v>
      </c>
      <c r="P485" s="30" t="s">
        <v>1303</v>
      </c>
      <c r="Q485" s="30" t="s">
        <v>867</v>
      </c>
      <c r="R485" s="155" t="s">
        <v>80</v>
      </c>
      <c r="S485" s="41">
        <v>2014</v>
      </c>
      <c r="T485" s="31" t="s">
        <v>1196</v>
      </c>
      <c r="U485" s="31" t="s">
        <v>1197</v>
      </c>
      <c r="V485" s="30" t="s">
        <v>1198</v>
      </c>
      <c r="W485" s="129" t="s">
        <v>151</v>
      </c>
      <c r="X485" s="30" t="s">
        <v>302</v>
      </c>
      <c r="Y485" s="30" t="s">
        <v>302</v>
      </c>
      <c r="Z485" s="44">
        <v>41912</v>
      </c>
      <c r="AA485" s="31" t="s">
        <v>3359</v>
      </c>
    </row>
    <row r="486" spans="1:27" s="29" customFormat="1" ht="38.25" customHeight="1">
      <c r="A486" s="30" t="s">
        <v>71</v>
      </c>
      <c r="B486" s="30" t="s">
        <v>116</v>
      </c>
      <c r="C486" s="30" t="s">
        <v>144</v>
      </c>
      <c r="D486" s="30" t="s">
        <v>1223</v>
      </c>
      <c r="E486" s="30" t="s">
        <v>285</v>
      </c>
      <c r="F486" s="30" t="s">
        <v>1304</v>
      </c>
      <c r="G486" s="30" t="s">
        <v>177</v>
      </c>
      <c r="H486" s="30">
        <v>425120</v>
      </c>
      <c r="I486" s="129" t="s">
        <v>98</v>
      </c>
      <c r="J486" s="129" t="s">
        <v>3397</v>
      </c>
      <c r="K486" s="30" t="s">
        <v>1225</v>
      </c>
      <c r="L486" s="30" t="s">
        <v>1193</v>
      </c>
      <c r="M486" s="45">
        <v>2500</v>
      </c>
      <c r="N486" s="45">
        <v>216688.79</v>
      </c>
      <c r="O486" s="129" t="s">
        <v>79</v>
      </c>
      <c r="P486" s="30" t="s">
        <v>1305</v>
      </c>
      <c r="Q486" s="30" t="s">
        <v>867</v>
      </c>
      <c r="R486" s="155" t="s">
        <v>80</v>
      </c>
      <c r="S486" s="41">
        <v>2014</v>
      </c>
      <c r="T486" s="31" t="s">
        <v>1196</v>
      </c>
      <c r="U486" s="31" t="s">
        <v>1197</v>
      </c>
      <c r="V486" s="30" t="s">
        <v>1198</v>
      </c>
      <c r="W486" s="129" t="s">
        <v>151</v>
      </c>
      <c r="X486" s="30" t="s">
        <v>302</v>
      </c>
      <c r="Y486" s="30" t="s">
        <v>302</v>
      </c>
      <c r="Z486" s="44">
        <v>41912</v>
      </c>
      <c r="AA486" s="31" t="s">
        <v>3359</v>
      </c>
    </row>
    <row r="487" spans="1:27" s="29" customFormat="1" ht="34.5" customHeight="1">
      <c r="A487" s="30" t="s">
        <v>71</v>
      </c>
      <c r="B487" s="30" t="s">
        <v>116</v>
      </c>
      <c r="C487" s="30" t="s">
        <v>144</v>
      </c>
      <c r="D487" s="30" t="s">
        <v>1223</v>
      </c>
      <c r="E487" s="30" t="s">
        <v>285</v>
      </c>
      <c r="F487" s="30" t="s">
        <v>1219</v>
      </c>
      <c r="G487" s="30" t="s">
        <v>233</v>
      </c>
      <c r="H487" s="30">
        <v>425120</v>
      </c>
      <c r="I487" s="129" t="s">
        <v>98</v>
      </c>
      <c r="J487" s="129" t="s">
        <v>3397</v>
      </c>
      <c r="K487" s="30" t="s">
        <v>1225</v>
      </c>
      <c r="L487" s="30" t="s">
        <v>1193</v>
      </c>
      <c r="M487" s="45">
        <v>2500</v>
      </c>
      <c r="N487" s="45">
        <v>462591.43</v>
      </c>
      <c r="O487" s="129" t="s">
        <v>79</v>
      </c>
      <c r="P487" s="30" t="s">
        <v>1306</v>
      </c>
      <c r="Q487" s="30" t="s">
        <v>867</v>
      </c>
      <c r="R487" s="155" t="s">
        <v>80</v>
      </c>
      <c r="S487" s="41">
        <v>2014</v>
      </c>
      <c r="T487" s="31" t="s">
        <v>1196</v>
      </c>
      <c r="U487" s="31" t="s">
        <v>1197</v>
      </c>
      <c r="V487" s="30" t="s">
        <v>1198</v>
      </c>
      <c r="W487" s="129" t="s">
        <v>151</v>
      </c>
      <c r="X487" s="30" t="s">
        <v>302</v>
      </c>
      <c r="Y487" s="30" t="s">
        <v>302</v>
      </c>
      <c r="Z487" s="44">
        <v>41912</v>
      </c>
      <c r="AA487" s="31" t="s">
        <v>3359</v>
      </c>
    </row>
    <row r="488" spans="1:27" s="29" customFormat="1" ht="34.5" customHeight="1">
      <c r="A488" s="30" t="s">
        <v>71</v>
      </c>
      <c r="B488" s="30" t="s">
        <v>116</v>
      </c>
      <c r="C488" s="30" t="s">
        <v>144</v>
      </c>
      <c r="D488" s="30" t="s">
        <v>1223</v>
      </c>
      <c r="E488" s="30" t="s">
        <v>285</v>
      </c>
      <c r="F488" s="30" t="s">
        <v>1268</v>
      </c>
      <c r="G488" s="30" t="s">
        <v>223</v>
      </c>
      <c r="H488" s="30">
        <v>425120</v>
      </c>
      <c r="I488" s="129" t="s">
        <v>98</v>
      </c>
      <c r="J488" s="129" t="s">
        <v>3397</v>
      </c>
      <c r="K488" s="30" t="s">
        <v>1225</v>
      </c>
      <c r="L488" s="30" t="s">
        <v>1193</v>
      </c>
      <c r="M488" s="45">
        <v>2500</v>
      </c>
      <c r="N488" s="45">
        <v>684176.08</v>
      </c>
      <c r="O488" s="129" t="s">
        <v>79</v>
      </c>
      <c r="P488" s="30" t="s">
        <v>1307</v>
      </c>
      <c r="Q488" s="30" t="s">
        <v>867</v>
      </c>
      <c r="R488" s="155" t="s">
        <v>80</v>
      </c>
      <c r="S488" s="41">
        <v>2014</v>
      </c>
      <c r="T488" s="31" t="s">
        <v>1196</v>
      </c>
      <c r="U488" s="31" t="s">
        <v>1197</v>
      </c>
      <c r="V488" s="30" t="s">
        <v>1198</v>
      </c>
      <c r="W488" s="129" t="s">
        <v>151</v>
      </c>
      <c r="X488" s="30" t="s">
        <v>302</v>
      </c>
      <c r="Y488" s="30" t="s">
        <v>302</v>
      </c>
      <c r="Z488" s="44">
        <v>41912</v>
      </c>
      <c r="AA488" s="31" t="s">
        <v>3359</v>
      </c>
    </row>
    <row r="489" spans="1:27" s="29" customFormat="1" ht="34.5" customHeight="1">
      <c r="A489" s="30" t="s">
        <v>71</v>
      </c>
      <c r="B489" s="30" t="s">
        <v>116</v>
      </c>
      <c r="C489" s="30" t="s">
        <v>144</v>
      </c>
      <c r="D489" s="30" t="s">
        <v>1223</v>
      </c>
      <c r="E489" s="30" t="s">
        <v>285</v>
      </c>
      <c r="F489" s="30" t="s">
        <v>1082</v>
      </c>
      <c r="G489" s="30" t="s">
        <v>183</v>
      </c>
      <c r="H489" s="30">
        <v>425120</v>
      </c>
      <c r="I489" s="129" t="s">
        <v>42</v>
      </c>
      <c r="J489" s="129" t="s">
        <v>3397</v>
      </c>
      <c r="K489" s="30" t="s">
        <v>1225</v>
      </c>
      <c r="L489" s="30" t="s">
        <v>1193</v>
      </c>
      <c r="M489" s="45">
        <v>2500</v>
      </c>
      <c r="N489" s="45">
        <v>142007.93</v>
      </c>
      <c r="O489" s="129" t="s">
        <v>79</v>
      </c>
      <c r="P489" s="30" t="s">
        <v>1308</v>
      </c>
      <c r="Q489" s="30" t="s">
        <v>867</v>
      </c>
      <c r="R489" s="155" t="s">
        <v>80</v>
      </c>
      <c r="S489" s="41">
        <v>2014</v>
      </c>
      <c r="T489" s="31" t="s">
        <v>1196</v>
      </c>
      <c r="U489" s="31" t="s">
        <v>1197</v>
      </c>
      <c r="V489" s="30" t="s">
        <v>1198</v>
      </c>
      <c r="W489" s="129" t="s">
        <v>151</v>
      </c>
      <c r="X489" s="30" t="s">
        <v>302</v>
      </c>
      <c r="Y489" s="30" t="s">
        <v>302</v>
      </c>
      <c r="Z489" s="44">
        <v>41912</v>
      </c>
      <c r="AA489" s="31" t="s">
        <v>3359</v>
      </c>
    </row>
    <row r="490" spans="1:27" s="29" customFormat="1" ht="34.5" customHeight="1">
      <c r="A490" s="30" t="s">
        <v>71</v>
      </c>
      <c r="B490" s="30" t="s">
        <v>116</v>
      </c>
      <c r="C490" s="30" t="s">
        <v>144</v>
      </c>
      <c r="D490" s="30" t="s">
        <v>1223</v>
      </c>
      <c r="E490" s="30" t="s">
        <v>285</v>
      </c>
      <c r="F490" s="30" t="s">
        <v>1309</v>
      </c>
      <c r="G490" s="30" t="s">
        <v>197</v>
      </c>
      <c r="H490" s="30">
        <v>425120</v>
      </c>
      <c r="I490" s="129" t="s">
        <v>98</v>
      </c>
      <c r="J490" s="129" t="s">
        <v>3397</v>
      </c>
      <c r="K490" s="30" t="s">
        <v>1225</v>
      </c>
      <c r="L490" s="30" t="s">
        <v>1193</v>
      </c>
      <c r="M490" s="45">
        <v>2500</v>
      </c>
      <c r="N490" s="45">
        <v>5339.5</v>
      </c>
      <c r="O490" s="129" t="s">
        <v>149</v>
      </c>
      <c r="P490" s="30" t="s">
        <v>1310</v>
      </c>
      <c r="Q490" s="30" t="s">
        <v>867</v>
      </c>
      <c r="R490" s="155" t="s">
        <v>80</v>
      </c>
      <c r="S490" s="41">
        <v>2014</v>
      </c>
      <c r="T490" s="31" t="s">
        <v>1196</v>
      </c>
      <c r="U490" s="31" t="s">
        <v>1197</v>
      </c>
      <c r="V490" s="30" t="s">
        <v>1198</v>
      </c>
      <c r="W490" s="129" t="s">
        <v>151</v>
      </c>
      <c r="X490" s="30" t="s">
        <v>302</v>
      </c>
      <c r="Y490" s="30" t="s">
        <v>302</v>
      </c>
      <c r="Z490" s="44">
        <v>41912</v>
      </c>
      <c r="AA490" s="31" t="s">
        <v>3359</v>
      </c>
    </row>
    <row r="491" spans="1:27" s="29" customFormat="1" ht="34.5" customHeight="1">
      <c r="A491" s="30" t="s">
        <v>71</v>
      </c>
      <c r="B491" s="30" t="s">
        <v>116</v>
      </c>
      <c r="C491" s="30" t="s">
        <v>144</v>
      </c>
      <c r="D491" s="30" t="s">
        <v>1223</v>
      </c>
      <c r="E491" s="30" t="s">
        <v>285</v>
      </c>
      <c r="F491" s="129" t="s">
        <v>3370</v>
      </c>
      <c r="G491" s="30" t="s">
        <v>183</v>
      </c>
      <c r="H491" s="30">
        <v>425120</v>
      </c>
      <c r="I491" s="129" t="s">
        <v>98</v>
      </c>
      <c r="J491" s="129" t="s">
        <v>3397</v>
      </c>
      <c r="K491" s="30" t="s">
        <v>1225</v>
      </c>
      <c r="L491" s="30" t="s">
        <v>1193</v>
      </c>
      <c r="M491" s="45">
        <v>2500</v>
      </c>
      <c r="N491" s="45">
        <v>10299.32</v>
      </c>
      <c r="O491" s="129" t="s">
        <v>149</v>
      </c>
      <c r="P491" s="30" t="s">
        <v>1311</v>
      </c>
      <c r="Q491" s="30" t="s">
        <v>867</v>
      </c>
      <c r="R491" s="155" t="s">
        <v>80</v>
      </c>
      <c r="S491" s="41">
        <v>2014</v>
      </c>
      <c r="T491" s="31" t="s">
        <v>1196</v>
      </c>
      <c r="U491" s="31" t="s">
        <v>1197</v>
      </c>
      <c r="V491" s="30" t="s">
        <v>1198</v>
      </c>
      <c r="W491" s="129" t="s">
        <v>151</v>
      </c>
      <c r="X491" s="30" t="s">
        <v>302</v>
      </c>
      <c r="Y491" s="30" t="s">
        <v>302</v>
      </c>
      <c r="Z491" s="44">
        <v>41912</v>
      </c>
      <c r="AA491" s="31" t="s">
        <v>3359</v>
      </c>
    </row>
    <row r="492" spans="1:27" s="29" customFormat="1" ht="34.5" customHeight="1">
      <c r="A492" s="30" t="s">
        <v>71</v>
      </c>
      <c r="B492" s="30" t="s">
        <v>116</v>
      </c>
      <c r="C492" s="30" t="s">
        <v>144</v>
      </c>
      <c r="D492" s="30" t="s">
        <v>1223</v>
      </c>
      <c r="E492" s="30" t="s">
        <v>285</v>
      </c>
      <c r="F492" s="30" t="s">
        <v>1312</v>
      </c>
      <c r="G492" s="30" t="s">
        <v>213</v>
      </c>
      <c r="H492" s="30">
        <v>425120</v>
      </c>
      <c r="I492" s="129" t="s">
        <v>98</v>
      </c>
      <c r="J492" s="129" t="s">
        <v>3397</v>
      </c>
      <c r="K492" s="30" t="s">
        <v>1225</v>
      </c>
      <c r="L492" s="30" t="s">
        <v>1193</v>
      </c>
      <c r="M492" s="45">
        <v>2500</v>
      </c>
      <c r="N492" s="45">
        <v>141074.6</v>
      </c>
      <c r="O492" s="129" t="s">
        <v>79</v>
      </c>
      <c r="P492" s="30" t="s">
        <v>1313</v>
      </c>
      <c r="Q492" s="30" t="s">
        <v>867</v>
      </c>
      <c r="R492" s="155" t="s">
        <v>80</v>
      </c>
      <c r="S492" s="41">
        <v>2014</v>
      </c>
      <c r="T492" s="31" t="s">
        <v>1196</v>
      </c>
      <c r="U492" s="31" t="s">
        <v>1197</v>
      </c>
      <c r="V492" s="30" t="s">
        <v>1198</v>
      </c>
      <c r="W492" s="129" t="s">
        <v>151</v>
      </c>
      <c r="X492" s="30" t="s">
        <v>302</v>
      </c>
      <c r="Y492" s="30" t="s">
        <v>302</v>
      </c>
      <c r="Z492" s="44">
        <v>41912</v>
      </c>
      <c r="AA492" s="31" t="s">
        <v>3359</v>
      </c>
    </row>
    <row r="493" spans="1:27" s="29" customFormat="1" ht="34.5" customHeight="1">
      <c r="A493" s="30" t="s">
        <v>71</v>
      </c>
      <c r="B493" s="30" t="s">
        <v>116</v>
      </c>
      <c r="C493" s="30" t="s">
        <v>144</v>
      </c>
      <c r="D493" s="30" t="s">
        <v>1223</v>
      </c>
      <c r="E493" s="30" t="s">
        <v>285</v>
      </c>
      <c r="F493" s="30" t="s">
        <v>1206</v>
      </c>
      <c r="G493" s="30" t="s">
        <v>50</v>
      </c>
      <c r="H493" s="30">
        <v>425120</v>
      </c>
      <c r="I493" s="129" t="s">
        <v>98</v>
      </c>
      <c r="J493" s="129" t="s">
        <v>3397</v>
      </c>
      <c r="K493" s="30" t="s">
        <v>1225</v>
      </c>
      <c r="L493" s="30" t="s">
        <v>1193</v>
      </c>
      <c r="M493" s="45">
        <v>2500</v>
      </c>
      <c r="N493" s="45">
        <v>85917.62</v>
      </c>
      <c r="O493" s="129" t="s">
        <v>79</v>
      </c>
      <c r="P493" s="30" t="s">
        <v>1314</v>
      </c>
      <c r="Q493" s="30" t="s">
        <v>867</v>
      </c>
      <c r="R493" s="155" t="s">
        <v>80</v>
      </c>
      <c r="S493" s="41">
        <v>2014</v>
      </c>
      <c r="T493" s="31" t="s">
        <v>1196</v>
      </c>
      <c r="U493" s="31" t="s">
        <v>1197</v>
      </c>
      <c r="V493" s="30" t="s">
        <v>1198</v>
      </c>
      <c r="W493" s="129" t="s">
        <v>151</v>
      </c>
      <c r="X493" s="30" t="s">
        <v>302</v>
      </c>
      <c r="Y493" s="30" t="s">
        <v>302</v>
      </c>
      <c r="Z493" s="44">
        <v>41912</v>
      </c>
      <c r="AA493" s="31" t="s">
        <v>3359</v>
      </c>
    </row>
    <row r="494" spans="1:27" s="29" customFormat="1" ht="34.5" customHeight="1">
      <c r="A494" s="30" t="s">
        <v>71</v>
      </c>
      <c r="B494" s="30" t="s">
        <v>116</v>
      </c>
      <c r="C494" s="30" t="s">
        <v>144</v>
      </c>
      <c r="D494" s="30" t="s">
        <v>1223</v>
      </c>
      <c r="E494" s="30" t="s">
        <v>285</v>
      </c>
      <c r="F494" s="30" t="s">
        <v>944</v>
      </c>
      <c r="G494" s="30" t="s">
        <v>225</v>
      </c>
      <c r="H494" s="30">
        <v>425120</v>
      </c>
      <c r="I494" s="129" t="s">
        <v>98</v>
      </c>
      <c r="J494" s="129" t="s">
        <v>3397</v>
      </c>
      <c r="K494" s="30" t="s">
        <v>1225</v>
      </c>
      <c r="L494" s="30" t="s">
        <v>1193</v>
      </c>
      <c r="M494" s="45">
        <v>2500</v>
      </c>
      <c r="N494" s="45">
        <v>171534.87</v>
      </c>
      <c r="O494" s="129" t="s">
        <v>79</v>
      </c>
      <c r="P494" s="30" t="s">
        <v>1315</v>
      </c>
      <c r="Q494" s="30" t="s">
        <v>867</v>
      </c>
      <c r="R494" s="155" t="s">
        <v>80</v>
      </c>
      <c r="S494" s="41">
        <v>2014</v>
      </c>
      <c r="T494" s="31" t="s">
        <v>1196</v>
      </c>
      <c r="U494" s="31" t="s">
        <v>1197</v>
      </c>
      <c r="V494" s="30" t="s">
        <v>1198</v>
      </c>
      <c r="W494" s="129" t="s">
        <v>151</v>
      </c>
      <c r="X494" s="30" t="s">
        <v>302</v>
      </c>
      <c r="Y494" s="30" t="s">
        <v>302</v>
      </c>
      <c r="Z494" s="44">
        <v>41912</v>
      </c>
      <c r="AA494" s="31" t="s">
        <v>3359</v>
      </c>
    </row>
    <row r="495" spans="1:27" s="29" customFormat="1" ht="34.5" customHeight="1">
      <c r="A495" s="30" t="s">
        <v>71</v>
      </c>
      <c r="B495" s="30" t="s">
        <v>116</v>
      </c>
      <c r="C495" s="30" t="s">
        <v>144</v>
      </c>
      <c r="D495" s="30" t="s">
        <v>1223</v>
      </c>
      <c r="E495" s="30" t="s">
        <v>285</v>
      </c>
      <c r="F495" s="30" t="s">
        <v>1316</v>
      </c>
      <c r="G495" s="30" t="s">
        <v>66</v>
      </c>
      <c r="H495" s="30">
        <v>425120</v>
      </c>
      <c r="I495" s="129" t="s">
        <v>98</v>
      </c>
      <c r="J495" s="129" t="s">
        <v>3397</v>
      </c>
      <c r="K495" s="30" t="s">
        <v>1225</v>
      </c>
      <c r="L495" s="30" t="s">
        <v>1193</v>
      </c>
      <c r="M495" s="45">
        <v>2500</v>
      </c>
      <c r="N495" s="45">
        <v>7500</v>
      </c>
      <c r="O495" s="129" t="s">
        <v>149</v>
      </c>
      <c r="P495" s="30" t="s">
        <v>1317</v>
      </c>
      <c r="Q495" s="30" t="s">
        <v>867</v>
      </c>
      <c r="R495" s="155" t="s">
        <v>80</v>
      </c>
      <c r="S495" s="41">
        <v>2014</v>
      </c>
      <c r="T495" s="31" t="s">
        <v>1196</v>
      </c>
      <c r="U495" s="31" t="s">
        <v>1197</v>
      </c>
      <c r="V495" s="30" t="s">
        <v>1198</v>
      </c>
      <c r="W495" s="129" t="s">
        <v>151</v>
      </c>
      <c r="X495" s="30" t="s">
        <v>302</v>
      </c>
      <c r="Y495" s="30" t="s">
        <v>302</v>
      </c>
      <c r="Z495" s="44">
        <v>41912</v>
      </c>
      <c r="AA495" s="31" t="s">
        <v>3359</v>
      </c>
    </row>
    <row r="496" spans="1:27" s="29" customFormat="1" ht="34.5" customHeight="1">
      <c r="A496" s="30" t="s">
        <v>71</v>
      </c>
      <c r="B496" s="30" t="s">
        <v>116</v>
      </c>
      <c r="C496" s="30" t="s">
        <v>144</v>
      </c>
      <c r="D496" s="30" t="s">
        <v>1223</v>
      </c>
      <c r="E496" s="30" t="s">
        <v>285</v>
      </c>
      <c r="F496" s="30" t="s">
        <v>1318</v>
      </c>
      <c r="G496" s="30" t="s">
        <v>213</v>
      </c>
      <c r="H496" s="30">
        <v>425120</v>
      </c>
      <c r="I496" s="129" t="s">
        <v>98</v>
      </c>
      <c r="J496" s="129" t="s">
        <v>3397</v>
      </c>
      <c r="K496" s="30" t="s">
        <v>1225</v>
      </c>
      <c r="L496" s="30" t="s">
        <v>1193</v>
      </c>
      <c r="M496" s="45">
        <v>2500</v>
      </c>
      <c r="N496" s="45">
        <v>335693.66</v>
      </c>
      <c r="O496" s="129" t="s">
        <v>79</v>
      </c>
      <c r="P496" s="30" t="s">
        <v>1319</v>
      </c>
      <c r="Q496" s="30" t="s">
        <v>867</v>
      </c>
      <c r="R496" s="155" t="s">
        <v>80</v>
      </c>
      <c r="S496" s="41">
        <v>2014</v>
      </c>
      <c r="T496" s="31" t="s">
        <v>1196</v>
      </c>
      <c r="U496" s="31" t="s">
        <v>1197</v>
      </c>
      <c r="V496" s="30" t="s">
        <v>1198</v>
      </c>
      <c r="W496" s="129" t="s">
        <v>151</v>
      </c>
      <c r="X496" s="30" t="s">
        <v>302</v>
      </c>
      <c r="Y496" s="30" t="s">
        <v>302</v>
      </c>
      <c r="Z496" s="44">
        <v>41912</v>
      </c>
      <c r="AA496" s="31" t="s">
        <v>3359</v>
      </c>
    </row>
    <row r="497" spans="1:27" s="29" customFormat="1" ht="34.5" customHeight="1">
      <c r="A497" s="30" t="s">
        <v>71</v>
      </c>
      <c r="B497" s="30" t="s">
        <v>116</v>
      </c>
      <c r="C497" s="30" t="s">
        <v>144</v>
      </c>
      <c r="D497" s="30" t="s">
        <v>1223</v>
      </c>
      <c r="E497" s="30" t="s">
        <v>285</v>
      </c>
      <c r="F497" s="30" t="s">
        <v>1320</v>
      </c>
      <c r="G497" s="30" t="s">
        <v>215</v>
      </c>
      <c r="H497" s="30">
        <v>425120</v>
      </c>
      <c r="I497" s="129" t="s">
        <v>42</v>
      </c>
      <c r="J497" s="129" t="s">
        <v>3397</v>
      </c>
      <c r="K497" s="30" t="s">
        <v>1225</v>
      </c>
      <c r="L497" s="30" t="s">
        <v>1193</v>
      </c>
      <c r="M497" s="45">
        <v>2500</v>
      </c>
      <c r="N497" s="45">
        <v>22190</v>
      </c>
      <c r="O497" s="129" t="s">
        <v>149</v>
      </c>
      <c r="P497" s="30" t="s">
        <v>1321</v>
      </c>
      <c r="Q497" s="30" t="s">
        <v>867</v>
      </c>
      <c r="R497" s="155" t="s">
        <v>80</v>
      </c>
      <c r="S497" s="41">
        <v>2014</v>
      </c>
      <c r="T497" s="31" t="s">
        <v>1196</v>
      </c>
      <c r="U497" s="31" t="s">
        <v>1197</v>
      </c>
      <c r="V497" s="30" t="s">
        <v>1198</v>
      </c>
      <c r="W497" s="129" t="s">
        <v>151</v>
      </c>
      <c r="X497" s="30" t="s">
        <v>302</v>
      </c>
      <c r="Y497" s="30" t="s">
        <v>302</v>
      </c>
      <c r="Z497" s="44">
        <v>41912</v>
      </c>
      <c r="AA497" s="31" t="s">
        <v>3359</v>
      </c>
    </row>
    <row r="498" spans="1:27" s="29" customFormat="1" ht="34.5" customHeight="1">
      <c r="A498" s="30" t="s">
        <v>71</v>
      </c>
      <c r="B498" s="30" t="s">
        <v>116</v>
      </c>
      <c r="C498" s="30" t="s">
        <v>144</v>
      </c>
      <c r="D498" s="30" t="s">
        <v>1223</v>
      </c>
      <c r="E498" s="30" t="s">
        <v>285</v>
      </c>
      <c r="F498" s="30" t="s">
        <v>1122</v>
      </c>
      <c r="G498" s="30" t="s">
        <v>31</v>
      </c>
      <c r="H498" s="30">
        <v>425120</v>
      </c>
      <c r="I498" s="129" t="s">
        <v>98</v>
      </c>
      <c r="J498" s="129" t="s">
        <v>3397</v>
      </c>
      <c r="K498" s="30" t="s">
        <v>1225</v>
      </c>
      <c r="L498" s="30" t="s">
        <v>1193</v>
      </c>
      <c r="M498" s="45">
        <v>2500</v>
      </c>
      <c r="N498" s="45">
        <v>7500</v>
      </c>
      <c r="O498" s="129" t="s">
        <v>149</v>
      </c>
      <c r="P498" s="30" t="s">
        <v>1322</v>
      </c>
      <c r="Q498" s="30" t="s">
        <v>867</v>
      </c>
      <c r="R498" s="155" t="s">
        <v>80</v>
      </c>
      <c r="S498" s="41">
        <v>2014</v>
      </c>
      <c r="T498" s="31" t="s">
        <v>1196</v>
      </c>
      <c r="U498" s="31" t="s">
        <v>1197</v>
      </c>
      <c r="V498" s="30" t="s">
        <v>1198</v>
      </c>
      <c r="W498" s="129" t="s">
        <v>151</v>
      </c>
      <c r="X498" s="30" t="s">
        <v>302</v>
      </c>
      <c r="Y498" s="30" t="s">
        <v>302</v>
      </c>
      <c r="Z498" s="44">
        <v>41912</v>
      </c>
      <c r="AA498" s="31" t="s">
        <v>3359</v>
      </c>
    </row>
    <row r="499" spans="1:27" s="29" customFormat="1" ht="38.25" customHeight="1">
      <c r="A499" s="30" t="s">
        <v>71</v>
      </c>
      <c r="B499" s="30" t="s">
        <v>116</v>
      </c>
      <c r="C499" s="30" t="s">
        <v>144</v>
      </c>
      <c r="D499" s="30" t="s">
        <v>1323</v>
      </c>
      <c r="E499" s="30" t="s">
        <v>135</v>
      </c>
      <c r="F499" s="129" t="s">
        <v>3371</v>
      </c>
      <c r="G499" s="30" t="s">
        <v>1324</v>
      </c>
      <c r="H499" s="30">
        <v>536120</v>
      </c>
      <c r="I499" s="30" t="s">
        <v>67</v>
      </c>
      <c r="J499" s="129" t="s">
        <v>3397</v>
      </c>
      <c r="K499" s="30" t="s">
        <v>1325</v>
      </c>
      <c r="L499" s="30" t="s">
        <v>1326</v>
      </c>
      <c r="M499" s="45">
        <v>2500</v>
      </c>
      <c r="N499" s="45">
        <v>279456</v>
      </c>
      <c r="O499" s="129" t="s">
        <v>79</v>
      </c>
      <c r="P499" s="30" t="s">
        <v>1327</v>
      </c>
      <c r="Q499" s="30" t="s">
        <v>867</v>
      </c>
      <c r="R499" s="129" t="s">
        <v>150</v>
      </c>
      <c r="S499" s="41">
        <v>2014</v>
      </c>
      <c r="T499" s="31" t="s">
        <v>1196</v>
      </c>
      <c r="U499" s="31" t="s">
        <v>1197</v>
      </c>
      <c r="V499" s="30" t="s">
        <v>1198</v>
      </c>
      <c r="W499" s="129" t="s">
        <v>151</v>
      </c>
      <c r="X499" s="30" t="s">
        <v>302</v>
      </c>
      <c r="Y499" s="30" t="s">
        <v>302</v>
      </c>
      <c r="Z499" s="44">
        <v>41989</v>
      </c>
      <c r="AA499" s="31" t="s">
        <v>3359</v>
      </c>
    </row>
    <row r="500" spans="1:27" s="29" customFormat="1" ht="38.25" customHeight="1">
      <c r="A500" s="30" t="s">
        <v>71</v>
      </c>
      <c r="B500" s="30" t="s">
        <v>116</v>
      </c>
      <c r="C500" s="30" t="s">
        <v>144</v>
      </c>
      <c r="D500" s="30" t="s">
        <v>1328</v>
      </c>
      <c r="E500" s="30" t="s">
        <v>135</v>
      </c>
      <c r="F500" s="30" t="s">
        <v>1329</v>
      </c>
      <c r="G500" s="129" t="s">
        <v>3365</v>
      </c>
      <c r="H500" s="30">
        <v>514611</v>
      </c>
      <c r="I500" s="30" t="s">
        <v>67</v>
      </c>
      <c r="J500" s="129" t="s">
        <v>3397</v>
      </c>
      <c r="K500" s="30" t="s">
        <v>1325</v>
      </c>
      <c r="L500" s="30" t="s">
        <v>1326</v>
      </c>
      <c r="M500" s="45">
        <v>2500</v>
      </c>
      <c r="N500" s="45">
        <v>542846.98</v>
      </c>
      <c r="O500" s="129" t="s">
        <v>79</v>
      </c>
      <c r="P500" s="30" t="s">
        <v>1330</v>
      </c>
      <c r="Q500" s="30" t="s">
        <v>867</v>
      </c>
      <c r="R500" s="155" t="s">
        <v>80</v>
      </c>
      <c r="S500" s="41">
        <v>2014</v>
      </c>
      <c r="T500" s="31" t="s">
        <v>1196</v>
      </c>
      <c r="U500" s="31" t="s">
        <v>1197</v>
      </c>
      <c r="V500" s="30" t="s">
        <v>1198</v>
      </c>
      <c r="W500" s="129" t="s">
        <v>151</v>
      </c>
      <c r="X500" s="30" t="s">
        <v>302</v>
      </c>
      <c r="Y500" s="30" t="s">
        <v>302</v>
      </c>
      <c r="Z500" s="44">
        <v>41698</v>
      </c>
      <c r="AA500" s="31" t="s">
        <v>3359</v>
      </c>
    </row>
    <row r="501" spans="1:27" s="29" customFormat="1" ht="38.25" customHeight="1">
      <c r="A501" s="30" t="s">
        <v>71</v>
      </c>
      <c r="B501" s="30" t="s">
        <v>116</v>
      </c>
      <c r="C501" s="30" t="s">
        <v>144</v>
      </c>
      <c r="D501" s="30" t="s">
        <v>1331</v>
      </c>
      <c r="E501" s="30" t="s">
        <v>135</v>
      </c>
      <c r="F501" s="129" t="s">
        <v>3371</v>
      </c>
      <c r="G501" s="30" t="s">
        <v>1324</v>
      </c>
      <c r="H501" s="30">
        <v>541611</v>
      </c>
      <c r="I501" s="30" t="s">
        <v>67</v>
      </c>
      <c r="J501" s="129" t="s">
        <v>3397</v>
      </c>
      <c r="K501" s="30" t="s">
        <v>1325</v>
      </c>
      <c r="L501" s="30" t="s">
        <v>1326</v>
      </c>
      <c r="M501" s="45">
        <v>2500</v>
      </c>
      <c r="N501" s="45">
        <v>132441</v>
      </c>
      <c r="O501" s="129" t="s">
        <v>79</v>
      </c>
      <c r="P501" s="30" t="s">
        <v>1332</v>
      </c>
      <c r="Q501" s="30" t="s">
        <v>867</v>
      </c>
      <c r="R501" s="155" t="s">
        <v>80</v>
      </c>
      <c r="S501" s="41">
        <v>2014</v>
      </c>
      <c r="T501" s="31" t="s">
        <v>1196</v>
      </c>
      <c r="U501" s="31" t="s">
        <v>1197</v>
      </c>
      <c r="V501" s="30" t="s">
        <v>1198</v>
      </c>
      <c r="W501" s="129" t="s">
        <v>151</v>
      </c>
      <c r="X501" s="30" t="s">
        <v>302</v>
      </c>
      <c r="Y501" s="30" t="s">
        <v>302</v>
      </c>
      <c r="Z501" s="44">
        <v>42400</v>
      </c>
      <c r="AA501" s="31" t="s">
        <v>3359</v>
      </c>
    </row>
    <row r="502" spans="1:27" s="29" customFormat="1" ht="34.5" customHeight="1">
      <c r="A502" s="30" t="s">
        <v>71</v>
      </c>
      <c r="B502" s="30" t="s">
        <v>116</v>
      </c>
      <c r="C502" s="30" t="s">
        <v>144</v>
      </c>
      <c r="D502" s="30" t="s">
        <v>1333</v>
      </c>
      <c r="E502" s="30" t="s">
        <v>285</v>
      </c>
      <c r="F502" s="30" t="s">
        <v>1334</v>
      </c>
      <c r="G502" s="30" t="s">
        <v>123</v>
      </c>
      <c r="H502" s="30">
        <v>511199</v>
      </c>
      <c r="I502" s="30" t="s">
        <v>67</v>
      </c>
      <c r="J502" s="129" t="s">
        <v>3398</v>
      </c>
      <c r="K502" s="30" t="s">
        <v>148</v>
      </c>
      <c r="L502" s="30" t="s">
        <v>1335</v>
      </c>
      <c r="M502" s="45">
        <v>15449</v>
      </c>
      <c r="N502" s="45">
        <v>15449</v>
      </c>
      <c r="O502" s="129" t="s">
        <v>149</v>
      </c>
      <c r="P502" s="30" t="s">
        <v>1336</v>
      </c>
      <c r="Q502" s="129" t="s">
        <v>294</v>
      </c>
      <c r="R502" s="129" t="s">
        <v>35</v>
      </c>
      <c r="S502" s="41">
        <v>2014</v>
      </c>
      <c r="T502" s="31" t="s">
        <v>1196</v>
      </c>
      <c r="U502" s="31" t="s">
        <v>1197</v>
      </c>
      <c r="V502" s="30" t="s">
        <v>1198</v>
      </c>
      <c r="W502" s="129" t="s">
        <v>151</v>
      </c>
      <c r="X502" s="30" t="s">
        <v>302</v>
      </c>
      <c r="Y502" s="30" t="s">
        <v>302</v>
      </c>
      <c r="Z502" s="44">
        <v>41912</v>
      </c>
      <c r="AA502" s="31" t="s">
        <v>3359</v>
      </c>
    </row>
    <row r="503" spans="1:27" s="29" customFormat="1" ht="34.5" customHeight="1">
      <c r="A503" s="30" t="s">
        <v>71</v>
      </c>
      <c r="B503" s="30" t="s">
        <v>116</v>
      </c>
      <c r="C503" s="30" t="s">
        <v>144</v>
      </c>
      <c r="D503" s="30" t="s">
        <v>1337</v>
      </c>
      <c r="E503" s="30" t="s">
        <v>285</v>
      </c>
      <c r="F503" s="30" t="s">
        <v>1338</v>
      </c>
      <c r="G503" s="30" t="s">
        <v>50</v>
      </c>
      <c r="H503" s="30">
        <v>523920</v>
      </c>
      <c r="I503" s="30" t="s">
        <v>67</v>
      </c>
      <c r="J503" s="129" t="s">
        <v>3398</v>
      </c>
      <c r="K503" s="30" t="s">
        <v>1225</v>
      </c>
      <c r="L503" s="30" t="s">
        <v>1193</v>
      </c>
      <c r="M503" s="45" t="s">
        <v>1339</v>
      </c>
      <c r="N503" s="45">
        <v>28000</v>
      </c>
      <c r="O503" s="129" t="s">
        <v>79</v>
      </c>
      <c r="P503" s="30" t="s">
        <v>1340</v>
      </c>
      <c r="Q503" s="30" t="s">
        <v>867</v>
      </c>
      <c r="R503" s="155" t="s">
        <v>80</v>
      </c>
      <c r="S503" s="41">
        <v>2014</v>
      </c>
      <c r="T503" s="31" t="s">
        <v>1196</v>
      </c>
      <c r="U503" s="31" t="s">
        <v>1197</v>
      </c>
      <c r="V503" s="30" t="s">
        <v>1198</v>
      </c>
      <c r="W503" s="129" t="s">
        <v>151</v>
      </c>
      <c r="X503" s="30" t="s">
        <v>302</v>
      </c>
      <c r="Y503" s="30" t="s">
        <v>302</v>
      </c>
      <c r="Z503" s="44">
        <v>42460</v>
      </c>
      <c r="AA503" s="31" t="s">
        <v>3359</v>
      </c>
    </row>
    <row r="504" spans="1:27" s="29" customFormat="1" ht="34.5" customHeight="1">
      <c r="A504" s="30" t="s">
        <v>71</v>
      </c>
      <c r="B504" s="30" t="s">
        <v>116</v>
      </c>
      <c r="C504" s="30" t="s">
        <v>144</v>
      </c>
      <c r="D504" s="30" t="s">
        <v>1341</v>
      </c>
      <c r="E504" s="30" t="s">
        <v>285</v>
      </c>
      <c r="F504" s="30" t="s">
        <v>1342</v>
      </c>
      <c r="G504" s="30" t="s">
        <v>50</v>
      </c>
      <c r="H504" s="30">
        <v>511210</v>
      </c>
      <c r="I504" s="30" t="s">
        <v>67</v>
      </c>
      <c r="J504" s="129" t="s">
        <v>3398</v>
      </c>
      <c r="K504" s="30" t="s">
        <v>1225</v>
      </c>
      <c r="L504" s="30" t="s">
        <v>1193</v>
      </c>
      <c r="M504" s="45">
        <v>21594</v>
      </c>
      <c r="N504" s="45">
        <v>21594</v>
      </c>
      <c r="O504" s="129" t="s">
        <v>149</v>
      </c>
      <c r="P504" s="30" t="s">
        <v>1343</v>
      </c>
      <c r="Q504" s="30" t="s">
        <v>867</v>
      </c>
      <c r="R504" s="129" t="s">
        <v>100</v>
      </c>
      <c r="S504" s="41">
        <v>2014</v>
      </c>
      <c r="T504" s="31" t="s">
        <v>1196</v>
      </c>
      <c r="U504" s="31" t="s">
        <v>1197</v>
      </c>
      <c r="V504" s="30" t="s">
        <v>1198</v>
      </c>
      <c r="W504" s="129" t="s">
        <v>151</v>
      </c>
      <c r="X504" s="30" t="s">
        <v>302</v>
      </c>
      <c r="Y504" s="30" t="s">
        <v>302</v>
      </c>
      <c r="Z504" s="44">
        <v>43190</v>
      </c>
      <c r="AA504" s="31" t="s">
        <v>3359</v>
      </c>
    </row>
    <row r="505" spans="1:27" s="29" customFormat="1" ht="34.5" customHeight="1">
      <c r="A505" s="30" t="s">
        <v>71</v>
      </c>
      <c r="B505" s="30" t="s">
        <v>116</v>
      </c>
      <c r="C505" s="30" t="s">
        <v>144</v>
      </c>
      <c r="D505" s="30" t="s">
        <v>1344</v>
      </c>
      <c r="E505" s="30" t="s">
        <v>285</v>
      </c>
      <c r="F505" s="30" t="s">
        <v>1345</v>
      </c>
      <c r="G505" s="30" t="s">
        <v>123</v>
      </c>
      <c r="H505" s="30">
        <v>541511</v>
      </c>
      <c r="I505" s="129" t="s">
        <v>98</v>
      </c>
      <c r="J505" s="129" t="s">
        <v>3398</v>
      </c>
      <c r="K505" s="30" t="s">
        <v>148</v>
      </c>
      <c r="L505" s="30" t="s">
        <v>1335</v>
      </c>
      <c r="M505" s="45">
        <v>27920</v>
      </c>
      <c r="N505" s="45">
        <v>27920</v>
      </c>
      <c r="O505" s="129" t="s">
        <v>79</v>
      </c>
      <c r="P505" s="30" t="s">
        <v>1346</v>
      </c>
      <c r="Q505" s="129" t="s">
        <v>294</v>
      </c>
      <c r="R505" s="129" t="s">
        <v>35</v>
      </c>
      <c r="S505" s="41">
        <v>2014</v>
      </c>
      <c r="T505" s="31" t="s">
        <v>1196</v>
      </c>
      <c r="U505" s="31" t="s">
        <v>1197</v>
      </c>
      <c r="V505" s="30" t="s">
        <v>1198</v>
      </c>
      <c r="W505" s="129" t="s">
        <v>151</v>
      </c>
      <c r="X505" s="30" t="s">
        <v>302</v>
      </c>
      <c r="Y505" s="30" t="s">
        <v>302</v>
      </c>
      <c r="Z505" s="44">
        <v>41882</v>
      </c>
      <c r="AA505" s="31" t="s">
        <v>3359</v>
      </c>
    </row>
    <row r="506" spans="1:27" s="29" customFormat="1" ht="34.5" customHeight="1">
      <c r="A506" s="30" t="s">
        <v>71</v>
      </c>
      <c r="B506" s="30" t="s">
        <v>116</v>
      </c>
      <c r="C506" s="30" t="s">
        <v>144</v>
      </c>
      <c r="D506" s="30" t="s">
        <v>1347</v>
      </c>
      <c r="E506" s="30" t="s">
        <v>285</v>
      </c>
      <c r="F506" s="30" t="s">
        <v>1122</v>
      </c>
      <c r="G506" s="30" t="s">
        <v>31</v>
      </c>
      <c r="H506" s="30">
        <v>519190</v>
      </c>
      <c r="I506" s="30" t="s">
        <v>67</v>
      </c>
      <c r="J506" s="129" t="s">
        <v>3398</v>
      </c>
      <c r="K506" s="30" t="s">
        <v>148</v>
      </c>
      <c r="L506" s="30" t="s">
        <v>1348</v>
      </c>
      <c r="M506" s="45">
        <v>7680</v>
      </c>
      <c r="N506" s="45">
        <v>7680</v>
      </c>
      <c r="O506" s="129" t="s">
        <v>149</v>
      </c>
      <c r="P506" s="30" t="s">
        <v>1349</v>
      </c>
      <c r="Q506" s="30" t="s">
        <v>867</v>
      </c>
      <c r="R506" s="155" t="s">
        <v>80</v>
      </c>
      <c r="S506" s="41">
        <v>2014</v>
      </c>
      <c r="T506" s="31" t="s">
        <v>1196</v>
      </c>
      <c r="U506" s="31" t="s">
        <v>1197</v>
      </c>
      <c r="V506" s="30" t="s">
        <v>1198</v>
      </c>
      <c r="W506" s="129" t="s">
        <v>151</v>
      </c>
      <c r="X506" s="30" t="s">
        <v>302</v>
      </c>
      <c r="Y506" s="30" t="s">
        <v>302</v>
      </c>
      <c r="Z506" s="44">
        <v>42063</v>
      </c>
      <c r="AA506" s="31" t="s">
        <v>3359</v>
      </c>
    </row>
    <row r="507" spans="1:27" s="29" customFormat="1" ht="34.5" customHeight="1">
      <c r="A507" s="30" t="s">
        <v>71</v>
      </c>
      <c r="B507" s="30" t="s">
        <v>116</v>
      </c>
      <c r="C507" s="30" t="s">
        <v>144</v>
      </c>
      <c r="D507" s="30" t="s">
        <v>1350</v>
      </c>
      <c r="E507" s="30" t="s">
        <v>285</v>
      </c>
      <c r="F507" s="30" t="s">
        <v>1351</v>
      </c>
      <c r="G507" s="30" t="s">
        <v>233</v>
      </c>
      <c r="H507" s="30">
        <v>511199</v>
      </c>
      <c r="I507" s="30" t="s">
        <v>67</v>
      </c>
      <c r="J507" s="129" t="s">
        <v>3398</v>
      </c>
      <c r="K507" s="30" t="s">
        <v>1225</v>
      </c>
      <c r="L507" s="30" t="s">
        <v>1193</v>
      </c>
      <c r="M507" s="45">
        <v>200000</v>
      </c>
      <c r="N507" s="45">
        <v>200000</v>
      </c>
      <c r="O507" s="129" t="s">
        <v>79</v>
      </c>
      <c r="P507" s="30" t="s">
        <v>1352</v>
      </c>
      <c r="Q507" s="30" t="s">
        <v>867</v>
      </c>
      <c r="R507" s="129" t="s">
        <v>100</v>
      </c>
      <c r="S507" s="41">
        <v>2014</v>
      </c>
      <c r="T507" s="31" t="s">
        <v>1196</v>
      </c>
      <c r="U507" s="31" t="s">
        <v>1197</v>
      </c>
      <c r="V507" s="30" t="s">
        <v>1198</v>
      </c>
      <c r="W507" s="129" t="s">
        <v>151</v>
      </c>
      <c r="X507" s="30" t="s">
        <v>302</v>
      </c>
      <c r="Y507" s="30" t="s">
        <v>302</v>
      </c>
      <c r="Z507" s="44">
        <v>42916</v>
      </c>
      <c r="AA507" s="31" t="s">
        <v>3359</v>
      </c>
    </row>
    <row r="508" spans="1:27" s="29" customFormat="1" ht="38.25" customHeight="1">
      <c r="A508" s="30" t="s">
        <v>71</v>
      </c>
      <c r="B508" s="30" t="s">
        <v>116</v>
      </c>
      <c r="C508" s="30" t="s">
        <v>144</v>
      </c>
      <c r="D508" s="30" t="s">
        <v>1353</v>
      </c>
      <c r="E508" s="30" t="s">
        <v>135</v>
      </c>
      <c r="F508" s="30" t="s">
        <v>1354</v>
      </c>
      <c r="G508" s="30" t="s">
        <v>205</v>
      </c>
      <c r="H508" s="30">
        <v>561410</v>
      </c>
      <c r="I508" s="129" t="s">
        <v>59</v>
      </c>
      <c r="J508" s="129" t="s">
        <v>3397</v>
      </c>
      <c r="K508" s="30" t="s">
        <v>623</v>
      </c>
      <c r="L508" s="30" t="s">
        <v>1193</v>
      </c>
      <c r="M508" s="45">
        <v>2500</v>
      </c>
      <c r="N508" s="45">
        <v>60000</v>
      </c>
      <c r="O508" s="129" t="s">
        <v>79</v>
      </c>
      <c r="P508" s="30" t="s">
        <v>1355</v>
      </c>
      <c r="Q508" s="30" t="s">
        <v>867</v>
      </c>
      <c r="R508" s="155" t="s">
        <v>80</v>
      </c>
      <c r="S508" s="41">
        <v>2014</v>
      </c>
      <c r="T508" s="31" t="s">
        <v>1196</v>
      </c>
      <c r="U508" s="31" t="s">
        <v>1197</v>
      </c>
      <c r="V508" s="30" t="s">
        <v>1198</v>
      </c>
      <c r="W508" s="129" t="s">
        <v>151</v>
      </c>
      <c r="X508" s="30" t="s">
        <v>302</v>
      </c>
      <c r="Y508" s="30" t="s">
        <v>302</v>
      </c>
      <c r="Z508" s="44">
        <v>42807</v>
      </c>
      <c r="AA508" s="31" t="s">
        <v>3359</v>
      </c>
    </row>
    <row r="509" spans="1:27" s="29" customFormat="1" ht="34.5" customHeight="1">
      <c r="A509" s="30" t="s">
        <v>71</v>
      </c>
      <c r="B509" s="30" t="s">
        <v>116</v>
      </c>
      <c r="C509" s="30" t="s">
        <v>144</v>
      </c>
      <c r="D509" s="30" t="s">
        <v>1356</v>
      </c>
      <c r="E509" s="30" t="s">
        <v>285</v>
      </c>
      <c r="F509" s="30" t="s">
        <v>1357</v>
      </c>
      <c r="G509" s="30" t="s">
        <v>233</v>
      </c>
      <c r="H509" s="30">
        <v>532111</v>
      </c>
      <c r="I509" s="129" t="s">
        <v>59</v>
      </c>
      <c r="J509" s="129" t="s">
        <v>3397</v>
      </c>
      <c r="K509" s="30" t="s">
        <v>623</v>
      </c>
      <c r="L509" s="30" t="s">
        <v>1193</v>
      </c>
      <c r="M509" s="45">
        <v>2500</v>
      </c>
      <c r="N509" s="45">
        <v>150000</v>
      </c>
      <c r="O509" s="129" t="s">
        <v>79</v>
      </c>
      <c r="P509" s="30" t="s">
        <v>1358</v>
      </c>
      <c r="Q509" s="30" t="s">
        <v>867</v>
      </c>
      <c r="R509" s="155" t="s">
        <v>80</v>
      </c>
      <c r="S509" s="41">
        <v>2014</v>
      </c>
      <c r="T509" s="31" t="s">
        <v>1196</v>
      </c>
      <c r="U509" s="31" t="s">
        <v>1197</v>
      </c>
      <c r="V509" s="30" t="s">
        <v>1198</v>
      </c>
      <c r="W509" s="129" t="s">
        <v>151</v>
      </c>
      <c r="X509" s="30" t="s">
        <v>302</v>
      </c>
      <c r="Y509" s="30" t="s">
        <v>302</v>
      </c>
      <c r="Z509" s="44">
        <v>43131</v>
      </c>
      <c r="AA509" s="31" t="s">
        <v>3359</v>
      </c>
    </row>
    <row r="510" spans="1:27" s="29" customFormat="1" ht="34.5" customHeight="1">
      <c r="A510" s="30" t="s">
        <v>71</v>
      </c>
      <c r="B510" s="30" t="s">
        <v>116</v>
      </c>
      <c r="C510" s="30" t="s">
        <v>144</v>
      </c>
      <c r="D510" s="30" t="s">
        <v>1356</v>
      </c>
      <c r="E510" s="30" t="s">
        <v>285</v>
      </c>
      <c r="F510" s="30" t="s">
        <v>1201</v>
      </c>
      <c r="G510" s="30" t="s">
        <v>183</v>
      </c>
      <c r="H510" s="30"/>
      <c r="I510" s="30" t="s">
        <v>67</v>
      </c>
      <c r="J510" s="129" t="s">
        <v>3397</v>
      </c>
      <c r="K510" s="30" t="s">
        <v>623</v>
      </c>
      <c r="L510" s="30" t="s">
        <v>1193</v>
      </c>
      <c r="M510" s="45">
        <v>2500</v>
      </c>
      <c r="N510" s="45">
        <v>150000</v>
      </c>
      <c r="O510" s="129" t="s">
        <v>79</v>
      </c>
      <c r="P510" s="30" t="s">
        <v>1202</v>
      </c>
      <c r="Q510" s="30" t="s">
        <v>867</v>
      </c>
      <c r="R510" s="155" t="s">
        <v>80</v>
      </c>
      <c r="S510" s="41">
        <v>2014</v>
      </c>
      <c r="T510" s="31" t="s">
        <v>1196</v>
      </c>
      <c r="U510" s="31" t="s">
        <v>1197</v>
      </c>
      <c r="V510" s="30" t="s">
        <v>1198</v>
      </c>
      <c r="W510" s="129" t="s">
        <v>151</v>
      </c>
      <c r="X510" s="30" t="s">
        <v>302</v>
      </c>
      <c r="Y510" s="30" t="s">
        <v>302</v>
      </c>
      <c r="Z510" s="44">
        <v>43131</v>
      </c>
      <c r="AA510" s="31" t="s">
        <v>3359</v>
      </c>
    </row>
    <row r="511" spans="1:27" s="29" customFormat="1" ht="34.5" customHeight="1">
      <c r="A511" s="30" t="s">
        <v>71</v>
      </c>
      <c r="B511" s="30" t="s">
        <v>116</v>
      </c>
      <c r="C511" s="30" t="s">
        <v>144</v>
      </c>
      <c r="D511" s="30" t="s">
        <v>1359</v>
      </c>
      <c r="E511" s="30" t="s">
        <v>194</v>
      </c>
      <c r="F511" s="30" t="s">
        <v>1360</v>
      </c>
      <c r="G511" s="30" t="s">
        <v>199</v>
      </c>
      <c r="H511" s="30">
        <v>336120</v>
      </c>
      <c r="I511" s="129" t="s">
        <v>98</v>
      </c>
      <c r="J511" s="129" t="s">
        <v>3398</v>
      </c>
      <c r="K511" s="30" t="s">
        <v>623</v>
      </c>
      <c r="L511" s="30" t="s">
        <v>1193</v>
      </c>
      <c r="M511" s="45">
        <v>184040.18</v>
      </c>
      <c r="N511" s="45">
        <v>184040.18</v>
      </c>
      <c r="O511" s="129" t="s">
        <v>79</v>
      </c>
      <c r="P511" s="30" t="s">
        <v>1361</v>
      </c>
      <c r="Q511" s="129" t="s">
        <v>294</v>
      </c>
      <c r="R511" s="129" t="s">
        <v>35</v>
      </c>
      <c r="S511" s="41">
        <v>2014</v>
      </c>
      <c r="T511" s="31" t="s">
        <v>1196</v>
      </c>
      <c r="U511" s="31" t="s">
        <v>1197</v>
      </c>
      <c r="V511" s="30" t="s">
        <v>1198</v>
      </c>
      <c r="W511" s="129" t="s">
        <v>151</v>
      </c>
      <c r="X511" s="30" t="s">
        <v>302</v>
      </c>
      <c r="Y511" s="30" t="s">
        <v>302</v>
      </c>
      <c r="Z511" s="44">
        <v>41746</v>
      </c>
      <c r="AA511" s="31" t="s">
        <v>3359</v>
      </c>
    </row>
    <row r="512" spans="1:27" s="29" customFormat="1" ht="34.5" customHeight="1">
      <c r="A512" s="30" t="s">
        <v>71</v>
      </c>
      <c r="B512" s="30" t="s">
        <v>116</v>
      </c>
      <c r="C512" s="30" t="s">
        <v>144</v>
      </c>
      <c r="D512" s="30" t="s">
        <v>1359</v>
      </c>
      <c r="E512" s="30" t="s">
        <v>194</v>
      </c>
      <c r="F512" s="30" t="s">
        <v>1360</v>
      </c>
      <c r="G512" s="30" t="s">
        <v>199</v>
      </c>
      <c r="H512" s="30">
        <v>336120</v>
      </c>
      <c r="I512" s="129" t="s">
        <v>98</v>
      </c>
      <c r="J512" s="129" t="s">
        <v>3398</v>
      </c>
      <c r="K512" s="30" t="s">
        <v>623</v>
      </c>
      <c r="L512" s="30" t="s">
        <v>1193</v>
      </c>
      <c r="M512" s="45">
        <v>158754.82999999999</v>
      </c>
      <c r="N512" s="45">
        <v>158754.82999999999</v>
      </c>
      <c r="O512" s="129" t="s">
        <v>79</v>
      </c>
      <c r="P512" s="30" t="s">
        <v>1361</v>
      </c>
      <c r="Q512" s="129" t="s">
        <v>294</v>
      </c>
      <c r="R512" s="129" t="s">
        <v>35</v>
      </c>
      <c r="S512" s="41">
        <v>2014</v>
      </c>
      <c r="T512" s="31" t="s">
        <v>1196</v>
      </c>
      <c r="U512" s="31" t="s">
        <v>1197</v>
      </c>
      <c r="V512" s="30" t="s">
        <v>1198</v>
      </c>
      <c r="W512" s="129" t="s">
        <v>151</v>
      </c>
      <c r="X512" s="30" t="s">
        <v>302</v>
      </c>
      <c r="Y512" s="30" t="s">
        <v>302</v>
      </c>
      <c r="Z512" s="44">
        <v>41746</v>
      </c>
      <c r="AA512" s="31" t="s">
        <v>3359</v>
      </c>
    </row>
    <row r="513" spans="1:27" s="29" customFormat="1" ht="34.5" customHeight="1">
      <c r="A513" s="30" t="s">
        <v>71</v>
      </c>
      <c r="B513" s="30" t="s">
        <v>116</v>
      </c>
      <c r="C513" s="30" t="s">
        <v>144</v>
      </c>
      <c r="D513" s="30" t="s">
        <v>1359</v>
      </c>
      <c r="E513" s="30" t="s">
        <v>194</v>
      </c>
      <c r="F513" s="30" t="s">
        <v>1360</v>
      </c>
      <c r="G513" s="30" t="s">
        <v>199</v>
      </c>
      <c r="H513" s="30">
        <v>336120</v>
      </c>
      <c r="I513" s="129" t="s">
        <v>98</v>
      </c>
      <c r="J513" s="129" t="s">
        <v>3398</v>
      </c>
      <c r="K513" s="30" t="s">
        <v>623</v>
      </c>
      <c r="L513" s="30" t="s">
        <v>1193</v>
      </c>
      <c r="M513" s="45">
        <v>128998.21</v>
      </c>
      <c r="N513" s="45">
        <v>128998.21</v>
      </c>
      <c r="O513" s="129" t="s">
        <v>79</v>
      </c>
      <c r="P513" s="30" t="s">
        <v>1361</v>
      </c>
      <c r="Q513" s="129" t="s">
        <v>294</v>
      </c>
      <c r="R513" s="129" t="s">
        <v>35</v>
      </c>
      <c r="S513" s="41">
        <v>2014</v>
      </c>
      <c r="T513" s="31" t="s">
        <v>1196</v>
      </c>
      <c r="U513" s="31" t="s">
        <v>1197</v>
      </c>
      <c r="V513" s="30" t="s">
        <v>1198</v>
      </c>
      <c r="W513" s="129" t="s">
        <v>151</v>
      </c>
      <c r="X513" s="30" t="s">
        <v>302</v>
      </c>
      <c r="Y513" s="30" t="s">
        <v>302</v>
      </c>
      <c r="Z513" s="44">
        <v>41746</v>
      </c>
      <c r="AA513" s="31" t="s">
        <v>3359</v>
      </c>
    </row>
    <row r="514" spans="1:27" s="29" customFormat="1" ht="34.5" customHeight="1">
      <c r="A514" s="30" t="s">
        <v>71</v>
      </c>
      <c r="B514" s="30" t="s">
        <v>116</v>
      </c>
      <c r="C514" s="30" t="s">
        <v>144</v>
      </c>
      <c r="D514" s="30" t="s">
        <v>1362</v>
      </c>
      <c r="E514" s="30" t="s">
        <v>194</v>
      </c>
      <c r="F514" s="30" t="s">
        <v>1363</v>
      </c>
      <c r="G514" s="30" t="s">
        <v>118</v>
      </c>
      <c r="H514" s="30">
        <v>336212</v>
      </c>
      <c r="I514" s="129" t="s">
        <v>98</v>
      </c>
      <c r="J514" s="129" t="s">
        <v>3398</v>
      </c>
      <c r="K514" s="30" t="s">
        <v>623</v>
      </c>
      <c r="L514" s="30" t="s">
        <v>1193</v>
      </c>
      <c r="M514" s="45">
        <v>59232.33</v>
      </c>
      <c r="N514" s="45">
        <v>59232.33</v>
      </c>
      <c r="O514" s="129" t="s">
        <v>79</v>
      </c>
      <c r="P514" s="30" t="s">
        <v>1364</v>
      </c>
      <c r="Q514" s="129" t="s">
        <v>294</v>
      </c>
      <c r="R514" s="129" t="s">
        <v>35</v>
      </c>
      <c r="S514" s="41">
        <v>2014</v>
      </c>
      <c r="T514" s="31" t="s">
        <v>1196</v>
      </c>
      <c r="U514" s="31" t="s">
        <v>1197</v>
      </c>
      <c r="V514" s="30" t="s">
        <v>1198</v>
      </c>
      <c r="W514" s="129" t="s">
        <v>151</v>
      </c>
      <c r="X514" s="30" t="s">
        <v>302</v>
      </c>
      <c r="Y514" s="30" t="s">
        <v>302</v>
      </c>
      <c r="Z514" s="44">
        <v>41716</v>
      </c>
      <c r="AA514" s="31" t="s">
        <v>3359</v>
      </c>
    </row>
    <row r="515" spans="1:27" s="29" customFormat="1" ht="34.5" customHeight="1">
      <c r="A515" s="30" t="s">
        <v>71</v>
      </c>
      <c r="B515" s="30" t="s">
        <v>116</v>
      </c>
      <c r="C515" s="30" t="s">
        <v>144</v>
      </c>
      <c r="D515" s="30" t="s">
        <v>1362</v>
      </c>
      <c r="E515" s="30" t="s">
        <v>194</v>
      </c>
      <c r="F515" s="30" t="s">
        <v>1363</v>
      </c>
      <c r="G515" s="30" t="s">
        <v>118</v>
      </c>
      <c r="H515" s="30">
        <v>336212</v>
      </c>
      <c r="I515" s="129" t="s">
        <v>98</v>
      </c>
      <c r="J515" s="129" t="s">
        <v>3398</v>
      </c>
      <c r="K515" s="30" t="s">
        <v>623</v>
      </c>
      <c r="L515" s="30" t="s">
        <v>1193</v>
      </c>
      <c r="M515" s="45">
        <v>58916.56</v>
      </c>
      <c r="N515" s="45">
        <v>58916.56</v>
      </c>
      <c r="O515" s="129" t="s">
        <v>79</v>
      </c>
      <c r="P515" s="30" t="s">
        <v>1364</v>
      </c>
      <c r="Q515" s="129" t="s">
        <v>294</v>
      </c>
      <c r="R515" s="129" t="s">
        <v>35</v>
      </c>
      <c r="S515" s="41">
        <v>2014</v>
      </c>
      <c r="T515" s="31" t="s">
        <v>1196</v>
      </c>
      <c r="U515" s="31" t="s">
        <v>1197</v>
      </c>
      <c r="V515" s="30" t="s">
        <v>1198</v>
      </c>
      <c r="W515" s="129" t="s">
        <v>151</v>
      </c>
      <c r="X515" s="30" t="s">
        <v>302</v>
      </c>
      <c r="Y515" s="30" t="s">
        <v>302</v>
      </c>
      <c r="Z515" s="44">
        <v>41716</v>
      </c>
      <c r="AA515" s="31" t="s">
        <v>3359</v>
      </c>
    </row>
    <row r="516" spans="1:27" s="29" customFormat="1" ht="34.5" customHeight="1">
      <c r="A516" s="30" t="s">
        <v>71</v>
      </c>
      <c r="B516" s="30" t="s">
        <v>116</v>
      </c>
      <c r="C516" s="30" t="s">
        <v>144</v>
      </c>
      <c r="D516" s="30" t="s">
        <v>1362</v>
      </c>
      <c r="E516" s="30" t="s">
        <v>194</v>
      </c>
      <c r="F516" s="30" t="s">
        <v>1363</v>
      </c>
      <c r="G516" s="30" t="s">
        <v>118</v>
      </c>
      <c r="H516" s="30">
        <v>336212</v>
      </c>
      <c r="I516" s="129" t="s">
        <v>98</v>
      </c>
      <c r="J516" s="129" t="s">
        <v>3398</v>
      </c>
      <c r="K516" s="30" t="s">
        <v>623</v>
      </c>
      <c r="L516" s="30" t="s">
        <v>1193</v>
      </c>
      <c r="M516" s="45">
        <v>56615.69</v>
      </c>
      <c r="N516" s="45">
        <v>56615.69</v>
      </c>
      <c r="O516" s="129" t="s">
        <v>79</v>
      </c>
      <c r="P516" s="30" t="s">
        <v>1364</v>
      </c>
      <c r="Q516" s="129" t="s">
        <v>294</v>
      </c>
      <c r="R516" s="129" t="s">
        <v>35</v>
      </c>
      <c r="S516" s="41">
        <v>2014</v>
      </c>
      <c r="T516" s="31" t="s">
        <v>1196</v>
      </c>
      <c r="U516" s="31" t="s">
        <v>1197</v>
      </c>
      <c r="V516" s="30" t="s">
        <v>1198</v>
      </c>
      <c r="W516" s="129" t="s">
        <v>151</v>
      </c>
      <c r="X516" s="30" t="s">
        <v>302</v>
      </c>
      <c r="Y516" s="30" t="s">
        <v>302</v>
      </c>
      <c r="Z516" s="44">
        <v>41716</v>
      </c>
      <c r="AA516" s="31" t="s">
        <v>3359</v>
      </c>
    </row>
    <row r="517" spans="1:27" s="29" customFormat="1" ht="34.5" customHeight="1">
      <c r="A517" s="30" t="s">
        <v>71</v>
      </c>
      <c r="B517" s="30" t="s">
        <v>116</v>
      </c>
      <c r="C517" s="30" t="s">
        <v>144</v>
      </c>
      <c r="D517" s="30" t="s">
        <v>1362</v>
      </c>
      <c r="E517" s="30" t="s">
        <v>194</v>
      </c>
      <c r="F517" s="30" t="s">
        <v>1365</v>
      </c>
      <c r="G517" s="30" t="s">
        <v>156</v>
      </c>
      <c r="H517" s="30">
        <v>336212</v>
      </c>
      <c r="I517" s="30" t="s">
        <v>67</v>
      </c>
      <c r="J517" s="129" t="s">
        <v>3398</v>
      </c>
      <c r="K517" s="30" t="s">
        <v>623</v>
      </c>
      <c r="L517" s="30" t="s">
        <v>1193</v>
      </c>
      <c r="M517" s="45">
        <v>140177.04999999999</v>
      </c>
      <c r="N517" s="45">
        <v>140177.04999999999</v>
      </c>
      <c r="O517" s="129" t="s">
        <v>79</v>
      </c>
      <c r="P517" s="30" t="s">
        <v>1366</v>
      </c>
      <c r="Q517" s="129" t="s">
        <v>294</v>
      </c>
      <c r="R517" s="129" t="s">
        <v>35</v>
      </c>
      <c r="S517" s="41">
        <v>2014</v>
      </c>
      <c r="T517" s="31" t="s">
        <v>1196</v>
      </c>
      <c r="U517" s="31" t="s">
        <v>1197</v>
      </c>
      <c r="V517" s="30" t="s">
        <v>1198</v>
      </c>
      <c r="W517" s="129" t="s">
        <v>151</v>
      </c>
      <c r="X517" s="30" t="s">
        <v>302</v>
      </c>
      <c r="Y517" s="30" t="s">
        <v>302</v>
      </c>
      <c r="Z517" s="44">
        <v>41656</v>
      </c>
      <c r="AA517" s="31" t="s">
        <v>3359</v>
      </c>
    </row>
    <row r="518" spans="1:27" s="29" customFormat="1" ht="34.5" customHeight="1">
      <c r="A518" s="30" t="s">
        <v>71</v>
      </c>
      <c r="B518" s="30" t="s">
        <v>116</v>
      </c>
      <c r="C518" s="30" t="s">
        <v>144</v>
      </c>
      <c r="D518" s="30" t="s">
        <v>1215</v>
      </c>
      <c r="E518" s="30" t="s">
        <v>285</v>
      </c>
      <c r="F518" s="30" t="s">
        <v>1367</v>
      </c>
      <c r="G518" s="30" t="s">
        <v>118</v>
      </c>
      <c r="H518" s="30">
        <v>532490</v>
      </c>
      <c r="I518" s="129" t="s">
        <v>3394</v>
      </c>
      <c r="J518" s="129" t="s">
        <v>3399</v>
      </c>
      <c r="K518" s="30" t="s">
        <v>1192</v>
      </c>
      <c r="L518" s="30" t="s">
        <v>1193</v>
      </c>
      <c r="M518" s="45">
        <v>0</v>
      </c>
      <c r="N518" s="45">
        <v>25000</v>
      </c>
      <c r="O518" s="129" t="s">
        <v>79</v>
      </c>
      <c r="P518" s="30" t="s">
        <v>1368</v>
      </c>
      <c r="Q518" s="129" t="s">
        <v>294</v>
      </c>
      <c r="R518" s="129" t="s">
        <v>35</v>
      </c>
      <c r="S518" s="41">
        <v>2014</v>
      </c>
      <c r="T518" s="31" t="s">
        <v>1196</v>
      </c>
      <c r="U518" s="31" t="s">
        <v>1197</v>
      </c>
      <c r="V518" s="30" t="s">
        <v>1198</v>
      </c>
      <c r="W518" s="129" t="s">
        <v>151</v>
      </c>
      <c r="X518" s="30" t="s">
        <v>302</v>
      </c>
      <c r="Y518" s="30" t="s">
        <v>302</v>
      </c>
      <c r="Z518" s="44">
        <v>41912</v>
      </c>
      <c r="AA518" s="31" t="s">
        <v>3359</v>
      </c>
    </row>
    <row r="519" spans="1:27" s="29" customFormat="1" ht="34.5" customHeight="1">
      <c r="A519" s="30" t="s">
        <v>71</v>
      </c>
      <c r="B519" s="30" t="s">
        <v>116</v>
      </c>
      <c r="C519" s="30" t="s">
        <v>144</v>
      </c>
      <c r="D519" s="30" t="s">
        <v>1215</v>
      </c>
      <c r="E519" s="30" t="s">
        <v>285</v>
      </c>
      <c r="F519" s="30" t="s">
        <v>1369</v>
      </c>
      <c r="G519" s="30" t="s">
        <v>162</v>
      </c>
      <c r="H519" s="30">
        <v>532490</v>
      </c>
      <c r="I519" s="30" t="s">
        <v>67</v>
      </c>
      <c r="J519" s="129" t="s">
        <v>3399</v>
      </c>
      <c r="K519" s="30" t="s">
        <v>1192</v>
      </c>
      <c r="L519" s="30" t="s">
        <v>1193</v>
      </c>
      <c r="M519" s="45">
        <v>0</v>
      </c>
      <c r="N519" s="45">
        <v>25000</v>
      </c>
      <c r="O519" s="129" t="s">
        <v>79</v>
      </c>
      <c r="P519" s="30" t="s">
        <v>1370</v>
      </c>
      <c r="Q519" s="129" t="s">
        <v>294</v>
      </c>
      <c r="R519" s="129" t="s">
        <v>35</v>
      </c>
      <c r="S519" s="41">
        <v>2014</v>
      </c>
      <c r="T519" s="31" t="s">
        <v>1196</v>
      </c>
      <c r="U519" s="31" t="s">
        <v>1197</v>
      </c>
      <c r="V519" s="30" t="s">
        <v>1198</v>
      </c>
      <c r="W519" s="129" t="s">
        <v>151</v>
      </c>
      <c r="X519" s="30" t="s">
        <v>302</v>
      </c>
      <c r="Y519" s="30" t="s">
        <v>302</v>
      </c>
      <c r="Z519" s="44">
        <v>41912</v>
      </c>
      <c r="AA519" s="31" t="s">
        <v>3359</v>
      </c>
    </row>
    <row r="520" spans="1:27" s="29" customFormat="1" ht="34.5" customHeight="1">
      <c r="A520" s="30" t="s">
        <v>71</v>
      </c>
      <c r="B520" s="30" t="s">
        <v>116</v>
      </c>
      <c r="C520" s="30" t="s">
        <v>144</v>
      </c>
      <c r="D520" s="30" t="s">
        <v>1215</v>
      </c>
      <c r="E520" s="30" t="s">
        <v>285</v>
      </c>
      <c r="F520" s="30" t="s">
        <v>1371</v>
      </c>
      <c r="G520" s="30" t="s">
        <v>219</v>
      </c>
      <c r="H520" s="30">
        <v>532490</v>
      </c>
      <c r="I520" s="30" t="s">
        <v>67</v>
      </c>
      <c r="J520" s="129" t="s">
        <v>3400</v>
      </c>
      <c r="K520" s="30" t="s">
        <v>1192</v>
      </c>
      <c r="L520" s="30" t="s">
        <v>1193</v>
      </c>
      <c r="M520" s="45">
        <v>0</v>
      </c>
      <c r="N520" s="45">
        <v>25000</v>
      </c>
      <c r="O520" s="129" t="s">
        <v>79</v>
      </c>
      <c r="P520" s="30" t="s">
        <v>1372</v>
      </c>
      <c r="Q520" s="129" t="s">
        <v>294</v>
      </c>
      <c r="R520" s="129" t="s">
        <v>35</v>
      </c>
      <c r="S520" s="41">
        <v>2014</v>
      </c>
      <c r="T520" s="31" t="s">
        <v>1196</v>
      </c>
      <c r="U520" s="31" t="s">
        <v>1197</v>
      </c>
      <c r="V520" s="30" t="s">
        <v>1198</v>
      </c>
      <c r="W520" s="129" t="s">
        <v>151</v>
      </c>
      <c r="X520" s="30" t="s">
        <v>302</v>
      </c>
      <c r="Y520" s="30" t="s">
        <v>302</v>
      </c>
      <c r="Z520" s="44">
        <v>41912</v>
      </c>
      <c r="AA520" s="31" t="s">
        <v>3359</v>
      </c>
    </row>
    <row r="521" spans="1:27" s="29" customFormat="1" ht="38.25" customHeight="1">
      <c r="A521" s="30" t="s">
        <v>71</v>
      </c>
      <c r="B521" s="30" t="s">
        <v>116</v>
      </c>
      <c r="C521" s="30" t="s">
        <v>144</v>
      </c>
      <c r="D521" s="30" t="s">
        <v>1373</v>
      </c>
      <c r="E521" s="30" t="s">
        <v>135</v>
      </c>
      <c r="F521" s="30" t="s">
        <v>289</v>
      </c>
      <c r="G521" s="30" t="s">
        <v>111</v>
      </c>
      <c r="H521" s="30">
        <v>541611</v>
      </c>
      <c r="I521" s="129" t="s">
        <v>3388</v>
      </c>
      <c r="J521" s="30" t="s">
        <v>1374</v>
      </c>
      <c r="K521" s="30" t="s">
        <v>623</v>
      </c>
      <c r="L521" s="30" t="s">
        <v>1193</v>
      </c>
      <c r="M521" s="45">
        <v>0</v>
      </c>
      <c r="N521" s="45">
        <v>500000</v>
      </c>
      <c r="O521" s="129" t="s">
        <v>79</v>
      </c>
      <c r="P521" s="30" t="s">
        <v>302</v>
      </c>
      <c r="Q521" s="30" t="s">
        <v>867</v>
      </c>
      <c r="R521" s="129" t="s">
        <v>150</v>
      </c>
      <c r="S521" s="41">
        <v>2014</v>
      </c>
      <c r="T521" s="31" t="s">
        <v>1375</v>
      </c>
      <c r="U521" s="31" t="s">
        <v>1376</v>
      </c>
      <c r="V521" s="30" t="s">
        <v>1377</v>
      </c>
      <c r="W521" s="129" t="s">
        <v>151</v>
      </c>
      <c r="X521" s="30" t="s">
        <v>302</v>
      </c>
      <c r="Y521" s="30" t="s">
        <v>302</v>
      </c>
      <c r="Z521" s="30" t="s">
        <v>1378</v>
      </c>
      <c r="AA521" s="31" t="s">
        <v>3359</v>
      </c>
    </row>
    <row r="522" spans="1:27" s="29" customFormat="1" ht="34.5" customHeight="1">
      <c r="A522" s="30" t="s">
        <v>71</v>
      </c>
      <c r="B522" s="30" t="s">
        <v>116</v>
      </c>
      <c r="C522" s="30" t="s">
        <v>144</v>
      </c>
      <c r="D522" s="30" t="s">
        <v>1379</v>
      </c>
      <c r="E522" s="30" t="s">
        <v>152</v>
      </c>
      <c r="F522" s="30" t="s">
        <v>289</v>
      </c>
      <c r="G522" s="30" t="s">
        <v>111</v>
      </c>
      <c r="H522" s="30">
        <v>561920</v>
      </c>
      <c r="I522" s="129" t="s">
        <v>42</v>
      </c>
      <c r="J522" s="30" t="s">
        <v>129</v>
      </c>
      <c r="K522" s="30" t="s">
        <v>623</v>
      </c>
      <c r="L522" s="30" t="s">
        <v>1193</v>
      </c>
      <c r="M522" s="45">
        <v>5300000</v>
      </c>
      <c r="N522" s="45">
        <v>5300000</v>
      </c>
      <c r="O522" s="129" t="s">
        <v>79</v>
      </c>
      <c r="P522" s="30" t="s">
        <v>302</v>
      </c>
      <c r="Q522" s="129" t="s">
        <v>867</v>
      </c>
      <c r="R522" s="129" t="s">
        <v>150</v>
      </c>
      <c r="S522" s="41">
        <v>2014</v>
      </c>
      <c r="T522" s="31" t="s">
        <v>1380</v>
      </c>
      <c r="U522" s="31" t="s">
        <v>1381</v>
      </c>
      <c r="V522" s="30" t="s">
        <v>1382</v>
      </c>
      <c r="W522" s="129" t="s">
        <v>151</v>
      </c>
      <c r="X522" s="129" t="s">
        <v>302</v>
      </c>
      <c r="Y522" s="129" t="s">
        <v>302</v>
      </c>
      <c r="Z522" s="44">
        <v>43008</v>
      </c>
      <c r="AA522" s="31" t="s">
        <v>3359</v>
      </c>
    </row>
    <row r="523" spans="1:27" s="29" customFormat="1" ht="34.5" customHeight="1">
      <c r="A523" s="30" t="s">
        <v>71</v>
      </c>
      <c r="B523" s="30" t="s">
        <v>116</v>
      </c>
      <c r="C523" s="30" t="s">
        <v>144</v>
      </c>
      <c r="D523" s="30" t="s">
        <v>1383</v>
      </c>
      <c r="E523" s="30" t="s">
        <v>152</v>
      </c>
      <c r="F523" s="30" t="s">
        <v>289</v>
      </c>
      <c r="G523" s="30" t="s">
        <v>111</v>
      </c>
      <c r="H523" s="30">
        <v>541511</v>
      </c>
      <c r="I523" s="129" t="s">
        <v>42</v>
      </c>
      <c r="J523" s="30" t="s">
        <v>129</v>
      </c>
      <c r="K523" s="30" t="s">
        <v>623</v>
      </c>
      <c r="L523" s="30" t="s">
        <v>1193</v>
      </c>
      <c r="M523" s="45">
        <v>850000</v>
      </c>
      <c r="N523" s="45">
        <v>850000</v>
      </c>
      <c r="O523" s="129" t="s">
        <v>79</v>
      </c>
      <c r="P523" s="30" t="s">
        <v>1384</v>
      </c>
      <c r="Q523" s="129" t="s">
        <v>294</v>
      </c>
      <c r="R523" s="129" t="s">
        <v>150</v>
      </c>
      <c r="S523" s="41">
        <v>2014</v>
      </c>
      <c r="T523" s="31" t="s">
        <v>1380</v>
      </c>
      <c r="U523" s="31" t="s">
        <v>1381</v>
      </c>
      <c r="V523" s="30" t="s">
        <v>1382</v>
      </c>
      <c r="W523" s="129" t="s">
        <v>151</v>
      </c>
      <c r="X523" s="44">
        <v>41591</v>
      </c>
      <c r="Y523" s="44">
        <v>41622</v>
      </c>
      <c r="Z523" s="30" t="s">
        <v>344</v>
      </c>
      <c r="AA523" s="31" t="s">
        <v>3359</v>
      </c>
    </row>
    <row r="524" spans="1:27" s="29" customFormat="1" ht="38.25" customHeight="1">
      <c r="A524" s="30" t="s">
        <v>71</v>
      </c>
      <c r="B524" s="30" t="s">
        <v>116</v>
      </c>
      <c r="C524" s="30" t="s">
        <v>1385</v>
      </c>
      <c r="D524" s="30" t="s">
        <v>1386</v>
      </c>
      <c r="E524" s="30" t="s">
        <v>135</v>
      </c>
      <c r="F524" s="30" t="s">
        <v>289</v>
      </c>
      <c r="G524" s="30" t="s">
        <v>111</v>
      </c>
      <c r="H524" s="30">
        <v>541611</v>
      </c>
      <c r="I524" s="30" t="s">
        <v>67</v>
      </c>
      <c r="J524" s="30" t="s">
        <v>129</v>
      </c>
      <c r="K524" s="30" t="s">
        <v>623</v>
      </c>
      <c r="L524" s="30" t="s">
        <v>1193</v>
      </c>
      <c r="M524" s="45">
        <v>6200</v>
      </c>
      <c r="N524" s="45">
        <v>6200</v>
      </c>
      <c r="O524" s="129" t="s">
        <v>79</v>
      </c>
      <c r="P524" s="30" t="s">
        <v>302</v>
      </c>
      <c r="Q524" s="129" t="s">
        <v>867</v>
      </c>
      <c r="R524" s="129" t="s">
        <v>150</v>
      </c>
      <c r="S524" s="41">
        <v>2014</v>
      </c>
      <c r="T524" s="31" t="s">
        <v>1380</v>
      </c>
      <c r="U524" s="31" t="s">
        <v>1381</v>
      </c>
      <c r="V524" s="30" t="s">
        <v>1382</v>
      </c>
      <c r="W524" s="129" t="s">
        <v>151</v>
      </c>
      <c r="X524" s="129" t="s">
        <v>302</v>
      </c>
      <c r="Y524" s="129" t="s">
        <v>302</v>
      </c>
      <c r="Z524" s="44">
        <v>42277</v>
      </c>
      <c r="AA524" s="31" t="s">
        <v>3359</v>
      </c>
    </row>
    <row r="525" spans="1:27" s="29" customFormat="1" ht="38.25" customHeight="1">
      <c r="A525" s="30" t="s">
        <v>71</v>
      </c>
      <c r="B525" s="30" t="s">
        <v>116</v>
      </c>
      <c r="C525" s="30" t="s">
        <v>773</v>
      </c>
      <c r="D525" s="30" t="s">
        <v>1383</v>
      </c>
      <c r="E525" s="30" t="s">
        <v>152</v>
      </c>
      <c r="F525" s="30" t="s">
        <v>289</v>
      </c>
      <c r="G525" s="30" t="s">
        <v>111</v>
      </c>
      <c r="H525" s="30">
        <v>541511</v>
      </c>
      <c r="I525" s="30" t="s">
        <v>345</v>
      </c>
      <c r="J525" s="30" t="s">
        <v>129</v>
      </c>
      <c r="K525" s="30" t="s">
        <v>623</v>
      </c>
      <c r="L525" s="30" t="s">
        <v>1193</v>
      </c>
      <c r="M525" s="45">
        <v>1200000</v>
      </c>
      <c r="N525" s="45">
        <v>1200000</v>
      </c>
      <c r="O525" s="129" t="s">
        <v>79</v>
      </c>
      <c r="P525" s="30" t="s">
        <v>1387</v>
      </c>
      <c r="Q525" s="129" t="s">
        <v>294</v>
      </c>
      <c r="R525" s="129" t="s">
        <v>150</v>
      </c>
      <c r="S525" s="41">
        <v>2014</v>
      </c>
      <c r="T525" s="31" t="s">
        <v>1388</v>
      </c>
      <c r="U525" s="31" t="s">
        <v>1389</v>
      </c>
      <c r="V525" s="30" t="s">
        <v>1390</v>
      </c>
      <c r="W525" s="129" t="s">
        <v>151</v>
      </c>
      <c r="X525" s="44">
        <v>41591</v>
      </c>
      <c r="Y525" s="44">
        <v>41622</v>
      </c>
      <c r="Z525" s="44">
        <v>43639</v>
      </c>
      <c r="AA525" s="31" t="s">
        <v>3359</v>
      </c>
    </row>
    <row r="526" spans="1:27" s="29" customFormat="1" ht="38.25" customHeight="1">
      <c r="A526" s="30" t="s">
        <v>71</v>
      </c>
      <c r="B526" s="30" t="s">
        <v>116</v>
      </c>
      <c r="C526" s="30" t="s">
        <v>144</v>
      </c>
      <c r="D526" s="30" t="s">
        <v>1391</v>
      </c>
      <c r="E526" s="30" t="s">
        <v>135</v>
      </c>
      <c r="F526" s="30" t="s">
        <v>289</v>
      </c>
      <c r="G526" s="30" t="s">
        <v>111</v>
      </c>
      <c r="H526" s="30">
        <v>541511</v>
      </c>
      <c r="I526" s="129" t="s">
        <v>98</v>
      </c>
      <c r="J526" s="30" t="s">
        <v>129</v>
      </c>
      <c r="K526" s="30" t="s">
        <v>623</v>
      </c>
      <c r="L526" s="30" t="s">
        <v>1193</v>
      </c>
      <c r="M526" s="45">
        <v>1510728</v>
      </c>
      <c r="N526" s="45">
        <v>1510728</v>
      </c>
      <c r="O526" s="129" t="s">
        <v>79</v>
      </c>
      <c r="P526" s="30" t="s">
        <v>1392</v>
      </c>
      <c r="Q526" s="30" t="s">
        <v>867</v>
      </c>
      <c r="R526" s="129" t="s">
        <v>150</v>
      </c>
      <c r="S526" s="41">
        <v>2014</v>
      </c>
      <c r="T526" s="31" t="s">
        <v>1393</v>
      </c>
      <c r="U526" s="31" t="s">
        <v>1394</v>
      </c>
      <c r="V526" s="30" t="s">
        <v>1395</v>
      </c>
      <c r="W526" s="129" t="s">
        <v>151</v>
      </c>
      <c r="X526" s="30"/>
      <c r="Y526" s="30"/>
      <c r="Z526" s="44">
        <v>41912</v>
      </c>
      <c r="AA526" s="31" t="s">
        <v>3359</v>
      </c>
    </row>
    <row r="527" spans="1:27" s="29" customFormat="1" ht="38.25" customHeight="1">
      <c r="A527" s="30" t="s">
        <v>71</v>
      </c>
      <c r="B527" s="30" t="s">
        <v>116</v>
      </c>
      <c r="C527" s="30" t="s">
        <v>144</v>
      </c>
      <c r="D527" s="30" t="s">
        <v>1396</v>
      </c>
      <c r="E527" s="30" t="s">
        <v>135</v>
      </c>
      <c r="F527" s="30" t="s">
        <v>289</v>
      </c>
      <c r="G527" s="30" t="s">
        <v>111</v>
      </c>
      <c r="H527" s="30">
        <v>451219</v>
      </c>
      <c r="I527" s="129" t="s">
        <v>98</v>
      </c>
      <c r="J527" s="30" t="s">
        <v>129</v>
      </c>
      <c r="K527" s="30" t="s">
        <v>623</v>
      </c>
      <c r="L527" s="30" t="s">
        <v>1397</v>
      </c>
      <c r="M527" s="45">
        <v>6000</v>
      </c>
      <c r="N527" s="45">
        <v>6000</v>
      </c>
      <c r="O527" s="129" t="s">
        <v>149</v>
      </c>
      <c r="P527" s="30" t="s">
        <v>1398</v>
      </c>
      <c r="Q527" s="30" t="s">
        <v>867</v>
      </c>
      <c r="R527" s="129" t="s">
        <v>150</v>
      </c>
      <c r="S527" s="41">
        <v>2014</v>
      </c>
      <c r="T527" s="31" t="s">
        <v>1393</v>
      </c>
      <c r="U527" s="31" t="s">
        <v>1394</v>
      </c>
      <c r="V527" s="30" t="s">
        <v>1395</v>
      </c>
      <c r="W527" s="129" t="s">
        <v>151</v>
      </c>
      <c r="X527" s="30"/>
      <c r="Y527" s="30"/>
      <c r="Z527" s="44">
        <v>41912</v>
      </c>
      <c r="AA527" s="31" t="s">
        <v>3359</v>
      </c>
    </row>
    <row r="528" spans="1:27" s="29" customFormat="1" ht="38.25" customHeight="1">
      <c r="A528" s="30" t="s">
        <v>71</v>
      </c>
      <c r="B528" s="30" t="s">
        <v>116</v>
      </c>
      <c r="C528" s="30" t="s">
        <v>144</v>
      </c>
      <c r="D528" s="30" t="s">
        <v>1399</v>
      </c>
      <c r="E528" s="30" t="s">
        <v>135</v>
      </c>
      <c r="F528" s="30" t="s">
        <v>289</v>
      </c>
      <c r="G528" s="30" t="s">
        <v>111</v>
      </c>
      <c r="H528" s="30">
        <v>451614</v>
      </c>
      <c r="I528" s="129" t="s">
        <v>98</v>
      </c>
      <c r="J528" s="30" t="s">
        <v>129</v>
      </c>
      <c r="K528" s="30" t="s">
        <v>623</v>
      </c>
      <c r="L528" s="30" t="s">
        <v>1193</v>
      </c>
      <c r="M528" s="45">
        <v>300680</v>
      </c>
      <c r="N528" s="45">
        <v>300680</v>
      </c>
      <c r="O528" s="129" t="s">
        <v>79</v>
      </c>
      <c r="P528" s="30" t="s">
        <v>1400</v>
      </c>
      <c r="Q528" s="30" t="s">
        <v>867</v>
      </c>
      <c r="R528" s="129" t="s">
        <v>150</v>
      </c>
      <c r="S528" s="41">
        <v>2014</v>
      </c>
      <c r="T528" s="31" t="s">
        <v>1393</v>
      </c>
      <c r="U528" s="31" t="s">
        <v>1394</v>
      </c>
      <c r="V528" s="30" t="s">
        <v>1395</v>
      </c>
      <c r="W528" s="129" t="s">
        <v>151</v>
      </c>
      <c r="X528" s="30"/>
      <c r="Y528" s="30"/>
      <c r="Z528" s="44">
        <v>41912</v>
      </c>
      <c r="AA528" s="31" t="s">
        <v>3359</v>
      </c>
    </row>
    <row r="529" spans="1:27" s="29" customFormat="1" ht="38.25" customHeight="1">
      <c r="A529" s="30" t="s">
        <v>71</v>
      </c>
      <c r="B529" s="30" t="s">
        <v>116</v>
      </c>
      <c r="C529" s="30" t="s">
        <v>144</v>
      </c>
      <c r="D529" s="30" t="s">
        <v>1401</v>
      </c>
      <c r="E529" s="30" t="s">
        <v>104</v>
      </c>
      <c r="F529" s="30" t="s">
        <v>1402</v>
      </c>
      <c r="G529" s="30" t="s">
        <v>123</v>
      </c>
      <c r="H529" s="30">
        <v>541618</v>
      </c>
      <c r="I529" s="129" t="s">
        <v>98</v>
      </c>
      <c r="J529" s="30" t="s">
        <v>129</v>
      </c>
      <c r="K529" s="30" t="s">
        <v>623</v>
      </c>
      <c r="L529" s="30" t="s">
        <v>1193</v>
      </c>
      <c r="M529" s="45">
        <v>9350</v>
      </c>
      <c r="N529" s="45">
        <v>9350</v>
      </c>
      <c r="O529" s="129" t="s">
        <v>149</v>
      </c>
      <c r="P529" s="30" t="s">
        <v>1403</v>
      </c>
      <c r="Q529" s="30" t="s">
        <v>867</v>
      </c>
      <c r="R529" s="129" t="s">
        <v>150</v>
      </c>
      <c r="S529" s="41">
        <v>2014</v>
      </c>
      <c r="T529" s="31" t="s">
        <v>1404</v>
      </c>
      <c r="U529" s="31" t="s">
        <v>1405</v>
      </c>
      <c r="V529" s="30" t="s">
        <v>1406</v>
      </c>
      <c r="W529" s="129" t="s">
        <v>151</v>
      </c>
      <c r="X529" s="30" t="s">
        <v>302</v>
      </c>
      <c r="Y529" s="44">
        <v>41586</v>
      </c>
      <c r="Z529" s="44">
        <v>41985</v>
      </c>
      <c r="AA529" s="31" t="s">
        <v>3359</v>
      </c>
    </row>
    <row r="530" spans="1:27" s="29" customFormat="1" ht="38.25" customHeight="1">
      <c r="A530" s="30" t="s">
        <v>71</v>
      </c>
      <c r="B530" s="30" t="s">
        <v>116</v>
      </c>
      <c r="C530" s="30" t="s">
        <v>144</v>
      </c>
      <c r="D530" s="30" t="s">
        <v>1407</v>
      </c>
      <c r="E530" s="30" t="s">
        <v>104</v>
      </c>
      <c r="F530" s="30" t="s">
        <v>289</v>
      </c>
      <c r="G530" s="30" t="s">
        <v>111</v>
      </c>
      <c r="H530" s="30">
        <v>541611</v>
      </c>
      <c r="I530" s="129" t="s">
        <v>98</v>
      </c>
      <c r="J530" s="30" t="s">
        <v>129</v>
      </c>
      <c r="K530" s="30" t="s">
        <v>623</v>
      </c>
      <c r="L530" s="30" t="s">
        <v>1193</v>
      </c>
      <c r="M530" s="45">
        <v>210045</v>
      </c>
      <c r="N530" s="45">
        <v>210045</v>
      </c>
      <c r="O530" s="129" t="s">
        <v>79</v>
      </c>
      <c r="P530" s="30" t="s">
        <v>1408</v>
      </c>
      <c r="Q530" s="30" t="s">
        <v>867</v>
      </c>
      <c r="R530" s="129" t="s">
        <v>150</v>
      </c>
      <c r="S530" s="41">
        <v>2014</v>
      </c>
      <c r="T530" s="31" t="s">
        <v>1409</v>
      </c>
      <c r="U530" s="31" t="s">
        <v>1410</v>
      </c>
      <c r="V530" s="30" t="s">
        <v>1411</v>
      </c>
      <c r="W530" s="129" t="s">
        <v>151</v>
      </c>
      <c r="X530" s="30" t="s">
        <v>302</v>
      </c>
      <c r="Y530" s="30"/>
      <c r="Z530" s="44">
        <v>41729</v>
      </c>
      <c r="AA530" s="31" t="s">
        <v>3359</v>
      </c>
    </row>
    <row r="531" spans="1:27" s="29" customFormat="1" ht="38.25" customHeight="1">
      <c r="A531" s="30" t="s">
        <v>71</v>
      </c>
      <c r="B531" s="30" t="s">
        <v>116</v>
      </c>
      <c r="C531" s="30" t="s">
        <v>144</v>
      </c>
      <c r="D531" s="30" t="s">
        <v>1412</v>
      </c>
      <c r="E531" s="30" t="s">
        <v>104</v>
      </c>
      <c r="F531" s="30" t="s">
        <v>289</v>
      </c>
      <c r="G531" s="30" t="s">
        <v>111</v>
      </c>
      <c r="H531" s="30">
        <v>541611</v>
      </c>
      <c r="I531" s="30" t="s">
        <v>67</v>
      </c>
      <c r="J531" s="30" t="s">
        <v>129</v>
      </c>
      <c r="K531" s="30" t="s">
        <v>623</v>
      </c>
      <c r="L531" s="30" t="s">
        <v>1193</v>
      </c>
      <c r="M531" s="45">
        <v>1535464</v>
      </c>
      <c r="N531" s="45">
        <v>1535464</v>
      </c>
      <c r="O531" s="129" t="s">
        <v>79</v>
      </c>
      <c r="P531" s="30" t="s">
        <v>1413</v>
      </c>
      <c r="Q531" s="30" t="s">
        <v>867</v>
      </c>
      <c r="R531" s="129" t="s">
        <v>150</v>
      </c>
      <c r="S531" s="41">
        <v>2014</v>
      </c>
      <c r="T531" s="31" t="s">
        <v>1409</v>
      </c>
      <c r="U531" s="31" t="s">
        <v>1410</v>
      </c>
      <c r="V531" s="30" t="s">
        <v>1411</v>
      </c>
      <c r="W531" s="129" t="s">
        <v>151</v>
      </c>
      <c r="X531" s="30" t="s">
        <v>302</v>
      </c>
      <c r="Y531" s="30"/>
      <c r="Z531" s="44">
        <v>41729</v>
      </c>
      <c r="AA531" s="31" t="s">
        <v>3359</v>
      </c>
    </row>
    <row r="532" spans="1:27" s="29" customFormat="1" ht="38.25" customHeight="1">
      <c r="A532" s="30" t="s">
        <v>71</v>
      </c>
      <c r="B532" s="30" t="s">
        <v>116</v>
      </c>
      <c r="C532" s="30" t="s">
        <v>144</v>
      </c>
      <c r="D532" s="30" t="s">
        <v>1414</v>
      </c>
      <c r="E532" s="30" t="s">
        <v>104</v>
      </c>
      <c r="F532" s="30" t="s">
        <v>289</v>
      </c>
      <c r="G532" s="30" t="s">
        <v>111</v>
      </c>
      <c r="H532" s="30">
        <v>541611</v>
      </c>
      <c r="I532" s="30" t="s">
        <v>67</v>
      </c>
      <c r="J532" s="30" t="s">
        <v>129</v>
      </c>
      <c r="K532" s="30" t="s">
        <v>623</v>
      </c>
      <c r="L532" s="30" t="s">
        <v>1193</v>
      </c>
      <c r="M532" s="45">
        <v>1247081</v>
      </c>
      <c r="N532" s="45">
        <v>1247081</v>
      </c>
      <c r="O532" s="129" t="s">
        <v>79</v>
      </c>
      <c r="P532" s="30" t="s">
        <v>1415</v>
      </c>
      <c r="Q532" s="30" t="s">
        <v>867</v>
      </c>
      <c r="R532" s="129" t="s">
        <v>150</v>
      </c>
      <c r="S532" s="41">
        <v>2014</v>
      </c>
      <c r="T532" s="31" t="s">
        <v>1409</v>
      </c>
      <c r="U532" s="31" t="s">
        <v>1410</v>
      </c>
      <c r="V532" s="30" t="s">
        <v>1411</v>
      </c>
      <c r="W532" s="129" t="s">
        <v>151</v>
      </c>
      <c r="X532" s="30" t="s">
        <v>302</v>
      </c>
      <c r="Y532" s="30"/>
      <c r="Z532" s="44">
        <v>41674</v>
      </c>
      <c r="AA532" s="31" t="s">
        <v>3359</v>
      </c>
    </row>
    <row r="533" spans="1:27" s="29" customFormat="1" ht="38.25" customHeight="1">
      <c r="A533" s="30" t="s">
        <v>71</v>
      </c>
      <c r="B533" s="30" t="s">
        <v>116</v>
      </c>
      <c r="C533" s="30" t="s">
        <v>144</v>
      </c>
      <c r="D533" s="30" t="s">
        <v>1416</v>
      </c>
      <c r="E533" s="30" t="s">
        <v>104</v>
      </c>
      <c r="F533" s="30" t="s">
        <v>289</v>
      </c>
      <c r="G533" s="30" t="s">
        <v>111</v>
      </c>
      <c r="H533" s="30">
        <v>541618</v>
      </c>
      <c r="I533" s="129" t="s">
        <v>98</v>
      </c>
      <c r="J533" s="30" t="s">
        <v>129</v>
      </c>
      <c r="K533" s="30" t="s">
        <v>623</v>
      </c>
      <c r="L533" s="30" t="s">
        <v>1193</v>
      </c>
      <c r="M533" s="45">
        <v>350000</v>
      </c>
      <c r="N533" s="45">
        <v>350000</v>
      </c>
      <c r="O533" s="129" t="s">
        <v>79</v>
      </c>
      <c r="P533" s="30" t="s">
        <v>1417</v>
      </c>
      <c r="Q533" s="30" t="s">
        <v>867</v>
      </c>
      <c r="R533" s="129" t="s">
        <v>150</v>
      </c>
      <c r="S533" s="41">
        <v>2014</v>
      </c>
      <c r="T533" s="31" t="s">
        <v>1409</v>
      </c>
      <c r="U533" s="31" t="s">
        <v>1410</v>
      </c>
      <c r="V533" s="30" t="s">
        <v>1411</v>
      </c>
      <c r="W533" s="129" t="s">
        <v>151</v>
      </c>
      <c r="X533" s="30" t="s">
        <v>302</v>
      </c>
      <c r="Y533" s="30"/>
      <c r="Z533" s="44">
        <v>41912</v>
      </c>
      <c r="AA533" s="31" t="s">
        <v>3359</v>
      </c>
    </row>
    <row r="534" spans="1:27" s="29" customFormat="1" ht="38.25" customHeight="1">
      <c r="A534" s="30" t="s">
        <v>71</v>
      </c>
      <c r="B534" s="30" t="s">
        <v>116</v>
      </c>
      <c r="C534" s="30" t="s">
        <v>773</v>
      </c>
      <c r="D534" s="30" t="s">
        <v>1418</v>
      </c>
      <c r="E534" s="30" t="s">
        <v>135</v>
      </c>
      <c r="F534" s="30" t="s">
        <v>289</v>
      </c>
      <c r="G534" s="30" t="s">
        <v>111</v>
      </c>
      <c r="H534" s="30">
        <v>518210</v>
      </c>
      <c r="I534" s="30" t="s">
        <v>67</v>
      </c>
      <c r="J534" s="30" t="s">
        <v>129</v>
      </c>
      <c r="K534" s="30" t="s">
        <v>623</v>
      </c>
      <c r="L534" s="30" t="s">
        <v>1193</v>
      </c>
      <c r="M534" s="45">
        <v>1700000</v>
      </c>
      <c r="N534" s="45">
        <v>1700000</v>
      </c>
      <c r="O534" s="129" t="s">
        <v>79</v>
      </c>
      <c r="P534" s="30" t="s">
        <v>1419</v>
      </c>
      <c r="Q534" s="129" t="s">
        <v>294</v>
      </c>
      <c r="R534" s="129" t="s">
        <v>100</v>
      </c>
      <c r="S534" s="41">
        <v>2014</v>
      </c>
      <c r="T534" s="31" t="s">
        <v>1409</v>
      </c>
      <c r="U534" s="31" t="s">
        <v>1410</v>
      </c>
      <c r="V534" s="30" t="s">
        <v>1411</v>
      </c>
      <c r="W534" s="129" t="s">
        <v>151</v>
      </c>
      <c r="X534" s="30" t="s">
        <v>1420</v>
      </c>
      <c r="Y534" s="30" t="s">
        <v>1421</v>
      </c>
      <c r="Z534" s="30"/>
      <c r="AA534" s="31" t="s">
        <v>3359</v>
      </c>
    </row>
    <row r="535" spans="1:27" s="29" customFormat="1" ht="38.25" customHeight="1">
      <c r="A535" s="30" t="s">
        <v>142</v>
      </c>
      <c r="B535" s="31" t="s">
        <v>48</v>
      </c>
      <c r="C535" s="30" t="s">
        <v>29</v>
      </c>
      <c r="D535" s="30" t="s">
        <v>1422</v>
      </c>
      <c r="E535" s="30" t="s">
        <v>135</v>
      </c>
      <c r="F535" s="30" t="s">
        <v>1423</v>
      </c>
      <c r="G535" s="30" t="s">
        <v>243</v>
      </c>
      <c r="H535" s="30">
        <v>541330</v>
      </c>
      <c r="I535" s="30" t="s">
        <v>45</v>
      </c>
      <c r="J535" s="30" t="s">
        <v>52</v>
      </c>
      <c r="K535" s="30" t="s">
        <v>61</v>
      </c>
      <c r="L535" s="30" t="s">
        <v>317</v>
      </c>
      <c r="M535" s="45">
        <v>0</v>
      </c>
      <c r="N535" s="45">
        <v>0</v>
      </c>
      <c r="O535" s="30" t="s">
        <v>79</v>
      </c>
      <c r="P535" s="30" t="s">
        <v>1424</v>
      </c>
      <c r="Q535" s="30" t="s">
        <v>294</v>
      </c>
      <c r="R535" s="155" t="s">
        <v>80</v>
      </c>
      <c r="S535" s="41">
        <v>2014</v>
      </c>
      <c r="T535" s="31" t="s">
        <v>1425</v>
      </c>
      <c r="U535" s="31" t="s">
        <v>1426</v>
      </c>
      <c r="V535" s="30" t="s">
        <v>1427</v>
      </c>
      <c r="W535" s="31" t="s">
        <v>70</v>
      </c>
      <c r="X535" s="44">
        <v>41699</v>
      </c>
      <c r="Y535" s="44">
        <v>41852</v>
      </c>
      <c r="Z535" s="44">
        <v>43708</v>
      </c>
      <c r="AA535" s="30"/>
    </row>
    <row r="536" spans="1:27" s="29" customFormat="1" ht="38.25" customHeight="1">
      <c r="A536" s="30" t="s">
        <v>142</v>
      </c>
      <c r="B536" s="31" t="s">
        <v>48</v>
      </c>
      <c r="C536" s="30" t="s">
        <v>144</v>
      </c>
      <c r="D536" s="30" t="s">
        <v>1428</v>
      </c>
      <c r="E536" s="30" t="s">
        <v>49</v>
      </c>
      <c r="F536" s="30" t="s">
        <v>1423</v>
      </c>
      <c r="G536" s="30" t="s">
        <v>243</v>
      </c>
      <c r="H536" s="30">
        <v>541620</v>
      </c>
      <c r="I536" s="30" t="s">
        <v>98</v>
      </c>
      <c r="J536" s="30" t="s">
        <v>52</v>
      </c>
      <c r="K536" s="30" t="s">
        <v>61</v>
      </c>
      <c r="L536" s="30" t="s">
        <v>98</v>
      </c>
      <c r="M536" s="45">
        <v>0</v>
      </c>
      <c r="N536" s="45">
        <v>0</v>
      </c>
      <c r="O536" s="30" t="s">
        <v>79</v>
      </c>
      <c r="P536" s="30" t="s">
        <v>1429</v>
      </c>
      <c r="Q536" s="129" t="s">
        <v>867</v>
      </c>
      <c r="R536" s="31" t="s">
        <v>150</v>
      </c>
      <c r="S536" s="41">
        <v>2014</v>
      </c>
      <c r="T536" s="31" t="s">
        <v>1425</v>
      </c>
      <c r="U536" s="31" t="s">
        <v>1426</v>
      </c>
      <c r="V536" s="30" t="s">
        <v>1427</v>
      </c>
      <c r="W536" s="31" t="s">
        <v>70</v>
      </c>
      <c r="X536" s="30" t="s">
        <v>302</v>
      </c>
      <c r="Y536" s="44">
        <v>41944</v>
      </c>
      <c r="Z536" s="44">
        <v>43069</v>
      </c>
      <c r="AA536" s="30"/>
    </row>
    <row r="537" spans="1:27" s="29" customFormat="1" ht="38.25" customHeight="1">
      <c r="A537" s="30" t="s">
        <v>142</v>
      </c>
      <c r="B537" s="31" t="s">
        <v>48</v>
      </c>
      <c r="C537" s="30" t="s">
        <v>144</v>
      </c>
      <c r="D537" s="30" t="s">
        <v>856</v>
      </c>
      <c r="E537" s="30" t="s">
        <v>139</v>
      </c>
      <c r="F537" s="30" t="s">
        <v>1423</v>
      </c>
      <c r="G537" s="30" t="s">
        <v>243</v>
      </c>
      <c r="H537" s="30">
        <v>541330</v>
      </c>
      <c r="I537" s="30" t="s">
        <v>67</v>
      </c>
      <c r="J537" s="30" t="s">
        <v>52</v>
      </c>
      <c r="K537" s="30" t="s">
        <v>61</v>
      </c>
      <c r="L537" s="30" t="s">
        <v>858</v>
      </c>
      <c r="M537" s="45">
        <v>0</v>
      </c>
      <c r="N537" s="45">
        <v>0</v>
      </c>
      <c r="O537" s="30" t="s">
        <v>79</v>
      </c>
      <c r="P537" s="30" t="s">
        <v>1430</v>
      </c>
      <c r="Q537" s="129" t="s">
        <v>867</v>
      </c>
      <c r="R537" s="31" t="s">
        <v>35</v>
      </c>
      <c r="S537" s="41">
        <v>2014</v>
      </c>
      <c r="T537" s="31" t="s">
        <v>1425</v>
      </c>
      <c r="U537" s="31" t="s">
        <v>1426</v>
      </c>
      <c r="V537" s="30" t="s">
        <v>1427</v>
      </c>
      <c r="W537" s="31" t="s">
        <v>70</v>
      </c>
      <c r="X537" s="30" t="s">
        <v>302</v>
      </c>
      <c r="Y537" s="44">
        <v>41883</v>
      </c>
      <c r="Z537" s="44">
        <v>42460</v>
      </c>
      <c r="AA537" s="30"/>
    </row>
    <row r="538" spans="1:27" s="29" customFormat="1" ht="38.25" customHeight="1">
      <c r="A538" s="30" t="s">
        <v>142</v>
      </c>
      <c r="B538" s="31" t="s">
        <v>48</v>
      </c>
      <c r="C538" s="30" t="s">
        <v>144</v>
      </c>
      <c r="D538" s="30" t="s">
        <v>1431</v>
      </c>
      <c r="E538" s="30" t="s">
        <v>49</v>
      </c>
      <c r="F538" s="30" t="s">
        <v>1423</v>
      </c>
      <c r="G538" s="30" t="s">
        <v>243</v>
      </c>
      <c r="H538" s="30">
        <v>541620</v>
      </c>
      <c r="I538" s="30" t="s">
        <v>67</v>
      </c>
      <c r="J538" s="30" t="s">
        <v>52</v>
      </c>
      <c r="K538" s="30" t="s">
        <v>61</v>
      </c>
      <c r="L538" s="30" t="s">
        <v>858</v>
      </c>
      <c r="M538" s="39">
        <v>0</v>
      </c>
      <c r="N538" s="39">
        <v>0</v>
      </c>
      <c r="O538" s="30" t="s">
        <v>79</v>
      </c>
      <c r="P538" s="30" t="s">
        <v>1432</v>
      </c>
      <c r="Q538" s="129" t="s">
        <v>867</v>
      </c>
      <c r="R538" s="155" t="s">
        <v>80</v>
      </c>
      <c r="S538" s="41">
        <v>2014</v>
      </c>
      <c r="T538" s="31" t="s">
        <v>1425</v>
      </c>
      <c r="U538" s="31" t="s">
        <v>1426</v>
      </c>
      <c r="V538" s="30" t="s">
        <v>1427</v>
      </c>
      <c r="W538" s="30" t="s">
        <v>70</v>
      </c>
      <c r="X538" s="30" t="s">
        <v>302</v>
      </c>
      <c r="Y538" s="44">
        <v>41751</v>
      </c>
      <c r="Z538" s="44">
        <v>42870</v>
      </c>
      <c r="AA538" s="30"/>
    </row>
    <row r="539" spans="1:27" s="29" customFormat="1" ht="38.25" customHeight="1">
      <c r="A539" s="30" t="s">
        <v>142</v>
      </c>
      <c r="B539" s="31" t="s">
        <v>48</v>
      </c>
      <c r="C539" s="30" t="s">
        <v>144</v>
      </c>
      <c r="D539" s="30" t="s">
        <v>1433</v>
      </c>
      <c r="E539" s="30" t="s">
        <v>74</v>
      </c>
      <c r="F539" s="30" t="s">
        <v>1423</v>
      </c>
      <c r="G539" s="30" t="s">
        <v>243</v>
      </c>
      <c r="H539" s="30">
        <v>541380</v>
      </c>
      <c r="I539" s="30" t="s">
        <v>67</v>
      </c>
      <c r="J539" s="30" t="s">
        <v>52</v>
      </c>
      <c r="K539" s="30" t="s">
        <v>61</v>
      </c>
      <c r="L539" s="30" t="s">
        <v>858</v>
      </c>
      <c r="M539" s="39">
        <v>0</v>
      </c>
      <c r="N539" s="39">
        <v>0</v>
      </c>
      <c r="O539" s="30" t="s">
        <v>79</v>
      </c>
      <c r="P539" s="30" t="s">
        <v>1434</v>
      </c>
      <c r="Q539" s="129" t="s">
        <v>867</v>
      </c>
      <c r="R539" s="30" t="s">
        <v>35</v>
      </c>
      <c r="S539" s="41">
        <v>2014</v>
      </c>
      <c r="T539" s="31" t="s">
        <v>1425</v>
      </c>
      <c r="U539" s="31" t="s">
        <v>1426</v>
      </c>
      <c r="V539" s="30" t="s">
        <v>1427</v>
      </c>
      <c r="W539" s="30" t="s">
        <v>70</v>
      </c>
      <c r="X539" s="30" t="s">
        <v>302</v>
      </c>
      <c r="Y539" s="44">
        <v>41852</v>
      </c>
      <c r="Z539" s="44">
        <v>42978</v>
      </c>
      <c r="AA539" s="30"/>
    </row>
    <row r="540" spans="1:27" s="29" customFormat="1" ht="38.25" customHeight="1">
      <c r="A540" s="30" t="s">
        <v>142</v>
      </c>
      <c r="B540" s="31" t="s">
        <v>48</v>
      </c>
      <c r="C540" s="30" t="s">
        <v>144</v>
      </c>
      <c r="D540" s="30" t="s">
        <v>1435</v>
      </c>
      <c r="E540" s="30" t="s">
        <v>1436</v>
      </c>
      <c r="F540" s="30" t="s">
        <v>1423</v>
      </c>
      <c r="G540" s="30" t="s">
        <v>243</v>
      </c>
      <c r="H540" s="30">
        <v>484210</v>
      </c>
      <c r="I540" s="30" t="s">
        <v>98</v>
      </c>
      <c r="J540" s="30" t="s">
        <v>52</v>
      </c>
      <c r="K540" s="30" t="s">
        <v>61</v>
      </c>
      <c r="L540" s="30" t="s">
        <v>98</v>
      </c>
      <c r="M540" s="39">
        <v>0</v>
      </c>
      <c r="N540" s="39">
        <v>0</v>
      </c>
      <c r="O540" s="30" t="s">
        <v>79</v>
      </c>
      <c r="P540" s="30" t="s">
        <v>1437</v>
      </c>
      <c r="Q540" s="129" t="s">
        <v>867</v>
      </c>
      <c r="R540" s="30" t="s">
        <v>35</v>
      </c>
      <c r="S540" s="41">
        <v>2014</v>
      </c>
      <c r="T540" s="31" t="s">
        <v>1425</v>
      </c>
      <c r="U540" s="31" t="s">
        <v>1426</v>
      </c>
      <c r="V540" s="30" t="s">
        <v>1427</v>
      </c>
      <c r="W540" s="30" t="s">
        <v>70</v>
      </c>
      <c r="X540" s="30" t="s">
        <v>302</v>
      </c>
      <c r="Y540" s="44">
        <v>41852</v>
      </c>
      <c r="Z540" s="44">
        <v>42643</v>
      </c>
      <c r="AA540" s="30"/>
    </row>
    <row r="541" spans="1:27" s="29" customFormat="1" ht="38.25" customHeight="1">
      <c r="A541" s="30" t="s">
        <v>142</v>
      </c>
      <c r="B541" s="31" t="s">
        <v>48</v>
      </c>
      <c r="C541" s="30" t="s">
        <v>144</v>
      </c>
      <c r="D541" s="30" t="s">
        <v>1438</v>
      </c>
      <c r="E541" s="30" t="s">
        <v>49</v>
      </c>
      <c r="F541" s="30" t="s">
        <v>1423</v>
      </c>
      <c r="G541" s="30" t="s">
        <v>243</v>
      </c>
      <c r="H541" s="30">
        <v>541620</v>
      </c>
      <c r="I541" s="30" t="s">
        <v>67</v>
      </c>
      <c r="J541" s="30" t="s">
        <v>52</v>
      </c>
      <c r="K541" s="30" t="s">
        <v>61</v>
      </c>
      <c r="L541" s="30" t="s">
        <v>858</v>
      </c>
      <c r="M541" s="39">
        <v>0</v>
      </c>
      <c r="N541" s="39">
        <v>0</v>
      </c>
      <c r="O541" s="30" t="s">
        <v>79</v>
      </c>
      <c r="P541" s="30" t="s">
        <v>1439</v>
      </c>
      <c r="Q541" s="129" t="s">
        <v>867</v>
      </c>
      <c r="R541" s="30" t="s">
        <v>100</v>
      </c>
      <c r="S541" s="41">
        <v>2014</v>
      </c>
      <c r="T541" s="31" t="s">
        <v>1440</v>
      </c>
      <c r="U541" s="31" t="s">
        <v>1441</v>
      </c>
      <c r="V541" s="30" t="s">
        <v>1442</v>
      </c>
      <c r="W541" s="30" t="s">
        <v>70</v>
      </c>
      <c r="X541" s="30" t="s">
        <v>302</v>
      </c>
      <c r="Y541" s="44">
        <v>41671</v>
      </c>
      <c r="Z541" s="44">
        <v>42094</v>
      </c>
      <c r="AA541" s="30"/>
    </row>
    <row r="542" spans="1:27" s="29" customFormat="1" ht="34.5" customHeight="1">
      <c r="A542" s="30" t="s">
        <v>142</v>
      </c>
      <c r="B542" s="31" t="s">
        <v>48</v>
      </c>
      <c r="C542" s="30" t="s">
        <v>144</v>
      </c>
      <c r="D542" s="30" t="s">
        <v>568</v>
      </c>
      <c r="E542" s="30" t="s">
        <v>139</v>
      </c>
      <c r="F542" s="30" t="s">
        <v>1443</v>
      </c>
      <c r="G542" s="30" t="s">
        <v>153</v>
      </c>
      <c r="H542" s="30">
        <v>561720</v>
      </c>
      <c r="I542" s="30" t="s">
        <v>98</v>
      </c>
      <c r="J542" s="30" t="s">
        <v>129</v>
      </c>
      <c r="K542" s="31" t="s">
        <v>69</v>
      </c>
      <c r="L542" s="30" t="s">
        <v>98</v>
      </c>
      <c r="M542" s="39">
        <v>570000</v>
      </c>
      <c r="N542" s="39">
        <v>670000</v>
      </c>
      <c r="O542" s="30" t="s">
        <v>79</v>
      </c>
      <c r="P542" s="30" t="s">
        <v>1444</v>
      </c>
      <c r="Q542" s="129" t="s">
        <v>867</v>
      </c>
      <c r="R542" s="30" t="s">
        <v>35</v>
      </c>
      <c r="S542" s="41">
        <v>2014</v>
      </c>
      <c r="T542" s="31" t="s">
        <v>1445</v>
      </c>
      <c r="U542" s="31" t="s">
        <v>1446</v>
      </c>
      <c r="V542" s="30" t="s">
        <v>1447</v>
      </c>
      <c r="W542" s="30" t="s">
        <v>70</v>
      </c>
      <c r="X542" s="30" t="s">
        <v>302</v>
      </c>
      <c r="Y542" s="44">
        <v>41883</v>
      </c>
      <c r="Z542" s="44">
        <v>42277</v>
      </c>
      <c r="AA542" s="30"/>
    </row>
    <row r="543" spans="1:27" s="29" customFormat="1" ht="34.5" customHeight="1">
      <c r="A543" s="30" t="s">
        <v>142</v>
      </c>
      <c r="B543" s="31" t="s">
        <v>48</v>
      </c>
      <c r="C543" s="30" t="s">
        <v>144</v>
      </c>
      <c r="D543" s="30" t="s">
        <v>568</v>
      </c>
      <c r="E543" s="30" t="s">
        <v>139</v>
      </c>
      <c r="F543" s="30" t="s">
        <v>1448</v>
      </c>
      <c r="G543" s="30" t="s">
        <v>183</v>
      </c>
      <c r="H543" s="30">
        <v>561720</v>
      </c>
      <c r="I543" s="30" t="s">
        <v>67</v>
      </c>
      <c r="J543" s="30" t="s">
        <v>129</v>
      </c>
      <c r="K543" s="30" t="s">
        <v>44</v>
      </c>
      <c r="L543" s="30" t="s">
        <v>1449</v>
      </c>
      <c r="M543" s="39">
        <v>485000</v>
      </c>
      <c r="N543" s="39">
        <v>500000</v>
      </c>
      <c r="O543" s="30" t="s">
        <v>79</v>
      </c>
      <c r="P543" s="30" t="s">
        <v>1450</v>
      </c>
      <c r="Q543" s="129" t="s">
        <v>867</v>
      </c>
      <c r="R543" s="30" t="s">
        <v>35</v>
      </c>
      <c r="S543" s="41">
        <v>2014</v>
      </c>
      <c r="T543" s="31" t="s">
        <v>1445</v>
      </c>
      <c r="U543" s="31" t="s">
        <v>1446</v>
      </c>
      <c r="V543" s="30" t="s">
        <v>1447</v>
      </c>
      <c r="W543" s="30" t="s">
        <v>70</v>
      </c>
      <c r="X543" s="30" t="s">
        <v>302</v>
      </c>
      <c r="Y543" s="44">
        <v>41883</v>
      </c>
      <c r="Z543" s="44">
        <v>43373</v>
      </c>
      <c r="AA543" s="30"/>
    </row>
    <row r="544" spans="1:27" s="29" customFormat="1" ht="34.5" customHeight="1">
      <c r="A544" s="30" t="s">
        <v>142</v>
      </c>
      <c r="B544" s="31" t="s">
        <v>48</v>
      </c>
      <c r="C544" s="30" t="s">
        <v>144</v>
      </c>
      <c r="D544" s="30" t="s">
        <v>568</v>
      </c>
      <c r="E544" s="30" t="s">
        <v>139</v>
      </c>
      <c r="F544" s="30" t="s">
        <v>1451</v>
      </c>
      <c r="G544" s="30" t="s">
        <v>183</v>
      </c>
      <c r="H544" s="30">
        <v>561720</v>
      </c>
      <c r="I544" s="30" t="s">
        <v>67</v>
      </c>
      <c r="J544" s="30" t="s">
        <v>129</v>
      </c>
      <c r="K544" s="30" t="s">
        <v>44</v>
      </c>
      <c r="L544" s="30" t="s">
        <v>1449</v>
      </c>
      <c r="M544" s="39">
        <v>1360000</v>
      </c>
      <c r="N544" s="39">
        <v>1400000</v>
      </c>
      <c r="O544" s="30" t="s">
        <v>79</v>
      </c>
      <c r="P544" s="30" t="s">
        <v>1452</v>
      </c>
      <c r="Q544" s="129" t="s">
        <v>867</v>
      </c>
      <c r="R544" s="30" t="s">
        <v>100</v>
      </c>
      <c r="S544" s="41">
        <v>2014</v>
      </c>
      <c r="T544" s="31" t="s">
        <v>1445</v>
      </c>
      <c r="U544" s="31" t="s">
        <v>1446</v>
      </c>
      <c r="V544" s="30" t="s">
        <v>1447</v>
      </c>
      <c r="W544" s="30" t="s">
        <v>70</v>
      </c>
      <c r="X544" s="30" t="s">
        <v>302</v>
      </c>
      <c r="Y544" s="44">
        <v>41760</v>
      </c>
      <c r="Z544" s="44">
        <v>42886</v>
      </c>
      <c r="AA544" s="30"/>
    </row>
    <row r="545" spans="1:27" s="29" customFormat="1" ht="34.5" customHeight="1">
      <c r="A545" s="30" t="s">
        <v>142</v>
      </c>
      <c r="B545" s="31" t="s">
        <v>48</v>
      </c>
      <c r="C545" s="30" t="s">
        <v>144</v>
      </c>
      <c r="D545" s="30" t="s">
        <v>568</v>
      </c>
      <c r="E545" s="30" t="s">
        <v>139</v>
      </c>
      <c r="F545" s="30" t="s">
        <v>1453</v>
      </c>
      <c r="G545" s="30" t="s">
        <v>183</v>
      </c>
      <c r="H545" s="30">
        <v>561720</v>
      </c>
      <c r="I545" s="129" t="s">
        <v>546</v>
      </c>
      <c r="J545" s="30" t="s">
        <v>129</v>
      </c>
      <c r="K545" s="30" t="s">
        <v>44</v>
      </c>
      <c r="L545" s="30" t="s">
        <v>1454</v>
      </c>
      <c r="M545" s="39">
        <v>5300000</v>
      </c>
      <c r="N545" s="39">
        <v>5350000</v>
      </c>
      <c r="O545" s="30" t="s">
        <v>79</v>
      </c>
      <c r="P545" s="30" t="s">
        <v>1455</v>
      </c>
      <c r="Q545" s="155" t="s">
        <v>867</v>
      </c>
      <c r="R545" s="30" t="s">
        <v>150</v>
      </c>
      <c r="S545" s="41">
        <v>2013</v>
      </c>
      <c r="T545" s="31" t="s">
        <v>1445</v>
      </c>
      <c r="U545" s="31" t="s">
        <v>1446</v>
      </c>
      <c r="V545" s="30" t="s">
        <v>1447</v>
      </c>
      <c r="W545" s="30" t="s">
        <v>70</v>
      </c>
      <c r="X545" s="30" t="s">
        <v>302</v>
      </c>
      <c r="Y545" s="44">
        <v>41609</v>
      </c>
      <c r="Z545" s="44">
        <v>42735</v>
      </c>
      <c r="AA545" s="30"/>
    </row>
    <row r="546" spans="1:27" s="29" customFormat="1" ht="34.5" customHeight="1">
      <c r="A546" s="30" t="s">
        <v>142</v>
      </c>
      <c r="B546" s="31" t="s">
        <v>48</v>
      </c>
      <c r="C546" s="30" t="s">
        <v>39</v>
      </c>
      <c r="D546" s="30" t="s">
        <v>1081</v>
      </c>
      <c r="E546" s="30" t="s">
        <v>88</v>
      </c>
      <c r="F546" s="30" t="s">
        <v>1453</v>
      </c>
      <c r="G546" s="30" t="s">
        <v>183</v>
      </c>
      <c r="H546" s="30">
        <v>238290</v>
      </c>
      <c r="I546" s="30" t="s">
        <v>45</v>
      </c>
      <c r="J546" s="30" t="s">
        <v>129</v>
      </c>
      <c r="K546" s="30" t="s">
        <v>45</v>
      </c>
      <c r="L546" s="30" t="s">
        <v>317</v>
      </c>
      <c r="M546" s="39" t="s">
        <v>317</v>
      </c>
      <c r="N546" s="39" t="s">
        <v>317</v>
      </c>
      <c r="O546" s="30" t="s">
        <v>79</v>
      </c>
      <c r="P546" s="30" t="s">
        <v>1456</v>
      </c>
      <c r="Q546" s="30" t="s">
        <v>294</v>
      </c>
      <c r="R546" s="155" t="s">
        <v>80</v>
      </c>
      <c r="S546" s="41">
        <v>2014</v>
      </c>
      <c r="T546" s="31" t="s">
        <v>1445</v>
      </c>
      <c r="U546" s="31" t="s">
        <v>1446</v>
      </c>
      <c r="V546" s="30" t="s">
        <v>1447</v>
      </c>
      <c r="W546" s="30" t="s">
        <v>70</v>
      </c>
      <c r="X546" s="30" t="s">
        <v>302</v>
      </c>
      <c r="Y546" s="44">
        <v>41760</v>
      </c>
      <c r="Z546" s="44">
        <v>45443</v>
      </c>
      <c r="AA546" s="30"/>
    </row>
    <row r="547" spans="1:27" s="29" customFormat="1" ht="38.25" customHeight="1">
      <c r="A547" s="30" t="s">
        <v>142</v>
      </c>
      <c r="B547" s="31" t="s">
        <v>48</v>
      </c>
      <c r="C547" s="30" t="s">
        <v>39</v>
      </c>
      <c r="D547" s="30" t="s">
        <v>1457</v>
      </c>
      <c r="E547" s="30" t="s">
        <v>88</v>
      </c>
      <c r="F547" s="30" t="s">
        <v>1423</v>
      </c>
      <c r="G547" s="30" t="s">
        <v>243</v>
      </c>
      <c r="H547" s="30">
        <v>333298</v>
      </c>
      <c r="I547" s="30" t="s">
        <v>45</v>
      </c>
      <c r="J547" s="30" t="s">
        <v>129</v>
      </c>
      <c r="K547" s="30" t="s">
        <v>45</v>
      </c>
      <c r="L547" s="30" t="s">
        <v>317</v>
      </c>
      <c r="M547" s="39" t="s">
        <v>317</v>
      </c>
      <c r="N547" s="39" t="s">
        <v>317</v>
      </c>
      <c r="O547" s="30" t="s">
        <v>45</v>
      </c>
      <c r="P547" s="30" t="s">
        <v>1458</v>
      </c>
      <c r="Q547" s="31" t="s">
        <v>294</v>
      </c>
      <c r="R547" s="30" t="s">
        <v>100</v>
      </c>
      <c r="S547" s="41">
        <v>2013</v>
      </c>
      <c r="T547" s="31" t="s">
        <v>1445</v>
      </c>
      <c r="U547" s="31" t="s">
        <v>1446</v>
      </c>
      <c r="V547" s="30" t="s">
        <v>1447</v>
      </c>
      <c r="W547" s="30" t="s">
        <v>70</v>
      </c>
      <c r="X547" s="30" t="s">
        <v>302</v>
      </c>
      <c r="Y547" s="44">
        <v>41852</v>
      </c>
      <c r="Z547" s="44">
        <v>43770</v>
      </c>
      <c r="AA547" s="30"/>
    </row>
    <row r="548" spans="1:27" s="29" customFormat="1" ht="34.5" customHeight="1">
      <c r="A548" s="30" t="s">
        <v>142</v>
      </c>
      <c r="B548" s="31" t="s">
        <v>48</v>
      </c>
      <c r="C548" s="30" t="s">
        <v>144</v>
      </c>
      <c r="D548" s="30" t="s">
        <v>1459</v>
      </c>
      <c r="E548" s="30" t="s">
        <v>152</v>
      </c>
      <c r="F548" s="30" t="s">
        <v>791</v>
      </c>
      <c r="G548" s="30" t="s">
        <v>183</v>
      </c>
      <c r="H548" s="30">
        <v>624310</v>
      </c>
      <c r="I548" s="30" t="s">
        <v>67</v>
      </c>
      <c r="J548" s="30" t="s">
        <v>129</v>
      </c>
      <c r="K548" s="30" t="s">
        <v>44</v>
      </c>
      <c r="L548" s="30" t="s">
        <v>1449</v>
      </c>
      <c r="M548" s="39">
        <v>1447992.2</v>
      </c>
      <c r="N548" s="39">
        <v>1500000</v>
      </c>
      <c r="O548" s="30" t="s">
        <v>79</v>
      </c>
      <c r="P548" s="30" t="s">
        <v>1460</v>
      </c>
      <c r="Q548" s="129" t="s">
        <v>867</v>
      </c>
      <c r="R548" s="30" t="s">
        <v>100</v>
      </c>
      <c r="S548" s="41">
        <v>2014</v>
      </c>
      <c r="T548" s="31" t="s">
        <v>1461</v>
      </c>
      <c r="U548" s="31" t="s">
        <v>861</v>
      </c>
      <c r="V548" s="30" t="s">
        <v>862</v>
      </c>
      <c r="W548" s="30" t="s">
        <v>70</v>
      </c>
      <c r="X548" s="30" t="s">
        <v>302</v>
      </c>
      <c r="Y548" s="44">
        <v>41866</v>
      </c>
      <c r="Z548" s="44">
        <v>43008</v>
      </c>
      <c r="AA548" s="30"/>
    </row>
    <row r="549" spans="1:27" s="29" customFormat="1" ht="34.5" customHeight="1">
      <c r="A549" s="30" t="s">
        <v>142</v>
      </c>
      <c r="B549" s="31" t="s">
        <v>48</v>
      </c>
      <c r="C549" s="30" t="s">
        <v>144</v>
      </c>
      <c r="D549" s="30" t="s">
        <v>568</v>
      </c>
      <c r="E549" s="30" t="s">
        <v>139</v>
      </c>
      <c r="F549" s="30" t="s">
        <v>791</v>
      </c>
      <c r="G549" s="30" t="s">
        <v>183</v>
      </c>
      <c r="H549" s="30">
        <v>561720</v>
      </c>
      <c r="I549" s="30" t="s">
        <v>67</v>
      </c>
      <c r="J549" s="30" t="s">
        <v>129</v>
      </c>
      <c r="K549" s="30" t="s">
        <v>44</v>
      </c>
      <c r="L549" s="30" t="s">
        <v>1449</v>
      </c>
      <c r="M549" s="39">
        <v>8297155.9199999999</v>
      </c>
      <c r="N549" s="39">
        <v>9000000</v>
      </c>
      <c r="O549" s="30" t="s">
        <v>79</v>
      </c>
      <c r="P549" s="30" t="s">
        <v>1462</v>
      </c>
      <c r="Q549" s="129" t="s">
        <v>867</v>
      </c>
      <c r="R549" s="155" t="s">
        <v>80</v>
      </c>
      <c r="S549" s="41">
        <v>2014</v>
      </c>
      <c r="T549" s="31" t="s">
        <v>1461</v>
      </c>
      <c r="U549" s="31" t="s">
        <v>861</v>
      </c>
      <c r="V549" s="30" t="s">
        <v>862</v>
      </c>
      <c r="W549" s="30" t="s">
        <v>70</v>
      </c>
      <c r="X549" s="30" t="s">
        <v>302</v>
      </c>
      <c r="Y549" s="44">
        <v>41671</v>
      </c>
      <c r="Z549" s="44">
        <v>42825</v>
      </c>
      <c r="AA549" s="30"/>
    </row>
    <row r="550" spans="1:27" s="29" customFormat="1" ht="34.5" customHeight="1">
      <c r="A550" s="30" t="s">
        <v>142</v>
      </c>
      <c r="B550" s="31" t="s">
        <v>48</v>
      </c>
      <c r="C550" s="30" t="s">
        <v>144</v>
      </c>
      <c r="D550" s="30" t="s">
        <v>568</v>
      </c>
      <c r="E550" s="30" t="s">
        <v>139</v>
      </c>
      <c r="F550" s="30" t="s">
        <v>857</v>
      </c>
      <c r="G550" s="30" t="s">
        <v>187</v>
      </c>
      <c r="H550" s="30">
        <v>561720</v>
      </c>
      <c r="I550" s="30" t="s">
        <v>67</v>
      </c>
      <c r="J550" s="30" t="s">
        <v>129</v>
      </c>
      <c r="K550" s="30" t="s">
        <v>44</v>
      </c>
      <c r="L550" s="30" t="s">
        <v>1449</v>
      </c>
      <c r="M550" s="39">
        <v>4086000</v>
      </c>
      <c r="N550" s="39">
        <v>4500000</v>
      </c>
      <c r="O550" s="30" t="s">
        <v>79</v>
      </c>
      <c r="P550" s="30" t="s">
        <v>1463</v>
      </c>
      <c r="Q550" s="129" t="s">
        <v>867</v>
      </c>
      <c r="R550" s="155" t="s">
        <v>80</v>
      </c>
      <c r="S550" s="41">
        <v>2014</v>
      </c>
      <c r="T550" s="31" t="s">
        <v>1461</v>
      </c>
      <c r="U550" s="31" t="s">
        <v>861</v>
      </c>
      <c r="V550" s="30" t="s">
        <v>862</v>
      </c>
      <c r="W550" s="30" t="s">
        <v>70</v>
      </c>
      <c r="X550" s="30" t="s">
        <v>302</v>
      </c>
      <c r="Y550" s="44">
        <v>41671</v>
      </c>
      <c r="Z550" s="44">
        <v>42825</v>
      </c>
      <c r="AA550" s="30"/>
    </row>
    <row r="551" spans="1:27" s="29" customFormat="1" ht="34.5" customHeight="1">
      <c r="A551" s="30" t="s">
        <v>142</v>
      </c>
      <c r="B551" s="31" t="s">
        <v>48</v>
      </c>
      <c r="C551" s="30" t="s">
        <v>144</v>
      </c>
      <c r="D551" s="30" t="s">
        <v>856</v>
      </c>
      <c r="E551" s="30" t="s">
        <v>88</v>
      </c>
      <c r="F551" s="30" t="s">
        <v>857</v>
      </c>
      <c r="G551" s="30" t="s">
        <v>187</v>
      </c>
      <c r="H551" s="30">
        <v>561621</v>
      </c>
      <c r="I551" s="30" t="s">
        <v>67</v>
      </c>
      <c r="J551" s="30" t="s">
        <v>129</v>
      </c>
      <c r="K551" s="30" t="s">
        <v>44</v>
      </c>
      <c r="L551" s="30" t="s">
        <v>858</v>
      </c>
      <c r="M551" s="39">
        <v>134000</v>
      </c>
      <c r="N551" s="39">
        <v>175000</v>
      </c>
      <c r="O551" s="30" t="s">
        <v>79</v>
      </c>
      <c r="P551" s="30" t="s">
        <v>859</v>
      </c>
      <c r="Q551" s="129" t="s">
        <v>867</v>
      </c>
      <c r="R551" s="155" t="s">
        <v>80</v>
      </c>
      <c r="S551" s="41">
        <v>2014</v>
      </c>
      <c r="T551" s="155" t="s">
        <v>1461</v>
      </c>
      <c r="U551" s="31" t="s">
        <v>861</v>
      </c>
      <c r="V551" s="30" t="s">
        <v>862</v>
      </c>
      <c r="W551" s="30" t="s">
        <v>70</v>
      </c>
      <c r="X551" s="30" t="s">
        <v>302</v>
      </c>
      <c r="Y551" s="44">
        <v>41671</v>
      </c>
      <c r="Z551" s="44">
        <v>42521</v>
      </c>
      <c r="AA551" s="30"/>
    </row>
    <row r="552" spans="1:27" s="29" customFormat="1" ht="34.5" customHeight="1">
      <c r="A552" s="30" t="s">
        <v>142</v>
      </c>
      <c r="B552" s="31" t="s">
        <v>48</v>
      </c>
      <c r="C552" s="30" t="s">
        <v>144</v>
      </c>
      <c r="D552" s="30" t="s">
        <v>568</v>
      </c>
      <c r="E552" s="30" t="s">
        <v>139</v>
      </c>
      <c r="F552" s="30" t="s">
        <v>791</v>
      </c>
      <c r="G552" s="30" t="s">
        <v>183</v>
      </c>
      <c r="H552" s="30">
        <v>561720</v>
      </c>
      <c r="I552" s="129" t="s">
        <v>546</v>
      </c>
      <c r="J552" s="30" t="s">
        <v>129</v>
      </c>
      <c r="K552" s="30" t="s">
        <v>44</v>
      </c>
      <c r="L552" s="30" t="s">
        <v>1464</v>
      </c>
      <c r="M552" s="39">
        <v>730000</v>
      </c>
      <c r="N552" s="39">
        <v>750000</v>
      </c>
      <c r="O552" s="30" t="s">
        <v>79</v>
      </c>
      <c r="P552" s="30" t="s">
        <v>1465</v>
      </c>
      <c r="Q552" s="129" t="s">
        <v>867</v>
      </c>
      <c r="R552" s="30" t="s">
        <v>35</v>
      </c>
      <c r="S552" s="41">
        <v>2014</v>
      </c>
      <c r="T552" s="31" t="s">
        <v>1466</v>
      </c>
      <c r="U552" s="31" t="s">
        <v>1467</v>
      </c>
      <c r="V552" s="30" t="s">
        <v>1468</v>
      </c>
      <c r="W552" s="30" t="s">
        <v>70</v>
      </c>
      <c r="X552" s="30" t="s">
        <v>302</v>
      </c>
      <c r="Y552" s="44">
        <v>41852</v>
      </c>
      <c r="Z552" s="44">
        <v>42613</v>
      </c>
      <c r="AA552" s="30"/>
    </row>
    <row r="553" spans="1:27" s="29" customFormat="1" ht="34.5" customHeight="1">
      <c r="A553" s="30" t="s">
        <v>142</v>
      </c>
      <c r="B553" s="31" t="s">
        <v>48</v>
      </c>
      <c r="C553" s="30" t="s">
        <v>144</v>
      </c>
      <c r="D553" s="30" t="s">
        <v>568</v>
      </c>
      <c r="E553" s="30" t="s">
        <v>139</v>
      </c>
      <c r="F553" s="30" t="s">
        <v>1469</v>
      </c>
      <c r="G553" s="30" t="s">
        <v>153</v>
      </c>
      <c r="H553" s="30">
        <v>561720</v>
      </c>
      <c r="I553" s="30" t="s">
        <v>67</v>
      </c>
      <c r="J553" s="30" t="s">
        <v>129</v>
      </c>
      <c r="K553" s="30" t="s">
        <v>44</v>
      </c>
      <c r="L553" s="30" t="s">
        <v>1449</v>
      </c>
      <c r="M553" s="39">
        <v>690000</v>
      </c>
      <c r="N553" s="39">
        <v>850000</v>
      </c>
      <c r="O553" s="30" t="s">
        <v>79</v>
      </c>
      <c r="P553" s="30" t="s">
        <v>1470</v>
      </c>
      <c r="Q553" s="129" t="s">
        <v>867</v>
      </c>
      <c r="R553" s="155" t="s">
        <v>80</v>
      </c>
      <c r="S553" s="41">
        <v>2014</v>
      </c>
      <c r="T553" s="31" t="s">
        <v>1466</v>
      </c>
      <c r="U553" s="31" t="s">
        <v>1467</v>
      </c>
      <c r="V553" s="30" t="s">
        <v>1471</v>
      </c>
      <c r="W553" s="30" t="s">
        <v>70</v>
      </c>
      <c r="X553" s="30" t="s">
        <v>302</v>
      </c>
      <c r="Y553" s="44">
        <v>41640</v>
      </c>
      <c r="Z553" s="44">
        <v>42400</v>
      </c>
      <c r="AA553" s="30"/>
    </row>
    <row r="554" spans="1:27" s="29" customFormat="1" ht="34.5" customHeight="1">
      <c r="A554" s="30" t="s">
        <v>142</v>
      </c>
      <c r="B554" s="31" t="s">
        <v>48</v>
      </c>
      <c r="C554" s="30" t="s">
        <v>144</v>
      </c>
      <c r="D554" s="30" t="s">
        <v>1472</v>
      </c>
      <c r="E554" s="30" t="s">
        <v>139</v>
      </c>
      <c r="F554" s="30" t="s">
        <v>1469</v>
      </c>
      <c r="G554" s="30" t="s">
        <v>153</v>
      </c>
      <c r="H554" s="30">
        <v>561720</v>
      </c>
      <c r="I554" s="129" t="s">
        <v>546</v>
      </c>
      <c r="J554" s="30" t="s">
        <v>129</v>
      </c>
      <c r="K554" s="30" t="s">
        <v>44</v>
      </c>
      <c r="L554" s="30" t="s">
        <v>1464</v>
      </c>
      <c r="M554" s="39">
        <v>98000</v>
      </c>
      <c r="N554" s="39">
        <v>110000</v>
      </c>
      <c r="O554" s="30" t="s">
        <v>79</v>
      </c>
      <c r="P554" s="30" t="s">
        <v>1465</v>
      </c>
      <c r="Q554" s="129" t="s">
        <v>867</v>
      </c>
      <c r="R554" s="30" t="s">
        <v>35</v>
      </c>
      <c r="S554" s="41">
        <v>2014</v>
      </c>
      <c r="T554" s="31" t="s">
        <v>1466</v>
      </c>
      <c r="U554" s="31" t="s">
        <v>1467</v>
      </c>
      <c r="V554" s="30" t="s">
        <v>1471</v>
      </c>
      <c r="W554" s="30" t="s">
        <v>70</v>
      </c>
      <c r="X554" s="30" t="s">
        <v>302</v>
      </c>
      <c r="Y554" s="44">
        <v>41912</v>
      </c>
      <c r="Z554" s="44">
        <v>42308</v>
      </c>
      <c r="AA554" s="30"/>
    </row>
    <row r="555" spans="1:27" s="29" customFormat="1" ht="34.5" customHeight="1">
      <c r="A555" s="30" t="s">
        <v>142</v>
      </c>
      <c r="B555" s="31" t="s">
        <v>48</v>
      </c>
      <c r="C555" s="30" t="s">
        <v>144</v>
      </c>
      <c r="D555" s="30" t="s">
        <v>856</v>
      </c>
      <c r="E555" s="30" t="s">
        <v>88</v>
      </c>
      <c r="F555" s="30" t="s">
        <v>857</v>
      </c>
      <c r="G555" s="30" t="s">
        <v>187</v>
      </c>
      <c r="H555" s="30">
        <v>561621</v>
      </c>
      <c r="I555" s="30" t="s">
        <v>67</v>
      </c>
      <c r="J555" s="30" t="s">
        <v>129</v>
      </c>
      <c r="K555" s="30" t="s">
        <v>44</v>
      </c>
      <c r="L555" s="30" t="s">
        <v>858</v>
      </c>
      <c r="M555" s="39">
        <v>83900</v>
      </c>
      <c r="N555" s="39">
        <v>85000</v>
      </c>
      <c r="O555" s="30" t="s">
        <v>79</v>
      </c>
      <c r="P555" s="30" t="s">
        <v>859</v>
      </c>
      <c r="Q555" s="129" t="s">
        <v>867</v>
      </c>
      <c r="R555" s="30" t="s">
        <v>100</v>
      </c>
      <c r="S555" s="41">
        <v>2014</v>
      </c>
      <c r="T555" s="31" t="s">
        <v>1461</v>
      </c>
      <c r="U555" s="31" t="s">
        <v>861</v>
      </c>
      <c r="V555" s="30" t="s">
        <v>862</v>
      </c>
      <c r="W555" s="30" t="s">
        <v>70</v>
      </c>
      <c r="X555" s="30" t="s">
        <v>302</v>
      </c>
      <c r="Y555" s="44">
        <v>41730</v>
      </c>
      <c r="Z555" s="44">
        <v>43982</v>
      </c>
      <c r="AA555" s="30"/>
    </row>
    <row r="556" spans="1:27" s="29" customFormat="1" ht="34.5" customHeight="1">
      <c r="A556" s="30" t="s">
        <v>142</v>
      </c>
      <c r="B556" s="31" t="s">
        <v>48</v>
      </c>
      <c r="C556" s="30" t="s">
        <v>144</v>
      </c>
      <c r="D556" s="30" t="s">
        <v>856</v>
      </c>
      <c r="E556" s="30" t="s">
        <v>88</v>
      </c>
      <c r="F556" s="30" t="s">
        <v>791</v>
      </c>
      <c r="G556" s="30" t="s">
        <v>183</v>
      </c>
      <c r="H556" s="30">
        <v>561621</v>
      </c>
      <c r="I556" s="30" t="s">
        <v>67</v>
      </c>
      <c r="J556" s="30" t="s">
        <v>129</v>
      </c>
      <c r="K556" s="30" t="s">
        <v>44</v>
      </c>
      <c r="L556" s="30" t="s">
        <v>858</v>
      </c>
      <c r="M556" s="39">
        <v>400000</v>
      </c>
      <c r="N556" s="39">
        <v>410000</v>
      </c>
      <c r="O556" s="30" t="s">
        <v>79</v>
      </c>
      <c r="P556" s="30" t="s">
        <v>859</v>
      </c>
      <c r="Q556" s="129" t="s">
        <v>867</v>
      </c>
      <c r="R556" s="30" t="s">
        <v>35</v>
      </c>
      <c r="S556" s="41">
        <v>2014</v>
      </c>
      <c r="T556" s="31" t="s">
        <v>1461</v>
      </c>
      <c r="U556" s="31" t="s">
        <v>861</v>
      </c>
      <c r="V556" s="30" t="s">
        <v>862</v>
      </c>
      <c r="W556" s="30" t="s">
        <v>70</v>
      </c>
      <c r="X556" s="30" t="s">
        <v>302</v>
      </c>
      <c r="Y556" s="44">
        <v>41852</v>
      </c>
      <c r="Z556" s="44">
        <v>44439</v>
      </c>
      <c r="AA556" s="30"/>
    </row>
    <row r="557" spans="1:27" s="29" customFormat="1" ht="34.5" customHeight="1">
      <c r="A557" s="30" t="s">
        <v>142</v>
      </c>
      <c r="B557" s="31" t="s">
        <v>48</v>
      </c>
      <c r="C557" s="30" t="s">
        <v>144</v>
      </c>
      <c r="D557" s="30" t="s">
        <v>1473</v>
      </c>
      <c r="E557" s="30" t="s">
        <v>139</v>
      </c>
      <c r="F557" s="30" t="s">
        <v>857</v>
      </c>
      <c r="G557" s="30" t="s">
        <v>187</v>
      </c>
      <c r="H557" s="30">
        <v>561720</v>
      </c>
      <c r="I557" s="30" t="s">
        <v>67</v>
      </c>
      <c r="J557" s="30" t="s">
        <v>129</v>
      </c>
      <c r="K557" s="30" t="s">
        <v>44</v>
      </c>
      <c r="L557" s="30" t="s">
        <v>858</v>
      </c>
      <c r="M557" s="39">
        <v>2100000</v>
      </c>
      <c r="N557" s="39">
        <v>2200000</v>
      </c>
      <c r="O557" s="30" t="s">
        <v>79</v>
      </c>
      <c r="P557" s="30" t="s">
        <v>1465</v>
      </c>
      <c r="Q557" s="129" t="s">
        <v>867</v>
      </c>
      <c r="R557" s="30" t="s">
        <v>100</v>
      </c>
      <c r="S557" s="41">
        <v>2014</v>
      </c>
      <c r="T557" s="31" t="s">
        <v>1461</v>
      </c>
      <c r="U557" s="31" t="s">
        <v>861</v>
      </c>
      <c r="V557" s="30" t="s">
        <v>862</v>
      </c>
      <c r="W557" s="30" t="s">
        <v>70</v>
      </c>
      <c r="X557" s="30" t="s">
        <v>302</v>
      </c>
      <c r="Y557" s="44">
        <v>41760</v>
      </c>
      <c r="Z557" s="44">
        <v>42185</v>
      </c>
      <c r="AA557" s="30"/>
    </row>
    <row r="558" spans="1:27" s="29" customFormat="1" ht="34.5" customHeight="1">
      <c r="A558" s="30" t="s">
        <v>142</v>
      </c>
      <c r="B558" s="31" t="s">
        <v>48</v>
      </c>
      <c r="C558" s="30" t="s">
        <v>144</v>
      </c>
      <c r="D558" s="30" t="s">
        <v>568</v>
      </c>
      <c r="E558" s="30" t="s">
        <v>139</v>
      </c>
      <c r="F558" s="30" t="s">
        <v>1474</v>
      </c>
      <c r="G558" s="30" t="s">
        <v>156</v>
      </c>
      <c r="H558" s="30">
        <v>561720</v>
      </c>
      <c r="I558" s="129" t="s">
        <v>546</v>
      </c>
      <c r="J558" s="30" t="s">
        <v>129</v>
      </c>
      <c r="K558" s="30" t="s">
        <v>44</v>
      </c>
      <c r="L558" s="30" t="s">
        <v>1464</v>
      </c>
      <c r="M558" s="39">
        <v>1702000</v>
      </c>
      <c r="N558" s="39">
        <v>1900000</v>
      </c>
      <c r="O558" s="30" t="s">
        <v>79</v>
      </c>
      <c r="P558" s="30" t="s">
        <v>1475</v>
      </c>
      <c r="Q558" s="129" t="s">
        <v>867</v>
      </c>
      <c r="R558" s="30" t="s">
        <v>35</v>
      </c>
      <c r="S558" s="41">
        <v>2014</v>
      </c>
      <c r="T558" s="31" t="s">
        <v>1476</v>
      </c>
      <c r="U558" s="31" t="s">
        <v>1477</v>
      </c>
      <c r="V558" s="30" t="s">
        <v>1478</v>
      </c>
      <c r="W558" s="30" t="s">
        <v>70</v>
      </c>
      <c r="X558" s="30" t="s">
        <v>302</v>
      </c>
      <c r="Y558" s="44">
        <v>41882</v>
      </c>
      <c r="Z558" s="44">
        <v>43008</v>
      </c>
      <c r="AA558" s="30"/>
    </row>
    <row r="559" spans="1:27" s="29" customFormat="1" ht="34.5" customHeight="1">
      <c r="A559" s="30" t="s">
        <v>142</v>
      </c>
      <c r="B559" s="31" t="s">
        <v>48</v>
      </c>
      <c r="C559" s="30" t="s">
        <v>144</v>
      </c>
      <c r="D559" s="30" t="s">
        <v>568</v>
      </c>
      <c r="E559" s="30" t="s">
        <v>139</v>
      </c>
      <c r="F559" s="30" t="s">
        <v>1479</v>
      </c>
      <c r="G559" s="30" t="s">
        <v>156</v>
      </c>
      <c r="H559" s="30">
        <v>561720</v>
      </c>
      <c r="I559" s="129" t="s">
        <v>546</v>
      </c>
      <c r="J559" s="30" t="s">
        <v>129</v>
      </c>
      <c r="K559" s="30" t="s">
        <v>44</v>
      </c>
      <c r="L559" s="30" t="s">
        <v>1464</v>
      </c>
      <c r="M559" s="39">
        <v>1375000</v>
      </c>
      <c r="N559" s="39">
        <v>1550000</v>
      </c>
      <c r="O559" s="30" t="s">
        <v>79</v>
      </c>
      <c r="P559" s="30" t="s">
        <v>1480</v>
      </c>
      <c r="Q559" s="129" t="s">
        <v>867</v>
      </c>
      <c r="R559" s="155" t="s">
        <v>80</v>
      </c>
      <c r="S559" s="41">
        <v>2014</v>
      </c>
      <c r="T559" s="31" t="s">
        <v>1476</v>
      </c>
      <c r="U559" s="31" t="s">
        <v>1477</v>
      </c>
      <c r="V559" s="30" t="s">
        <v>1478</v>
      </c>
      <c r="W559" s="30" t="s">
        <v>70</v>
      </c>
      <c r="X559" s="30" t="s">
        <v>302</v>
      </c>
      <c r="Y559" s="44">
        <v>41729</v>
      </c>
      <c r="Z559" s="44">
        <v>42855</v>
      </c>
      <c r="AA559" s="30"/>
    </row>
    <row r="560" spans="1:27" s="29" customFormat="1" ht="34.5" customHeight="1">
      <c r="A560" s="30" t="s">
        <v>142</v>
      </c>
      <c r="B560" s="31" t="s">
        <v>48</v>
      </c>
      <c r="C560" s="30" t="s">
        <v>144</v>
      </c>
      <c r="D560" s="30" t="s">
        <v>1472</v>
      </c>
      <c r="E560" s="30" t="s">
        <v>88</v>
      </c>
      <c r="F560" s="30" t="s">
        <v>1481</v>
      </c>
      <c r="G560" s="30" t="s">
        <v>156</v>
      </c>
      <c r="H560" s="30">
        <v>561210</v>
      </c>
      <c r="I560" s="129" t="s">
        <v>546</v>
      </c>
      <c r="J560" s="30" t="s">
        <v>129</v>
      </c>
      <c r="K560" s="30" t="s">
        <v>44</v>
      </c>
      <c r="L560" s="30" t="s">
        <v>1464</v>
      </c>
      <c r="M560" s="39">
        <v>200000</v>
      </c>
      <c r="N560" s="39">
        <v>225000</v>
      </c>
      <c r="O560" s="30" t="s">
        <v>79</v>
      </c>
      <c r="P560" s="30" t="s">
        <v>1465</v>
      </c>
      <c r="Q560" s="129" t="s">
        <v>867</v>
      </c>
      <c r="R560" s="30" t="s">
        <v>100</v>
      </c>
      <c r="S560" s="41">
        <v>2014</v>
      </c>
      <c r="T560" s="31" t="s">
        <v>1476</v>
      </c>
      <c r="U560" s="31" t="s">
        <v>1477</v>
      </c>
      <c r="V560" s="30" t="s">
        <v>1478</v>
      </c>
      <c r="W560" s="30" t="s">
        <v>70</v>
      </c>
      <c r="X560" s="30" t="s">
        <v>302</v>
      </c>
      <c r="Y560" s="44">
        <v>41790</v>
      </c>
      <c r="Z560" s="44">
        <v>42551</v>
      </c>
      <c r="AA560" s="30"/>
    </row>
    <row r="561" spans="1:27" s="29" customFormat="1" ht="34.5" customHeight="1">
      <c r="A561" s="30" t="s">
        <v>142</v>
      </c>
      <c r="B561" s="31" t="s">
        <v>48</v>
      </c>
      <c r="C561" s="30" t="s">
        <v>144</v>
      </c>
      <c r="D561" s="30" t="s">
        <v>1081</v>
      </c>
      <c r="E561" s="30" t="s">
        <v>88</v>
      </c>
      <c r="F561" s="30" t="s">
        <v>1482</v>
      </c>
      <c r="G561" s="30" t="s">
        <v>156</v>
      </c>
      <c r="H561" s="30">
        <v>238290</v>
      </c>
      <c r="I561" s="30" t="s">
        <v>98</v>
      </c>
      <c r="J561" s="30" t="s">
        <v>129</v>
      </c>
      <c r="K561" s="30" t="s">
        <v>44</v>
      </c>
      <c r="L561" s="30" t="s">
        <v>98</v>
      </c>
      <c r="M561" s="39">
        <v>5600000</v>
      </c>
      <c r="N561" s="45" t="s">
        <v>1483</v>
      </c>
      <c r="O561" s="30" t="s">
        <v>79</v>
      </c>
      <c r="P561" s="30" t="s">
        <v>1484</v>
      </c>
      <c r="Q561" s="129" t="s">
        <v>867</v>
      </c>
      <c r="R561" s="155" t="s">
        <v>80</v>
      </c>
      <c r="S561" s="41">
        <v>2014</v>
      </c>
      <c r="T561" s="31" t="s">
        <v>1476</v>
      </c>
      <c r="U561" s="31" t="s">
        <v>1477</v>
      </c>
      <c r="V561" s="30" t="s">
        <v>1478</v>
      </c>
      <c r="W561" s="30" t="s">
        <v>70</v>
      </c>
      <c r="X561" s="30" t="s">
        <v>302</v>
      </c>
      <c r="Y561" s="44">
        <v>41698</v>
      </c>
      <c r="Z561" s="44">
        <v>43524</v>
      </c>
      <c r="AA561" s="30"/>
    </row>
    <row r="562" spans="1:27" s="29" customFormat="1" ht="34.5" customHeight="1">
      <c r="A562" s="30" t="s">
        <v>142</v>
      </c>
      <c r="B562" s="31" t="s">
        <v>48</v>
      </c>
      <c r="C562" s="30" t="s">
        <v>144</v>
      </c>
      <c r="D562" s="30" t="s">
        <v>1081</v>
      </c>
      <c r="E562" s="30" t="s">
        <v>88</v>
      </c>
      <c r="F562" s="30" t="s">
        <v>1485</v>
      </c>
      <c r="G562" s="30" t="s">
        <v>153</v>
      </c>
      <c r="H562" s="30">
        <v>561210</v>
      </c>
      <c r="I562" s="30" t="s">
        <v>67</v>
      </c>
      <c r="J562" s="30" t="s">
        <v>129</v>
      </c>
      <c r="K562" s="30" t="s">
        <v>44</v>
      </c>
      <c r="L562" s="30" t="s">
        <v>858</v>
      </c>
      <c r="M562" s="39">
        <v>4900000</v>
      </c>
      <c r="N562" s="39">
        <v>5400000</v>
      </c>
      <c r="O562" s="30" t="s">
        <v>79</v>
      </c>
      <c r="P562" s="30" t="s">
        <v>1456</v>
      </c>
      <c r="Q562" s="129" t="s">
        <v>867</v>
      </c>
      <c r="R562" s="30" t="s">
        <v>35</v>
      </c>
      <c r="S562" s="41">
        <v>2014</v>
      </c>
      <c r="T562" s="31" t="s">
        <v>1476</v>
      </c>
      <c r="U562" s="31" t="s">
        <v>1477</v>
      </c>
      <c r="V562" s="30" t="s">
        <v>1478</v>
      </c>
      <c r="W562" s="30" t="s">
        <v>70</v>
      </c>
      <c r="X562" s="30" t="s">
        <v>302</v>
      </c>
      <c r="Y562" s="44">
        <v>41882</v>
      </c>
      <c r="Z562" s="44">
        <v>44104</v>
      </c>
      <c r="AA562" s="30"/>
    </row>
    <row r="563" spans="1:27" s="29" customFormat="1" ht="34.5" customHeight="1">
      <c r="A563" s="30" t="s">
        <v>142</v>
      </c>
      <c r="B563" s="31" t="s">
        <v>48</v>
      </c>
      <c r="C563" s="30" t="s">
        <v>144</v>
      </c>
      <c r="D563" s="30" t="s">
        <v>568</v>
      </c>
      <c r="E563" s="30" t="s">
        <v>139</v>
      </c>
      <c r="F563" s="30" t="s">
        <v>1486</v>
      </c>
      <c r="G563" s="30" t="s">
        <v>183</v>
      </c>
      <c r="H563" s="30">
        <v>561720</v>
      </c>
      <c r="I563" s="30" t="s">
        <v>67</v>
      </c>
      <c r="J563" s="30" t="s">
        <v>129</v>
      </c>
      <c r="K563" s="30" t="s">
        <v>44</v>
      </c>
      <c r="L563" s="30" t="s">
        <v>1449</v>
      </c>
      <c r="M563" s="39">
        <v>2500000</v>
      </c>
      <c r="N563" s="39">
        <v>3400000</v>
      </c>
      <c r="O563" s="30" t="s">
        <v>79</v>
      </c>
      <c r="P563" s="30" t="s">
        <v>1487</v>
      </c>
      <c r="Q563" s="129" t="s">
        <v>867</v>
      </c>
      <c r="R563" s="30" t="s">
        <v>35</v>
      </c>
      <c r="S563" s="41">
        <v>2014</v>
      </c>
      <c r="T563" s="31" t="s">
        <v>1488</v>
      </c>
      <c r="U563" s="31" t="s">
        <v>1489</v>
      </c>
      <c r="V563" s="30" t="s">
        <v>1490</v>
      </c>
      <c r="W563" s="30" t="s">
        <v>70</v>
      </c>
      <c r="X563" s="30" t="s">
        <v>302</v>
      </c>
      <c r="Y563" s="44">
        <v>41883</v>
      </c>
      <c r="Z563" s="44">
        <v>43343</v>
      </c>
      <c r="AA563" s="30"/>
    </row>
    <row r="564" spans="1:27" s="29" customFormat="1" ht="34.5" customHeight="1">
      <c r="A564" s="30" t="s">
        <v>142</v>
      </c>
      <c r="B564" s="31" t="s">
        <v>48</v>
      </c>
      <c r="C564" s="30" t="s">
        <v>144</v>
      </c>
      <c r="D564" s="30" t="s">
        <v>568</v>
      </c>
      <c r="E564" s="30" t="s">
        <v>139</v>
      </c>
      <c r="F564" s="30" t="s">
        <v>1491</v>
      </c>
      <c r="G564" s="30" t="s">
        <v>153</v>
      </c>
      <c r="H564" s="30">
        <v>561720</v>
      </c>
      <c r="I564" s="30" t="s">
        <v>98</v>
      </c>
      <c r="J564" s="30" t="s">
        <v>129</v>
      </c>
      <c r="K564" s="30" t="s">
        <v>44</v>
      </c>
      <c r="L564" s="30" t="s">
        <v>1492</v>
      </c>
      <c r="M564" s="39">
        <v>2000000</v>
      </c>
      <c r="N564" s="39">
        <v>2400000</v>
      </c>
      <c r="O564" s="30" t="s">
        <v>79</v>
      </c>
      <c r="P564" s="30" t="s">
        <v>1493</v>
      </c>
      <c r="Q564" s="129" t="s">
        <v>867</v>
      </c>
      <c r="R564" s="30" t="s">
        <v>35</v>
      </c>
      <c r="S564" s="41">
        <v>2014</v>
      </c>
      <c r="T564" s="31" t="s">
        <v>1488</v>
      </c>
      <c r="U564" s="31" t="s">
        <v>1489</v>
      </c>
      <c r="V564" s="30" t="s">
        <v>1490</v>
      </c>
      <c r="W564" s="30" t="s">
        <v>70</v>
      </c>
      <c r="X564" s="30" t="s">
        <v>302</v>
      </c>
      <c r="Y564" s="44">
        <v>41913</v>
      </c>
      <c r="Z564" s="44">
        <v>42277</v>
      </c>
      <c r="AA564" s="30"/>
    </row>
    <row r="565" spans="1:27" s="29" customFormat="1" ht="34.5" customHeight="1">
      <c r="A565" s="30" t="s">
        <v>142</v>
      </c>
      <c r="B565" s="31" t="s">
        <v>48</v>
      </c>
      <c r="C565" s="30" t="s">
        <v>144</v>
      </c>
      <c r="D565" s="30" t="s">
        <v>1081</v>
      </c>
      <c r="E565" s="30" t="s">
        <v>88</v>
      </c>
      <c r="F565" s="30" t="s">
        <v>1469</v>
      </c>
      <c r="G565" s="30" t="s">
        <v>153</v>
      </c>
      <c r="H565" s="30">
        <v>561210</v>
      </c>
      <c r="I565" s="30" t="s">
        <v>67</v>
      </c>
      <c r="J565" s="30" t="s">
        <v>129</v>
      </c>
      <c r="K565" s="30" t="s">
        <v>44</v>
      </c>
      <c r="L565" s="30" t="s">
        <v>61</v>
      </c>
      <c r="M565" s="39">
        <v>8300000</v>
      </c>
      <c r="N565" s="39">
        <v>9500000</v>
      </c>
      <c r="O565" s="30" t="s">
        <v>79</v>
      </c>
      <c r="P565" s="30" t="s">
        <v>1494</v>
      </c>
      <c r="Q565" s="129" t="s">
        <v>867</v>
      </c>
      <c r="R565" s="155" t="s">
        <v>80</v>
      </c>
      <c r="S565" s="41">
        <v>2014</v>
      </c>
      <c r="T565" s="31" t="s">
        <v>1488</v>
      </c>
      <c r="U565" s="31" t="s">
        <v>1489</v>
      </c>
      <c r="V565" s="30" t="s">
        <v>1490</v>
      </c>
      <c r="W565" s="30" t="s">
        <v>70</v>
      </c>
      <c r="X565" s="30" t="s">
        <v>302</v>
      </c>
      <c r="Y565" s="44">
        <v>41699</v>
      </c>
      <c r="Z565" s="44">
        <v>44255</v>
      </c>
      <c r="AA565" s="30"/>
    </row>
    <row r="566" spans="1:27" s="29" customFormat="1" ht="34.5" customHeight="1">
      <c r="A566" s="30" t="s">
        <v>142</v>
      </c>
      <c r="B566" s="31" t="s">
        <v>48</v>
      </c>
      <c r="C566" s="30" t="s">
        <v>144</v>
      </c>
      <c r="D566" s="30" t="s">
        <v>1081</v>
      </c>
      <c r="E566" s="30" t="s">
        <v>88</v>
      </c>
      <c r="F566" s="30" t="s">
        <v>1495</v>
      </c>
      <c r="G566" s="30" t="s">
        <v>153</v>
      </c>
      <c r="H566" s="30">
        <v>561210</v>
      </c>
      <c r="I566" s="30" t="s">
        <v>98</v>
      </c>
      <c r="J566" s="30" t="s">
        <v>129</v>
      </c>
      <c r="K566" s="30" t="s">
        <v>44</v>
      </c>
      <c r="L566" s="30" t="s">
        <v>61</v>
      </c>
      <c r="M566" s="39">
        <v>1800000</v>
      </c>
      <c r="N566" s="39">
        <v>2600000</v>
      </c>
      <c r="O566" s="30" t="s">
        <v>79</v>
      </c>
      <c r="P566" s="30" t="s">
        <v>1133</v>
      </c>
      <c r="Q566" s="129" t="s">
        <v>867</v>
      </c>
      <c r="R566" s="30" t="s">
        <v>35</v>
      </c>
      <c r="S566" s="41">
        <v>2014</v>
      </c>
      <c r="T566" s="31" t="s">
        <v>1488</v>
      </c>
      <c r="U566" s="31" t="s">
        <v>1489</v>
      </c>
      <c r="V566" s="30" t="s">
        <v>1490</v>
      </c>
      <c r="W566" s="30" t="s">
        <v>70</v>
      </c>
      <c r="X566" s="30" t="s">
        <v>302</v>
      </c>
      <c r="Y566" s="44">
        <v>41913</v>
      </c>
      <c r="Z566" s="44">
        <v>42643</v>
      </c>
      <c r="AA566" s="30"/>
    </row>
    <row r="567" spans="1:27" s="29" customFormat="1" ht="34.5" customHeight="1">
      <c r="A567" s="30" t="s">
        <v>142</v>
      </c>
      <c r="B567" s="31" t="s">
        <v>48</v>
      </c>
      <c r="C567" s="30" t="s">
        <v>144</v>
      </c>
      <c r="D567" s="30" t="s">
        <v>1496</v>
      </c>
      <c r="E567" s="30" t="s">
        <v>139</v>
      </c>
      <c r="F567" s="30" t="s">
        <v>1497</v>
      </c>
      <c r="G567" s="30" t="s">
        <v>183</v>
      </c>
      <c r="H567" s="30">
        <v>561730</v>
      </c>
      <c r="I567" s="30" t="s">
        <v>98</v>
      </c>
      <c r="J567" s="30" t="s">
        <v>129</v>
      </c>
      <c r="K567" s="30" t="s">
        <v>44</v>
      </c>
      <c r="L567" s="30" t="s">
        <v>1492</v>
      </c>
      <c r="M567" s="39">
        <v>600000</v>
      </c>
      <c r="N567" s="39">
        <v>665000</v>
      </c>
      <c r="O567" s="30" t="s">
        <v>79</v>
      </c>
      <c r="P567" s="30" t="s">
        <v>1498</v>
      </c>
      <c r="Q567" s="129" t="s">
        <v>867</v>
      </c>
      <c r="R567" s="155" t="s">
        <v>80</v>
      </c>
      <c r="S567" s="41">
        <v>2014</v>
      </c>
      <c r="T567" s="31" t="s">
        <v>1488</v>
      </c>
      <c r="U567" s="31" t="s">
        <v>1489</v>
      </c>
      <c r="V567" s="30" t="s">
        <v>1490</v>
      </c>
      <c r="W567" s="30" t="s">
        <v>70</v>
      </c>
      <c r="X567" s="30" t="s">
        <v>302</v>
      </c>
      <c r="Y567" s="44">
        <v>41699</v>
      </c>
      <c r="Z567" s="44">
        <v>42063</v>
      </c>
      <c r="AA567" s="30"/>
    </row>
    <row r="568" spans="1:27" s="29" customFormat="1" ht="34.5" customHeight="1">
      <c r="A568" s="30" t="s">
        <v>142</v>
      </c>
      <c r="B568" s="31" t="s">
        <v>48</v>
      </c>
      <c r="C568" s="30" t="s">
        <v>29</v>
      </c>
      <c r="D568" s="30" t="s">
        <v>1499</v>
      </c>
      <c r="E568" s="30" t="s">
        <v>139</v>
      </c>
      <c r="F568" s="30" t="s">
        <v>791</v>
      </c>
      <c r="G568" s="30" t="s">
        <v>183</v>
      </c>
      <c r="H568" s="30">
        <v>562111</v>
      </c>
      <c r="I568" s="30" t="s">
        <v>67</v>
      </c>
      <c r="J568" s="30" t="s">
        <v>129</v>
      </c>
      <c r="K568" s="30" t="s">
        <v>53</v>
      </c>
      <c r="L568" s="30" t="s">
        <v>858</v>
      </c>
      <c r="M568" s="39">
        <v>160000</v>
      </c>
      <c r="N568" s="39">
        <v>238000</v>
      </c>
      <c r="O568" s="30" t="s">
        <v>79</v>
      </c>
      <c r="P568" s="30" t="s">
        <v>1500</v>
      </c>
      <c r="Q568" s="30" t="s">
        <v>294</v>
      </c>
      <c r="R568" s="155" t="s">
        <v>80</v>
      </c>
      <c r="S568" s="41">
        <v>2014</v>
      </c>
      <c r="T568" s="31" t="s">
        <v>1488</v>
      </c>
      <c r="U568" s="31" t="s">
        <v>1489</v>
      </c>
      <c r="V568" s="30" t="s">
        <v>1490</v>
      </c>
      <c r="W568" s="30" t="s">
        <v>70</v>
      </c>
      <c r="X568" s="44">
        <v>41647</v>
      </c>
      <c r="Y568" s="44">
        <v>41730</v>
      </c>
      <c r="Z568" s="44">
        <v>43555</v>
      </c>
      <c r="AA568" s="30"/>
    </row>
    <row r="569" spans="1:27" s="29" customFormat="1" ht="34.5" customHeight="1">
      <c r="A569" s="30" t="s">
        <v>142</v>
      </c>
      <c r="B569" s="31" t="s">
        <v>48</v>
      </c>
      <c r="C569" s="30" t="s">
        <v>144</v>
      </c>
      <c r="D569" s="30" t="s">
        <v>568</v>
      </c>
      <c r="E569" s="30" t="s">
        <v>139</v>
      </c>
      <c r="F569" s="30" t="s">
        <v>1501</v>
      </c>
      <c r="G569" s="30" t="s">
        <v>187</v>
      </c>
      <c r="H569" s="30">
        <v>561720</v>
      </c>
      <c r="I569" s="30" t="s">
        <v>67</v>
      </c>
      <c r="J569" s="30" t="s">
        <v>129</v>
      </c>
      <c r="K569" s="30" t="s">
        <v>44</v>
      </c>
      <c r="L569" s="30" t="s">
        <v>1502</v>
      </c>
      <c r="M569" s="39">
        <v>552000</v>
      </c>
      <c r="N569" s="39">
        <v>3000000</v>
      </c>
      <c r="O569" s="30" t="s">
        <v>79</v>
      </c>
      <c r="P569" s="30" t="s">
        <v>1503</v>
      </c>
      <c r="Q569" s="129" t="s">
        <v>867</v>
      </c>
      <c r="R569" s="30" t="s">
        <v>100</v>
      </c>
      <c r="S569" s="41">
        <v>2014</v>
      </c>
      <c r="T569" s="31" t="s">
        <v>1440</v>
      </c>
      <c r="U569" s="31">
        <v>8169266905</v>
      </c>
      <c r="V569" s="30" t="s">
        <v>1442</v>
      </c>
      <c r="W569" s="30" t="s">
        <v>70</v>
      </c>
      <c r="X569" s="30" t="s">
        <v>302</v>
      </c>
      <c r="Y569" s="44">
        <v>41730</v>
      </c>
      <c r="Z569" s="44">
        <v>43190</v>
      </c>
      <c r="AA569" s="30"/>
    </row>
    <row r="570" spans="1:27" s="29" customFormat="1" ht="34.5" customHeight="1">
      <c r="A570" s="30" t="s">
        <v>142</v>
      </c>
      <c r="B570" s="31" t="s">
        <v>48</v>
      </c>
      <c r="C570" s="30" t="s">
        <v>144</v>
      </c>
      <c r="D570" s="30" t="s">
        <v>568</v>
      </c>
      <c r="E570" s="30" t="s">
        <v>139</v>
      </c>
      <c r="F570" s="30" t="s">
        <v>791</v>
      </c>
      <c r="G570" s="30" t="s">
        <v>183</v>
      </c>
      <c r="H570" s="30">
        <v>561720</v>
      </c>
      <c r="I570" s="129" t="s">
        <v>546</v>
      </c>
      <c r="J570" s="30" t="s">
        <v>129</v>
      </c>
      <c r="K570" s="30" t="s">
        <v>44</v>
      </c>
      <c r="L570" s="30" t="s">
        <v>1504</v>
      </c>
      <c r="M570" s="39">
        <v>150000</v>
      </c>
      <c r="N570" s="39">
        <v>600000</v>
      </c>
      <c r="O570" s="30" t="s">
        <v>79</v>
      </c>
      <c r="P570" s="30" t="s">
        <v>1465</v>
      </c>
      <c r="Q570" s="129" t="s">
        <v>867</v>
      </c>
      <c r="R570" s="30" t="s">
        <v>35</v>
      </c>
      <c r="S570" s="41">
        <v>2014</v>
      </c>
      <c r="T570" s="31" t="s">
        <v>1440</v>
      </c>
      <c r="U570" s="31">
        <v>8169266905</v>
      </c>
      <c r="V570" s="30" t="s">
        <v>1442</v>
      </c>
      <c r="W570" s="30" t="s">
        <v>70</v>
      </c>
      <c r="X570" s="30" t="s">
        <v>302</v>
      </c>
      <c r="Y570" s="44">
        <v>41821</v>
      </c>
      <c r="Z570" s="44">
        <v>42551</v>
      </c>
      <c r="AA570" s="30"/>
    </row>
    <row r="571" spans="1:27" s="29" customFormat="1" ht="34.5" customHeight="1">
      <c r="A571" s="30" t="s">
        <v>142</v>
      </c>
      <c r="B571" s="31" t="s">
        <v>48</v>
      </c>
      <c r="C571" s="30" t="s">
        <v>144</v>
      </c>
      <c r="D571" s="30" t="s">
        <v>568</v>
      </c>
      <c r="E571" s="30" t="s">
        <v>139</v>
      </c>
      <c r="F571" s="30" t="s">
        <v>1495</v>
      </c>
      <c r="G571" s="30" t="s">
        <v>153</v>
      </c>
      <c r="H571" s="30">
        <v>561720</v>
      </c>
      <c r="I571" s="129" t="s">
        <v>546</v>
      </c>
      <c r="J571" s="30" t="s">
        <v>129</v>
      </c>
      <c r="K571" s="30" t="s">
        <v>44</v>
      </c>
      <c r="L571" s="30" t="s">
        <v>1504</v>
      </c>
      <c r="M571" s="39">
        <v>1000000</v>
      </c>
      <c r="N571" s="39">
        <v>2750000</v>
      </c>
      <c r="O571" s="30" t="s">
        <v>79</v>
      </c>
      <c r="P571" s="30" t="s">
        <v>1475</v>
      </c>
      <c r="Q571" s="129" t="s">
        <v>867</v>
      </c>
      <c r="R571" s="30" t="s">
        <v>35</v>
      </c>
      <c r="S571" s="41">
        <v>2014</v>
      </c>
      <c r="T571" s="31" t="s">
        <v>1440</v>
      </c>
      <c r="U571" s="31">
        <v>8169266905</v>
      </c>
      <c r="V571" s="30" t="s">
        <v>1442</v>
      </c>
      <c r="W571" s="30" t="s">
        <v>70</v>
      </c>
      <c r="X571" s="30" t="s">
        <v>302</v>
      </c>
      <c r="Y571" s="44">
        <v>41821</v>
      </c>
      <c r="Z571" s="44">
        <v>42916</v>
      </c>
      <c r="AA571" s="30"/>
    </row>
    <row r="572" spans="1:27" s="29" customFormat="1" ht="34.5" customHeight="1">
      <c r="A572" s="30" t="s">
        <v>142</v>
      </c>
      <c r="B572" s="31" t="s">
        <v>48</v>
      </c>
      <c r="C572" s="30" t="s">
        <v>144</v>
      </c>
      <c r="D572" s="30" t="s">
        <v>1081</v>
      </c>
      <c r="E572" s="30" t="s">
        <v>88</v>
      </c>
      <c r="F572" s="30" t="s">
        <v>791</v>
      </c>
      <c r="G572" s="30" t="s">
        <v>183</v>
      </c>
      <c r="H572" s="30">
        <v>561210</v>
      </c>
      <c r="I572" s="30" t="s">
        <v>98</v>
      </c>
      <c r="J572" s="30" t="s">
        <v>129</v>
      </c>
      <c r="K572" s="30" t="s">
        <v>44</v>
      </c>
      <c r="L572" s="30" t="s">
        <v>61</v>
      </c>
      <c r="M572" s="39">
        <v>1000000</v>
      </c>
      <c r="N572" s="39">
        <v>2000000</v>
      </c>
      <c r="O572" s="30" t="s">
        <v>79</v>
      </c>
      <c r="P572" s="30" t="s">
        <v>1505</v>
      </c>
      <c r="Q572" s="129" t="s">
        <v>867</v>
      </c>
      <c r="R572" s="30" t="s">
        <v>35</v>
      </c>
      <c r="S572" s="41">
        <v>2014</v>
      </c>
      <c r="T572" s="31" t="s">
        <v>1440</v>
      </c>
      <c r="U572" s="31">
        <v>8169266905</v>
      </c>
      <c r="V572" s="30" t="s">
        <v>1442</v>
      </c>
      <c r="W572" s="30" t="s">
        <v>70</v>
      </c>
      <c r="X572" s="30" t="s">
        <v>302</v>
      </c>
      <c r="Y572" s="44">
        <v>41852</v>
      </c>
      <c r="Z572" s="44">
        <v>43312</v>
      </c>
      <c r="AA572" s="30"/>
    </row>
    <row r="573" spans="1:27" s="29" customFormat="1" ht="34.5" customHeight="1">
      <c r="A573" s="30" t="s">
        <v>142</v>
      </c>
      <c r="B573" s="31" t="s">
        <v>48</v>
      </c>
      <c r="C573" s="30" t="s">
        <v>144</v>
      </c>
      <c r="D573" s="30" t="s">
        <v>1081</v>
      </c>
      <c r="E573" s="30" t="s">
        <v>88</v>
      </c>
      <c r="F573" s="30" t="s">
        <v>857</v>
      </c>
      <c r="G573" s="30" t="s">
        <v>187</v>
      </c>
      <c r="H573" s="30">
        <v>561210</v>
      </c>
      <c r="I573" s="30" t="s">
        <v>98</v>
      </c>
      <c r="J573" s="30" t="s">
        <v>129</v>
      </c>
      <c r="K573" s="30" t="s">
        <v>44</v>
      </c>
      <c r="L573" s="30" t="s">
        <v>61</v>
      </c>
      <c r="M573" s="39">
        <v>2800000</v>
      </c>
      <c r="N573" s="39">
        <v>7500000</v>
      </c>
      <c r="O573" s="30" t="s">
        <v>79</v>
      </c>
      <c r="P573" s="30" t="s">
        <v>1456</v>
      </c>
      <c r="Q573" s="129" t="s">
        <v>867</v>
      </c>
      <c r="R573" s="30" t="s">
        <v>100</v>
      </c>
      <c r="S573" s="41">
        <v>2014</v>
      </c>
      <c r="T573" s="31" t="s">
        <v>1440</v>
      </c>
      <c r="U573" s="31">
        <v>8169266905</v>
      </c>
      <c r="V573" s="30" t="s">
        <v>1442</v>
      </c>
      <c r="W573" s="30" t="s">
        <v>70</v>
      </c>
      <c r="X573" s="30" t="s">
        <v>302</v>
      </c>
      <c r="Y573" s="44">
        <v>41730</v>
      </c>
      <c r="Z573" s="44">
        <v>43921</v>
      </c>
      <c r="AA573" s="30"/>
    </row>
    <row r="574" spans="1:27" s="29" customFormat="1" ht="34.5" customHeight="1">
      <c r="A574" s="30" t="s">
        <v>142</v>
      </c>
      <c r="B574" s="31" t="s">
        <v>48</v>
      </c>
      <c r="C574" s="30" t="s">
        <v>144</v>
      </c>
      <c r="D574" s="30" t="s">
        <v>1081</v>
      </c>
      <c r="E574" s="30" t="s">
        <v>88</v>
      </c>
      <c r="F574" s="30" t="s">
        <v>791</v>
      </c>
      <c r="G574" s="30" t="s">
        <v>156</v>
      </c>
      <c r="H574" s="30">
        <v>561210</v>
      </c>
      <c r="I574" s="30" t="s">
        <v>98</v>
      </c>
      <c r="J574" s="30" t="s">
        <v>129</v>
      </c>
      <c r="K574" s="30" t="s">
        <v>44</v>
      </c>
      <c r="L574" s="30" t="s">
        <v>61</v>
      </c>
      <c r="M574" s="39">
        <v>3250000</v>
      </c>
      <c r="N574" s="39">
        <v>6000000</v>
      </c>
      <c r="O574" s="30" t="s">
        <v>79</v>
      </c>
      <c r="P574" s="30" t="s">
        <v>1133</v>
      </c>
      <c r="Q574" s="129" t="s">
        <v>867</v>
      </c>
      <c r="R574" s="30" t="s">
        <v>150</v>
      </c>
      <c r="S574" s="41">
        <v>2014</v>
      </c>
      <c r="T574" s="31" t="s">
        <v>1440</v>
      </c>
      <c r="U574" s="31">
        <v>8169266905</v>
      </c>
      <c r="V574" s="30" t="s">
        <v>1442</v>
      </c>
      <c r="W574" s="30" t="s">
        <v>70</v>
      </c>
      <c r="X574" s="30" t="s">
        <v>302</v>
      </c>
      <c r="Y574" s="44">
        <v>41609</v>
      </c>
      <c r="Z574" s="44">
        <v>43434</v>
      </c>
      <c r="AA574" s="30"/>
    </row>
    <row r="575" spans="1:27" s="29" customFormat="1" ht="34.5" customHeight="1">
      <c r="A575" s="30" t="s">
        <v>142</v>
      </c>
      <c r="B575" s="31" t="s">
        <v>48</v>
      </c>
      <c r="C575" s="30" t="s">
        <v>29</v>
      </c>
      <c r="D575" s="30" t="s">
        <v>1506</v>
      </c>
      <c r="E575" s="30" t="s">
        <v>139</v>
      </c>
      <c r="F575" s="30" t="s">
        <v>791</v>
      </c>
      <c r="G575" s="30" t="s">
        <v>183</v>
      </c>
      <c r="H575" s="30">
        <v>562111</v>
      </c>
      <c r="I575" s="30" t="s">
        <v>67</v>
      </c>
      <c r="J575" s="30" t="s">
        <v>129</v>
      </c>
      <c r="K575" s="30" t="s">
        <v>44</v>
      </c>
      <c r="L575" s="30" t="s">
        <v>317</v>
      </c>
      <c r="M575" s="39">
        <v>90000</v>
      </c>
      <c r="N575" s="39">
        <v>120000</v>
      </c>
      <c r="O575" s="30" t="s">
        <v>79</v>
      </c>
      <c r="P575" s="30" t="s">
        <v>1507</v>
      </c>
      <c r="Q575" s="30" t="s">
        <v>1508</v>
      </c>
      <c r="R575" s="30" t="s">
        <v>35</v>
      </c>
      <c r="S575" s="41">
        <v>2014</v>
      </c>
      <c r="T575" s="31" t="s">
        <v>1509</v>
      </c>
      <c r="U575" s="31" t="s">
        <v>1510</v>
      </c>
      <c r="V575" s="30" t="s">
        <v>1511</v>
      </c>
      <c r="W575" s="30" t="s">
        <v>70</v>
      </c>
      <c r="X575" s="44">
        <v>41790</v>
      </c>
      <c r="Y575" s="44">
        <v>41851</v>
      </c>
      <c r="Z575" s="44">
        <v>43708</v>
      </c>
      <c r="AA575" s="30"/>
    </row>
    <row r="576" spans="1:27" s="29" customFormat="1" ht="34.5" customHeight="1">
      <c r="A576" s="30" t="s">
        <v>142</v>
      </c>
      <c r="B576" s="31" t="s">
        <v>48</v>
      </c>
      <c r="C576" s="30" t="s">
        <v>29</v>
      </c>
      <c r="D576" s="30" t="s">
        <v>1512</v>
      </c>
      <c r="E576" s="30" t="s">
        <v>139</v>
      </c>
      <c r="F576" s="30" t="s">
        <v>791</v>
      </c>
      <c r="G576" s="30" t="s">
        <v>183</v>
      </c>
      <c r="H576" s="30">
        <v>561730</v>
      </c>
      <c r="I576" s="30" t="s">
        <v>98</v>
      </c>
      <c r="J576" s="30" t="s">
        <v>129</v>
      </c>
      <c r="K576" s="30" t="s">
        <v>44</v>
      </c>
      <c r="L576" s="30" t="s">
        <v>317</v>
      </c>
      <c r="M576" s="39">
        <v>75000</v>
      </c>
      <c r="N576" s="39">
        <v>100000</v>
      </c>
      <c r="O576" s="30" t="s">
        <v>79</v>
      </c>
      <c r="P576" s="30" t="s">
        <v>1513</v>
      </c>
      <c r="Q576" s="30" t="s">
        <v>1508</v>
      </c>
      <c r="R576" s="155" t="s">
        <v>80</v>
      </c>
      <c r="S576" s="41">
        <v>2014</v>
      </c>
      <c r="T576" s="31" t="s">
        <v>1509</v>
      </c>
      <c r="U576" s="31" t="s">
        <v>1510</v>
      </c>
      <c r="V576" s="30" t="s">
        <v>1511</v>
      </c>
      <c r="W576" s="30" t="s">
        <v>70</v>
      </c>
      <c r="X576" s="44">
        <v>41623</v>
      </c>
      <c r="Y576" s="44">
        <v>41670</v>
      </c>
      <c r="Z576" s="44">
        <v>43524</v>
      </c>
      <c r="AA576" s="30"/>
    </row>
    <row r="577" spans="1:27" s="29" customFormat="1" ht="34.5" customHeight="1">
      <c r="A577" s="30" t="s">
        <v>142</v>
      </c>
      <c r="B577" s="31" t="s">
        <v>48</v>
      </c>
      <c r="C577" s="30" t="s">
        <v>95</v>
      </c>
      <c r="D577" s="30" t="s">
        <v>569</v>
      </c>
      <c r="E577" s="30" t="s">
        <v>139</v>
      </c>
      <c r="F577" s="30" t="s">
        <v>791</v>
      </c>
      <c r="G577" s="30" t="s">
        <v>183</v>
      </c>
      <c r="H577" s="30">
        <v>561720</v>
      </c>
      <c r="I577" s="30" t="s">
        <v>98</v>
      </c>
      <c r="J577" s="30" t="s">
        <v>129</v>
      </c>
      <c r="K577" s="30" t="s">
        <v>44</v>
      </c>
      <c r="L577" s="30" t="s">
        <v>1514</v>
      </c>
      <c r="M577" s="39">
        <v>400000</v>
      </c>
      <c r="N577" s="39">
        <v>450000</v>
      </c>
      <c r="O577" s="30" t="s">
        <v>79</v>
      </c>
      <c r="P577" s="30" t="s">
        <v>1460</v>
      </c>
      <c r="Q577" s="30" t="s">
        <v>1508</v>
      </c>
      <c r="R577" s="155" t="s">
        <v>80</v>
      </c>
      <c r="S577" s="41">
        <v>2014</v>
      </c>
      <c r="T577" s="31" t="s">
        <v>1509</v>
      </c>
      <c r="U577" s="31" t="s">
        <v>1510</v>
      </c>
      <c r="V577" s="30" t="s">
        <v>1511</v>
      </c>
      <c r="W577" s="30" t="s">
        <v>70</v>
      </c>
      <c r="X577" s="44">
        <v>41487</v>
      </c>
      <c r="Y577" s="44">
        <v>41638</v>
      </c>
      <c r="Z577" s="44">
        <v>43496</v>
      </c>
      <c r="AA577" s="30"/>
    </row>
    <row r="578" spans="1:27" s="29" customFormat="1" ht="38.25" customHeight="1">
      <c r="A578" s="30" t="s">
        <v>142</v>
      </c>
      <c r="B578" s="31" t="s">
        <v>48</v>
      </c>
      <c r="C578" s="30" t="s">
        <v>144</v>
      </c>
      <c r="D578" s="30" t="s">
        <v>1515</v>
      </c>
      <c r="E578" s="30" t="s">
        <v>135</v>
      </c>
      <c r="F578" s="30" t="s">
        <v>791</v>
      </c>
      <c r="G578" s="30" t="s">
        <v>183</v>
      </c>
      <c r="H578" s="30">
        <v>561110</v>
      </c>
      <c r="I578" s="30" t="s">
        <v>98</v>
      </c>
      <c r="J578" s="30" t="s">
        <v>129</v>
      </c>
      <c r="K578" s="30" t="s">
        <v>44</v>
      </c>
      <c r="L578" s="30" t="s">
        <v>98</v>
      </c>
      <c r="M578" s="39">
        <v>2750000</v>
      </c>
      <c r="N578" s="39">
        <v>3000000</v>
      </c>
      <c r="O578" s="30" t="s">
        <v>79</v>
      </c>
      <c r="P578" s="30" t="s">
        <v>1516</v>
      </c>
      <c r="Q578" s="129" t="s">
        <v>867</v>
      </c>
      <c r="R578" s="30" t="s">
        <v>35</v>
      </c>
      <c r="S578" s="41">
        <v>2014</v>
      </c>
      <c r="T578" s="31" t="s">
        <v>1509</v>
      </c>
      <c r="U578" s="31" t="s">
        <v>1510</v>
      </c>
      <c r="V578" s="30" t="s">
        <v>1511</v>
      </c>
      <c r="W578" s="30" t="s">
        <v>70</v>
      </c>
      <c r="X578" s="30" t="s">
        <v>302</v>
      </c>
      <c r="Y578" s="44">
        <v>41897</v>
      </c>
      <c r="Z578" s="44">
        <v>43039</v>
      </c>
      <c r="AA578" s="30"/>
    </row>
    <row r="579" spans="1:27" s="29" customFormat="1" ht="34.5" customHeight="1">
      <c r="A579" s="30" t="s">
        <v>142</v>
      </c>
      <c r="B579" s="31" t="s">
        <v>48</v>
      </c>
      <c r="C579" s="30" t="s">
        <v>144</v>
      </c>
      <c r="D579" s="30" t="s">
        <v>1517</v>
      </c>
      <c r="E579" s="30" t="s">
        <v>88</v>
      </c>
      <c r="F579" s="30" t="s">
        <v>1518</v>
      </c>
      <c r="G579" s="30" t="s">
        <v>183</v>
      </c>
      <c r="H579" s="30">
        <v>561210</v>
      </c>
      <c r="I579" s="30" t="s">
        <v>98</v>
      </c>
      <c r="J579" s="30" t="s">
        <v>129</v>
      </c>
      <c r="K579" s="30" t="s">
        <v>61</v>
      </c>
      <c r="L579" s="30" t="s">
        <v>78</v>
      </c>
      <c r="M579" s="39">
        <v>700000</v>
      </c>
      <c r="N579" s="39">
        <v>750000</v>
      </c>
      <c r="O579" s="30" t="s">
        <v>79</v>
      </c>
      <c r="P579" s="30" t="s">
        <v>1519</v>
      </c>
      <c r="Q579" s="129" t="s">
        <v>867</v>
      </c>
      <c r="R579" s="155" t="s">
        <v>80</v>
      </c>
      <c r="S579" s="41">
        <v>2014</v>
      </c>
      <c r="T579" s="31" t="s">
        <v>1509</v>
      </c>
      <c r="U579" s="31" t="s">
        <v>1510</v>
      </c>
      <c r="V579" s="30" t="s">
        <v>1511</v>
      </c>
      <c r="W579" s="30" t="s">
        <v>70</v>
      </c>
      <c r="X579" s="30" t="s">
        <v>302</v>
      </c>
      <c r="Y579" s="44">
        <v>41698</v>
      </c>
      <c r="Z579" s="44">
        <v>44286</v>
      </c>
      <c r="AA579" s="30"/>
    </row>
    <row r="580" spans="1:27" s="29" customFormat="1" ht="34.5" customHeight="1">
      <c r="A580" s="30" t="s">
        <v>142</v>
      </c>
      <c r="B580" s="31" t="s">
        <v>48</v>
      </c>
      <c r="C580" s="30" t="s">
        <v>144</v>
      </c>
      <c r="D580" s="30" t="s">
        <v>1520</v>
      </c>
      <c r="E580" s="30" t="s">
        <v>139</v>
      </c>
      <c r="F580" s="30" t="s">
        <v>791</v>
      </c>
      <c r="G580" s="30" t="s">
        <v>183</v>
      </c>
      <c r="H580" s="30">
        <v>561790</v>
      </c>
      <c r="I580" s="30" t="s">
        <v>98</v>
      </c>
      <c r="J580" s="30" t="s">
        <v>129</v>
      </c>
      <c r="K580" s="30" t="s">
        <v>44</v>
      </c>
      <c r="L580" s="30" t="s">
        <v>78</v>
      </c>
      <c r="M580" s="39" t="s">
        <v>317</v>
      </c>
      <c r="N580" s="39" t="s">
        <v>317</v>
      </c>
      <c r="O580" s="30" t="s">
        <v>45</v>
      </c>
      <c r="P580" s="30" t="s">
        <v>1521</v>
      </c>
      <c r="Q580" s="129" t="s">
        <v>867</v>
      </c>
      <c r="R580" s="30" t="s">
        <v>35</v>
      </c>
      <c r="S580" s="41">
        <v>2014</v>
      </c>
      <c r="T580" s="31" t="s">
        <v>1509</v>
      </c>
      <c r="U580" s="31" t="s">
        <v>1510</v>
      </c>
      <c r="V580" s="30" t="s">
        <v>1511</v>
      </c>
      <c r="W580" s="30" t="s">
        <v>70</v>
      </c>
      <c r="X580" s="30" t="s">
        <v>302</v>
      </c>
      <c r="Y580" s="44">
        <v>41883</v>
      </c>
      <c r="Z580" s="44">
        <v>43373</v>
      </c>
      <c r="AA580" s="30"/>
    </row>
    <row r="581" spans="1:27" s="29" customFormat="1" ht="34.5" customHeight="1">
      <c r="A581" s="30" t="s">
        <v>142</v>
      </c>
      <c r="B581" s="31" t="s">
        <v>48</v>
      </c>
      <c r="C581" s="30" t="s">
        <v>144</v>
      </c>
      <c r="D581" s="30" t="s">
        <v>568</v>
      </c>
      <c r="E581" s="30" t="s">
        <v>139</v>
      </c>
      <c r="F581" s="30" t="s">
        <v>1453</v>
      </c>
      <c r="G581" s="30" t="s">
        <v>183</v>
      </c>
      <c r="H581" s="30">
        <v>561720</v>
      </c>
      <c r="I581" s="30" t="s">
        <v>67</v>
      </c>
      <c r="J581" s="30" t="s">
        <v>129</v>
      </c>
      <c r="K581" s="30" t="s">
        <v>44</v>
      </c>
      <c r="L581" s="30" t="s">
        <v>1514</v>
      </c>
      <c r="M581" s="39">
        <v>1500000</v>
      </c>
      <c r="N581" s="39">
        <v>1800000</v>
      </c>
      <c r="O581" s="30" t="s">
        <v>79</v>
      </c>
      <c r="P581" s="30" t="s">
        <v>1522</v>
      </c>
      <c r="Q581" s="30" t="s">
        <v>1523</v>
      </c>
      <c r="R581" s="155" t="s">
        <v>80</v>
      </c>
      <c r="S581" s="41">
        <v>2014</v>
      </c>
      <c r="T581" s="31" t="s">
        <v>1524</v>
      </c>
      <c r="U581" s="31" t="s">
        <v>1525</v>
      </c>
      <c r="V581" s="30" t="s">
        <v>1526</v>
      </c>
      <c r="W581" s="30" t="s">
        <v>70</v>
      </c>
      <c r="X581" s="30" t="s">
        <v>302</v>
      </c>
      <c r="Y581" s="44">
        <v>41730</v>
      </c>
      <c r="Z581" s="44">
        <v>43190</v>
      </c>
      <c r="AA581" s="30"/>
    </row>
    <row r="582" spans="1:27" s="29" customFormat="1" ht="34.5" customHeight="1">
      <c r="A582" s="30" t="s">
        <v>142</v>
      </c>
      <c r="B582" s="31" t="s">
        <v>48</v>
      </c>
      <c r="C582" s="30" t="s">
        <v>39</v>
      </c>
      <c r="D582" s="30" t="s">
        <v>568</v>
      </c>
      <c r="E582" s="30" t="s">
        <v>139</v>
      </c>
      <c r="F582" s="30" t="s">
        <v>1453</v>
      </c>
      <c r="G582" s="30" t="s">
        <v>183</v>
      </c>
      <c r="H582" s="30">
        <v>561720</v>
      </c>
      <c r="I582" s="30" t="s">
        <v>45</v>
      </c>
      <c r="J582" s="30" t="s">
        <v>129</v>
      </c>
      <c r="K582" s="30" t="s">
        <v>44</v>
      </c>
      <c r="L582" s="30" t="s">
        <v>317</v>
      </c>
      <c r="M582" s="39">
        <v>1500000</v>
      </c>
      <c r="N582" s="39">
        <v>2500000</v>
      </c>
      <c r="O582" s="30" t="s">
        <v>79</v>
      </c>
      <c r="P582" s="30" t="s">
        <v>1527</v>
      </c>
      <c r="Q582" s="30" t="s">
        <v>1508</v>
      </c>
      <c r="R582" s="30" t="s">
        <v>100</v>
      </c>
      <c r="S582" s="41">
        <v>2014</v>
      </c>
      <c r="T582" s="31" t="s">
        <v>1524</v>
      </c>
      <c r="U582" s="31" t="s">
        <v>1525</v>
      </c>
      <c r="V582" s="30" t="s">
        <v>1526</v>
      </c>
      <c r="W582" s="30" t="s">
        <v>70</v>
      </c>
      <c r="X582" s="30" t="s">
        <v>302</v>
      </c>
      <c r="Y582" s="44">
        <v>41821</v>
      </c>
      <c r="Z582" s="44">
        <v>43677</v>
      </c>
      <c r="AA582" s="30"/>
    </row>
    <row r="583" spans="1:27" s="29" customFormat="1" ht="34.5" customHeight="1">
      <c r="A583" s="30" t="s">
        <v>142</v>
      </c>
      <c r="B583" s="31" t="s">
        <v>48</v>
      </c>
      <c r="C583" s="30" t="s">
        <v>144</v>
      </c>
      <c r="D583" s="30" t="s">
        <v>568</v>
      </c>
      <c r="E583" s="30" t="s">
        <v>139</v>
      </c>
      <c r="F583" s="30" t="s">
        <v>1518</v>
      </c>
      <c r="G583" s="30" t="s">
        <v>183</v>
      </c>
      <c r="H583" s="30">
        <v>561720</v>
      </c>
      <c r="I583" s="129" t="s">
        <v>546</v>
      </c>
      <c r="J583" s="30" t="s">
        <v>129</v>
      </c>
      <c r="K583" s="30" t="s">
        <v>44</v>
      </c>
      <c r="L583" s="30" t="s">
        <v>1464</v>
      </c>
      <c r="M583" s="39">
        <v>200000</v>
      </c>
      <c r="N583" s="39">
        <v>350000</v>
      </c>
      <c r="O583" s="30" t="s">
        <v>79</v>
      </c>
      <c r="P583" s="30" t="s">
        <v>1475</v>
      </c>
      <c r="Q583" s="129" t="s">
        <v>867</v>
      </c>
      <c r="R583" s="30" t="s">
        <v>100</v>
      </c>
      <c r="S583" s="41">
        <v>2014</v>
      </c>
      <c r="T583" s="31" t="s">
        <v>1524</v>
      </c>
      <c r="U583" s="31" t="s">
        <v>1525</v>
      </c>
      <c r="V583" s="30" t="s">
        <v>1526</v>
      </c>
      <c r="W583" s="30" t="s">
        <v>70</v>
      </c>
      <c r="X583" s="30" t="s">
        <v>302</v>
      </c>
      <c r="Y583" s="44">
        <v>41791</v>
      </c>
      <c r="Z583" s="44">
        <v>42551</v>
      </c>
      <c r="AA583" s="30"/>
    </row>
    <row r="584" spans="1:27" s="29" customFormat="1" ht="34.5" customHeight="1">
      <c r="A584" s="30" t="s">
        <v>142</v>
      </c>
      <c r="B584" s="31" t="s">
        <v>48</v>
      </c>
      <c r="C584" s="30" t="s">
        <v>144</v>
      </c>
      <c r="D584" s="30" t="s">
        <v>1506</v>
      </c>
      <c r="E584" s="30" t="s">
        <v>139</v>
      </c>
      <c r="F584" s="30" t="s">
        <v>1453</v>
      </c>
      <c r="G584" s="30" t="s">
        <v>183</v>
      </c>
      <c r="H584" s="30">
        <v>562219</v>
      </c>
      <c r="I584" s="30" t="s">
        <v>67</v>
      </c>
      <c r="J584" s="30" t="s">
        <v>129</v>
      </c>
      <c r="K584" s="30" t="s">
        <v>44</v>
      </c>
      <c r="L584" s="30" t="s">
        <v>858</v>
      </c>
      <c r="M584" s="39">
        <v>35000</v>
      </c>
      <c r="N584" s="39">
        <v>50000</v>
      </c>
      <c r="O584" s="30" t="s">
        <v>79</v>
      </c>
      <c r="P584" s="30" t="s">
        <v>1528</v>
      </c>
      <c r="Q584" s="129" t="s">
        <v>867</v>
      </c>
      <c r="R584" s="155" t="s">
        <v>80</v>
      </c>
      <c r="S584" s="41">
        <v>2014</v>
      </c>
      <c r="T584" s="31" t="s">
        <v>1524</v>
      </c>
      <c r="U584" s="31" t="s">
        <v>1525</v>
      </c>
      <c r="V584" s="30" t="s">
        <v>1526</v>
      </c>
      <c r="W584" s="30" t="s">
        <v>70</v>
      </c>
      <c r="X584" s="30" t="s">
        <v>302</v>
      </c>
      <c r="Y584" s="44">
        <v>41671</v>
      </c>
      <c r="Z584" s="44">
        <v>42429</v>
      </c>
      <c r="AA584" s="30"/>
    </row>
    <row r="585" spans="1:27" s="29" customFormat="1" ht="34.5" customHeight="1">
      <c r="A585" s="30" t="s">
        <v>142</v>
      </c>
      <c r="B585" s="31" t="s">
        <v>48</v>
      </c>
      <c r="C585" s="30" t="s">
        <v>144</v>
      </c>
      <c r="D585" s="30" t="s">
        <v>856</v>
      </c>
      <c r="E585" s="30" t="s">
        <v>173</v>
      </c>
      <c r="F585" s="30" t="s">
        <v>1453</v>
      </c>
      <c r="G585" s="30" t="s">
        <v>183</v>
      </c>
      <c r="H585" s="30">
        <v>541690</v>
      </c>
      <c r="I585" s="30" t="s">
        <v>67</v>
      </c>
      <c r="J585" s="30" t="s">
        <v>129</v>
      </c>
      <c r="K585" s="30" t="s">
        <v>44</v>
      </c>
      <c r="L585" s="30" t="s">
        <v>858</v>
      </c>
      <c r="M585" s="39">
        <v>35000</v>
      </c>
      <c r="N585" s="39">
        <v>45000</v>
      </c>
      <c r="O585" s="30" t="s">
        <v>79</v>
      </c>
      <c r="P585" s="30" t="s">
        <v>1529</v>
      </c>
      <c r="Q585" s="129" t="s">
        <v>867</v>
      </c>
      <c r="R585" s="155" t="s">
        <v>80</v>
      </c>
      <c r="S585" s="41">
        <v>2014</v>
      </c>
      <c r="T585" s="31" t="s">
        <v>1524</v>
      </c>
      <c r="U585" s="31" t="s">
        <v>1525</v>
      </c>
      <c r="V585" s="30" t="s">
        <v>1526</v>
      </c>
      <c r="W585" s="30" t="s">
        <v>70</v>
      </c>
      <c r="X585" s="30" t="s">
        <v>302</v>
      </c>
      <c r="Y585" s="44">
        <v>41699</v>
      </c>
      <c r="Z585" s="44">
        <v>42839</v>
      </c>
      <c r="AA585" s="30"/>
    </row>
    <row r="586" spans="1:27" s="29" customFormat="1" ht="34.5" customHeight="1">
      <c r="A586" s="30" t="s">
        <v>142</v>
      </c>
      <c r="B586" s="31" t="s">
        <v>48</v>
      </c>
      <c r="C586" s="30" t="s">
        <v>144</v>
      </c>
      <c r="D586" s="30" t="s">
        <v>856</v>
      </c>
      <c r="E586" s="30" t="s">
        <v>173</v>
      </c>
      <c r="F586" s="30" t="s">
        <v>1453</v>
      </c>
      <c r="G586" s="30" t="s">
        <v>183</v>
      </c>
      <c r="H586" s="30">
        <v>541690</v>
      </c>
      <c r="I586" s="30" t="s">
        <v>67</v>
      </c>
      <c r="J586" s="30" t="s">
        <v>129</v>
      </c>
      <c r="K586" s="30" t="s">
        <v>44</v>
      </c>
      <c r="L586" s="30" t="s">
        <v>858</v>
      </c>
      <c r="M586" s="39">
        <v>25000</v>
      </c>
      <c r="N586" s="39">
        <v>40000</v>
      </c>
      <c r="O586" s="30" t="s">
        <v>79</v>
      </c>
      <c r="P586" s="30" t="s">
        <v>1530</v>
      </c>
      <c r="Q586" s="129" t="s">
        <v>867</v>
      </c>
      <c r="R586" s="30" t="s">
        <v>100</v>
      </c>
      <c r="S586" s="41">
        <v>2014</v>
      </c>
      <c r="T586" s="31" t="s">
        <v>1524</v>
      </c>
      <c r="U586" s="31" t="s">
        <v>1525</v>
      </c>
      <c r="V586" s="30" t="s">
        <v>1526</v>
      </c>
      <c r="W586" s="30" t="s">
        <v>70</v>
      </c>
      <c r="X586" s="30" t="s">
        <v>302</v>
      </c>
      <c r="Y586" s="44">
        <v>41791</v>
      </c>
      <c r="Z586" s="44">
        <v>42566</v>
      </c>
      <c r="AA586" s="30"/>
    </row>
    <row r="587" spans="1:27" s="29" customFormat="1" ht="34.5" customHeight="1">
      <c r="A587" s="30" t="s">
        <v>142</v>
      </c>
      <c r="B587" s="31" t="s">
        <v>48</v>
      </c>
      <c r="C587" s="30" t="s">
        <v>144</v>
      </c>
      <c r="D587" s="30" t="s">
        <v>1531</v>
      </c>
      <c r="E587" s="30" t="s">
        <v>139</v>
      </c>
      <c r="F587" s="30" t="s">
        <v>791</v>
      </c>
      <c r="G587" s="30" t="s">
        <v>183</v>
      </c>
      <c r="H587" s="30">
        <v>561210</v>
      </c>
      <c r="I587" s="30" t="s">
        <v>67</v>
      </c>
      <c r="J587" s="30" t="s">
        <v>129</v>
      </c>
      <c r="K587" s="30" t="s">
        <v>44</v>
      </c>
      <c r="L587" s="30" t="s">
        <v>858</v>
      </c>
      <c r="M587" s="39">
        <v>100000</v>
      </c>
      <c r="N587" s="39">
        <v>115000</v>
      </c>
      <c r="O587" s="30" t="s">
        <v>79</v>
      </c>
      <c r="P587" s="30" t="s">
        <v>1532</v>
      </c>
      <c r="Q587" s="129" t="s">
        <v>867</v>
      </c>
      <c r="R587" s="155" t="s">
        <v>80</v>
      </c>
      <c r="S587" s="41">
        <v>2014</v>
      </c>
      <c r="T587" s="31" t="s">
        <v>1524</v>
      </c>
      <c r="U587" s="31" t="s">
        <v>1525</v>
      </c>
      <c r="V587" s="30" t="s">
        <v>1533</v>
      </c>
      <c r="W587" s="30" t="s">
        <v>70</v>
      </c>
      <c r="X587" s="30" t="s">
        <v>302</v>
      </c>
      <c r="Y587" s="44">
        <v>41671</v>
      </c>
      <c r="Z587" s="44">
        <v>42063</v>
      </c>
      <c r="AA587" s="30"/>
    </row>
    <row r="588" spans="1:27" s="29" customFormat="1" ht="34.5" customHeight="1">
      <c r="A588" s="30" t="s">
        <v>142</v>
      </c>
      <c r="B588" s="31" t="s">
        <v>48</v>
      </c>
      <c r="C588" s="30" t="s">
        <v>144</v>
      </c>
      <c r="D588" s="30" t="s">
        <v>1531</v>
      </c>
      <c r="E588" s="30" t="s">
        <v>139</v>
      </c>
      <c r="F588" s="30" t="s">
        <v>791</v>
      </c>
      <c r="G588" s="30" t="s">
        <v>156</v>
      </c>
      <c r="H588" s="30">
        <v>561210</v>
      </c>
      <c r="I588" s="30" t="s">
        <v>67</v>
      </c>
      <c r="J588" s="30" t="s">
        <v>129</v>
      </c>
      <c r="K588" s="30" t="s">
        <v>44</v>
      </c>
      <c r="L588" s="30" t="s">
        <v>858</v>
      </c>
      <c r="M588" s="39">
        <v>35000</v>
      </c>
      <c r="N588" s="39">
        <v>50000</v>
      </c>
      <c r="O588" s="30" t="s">
        <v>79</v>
      </c>
      <c r="P588" s="30" t="s">
        <v>1534</v>
      </c>
      <c r="Q588" s="129" t="s">
        <v>867</v>
      </c>
      <c r="R588" s="155" t="s">
        <v>80</v>
      </c>
      <c r="S588" s="41">
        <v>2014</v>
      </c>
      <c r="T588" s="31" t="s">
        <v>1524</v>
      </c>
      <c r="U588" s="31" t="s">
        <v>1525</v>
      </c>
      <c r="V588" s="30" t="s">
        <v>1533</v>
      </c>
      <c r="W588" s="30" t="s">
        <v>70</v>
      </c>
      <c r="X588" s="30" t="s">
        <v>302</v>
      </c>
      <c r="Y588" s="44">
        <v>41640</v>
      </c>
      <c r="Z588" s="44">
        <v>42035</v>
      </c>
      <c r="AA588" s="30"/>
    </row>
    <row r="589" spans="1:27" s="29" customFormat="1" ht="34.5" customHeight="1">
      <c r="A589" s="30" t="s">
        <v>142</v>
      </c>
      <c r="B589" s="31" t="s">
        <v>48</v>
      </c>
      <c r="C589" s="30" t="s">
        <v>144</v>
      </c>
      <c r="D589" s="30" t="s">
        <v>1531</v>
      </c>
      <c r="E589" s="30" t="s">
        <v>139</v>
      </c>
      <c r="F589" s="30" t="s">
        <v>1453</v>
      </c>
      <c r="G589" s="30" t="s">
        <v>183</v>
      </c>
      <c r="H589" s="30">
        <v>561210</v>
      </c>
      <c r="I589" s="30" t="s">
        <v>67</v>
      </c>
      <c r="J589" s="30" t="s">
        <v>129</v>
      </c>
      <c r="K589" s="30" t="s">
        <v>44</v>
      </c>
      <c r="L589" s="30" t="s">
        <v>858</v>
      </c>
      <c r="M589" s="39">
        <v>65000</v>
      </c>
      <c r="N589" s="39">
        <v>85000</v>
      </c>
      <c r="O589" s="30" t="s">
        <v>79</v>
      </c>
      <c r="P589" s="30" t="s">
        <v>1535</v>
      </c>
      <c r="Q589" s="129" t="s">
        <v>867</v>
      </c>
      <c r="R589" s="155" t="s">
        <v>80</v>
      </c>
      <c r="S589" s="41">
        <v>2014</v>
      </c>
      <c r="T589" s="31" t="s">
        <v>1524</v>
      </c>
      <c r="U589" s="31" t="s">
        <v>1525</v>
      </c>
      <c r="V589" s="30" t="s">
        <v>1533</v>
      </c>
      <c r="W589" s="30" t="s">
        <v>70</v>
      </c>
      <c r="X589" s="30" t="s">
        <v>302</v>
      </c>
      <c r="Y589" s="44">
        <v>41699</v>
      </c>
      <c r="Z589" s="44">
        <v>43190</v>
      </c>
      <c r="AA589" s="30"/>
    </row>
    <row r="590" spans="1:27" s="29" customFormat="1" ht="38.25" customHeight="1">
      <c r="A590" s="30" t="s">
        <v>142</v>
      </c>
      <c r="B590" s="31" t="s">
        <v>48</v>
      </c>
      <c r="C590" s="30" t="s">
        <v>144</v>
      </c>
      <c r="D590" s="30" t="s">
        <v>1536</v>
      </c>
      <c r="E590" s="30" t="s">
        <v>285</v>
      </c>
      <c r="F590" s="30" t="s">
        <v>791</v>
      </c>
      <c r="G590" s="30" t="s">
        <v>183</v>
      </c>
      <c r="H590" s="30">
        <v>484210</v>
      </c>
      <c r="I590" s="30" t="s">
        <v>51</v>
      </c>
      <c r="J590" s="30" t="s">
        <v>68</v>
      </c>
      <c r="K590" s="30" t="s">
        <v>61</v>
      </c>
      <c r="L590" s="30" t="s">
        <v>1537</v>
      </c>
      <c r="M590" s="39">
        <v>83271.600000000006</v>
      </c>
      <c r="N590" s="39">
        <v>83271.600000000006</v>
      </c>
      <c r="O590" s="30" t="s">
        <v>79</v>
      </c>
      <c r="P590" s="30" t="s">
        <v>1538</v>
      </c>
      <c r="Q590" s="30" t="s">
        <v>16</v>
      </c>
      <c r="R590" s="30" t="s">
        <v>150</v>
      </c>
      <c r="S590" s="41">
        <v>2014</v>
      </c>
      <c r="T590" s="31" t="s">
        <v>1539</v>
      </c>
      <c r="U590" s="31" t="s">
        <v>1540</v>
      </c>
      <c r="V590" s="30" t="s">
        <v>1541</v>
      </c>
      <c r="W590" s="30" t="s">
        <v>70</v>
      </c>
      <c r="X590" s="30" t="s">
        <v>302</v>
      </c>
      <c r="Y590" s="44">
        <v>41583</v>
      </c>
      <c r="Z590" s="44">
        <v>41995</v>
      </c>
      <c r="AA590" s="30"/>
    </row>
    <row r="591" spans="1:27" s="29" customFormat="1" ht="38.25" customHeight="1">
      <c r="A591" s="30" t="s">
        <v>142</v>
      </c>
      <c r="B591" s="31" t="s">
        <v>48</v>
      </c>
      <c r="C591" s="30" t="s">
        <v>29</v>
      </c>
      <c r="D591" s="30" t="s">
        <v>1542</v>
      </c>
      <c r="E591" s="30" t="s">
        <v>161</v>
      </c>
      <c r="F591" s="30" t="s">
        <v>791</v>
      </c>
      <c r="G591" s="30" t="s">
        <v>183</v>
      </c>
      <c r="H591" s="30">
        <v>238210</v>
      </c>
      <c r="I591" s="30" t="s">
        <v>42</v>
      </c>
      <c r="J591" s="30" t="s">
        <v>90</v>
      </c>
      <c r="K591" s="31" t="s">
        <v>69</v>
      </c>
      <c r="L591" s="30" t="s">
        <v>1543</v>
      </c>
      <c r="M591" s="39">
        <v>38130.400000000001</v>
      </c>
      <c r="N591" s="39">
        <v>38130.400000000001</v>
      </c>
      <c r="O591" s="30" t="s">
        <v>79</v>
      </c>
      <c r="P591" s="30" t="s">
        <v>1544</v>
      </c>
      <c r="Q591" s="30" t="s">
        <v>16</v>
      </c>
      <c r="R591" s="30" t="s">
        <v>150</v>
      </c>
      <c r="S591" s="41">
        <v>2014</v>
      </c>
      <c r="T591" s="31" t="s">
        <v>1545</v>
      </c>
      <c r="U591" s="31" t="s">
        <v>1540</v>
      </c>
      <c r="V591" s="30" t="s">
        <v>1546</v>
      </c>
      <c r="W591" s="30" t="s">
        <v>70</v>
      </c>
      <c r="X591" s="44">
        <v>41595</v>
      </c>
      <c r="Y591" s="44">
        <v>41607</v>
      </c>
      <c r="Z591" s="44">
        <v>41788</v>
      </c>
      <c r="AA591" s="30"/>
    </row>
    <row r="592" spans="1:27" s="29" customFormat="1" ht="38.25" customHeight="1">
      <c r="A592" s="30" t="s">
        <v>142</v>
      </c>
      <c r="B592" s="31" t="s">
        <v>48</v>
      </c>
      <c r="C592" s="30" t="s">
        <v>29</v>
      </c>
      <c r="D592" s="30" t="s">
        <v>1547</v>
      </c>
      <c r="E592" s="30" t="s">
        <v>161</v>
      </c>
      <c r="F592" s="30" t="s">
        <v>791</v>
      </c>
      <c r="G592" s="30" t="s">
        <v>183</v>
      </c>
      <c r="H592" s="30">
        <v>236220</v>
      </c>
      <c r="I592" s="129" t="s">
        <v>32</v>
      </c>
      <c r="J592" s="30" t="s">
        <v>90</v>
      </c>
      <c r="K592" s="31" t="s">
        <v>69</v>
      </c>
      <c r="L592" s="30" t="s">
        <v>1543</v>
      </c>
      <c r="M592" s="39">
        <v>121942.67</v>
      </c>
      <c r="N592" s="39">
        <v>121942.67</v>
      </c>
      <c r="O592" s="30" t="s">
        <v>79</v>
      </c>
      <c r="P592" s="30" t="s">
        <v>1548</v>
      </c>
      <c r="Q592" s="30" t="s">
        <v>16</v>
      </c>
      <c r="R592" s="30" t="s">
        <v>150</v>
      </c>
      <c r="S592" s="41">
        <v>2014</v>
      </c>
      <c r="T592" s="31" t="s">
        <v>1549</v>
      </c>
      <c r="U592" s="31" t="s">
        <v>1540</v>
      </c>
      <c r="V592" s="30" t="s">
        <v>1550</v>
      </c>
      <c r="W592" s="30" t="s">
        <v>70</v>
      </c>
      <c r="X592" s="44">
        <v>41595</v>
      </c>
      <c r="Y592" s="44">
        <v>41607</v>
      </c>
      <c r="Z592" s="44">
        <v>41700</v>
      </c>
      <c r="AA592" s="30"/>
    </row>
    <row r="593" spans="1:27" s="29" customFormat="1" ht="38.25" customHeight="1">
      <c r="A593" s="30" t="s">
        <v>142</v>
      </c>
      <c r="B593" s="31" t="s">
        <v>48</v>
      </c>
      <c r="C593" s="30" t="s">
        <v>39</v>
      </c>
      <c r="D593" s="30" t="s">
        <v>1536</v>
      </c>
      <c r="E593" s="30" t="s">
        <v>285</v>
      </c>
      <c r="F593" s="30" t="s">
        <v>791</v>
      </c>
      <c r="G593" s="30" t="s">
        <v>183</v>
      </c>
      <c r="H593" s="30">
        <v>484210</v>
      </c>
      <c r="I593" s="30" t="s">
        <v>42</v>
      </c>
      <c r="J593" s="30" t="s">
        <v>68</v>
      </c>
      <c r="K593" s="30" t="s">
        <v>61</v>
      </c>
      <c r="L593" s="30" t="s">
        <v>1537</v>
      </c>
      <c r="M593" s="39">
        <v>25000</v>
      </c>
      <c r="N593" s="39">
        <v>25000</v>
      </c>
      <c r="O593" s="30" t="s">
        <v>79</v>
      </c>
      <c r="P593" s="30" t="s">
        <v>1538</v>
      </c>
      <c r="Q593" s="30" t="s">
        <v>16</v>
      </c>
      <c r="R593" s="30" t="s">
        <v>150</v>
      </c>
      <c r="S593" s="41">
        <v>2014</v>
      </c>
      <c r="T593" s="31" t="s">
        <v>1539</v>
      </c>
      <c r="U593" s="31" t="s">
        <v>1540</v>
      </c>
      <c r="V593" s="30" t="s">
        <v>1541</v>
      </c>
      <c r="W593" s="30" t="s">
        <v>70</v>
      </c>
      <c r="X593" s="30" t="s">
        <v>302</v>
      </c>
      <c r="Y593" s="44">
        <v>41586</v>
      </c>
      <c r="Z593" s="44">
        <v>41706</v>
      </c>
      <c r="AA593" s="30"/>
    </row>
    <row r="594" spans="1:27" s="29" customFormat="1" ht="38.25" customHeight="1">
      <c r="A594" s="30" t="s">
        <v>142</v>
      </c>
      <c r="B594" s="31" t="s">
        <v>48</v>
      </c>
      <c r="C594" s="30" t="s">
        <v>39</v>
      </c>
      <c r="D594" s="30" t="s">
        <v>1536</v>
      </c>
      <c r="E594" s="30" t="s">
        <v>285</v>
      </c>
      <c r="F594" s="30" t="s">
        <v>791</v>
      </c>
      <c r="G594" s="30" t="s">
        <v>183</v>
      </c>
      <c r="H594" s="30">
        <v>484210</v>
      </c>
      <c r="I594" s="30" t="s">
        <v>42</v>
      </c>
      <c r="J594" s="30" t="s">
        <v>68</v>
      </c>
      <c r="K594" s="30" t="s">
        <v>61</v>
      </c>
      <c r="L594" s="30" t="s">
        <v>1537</v>
      </c>
      <c r="M594" s="39">
        <v>58000</v>
      </c>
      <c r="N594" s="39">
        <v>58000</v>
      </c>
      <c r="O594" s="30" t="s">
        <v>79</v>
      </c>
      <c r="P594" s="30" t="s">
        <v>1538</v>
      </c>
      <c r="Q594" s="30" t="s">
        <v>16</v>
      </c>
      <c r="R594" s="155" t="s">
        <v>80</v>
      </c>
      <c r="S594" s="41">
        <v>2014</v>
      </c>
      <c r="T594" s="31" t="s">
        <v>1539</v>
      </c>
      <c r="U594" s="31" t="s">
        <v>1540</v>
      </c>
      <c r="V594" s="30" t="s">
        <v>1541</v>
      </c>
      <c r="W594" s="30" t="s">
        <v>70</v>
      </c>
      <c r="X594" s="30" t="s">
        <v>302</v>
      </c>
      <c r="Y594" s="44">
        <v>41671</v>
      </c>
      <c r="Z594" s="44">
        <v>41821</v>
      </c>
      <c r="AA594" s="30"/>
    </row>
    <row r="595" spans="1:27" s="29" customFormat="1" ht="38.25" customHeight="1">
      <c r="A595" s="30" t="s">
        <v>142</v>
      </c>
      <c r="B595" s="31" t="s">
        <v>48</v>
      </c>
      <c r="C595" s="30" t="s">
        <v>39</v>
      </c>
      <c r="D595" s="30" t="s">
        <v>1536</v>
      </c>
      <c r="E595" s="30" t="s">
        <v>285</v>
      </c>
      <c r="F595" s="30" t="s">
        <v>791</v>
      </c>
      <c r="G595" s="30" t="s">
        <v>183</v>
      </c>
      <c r="H595" s="30">
        <v>484210</v>
      </c>
      <c r="I595" s="30" t="s">
        <v>42</v>
      </c>
      <c r="J595" s="30" t="s">
        <v>68</v>
      </c>
      <c r="K595" s="30" t="s">
        <v>61</v>
      </c>
      <c r="L595" s="30" t="s">
        <v>1537</v>
      </c>
      <c r="M595" s="39">
        <v>3000</v>
      </c>
      <c r="N595" s="39">
        <v>3000</v>
      </c>
      <c r="O595" s="30" t="s">
        <v>149</v>
      </c>
      <c r="P595" s="30" t="s">
        <v>1538</v>
      </c>
      <c r="Q595" s="30" t="s">
        <v>16</v>
      </c>
      <c r="R595" s="30" t="s">
        <v>100</v>
      </c>
      <c r="S595" s="41">
        <v>2014</v>
      </c>
      <c r="T595" s="31" t="s">
        <v>1539</v>
      </c>
      <c r="U595" s="31" t="s">
        <v>1540</v>
      </c>
      <c r="V595" s="30" t="s">
        <v>1541</v>
      </c>
      <c r="W595" s="30" t="s">
        <v>70</v>
      </c>
      <c r="X595" s="30" t="s">
        <v>302</v>
      </c>
      <c r="Y595" s="44">
        <v>41730</v>
      </c>
      <c r="Z595" s="44">
        <v>41883</v>
      </c>
      <c r="AA595" s="30"/>
    </row>
    <row r="596" spans="1:27" s="29" customFormat="1" ht="38.25" customHeight="1">
      <c r="A596" s="30" t="s">
        <v>142</v>
      </c>
      <c r="B596" s="31" t="s">
        <v>48</v>
      </c>
      <c r="C596" s="30" t="s">
        <v>39</v>
      </c>
      <c r="D596" s="30" t="s">
        <v>1536</v>
      </c>
      <c r="E596" s="30" t="s">
        <v>285</v>
      </c>
      <c r="F596" s="30" t="s">
        <v>791</v>
      </c>
      <c r="G596" s="30" t="s">
        <v>183</v>
      </c>
      <c r="H596" s="30">
        <v>484210</v>
      </c>
      <c r="I596" s="30" t="s">
        <v>42</v>
      </c>
      <c r="J596" s="30" t="s">
        <v>68</v>
      </c>
      <c r="K596" s="30" t="s">
        <v>61</v>
      </c>
      <c r="L596" s="30" t="s">
        <v>1537</v>
      </c>
      <c r="M596" s="39">
        <v>15000</v>
      </c>
      <c r="N596" s="39">
        <v>15000</v>
      </c>
      <c r="O596" s="30" t="s">
        <v>149</v>
      </c>
      <c r="P596" s="30" t="s">
        <v>1538</v>
      </c>
      <c r="Q596" s="30" t="s">
        <v>16</v>
      </c>
      <c r="R596" s="30" t="s">
        <v>35</v>
      </c>
      <c r="S596" s="41">
        <v>2014</v>
      </c>
      <c r="T596" s="31" t="s">
        <v>1539</v>
      </c>
      <c r="U596" s="31" t="s">
        <v>1540</v>
      </c>
      <c r="V596" s="30" t="s">
        <v>1541</v>
      </c>
      <c r="W596" s="30" t="s">
        <v>70</v>
      </c>
      <c r="X596" s="30" t="s">
        <v>302</v>
      </c>
      <c r="Y596" s="44">
        <v>41821</v>
      </c>
      <c r="Z596" s="44">
        <v>41974</v>
      </c>
      <c r="AA596" s="30"/>
    </row>
    <row r="597" spans="1:27" s="29" customFormat="1" ht="38.25" customHeight="1">
      <c r="A597" s="30" t="s">
        <v>142</v>
      </c>
      <c r="B597" s="31" t="s">
        <v>48</v>
      </c>
      <c r="C597" s="30" t="s">
        <v>39</v>
      </c>
      <c r="D597" s="30" t="s">
        <v>1551</v>
      </c>
      <c r="E597" s="30" t="s">
        <v>161</v>
      </c>
      <c r="F597" s="30" t="s">
        <v>791</v>
      </c>
      <c r="G597" s="30" t="s">
        <v>183</v>
      </c>
      <c r="H597" s="30">
        <v>238210</v>
      </c>
      <c r="I597" s="30" t="s">
        <v>51</v>
      </c>
      <c r="J597" s="30" t="s">
        <v>90</v>
      </c>
      <c r="K597" s="31" t="s">
        <v>69</v>
      </c>
      <c r="L597" s="30" t="s">
        <v>1543</v>
      </c>
      <c r="M597" s="39">
        <v>60000</v>
      </c>
      <c r="N597" s="39">
        <v>60000</v>
      </c>
      <c r="O597" s="30" t="s">
        <v>79</v>
      </c>
      <c r="P597" s="30" t="s">
        <v>302</v>
      </c>
      <c r="Q597" s="30" t="s">
        <v>16</v>
      </c>
      <c r="R597" s="30" t="s">
        <v>45</v>
      </c>
      <c r="S597" s="41">
        <v>2014</v>
      </c>
      <c r="T597" s="31" t="s">
        <v>1552</v>
      </c>
      <c r="U597" s="31" t="s">
        <v>1540</v>
      </c>
      <c r="V597" s="30" t="s">
        <v>1553</v>
      </c>
      <c r="W597" s="30" t="s">
        <v>70</v>
      </c>
      <c r="X597" s="30" t="s">
        <v>302</v>
      </c>
      <c r="Y597" s="30" t="s">
        <v>302</v>
      </c>
      <c r="Z597" s="30" t="s">
        <v>302</v>
      </c>
      <c r="AA597" s="30"/>
    </row>
    <row r="598" spans="1:27" s="29" customFormat="1" ht="38.25" customHeight="1">
      <c r="A598" s="30" t="s">
        <v>142</v>
      </c>
      <c r="B598" s="31" t="s">
        <v>48</v>
      </c>
      <c r="C598" s="30" t="s">
        <v>39</v>
      </c>
      <c r="D598" s="30" t="s">
        <v>1554</v>
      </c>
      <c r="E598" s="30" t="s">
        <v>161</v>
      </c>
      <c r="F598" s="30" t="s">
        <v>791</v>
      </c>
      <c r="G598" s="30" t="s">
        <v>183</v>
      </c>
      <c r="H598" s="30">
        <v>238210</v>
      </c>
      <c r="I598" s="129" t="s">
        <v>59</v>
      </c>
      <c r="J598" s="30" t="s">
        <v>90</v>
      </c>
      <c r="K598" s="31" t="s">
        <v>69</v>
      </c>
      <c r="L598" s="30" t="s">
        <v>1543</v>
      </c>
      <c r="M598" s="39">
        <v>75000</v>
      </c>
      <c r="N598" s="39">
        <v>75000</v>
      </c>
      <c r="O598" s="30" t="s">
        <v>79</v>
      </c>
      <c r="P598" s="30" t="s">
        <v>302</v>
      </c>
      <c r="Q598" s="30" t="s">
        <v>16</v>
      </c>
      <c r="R598" s="30" t="s">
        <v>45</v>
      </c>
      <c r="S598" s="41">
        <v>2014</v>
      </c>
      <c r="T598" s="31" t="s">
        <v>1552</v>
      </c>
      <c r="U598" s="31" t="s">
        <v>1540</v>
      </c>
      <c r="V598" s="30" t="s">
        <v>1553</v>
      </c>
      <c r="W598" s="30" t="s">
        <v>70</v>
      </c>
      <c r="X598" s="30" t="s">
        <v>302</v>
      </c>
      <c r="Y598" s="30" t="s">
        <v>302</v>
      </c>
      <c r="Z598" s="30" t="s">
        <v>302</v>
      </c>
      <c r="AA598" s="30"/>
    </row>
    <row r="599" spans="1:27" s="29" customFormat="1" ht="38.25" customHeight="1">
      <c r="A599" s="30" t="s">
        <v>142</v>
      </c>
      <c r="B599" s="31" t="s">
        <v>48</v>
      </c>
      <c r="C599" s="30" t="s">
        <v>39</v>
      </c>
      <c r="D599" s="30" t="s">
        <v>1555</v>
      </c>
      <c r="E599" s="30" t="s">
        <v>161</v>
      </c>
      <c r="F599" s="30" t="s">
        <v>791</v>
      </c>
      <c r="G599" s="30" t="s">
        <v>183</v>
      </c>
      <c r="H599" s="30">
        <v>238210</v>
      </c>
      <c r="I599" s="129" t="s">
        <v>59</v>
      </c>
      <c r="J599" s="30" t="s">
        <v>90</v>
      </c>
      <c r="K599" s="31" t="s">
        <v>69</v>
      </c>
      <c r="L599" s="30" t="s">
        <v>1543</v>
      </c>
      <c r="M599" s="39">
        <v>82000</v>
      </c>
      <c r="N599" s="39">
        <v>82000</v>
      </c>
      <c r="O599" s="30" t="s">
        <v>79</v>
      </c>
      <c r="P599" s="30" t="s">
        <v>302</v>
      </c>
      <c r="Q599" s="30" t="s">
        <v>16</v>
      </c>
      <c r="R599" s="30" t="s">
        <v>45</v>
      </c>
      <c r="S599" s="41">
        <v>2014</v>
      </c>
      <c r="T599" s="31" t="s">
        <v>1552</v>
      </c>
      <c r="U599" s="31" t="s">
        <v>1540</v>
      </c>
      <c r="V599" s="30" t="s">
        <v>1553</v>
      </c>
      <c r="W599" s="30" t="s">
        <v>70</v>
      </c>
      <c r="X599" s="30" t="s">
        <v>302</v>
      </c>
      <c r="Y599" s="30" t="s">
        <v>302</v>
      </c>
      <c r="Z599" s="30" t="s">
        <v>302</v>
      </c>
      <c r="AA599" s="30"/>
    </row>
    <row r="600" spans="1:27" s="29" customFormat="1" ht="34.5" customHeight="1">
      <c r="A600" s="30" t="s">
        <v>142</v>
      </c>
      <c r="B600" s="31" t="s">
        <v>48</v>
      </c>
      <c r="C600" s="30" t="s">
        <v>39</v>
      </c>
      <c r="D600" s="30" t="s">
        <v>1556</v>
      </c>
      <c r="E600" s="30" t="s">
        <v>164</v>
      </c>
      <c r="F600" s="30" t="s">
        <v>857</v>
      </c>
      <c r="G600" s="30" t="s">
        <v>187</v>
      </c>
      <c r="H600" s="30">
        <v>236220</v>
      </c>
      <c r="I600" s="30" t="s">
        <v>45</v>
      </c>
      <c r="J600" s="30" t="s">
        <v>129</v>
      </c>
      <c r="K600" s="30" t="s">
        <v>45</v>
      </c>
      <c r="L600" s="30" t="s">
        <v>45</v>
      </c>
      <c r="M600" s="39">
        <v>60000</v>
      </c>
      <c r="N600" s="39">
        <v>70000</v>
      </c>
      <c r="O600" s="30" t="s">
        <v>79</v>
      </c>
      <c r="P600" s="30" t="s">
        <v>302</v>
      </c>
      <c r="Q600" s="30" t="s">
        <v>294</v>
      </c>
      <c r="R600" s="30" t="s">
        <v>45</v>
      </c>
      <c r="S600" s="41">
        <v>2014</v>
      </c>
      <c r="T600" s="31" t="s">
        <v>1557</v>
      </c>
      <c r="U600" s="31" t="s">
        <v>1558</v>
      </c>
      <c r="V600" s="30" t="s">
        <v>1559</v>
      </c>
      <c r="W600" s="30" t="s">
        <v>70</v>
      </c>
      <c r="X600" s="30" t="s">
        <v>317</v>
      </c>
      <c r="Y600" s="30" t="s">
        <v>317</v>
      </c>
      <c r="Z600" s="30" t="s">
        <v>317</v>
      </c>
      <c r="AA600" s="30"/>
    </row>
    <row r="601" spans="1:27" s="29" customFormat="1" ht="34.5" customHeight="1">
      <c r="A601" s="30" t="s">
        <v>142</v>
      </c>
      <c r="B601" s="31" t="s">
        <v>48</v>
      </c>
      <c r="C601" s="30" t="s">
        <v>39</v>
      </c>
      <c r="D601" s="30" t="s">
        <v>1560</v>
      </c>
      <c r="E601" s="30" t="s">
        <v>164</v>
      </c>
      <c r="F601" s="30" t="s">
        <v>857</v>
      </c>
      <c r="G601" s="30" t="s">
        <v>187</v>
      </c>
      <c r="H601" s="30">
        <v>236220</v>
      </c>
      <c r="I601" s="30" t="s">
        <v>45</v>
      </c>
      <c r="J601" s="30" t="s">
        <v>129</v>
      </c>
      <c r="K601" s="30" t="s">
        <v>45</v>
      </c>
      <c r="L601" s="30" t="s">
        <v>45</v>
      </c>
      <c r="M601" s="39">
        <v>30000</v>
      </c>
      <c r="N601" s="39">
        <v>35000</v>
      </c>
      <c r="O601" s="30" t="s">
        <v>79</v>
      </c>
      <c r="P601" s="30" t="s">
        <v>302</v>
      </c>
      <c r="Q601" s="30" t="s">
        <v>294</v>
      </c>
      <c r="R601" s="30" t="s">
        <v>45</v>
      </c>
      <c r="S601" s="41">
        <v>2014</v>
      </c>
      <c r="T601" s="31" t="s">
        <v>1557</v>
      </c>
      <c r="U601" s="31" t="s">
        <v>1558</v>
      </c>
      <c r="V601" s="30" t="s">
        <v>1559</v>
      </c>
      <c r="W601" s="30" t="s">
        <v>70</v>
      </c>
      <c r="X601" s="30" t="s">
        <v>317</v>
      </c>
      <c r="Y601" s="30" t="s">
        <v>317</v>
      </c>
      <c r="Z601" s="30" t="s">
        <v>317</v>
      </c>
      <c r="AA601" s="30"/>
    </row>
    <row r="602" spans="1:27" s="29" customFormat="1" ht="34.5" customHeight="1">
      <c r="A602" s="30" t="s">
        <v>142</v>
      </c>
      <c r="B602" s="31" t="s">
        <v>48</v>
      </c>
      <c r="C602" s="30" t="s">
        <v>39</v>
      </c>
      <c r="D602" s="30" t="s">
        <v>1561</v>
      </c>
      <c r="E602" s="30" t="s">
        <v>164</v>
      </c>
      <c r="F602" s="30" t="s">
        <v>1501</v>
      </c>
      <c r="G602" s="30" t="s">
        <v>187</v>
      </c>
      <c r="H602" s="30">
        <v>238220</v>
      </c>
      <c r="I602" s="30" t="s">
        <v>45</v>
      </c>
      <c r="J602" s="30" t="s">
        <v>129</v>
      </c>
      <c r="K602" s="30" t="s">
        <v>45</v>
      </c>
      <c r="L602" s="30" t="s">
        <v>45</v>
      </c>
      <c r="M602" s="39">
        <v>85000</v>
      </c>
      <c r="N602" s="39">
        <v>105000</v>
      </c>
      <c r="O602" s="30" t="s">
        <v>79</v>
      </c>
      <c r="P602" s="30" t="s">
        <v>302</v>
      </c>
      <c r="Q602" s="30" t="s">
        <v>294</v>
      </c>
      <c r="R602" s="30" t="s">
        <v>45</v>
      </c>
      <c r="S602" s="41">
        <v>2014</v>
      </c>
      <c r="T602" s="31" t="s">
        <v>1557</v>
      </c>
      <c r="U602" s="31" t="s">
        <v>1558</v>
      </c>
      <c r="V602" s="30" t="s">
        <v>1559</v>
      </c>
      <c r="W602" s="30" t="s">
        <v>70</v>
      </c>
      <c r="X602" s="30" t="s">
        <v>317</v>
      </c>
      <c r="Y602" s="30" t="s">
        <v>317</v>
      </c>
      <c r="Z602" s="30" t="s">
        <v>317</v>
      </c>
      <c r="AA602" s="30"/>
    </row>
    <row r="603" spans="1:27" s="29" customFormat="1" ht="34.5" customHeight="1">
      <c r="A603" s="30" t="s">
        <v>142</v>
      </c>
      <c r="B603" s="31" t="s">
        <v>48</v>
      </c>
      <c r="C603" s="30" t="s">
        <v>39</v>
      </c>
      <c r="D603" s="30" t="s">
        <v>1562</v>
      </c>
      <c r="E603" s="30" t="s">
        <v>164</v>
      </c>
      <c r="F603" s="30" t="s">
        <v>1501</v>
      </c>
      <c r="G603" s="30" t="s">
        <v>187</v>
      </c>
      <c r="H603" s="30">
        <v>236220</v>
      </c>
      <c r="I603" s="30" t="s">
        <v>45</v>
      </c>
      <c r="J603" s="30" t="s">
        <v>129</v>
      </c>
      <c r="K603" s="30" t="s">
        <v>45</v>
      </c>
      <c r="L603" s="30" t="s">
        <v>45</v>
      </c>
      <c r="M603" s="39">
        <v>110000</v>
      </c>
      <c r="N603" s="39">
        <v>140000</v>
      </c>
      <c r="O603" s="30" t="s">
        <v>79</v>
      </c>
      <c r="P603" s="30" t="s">
        <v>302</v>
      </c>
      <c r="Q603" s="30" t="s">
        <v>294</v>
      </c>
      <c r="R603" s="30" t="s">
        <v>45</v>
      </c>
      <c r="S603" s="41">
        <v>2014</v>
      </c>
      <c r="T603" s="31" t="s">
        <v>1557</v>
      </c>
      <c r="U603" s="31" t="s">
        <v>1558</v>
      </c>
      <c r="V603" s="30" t="s">
        <v>1559</v>
      </c>
      <c r="W603" s="30" t="s">
        <v>70</v>
      </c>
      <c r="X603" s="30" t="s">
        <v>317</v>
      </c>
      <c r="Y603" s="30" t="s">
        <v>317</v>
      </c>
      <c r="Z603" s="30" t="s">
        <v>317</v>
      </c>
      <c r="AA603" s="30"/>
    </row>
    <row r="604" spans="1:27" s="29" customFormat="1" ht="34.5" customHeight="1">
      <c r="A604" s="30" t="s">
        <v>142</v>
      </c>
      <c r="B604" s="31" t="s">
        <v>48</v>
      </c>
      <c r="C604" s="30" t="s">
        <v>144</v>
      </c>
      <c r="D604" s="30" t="s">
        <v>1563</v>
      </c>
      <c r="E604" s="30" t="s">
        <v>164</v>
      </c>
      <c r="F604" s="30" t="s">
        <v>1474</v>
      </c>
      <c r="G604" s="30" t="s">
        <v>156</v>
      </c>
      <c r="H604" s="30">
        <v>531120</v>
      </c>
      <c r="I604" s="30" t="s">
        <v>98</v>
      </c>
      <c r="J604" s="30" t="s">
        <v>129</v>
      </c>
      <c r="K604" s="30" t="s">
        <v>44</v>
      </c>
      <c r="L604" s="30" t="s">
        <v>344</v>
      </c>
      <c r="M604" s="39">
        <v>4500</v>
      </c>
      <c r="N604" s="39">
        <v>4713.12</v>
      </c>
      <c r="O604" s="30" t="s">
        <v>149</v>
      </c>
      <c r="P604" s="30" t="s">
        <v>1564</v>
      </c>
      <c r="Q604" s="30" t="s">
        <v>294</v>
      </c>
      <c r="R604" s="30" t="s">
        <v>150</v>
      </c>
      <c r="S604" s="41">
        <v>2014</v>
      </c>
      <c r="T604" s="31" t="s">
        <v>1565</v>
      </c>
      <c r="U604" s="31" t="s">
        <v>1566</v>
      </c>
      <c r="V604" s="30" t="s">
        <v>1567</v>
      </c>
      <c r="W604" s="30" t="s">
        <v>70</v>
      </c>
      <c r="X604" s="30" t="s">
        <v>302</v>
      </c>
      <c r="Y604" s="44">
        <v>41579</v>
      </c>
      <c r="Z604" s="44">
        <v>41638</v>
      </c>
      <c r="AA604" s="30" t="s">
        <v>1568</v>
      </c>
    </row>
    <row r="605" spans="1:27" s="29" customFormat="1" ht="34.5" customHeight="1">
      <c r="A605" s="30" t="s">
        <v>142</v>
      </c>
      <c r="B605" s="31" t="s">
        <v>48</v>
      </c>
      <c r="C605" s="30" t="s">
        <v>144</v>
      </c>
      <c r="D605" s="30" t="s">
        <v>1569</v>
      </c>
      <c r="E605" s="30" t="s">
        <v>88</v>
      </c>
      <c r="F605" s="30" t="s">
        <v>1570</v>
      </c>
      <c r="G605" s="30" t="s">
        <v>183</v>
      </c>
      <c r="H605" s="30">
        <v>238220</v>
      </c>
      <c r="I605" s="30" t="s">
        <v>67</v>
      </c>
      <c r="J605" s="30" t="s">
        <v>129</v>
      </c>
      <c r="K605" s="30" t="s">
        <v>148</v>
      </c>
      <c r="L605" s="30" t="s">
        <v>1571</v>
      </c>
      <c r="M605" s="39">
        <v>14899</v>
      </c>
      <c r="N605" s="39">
        <v>14899</v>
      </c>
      <c r="O605" s="30" t="s">
        <v>149</v>
      </c>
      <c r="P605" s="30" t="s">
        <v>1572</v>
      </c>
      <c r="Q605" s="129" t="s">
        <v>867</v>
      </c>
      <c r="R605" s="155" t="s">
        <v>80</v>
      </c>
      <c r="S605" s="41">
        <v>2014</v>
      </c>
      <c r="T605" s="31" t="s">
        <v>1573</v>
      </c>
      <c r="U605" s="31" t="s">
        <v>1574</v>
      </c>
      <c r="V605" s="30" t="s">
        <v>1575</v>
      </c>
      <c r="W605" s="30" t="s">
        <v>70</v>
      </c>
      <c r="X605" s="30" t="s">
        <v>302</v>
      </c>
      <c r="Y605" s="44">
        <v>41699</v>
      </c>
      <c r="Z605" s="44">
        <v>42428</v>
      </c>
      <c r="AA605" s="30" t="s">
        <v>1576</v>
      </c>
    </row>
    <row r="606" spans="1:27" s="29" customFormat="1" ht="34.5" customHeight="1">
      <c r="A606" s="30" t="s">
        <v>142</v>
      </c>
      <c r="B606" s="31" t="s">
        <v>48</v>
      </c>
      <c r="C606" s="30" t="s">
        <v>144</v>
      </c>
      <c r="D606" s="30" t="s">
        <v>1577</v>
      </c>
      <c r="E606" s="30" t="s">
        <v>139</v>
      </c>
      <c r="F606" s="30" t="s">
        <v>791</v>
      </c>
      <c r="G606" s="30" t="s">
        <v>183</v>
      </c>
      <c r="H606" s="30">
        <v>334512</v>
      </c>
      <c r="I606" s="30" t="s">
        <v>67</v>
      </c>
      <c r="J606" s="30" t="s">
        <v>129</v>
      </c>
      <c r="K606" s="30" t="s">
        <v>148</v>
      </c>
      <c r="L606" s="30" t="s">
        <v>1571</v>
      </c>
      <c r="M606" s="39">
        <v>2800</v>
      </c>
      <c r="N606" s="39">
        <v>2800</v>
      </c>
      <c r="O606" s="30" t="s">
        <v>149</v>
      </c>
      <c r="P606" s="30" t="s">
        <v>1578</v>
      </c>
      <c r="Q606" s="129" t="s">
        <v>867</v>
      </c>
      <c r="R606" s="30" t="s">
        <v>150</v>
      </c>
      <c r="S606" s="41">
        <v>2014</v>
      </c>
      <c r="T606" s="31" t="s">
        <v>1573</v>
      </c>
      <c r="U606" s="31" t="s">
        <v>1574</v>
      </c>
      <c r="V606" s="30" t="s">
        <v>1575</v>
      </c>
      <c r="W606" s="30" t="s">
        <v>70</v>
      </c>
      <c r="X606" s="30" t="s">
        <v>302</v>
      </c>
      <c r="Y606" s="44">
        <v>41609</v>
      </c>
      <c r="Z606" s="44">
        <v>41973</v>
      </c>
      <c r="AA606" s="30" t="s">
        <v>1579</v>
      </c>
    </row>
    <row r="607" spans="1:27" s="29" customFormat="1" ht="34.5" customHeight="1">
      <c r="A607" s="30" t="s">
        <v>142</v>
      </c>
      <c r="B607" s="31" t="s">
        <v>48</v>
      </c>
      <c r="C607" s="30" t="s">
        <v>144</v>
      </c>
      <c r="D607" s="30" t="s">
        <v>1577</v>
      </c>
      <c r="E607" s="30" t="s">
        <v>139</v>
      </c>
      <c r="F607" s="30" t="s">
        <v>791</v>
      </c>
      <c r="G607" s="30" t="s">
        <v>183</v>
      </c>
      <c r="H607" s="30">
        <v>334512</v>
      </c>
      <c r="I607" s="30" t="s">
        <v>67</v>
      </c>
      <c r="J607" s="30" t="s">
        <v>129</v>
      </c>
      <c r="K607" s="30" t="s">
        <v>148</v>
      </c>
      <c r="L607" s="30" t="s">
        <v>1571</v>
      </c>
      <c r="M607" s="39">
        <v>11035</v>
      </c>
      <c r="N607" s="39">
        <v>11035</v>
      </c>
      <c r="O607" s="30" t="s">
        <v>149</v>
      </c>
      <c r="P607" s="30" t="s">
        <v>1578</v>
      </c>
      <c r="Q607" s="129" t="s">
        <v>867</v>
      </c>
      <c r="R607" s="155" t="s">
        <v>80</v>
      </c>
      <c r="S607" s="41">
        <v>2014</v>
      </c>
      <c r="T607" s="31" t="s">
        <v>1573</v>
      </c>
      <c r="U607" s="31" t="s">
        <v>1574</v>
      </c>
      <c r="V607" s="30" t="s">
        <v>1575</v>
      </c>
      <c r="W607" s="30" t="s">
        <v>70</v>
      </c>
      <c r="X607" s="30" t="s">
        <v>302</v>
      </c>
      <c r="Y607" s="44">
        <v>41699</v>
      </c>
      <c r="Z607" s="44">
        <v>42063</v>
      </c>
      <c r="AA607" s="30" t="s">
        <v>1580</v>
      </c>
    </row>
    <row r="608" spans="1:27" s="29" customFormat="1" ht="34.5" customHeight="1">
      <c r="A608" s="30" t="s">
        <v>142</v>
      </c>
      <c r="B608" s="31" t="s">
        <v>48</v>
      </c>
      <c r="C608" s="30" t="s">
        <v>29</v>
      </c>
      <c r="D608" s="30" t="s">
        <v>1581</v>
      </c>
      <c r="E608" s="30" t="s">
        <v>88</v>
      </c>
      <c r="F608" s="30" t="s">
        <v>791</v>
      </c>
      <c r="G608" s="30" t="s">
        <v>183</v>
      </c>
      <c r="H608" s="30">
        <v>531120</v>
      </c>
      <c r="I608" s="129" t="s">
        <v>546</v>
      </c>
      <c r="J608" s="30" t="s">
        <v>129</v>
      </c>
      <c r="K608" s="30" t="s">
        <v>148</v>
      </c>
      <c r="L608" s="129" t="s">
        <v>3412</v>
      </c>
      <c r="M608" s="39">
        <v>150000</v>
      </c>
      <c r="N608" s="39">
        <v>150000</v>
      </c>
      <c r="O608" s="30" t="s">
        <v>79</v>
      </c>
      <c r="P608" s="30" t="s">
        <v>1582</v>
      </c>
      <c r="Q608" s="30" t="s">
        <v>294</v>
      </c>
      <c r="R608" s="30" t="s">
        <v>150</v>
      </c>
      <c r="S608" s="41">
        <v>2014</v>
      </c>
      <c r="T608" s="31" t="s">
        <v>1573</v>
      </c>
      <c r="U608" s="31" t="s">
        <v>1574</v>
      </c>
      <c r="V608" s="30" t="s">
        <v>1575</v>
      </c>
      <c r="W608" s="30" t="s">
        <v>70</v>
      </c>
      <c r="X608" s="30" t="s">
        <v>302</v>
      </c>
      <c r="Y608" s="44">
        <v>41603</v>
      </c>
      <c r="Z608" s="44">
        <v>41698</v>
      </c>
      <c r="AA608" s="30" t="s">
        <v>1583</v>
      </c>
    </row>
    <row r="609" spans="1:27" s="29" customFormat="1" ht="34.5" customHeight="1">
      <c r="A609" s="30" t="s">
        <v>142</v>
      </c>
      <c r="B609" s="31" t="s">
        <v>48</v>
      </c>
      <c r="C609" s="30" t="s">
        <v>144</v>
      </c>
      <c r="D609" s="30" t="s">
        <v>1520</v>
      </c>
      <c r="E609" s="30" t="s">
        <v>139</v>
      </c>
      <c r="F609" s="30" t="s">
        <v>1518</v>
      </c>
      <c r="G609" s="30" t="s">
        <v>183</v>
      </c>
      <c r="H609" s="30">
        <v>561730</v>
      </c>
      <c r="I609" s="30" t="s">
        <v>98</v>
      </c>
      <c r="J609" s="30" t="s">
        <v>129</v>
      </c>
      <c r="K609" s="30" t="s">
        <v>78</v>
      </c>
      <c r="L609" s="30" t="s">
        <v>1584</v>
      </c>
      <c r="M609" s="39">
        <v>5000</v>
      </c>
      <c r="N609" s="39">
        <v>5000</v>
      </c>
      <c r="O609" s="30" t="s">
        <v>149</v>
      </c>
      <c r="P609" s="30" t="s">
        <v>1585</v>
      </c>
      <c r="Q609" s="30" t="s">
        <v>294</v>
      </c>
      <c r="R609" s="30" t="s">
        <v>150</v>
      </c>
      <c r="S609" s="41">
        <v>2014</v>
      </c>
      <c r="T609" s="31" t="s">
        <v>1573</v>
      </c>
      <c r="U609" s="31" t="s">
        <v>1574</v>
      </c>
      <c r="V609" s="30" t="s">
        <v>1575</v>
      </c>
      <c r="W609" s="30" t="s">
        <v>70</v>
      </c>
      <c r="X609" s="30" t="s">
        <v>302</v>
      </c>
      <c r="Y609" s="44">
        <v>41577</v>
      </c>
      <c r="Z609" s="44">
        <v>41759</v>
      </c>
      <c r="AA609" s="30" t="s">
        <v>1586</v>
      </c>
    </row>
    <row r="610" spans="1:27" s="29" customFormat="1" ht="34.5" customHeight="1">
      <c r="A610" s="30" t="s">
        <v>142</v>
      </c>
      <c r="B610" s="31" t="s">
        <v>48</v>
      </c>
      <c r="C610" s="30" t="s">
        <v>144</v>
      </c>
      <c r="D610" s="30" t="s">
        <v>1520</v>
      </c>
      <c r="E610" s="30" t="s">
        <v>139</v>
      </c>
      <c r="F610" s="30" t="s">
        <v>791</v>
      </c>
      <c r="G610" s="30" t="s">
        <v>183</v>
      </c>
      <c r="H610" s="30">
        <v>561730</v>
      </c>
      <c r="I610" s="30" t="s">
        <v>98</v>
      </c>
      <c r="J610" s="30" t="s">
        <v>129</v>
      </c>
      <c r="K610" s="30" t="s">
        <v>78</v>
      </c>
      <c r="L610" s="30" t="s">
        <v>1584</v>
      </c>
      <c r="M610" s="39">
        <v>50000</v>
      </c>
      <c r="N610" s="39">
        <v>50000</v>
      </c>
      <c r="O610" s="30" t="s">
        <v>79</v>
      </c>
      <c r="P610" s="30" t="s">
        <v>1587</v>
      </c>
      <c r="Q610" s="30" t="s">
        <v>294</v>
      </c>
      <c r="R610" s="30" t="s">
        <v>150</v>
      </c>
      <c r="S610" s="41">
        <v>2014</v>
      </c>
      <c r="T610" s="31" t="s">
        <v>1573</v>
      </c>
      <c r="U610" s="31" t="s">
        <v>1574</v>
      </c>
      <c r="V610" s="30" t="s">
        <v>1575</v>
      </c>
      <c r="W610" s="30" t="s">
        <v>70</v>
      </c>
      <c r="X610" s="30" t="s">
        <v>302</v>
      </c>
      <c r="Y610" s="44">
        <v>41578</v>
      </c>
      <c r="Z610" s="44">
        <v>41759</v>
      </c>
      <c r="AA610" s="30" t="s">
        <v>1588</v>
      </c>
    </row>
    <row r="611" spans="1:27" s="29" customFormat="1" ht="34.5" customHeight="1">
      <c r="A611" s="30" t="s">
        <v>142</v>
      </c>
      <c r="B611" s="31" t="s">
        <v>48</v>
      </c>
      <c r="C611" s="30" t="s">
        <v>144</v>
      </c>
      <c r="D611" s="30" t="s">
        <v>1520</v>
      </c>
      <c r="E611" s="30" t="s">
        <v>139</v>
      </c>
      <c r="F611" s="30" t="s">
        <v>791</v>
      </c>
      <c r="G611" s="30" t="s">
        <v>183</v>
      </c>
      <c r="H611" s="30">
        <v>561730</v>
      </c>
      <c r="I611" s="30" t="s">
        <v>98</v>
      </c>
      <c r="J611" s="30" t="s">
        <v>129</v>
      </c>
      <c r="K611" s="30" t="s">
        <v>78</v>
      </c>
      <c r="L611" s="30" t="s">
        <v>1584</v>
      </c>
      <c r="M611" s="39">
        <v>5000</v>
      </c>
      <c r="N611" s="39">
        <v>5000</v>
      </c>
      <c r="O611" s="30" t="s">
        <v>149</v>
      </c>
      <c r="P611" s="30" t="s">
        <v>1589</v>
      </c>
      <c r="Q611" s="30" t="s">
        <v>294</v>
      </c>
      <c r="R611" s="30" t="s">
        <v>150</v>
      </c>
      <c r="S611" s="41">
        <v>2014</v>
      </c>
      <c r="T611" s="31" t="s">
        <v>1573</v>
      </c>
      <c r="U611" s="31" t="s">
        <v>1574</v>
      </c>
      <c r="V611" s="30" t="s">
        <v>1575</v>
      </c>
      <c r="W611" s="30" t="s">
        <v>70</v>
      </c>
      <c r="X611" s="30" t="s">
        <v>302</v>
      </c>
      <c r="Y611" s="44">
        <v>41578</v>
      </c>
      <c r="Z611" s="44">
        <v>41759</v>
      </c>
      <c r="AA611" s="30" t="s">
        <v>1590</v>
      </c>
    </row>
    <row r="612" spans="1:27" s="29" customFormat="1" ht="34.5" customHeight="1">
      <c r="A612" s="30" t="s">
        <v>142</v>
      </c>
      <c r="B612" s="31" t="s">
        <v>48</v>
      </c>
      <c r="C612" s="30" t="s">
        <v>144</v>
      </c>
      <c r="D612" s="30" t="s">
        <v>1591</v>
      </c>
      <c r="E612" s="30" t="s">
        <v>139</v>
      </c>
      <c r="F612" s="30" t="s">
        <v>791</v>
      </c>
      <c r="G612" s="30" t="s">
        <v>183</v>
      </c>
      <c r="H612" s="30">
        <v>561730</v>
      </c>
      <c r="I612" s="30" t="s">
        <v>98</v>
      </c>
      <c r="J612" s="30" t="s">
        <v>129</v>
      </c>
      <c r="K612" s="30" t="s">
        <v>78</v>
      </c>
      <c r="L612" s="30" t="s">
        <v>1584</v>
      </c>
      <c r="M612" s="39">
        <v>3020</v>
      </c>
      <c r="N612" s="39">
        <v>3060</v>
      </c>
      <c r="O612" s="30" t="s">
        <v>149</v>
      </c>
      <c r="P612" s="30" t="s">
        <v>1592</v>
      </c>
      <c r="Q612" s="30" t="s">
        <v>294</v>
      </c>
      <c r="R612" s="30" t="s">
        <v>150</v>
      </c>
      <c r="S612" s="41">
        <v>2014</v>
      </c>
      <c r="T612" s="31" t="s">
        <v>1573</v>
      </c>
      <c r="U612" s="31" t="s">
        <v>1574</v>
      </c>
      <c r="V612" s="30" t="s">
        <v>1575</v>
      </c>
      <c r="W612" s="30" t="s">
        <v>70</v>
      </c>
      <c r="X612" s="30" t="s">
        <v>302</v>
      </c>
      <c r="Y612" s="44">
        <v>41586</v>
      </c>
      <c r="Z612" s="44">
        <v>41639</v>
      </c>
      <c r="AA612" s="30" t="s">
        <v>1588</v>
      </c>
    </row>
    <row r="613" spans="1:27" s="29" customFormat="1" ht="34.5" customHeight="1">
      <c r="A613" s="30" t="s">
        <v>142</v>
      </c>
      <c r="B613" s="31" t="s">
        <v>48</v>
      </c>
      <c r="C613" s="30" t="s">
        <v>144</v>
      </c>
      <c r="D613" s="30" t="s">
        <v>1593</v>
      </c>
      <c r="E613" s="30" t="s">
        <v>164</v>
      </c>
      <c r="F613" s="30" t="s">
        <v>1594</v>
      </c>
      <c r="G613" s="30" t="s">
        <v>153</v>
      </c>
      <c r="H613" s="30">
        <v>236220</v>
      </c>
      <c r="I613" s="30" t="s">
        <v>98</v>
      </c>
      <c r="J613" s="30" t="s">
        <v>129</v>
      </c>
      <c r="K613" s="30" t="s">
        <v>34</v>
      </c>
      <c r="L613" s="30" t="s">
        <v>302</v>
      </c>
      <c r="M613" s="39">
        <v>11398.4</v>
      </c>
      <c r="N613" s="39">
        <v>11398.4</v>
      </c>
      <c r="O613" s="30" t="s">
        <v>149</v>
      </c>
      <c r="P613" s="30" t="s">
        <v>1595</v>
      </c>
      <c r="Q613" s="30" t="s">
        <v>294</v>
      </c>
      <c r="R613" s="30" t="s">
        <v>150</v>
      </c>
      <c r="S613" s="41">
        <v>2014</v>
      </c>
      <c r="T613" s="31" t="s">
        <v>1596</v>
      </c>
      <c r="U613" s="31" t="s">
        <v>1597</v>
      </c>
      <c r="V613" s="30" t="s">
        <v>1598</v>
      </c>
      <c r="W613" s="30" t="s">
        <v>70</v>
      </c>
      <c r="X613" s="44">
        <v>41576</v>
      </c>
      <c r="Y613" s="44">
        <v>41576</v>
      </c>
      <c r="Z613" s="44">
        <v>41623</v>
      </c>
      <c r="AA613" s="30"/>
    </row>
    <row r="614" spans="1:27" s="29" customFormat="1" ht="34.5" customHeight="1">
      <c r="A614" s="30" t="s">
        <v>142</v>
      </c>
      <c r="B614" s="31" t="s">
        <v>48</v>
      </c>
      <c r="C614" s="30" t="s">
        <v>144</v>
      </c>
      <c r="D614" s="30" t="s">
        <v>1599</v>
      </c>
      <c r="E614" s="30" t="s">
        <v>164</v>
      </c>
      <c r="F614" s="30" t="s">
        <v>1469</v>
      </c>
      <c r="G614" s="30" t="s">
        <v>153</v>
      </c>
      <c r="H614" s="30">
        <v>236220</v>
      </c>
      <c r="I614" s="129" t="s">
        <v>546</v>
      </c>
      <c r="J614" s="30" t="s">
        <v>129</v>
      </c>
      <c r="K614" s="30" t="s">
        <v>148</v>
      </c>
      <c r="L614" s="30" t="s">
        <v>1600</v>
      </c>
      <c r="M614" s="39">
        <v>3678</v>
      </c>
      <c r="N614" s="39">
        <v>3678</v>
      </c>
      <c r="O614" s="30" t="s">
        <v>149</v>
      </c>
      <c r="P614" s="30" t="s">
        <v>1601</v>
      </c>
      <c r="Q614" s="30" t="s">
        <v>294</v>
      </c>
      <c r="R614" s="30" t="s">
        <v>150</v>
      </c>
      <c r="S614" s="41">
        <v>2014</v>
      </c>
      <c r="T614" s="31" t="s">
        <v>1596</v>
      </c>
      <c r="U614" s="31" t="s">
        <v>1597</v>
      </c>
      <c r="V614" s="30" t="s">
        <v>1598</v>
      </c>
      <c r="W614" s="30" t="s">
        <v>70</v>
      </c>
      <c r="X614" s="44">
        <v>41576</v>
      </c>
      <c r="Y614" s="44">
        <v>41576</v>
      </c>
      <c r="Z614" s="44">
        <v>41640</v>
      </c>
      <c r="AA614" s="30"/>
    </row>
    <row r="615" spans="1:27" s="29" customFormat="1" ht="34.5" customHeight="1">
      <c r="A615" s="30" t="s">
        <v>142</v>
      </c>
      <c r="B615" s="31" t="s">
        <v>48</v>
      </c>
      <c r="C615" s="30" t="s">
        <v>144</v>
      </c>
      <c r="D615" s="30" t="s">
        <v>1599</v>
      </c>
      <c r="E615" s="30" t="s">
        <v>164</v>
      </c>
      <c r="F615" s="30" t="s">
        <v>1469</v>
      </c>
      <c r="G615" s="30" t="s">
        <v>153</v>
      </c>
      <c r="H615" s="30">
        <v>236220</v>
      </c>
      <c r="I615" s="129" t="s">
        <v>546</v>
      </c>
      <c r="J615" s="30" t="s">
        <v>129</v>
      </c>
      <c r="K615" s="30" t="s">
        <v>148</v>
      </c>
      <c r="L615" s="30" t="s">
        <v>1600</v>
      </c>
      <c r="M615" s="39">
        <v>32452.5</v>
      </c>
      <c r="N615" s="39">
        <v>32452.5</v>
      </c>
      <c r="O615" s="30" t="s">
        <v>79</v>
      </c>
      <c r="P615" s="30" t="s">
        <v>1601</v>
      </c>
      <c r="Q615" s="30" t="s">
        <v>294</v>
      </c>
      <c r="R615" s="30" t="s">
        <v>150</v>
      </c>
      <c r="S615" s="41">
        <v>2014</v>
      </c>
      <c r="T615" s="31" t="s">
        <v>1596</v>
      </c>
      <c r="U615" s="31" t="s">
        <v>1597</v>
      </c>
      <c r="V615" s="30" t="s">
        <v>1598</v>
      </c>
      <c r="W615" s="30" t="s">
        <v>70</v>
      </c>
      <c r="X615" s="44">
        <v>41576</v>
      </c>
      <c r="Y615" s="44">
        <v>41576</v>
      </c>
      <c r="Z615" s="44">
        <v>41640</v>
      </c>
      <c r="AA615" s="30"/>
    </row>
    <row r="616" spans="1:27" s="29" customFormat="1" ht="34.5" customHeight="1">
      <c r="A616" s="30" t="s">
        <v>142</v>
      </c>
      <c r="B616" s="31" t="s">
        <v>48</v>
      </c>
      <c r="C616" s="30" t="s">
        <v>144</v>
      </c>
      <c r="D616" s="30" t="s">
        <v>1520</v>
      </c>
      <c r="E616" s="30" t="s">
        <v>139</v>
      </c>
      <c r="F616" s="30" t="s">
        <v>1443</v>
      </c>
      <c r="G616" s="30" t="s">
        <v>153</v>
      </c>
      <c r="H616" s="30">
        <v>561720</v>
      </c>
      <c r="I616" s="30" t="s">
        <v>42</v>
      </c>
      <c r="J616" s="30" t="s">
        <v>112</v>
      </c>
      <c r="K616" s="30" t="s">
        <v>148</v>
      </c>
      <c r="L616" s="30" t="s">
        <v>302</v>
      </c>
      <c r="M616" s="39">
        <v>5000</v>
      </c>
      <c r="N616" s="39">
        <v>7500</v>
      </c>
      <c r="O616" s="30" t="s">
        <v>149</v>
      </c>
      <c r="P616" s="30" t="s">
        <v>1602</v>
      </c>
      <c r="Q616" s="30" t="s">
        <v>294</v>
      </c>
      <c r="R616" s="30" t="s">
        <v>150</v>
      </c>
      <c r="S616" s="41">
        <v>2014</v>
      </c>
      <c r="T616" s="31" t="s">
        <v>1596</v>
      </c>
      <c r="U616" s="31" t="s">
        <v>1597</v>
      </c>
      <c r="V616" s="30" t="s">
        <v>1598</v>
      </c>
      <c r="W616" s="30" t="s">
        <v>70</v>
      </c>
      <c r="X616" s="44">
        <v>41570</v>
      </c>
      <c r="Y616" s="44">
        <v>41570</v>
      </c>
      <c r="Z616" s="44">
        <v>41760</v>
      </c>
      <c r="AA616" s="30"/>
    </row>
    <row r="617" spans="1:27" s="29" customFormat="1" ht="34.5" customHeight="1">
      <c r="A617" s="30" t="s">
        <v>142</v>
      </c>
      <c r="B617" s="31" t="s">
        <v>48</v>
      </c>
      <c r="C617" s="30" t="s">
        <v>144</v>
      </c>
      <c r="D617" s="30" t="s">
        <v>1520</v>
      </c>
      <c r="E617" s="30" t="s">
        <v>139</v>
      </c>
      <c r="F617" s="30" t="s">
        <v>1603</v>
      </c>
      <c r="G617" s="30" t="s">
        <v>153</v>
      </c>
      <c r="H617" s="30">
        <v>561720</v>
      </c>
      <c r="I617" s="129" t="s">
        <v>546</v>
      </c>
      <c r="J617" s="30" t="s">
        <v>112</v>
      </c>
      <c r="K617" s="30" t="s">
        <v>148</v>
      </c>
      <c r="L617" s="30" t="s">
        <v>302</v>
      </c>
      <c r="M617" s="39">
        <v>10000</v>
      </c>
      <c r="N617" s="39">
        <v>10000</v>
      </c>
      <c r="O617" s="30" t="s">
        <v>149</v>
      </c>
      <c r="P617" s="30" t="s">
        <v>1493</v>
      </c>
      <c r="Q617" s="30" t="s">
        <v>294</v>
      </c>
      <c r="R617" s="30" t="s">
        <v>150</v>
      </c>
      <c r="S617" s="41">
        <v>2014</v>
      </c>
      <c r="T617" s="31" t="s">
        <v>1596</v>
      </c>
      <c r="U617" s="31" t="s">
        <v>1597</v>
      </c>
      <c r="V617" s="30" t="s">
        <v>1598</v>
      </c>
      <c r="W617" s="30" t="s">
        <v>70</v>
      </c>
      <c r="X617" s="44">
        <v>41570</v>
      </c>
      <c r="Y617" s="44">
        <v>41570</v>
      </c>
      <c r="Z617" s="44">
        <v>41760</v>
      </c>
      <c r="AA617" s="30"/>
    </row>
    <row r="618" spans="1:27" s="29" customFormat="1" ht="34.5" customHeight="1">
      <c r="A618" s="30" t="s">
        <v>142</v>
      </c>
      <c r="B618" s="31" t="s">
        <v>48</v>
      </c>
      <c r="C618" s="30" t="s">
        <v>144</v>
      </c>
      <c r="D618" s="30" t="s">
        <v>1520</v>
      </c>
      <c r="E618" s="30" t="s">
        <v>139</v>
      </c>
      <c r="F618" s="30" t="s">
        <v>1495</v>
      </c>
      <c r="G618" s="30" t="s">
        <v>153</v>
      </c>
      <c r="H618" s="30">
        <v>561720</v>
      </c>
      <c r="I618" s="129" t="s">
        <v>546</v>
      </c>
      <c r="J618" s="30" t="s">
        <v>112</v>
      </c>
      <c r="K618" s="30" t="s">
        <v>148</v>
      </c>
      <c r="L618" s="30" t="s">
        <v>302</v>
      </c>
      <c r="M618" s="39">
        <v>5000</v>
      </c>
      <c r="N618" s="39">
        <v>7500</v>
      </c>
      <c r="O618" s="30" t="s">
        <v>149</v>
      </c>
      <c r="P618" s="30" t="s">
        <v>1475</v>
      </c>
      <c r="Q618" s="30" t="s">
        <v>294</v>
      </c>
      <c r="R618" s="30" t="s">
        <v>150</v>
      </c>
      <c r="S618" s="41">
        <v>2014</v>
      </c>
      <c r="T618" s="31" t="s">
        <v>1596</v>
      </c>
      <c r="U618" s="31" t="s">
        <v>1597</v>
      </c>
      <c r="V618" s="30" t="s">
        <v>1598</v>
      </c>
      <c r="W618" s="30" t="s">
        <v>70</v>
      </c>
      <c r="X618" s="44">
        <v>41570</v>
      </c>
      <c r="Y618" s="44">
        <v>41570</v>
      </c>
      <c r="Z618" s="44">
        <v>41760</v>
      </c>
      <c r="AA618" s="30"/>
    </row>
    <row r="619" spans="1:27" s="29" customFormat="1" ht="34.5" customHeight="1">
      <c r="A619" s="30" t="s">
        <v>142</v>
      </c>
      <c r="B619" s="31" t="s">
        <v>48</v>
      </c>
      <c r="C619" s="30" t="s">
        <v>144</v>
      </c>
      <c r="D619" s="30" t="s">
        <v>1520</v>
      </c>
      <c r="E619" s="30" t="s">
        <v>139</v>
      </c>
      <c r="F619" s="30" t="s">
        <v>1469</v>
      </c>
      <c r="G619" s="30" t="s">
        <v>153</v>
      </c>
      <c r="H619" s="30">
        <v>561720</v>
      </c>
      <c r="I619" s="129" t="s">
        <v>32</v>
      </c>
      <c r="J619" s="30" t="s">
        <v>112</v>
      </c>
      <c r="K619" s="30" t="s">
        <v>148</v>
      </c>
      <c r="L619" s="30" t="s">
        <v>302</v>
      </c>
      <c r="M619" s="39">
        <v>40000</v>
      </c>
      <c r="N619" s="39">
        <v>1000</v>
      </c>
      <c r="O619" s="30" t="s">
        <v>79</v>
      </c>
      <c r="P619" s="30" t="s">
        <v>1604</v>
      </c>
      <c r="Q619" s="30" t="s">
        <v>294</v>
      </c>
      <c r="R619" s="30" t="s">
        <v>150</v>
      </c>
      <c r="S619" s="41">
        <v>2014</v>
      </c>
      <c r="T619" s="31" t="s">
        <v>1596</v>
      </c>
      <c r="U619" s="31" t="s">
        <v>1597</v>
      </c>
      <c r="V619" s="30" t="s">
        <v>1598</v>
      </c>
      <c r="W619" s="30" t="s">
        <v>1605</v>
      </c>
      <c r="X619" s="44">
        <v>41582</v>
      </c>
      <c r="Y619" s="44">
        <v>41582</v>
      </c>
      <c r="Z619" s="44">
        <v>41760</v>
      </c>
      <c r="AA619" s="30"/>
    </row>
    <row r="620" spans="1:27" s="29" customFormat="1" ht="34.5" customHeight="1">
      <c r="A620" s="30" t="s">
        <v>142</v>
      </c>
      <c r="B620" s="31" t="s">
        <v>48</v>
      </c>
      <c r="C620" s="30" t="s">
        <v>95</v>
      </c>
      <c r="D620" s="30" t="s">
        <v>1606</v>
      </c>
      <c r="E620" s="30" t="s">
        <v>164</v>
      </c>
      <c r="F620" s="30" t="s">
        <v>1469</v>
      </c>
      <c r="G620" s="30" t="s">
        <v>153</v>
      </c>
      <c r="H620" s="30">
        <v>236220</v>
      </c>
      <c r="I620" s="30" t="s">
        <v>98</v>
      </c>
      <c r="J620" s="30" t="s">
        <v>129</v>
      </c>
      <c r="K620" s="30" t="s">
        <v>69</v>
      </c>
      <c r="L620" s="30" t="s">
        <v>1607</v>
      </c>
      <c r="M620" s="39">
        <v>17000</v>
      </c>
      <c r="N620" s="39">
        <v>17000</v>
      </c>
      <c r="O620" s="30" t="s">
        <v>149</v>
      </c>
      <c r="P620" s="30" t="s">
        <v>302</v>
      </c>
      <c r="Q620" s="30" t="s">
        <v>294</v>
      </c>
      <c r="R620" s="30" t="s">
        <v>150</v>
      </c>
      <c r="S620" s="41">
        <v>2014</v>
      </c>
      <c r="T620" s="31" t="s">
        <v>1596</v>
      </c>
      <c r="U620" s="31" t="s">
        <v>1597</v>
      </c>
      <c r="V620" s="30" t="s">
        <v>1598</v>
      </c>
      <c r="W620" s="30" t="s">
        <v>1605</v>
      </c>
      <c r="X620" s="44">
        <v>41583</v>
      </c>
      <c r="Y620" s="44">
        <v>41593</v>
      </c>
      <c r="Z620" s="44">
        <v>41654</v>
      </c>
      <c r="AA620" s="30"/>
    </row>
    <row r="621" spans="1:27" s="29" customFormat="1" ht="34.5" customHeight="1">
      <c r="A621" s="30" t="s">
        <v>142</v>
      </c>
      <c r="B621" s="31" t="s">
        <v>48</v>
      </c>
      <c r="C621" s="30" t="s">
        <v>39</v>
      </c>
      <c r="D621" s="30" t="s">
        <v>1608</v>
      </c>
      <c r="E621" s="30" t="s">
        <v>164</v>
      </c>
      <c r="F621" s="30" t="s">
        <v>1495</v>
      </c>
      <c r="G621" s="30" t="s">
        <v>153</v>
      </c>
      <c r="H621" s="30">
        <v>236220</v>
      </c>
      <c r="I621" s="30" t="s">
        <v>98</v>
      </c>
      <c r="J621" s="30" t="s">
        <v>129</v>
      </c>
      <c r="K621" s="30" t="s">
        <v>69</v>
      </c>
      <c r="L621" s="30" t="s">
        <v>1607</v>
      </c>
      <c r="M621" s="39">
        <v>66500</v>
      </c>
      <c r="N621" s="39">
        <v>66500</v>
      </c>
      <c r="O621" s="30" t="s">
        <v>79</v>
      </c>
      <c r="P621" s="30" t="s">
        <v>302</v>
      </c>
      <c r="Q621" s="30" t="s">
        <v>294</v>
      </c>
      <c r="R621" s="30" t="s">
        <v>150</v>
      </c>
      <c r="S621" s="41">
        <v>2014</v>
      </c>
      <c r="T621" s="31" t="s">
        <v>1596</v>
      </c>
      <c r="U621" s="31" t="s">
        <v>1597</v>
      </c>
      <c r="V621" s="30" t="s">
        <v>1598</v>
      </c>
      <c r="W621" s="30" t="s">
        <v>1605</v>
      </c>
      <c r="X621" s="44">
        <v>41623</v>
      </c>
      <c r="Y621" s="44">
        <v>41638</v>
      </c>
      <c r="Z621" s="44">
        <v>41698</v>
      </c>
      <c r="AA621" s="30"/>
    </row>
    <row r="622" spans="1:27" s="29" customFormat="1" ht="34.5" customHeight="1">
      <c r="A622" s="30" t="s">
        <v>142</v>
      </c>
      <c r="B622" s="31" t="s">
        <v>48</v>
      </c>
      <c r="C622" s="30" t="s">
        <v>39</v>
      </c>
      <c r="D622" s="30" t="s">
        <v>1609</v>
      </c>
      <c r="E622" s="30" t="s">
        <v>164</v>
      </c>
      <c r="F622" s="30" t="s">
        <v>1469</v>
      </c>
      <c r="G622" s="30" t="s">
        <v>153</v>
      </c>
      <c r="H622" s="30">
        <v>236220</v>
      </c>
      <c r="I622" s="30" t="s">
        <v>98</v>
      </c>
      <c r="J622" s="30" t="s">
        <v>129</v>
      </c>
      <c r="K622" s="30" t="s">
        <v>69</v>
      </c>
      <c r="L622" s="30" t="s">
        <v>1607</v>
      </c>
      <c r="M622" s="39">
        <v>27000</v>
      </c>
      <c r="N622" s="39">
        <v>27000</v>
      </c>
      <c r="O622" s="30" t="s">
        <v>79</v>
      </c>
      <c r="P622" s="30" t="s">
        <v>302</v>
      </c>
      <c r="Q622" s="30" t="s">
        <v>294</v>
      </c>
      <c r="R622" s="155" t="s">
        <v>80</v>
      </c>
      <c r="S622" s="41">
        <v>2014</v>
      </c>
      <c r="T622" s="31" t="s">
        <v>1596</v>
      </c>
      <c r="U622" s="31" t="s">
        <v>1597</v>
      </c>
      <c r="V622" s="30" t="s">
        <v>1598</v>
      </c>
      <c r="W622" s="30" t="s">
        <v>1605</v>
      </c>
      <c r="X622" s="44">
        <v>41654</v>
      </c>
      <c r="Y622" s="44">
        <v>41661</v>
      </c>
      <c r="Z622" s="44">
        <v>41728</v>
      </c>
      <c r="AA622" s="30"/>
    </row>
    <row r="623" spans="1:27" s="29" customFormat="1" ht="34.5" customHeight="1">
      <c r="A623" s="30" t="s">
        <v>142</v>
      </c>
      <c r="B623" s="31" t="s">
        <v>48</v>
      </c>
      <c r="C623" s="30" t="s">
        <v>39</v>
      </c>
      <c r="D623" s="30" t="s">
        <v>1610</v>
      </c>
      <c r="E623" s="30" t="s">
        <v>164</v>
      </c>
      <c r="F623" s="30" t="s">
        <v>1594</v>
      </c>
      <c r="G623" s="30" t="s">
        <v>153</v>
      </c>
      <c r="H623" s="30">
        <v>236220</v>
      </c>
      <c r="I623" s="30" t="s">
        <v>45</v>
      </c>
      <c r="J623" s="30" t="s">
        <v>129</v>
      </c>
      <c r="K623" s="30" t="s">
        <v>45</v>
      </c>
      <c r="L623" s="30" t="s">
        <v>1611</v>
      </c>
      <c r="M623" s="39">
        <v>14000</v>
      </c>
      <c r="N623" s="39">
        <v>14000</v>
      </c>
      <c r="O623" s="30" t="s">
        <v>149</v>
      </c>
      <c r="P623" s="30" t="s">
        <v>302</v>
      </c>
      <c r="Q623" s="30" t="s">
        <v>294</v>
      </c>
      <c r="R623" s="30" t="s">
        <v>150</v>
      </c>
      <c r="S623" s="41">
        <v>2014</v>
      </c>
      <c r="T623" s="31" t="s">
        <v>1596</v>
      </c>
      <c r="U623" s="31" t="s">
        <v>1597</v>
      </c>
      <c r="V623" s="30" t="s">
        <v>1598</v>
      </c>
      <c r="W623" s="30" t="s">
        <v>1605</v>
      </c>
      <c r="X623" s="44">
        <v>41593</v>
      </c>
      <c r="Y623" s="44">
        <v>41609</v>
      </c>
      <c r="Z623" s="44">
        <v>41685</v>
      </c>
      <c r="AA623" s="30"/>
    </row>
    <row r="624" spans="1:27" s="29" customFormat="1" ht="34.5" customHeight="1">
      <c r="A624" s="30" t="s">
        <v>142</v>
      </c>
      <c r="B624" s="31" t="s">
        <v>48</v>
      </c>
      <c r="C624" s="30" t="s">
        <v>39</v>
      </c>
      <c r="D624" s="30" t="s">
        <v>1612</v>
      </c>
      <c r="E624" s="30" t="s">
        <v>164</v>
      </c>
      <c r="F624" s="30" t="s">
        <v>1469</v>
      </c>
      <c r="G624" s="30" t="s">
        <v>153</v>
      </c>
      <c r="H624" s="30">
        <v>236220</v>
      </c>
      <c r="I624" s="30" t="s">
        <v>98</v>
      </c>
      <c r="J624" s="30" t="s">
        <v>129</v>
      </c>
      <c r="K624" s="30" t="s">
        <v>69</v>
      </c>
      <c r="L624" s="30" t="s">
        <v>1607</v>
      </c>
      <c r="M624" s="39">
        <v>19000</v>
      </c>
      <c r="N624" s="39">
        <v>19000</v>
      </c>
      <c r="O624" s="30" t="s">
        <v>149</v>
      </c>
      <c r="P624" s="30" t="s">
        <v>302</v>
      </c>
      <c r="Q624" s="30" t="s">
        <v>294</v>
      </c>
      <c r="R624" s="30" t="s">
        <v>150</v>
      </c>
      <c r="S624" s="41">
        <v>2014</v>
      </c>
      <c r="T624" s="31" t="s">
        <v>1596</v>
      </c>
      <c r="U624" s="31" t="s">
        <v>1597</v>
      </c>
      <c r="V624" s="30" t="s">
        <v>1598</v>
      </c>
      <c r="W624" s="30" t="s">
        <v>1605</v>
      </c>
      <c r="X624" s="44">
        <v>41609</v>
      </c>
      <c r="Y624" s="44">
        <v>41616</v>
      </c>
      <c r="Z624" s="44">
        <v>41698</v>
      </c>
      <c r="AA624" s="30"/>
    </row>
    <row r="625" spans="1:27" s="29" customFormat="1" ht="34.5" customHeight="1">
      <c r="A625" s="30" t="s">
        <v>142</v>
      </c>
      <c r="B625" s="31" t="s">
        <v>48</v>
      </c>
      <c r="C625" s="30" t="s">
        <v>39</v>
      </c>
      <c r="D625" s="30" t="s">
        <v>1613</v>
      </c>
      <c r="E625" s="30" t="s">
        <v>164</v>
      </c>
      <c r="F625" s="30" t="s">
        <v>1495</v>
      </c>
      <c r="G625" s="30" t="s">
        <v>153</v>
      </c>
      <c r="H625" s="30">
        <v>236220</v>
      </c>
      <c r="I625" s="30" t="s">
        <v>98</v>
      </c>
      <c r="J625" s="30" t="s">
        <v>129</v>
      </c>
      <c r="K625" s="30" t="s">
        <v>69</v>
      </c>
      <c r="L625" s="30" t="s">
        <v>1607</v>
      </c>
      <c r="M625" s="39">
        <v>15000</v>
      </c>
      <c r="N625" s="39">
        <v>15000</v>
      </c>
      <c r="O625" s="30" t="s">
        <v>149</v>
      </c>
      <c r="P625" s="30" t="s">
        <v>302</v>
      </c>
      <c r="Q625" s="30" t="s">
        <v>294</v>
      </c>
      <c r="R625" s="30" t="s">
        <v>150</v>
      </c>
      <c r="S625" s="41">
        <v>2014</v>
      </c>
      <c r="T625" s="31" t="s">
        <v>1596</v>
      </c>
      <c r="U625" s="31" t="s">
        <v>1597</v>
      </c>
      <c r="V625" s="30" t="s">
        <v>1598</v>
      </c>
      <c r="W625" s="30" t="s">
        <v>1605</v>
      </c>
      <c r="X625" s="44">
        <v>41593</v>
      </c>
      <c r="Y625" s="44">
        <v>41600</v>
      </c>
      <c r="Z625" s="44">
        <v>41654</v>
      </c>
      <c r="AA625" s="30"/>
    </row>
    <row r="626" spans="1:27" s="29" customFormat="1" ht="34.5" customHeight="1">
      <c r="A626" s="30" t="s">
        <v>142</v>
      </c>
      <c r="B626" s="31" t="s">
        <v>48</v>
      </c>
      <c r="C626" s="30" t="s">
        <v>39</v>
      </c>
      <c r="D626" s="30" t="s">
        <v>1614</v>
      </c>
      <c r="E626" s="30" t="s">
        <v>164</v>
      </c>
      <c r="F626" s="30" t="s">
        <v>1495</v>
      </c>
      <c r="G626" s="30" t="s">
        <v>153</v>
      </c>
      <c r="H626" s="30">
        <v>236220</v>
      </c>
      <c r="I626" s="30" t="s">
        <v>98</v>
      </c>
      <c r="J626" s="30" t="s">
        <v>129</v>
      </c>
      <c r="K626" s="30" t="s">
        <v>34</v>
      </c>
      <c r="L626" s="30" t="s">
        <v>302</v>
      </c>
      <c r="M626" s="39">
        <v>13000</v>
      </c>
      <c r="N626" s="39">
        <v>13000</v>
      </c>
      <c r="O626" s="30" t="s">
        <v>149</v>
      </c>
      <c r="P626" s="30" t="s">
        <v>302</v>
      </c>
      <c r="Q626" s="30" t="s">
        <v>294</v>
      </c>
      <c r="R626" s="30" t="s">
        <v>150</v>
      </c>
      <c r="S626" s="41">
        <v>2014</v>
      </c>
      <c r="T626" s="31" t="s">
        <v>1596</v>
      </c>
      <c r="U626" s="31" t="s">
        <v>1597</v>
      </c>
      <c r="V626" s="30" t="s">
        <v>1598</v>
      </c>
      <c r="W626" s="30" t="s">
        <v>1605</v>
      </c>
      <c r="X626" s="44">
        <v>41609</v>
      </c>
      <c r="Y626" s="44">
        <v>41623</v>
      </c>
      <c r="Z626" s="44">
        <v>41670</v>
      </c>
      <c r="AA626" s="30"/>
    </row>
    <row r="627" spans="1:27" s="29" customFormat="1" ht="34.5" customHeight="1">
      <c r="A627" s="30" t="s">
        <v>142</v>
      </c>
      <c r="B627" s="31" t="s">
        <v>48</v>
      </c>
      <c r="C627" s="30" t="s">
        <v>39</v>
      </c>
      <c r="D627" s="30" t="s">
        <v>1615</v>
      </c>
      <c r="E627" s="30" t="s">
        <v>164</v>
      </c>
      <c r="F627" s="30" t="s">
        <v>1616</v>
      </c>
      <c r="G627" s="30" t="s">
        <v>153</v>
      </c>
      <c r="H627" s="30">
        <v>236220</v>
      </c>
      <c r="I627" s="129" t="s">
        <v>546</v>
      </c>
      <c r="J627" s="30" t="s">
        <v>129</v>
      </c>
      <c r="K627" s="30" t="s">
        <v>148</v>
      </c>
      <c r="L627" s="30" t="s">
        <v>1600</v>
      </c>
      <c r="M627" s="39">
        <v>6700</v>
      </c>
      <c r="N627" s="39">
        <v>6700</v>
      </c>
      <c r="O627" s="30" t="s">
        <v>149</v>
      </c>
      <c r="P627" s="30" t="s">
        <v>302</v>
      </c>
      <c r="Q627" s="30" t="s">
        <v>294</v>
      </c>
      <c r="R627" s="30" t="s">
        <v>150</v>
      </c>
      <c r="S627" s="41">
        <v>2014</v>
      </c>
      <c r="T627" s="31" t="s">
        <v>1596</v>
      </c>
      <c r="U627" s="31" t="s">
        <v>1597</v>
      </c>
      <c r="V627" s="30" t="s">
        <v>1598</v>
      </c>
      <c r="W627" s="30" t="s">
        <v>1605</v>
      </c>
      <c r="X627" s="44">
        <v>41609</v>
      </c>
      <c r="Y627" s="44">
        <v>41616</v>
      </c>
      <c r="Z627" s="44">
        <v>41671</v>
      </c>
      <c r="AA627" s="30"/>
    </row>
    <row r="628" spans="1:27" s="29" customFormat="1" ht="34.5" customHeight="1">
      <c r="A628" s="30" t="s">
        <v>142</v>
      </c>
      <c r="B628" s="31" t="s">
        <v>48</v>
      </c>
      <c r="C628" s="30" t="s">
        <v>39</v>
      </c>
      <c r="D628" s="30" t="s">
        <v>1617</v>
      </c>
      <c r="E628" s="30" t="s">
        <v>164</v>
      </c>
      <c r="F628" s="30" t="s">
        <v>1469</v>
      </c>
      <c r="G628" s="30" t="s">
        <v>153</v>
      </c>
      <c r="H628" s="30">
        <v>236220</v>
      </c>
      <c r="I628" s="30" t="s">
        <v>45</v>
      </c>
      <c r="J628" s="30" t="s">
        <v>129</v>
      </c>
      <c r="K628" s="30" t="s">
        <v>34</v>
      </c>
      <c r="L628" s="30" t="s">
        <v>345</v>
      </c>
      <c r="M628" s="39">
        <v>150000</v>
      </c>
      <c r="N628" s="39">
        <v>200000</v>
      </c>
      <c r="O628" s="30" t="s">
        <v>79</v>
      </c>
      <c r="P628" s="30" t="s">
        <v>302</v>
      </c>
      <c r="Q628" s="30" t="s">
        <v>294</v>
      </c>
      <c r="R628" s="155" t="s">
        <v>80</v>
      </c>
      <c r="S628" s="41">
        <v>2014</v>
      </c>
      <c r="T628" s="31" t="s">
        <v>1618</v>
      </c>
      <c r="U628" s="31" t="s">
        <v>1619</v>
      </c>
      <c r="V628" s="30" t="s">
        <v>1620</v>
      </c>
      <c r="W628" s="30" t="s">
        <v>70</v>
      </c>
      <c r="X628" s="30" t="s">
        <v>345</v>
      </c>
      <c r="Y628" s="30" t="s">
        <v>345</v>
      </c>
      <c r="Z628" s="30" t="s">
        <v>345</v>
      </c>
      <c r="AA628" s="30"/>
    </row>
    <row r="629" spans="1:27" s="29" customFormat="1" ht="34.5" customHeight="1">
      <c r="A629" s="30" t="s">
        <v>142</v>
      </c>
      <c r="B629" s="31" t="s">
        <v>48</v>
      </c>
      <c r="C629" s="30" t="s">
        <v>39</v>
      </c>
      <c r="D629" s="30" t="s">
        <v>1621</v>
      </c>
      <c r="E629" s="30" t="s">
        <v>164</v>
      </c>
      <c r="F629" s="30" t="s">
        <v>1469</v>
      </c>
      <c r="G629" s="30" t="s">
        <v>153</v>
      </c>
      <c r="H629" s="30">
        <v>236220</v>
      </c>
      <c r="I629" s="30" t="s">
        <v>45</v>
      </c>
      <c r="J629" s="30" t="s">
        <v>129</v>
      </c>
      <c r="K629" s="30" t="s">
        <v>34</v>
      </c>
      <c r="L629" s="30" t="s">
        <v>345</v>
      </c>
      <c r="M629" s="39">
        <v>200000</v>
      </c>
      <c r="N629" s="39">
        <v>250000</v>
      </c>
      <c r="O629" s="30" t="s">
        <v>79</v>
      </c>
      <c r="P629" s="30" t="s">
        <v>302</v>
      </c>
      <c r="Q629" s="30" t="s">
        <v>294</v>
      </c>
      <c r="R629" s="30" t="s">
        <v>100</v>
      </c>
      <c r="S629" s="41">
        <v>2014</v>
      </c>
      <c r="T629" s="31" t="s">
        <v>1618</v>
      </c>
      <c r="U629" s="31" t="s">
        <v>1619</v>
      </c>
      <c r="V629" s="30" t="s">
        <v>1620</v>
      </c>
      <c r="W629" s="30" t="s">
        <v>70</v>
      </c>
      <c r="X629" s="30" t="s">
        <v>345</v>
      </c>
      <c r="Y629" s="30" t="s">
        <v>345</v>
      </c>
      <c r="Z629" s="30" t="s">
        <v>345</v>
      </c>
      <c r="AA629" s="30"/>
    </row>
    <row r="630" spans="1:27" s="29" customFormat="1" ht="34.5" customHeight="1">
      <c r="A630" s="30" t="s">
        <v>142</v>
      </c>
      <c r="B630" s="31" t="s">
        <v>48</v>
      </c>
      <c r="C630" s="30" t="s">
        <v>39</v>
      </c>
      <c r="D630" s="30" t="s">
        <v>1622</v>
      </c>
      <c r="E630" s="30" t="s">
        <v>164</v>
      </c>
      <c r="F630" s="30" t="s">
        <v>1469</v>
      </c>
      <c r="G630" s="30" t="s">
        <v>153</v>
      </c>
      <c r="H630" s="30">
        <v>236220</v>
      </c>
      <c r="I630" s="30" t="s">
        <v>45</v>
      </c>
      <c r="J630" s="30" t="s">
        <v>129</v>
      </c>
      <c r="K630" s="30" t="s">
        <v>34</v>
      </c>
      <c r="L630" s="30" t="s">
        <v>345</v>
      </c>
      <c r="M630" s="39">
        <v>400000</v>
      </c>
      <c r="N630" s="39">
        <v>600000</v>
      </c>
      <c r="O630" s="30" t="s">
        <v>79</v>
      </c>
      <c r="P630" s="30" t="s">
        <v>302</v>
      </c>
      <c r="Q630" s="30" t="s">
        <v>294</v>
      </c>
      <c r="R630" s="30" t="s">
        <v>100</v>
      </c>
      <c r="S630" s="41">
        <v>2014</v>
      </c>
      <c r="T630" s="31" t="s">
        <v>1618</v>
      </c>
      <c r="U630" s="31" t="s">
        <v>1619</v>
      </c>
      <c r="V630" s="30" t="s">
        <v>1620</v>
      </c>
      <c r="W630" s="30" t="s">
        <v>70</v>
      </c>
      <c r="X630" s="30" t="s">
        <v>345</v>
      </c>
      <c r="Y630" s="30" t="s">
        <v>345</v>
      </c>
      <c r="Z630" s="30" t="s">
        <v>345</v>
      </c>
      <c r="AA630" s="30"/>
    </row>
    <row r="631" spans="1:27" s="29" customFormat="1" ht="34.5" customHeight="1">
      <c r="A631" s="30" t="s">
        <v>142</v>
      </c>
      <c r="B631" s="31" t="s">
        <v>48</v>
      </c>
      <c r="C631" s="30" t="s">
        <v>39</v>
      </c>
      <c r="D631" s="30" t="s">
        <v>1623</v>
      </c>
      <c r="E631" s="30" t="s">
        <v>164</v>
      </c>
      <c r="F631" s="30" t="s">
        <v>1469</v>
      </c>
      <c r="G631" s="30" t="s">
        <v>153</v>
      </c>
      <c r="H631" s="30">
        <v>236220</v>
      </c>
      <c r="I631" s="30" t="s">
        <v>45</v>
      </c>
      <c r="J631" s="30" t="s">
        <v>129</v>
      </c>
      <c r="K631" s="30" t="s">
        <v>34</v>
      </c>
      <c r="L631" s="30" t="s">
        <v>345</v>
      </c>
      <c r="M631" s="39">
        <v>2000000</v>
      </c>
      <c r="N631" s="39">
        <v>2500000</v>
      </c>
      <c r="O631" s="30" t="s">
        <v>79</v>
      </c>
      <c r="P631" s="30" t="s">
        <v>302</v>
      </c>
      <c r="Q631" s="30" t="s">
        <v>294</v>
      </c>
      <c r="R631" s="30" t="s">
        <v>35</v>
      </c>
      <c r="S631" s="41">
        <v>2014</v>
      </c>
      <c r="T631" s="31" t="s">
        <v>1618</v>
      </c>
      <c r="U631" s="31" t="s">
        <v>1619</v>
      </c>
      <c r="V631" s="30" t="s">
        <v>1620</v>
      </c>
      <c r="W631" s="30" t="s">
        <v>70</v>
      </c>
      <c r="X631" s="30" t="s">
        <v>345</v>
      </c>
      <c r="Y631" s="30" t="s">
        <v>345</v>
      </c>
      <c r="Z631" s="30" t="s">
        <v>345</v>
      </c>
      <c r="AA631" s="30"/>
    </row>
    <row r="632" spans="1:27" s="29" customFormat="1" ht="34.5" customHeight="1">
      <c r="A632" s="30" t="s">
        <v>142</v>
      </c>
      <c r="B632" s="31" t="s">
        <v>48</v>
      </c>
      <c r="C632" s="30" t="s">
        <v>39</v>
      </c>
      <c r="D632" s="30" t="s">
        <v>1624</v>
      </c>
      <c r="E632" s="30" t="s">
        <v>164</v>
      </c>
      <c r="F632" s="30" t="s">
        <v>1451</v>
      </c>
      <c r="G632" s="30" t="s">
        <v>183</v>
      </c>
      <c r="H632" s="30">
        <v>236220</v>
      </c>
      <c r="I632" s="30" t="s">
        <v>45</v>
      </c>
      <c r="J632" s="30" t="s">
        <v>129</v>
      </c>
      <c r="K632" s="30" t="s">
        <v>34</v>
      </c>
      <c r="L632" s="30" t="s">
        <v>345</v>
      </c>
      <c r="M632" s="39">
        <v>248000</v>
      </c>
      <c r="N632" s="39">
        <v>248000</v>
      </c>
      <c r="O632" s="30" t="s">
        <v>79</v>
      </c>
      <c r="P632" s="30" t="s">
        <v>302</v>
      </c>
      <c r="Q632" s="30" t="s">
        <v>294</v>
      </c>
      <c r="R632" s="30" t="s">
        <v>150</v>
      </c>
      <c r="S632" s="41">
        <v>2014</v>
      </c>
      <c r="T632" s="31" t="s">
        <v>1625</v>
      </c>
      <c r="U632" s="31" t="s">
        <v>1626</v>
      </c>
      <c r="V632" s="30" t="s">
        <v>1627</v>
      </c>
      <c r="W632" s="30" t="s">
        <v>70</v>
      </c>
      <c r="X632" s="30" t="s">
        <v>345</v>
      </c>
      <c r="Y632" s="30" t="s">
        <v>345</v>
      </c>
      <c r="Z632" s="30" t="s">
        <v>345</v>
      </c>
      <c r="AA632" s="30"/>
    </row>
    <row r="633" spans="1:27" s="29" customFormat="1" ht="34.5" customHeight="1">
      <c r="A633" s="30" t="s">
        <v>142</v>
      </c>
      <c r="B633" s="31" t="s">
        <v>48</v>
      </c>
      <c r="C633" s="30" t="s">
        <v>39</v>
      </c>
      <c r="D633" s="30" t="s">
        <v>1628</v>
      </c>
      <c r="E633" s="30" t="s">
        <v>164</v>
      </c>
      <c r="F633" s="30" t="s">
        <v>1453</v>
      </c>
      <c r="G633" s="30" t="s">
        <v>183</v>
      </c>
      <c r="H633" s="30">
        <v>236220</v>
      </c>
      <c r="I633" s="30" t="s">
        <v>45</v>
      </c>
      <c r="J633" s="30" t="s">
        <v>129</v>
      </c>
      <c r="K633" s="30" t="s">
        <v>34</v>
      </c>
      <c r="L633" s="30" t="s">
        <v>345</v>
      </c>
      <c r="M633" s="39">
        <v>534000</v>
      </c>
      <c r="N633" s="39">
        <v>534000</v>
      </c>
      <c r="O633" s="30" t="s">
        <v>79</v>
      </c>
      <c r="P633" s="30" t="s">
        <v>302</v>
      </c>
      <c r="Q633" s="30" t="s">
        <v>294</v>
      </c>
      <c r="R633" s="30" t="s">
        <v>45</v>
      </c>
      <c r="S633" s="41">
        <v>2014</v>
      </c>
      <c r="T633" s="31" t="s">
        <v>1629</v>
      </c>
      <c r="U633" s="31" t="s">
        <v>1630</v>
      </c>
      <c r="V633" s="30" t="s">
        <v>1631</v>
      </c>
      <c r="W633" s="30" t="s">
        <v>70</v>
      </c>
      <c r="X633" s="30" t="s">
        <v>345</v>
      </c>
      <c r="Y633" s="30" t="s">
        <v>345</v>
      </c>
      <c r="Z633" s="30" t="s">
        <v>345</v>
      </c>
      <c r="AA633" s="30"/>
    </row>
    <row r="634" spans="1:27" s="29" customFormat="1" ht="34.5" customHeight="1">
      <c r="A634" s="30" t="s">
        <v>142</v>
      </c>
      <c r="B634" s="31" t="s">
        <v>48</v>
      </c>
      <c r="C634" s="30" t="s">
        <v>39</v>
      </c>
      <c r="D634" s="30" t="s">
        <v>1632</v>
      </c>
      <c r="E634" s="30" t="s">
        <v>164</v>
      </c>
      <c r="F634" s="30" t="s">
        <v>1453</v>
      </c>
      <c r="G634" s="30" t="s">
        <v>183</v>
      </c>
      <c r="H634" s="30">
        <v>236220</v>
      </c>
      <c r="I634" s="30" t="s">
        <v>45</v>
      </c>
      <c r="J634" s="30" t="s">
        <v>129</v>
      </c>
      <c r="K634" s="30" t="s">
        <v>34</v>
      </c>
      <c r="L634" s="30" t="s">
        <v>345</v>
      </c>
      <c r="M634" s="39">
        <v>598000</v>
      </c>
      <c r="N634" s="39">
        <v>598000</v>
      </c>
      <c r="O634" s="30" t="s">
        <v>79</v>
      </c>
      <c r="P634" s="30" t="s">
        <v>302</v>
      </c>
      <c r="Q634" s="30" t="s">
        <v>294</v>
      </c>
      <c r="R634" s="30" t="s">
        <v>45</v>
      </c>
      <c r="S634" s="41">
        <v>2014</v>
      </c>
      <c r="T634" s="31" t="s">
        <v>1629</v>
      </c>
      <c r="U634" s="31" t="s">
        <v>1630</v>
      </c>
      <c r="V634" s="30" t="s">
        <v>1631</v>
      </c>
      <c r="W634" s="30" t="s">
        <v>70</v>
      </c>
      <c r="X634" s="30" t="s">
        <v>345</v>
      </c>
      <c r="Y634" s="30" t="s">
        <v>345</v>
      </c>
      <c r="Z634" s="30" t="s">
        <v>345</v>
      </c>
      <c r="AA634" s="30"/>
    </row>
    <row r="635" spans="1:27" s="29" customFormat="1" ht="34.5" customHeight="1">
      <c r="A635" s="30" t="s">
        <v>142</v>
      </c>
      <c r="B635" s="31" t="s">
        <v>48</v>
      </c>
      <c r="C635" s="30" t="s">
        <v>39</v>
      </c>
      <c r="D635" s="30" t="s">
        <v>1633</v>
      </c>
      <c r="E635" s="30" t="s">
        <v>164</v>
      </c>
      <c r="F635" s="30" t="s">
        <v>1501</v>
      </c>
      <c r="G635" s="30" t="s">
        <v>187</v>
      </c>
      <c r="H635" s="30">
        <v>236220</v>
      </c>
      <c r="I635" s="30" t="s">
        <v>45</v>
      </c>
      <c r="J635" s="30" t="s">
        <v>129</v>
      </c>
      <c r="K635" s="31" t="s">
        <v>91</v>
      </c>
      <c r="L635" s="30" t="s">
        <v>345</v>
      </c>
      <c r="M635" s="39">
        <v>150000</v>
      </c>
      <c r="N635" s="39">
        <v>250000</v>
      </c>
      <c r="O635" s="30" t="s">
        <v>79</v>
      </c>
      <c r="P635" s="30" t="s">
        <v>302</v>
      </c>
      <c r="Q635" s="30" t="s">
        <v>294</v>
      </c>
      <c r="R635" s="155" t="s">
        <v>80</v>
      </c>
      <c r="S635" s="41">
        <v>2014</v>
      </c>
      <c r="T635" s="31" t="s">
        <v>1634</v>
      </c>
      <c r="U635" s="31" t="s">
        <v>1635</v>
      </c>
      <c r="V635" s="30" t="s">
        <v>1636</v>
      </c>
      <c r="W635" s="30" t="s">
        <v>70</v>
      </c>
      <c r="X635" s="30" t="s">
        <v>345</v>
      </c>
      <c r="Y635" s="30" t="s">
        <v>345</v>
      </c>
      <c r="Z635" s="30" t="s">
        <v>345</v>
      </c>
      <c r="AA635" s="30"/>
    </row>
    <row r="636" spans="1:27" s="29" customFormat="1" ht="34.5" customHeight="1">
      <c r="A636" s="30" t="s">
        <v>142</v>
      </c>
      <c r="B636" s="31" t="s">
        <v>48</v>
      </c>
      <c r="C636" s="30" t="s">
        <v>39</v>
      </c>
      <c r="D636" s="30" t="s">
        <v>1637</v>
      </c>
      <c r="E636" s="30" t="s">
        <v>164</v>
      </c>
      <c r="F636" s="30" t="s">
        <v>1638</v>
      </c>
      <c r="G636" s="30" t="s">
        <v>187</v>
      </c>
      <c r="H636" s="30">
        <v>236220</v>
      </c>
      <c r="I636" s="30" t="s">
        <v>45</v>
      </c>
      <c r="J636" s="30" t="s">
        <v>129</v>
      </c>
      <c r="K636" s="31" t="s">
        <v>91</v>
      </c>
      <c r="L636" s="30" t="s">
        <v>345</v>
      </c>
      <c r="M636" s="39">
        <v>500000</v>
      </c>
      <c r="N636" s="39">
        <v>1000000</v>
      </c>
      <c r="O636" s="30" t="s">
        <v>79</v>
      </c>
      <c r="P636" s="30" t="s">
        <v>302</v>
      </c>
      <c r="Q636" s="30" t="s">
        <v>294</v>
      </c>
      <c r="R636" s="30" t="s">
        <v>45</v>
      </c>
      <c r="S636" s="41">
        <v>2014</v>
      </c>
      <c r="T636" s="31" t="s">
        <v>1639</v>
      </c>
      <c r="U636" s="31" t="s">
        <v>1640</v>
      </c>
      <c r="V636" s="30" t="s">
        <v>1641</v>
      </c>
      <c r="W636" s="30" t="s">
        <v>70</v>
      </c>
      <c r="X636" s="30" t="s">
        <v>345</v>
      </c>
      <c r="Y636" s="30" t="s">
        <v>345</v>
      </c>
      <c r="Z636" s="30" t="s">
        <v>345</v>
      </c>
      <c r="AA636" s="30"/>
    </row>
    <row r="637" spans="1:27" s="29" customFormat="1" ht="38.25" customHeight="1">
      <c r="A637" s="30" t="s">
        <v>142</v>
      </c>
      <c r="B637" s="31" t="s">
        <v>48</v>
      </c>
      <c r="C637" s="30" t="s">
        <v>144</v>
      </c>
      <c r="D637" s="30" t="s">
        <v>1642</v>
      </c>
      <c r="E637" s="30" t="s">
        <v>96</v>
      </c>
      <c r="F637" s="132" t="s">
        <v>822</v>
      </c>
      <c r="G637" s="132" t="s">
        <v>3372</v>
      </c>
      <c r="H637" s="30">
        <v>541310</v>
      </c>
      <c r="I637" s="30" t="s">
        <v>45</v>
      </c>
      <c r="J637" s="30" t="s">
        <v>77</v>
      </c>
      <c r="K637" s="30" t="s">
        <v>34</v>
      </c>
      <c r="L637" s="30" t="s">
        <v>1643</v>
      </c>
      <c r="M637" s="39">
        <v>1000</v>
      </c>
      <c r="N637" s="39">
        <v>5000000</v>
      </c>
      <c r="O637" s="129" t="s">
        <v>79</v>
      </c>
      <c r="P637" s="30" t="s">
        <v>1644</v>
      </c>
      <c r="Q637" s="30" t="s">
        <v>867</v>
      </c>
      <c r="R637" s="30" t="s">
        <v>150</v>
      </c>
      <c r="S637" s="41">
        <v>2014</v>
      </c>
      <c r="T637" s="31" t="s">
        <v>1634</v>
      </c>
      <c r="U637" s="31" t="s">
        <v>1635</v>
      </c>
      <c r="V637" s="30" t="s">
        <v>1636</v>
      </c>
      <c r="W637" s="30" t="s">
        <v>70</v>
      </c>
      <c r="X637" s="30" t="s">
        <v>1645</v>
      </c>
      <c r="Y637" s="129" t="s">
        <v>3452</v>
      </c>
      <c r="Z637" s="129" t="s">
        <v>3452</v>
      </c>
      <c r="AA637" s="30"/>
    </row>
    <row r="638" spans="1:27" s="29" customFormat="1" ht="38.25" customHeight="1">
      <c r="A638" s="30" t="s">
        <v>142</v>
      </c>
      <c r="B638" s="31" t="s">
        <v>48</v>
      </c>
      <c r="C638" s="30" t="s">
        <v>144</v>
      </c>
      <c r="D638" s="30" t="s">
        <v>1642</v>
      </c>
      <c r="E638" s="30" t="s">
        <v>96</v>
      </c>
      <c r="F638" s="129" t="s">
        <v>822</v>
      </c>
      <c r="G638" s="129" t="s">
        <v>153</v>
      </c>
      <c r="H638" s="30">
        <v>541310</v>
      </c>
      <c r="I638" s="30" t="s">
        <v>45</v>
      </c>
      <c r="J638" s="30" t="s">
        <v>77</v>
      </c>
      <c r="K638" s="30" t="s">
        <v>34</v>
      </c>
      <c r="L638" s="30" t="s">
        <v>1643</v>
      </c>
      <c r="M638" s="39">
        <v>2500</v>
      </c>
      <c r="N638" s="39">
        <v>10000000</v>
      </c>
      <c r="O638" s="129" t="s">
        <v>79</v>
      </c>
      <c r="P638" s="30" t="s">
        <v>1644</v>
      </c>
      <c r="Q638" s="30" t="s">
        <v>867</v>
      </c>
      <c r="R638" s="155" t="s">
        <v>80</v>
      </c>
      <c r="S638" s="41">
        <v>2014</v>
      </c>
      <c r="T638" s="31" t="s">
        <v>1634</v>
      </c>
      <c r="U638" s="31" t="s">
        <v>1635</v>
      </c>
      <c r="V638" s="30" t="s">
        <v>1636</v>
      </c>
      <c r="W638" s="30" t="s">
        <v>70</v>
      </c>
      <c r="X638" s="30" t="s">
        <v>1645</v>
      </c>
      <c r="Y638" s="129" t="s">
        <v>3452</v>
      </c>
      <c r="Z638" s="129" t="s">
        <v>3452</v>
      </c>
      <c r="AA638" s="30"/>
    </row>
    <row r="639" spans="1:27" s="29" customFormat="1" ht="38.25" customHeight="1">
      <c r="A639" s="30" t="s">
        <v>142</v>
      </c>
      <c r="B639" s="31" t="s">
        <v>48</v>
      </c>
      <c r="C639" s="30" t="s">
        <v>144</v>
      </c>
      <c r="D639" s="30" t="s">
        <v>1646</v>
      </c>
      <c r="E639" s="30" t="s">
        <v>164</v>
      </c>
      <c r="F639" s="132" t="s">
        <v>822</v>
      </c>
      <c r="G639" s="132" t="s">
        <v>3372</v>
      </c>
      <c r="H639" s="30">
        <v>236220</v>
      </c>
      <c r="I639" s="30" t="s">
        <v>45</v>
      </c>
      <c r="J639" s="30" t="s">
        <v>77</v>
      </c>
      <c r="K639" s="30" t="s">
        <v>34</v>
      </c>
      <c r="L639" s="30" t="s">
        <v>1643</v>
      </c>
      <c r="M639" s="39">
        <v>1000</v>
      </c>
      <c r="N639" s="39">
        <v>20000000</v>
      </c>
      <c r="O639" s="129" t="s">
        <v>79</v>
      </c>
      <c r="P639" s="30" t="s">
        <v>1644</v>
      </c>
      <c r="Q639" s="30" t="s">
        <v>867</v>
      </c>
      <c r="R639" s="30" t="s">
        <v>150</v>
      </c>
      <c r="S639" s="41">
        <v>2014</v>
      </c>
      <c r="T639" s="31" t="s">
        <v>1647</v>
      </c>
      <c r="U639" s="31" t="s">
        <v>1619</v>
      </c>
      <c r="V639" s="30" t="s">
        <v>1620</v>
      </c>
      <c r="W639" s="30" t="s">
        <v>70</v>
      </c>
      <c r="X639" s="30" t="s">
        <v>1645</v>
      </c>
      <c r="Y639" s="129" t="s">
        <v>3452</v>
      </c>
      <c r="Z639" s="129" t="s">
        <v>3452</v>
      </c>
      <c r="AA639" s="30"/>
    </row>
    <row r="640" spans="1:27" s="59" customFormat="1" ht="38.25" customHeight="1">
      <c r="A640" s="52" t="s">
        <v>142</v>
      </c>
      <c r="B640" s="54" t="s">
        <v>48</v>
      </c>
      <c r="C640" s="52" t="s">
        <v>144</v>
      </c>
      <c r="D640" s="52" t="s">
        <v>1648</v>
      </c>
      <c r="E640" s="52" t="s">
        <v>164</v>
      </c>
      <c r="F640" s="132" t="s">
        <v>3364</v>
      </c>
      <c r="G640" s="132" t="s">
        <v>3373</v>
      </c>
      <c r="H640" s="52">
        <v>236220</v>
      </c>
      <c r="I640" s="52" t="s">
        <v>45</v>
      </c>
      <c r="J640" s="52" t="s">
        <v>77</v>
      </c>
      <c r="K640" s="52" t="s">
        <v>34</v>
      </c>
      <c r="L640" s="52" t="s">
        <v>1643</v>
      </c>
      <c r="M640" s="144">
        <v>1000</v>
      </c>
      <c r="N640" s="144">
        <v>14000000</v>
      </c>
      <c r="O640" s="132" t="s">
        <v>79</v>
      </c>
      <c r="P640" s="52" t="s">
        <v>1644</v>
      </c>
      <c r="Q640" s="52" t="s">
        <v>867</v>
      </c>
      <c r="R640" s="52" t="s">
        <v>100</v>
      </c>
      <c r="S640" s="56">
        <v>2014</v>
      </c>
      <c r="T640" s="54" t="s">
        <v>1639</v>
      </c>
      <c r="U640" s="54" t="s">
        <v>1640</v>
      </c>
      <c r="V640" s="52" t="s">
        <v>1641</v>
      </c>
      <c r="W640" s="52" t="s">
        <v>70</v>
      </c>
      <c r="X640" s="52" t="s">
        <v>1645</v>
      </c>
      <c r="Y640" s="129" t="s">
        <v>3452</v>
      </c>
      <c r="Z640" s="129" t="s">
        <v>3452</v>
      </c>
      <c r="AA640" s="52"/>
    </row>
    <row r="641" spans="1:27" s="29" customFormat="1" ht="38.25" customHeight="1">
      <c r="A641" s="30" t="s">
        <v>142</v>
      </c>
      <c r="B641" s="31" t="s">
        <v>48</v>
      </c>
      <c r="C641" s="30" t="s">
        <v>95</v>
      </c>
      <c r="D641" s="30" t="s">
        <v>1649</v>
      </c>
      <c r="E641" s="30" t="s">
        <v>164</v>
      </c>
      <c r="F641" s="129" t="s">
        <v>822</v>
      </c>
      <c r="G641" s="30" t="s">
        <v>187</v>
      </c>
      <c r="H641" s="30">
        <v>236220</v>
      </c>
      <c r="I641" s="30" t="s">
        <v>45</v>
      </c>
      <c r="J641" s="30" t="s">
        <v>77</v>
      </c>
      <c r="K641" s="30" t="s">
        <v>34</v>
      </c>
      <c r="L641" s="30" t="s">
        <v>345</v>
      </c>
      <c r="M641" s="39">
        <v>1000</v>
      </c>
      <c r="N641" s="39">
        <v>1500000</v>
      </c>
      <c r="O641" s="129" t="s">
        <v>79</v>
      </c>
      <c r="P641" s="30" t="s">
        <v>302</v>
      </c>
      <c r="Q641" s="30" t="s">
        <v>294</v>
      </c>
      <c r="R641" s="30" t="s">
        <v>150</v>
      </c>
      <c r="S641" s="41">
        <v>2014</v>
      </c>
      <c r="T641" s="31" t="s">
        <v>1634</v>
      </c>
      <c r="U641" s="31" t="s">
        <v>1635</v>
      </c>
      <c r="V641" s="30" t="s">
        <v>1636</v>
      </c>
      <c r="W641" s="30" t="s">
        <v>70</v>
      </c>
      <c r="X641" s="30" t="s">
        <v>345</v>
      </c>
      <c r="Y641" s="30" t="s">
        <v>345</v>
      </c>
      <c r="Z641" s="30" t="s">
        <v>345</v>
      </c>
      <c r="AA641" s="30"/>
    </row>
    <row r="642" spans="1:27" s="29" customFormat="1" ht="34.5" customHeight="1">
      <c r="A642" s="30" t="s">
        <v>142</v>
      </c>
      <c r="B642" s="31" t="s">
        <v>48</v>
      </c>
      <c r="C642" s="30" t="s">
        <v>1650</v>
      </c>
      <c r="D642" s="30" t="s">
        <v>1651</v>
      </c>
      <c r="E642" s="30" t="s">
        <v>164</v>
      </c>
      <c r="F642" s="30" t="s">
        <v>1453</v>
      </c>
      <c r="G642" s="30" t="s">
        <v>183</v>
      </c>
      <c r="H642" s="30">
        <v>236220</v>
      </c>
      <c r="I642" s="30" t="s">
        <v>98</v>
      </c>
      <c r="J642" s="30" t="s">
        <v>77</v>
      </c>
      <c r="K642" s="30" t="s">
        <v>34</v>
      </c>
      <c r="L642" s="30" t="s">
        <v>34</v>
      </c>
      <c r="M642" s="39">
        <v>60000</v>
      </c>
      <c r="N642" s="39">
        <v>65000</v>
      </c>
      <c r="O642" s="30" t="s">
        <v>79</v>
      </c>
      <c r="P642" s="30" t="s">
        <v>302</v>
      </c>
      <c r="Q642" s="30" t="s">
        <v>294</v>
      </c>
      <c r="R642" s="155" t="s">
        <v>80</v>
      </c>
      <c r="S642" s="41">
        <v>2014</v>
      </c>
      <c r="T642" s="31" t="s">
        <v>1652</v>
      </c>
      <c r="U642" s="31" t="s">
        <v>1653</v>
      </c>
      <c r="V642" s="30" t="s">
        <v>1654</v>
      </c>
      <c r="W642" s="30" t="s">
        <v>70</v>
      </c>
      <c r="X642" s="44">
        <v>41730</v>
      </c>
      <c r="Y642" s="44">
        <v>41760</v>
      </c>
      <c r="Z642" s="44">
        <v>41944</v>
      </c>
      <c r="AA642" s="30" t="s">
        <v>302</v>
      </c>
    </row>
    <row r="643" spans="1:27" s="29" customFormat="1" ht="34.5" customHeight="1">
      <c r="A643" s="30" t="s">
        <v>142</v>
      </c>
      <c r="B643" s="31" t="s">
        <v>48</v>
      </c>
      <c r="C643" s="30" t="s">
        <v>1650</v>
      </c>
      <c r="D643" s="30" t="s">
        <v>1655</v>
      </c>
      <c r="E643" s="30" t="s">
        <v>164</v>
      </c>
      <c r="F643" s="30" t="s">
        <v>1451</v>
      </c>
      <c r="G643" s="30" t="s">
        <v>183</v>
      </c>
      <c r="H643" s="30">
        <v>236220</v>
      </c>
      <c r="I643" s="30" t="s">
        <v>98</v>
      </c>
      <c r="J643" s="30" t="s">
        <v>77</v>
      </c>
      <c r="K643" s="30" t="s">
        <v>34</v>
      </c>
      <c r="L643" s="30" t="s">
        <v>34</v>
      </c>
      <c r="M643" s="39">
        <v>100000</v>
      </c>
      <c r="N643" s="39">
        <v>189000</v>
      </c>
      <c r="O643" s="30" t="s">
        <v>79</v>
      </c>
      <c r="P643" s="30" t="s">
        <v>302</v>
      </c>
      <c r="Q643" s="30" t="s">
        <v>294</v>
      </c>
      <c r="R643" s="155" t="s">
        <v>80</v>
      </c>
      <c r="S643" s="41">
        <v>2014</v>
      </c>
      <c r="T643" s="31" t="s">
        <v>1652</v>
      </c>
      <c r="U643" s="31" t="s">
        <v>1653</v>
      </c>
      <c r="V643" s="30" t="s">
        <v>1654</v>
      </c>
      <c r="W643" s="30" t="s">
        <v>70</v>
      </c>
      <c r="X643" s="44">
        <v>41730</v>
      </c>
      <c r="Y643" s="44">
        <v>41760</v>
      </c>
      <c r="Z643" s="44">
        <v>42009</v>
      </c>
      <c r="AA643" s="30" t="s">
        <v>302</v>
      </c>
    </row>
    <row r="644" spans="1:27" s="29" customFormat="1" ht="34.5" customHeight="1">
      <c r="A644" s="30" t="s">
        <v>142</v>
      </c>
      <c r="B644" s="31" t="s">
        <v>48</v>
      </c>
      <c r="C644" s="30" t="s">
        <v>1650</v>
      </c>
      <c r="D644" s="30" t="s">
        <v>1656</v>
      </c>
      <c r="E644" s="30" t="s">
        <v>164</v>
      </c>
      <c r="F644" s="30" t="s">
        <v>1451</v>
      </c>
      <c r="G644" s="30" t="s">
        <v>183</v>
      </c>
      <c r="H644" s="30">
        <v>236220</v>
      </c>
      <c r="I644" s="30" t="s">
        <v>98</v>
      </c>
      <c r="J644" s="30" t="s">
        <v>77</v>
      </c>
      <c r="K644" s="30" t="s">
        <v>34</v>
      </c>
      <c r="L644" s="30" t="s">
        <v>34</v>
      </c>
      <c r="M644" s="39">
        <v>75000</v>
      </c>
      <c r="N644" s="39">
        <v>150000</v>
      </c>
      <c r="O644" s="30" t="s">
        <v>79</v>
      </c>
      <c r="P644" s="30" t="s">
        <v>302</v>
      </c>
      <c r="Q644" s="30" t="s">
        <v>294</v>
      </c>
      <c r="R644" s="155" t="s">
        <v>80</v>
      </c>
      <c r="S644" s="41">
        <v>2014</v>
      </c>
      <c r="T644" s="31" t="s">
        <v>1652</v>
      </c>
      <c r="U644" s="31" t="s">
        <v>1653</v>
      </c>
      <c r="V644" s="30" t="s">
        <v>1654</v>
      </c>
      <c r="W644" s="30" t="s">
        <v>70</v>
      </c>
      <c r="X644" s="44">
        <v>41699</v>
      </c>
      <c r="Y644" s="44">
        <v>41730</v>
      </c>
      <c r="Z644" s="44">
        <v>41988</v>
      </c>
      <c r="AA644" s="30" t="s">
        <v>302</v>
      </c>
    </row>
    <row r="645" spans="1:27" s="29" customFormat="1" ht="34.5" customHeight="1">
      <c r="A645" s="30" t="s">
        <v>142</v>
      </c>
      <c r="B645" s="31" t="s">
        <v>48</v>
      </c>
      <c r="C645" s="30" t="s">
        <v>1650</v>
      </c>
      <c r="D645" s="30" t="s">
        <v>1657</v>
      </c>
      <c r="E645" s="30" t="s">
        <v>164</v>
      </c>
      <c r="F645" s="30" t="s">
        <v>1451</v>
      </c>
      <c r="G645" s="30" t="s">
        <v>183</v>
      </c>
      <c r="H645" s="30">
        <v>236220</v>
      </c>
      <c r="I645" s="30" t="s">
        <v>98</v>
      </c>
      <c r="J645" s="30" t="s">
        <v>77</v>
      </c>
      <c r="K645" s="30" t="s">
        <v>34</v>
      </c>
      <c r="L645" s="30" t="s">
        <v>34</v>
      </c>
      <c r="M645" s="39">
        <v>40000</v>
      </c>
      <c r="N645" s="39">
        <v>75000</v>
      </c>
      <c r="O645" s="30" t="s">
        <v>79</v>
      </c>
      <c r="P645" s="30" t="s">
        <v>302</v>
      </c>
      <c r="Q645" s="30" t="s">
        <v>294</v>
      </c>
      <c r="R645" s="30" t="s">
        <v>150</v>
      </c>
      <c r="S645" s="41">
        <v>2014</v>
      </c>
      <c r="T645" s="31" t="s">
        <v>1652</v>
      </c>
      <c r="U645" s="31" t="s">
        <v>1653</v>
      </c>
      <c r="V645" s="30" t="s">
        <v>1654</v>
      </c>
      <c r="W645" s="30" t="s">
        <v>70</v>
      </c>
      <c r="X645" s="44">
        <v>41645</v>
      </c>
      <c r="Y645" s="44">
        <v>41664</v>
      </c>
      <c r="Z645" s="44">
        <v>41760</v>
      </c>
      <c r="AA645" s="30" t="s">
        <v>302</v>
      </c>
    </row>
    <row r="646" spans="1:27" s="29" customFormat="1" ht="34.5" customHeight="1">
      <c r="A646" s="30" t="s">
        <v>142</v>
      </c>
      <c r="B646" s="31" t="s">
        <v>48</v>
      </c>
      <c r="C646" s="30" t="s">
        <v>1650</v>
      </c>
      <c r="D646" s="30" t="s">
        <v>1658</v>
      </c>
      <c r="E646" s="30" t="s">
        <v>164</v>
      </c>
      <c r="F646" s="30" t="s">
        <v>1451</v>
      </c>
      <c r="G646" s="30" t="s">
        <v>183</v>
      </c>
      <c r="H646" s="30">
        <v>236220</v>
      </c>
      <c r="I646" s="30" t="s">
        <v>98</v>
      </c>
      <c r="J646" s="30" t="s">
        <v>77</v>
      </c>
      <c r="K646" s="30" t="s">
        <v>34</v>
      </c>
      <c r="L646" s="30" t="s">
        <v>34</v>
      </c>
      <c r="M646" s="39">
        <v>25000</v>
      </c>
      <c r="N646" s="39">
        <v>35000</v>
      </c>
      <c r="O646" s="30" t="s">
        <v>79</v>
      </c>
      <c r="P646" s="30" t="s">
        <v>302</v>
      </c>
      <c r="Q646" s="30" t="s">
        <v>294</v>
      </c>
      <c r="R646" s="155" t="s">
        <v>80</v>
      </c>
      <c r="S646" s="41">
        <v>2014</v>
      </c>
      <c r="T646" s="31" t="s">
        <v>1652</v>
      </c>
      <c r="U646" s="31" t="s">
        <v>1653</v>
      </c>
      <c r="V646" s="30" t="s">
        <v>1654</v>
      </c>
      <c r="W646" s="30" t="s">
        <v>70</v>
      </c>
      <c r="X646" s="44">
        <v>41645</v>
      </c>
      <c r="Y646" s="44">
        <v>41675</v>
      </c>
      <c r="Z646" s="44">
        <v>41856</v>
      </c>
      <c r="AA646" s="30" t="s">
        <v>302</v>
      </c>
    </row>
    <row r="647" spans="1:27" s="29" customFormat="1" ht="34.5" customHeight="1">
      <c r="A647" s="30" t="s">
        <v>142</v>
      </c>
      <c r="B647" s="31" t="s">
        <v>48</v>
      </c>
      <c r="C647" s="30" t="s">
        <v>1650</v>
      </c>
      <c r="D647" s="30" t="s">
        <v>1659</v>
      </c>
      <c r="E647" s="30" t="s">
        <v>164</v>
      </c>
      <c r="F647" s="30" t="s">
        <v>1451</v>
      </c>
      <c r="G647" s="30" t="s">
        <v>183</v>
      </c>
      <c r="H647" s="30">
        <v>236220</v>
      </c>
      <c r="I647" s="30" t="s">
        <v>98</v>
      </c>
      <c r="J647" s="30" t="s">
        <v>77</v>
      </c>
      <c r="K647" s="30" t="s">
        <v>34</v>
      </c>
      <c r="L647" s="30" t="s">
        <v>34</v>
      </c>
      <c r="M647" s="39">
        <v>20000</v>
      </c>
      <c r="N647" s="39">
        <v>25000</v>
      </c>
      <c r="O647" s="30" t="s">
        <v>149</v>
      </c>
      <c r="P647" s="30" t="s">
        <v>302</v>
      </c>
      <c r="Q647" s="30" t="s">
        <v>294</v>
      </c>
      <c r="R647" s="30" t="s">
        <v>100</v>
      </c>
      <c r="S647" s="41">
        <v>2014</v>
      </c>
      <c r="T647" s="31" t="s">
        <v>1660</v>
      </c>
      <c r="U647" s="31" t="s">
        <v>1653</v>
      </c>
      <c r="V647" s="30" t="s">
        <v>1661</v>
      </c>
      <c r="W647" s="30" t="s">
        <v>70</v>
      </c>
      <c r="X647" s="44">
        <v>41735</v>
      </c>
      <c r="Y647" s="44">
        <v>41765</v>
      </c>
      <c r="Z647" s="44">
        <v>41949</v>
      </c>
      <c r="AA647" s="30" t="s">
        <v>302</v>
      </c>
    </row>
    <row r="648" spans="1:27" s="29" customFormat="1" ht="34.5" customHeight="1">
      <c r="A648" s="30" t="s">
        <v>142</v>
      </c>
      <c r="B648" s="31" t="s">
        <v>48</v>
      </c>
      <c r="C648" s="30" t="s">
        <v>1650</v>
      </c>
      <c r="D648" s="30" t="s">
        <v>1662</v>
      </c>
      <c r="E648" s="30" t="s">
        <v>117</v>
      </c>
      <c r="F648" s="30" t="s">
        <v>1451</v>
      </c>
      <c r="G648" s="30" t="s">
        <v>183</v>
      </c>
      <c r="H648" s="30">
        <v>561210</v>
      </c>
      <c r="I648" s="30" t="s">
        <v>98</v>
      </c>
      <c r="J648" s="30" t="s">
        <v>61</v>
      </c>
      <c r="K648" s="30" t="s">
        <v>61</v>
      </c>
      <c r="L648" s="30" t="s">
        <v>61</v>
      </c>
      <c r="M648" s="39">
        <v>1500</v>
      </c>
      <c r="N648" s="39">
        <v>2500</v>
      </c>
      <c r="O648" s="30" t="s">
        <v>149</v>
      </c>
      <c r="P648" s="30" t="s">
        <v>1663</v>
      </c>
      <c r="Q648" s="30" t="s">
        <v>294</v>
      </c>
      <c r="R648" s="30" t="s">
        <v>100</v>
      </c>
      <c r="S648" s="41">
        <v>2014</v>
      </c>
      <c r="T648" s="31" t="s">
        <v>1660</v>
      </c>
      <c r="U648" s="31" t="s">
        <v>1653</v>
      </c>
      <c r="V648" s="30" t="s">
        <v>1661</v>
      </c>
      <c r="W648" s="30" t="s">
        <v>70</v>
      </c>
      <c r="X648" s="44">
        <v>41871</v>
      </c>
      <c r="Y648" s="44">
        <v>41897</v>
      </c>
      <c r="Z648" s="44">
        <v>42278</v>
      </c>
      <c r="AA648" s="30" t="s">
        <v>302</v>
      </c>
    </row>
    <row r="649" spans="1:27" s="29" customFormat="1" ht="34.5" customHeight="1">
      <c r="A649" s="30" t="s">
        <v>142</v>
      </c>
      <c r="B649" s="31" t="s">
        <v>48</v>
      </c>
      <c r="C649" s="30" t="s">
        <v>1650</v>
      </c>
      <c r="D649" s="30" t="s">
        <v>1664</v>
      </c>
      <c r="E649" s="30" t="s">
        <v>117</v>
      </c>
      <c r="F649" s="30" t="s">
        <v>1451</v>
      </c>
      <c r="G649" s="30" t="s">
        <v>183</v>
      </c>
      <c r="H649" s="30">
        <v>925120</v>
      </c>
      <c r="I649" s="30" t="s">
        <v>1158</v>
      </c>
      <c r="J649" s="30" t="s">
        <v>61</v>
      </c>
      <c r="K649" s="30" t="s">
        <v>78</v>
      </c>
      <c r="L649" s="30" t="s">
        <v>302</v>
      </c>
      <c r="M649" s="39">
        <v>15000</v>
      </c>
      <c r="N649" s="39">
        <v>17000</v>
      </c>
      <c r="O649" s="30" t="s">
        <v>149</v>
      </c>
      <c r="P649" s="30" t="s">
        <v>1530</v>
      </c>
      <c r="Q649" s="30" t="s">
        <v>294</v>
      </c>
      <c r="R649" s="30" t="s">
        <v>100</v>
      </c>
      <c r="S649" s="41">
        <v>2014</v>
      </c>
      <c r="T649" s="31" t="s">
        <v>1660</v>
      </c>
      <c r="U649" s="31" t="s">
        <v>1665</v>
      </c>
      <c r="V649" s="30" t="s">
        <v>1661</v>
      </c>
      <c r="W649" s="30" t="s">
        <v>70</v>
      </c>
      <c r="X649" s="44">
        <v>41700</v>
      </c>
      <c r="Y649" s="44">
        <v>41731</v>
      </c>
      <c r="Z649" s="44">
        <v>42125</v>
      </c>
      <c r="AA649" s="30" t="s">
        <v>302</v>
      </c>
    </row>
    <row r="650" spans="1:27" s="29" customFormat="1" ht="34.5" customHeight="1">
      <c r="A650" s="30" t="s">
        <v>142</v>
      </c>
      <c r="B650" s="31" t="s">
        <v>48</v>
      </c>
      <c r="C650" s="30" t="s">
        <v>1650</v>
      </c>
      <c r="D650" s="30" t="s">
        <v>1666</v>
      </c>
      <c r="E650" s="30" t="s">
        <v>117</v>
      </c>
      <c r="F650" s="30" t="s">
        <v>1451</v>
      </c>
      <c r="G650" s="30" t="s">
        <v>183</v>
      </c>
      <c r="H650" s="30">
        <v>561621</v>
      </c>
      <c r="I650" s="30" t="s">
        <v>98</v>
      </c>
      <c r="J650" s="30" t="s">
        <v>61</v>
      </c>
      <c r="K650" s="30" t="s">
        <v>61</v>
      </c>
      <c r="L650" s="30" t="s">
        <v>61</v>
      </c>
      <c r="M650" s="39">
        <v>264</v>
      </c>
      <c r="N650" s="39">
        <v>500</v>
      </c>
      <c r="O650" s="30" t="s">
        <v>149</v>
      </c>
      <c r="P650" s="30" t="s">
        <v>1530</v>
      </c>
      <c r="Q650" s="30" t="s">
        <v>294</v>
      </c>
      <c r="R650" s="30" t="s">
        <v>100</v>
      </c>
      <c r="S650" s="41">
        <v>2014</v>
      </c>
      <c r="T650" s="31" t="s">
        <v>1652</v>
      </c>
      <c r="U650" s="31" t="s">
        <v>1653</v>
      </c>
      <c r="V650" s="30" t="s">
        <v>1661</v>
      </c>
      <c r="W650" s="30" t="s">
        <v>70</v>
      </c>
      <c r="X650" s="44">
        <v>41713</v>
      </c>
      <c r="Y650" s="44">
        <v>41719</v>
      </c>
      <c r="Z650" s="44">
        <v>42125</v>
      </c>
      <c r="AA650" s="30" t="s">
        <v>302</v>
      </c>
    </row>
    <row r="651" spans="1:27" s="29" customFormat="1" ht="34.5" customHeight="1">
      <c r="A651" s="30" t="s">
        <v>142</v>
      </c>
      <c r="B651" s="31" t="s">
        <v>48</v>
      </c>
      <c r="C651" s="30" t="s">
        <v>1650</v>
      </c>
      <c r="D651" s="30" t="s">
        <v>1667</v>
      </c>
      <c r="E651" s="30" t="s">
        <v>117</v>
      </c>
      <c r="F651" s="30" t="s">
        <v>1453</v>
      </c>
      <c r="G651" s="30" t="s">
        <v>183</v>
      </c>
      <c r="H651" s="30">
        <v>925120</v>
      </c>
      <c r="I651" s="30" t="s">
        <v>1158</v>
      </c>
      <c r="J651" s="30" t="s">
        <v>90</v>
      </c>
      <c r="K651" s="30" t="s">
        <v>78</v>
      </c>
      <c r="L651" s="30" t="s">
        <v>302</v>
      </c>
      <c r="M651" s="39">
        <v>73702.559999999998</v>
      </c>
      <c r="N651" s="39">
        <v>73702.559999999998</v>
      </c>
      <c r="O651" s="30" t="s">
        <v>79</v>
      </c>
      <c r="P651" s="30" t="s">
        <v>1668</v>
      </c>
      <c r="Q651" s="30" t="s">
        <v>294</v>
      </c>
      <c r="R651" s="155" t="s">
        <v>80</v>
      </c>
      <c r="S651" s="41">
        <v>2014</v>
      </c>
      <c r="T651" s="31" t="s">
        <v>1669</v>
      </c>
      <c r="U651" s="31" t="s">
        <v>1665</v>
      </c>
      <c r="V651" s="30" t="s">
        <v>1670</v>
      </c>
      <c r="W651" s="30" t="s">
        <v>70</v>
      </c>
      <c r="X651" s="44">
        <v>41320</v>
      </c>
      <c r="Y651" s="44">
        <v>41365</v>
      </c>
      <c r="Z651" s="44">
        <v>41729</v>
      </c>
      <c r="AA651" s="30" t="s">
        <v>860</v>
      </c>
    </row>
    <row r="652" spans="1:27" s="29" customFormat="1" ht="34.5" customHeight="1">
      <c r="A652" s="30" t="s">
        <v>142</v>
      </c>
      <c r="B652" s="31" t="s">
        <v>48</v>
      </c>
      <c r="C652" s="30" t="s">
        <v>1650</v>
      </c>
      <c r="D652" s="30" t="s">
        <v>1577</v>
      </c>
      <c r="E652" s="30" t="s">
        <v>117</v>
      </c>
      <c r="F652" s="30" t="s">
        <v>1453</v>
      </c>
      <c r="G652" s="30" t="s">
        <v>183</v>
      </c>
      <c r="H652" s="30">
        <v>561621</v>
      </c>
      <c r="I652" s="30" t="s">
        <v>98</v>
      </c>
      <c r="J652" s="30" t="s">
        <v>61</v>
      </c>
      <c r="K652" s="30" t="s">
        <v>61</v>
      </c>
      <c r="L652" s="30" t="s">
        <v>61</v>
      </c>
      <c r="M652" s="39">
        <v>26520</v>
      </c>
      <c r="N652" s="39">
        <v>26520</v>
      </c>
      <c r="O652" s="30" t="s">
        <v>79</v>
      </c>
      <c r="P652" s="30" t="s">
        <v>1671</v>
      </c>
      <c r="Q652" s="30" t="s">
        <v>294</v>
      </c>
      <c r="R652" s="30" t="s">
        <v>100</v>
      </c>
      <c r="S652" s="41">
        <v>2014</v>
      </c>
      <c r="T652" s="31" t="s">
        <v>1652</v>
      </c>
      <c r="U652" s="31" t="s">
        <v>1653</v>
      </c>
      <c r="V652" s="30" t="s">
        <v>1654</v>
      </c>
      <c r="W652" s="30" t="s">
        <v>70</v>
      </c>
      <c r="X652" s="44">
        <v>41744</v>
      </c>
      <c r="Y652" s="44">
        <v>41805</v>
      </c>
      <c r="Z652" s="44">
        <v>42186</v>
      </c>
      <c r="AA652" s="30" t="s">
        <v>302</v>
      </c>
    </row>
    <row r="653" spans="1:27" s="29" customFormat="1" ht="34.5" customHeight="1">
      <c r="A653" s="30" t="s">
        <v>142</v>
      </c>
      <c r="B653" s="31" t="s">
        <v>48</v>
      </c>
      <c r="C653" s="30" t="s">
        <v>1080</v>
      </c>
      <c r="D653" s="30" t="s">
        <v>1672</v>
      </c>
      <c r="E653" s="30" t="s">
        <v>164</v>
      </c>
      <c r="F653" s="30" t="s">
        <v>1453</v>
      </c>
      <c r="G653" s="30" t="s">
        <v>183</v>
      </c>
      <c r="H653" s="30">
        <v>236220</v>
      </c>
      <c r="I653" s="30" t="s">
        <v>98</v>
      </c>
      <c r="J653" s="30" t="s">
        <v>77</v>
      </c>
      <c r="K653" s="30" t="s">
        <v>34</v>
      </c>
      <c r="L653" s="30" t="s">
        <v>34</v>
      </c>
      <c r="M653" s="39">
        <v>10000</v>
      </c>
      <c r="N653" s="39">
        <v>20000</v>
      </c>
      <c r="O653" s="30" t="s">
        <v>149</v>
      </c>
      <c r="P653" s="30" t="s">
        <v>302</v>
      </c>
      <c r="Q653" s="30" t="s">
        <v>294</v>
      </c>
      <c r="R653" s="30" t="s">
        <v>150</v>
      </c>
      <c r="S653" s="41">
        <v>2014</v>
      </c>
      <c r="T653" s="31" t="s">
        <v>1652</v>
      </c>
      <c r="U653" s="31" t="s">
        <v>1653</v>
      </c>
      <c r="V653" s="30" t="s">
        <v>1654</v>
      </c>
      <c r="W653" s="30" t="s">
        <v>70</v>
      </c>
      <c r="X653" s="44">
        <v>41586</v>
      </c>
      <c r="Y653" s="44">
        <v>41614</v>
      </c>
      <c r="Z653" s="44">
        <v>41669</v>
      </c>
      <c r="AA653" s="30" t="s">
        <v>302</v>
      </c>
    </row>
    <row r="654" spans="1:27" s="29" customFormat="1" ht="34.5" customHeight="1">
      <c r="A654" s="30" t="s">
        <v>142</v>
      </c>
      <c r="B654" s="31" t="s">
        <v>48</v>
      </c>
      <c r="C654" s="30" t="s">
        <v>1650</v>
      </c>
      <c r="D654" s="30" t="s">
        <v>1673</v>
      </c>
      <c r="E654" s="30" t="s">
        <v>164</v>
      </c>
      <c r="F654" s="30" t="s">
        <v>1451</v>
      </c>
      <c r="G654" s="30" t="s">
        <v>183</v>
      </c>
      <c r="H654" s="30">
        <v>236220</v>
      </c>
      <c r="I654" s="30" t="s">
        <v>98</v>
      </c>
      <c r="J654" s="30" t="s">
        <v>77</v>
      </c>
      <c r="K654" s="30" t="s">
        <v>34</v>
      </c>
      <c r="L654" s="30" t="s">
        <v>34</v>
      </c>
      <c r="M654" s="39">
        <v>6000</v>
      </c>
      <c r="N654" s="39">
        <v>9000</v>
      </c>
      <c r="O654" s="30" t="s">
        <v>149</v>
      </c>
      <c r="P654" s="30" t="s">
        <v>302</v>
      </c>
      <c r="Q654" s="30" t="s">
        <v>294</v>
      </c>
      <c r="R654" s="30" t="s">
        <v>150</v>
      </c>
      <c r="S654" s="41">
        <v>2014</v>
      </c>
      <c r="T654" s="31" t="s">
        <v>1660</v>
      </c>
      <c r="U654" s="31" t="s">
        <v>1653</v>
      </c>
      <c r="V654" s="30" t="s">
        <v>1661</v>
      </c>
      <c r="W654" s="30" t="s">
        <v>70</v>
      </c>
      <c r="X654" s="44">
        <v>41596</v>
      </c>
      <c r="Y654" s="44">
        <v>41610</v>
      </c>
      <c r="Z654" s="44">
        <v>41645</v>
      </c>
      <c r="AA654" s="30" t="s">
        <v>302</v>
      </c>
    </row>
    <row r="655" spans="1:27" s="29" customFormat="1" ht="34.5" customHeight="1">
      <c r="A655" s="30" t="s">
        <v>142</v>
      </c>
      <c r="B655" s="31" t="s">
        <v>48</v>
      </c>
      <c r="C655" s="30" t="s">
        <v>1080</v>
      </c>
      <c r="D655" s="30" t="s">
        <v>1674</v>
      </c>
      <c r="E655" s="30" t="s">
        <v>164</v>
      </c>
      <c r="F655" s="30" t="s">
        <v>1453</v>
      </c>
      <c r="G655" s="30" t="s">
        <v>183</v>
      </c>
      <c r="H655" s="30">
        <v>236220</v>
      </c>
      <c r="I655" s="30" t="s">
        <v>98</v>
      </c>
      <c r="J655" s="30" t="s">
        <v>77</v>
      </c>
      <c r="K655" s="30" t="s">
        <v>34</v>
      </c>
      <c r="L655" s="30" t="s">
        <v>34</v>
      </c>
      <c r="M655" s="39">
        <v>50000</v>
      </c>
      <c r="N655" s="39">
        <v>50000</v>
      </c>
      <c r="O655" s="30" t="s">
        <v>79</v>
      </c>
      <c r="P655" s="30" t="s">
        <v>302</v>
      </c>
      <c r="Q655" s="30" t="s">
        <v>294</v>
      </c>
      <c r="R655" s="30" t="s">
        <v>100</v>
      </c>
      <c r="S655" s="41">
        <v>2014</v>
      </c>
      <c r="T655" s="31" t="s">
        <v>1669</v>
      </c>
      <c r="U655" s="31" t="s">
        <v>1653</v>
      </c>
      <c r="V655" s="30" t="s">
        <v>1670</v>
      </c>
      <c r="W655" s="30" t="s">
        <v>70</v>
      </c>
      <c r="X655" s="44">
        <v>41713</v>
      </c>
      <c r="Y655" s="44">
        <v>41379</v>
      </c>
      <c r="Z655" s="44">
        <v>41881</v>
      </c>
      <c r="AA655" s="30" t="s">
        <v>302</v>
      </c>
    </row>
    <row r="656" spans="1:27" s="29" customFormat="1" ht="34.5" customHeight="1">
      <c r="A656" s="30" t="s">
        <v>142</v>
      </c>
      <c r="B656" s="31" t="s">
        <v>48</v>
      </c>
      <c r="C656" s="30" t="s">
        <v>1080</v>
      </c>
      <c r="D656" s="30" t="s">
        <v>1675</v>
      </c>
      <c r="E656" s="30" t="s">
        <v>164</v>
      </c>
      <c r="F656" s="30" t="s">
        <v>1453</v>
      </c>
      <c r="G656" s="30" t="s">
        <v>183</v>
      </c>
      <c r="H656" s="30">
        <v>236220</v>
      </c>
      <c r="I656" s="30" t="s">
        <v>98</v>
      </c>
      <c r="J656" s="30" t="s">
        <v>77</v>
      </c>
      <c r="K656" s="30" t="s">
        <v>34</v>
      </c>
      <c r="L656" s="30" t="s">
        <v>34</v>
      </c>
      <c r="M656" s="39">
        <v>25000</v>
      </c>
      <c r="N656" s="39">
        <v>25000</v>
      </c>
      <c r="O656" s="30" t="s">
        <v>79</v>
      </c>
      <c r="P656" s="30" t="s">
        <v>302</v>
      </c>
      <c r="Q656" s="30" t="s">
        <v>294</v>
      </c>
      <c r="R656" s="30" t="s">
        <v>100</v>
      </c>
      <c r="S656" s="41">
        <v>2014</v>
      </c>
      <c r="T656" s="31" t="s">
        <v>1669</v>
      </c>
      <c r="U656" s="31" t="s">
        <v>1653</v>
      </c>
      <c r="V656" s="30" t="s">
        <v>1670</v>
      </c>
      <c r="W656" s="30" t="s">
        <v>70</v>
      </c>
      <c r="X656" s="44">
        <v>41759</v>
      </c>
      <c r="Y656" s="44">
        <v>41789</v>
      </c>
      <c r="Z656" s="44">
        <v>41912</v>
      </c>
      <c r="AA656" s="30" t="s">
        <v>302</v>
      </c>
    </row>
    <row r="657" spans="1:27" s="29" customFormat="1" ht="34.5" customHeight="1">
      <c r="A657" s="30" t="s">
        <v>142</v>
      </c>
      <c r="B657" s="31" t="s">
        <v>48</v>
      </c>
      <c r="C657" s="30" t="s">
        <v>1080</v>
      </c>
      <c r="D657" s="30" t="s">
        <v>1676</v>
      </c>
      <c r="E657" s="30" t="s">
        <v>164</v>
      </c>
      <c r="F657" s="30" t="s">
        <v>1453</v>
      </c>
      <c r="G657" s="30" t="s">
        <v>183</v>
      </c>
      <c r="H657" s="30">
        <v>236220</v>
      </c>
      <c r="I657" s="30" t="s">
        <v>98</v>
      </c>
      <c r="J657" s="30" t="s">
        <v>77</v>
      </c>
      <c r="K657" s="30" t="s">
        <v>34</v>
      </c>
      <c r="L657" s="30" t="s">
        <v>34</v>
      </c>
      <c r="M657" s="39">
        <v>30000</v>
      </c>
      <c r="N657" s="39">
        <v>30000</v>
      </c>
      <c r="O657" s="30" t="s">
        <v>79</v>
      </c>
      <c r="P657" s="30" t="s">
        <v>302</v>
      </c>
      <c r="Q657" s="30" t="s">
        <v>294</v>
      </c>
      <c r="R657" s="30" t="s">
        <v>100</v>
      </c>
      <c r="S657" s="41">
        <v>2014</v>
      </c>
      <c r="T657" s="31" t="s">
        <v>1669</v>
      </c>
      <c r="U657" s="31" t="s">
        <v>1653</v>
      </c>
      <c r="V657" s="30" t="s">
        <v>1670</v>
      </c>
      <c r="W657" s="30" t="s">
        <v>70</v>
      </c>
      <c r="X657" s="44">
        <v>41699</v>
      </c>
      <c r="Y657" s="44">
        <v>41730</v>
      </c>
      <c r="Z657" s="44">
        <v>41850</v>
      </c>
      <c r="AA657" s="30" t="s">
        <v>302</v>
      </c>
    </row>
    <row r="658" spans="1:27" s="29" customFormat="1" ht="34.5" customHeight="1">
      <c r="A658" s="30" t="s">
        <v>142</v>
      </c>
      <c r="B658" s="31" t="s">
        <v>48</v>
      </c>
      <c r="C658" s="30" t="s">
        <v>1080</v>
      </c>
      <c r="D658" s="30" t="s">
        <v>1677</v>
      </c>
      <c r="E658" s="30" t="s">
        <v>164</v>
      </c>
      <c r="F658" s="30" t="s">
        <v>1453</v>
      </c>
      <c r="G658" s="30" t="s">
        <v>183</v>
      </c>
      <c r="H658" s="30">
        <v>236220</v>
      </c>
      <c r="I658" s="30" t="s">
        <v>98</v>
      </c>
      <c r="J658" s="30" t="s">
        <v>77</v>
      </c>
      <c r="K658" s="30" t="s">
        <v>34</v>
      </c>
      <c r="L658" s="30" t="s">
        <v>34</v>
      </c>
      <c r="M658" s="39">
        <v>25000</v>
      </c>
      <c r="N658" s="39">
        <v>30000</v>
      </c>
      <c r="O658" s="30" t="s">
        <v>79</v>
      </c>
      <c r="P658" s="30" t="s">
        <v>302</v>
      </c>
      <c r="Q658" s="30" t="s">
        <v>294</v>
      </c>
      <c r="R658" s="155" t="s">
        <v>80</v>
      </c>
      <c r="S658" s="41">
        <v>2014</v>
      </c>
      <c r="T658" s="31" t="s">
        <v>1669</v>
      </c>
      <c r="U658" s="31" t="s">
        <v>1653</v>
      </c>
      <c r="V658" s="30" t="s">
        <v>1670</v>
      </c>
      <c r="W658" s="30" t="s">
        <v>70</v>
      </c>
      <c r="X658" s="44">
        <v>41671</v>
      </c>
      <c r="Y658" s="44">
        <v>41699</v>
      </c>
      <c r="Z658" s="44">
        <v>41821</v>
      </c>
      <c r="AA658" s="30" t="s">
        <v>302</v>
      </c>
    </row>
    <row r="659" spans="1:27" s="29" customFormat="1" ht="34.5" customHeight="1">
      <c r="A659" s="30" t="s">
        <v>142</v>
      </c>
      <c r="B659" s="31" t="s">
        <v>48</v>
      </c>
      <c r="C659" s="30" t="s">
        <v>1080</v>
      </c>
      <c r="D659" s="30" t="s">
        <v>1678</v>
      </c>
      <c r="E659" s="30" t="s">
        <v>164</v>
      </c>
      <c r="F659" s="30" t="s">
        <v>1453</v>
      </c>
      <c r="G659" s="30" t="s">
        <v>183</v>
      </c>
      <c r="H659" s="30">
        <v>236220</v>
      </c>
      <c r="I659" s="30" t="s">
        <v>98</v>
      </c>
      <c r="J659" s="30" t="s">
        <v>77</v>
      </c>
      <c r="K659" s="30" t="s">
        <v>34</v>
      </c>
      <c r="L659" s="30" t="s">
        <v>34</v>
      </c>
      <c r="M659" s="39">
        <v>97199.52</v>
      </c>
      <c r="N659" s="39">
        <v>117600</v>
      </c>
      <c r="O659" s="30" t="s">
        <v>79</v>
      </c>
      <c r="P659" s="30" t="s">
        <v>302</v>
      </c>
      <c r="Q659" s="30" t="s">
        <v>294</v>
      </c>
      <c r="R659" s="30" t="s">
        <v>150</v>
      </c>
      <c r="S659" s="41">
        <v>2014</v>
      </c>
      <c r="T659" s="31" t="s">
        <v>1669</v>
      </c>
      <c r="U659" s="31" t="s">
        <v>1653</v>
      </c>
      <c r="V659" s="30" t="s">
        <v>1670</v>
      </c>
      <c r="W659" s="30" t="s">
        <v>70</v>
      </c>
      <c r="X659" s="44">
        <v>41540</v>
      </c>
      <c r="Y659" s="44">
        <v>41593</v>
      </c>
      <c r="Z659" s="44">
        <v>41685</v>
      </c>
      <c r="AA659" s="30" t="s">
        <v>302</v>
      </c>
    </row>
    <row r="660" spans="1:27" s="29" customFormat="1" ht="34.5" customHeight="1">
      <c r="A660" s="30" t="s">
        <v>142</v>
      </c>
      <c r="B660" s="31" t="s">
        <v>48</v>
      </c>
      <c r="C660" s="30" t="s">
        <v>144</v>
      </c>
      <c r="D660" s="30" t="s">
        <v>1679</v>
      </c>
      <c r="E660" s="30" t="s">
        <v>164</v>
      </c>
      <c r="F660" s="30" t="s">
        <v>1453</v>
      </c>
      <c r="G660" s="30" t="s">
        <v>183</v>
      </c>
      <c r="H660" s="30">
        <v>236220</v>
      </c>
      <c r="I660" s="30" t="s">
        <v>98</v>
      </c>
      <c r="J660" s="30" t="s">
        <v>77</v>
      </c>
      <c r="K660" s="30" t="s">
        <v>34</v>
      </c>
      <c r="L660" s="30" t="s">
        <v>34</v>
      </c>
      <c r="M660" s="39">
        <v>96450</v>
      </c>
      <c r="N660" s="39">
        <v>157024.09</v>
      </c>
      <c r="O660" s="30" t="s">
        <v>79</v>
      </c>
      <c r="P660" s="30" t="s">
        <v>302</v>
      </c>
      <c r="Q660" s="30" t="s">
        <v>294</v>
      </c>
      <c r="R660" s="30" t="s">
        <v>150</v>
      </c>
      <c r="S660" s="41">
        <v>2014</v>
      </c>
      <c r="T660" s="31" t="s">
        <v>1669</v>
      </c>
      <c r="U660" s="31" t="s">
        <v>1653</v>
      </c>
      <c r="V660" s="30" t="s">
        <v>1670</v>
      </c>
      <c r="W660" s="30" t="s">
        <v>70</v>
      </c>
      <c r="X660" s="44">
        <v>41515</v>
      </c>
      <c r="Y660" s="44">
        <v>41564</v>
      </c>
      <c r="Z660" s="44">
        <v>41684</v>
      </c>
      <c r="AA660" s="30" t="s">
        <v>302</v>
      </c>
    </row>
    <row r="661" spans="1:27" s="29" customFormat="1" ht="38.25" customHeight="1">
      <c r="A661" s="30" t="s">
        <v>142</v>
      </c>
      <c r="B661" s="31" t="s">
        <v>48</v>
      </c>
      <c r="C661" s="30" t="s">
        <v>1080</v>
      </c>
      <c r="D661" s="30" t="s">
        <v>1680</v>
      </c>
      <c r="E661" s="30" t="s">
        <v>164</v>
      </c>
      <c r="F661" s="30" t="s">
        <v>1453</v>
      </c>
      <c r="G661" s="30" t="s">
        <v>183</v>
      </c>
      <c r="H661" s="30">
        <v>236220</v>
      </c>
      <c r="I661" s="30" t="s">
        <v>98</v>
      </c>
      <c r="J661" s="30" t="s">
        <v>77</v>
      </c>
      <c r="K661" s="30" t="s">
        <v>34</v>
      </c>
      <c r="L661" s="30" t="s">
        <v>34</v>
      </c>
      <c r="M661" s="39">
        <v>8590</v>
      </c>
      <c r="N661" s="39">
        <v>8590</v>
      </c>
      <c r="O661" s="30" t="s">
        <v>149</v>
      </c>
      <c r="P661" s="30" t="s">
        <v>302</v>
      </c>
      <c r="Q661" s="30" t="s">
        <v>294</v>
      </c>
      <c r="R661" s="30" t="s">
        <v>150</v>
      </c>
      <c r="S661" s="41">
        <v>2014</v>
      </c>
      <c r="T661" s="31" t="s">
        <v>1669</v>
      </c>
      <c r="U661" s="31" t="s">
        <v>1653</v>
      </c>
      <c r="V661" s="30" t="s">
        <v>1670</v>
      </c>
      <c r="W661" s="30" t="s">
        <v>70</v>
      </c>
      <c r="X661" s="44">
        <v>41623</v>
      </c>
      <c r="Y661" s="44">
        <v>41645</v>
      </c>
      <c r="Z661" s="44">
        <v>41704</v>
      </c>
      <c r="AA661" s="30" t="s">
        <v>302</v>
      </c>
    </row>
    <row r="662" spans="1:27" s="29" customFormat="1" ht="38.25" customHeight="1">
      <c r="A662" s="30" t="s">
        <v>142</v>
      </c>
      <c r="B662" s="31" t="s">
        <v>48</v>
      </c>
      <c r="C662" s="30" t="s">
        <v>1650</v>
      </c>
      <c r="D662" s="30" t="s">
        <v>1681</v>
      </c>
      <c r="E662" s="30" t="s">
        <v>164</v>
      </c>
      <c r="F662" s="30" t="s">
        <v>1453</v>
      </c>
      <c r="G662" s="30" t="s">
        <v>183</v>
      </c>
      <c r="H662" s="30">
        <v>236220</v>
      </c>
      <c r="I662" s="30" t="s">
        <v>98</v>
      </c>
      <c r="J662" s="30" t="s">
        <v>77</v>
      </c>
      <c r="K662" s="30" t="s">
        <v>34</v>
      </c>
      <c r="L662" s="30" t="s">
        <v>34</v>
      </c>
      <c r="M662" s="39">
        <v>29353.96</v>
      </c>
      <c r="N662" s="39">
        <v>29353.96</v>
      </c>
      <c r="O662" s="30" t="s">
        <v>79</v>
      </c>
      <c r="P662" s="30" t="s">
        <v>302</v>
      </c>
      <c r="Q662" s="30" t="s">
        <v>294</v>
      </c>
      <c r="R662" s="30" t="s">
        <v>100</v>
      </c>
      <c r="S662" s="41">
        <v>2014</v>
      </c>
      <c r="T662" s="31" t="s">
        <v>1669</v>
      </c>
      <c r="U662" s="31" t="s">
        <v>1653</v>
      </c>
      <c r="V662" s="30" t="s">
        <v>1670</v>
      </c>
      <c r="W662" s="30" t="s">
        <v>70</v>
      </c>
      <c r="X662" s="44">
        <v>41744</v>
      </c>
      <c r="Y662" s="44">
        <v>41760</v>
      </c>
      <c r="Z662" s="44">
        <v>41883</v>
      </c>
      <c r="AA662" s="30" t="s">
        <v>302</v>
      </c>
    </row>
    <row r="663" spans="1:27" s="29" customFormat="1" ht="38.25" customHeight="1">
      <c r="A663" s="30" t="s">
        <v>142</v>
      </c>
      <c r="B663" s="31" t="s">
        <v>48</v>
      </c>
      <c r="C663" s="30" t="s">
        <v>1650</v>
      </c>
      <c r="D663" s="30" t="s">
        <v>1682</v>
      </c>
      <c r="E663" s="30" t="s">
        <v>164</v>
      </c>
      <c r="F663" s="30" t="s">
        <v>1453</v>
      </c>
      <c r="G663" s="30" t="s">
        <v>183</v>
      </c>
      <c r="H663" s="30">
        <v>236220</v>
      </c>
      <c r="I663" s="30" t="s">
        <v>98</v>
      </c>
      <c r="J663" s="30" t="s">
        <v>77</v>
      </c>
      <c r="K663" s="30" t="s">
        <v>34</v>
      </c>
      <c r="L663" s="30" t="s">
        <v>34</v>
      </c>
      <c r="M663" s="39">
        <v>959.25</v>
      </c>
      <c r="N663" s="39">
        <v>959.25</v>
      </c>
      <c r="O663" s="30" t="s">
        <v>149</v>
      </c>
      <c r="P663" s="30" t="s">
        <v>302</v>
      </c>
      <c r="Q663" s="30" t="s">
        <v>294</v>
      </c>
      <c r="R663" s="30" t="s">
        <v>150</v>
      </c>
      <c r="S663" s="41">
        <v>2014</v>
      </c>
      <c r="T663" s="31" t="s">
        <v>1669</v>
      </c>
      <c r="U663" s="31" t="s">
        <v>1653</v>
      </c>
      <c r="V663" s="30" t="s">
        <v>1670</v>
      </c>
      <c r="W663" s="30" t="s">
        <v>70</v>
      </c>
      <c r="X663" s="44">
        <v>41623</v>
      </c>
      <c r="Y663" s="44">
        <v>41645</v>
      </c>
      <c r="Z663" s="44">
        <v>41704</v>
      </c>
      <c r="AA663" s="30" t="s">
        <v>302</v>
      </c>
    </row>
    <row r="664" spans="1:27" s="29" customFormat="1" ht="38.25" customHeight="1">
      <c r="A664" s="30" t="s">
        <v>142</v>
      </c>
      <c r="B664" s="31" t="s">
        <v>48</v>
      </c>
      <c r="C664" s="30" t="s">
        <v>1650</v>
      </c>
      <c r="D664" s="30" t="s">
        <v>1683</v>
      </c>
      <c r="E664" s="30" t="s">
        <v>164</v>
      </c>
      <c r="F664" s="30" t="s">
        <v>1453</v>
      </c>
      <c r="G664" s="30" t="s">
        <v>183</v>
      </c>
      <c r="H664" s="30">
        <v>236220</v>
      </c>
      <c r="I664" s="30" t="s">
        <v>98</v>
      </c>
      <c r="J664" s="30" t="s">
        <v>77</v>
      </c>
      <c r="K664" s="30" t="s">
        <v>34</v>
      </c>
      <c r="L664" s="30" t="s">
        <v>34</v>
      </c>
      <c r="M664" s="39">
        <v>8580</v>
      </c>
      <c r="N664" s="39">
        <v>8580</v>
      </c>
      <c r="O664" s="30" t="s">
        <v>149</v>
      </c>
      <c r="P664" s="30" t="s">
        <v>302</v>
      </c>
      <c r="Q664" s="30" t="s">
        <v>294</v>
      </c>
      <c r="R664" s="30" t="s">
        <v>150</v>
      </c>
      <c r="S664" s="41">
        <v>2014</v>
      </c>
      <c r="T664" s="31" t="s">
        <v>1669</v>
      </c>
      <c r="U664" s="31" t="s">
        <v>1653</v>
      </c>
      <c r="V664" s="30" t="s">
        <v>1670</v>
      </c>
      <c r="W664" s="30" t="s">
        <v>70</v>
      </c>
      <c r="X664" s="44">
        <v>41623</v>
      </c>
      <c r="Y664" s="44">
        <v>41645</v>
      </c>
      <c r="Z664" s="44">
        <v>41704</v>
      </c>
      <c r="AA664" s="30" t="s">
        <v>302</v>
      </c>
    </row>
    <row r="665" spans="1:27" s="29" customFormat="1" ht="38.25" customHeight="1">
      <c r="A665" s="30" t="s">
        <v>142</v>
      </c>
      <c r="B665" s="31" t="s">
        <v>48</v>
      </c>
      <c r="C665" s="30" t="s">
        <v>1650</v>
      </c>
      <c r="D665" s="30" t="s">
        <v>1684</v>
      </c>
      <c r="E665" s="30" t="s">
        <v>164</v>
      </c>
      <c r="F665" s="30" t="s">
        <v>1453</v>
      </c>
      <c r="G665" s="30" t="s">
        <v>183</v>
      </c>
      <c r="H665" s="30">
        <v>236220</v>
      </c>
      <c r="I665" s="30" t="s">
        <v>98</v>
      </c>
      <c r="J665" s="30" t="s">
        <v>77</v>
      </c>
      <c r="K665" s="30" t="s">
        <v>34</v>
      </c>
      <c r="L665" s="30" t="s">
        <v>34</v>
      </c>
      <c r="M665" s="39">
        <v>23839.14</v>
      </c>
      <c r="N665" s="39">
        <v>23839.14</v>
      </c>
      <c r="O665" s="30" t="s">
        <v>149</v>
      </c>
      <c r="P665" s="30" t="s">
        <v>302</v>
      </c>
      <c r="Q665" s="30" t="s">
        <v>294</v>
      </c>
      <c r="R665" s="155" t="s">
        <v>80</v>
      </c>
      <c r="S665" s="41">
        <v>2014</v>
      </c>
      <c r="T665" s="31" t="s">
        <v>1669</v>
      </c>
      <c r="U665" s="31" t="s">
        <v>1653</v>
      </c>
      <c r="V665" s="30" t="s">
        <v>1670</v>
      </c>
      <c r="W665" s="30" t="s">
        <v>70</v>
      </c>
      <c r="X665" s="44">
        <v>41623</v>
      </c>
      <c r="Y665" s="44">
        <v>41645</v>
      </c>
      <c r="Z665" s="44">
        <v>41704</v>
      </c>
      <c r="AA665" s="30" t="s">
        <v>302</v>
      </c>
    </row>
    <row r="666" spans="1:27" s="29" customFormat="1" ht="38.25" customHeight="1">
      <c r="A666" s="30" t="s">
        <v>142</v>
      </c>
      <c r="B666" s="31" t="s">
        <v>48</v>
      </c>
      <c r="C666" s="30" t="s">
        <v>1650</v>
      </c>
      <c r="D666" s="30" t="s">
        <v>1685</v>
      </c>
      <c r="E666" s="30" t="s">
        <v>164</v>
      </c>
      <c r="F666" s="30" t="s">
        <v>1453</v>
      </c>
      <c r="G666" s="30" t="s">
        <v>183</v>
      </c>
      <c r="H666" s="30">
        <v>236220</v>
      </c>
      <c r="I666" s="30" t="s">
        <v>98</v>
      </c>
      <c r="J666" s="30" t="s">
        <v>90</v>
      </c>
      <c r="K666" s="30" t="s">
        <v>78</v>
      </c>
      <c r="L666" s="30" t="s">
        <v>302</v>
      </c>
      <c r="M666" s="39">
        <v>4378</v>
      </c>
      <c r="N666" s="39">
        <v>4378</v>
      </c>
      <c r="O666" s="30" t="s">
        <v>149</v>
      </c>
      <c r="P666" s="30" t="s">
        <v>302</v>
      </c>
      <c r="Q666" s="30" t="s">
        <v>294</v>
      </c>
      <c r="R666" s="155" t="s">
        <v>80</v>
      </c>
      <c r="S666" s="41">
        <v>2014</v>
      </c>
      <c r="T666" s="31" t="s">
        <v>1669</v>
      </c>
      <c r="U666" s="31" t="s">
        <v>1653</v>
      </c>
      <c r="V666" s="30" t="s">
        <v>1670</v>
      </c>
      <c r="W666" s="30" t="s">
        <v>70</v>
      </c>
      <c r="X666" s="44">
        <v>41671</v>
      </c>
      <c r="Y666" s="44">
        <v>41686</v>
      </c>
      <c r="Z666" s="44">
        <v>42080</v>
      </c>
      <c r="AA666" s="30" t="s">
        <v>302</v>
      </c>
    </row>
    <row r="667" spans="1:27" s="29" customFormat="1" ht="38.25" customHeight="1">
      <c r="A667" s="30" t="s">
        <v>142</v>
      </c>
      <c r="B667" s="31" t="s">
        <v>48</v>
      </c>
      <c r="C667" s="30" t="s">
        <v>1650</v>
      </c>
      <c r="D667" s="30" t="s">
        <v>1686</v>
      </c>
      <c r="E667" s="30" t="s">
        <v>164</v>
      </c>
      <c r="F667" s="30" t="s">
        <v>1453</v>
      </c>
      <c r="G667" s="30" t="s">
        <v>183</v>
      </c>
      <c r="H667" s="30">
        <v>236220</v>
      </c>
      <c r="I667" s="30" t="s">
        <v>98</v>
      </c>
      <c r="J667" s="30" t="s">
        <v>77</v>
      </c>
      <c r="K667" s="30" t="s">
        <v>34</v>
      </c>
      <c r="L667" s="30" t="s">
        <v>34</v>
      </c>
      <c r="M667" s="39">
        <v>2327</v>
      </c>
      <c r="N667" s="39">
        <v>2327</v>
      </c>
      <c r="O667" s="30" t="s">
        <v>149</v>
      </c>
      <c r="P667" s="30" t="s">
        <v>302</v>
      </c>
      <c r="Q667" s="30" t="s">
        <v>294</v>
      </c>
      <c r="R667" s="30" t="s">
        <v>150</v>
      </c>
      <c r="S667" s="41">
        <v>2014</v>
      </c>
      <c r="T667" s="31" t="s">
        <v>1669</v>
      </c>
      <c r="U667" s="31" t="s">
        <v>1653</v>
      </c>
      <c r="V667" s="30" t="s">
        <v>1670</v>
      </c>
      <c r="W667" s="30" t="s">
        <v>70</v>
      </c>
      <c r="X667" s="44">
        <v>41608</v>
      </c>
      <c r="Y667" s="44">
        <v>41623</v>
      </c>
      <c r="Z667" s="44">
        <v>41685</v>
      </c>
      <c r="AA667" s="30" t="s">
        <v>302</v>
      </c>
    </row>
    <row r="668" spans="1:27" s="29" customFormat="1" ht="38.25" customHeight="1">
      <c r="A668" s="30" t="s">
        <v>142</v>
      </c>
      <c r="B668" s="31" t="s">
        <v>48</v>
      </c>
      <c r="C668" s="30" t="s">
        <v>1650</v>
      </c>
      <c r="D668" s="30" t="s">
        <v>1687</v>
      </c>
      <c r="E668" s="30" t="s">
        <v>164</v>
      </c>
      <c r="F668" s="30" t="s">
        <v>1453</v>
      </c>
      <c r="G668" s="30" t="s">
        <v>183</v>
      </c>
      <c r="H668" s="30">
        <v>236220</v>
      </c>
      <c r="I668" s="30" t="s">
        <v>98</v>
      </c>
      <c r="J668" s="30" t="s">
        <v>77</v>
      </c>
      <c r="K668" s="30" t="s">
        <v>34</v>
      </c>
      <c r="L668" s="30" t="s">
        <v>34</v>
      </c>
      <c r="M668" s="39">
        <v>8296</v>
      </c>
      <c r="N668" s="39">
        <v>8296</v>
      </c>
      <c r="O668" s="30" t="s">
        <v>149</v>
      </c>
      <c r="P668" s="30" t="s">
        <v>302</v>
      </c>
      <c r="Q668" s="30" t="s">
        <v>294</v>
      </c>
      <c r="R668" s="30" t="s">
        <v>150</v>
      </c>
      <c r="S668" s="41">
        <v>2014</v>
      </c>
      <c r="T668" s="31" t="s">
        <v>1669</v>
      </c>
      <c r="U668" s="31" t="s">
        <v>1653</v>
      </c>
      <c r="V668" s="30" t="s">
        <v>1670</v>
      </c>
      <c r="W668" s="30" t="s">
        <v>70</v>
      </c>
      <c r="X668" s="44">
        <v>41608</v>
      </c>
      <c r="Y668" s="44">
        <v>41623</v>
      </c>
      <c r="Z668" s="44">
        <v>41685</v>
      </c>
      <c r="AA668" s="30" t="s">
        <v>302</v>
      </c>
    </row>
    <row r="669" spans="1:27" s="29" customFormat="1" ht="38.25" customHeight="1">
      <c r="A669" s="30" t="s">
        <v>142</v>
      </c>
      <c r="B669" s="31" t="s">
        <v>48</v>
      </c>
      <c r="C669" s="30" t="s">
        <v>1650</v>
      </c>
      <c r="D669" s="30" t="s">
        <v>1688</v>
      </c>
      <c r="E669" s="30" t="s">
        <v>164</v>
      </c>
      <c r="F669" s="30" t="s">
        <v>1453</v>
      </c>
      <c r="G669" s="30" t="s">
        <v>183</v>
      </c>
      <c r="H669" s="30">
        <v>236220</v>
      </c>
      <c r="I669" s="30" t="s">
        <v>98</v>
      </c>
      <c r="J669" s="30" t="s">
        <v>77</v>
      </c>
      <c r="K669" s="30" t="s">
        <v>34</v>
      </c>
      <c r="L669" s="30" t="s">
        <v>34</v>
      </c>
      <c r="M669" s="39">
        <v>7537.44</v>
      </c>
      <c r="N669" s="39">
        <v>7537.44</v>
      </c>
      <c r="O669" s="30" t="s">
        <v>149</v>
      </c>
      <c r="P669" s="30" t="s">
        <v>302</v>
      </c>
      <c r="Q669" s="30" t="s">
        <v>294</v>
      </c>
      <c r="R669" s="30" t="s">
        <v>150</v>
      </c>
      <c r="S669" s="41">
        <v>2014</v>
      </c>
      <c r="T669" s="31" t="s">
        <v>1669</v>
      </c>
      <c r="U669" s="31" t="s">
        <v>1653</v>
      </c>
      <c r="V669" s="30" t="s">
        <v>1670</v>
      </c>
      <c r="W669" s="30" t="s">
        <v>70</v>
      </c>
      <c r="X669" s="44">
        <v>41608</v>
      </c>
      <c r="Y669" s="44">
        <v>41623</v>
      </c>
      <c r="Z669" s="44">
        <v>41685</v>
      </c>
      <c r="AA669" s="30" t="s">
        <v>302</v>
      </c>
    </row>
    <row r="670" spans="1:27" s="29" customFormat="1" ht="38.25" customHeight="1">
      <c r="A670" s="30" t="s">
        <v>142</v>
      </c>
      <c r="B670" s="31" t="s">
        <v>48</v>
      </c>
      <c r="C670" s="30" t="s">
        <v>1650</v>
      </c>
      <c r="D670" s="30" t="s">
        <v>1689</v>
      </c>
      <c r="E670" s="30" t="s">
        <v>164</v>
      </c>
      <c r="F670" s="30" t="s">
        <v>1453</v>
      </c>
      <c r="G670" s="30" t="s">
        <v>183</v>
      </c>
      <c r="H670" s="30">
        <v>335999</v>
      </c>
      <c r="I670" s="30" t="s">
        <v>98</v>
      </c>
      <c r="J670" s="30" t="s">
        <v>90</v>
      </c>
      <c r="K670" s="30" t="s">
        <v>78</v>
      </c>
      <c r="L670" s="30" t="s">
        <v>302</v>
      </c>
      <c r="M670" s="39">
        <v>11010.48</v>
      </c>
      <c r="N670" s="39">
        <v>11010.48</v>
      </c>
      <c r="O670" s="30" t="s">
        <v>149</v>
      </c>
      <c r="P670" s="30" t="s">
        <v>302</v>
      </c>
      <c r="Q670" s="30" t="s">
        <v>294</v>
      </c>
      <c r="R670" s="155" t="s">
        <v>80</v>
      </c>
      <c r="S670" s="41">
        <v>2014</v>
      </c>
      <c r="T670" s="31" t="s">
        <v>1669</v>
      </c>
      <c r="U670" s="31" t="s">
        <v>1653</v>
      </c>
      <c r="V670" s="30" t="s">
        <v>1670</v>
      </c>
      <c r="W670" s="30" t="s">
        <v>70</v>
      </c>
      <c r="X670" s="44">
        <v>41671</v>
      </c>
      <c r="Y670" s="44">
        <v>41686</v>
      </c>
      <c r="Z670" s="44">
        <v>42080</v>
      </c>
      <c r="AA670" s="30" t="s">
        <v>302</v>
      </c>
    </row>
    <row r="671" spans="1:27" s="29" customFormat="1" ht="38.25" customHeight="1">
      <c r="A671" s="30" t="s">
        <v>142</v>
      </c>
      <c r="B671" s="31" t="s">
        <v>48</v>
      </c>
      <c r="C671" s="30" t="s">
        <v>1650</v>
      </c>
      <c r="D671" s="30" t="s">
        <v>1690</v>
      </c>
      <c r="E671" s="30" t="s">
        <v>164</v>
      </c>
      <c r="F671" s="30" t="s">
        <v>1453</v>
      </c>
      <c r="G671" s="30" t="s">
        <v>183</v>
      </c>
      <c r="H671" s="30">
        <v>561621</v>
      </c>
      <c r="I671" s="30" t="s">
        <v>98</v>
      </c>
      <c r="J671" s="30" t="s">
        <v>90</v>
      </c>
      <c r="K671" s="30" t="s">
        <v>78</v>
      </c>
      <c r="L671" s="30" t="s">
        <v>302</v>
      </c>
      <c r="M671" s="39">
        <v>2984.09</v>
      </c>
      <c r="N671" s="39">
        <v>2984.09</v>
      </c>
      <c r="O671" s="30" t="s">
        <v>149</v>
      </c>
      <c r="P671" s="30" t="s">
        <v>302</v>
      </c>
      <c r="Q671" s="30" t="s">
        <v>294</v>
      </c>
      <c r="R671" s="30" t="s">
        <v>150</v>
      </c>
      <c r="S671" s="41">
        <v>2014</v>
      </c>
      <c r="T671" s="31" t="s">
        <v>1669</v>
      </c>
      <c r="U671" s="31" t="s">
        <v>1653</v>
      </c>
      <c r="V671" s="30" t="s">
        <v>1670</v>
      </c>
      <c r="W671" s="30" t="s">
        <v>70</v>
      </c>
      <c r="X671" s="44">
        <v>41593</v>
      </c>
      <c r="Y671" s="44">
        <v>41609</v>
      </c>
      <c r="Z671" s="44">
        <v>41974</v>
      </c>
      <c r="AA671" s="30" t="s">
        <v>302</v>
      </c>
    </row>
    <row r="672" spans="1:27" s="29" customFormat="1" ht="38.25" customHeight="1">
      <c r="A672" s="30" t="s">
        <v>142</v>
      </c>
      <c r="B672" s="31" t="s">
        <v>48</v>
      </c>
      <c r="C672" s="30" t="s">
        <v>1650</v>
      </c>
      <c r="D672" s="30" t="s">
        <v>1691</v>
      </c>
      <c r="E672" s="30" t="s">
        <v>164</v>
      </c>
      <c r="F672" s="30" t="s">
        <v>1453</v>
      </c>
      <c r="G672" s="30" t="s">
        <v>183</v>
      </c>
      <c r="H672" s="30">
        <v>561621</v>
      </c>
      <c r="I672" s="30" t="s">
        <v>98</v>
      </c>
      <c r="J672" s="30" t="s">
        <v>90</v>
      </c>
      <c r="K672" s="30" t="s">
        <v>78</v>
      </c>
      <c r="L672" s="30" t="s">
        <v>302</v>
      </c>
      <c r="M672" s="39">
        <v>2735</v>
      </c>
      <c r="N672" s="39">
        <v>2735</v>
      </c>
      <c r="O672" s="30" t="s">
        <v>149</v>
      </c>
      <c r="P672" s="30" t="s">
        <v>302</v>
      </c>
      <c r="Q672" s="30" t="s">
        <v>294</v>
      </c>
      <c r="R672" s="30" t="s">
        <v>150</v>
      </c>
      <c r="S672" s="41">
        <v>2014</v>
      </c>
      <c r="T672" s="31" t="s">
        <v>1669</v>
      </c>
      <c r="U672" s="31" t="s">
        <v>1653</v>
      </c>
      <c r="V672" s="30" t="s">
        <v>1670</v>
      </c>
      <c r="W672" s="30" t="s">
        <v>70</v>
      </c>
      <c r="X672" s="44">
        <v>41593</v>
      </c>
      <c r="Y672" s="44">
        <v>41609</v>
      </c>
      <c r="Z672" s="44">
        <v>41974</v>
      </c>
      <c r="AA672" s="30" t="s">
        <v>302</v>
      </c>
    </row>
    <row r="673" spans="1:27" s="29" customFormat="1" ht="34.5" customHeight="1">
      <c r="A673" s="30" t="s">
        <v>142</v>
      </c>
      <c r="B673" s="31" t="s">
        <v>48</v>
      </c>
      <c r="C673" s="30" t="s">
        <v>1650</v>
      </c>
      <c r="D673" s="30" t="s">
        <v>1692</v>
      </c>
      <c r="E673" s="30" t="s">
        <v>117</v>
      </c>
      <c r="F673" s="30" t="s">
        <v>1453</v>
      </c>
      <c r="G673" s="30" t="s">
        <v>183</v>
      </c>
      <c r="H673" s="30">
        <v>924110</v>
      </c>
      <c r="I673" s="30" t="s">
        <v>98</v>
      </c>
      <c r="J673" s="30" t="s">
        <v>90</v>
      </c>
      <c r="K673" s="30" t="s">
        <v>78</v>
      </c>
      <c r="L673" s="30" t="s">
        <v>302</v>
      </c>
      <c r="M673" s="39">
        <v>2000</v>
      </c>
      <c r="N673" s="39">
        <v>2500</v>
      </c>
      <c r="O673" s="30" t="s">
        <v>149</v>
      </c>
      <c r="P673" s="30" t="s">
        <v>302</v>
      </c>
      <c r="Q673" s="30" t="s">
        <v>294</v>
      </c>
      <c r="R673" s="30" t="s">
        <v>35</v>
      </c>
      <c r="S673" s="41">
        <v>2014</v>
      </c>
      <c r="T673" s="31" t="s">
        <v>1669</v>
      </c>
      <c r="U673" s="31" t="s">
        <v>1653</v>
      </c>
      <c r="V673" s="30" t="s">
        <v>1670</v>
      </c>
      <c r="W673" s="30" t="s">
        <v>70</v>
      </c>
      <c r="X673" s="44">
        <v>41487</v>
      </c>
      <c r="Y673" s="44">
        <v>41518</v>
      </c>
      <c r="Z673" s="44">
        <v>41882</v>
      </c>
      <c r="AA673" s="30" t="s">
        <v>302</v>
      </c>
    </row>
    <row r="674" spans="1:27" s="29" customFormat="1" ht="34.5" customHeight="1">
      <c r="A674" s="30" t="s">
        <v>142</v>
      </c>
      <c r="B674" s="31" t="s">
        <v>48</v>
      </c>
      <c r="C674" s="30" t="s">
        <v>1650</v>
      </c>
      <c r="D674" s="30" t="s">
        <v>1693</v>
      </c>
      <c r="E674" s="30" t="s">
        <v>117</v>
      </c>
      <c r="F674" s="30" t="s">
        <v>1453</v>
      </c>
      <c r="G674" s="30" t="s">
        <v>183</v>
      </c>
      <c r="H674" s="30">
        <v>561621</v>
      </c>
      <c r="I674" s="30" t="s">
        <v>98</v>
      </c>
      <c r="J674" s="30" t="s">
        <v>90</v>
      </c>
      <c r="K674" s="30" t="s">
        <v>44</v>
      </c>
      <c r="L674" s="30" t="s">
        <v>302</v>
      </c>
      <c r="M674" s="39">
        <v>3800</v>
      </c>
      <c r="N674" s="39">
        <v>4200</v>
      </c>
      <c r="O674" s="30" t="s">
        <v>149</v>
      </c>
      <c r="P674" s="30" t="s">
        <v>302</v>
      </c>
      <c r="Q674" s="129" t="s">
        <v>867</v>
      </c>
      <c r="R674" s="30" t="s">
        <v>100</v>
      </c>
      <c r="S674" s="41">
        <v>2014</v>
      </c>
      <c r="T674" s="31" t="s">
        <v>1669</v>
      </c>
      <c r="U674" s="31" t="s">
        <v>1653</v>
      </c>
      <c r="V674" s="30" t="s">
        <v>1670</v>
      </c>
      <c r="W674" s="30" t="s">
        <v>70</v>
      </c>
      <c r="X674" s="44">
        <v>40617</v>
      </c>
      <c r="Y674" s="44">
        <v>40647</v>
      </c>
      <c r="Z674" s="44">
        <v>43935</v>
      </c>
      <c r="AA674" s="30" t="s">
        <v>302</v>
      </c>
    </row>
    <row r="675" spans="1:27" s="29" customFormat="1" ht="34.5" customHeight="1">
      <c r="A675" s="30" t="s">
        <v>142</v>
      </c>
      <c r="B675" s="31" t="s">
        <v>48</v>
      </c>
      <c r="C675" s="30" t="s">
        <v>1650</v>
      </c>
      <c r="D675" s="30" t="s">
        <v>1694</v>
      </c>
      <c r="E675" s="30" t="s">
        <v>117</v>
      </c>
      <c r="F675" s="30" t="s">
        <v>1451</v>
      </c>
      <c r="G675" s="30" t="s">
        <v>183</v>
      </c>
      <c r="H675" s="30">
        <v>561210</v>
      </c>
      <c r="I675" s="30" t="s">
        <v>98</v>
      </c>
      <c r="J675" s="30" t="s">
        <v>77</v>
      </c>
      <c r="K675" s="30" t="s">
        <v>34</v>
      </c>
      <c r="L675" s="30" t="s">
        <v>34</v>
      </c>
      <c r="M675" s="39">
        <v>8500</v>
      </c>
      <c r="N675" s="39">
        <v>9500</v>
      </c>
      <c r="O675" s="30" t="s">
        <v>149</v>
      </c>
      <c r="P675" s="30" t="s">
        <v>302</v>
      </c>
      <c r="Q675" s="30" t="s">
        <v>294</v>
      </c>
      <c r="R675" s="155" t="s">
        <v>80</v>
      </c>
      <c r="S675" s="41">
        <v>2014</v>
      </c>
      <c r="T675" s="31" t="s">
        <v>1660</v>
      </c>
      <c r="U675" s="31" t="s">
        <v>1653</v>
      </c>
      <c r="V675" s="30" t="s">
        <v>1661</v>
      </c>
      <c r="W675" s="30" t="s">
        <v>70</v>
      </c>
      <c r="X675" s="44">
        <v>41644</v>
      </c>
      <c r="Y675" s="44">
        <v>41685</v>
      </c>
      <c r="Z675" s="44">
        <v>41791</v>
      </c>
      <c r="AA675" s="30" t="s">
        <v>302</v>
      </c>
    </row>
    <row r="676" spans="1:27" s="29" customFormat="1" ht="38.25" customHeight="1">
      <c r="A676" s="30" t="s">
        <v>142</v>
      </c>
      <c r="B676" s="31" t="s">
        <v>56</v>
      </c>
      <c r="C676" s="30" t="s">
        <v>39</v>
      </c>
      <c r="D676" s="30" t="s">
        <v>1695</v>
      </c>
      <c r="E676" s="30" t="s">
        <v>164</v>
      </c>
      <c r="F676" s="30" t="s">
        <v>1696</v>
      </c>
      <c r="G676" s="30" t="s">
        <v>225</v>
      </c>
      <c r="H676" s="30">
        <v>238220</v>
      </c>
      <c r="I676" s="30" t="s">
        <v>98</v>
      </c>
      <c r="J676" s="30" t="s">
        <v>129</v>
      </c>
      <c r="K676" s="30" t="s">
        <v>61</v>
      </c>
      <c r="L676" s="30" t="s">
        <v>302</v>
      </c>
      <c r="M676" s="39">
        <v>1000000</v>
      </c>
      <c r="N676" s="39">
        <v>2000000</v>
      </c>
      <c r="O676" s="30" t="s">
        <v>79</v>
      </c>
      <c r="P676" s="30" t="s">
        <v>302</v>
      </c>
      <c r="Q676" s="30" t="s">
        <v>294</v>
      </c>
      <c r="R676" s="155" t="s">
        <v>80</v>
      </c>
      <c r="S676" s="41">
        <v>2014</v>
      </c>
      <c r="T676" s="31" t="s">
        <v>1697</v>
      </c>
      <c r="U676" s="31" t="s">
        <v>1698</v>
      </c>
      <c r="V676" s="30" t="s">
        <v>1699</v>
      </c>
      <c r="W676" s="30" t="s">
        <v>92</v>
      </c>
      <c r="X676" s="44">
        <v>41623</v>
      </c>
      <c r="Y676" s="44">
        <v>41654</v>
      </c>
      <c r="Z676" s="44">
        <v>41759</v>
      </c>
      <c r="AA676" s="30" t="s">
        <v>302</v>
      </c>
    </row>
    <row r="677" spans="1:27" s="29" customFormat="1" ht="34.5" customHeight="1">
      <c r="A677" s="30" t="s">
        <v>142</v>
      </c>
      <c r="B677" s="31" t="s">
        <v>64</v>
      </c>
      <c r="C677" s="30" t="s">
        <v>39</v>
      </c>
      <c r="D677" s="30" t="s">
        <v>1700</v>
      </c>
      <c r="E677" s="30" t="s">
        <v>250</v>
      </c>
      <c r="F677" s="30" t="s">
        <v>1701</v>
      </c>
      <c r="G677" s="30" t="s">
        <v>227</v>
      </c>
      <c r="H677" s="30">
        <v>562910</v>
      </c>
      <c r="I677" s="129" t="s">
        <v>546</v>
      </c>
      <c r="J677" s="30" t="s">
        <v>129</v>
      </c>
      <c r="K677" s="31" t="s">
        <v>69</v>
      </c>
      <c r="L677" s="30" t="s">
        <v>1702</v>
      </c>
      <c r="M677" s="39">
        <v>15000</v>
      </c>
      <c r="N677" s="39">
        <v>45000</v>
      </c>
      <c r="O677" s="30" t="s">
        <v>79</v>
      </c>
      <c r="P677" s="30" t="s">
        <v>302</v>
      </c>
      <c r="Q677" s="30" t="s">
        <v>294</v>
      </c>
      <c r="R677" s="155" t="s">
        <v>80</v>
      </c>
      <c r="S677" s="41">
        <v>2014</v>
      </c>
      <c r="T677" s="31" t="s">
        <v>1703</v>
      </c>
      <c r="U677" s="31" t="s">
        <v>1704</v>
      </c>
      <c r="V677" s="30" t="s">
        <v>1705</v>
      </c>
      <c r="W677" s="30" t="s">
        <v>114</v>
      </c>
      <c r="X677" s="44">
        <v>41699</v>
      </c>
      <c r="Y677" s="44">
        <v>41729</v>
      </c>
      <c r="Z677" s="44">
        <v>41791</v>
      </c>
      <c r="AA677" s="30"/>
    </row>
    <row r="678" spans="1:27" s="29" customFormat="1" ht="34.5" customHeight="1">
      <c r="A678" s="30" t="s">
        <v>142</v>
      </c>
      <c r="B678" s="31" t="s">
        <v>64</v>
      </c>
      <c r="C678" s="30" t="s">
        <v>39</v>
      </c>
      <c r="D678" s="30" t="s">
        <v>1706</v>
      </c>
      <c r="E678" s="30" t="s">
        <v>173</v>
      </c>
      <c r="F678" s="30" t="s">
        <v>1707</v>
      </c>
      <c r="G678" s="30" t="s">
        <v>227</v>
      </c>
      <c r="H678" s="30">
        <v>238210</v>
      </c>
      <c r="I678" s="30" t="s">
        <v>98</v>
      </c>
      <c r="J678" s="30" t="s">
        <v>129</v>
      </c>
      <c r="K678" s="31" t="s">
        <v>69</v>
      </c>
      <c r="L678" s="30" t="s">
        <v>1708</v>
      </c>
      <c r="M678" s="39">
        <v>5000</v>
      </c>
      <c r="N678" s="39">
        <v>30000</v>
      </c>
      <c r="O678" s="30" t="s">
        <v>149</v>
      </c>
      <c r="P678" s="30" t="s">
        <v>302</v>
      </c>
      <c r="Q678" s="30" t="s">
        <v>294</v>
      </c>
      <c r="R678" s="30" t="s">
        <v>100</v>
      </c>
      <c r="S678" s="41">
        <v>2014</v>
      </c>
      <c r="T678" s="31" t="s">
        <v>1709</v>
      </c>
      <c r="U678" s="31" t="s">
        <v>1710</v>
      </c>
      <c r="V678" s="30" t="s">
        <v>1711</v>
      </c>
      <c r="W678" s="30" t="s">
        <v>114</v>
      </c>
      <c r="X678" s="44">
        <v>41730</v>
      </c>
      <c r="Y678" s="44">
        <v>41759</v>
      </c>
      <c r="Z678" s="44">
        <v>41821</v>
      </c>
      <c r="AA678" s="30"/>
    </row>
    <row r="679" spans="1:27" s="29" customFormat="1" ht="34.5" customHeight="1">
      <c r="A679" s="30" t="s">
        <v>142</v>
      </c>
      <c r="B679" s="31" t="s">
        <v>64</v>
      </c>
      <c r="C679" s="30" t="s">
        <v>39</v>
      </c>
      <c r="D679" s="30" t="s">
        <v>1712</v>
      </c>
      <c r="E679" s="30" t="s">
        <v>254</v>
      </c>
      <c r="F679" s="30" t="s">
        <v>1284</v>
      </c>
      <c r="G679" s="30" t="s">
        <v>227</v>
      </c>
      <c r="H679" s="30">
        <v>238210</v>
      </c>
      <c r="I679" s="30" t="s">
        <v>98</v>
      </c>
      <c r="J679" s="30" t="s">
        <v>129</v>
      </c>
      <c r="K679" s="31" t="s">
        <v>69</v>
      </c>
      <c r="L679" s="30" t="s">
        <v>1713</v>
      </c>
      <c r="M679" s="39">
        <v>8000</v>
      </c>
      <c r="N679" s="39">
        <v>35000</v>
      </c>
      <c r="O679" s="30" t="s">
        <v>149</v>
      </c>
      <c r="P679" s="30" t="s">
        <v>302</v>
      </c>
      <c r="Q679" s="30" t="s">
        <v>294</v>
      </c>
      <c r="R679" s="155" t="s">
        <v>80</v>
      </c>
      <c r="S679" s="41">
        <v>2014</v>
      </c>
      <c r="T679" s="31" t="s">
        <v>1714</v>
      </c>
      <c r="U679" s="31" t="s">
        <v>1710</v>
      </c>
      <c r="V679" s="30" t="s">
        <v>1715</v>
      </c>
      <c r="W679" s="30" t="s">
        <v>114</v>
      </c>
      <c r="X679" s="44">
        <v>41671</v>
      </c>
      <c r="Y679" s="44">
        <v>41698</v>
      </c>
      <c r="Z679" s="44">
        <v>41729</v>
      </c>
      <c r="AA679" s="30"/>
    </row>
    <row r="680" spans="1:27" s="29" customFormat="1" ht="34.5" customHeight="1">
      <c r="A680" s="30" t="s">
        <v>142</v>
      </c>
      <c r="B680" s="30" t="s">
        <v>64</v>
      </c>
      <c r="C680" s="30" t="s">
        <v>39</v>
      </c>
      <c r="D680" s="30" t="s">
        <v>1716</v>
      </c>
      <c r="E680" s="30" t="s">
        <v>234</v>
      </c>
      <c r="F680" s="30" t="s">
        <v>1284</v>
      </c>
      <c r="G680" s="30" t="s">
        <v>227</v>
      </c>
      <c r="H680" s="30">
        <v>238220</v>
      </c>
      <c r="I680" s="129" t="s">
        <v>546</v>
      </c>
      <c r="J680" s="30" t="s">
        <v>129</v>
      </c>
      <c r="K680" s="31" t="s">
        <v>69</v>
      </c>
      <c r="L680" s="30" t="s">
        <v>1717</v>
      </c>
      <c r="M680" s="39">
        <v>10000</v>
      </c>
      <c r="N680" s="39">
        <v>35000</v>
      </c>
      <c r="O680" s="30" t="s">
        <v>79</v>
      </c>
      <c r="P680" s="30" t="s">
        <v>302</v>
      </c>
      <c r="Q680" s="30" t="s">
        <v>294</v>
      </c>
      <c r="R680" s="155" t="s">
        <v>80</v>
      </c>
      <c r="S680" s="41">
        <v>2014</v>
      </c>
      <c r="T680" s="31" t="s">
        <v>1703</v>
      </c>
      <c r="U680" s="31" t="s">
        <v>1704</v>
      </c>
      <c r="V680" s="30" t="s">
        <v>1705</v>
      </c>
      <c r="W680" s="30" t="s">
        <v>114</v>
      </c>
      <c r="X680" s="44">
        <v>41671</v>
      </c>
      <c r="Y680" s="44">
        <v>41685</v>
      </c>
      <c r="Z680" s="44">
        <v>41729</v>
      </c>
      <c r="AA680" s="30"/>
    </row>
    <row r="681" spans="1:27" s="29" customFormat="1" ht="34.5" customHeight="1">
      <c r="A681" s="30" t="s">
        <v>142</v>
      </c>
      <c r="B681" s="30" t="s">
        <v>64</v>
      </c>
      <c r="C681" s="30" t="s">
        <v>39</v>
      </c>
      <c r="D681" s="30" t="s">
        <v>1718</v>
      </c>
      <c r="E681" s="30" t="s">
        <v>122</v>
      </c>
      <c r="F681" s="30" t="s">
        <v>1284</v>
      </c>
      <c r="G681" s="30" t="s">
        <v>227</v>
      </c>
      <c r="H681" s="30">
        <v>238210</v>
      </c>
      <c r="I681" s="129" t="s">
        <v>546</v>
      </c>
      <c r="J681" s="30" t="s">
        <v>129</v>
      </c>
      <c r="K681" s="31" t="s">
        <v>69</v>
      </c>
      <c r="L681" s="30" t="s">
        <v>1719</v>
      </c>
      <c r="M681" s="39">
        <v>15000</v>
      </c>
      <c r="N681" s="39">
        <v>55000</v>
      </c>
      <c r="O681" s="30" t="s">
        <v>79</v>
      </c>
      <c r="P681" s="30" t="s">
        <v>302</v>
      </c>
      <c r="Q681" s="30" t="s">
        <v>294</v>
      </c>
      <c r="R681" s="30" t="s">
        <v>100</v>
      </c>
      <c r="S681" s="41">
        <v>2014</v>
      </c>
      <c r="T681" s="31" t="s">
        <v>1709</v>
      </c>
      <c r="U681" s="31" t="s">
        <v>1710</v>
      </c>
      <c r="V681" s="30" t="s">
        <v>1711</v>
      </c>
      <c r="W681" s="30" t="s">
        <v>114</v>
      </c>
      <c r="X681" s="44">
        <v>41730</v>
      </c>
      <c r="Y681" s="44">
        <v>41744</v>
      </c>
      <c r="Z681" s="44">
        <v>41791</v>
      </c>
      <c r="AA681" s="30"/>
    </row>
    <row r="682" spans="1:27" s="29" customFormat="1" ht="34.5" customHeight="1">
      <c r="A682" s="30" t="s">
        <v>142</v>
      </c>
      <c r="B682" s="30" t="s">
        <v>64</v>
      </c>
      <c r="C682" s="30" t="s">
        <v>39</v>
      </c>
      <c r="D682" s="30" t="s">
        <v>1720</v>
      </c>
      <c r="E682" s="30" t="s">
        <v>234</v>
      </c>
      <c r="F682" s="30" t="s">
        <v>1284</v>
      </c>
      <c r="G682" s="30" t="s">
        <v>227</v>
      </c>
      <c r="H682" s="30">
        <v>238220</v>
      </c>
      <c r="I682" s="129" t="s">
        <v>546</v>
      </c>
      <c r="J682" s="30" t="s">
        <v>129</v>
      </c>
      <c r="K682" s="31" t="s">
        <v>69</v>
      </c>
      <c r="L682" s="30" t="s">
        <v>1721</v>
      </c>
      <c r="M682" s="39">
        <v>30000</v>
      </c>
      <c r="N682" s="39">
        <v>75000</v>
      </c>
      <c r="O682" s="30" t="s">
        <v>79</v>
      </c>
      <c r="P682" s="30" t="s">
        <v>302</v>
      </c>
      <c r="Q682" s="30" t="s">
        <v>294</v>
      </c>
      <c r="R682" s="30" t="s">
        <v>100</v>
      </c>
      <c r="S682" s="41">
        <v>2014</v>
      </c>
      <c r="T682" s="31" t="s">
        <v>1714</v>
      </c>
      <c r="U682" s="31" t="s">
        <v>1710</v>
      </c>
      <c r="V682" s="30" t="s">
        <v>1715</v>
      </c>
      <c r="W682" s="30" t="s">
        <v>114</v>
      </c>
      <c r="X682" s="44">
        <v>41730</v>
      </c>
      <c r="Y682" s="44">
        <v>41744</v>
      </c>
      <c r="Z682" s="44">
        <v>41791</v>
      </c>
      <c r="AA682" s="30"/>
    </row>
    <row r="683" spans="1:27" s="29" customFormat="1" ht="34.5" customHeight="1">
      <c r="A683" s="30" t="s">
        <v>142</v>
      </c>
      <c r="B683" s="30" t="s">
        <v>64</v>
      </c>
      <c r="C683" s="30" t="s">
        <v>39</v>
      </c>
      <c r="D683" s="30" t="s">
        <v>1722</v>
      </c>
      <c r="E683" s="30" t="s">
        <v>173</v>
      </c>
      <c r="F683" s="30" t="s">
        <v>1284</v>
      </c>
      <c r="G683" s="30" t="s">
        <v>227</v>
      </c>
      <c r="H683" s="30">
        <v>238210</v>
      </c>
      <c r="I683" s="129" t="s">
        <v>546</v>
      </c>
      <c r="J683" s="30" t="s">
        <v>129</v>
      </c>
      <c r="K683" s="31" t="s">
        <v>69</v>
      </c>
      <c r="L683" s="30" t="s">
        <v>1723</v>
      </c>
      <c r="M683" s="39">
        <v>20000</v>
      </c>
      <c r="N683" s="39">
        <v>48000</v>
      </c>
      <c r="O683" s="30" t="s">
        <v>79</v>
      </c>
      <c r="P683" s="30" t="s">
        <v>302</v>
      </c>
      <c r="Q683" s="30" t="s">
        <v>294</v>
      </c>
      <c r="R683" s="155" t="s">
        <v>80</v>
      </c>
      <c r="S683" s="41">
        <v>2014</v>
      </c>
      <c r="T683" s="31" t="s">
        <v>1703</v>
      </c>
      <c r="U683" s="31" t="s">
        <v>1704</v>
      </c>
      <c r="V683" s="30" t="s">
        <v>1705</v>
      </c>
      <c r="W683" s="30" t="s">
        <v>114</v>
      </c>
      <c r="X683" s="44">
        <v>41671</v>
      </c>
      <c r="Y683" s="44">
        <v>41698</v>
      </c>
      <c r="Z683" s="44">
        <v>41730</v>
      </c>
      <c r="AA683" s="30"/>
    </row>
    <row r="684" spans="1:27" s="29" customFormat="1" ht="34.5" customHeight="1">
      <c r="A684" s="30" t="s">
        <v>142</v>
      </c>
      <c r="B684" s="30" t="s">
        <v>64</v>
      </c>
      <c r="C684" s="30" t="s">
        <v>39</v>
      </c>
      <c r="D684" s="30" t="s">
        <v>626</v>
      </c>
      <c r="E684" s="30" t="s">
        <v>234</v>
      </c>
      <c r="F684" s="30" t="s">
        <v>1701</v>
      </c>
      <c r="G684" s="30" t="s">
        <v>227</v>
      </c>
      <c r="H684" s="30">
        <v>238220</v>
      </c>
      <c r="I684" s="30" t="s">
        <v>98</v>
      </c>
      <c r="J684" s="30" t="s">
        <v>129</v>
      </c>
      <c r="K684" s="31" t="s">
        <v>69</v>
      </c>
      <c r="L684" s="30" t="s">
        <v>1724</v>
      </c>
      <c r="M684" s="39">
        <v>8000</v>
      </c>
      <c r="N684" s="39">
        <v>25000</v>
      </c>
      <c r="O684" s="30" t="s">
        <v>149</v>
      </c>
      <c r="P684" s="30" t="s">
        <v>302</v>
      </c>
      <c r="Q684" s="30" t="s">
        <v>294</v>
      </c>
      <c r="R684" s="155" t="s">
        <v>80</v>
      </c>
      <c r="S684" s="41">
        <v>2014</v>
      </c>
      <c r="T684" s="31" t="s">
        <v>1709</v>
      </c>
      <c r="U684" s="31" t="s">
        <v>1710</v>
      </c>
      <c r="V684" s="30" t="s">
        <v>1711</v>
      </c>
      <c r="W684" s="30" t="s">
        <v>114</v>
      </c>
      <c r="X684" s="44">
        <v>41671</v>
      </c>
      <c r="Y684" s="44">
        <v>41685</v>
      </c>
      <c r="Z684" s="44">
        <v>41729</v>
      </c>
      <c r="AA684" s="30"/>
    </row>
    <row r="685" spans="1:27" s="29" customFormat="1" ht="34.5" customHeight="1">
      <c r="A685" s="30" t="s">
        <v>142</v>
      </c>
      <c r="B685" s="30" t="s">
        <v>64</v>
      </c>
      <c r="C685" s="30" t="s">
        <v>39</v>
      </c>
      <c r="D685" s="30" t="s">
        <v>1725</v>
      </c>
      <c r="E685" s="30" t="s">
        <v>250</v>
      </c>
      <c r="F685" s="30" t="s">
        <v>1726</v>
      </c>
      <c r="G685" s="30" t="s">
        <v>227</v>
      </c>
      <c r="H685" s="30">
        <v>236220</v>
      </c>
      <c r="I685" s="30" t="s">
        <v>98</v>
      </c>
      <c r="J685" s="30" t="s">
        <v>129</v>
      </c>
      <c r="K685" s="31" t="s">
        <v>69</v>
      </c>
      <c r="L685" s="30" t="s">
        <v>1724</v>
      </c>
      <c r="M685" s="39">
        <v>5000</v>
      </c>
      <c r="N685" s="39">
        <v>25000</v>
      </c>
      <c r="O685" s="30" t="s">
        <v>149</v>
      </c>
      <c r="P685" s="30" t="s">
        <v>302</v>
      </c>
      <c r="Q685" s="30" t="s">
        <v>294</v>
      </c>
      <c r="R685" s="30" t="s">
        <v>100</v>
      </c>
      <c r="S685" s="41">
        <v>2014</v>
      </c>
      <c r="T685" s="31" t="s">
        <v>1714</v>
      </c>
      <c r="U685" s="31" t="s">
        <v>1710</v>
      </c>
      <c r="V685" s="30" t="s">
        <v>1715</v>
      </c>
      <c r="W685" s="30" t="s">
        <v>114</v>
      </c>
      <c r="X685" s="44">
        <v>41730</v>
      </c>
      <c r="Y685" s="44">
        <v>41744</v>
      </c>
      <c r="Z685" s="44">
        <v>41805</v>
      </c>
      <c r="AA685" s="30"/>
    </row>
    <row r="686" spans="1:27" s="29" customFormat="1" ht="34.5" customHeight="1">
      <c r="A686" s="30" t="s">
        <v>142</v>
      </c>
      <c r="B686" s="30" t="s">
        <v>64</v>
      </c>
      <c r="C686" s="30" t="s">
        <v>39</v>
      </c>
      <c r="D686" s="30" t="s">
        <v>1727</v>
      </c>
      <c r="E686" s="30" t="s">
        <v>234</v>
      </c>
      <c r="F686" s="30" t="s">
        <v>1701</v>
      </c>
      <c r="G686" s="30" t="s">
        <v>227</v>
      </c>
      <c r="H686" s="30">
        <v>238220</v>
      </c>
      <c r="I686" s="30" t="s">
        <v>98</v>
      </c>
      <c r="J686" s="30" t="s">
        <v>129</v>
      </c>
      <c r="K686" s="31" t="s">
        <v>69</v>
      </c>
      <c r="L686" s="30" t="s">
        <v>1724</v>
      </c>
      <c r="M686" s="39">
        <v>10000</v>
      </c>
      <c r="N686" s="39">
        <v>25000</v>
      </c>
      <c r="O686" s="30" t="s">
        <v>149</v>
      </c>
      <c r="P686" s="30" t="s">
        <v>302</v>
      </c>
      <c r="Q686" s="30" t="s">
        <v>294</v>
      </c>
      <c r="R686" s="30" t="s">
        <v>100</v>
      </c>
      <c r="S686" s="41">
        <v>2014</v>
      </c>
      <c r="T686" s="31" t="s">
        <v>1703</v>
      </c>
      <c r="U686" s="31" t="s">
        <v>1704</v>
      </c>
      <c r="V686" s="30" t="s">
        <v>1705</v>
      </c>
      <c r="W686" s="30" t="s">
        <v>114</v>
      </c>
      <c r="X686" s="44">
        <v>41730</v>
      </c>
      <c r="Y686" s="44">
        <v>41744</v>
      </c>
      <c r="Z686" s="44">
        <v>41790</v>
      </c>
      <c r="AA686" s="30"/>
    </row>
    <row r="687" spans="1:27" s="29" customFormat="1" ht="34.5" customHeight="1">
      <c r="A687" s="30" t="s">
        <v>142</v>
      </c>
      <c r="B687" s="30" t="s">
        <v>64</v>
      </c>
      <c r="C687" s="30" t="s">
        <v>39</v>
      </c>
      <c r="D687" s="30" t="s">
        <v>1728</v>
      </c>
      <c r="E687" s="30" t="s">
        <v>234</v>
      </c>
      <c r="F687" s="30" t="s">
        <v>1701</v>
      </c>
      <c r="G687" s="30" t="s">
        <v>227</v>
      </c>
      <c r="H687" s="30">
        <v>238220</v>
      </c>
      <c r="I687" s="30" t="s">
        <v>98</v>
      </c>
      <c r="J687" s="30" t="s">
        <v>129</v>
      </c>
      <c r="K687" s="31" t="s">
        <v>69</v>
      </c>
      <c r="L687" s="30" t="s">
        <v>1724</v>
      </c>
      <c r="M687" s="39">
        <v>4000</v>
      </c>
      <c r="N687" s="39">
        <v>20000</v>
      </c>
      <c r="O687" s="30" t="s">
        <v>149</v>
      </c>
      <c r="P687" s="30" t="s">
        <v>302</v>
      </c>
      <c r="Q687" s="30" t="s">
        <v>294</v>
      </c>
      <c r="R687" s="30" t="s">
        <v>100</v>
      </c>
      <c r="S687" s="41">
        <v>2014</v>
      </c>
      <c r="T687" s="31" t="s">
        <v>1709</v>
      </c>
      <c r="U687" s="31" t="s">
        <v>1710</v>
      </c>
      <c r="V687" s="30" t="s">
        <v>1711</v>
      </c>
      <c r="W687" s="30" t="s">
        <v>114</v>
      </c>
      <c r="X687" s="44">
        <v>41744</v>
      </c>
      <c r="Y687" s="44">
        <v>41759</v>
      </c>
      <c r="Z687" s="44">
        <v>41791</v>
      </c>
      <c r="AA687" s="30"/>
    </row>
    <row r="688" spans="1:27" s="29" customFormat="1" ht="34.5" customHeight="1">
      <c r="A688" s="30" t="s">
        <v>142</v>
      </c>
      <c r="B688" s="30" t="s">
        <v>64</v>
      </c>
      <c r="C688" s="30" t="s">
        <v>39</v>
      </c>
      <c r="D688" s="30" t="s">
        <v>1729</v>
      </c>
      <c r="E688" s="30" t="s">
        <v>234</v>
      </c>
      <c r="F688" s="30" t="s">
        <v>1701</v>
      </c>
      <c r="G688" s="30" t="s">
        <v>227</v>
      </c>
      <c r="H688" s="30">
        <v>238220</v>
      </c>
      <c r="I688" s="30" t="s">
        <v>98</v>
      </c>
      <c r="J688" s="30" t="s">
        <v>129</v>
      </c>
      <c r="K688" s="31" t="s">
        <v>69</v>
      </c>
      <c r="L688" s="30" t="s">
        <v>1724</v>
      </c>
      <c r="M688" s="39">
        <v>10000</v>
      </c>
      <c r="N688" s="39">
        <v>35000</v>
      </c>
      <c r="O688" s="30" t="s">
        <v>149</v>
      </c>
      <c r="P688" s="30" t="s">
        <v>302</v>
      </c>
      <c r="Q688" s="30" t="s">
        <v>294</v>
      </c>
      <c r="R688" s="30" t="s">
        <v>35</v>
      </c>
      <c r="S688" s="41">
        <v>2014</v>
      </c>
      <c r="T688" s="31" t="s">
        <v>1714</v>
      </c>
      <c r="U688" s="31" t="s">
        <v>1710</v>
      </c>
      <c r="V688" s="30" t="s">
        <v>1715</v>
      </c>
      <c r="W688" s="30" t="s">
        <v>114</v>
      </c>
      <c r="X688" s="44">
        <v>41821</v>
      </c>
      <c r="Y688" s="44">
        <v>41835</v>
      </c>
      <c r="Z688" s="44">
        <v>41866</v>
      </c>
      <c r="AA688" s="30"/>
    </row>
    <row r="689" spans="1:27" s="29" customFormat="1" ht="34.5" customHeight="1">
      <c r="A689" s="30" t="s">
        <v>142</v>
      </c>
      <c r="B689" s="30" t="s">
        <v>64</v>
      </c>
      <c r="C689" s="30" t="s">
        <v>39</v>
      </c>
      <c r="D689" s="30" t="s">
        <v>1720</v>
      </c>
      <c r="E689" s="30" t="s">
        <v>234</v>
      </c>
      <c r="F689" s="30" t="s">
        <v>1701</v>
      </c>
      <c r="G689" s="30" t="s">
        <v>227</v>
      </c>
      <c r="H689" s="30">
        <v>238220</v>
      </c>
      <c r="I689" s="129" t="s">
        <v>546</v>
      </c>
      <c r="J689" s="30" t="s">
        <v>129</v>
      </c>
      <c r="K689" s="31" t="s">
        <v>69</v>
      </c>
      <c r="L689" s="30" t="s">
        <v>1730</v>
      </c>
      <c r="M689" s="39">
        <v>30000</v>
      </c>
      <c r="N689" s="39">
        <v>750000</v>
      </c>
      <c r="O689" s="30" t="s">
        <v>79</v>
      </c>
      <c r="P689" s="30" t="s">
        <v>302</v>
      </c>
      <c r="Q689" s="30" t="s">
        <v>294</v>
      </c>
      <c r="R689" s="30" t="s">
        <v>100</v>
      </c>
      <c r="S689" s="41">
        <v>2014</v>
      </c>
      <c r="T689" s="31" t="s">
        <v>1703</v>
      </c>
      <c r="U689" s="31" t="s">
        <v>1704</v>
      </c>
      <c r="V689" s="30" t="s">
        <v>1705</v>
      </c>
      <c r="W689" s="30" t="s">
        <v>114</v>
      </c>
      <c r="X689" s="44">
        <v>41730</v>
      </c>
      <c r="Y689" s="44">
        <v>41759</v>
      </c>
      <c r="Z689" s="44">
        <v>41805</v>
      </c>
      <c r="AA689" s="30"/>
    </row>
    <row r="690" spans="1:27" s="29" customFormat="1" ht="34.5" customHeight="1">
      <c r="A690" s="30" t="s">
        <v>142</v>
      </c>
      <c r="B690" s="30" t="s">
        <v>64</v>
      </c>
      <c r="C690" s="30" t="s">
        <v>39</v>
      </c>
      <c r="D690" s="30" t="s">
        <v>1731</v>
      </c>
      <c r="E690" s="30" t="s">
        <v>252</v>
      </c>
      <c r="F690" s="30" t="s">
        <v>1701</v>
      </c>
      <c r="G690" s="30" t="s">
        <v>227</v>
      </c>
      <c r="H690" s="30">
        <v>238210</v>
      </c>
      <c r="I690" s="129" t="s">
        <v>546</v>
      </c>
      <c r="J690" s="30" t="s">
        <v>129</v>
      </c>
      <c r="K690" s="31" t="s">
        <v>69</v>
      </c>
      <c r="L690" s="30" t="s">
        <v>1732</v>
      </c>
      <c r="M690" s="39">
        <v>100000</v>
      </c>
      <c r="N690" s="39">
        <v>200000</v>
      </c>
      <c r="O690" s="30" t="s">
        <v>79</v>
      </c>
      <c r="P690" s="30" t="s">
        <v>302</v>
      </c>
      <c r="Q690" s="30" t="s">
        <v>294</v>
      </c>
      <c r="R690" s="30" t="s">
        <v>100</v>
      </c>
      <c r="S690" s="41">
        <v>2014</v>
      </c>
      <c r="T690" s="31" t="s">
        <v>1709</v>
      </c>
      <c r="U690" s="31" t="s">
        <v>1710</v>
      </c>
      <c r="V690" s="30" t="s">
        <v>1711</v>
      </c>
      <c r="W690" s="30" t="s">
        <v>114</v>
      </c>
      <c r="X690" s="44">
        <v>41760</v>
      </c>
      <c r="Y690" s="44">
        <v>41774</v>
      </c>
      <c r="Z690" s="44">
        <v>41820</v>
      </c>
      <c r="AA690" s="30"/>
    </row>
    <row r="691" spans="1:27" s="29" customFormat="1" ht="34.5" customHeight="1">
      <c r="A691" s="30" t="s">
        <v>142</v>
      </c>
      <c r="B691" s="30" t="s">
        <v>64</v>
      </c>
      <c r="C691" s="30" t="s">
        <v>39</v>
      </c>
      <c r="D691" s="30" t="s">
        <v>1733</v>
      </c>
      <c r="E691" s="30" t="s">
        <v>234</v>
      </c>
      <c r="F691" s="30" t="s">
        <v>1284</v>
      </c>
      <c r="G691" s="30" t="s">
        <v>227</v>
      </c>
      <c r="H691" s="30">
        <v>238220</v>
      </c>
      <c r="I691" s="129" t="s">
        <v>546</v>
      </c>
      <c r="J691" s="30" t="s">
        <v>129</v>
      </c>
      <c r="K691" s="31" t="s">
        <v>69</v>
      </c>
      <c r="L691" s="30" t="s">
        <v>1734</v>
      </c>
      <c r="M691" s="39">
        <v>75000</v>
      </c>
      <c r="N691" s="39">
        <v>175000</v>
      </c>
      <c r="O691" s="30" t="s">
        <v>79</v>
      </c>
      <c r="P691" s="30" t="s">
        <v>302</v>
      </c>
      <c r="Q691" s="30" t="s">
        <v>294</v>
      </c>
      <c r="R691" s="30" t="s">
        <v>100</v>
      </c>
      <c r="S691" s="41">
        <v>2014</v>
      </c>
      <c r="T691" s="31" t="s">
        <v>1714</v>
      </c>
      <c r="U691" s="31" t="s">
        <v>1710</v>
      </c>
      <c r="V691" s="30" t="s">
        <v>1715</v>
      </c>
      <c r="W691" s="30" t="s">
        <v>114</v>
      </c>
      <c r="X691" s="44">
        <v>41730</v>
      </c>
      <c r="Y691" s="44">
        <v>41759</v>
      </c>
      <c r="Z691" s="44">
        <v>41791</v>
      </c>
      <c r="AA691" s="30"/>
    </row>
    <row r="692" spans="1:27" s="29" customFormat="1" ht="34.5" customHeight="1">
      <c r="A692" s="30" t="s">
        <v>142</v>
      </c>
      <c r="B692" s="30" t="s">
        <v>64</v>
      </c>
      <c r="C692" s="30" t="s">
        <v>39</v>
      </c>
      <c r="D692" s="30" t="s">
        <v>1735</v>
      </c>
      <c r="E692" s="30" t="s">
        <v>234</v>
      </c>
      <c r="F692" s="30" t="s">
        <v>1284</v>
      </c>
      <c r="G692" s="30" t="s">
        <v>227</v>
      </c>
      <c r="H692" s="30">
        <v>238220</v>
      </c>
      <c r="I692" s="129" t="s">
        <v>546</v>
      </c>
      <c r="J692" s="30" t="s">
        <v>129</v>
      </c>
      <c r="K692" s="31" t="s">
        <v>69</v>
      </c>
      <c r="L692" s="30" t="s">
        <v>1734</v>
      </c>
      <c r="M692" s="39">
        <v>40000</v>
      </c>
      <c r="N692" s="39">
        <v>135000</v>
      </c>
      <c r="O692" s="30" t="s">
        <v>79</v>
      </c>
      <c r="P692" s="30" t="s">
        <v>302</v>
      </c>
      <c r="Q692" s="30" t="s">
        <v>294</v>
      </c>
      <c r="R692" s="30" t="s">
        <v>100</v>
      </c>
      <c r="S692" s="41">
        <v>2014</v>
      </c>
      <c r="T692" s="31" t="s">
        <v>1703</v>
      </c>
      <c r="U692" s="31" t="s">
        <v>1704</v>
      </c>
      <c r="V692" s="30" t="s">
        <v>1705</v>
      </c>
      <c r="W692" s="30" t="s">
        <v>114</v>
      </c>
      <c r="X692" s="44">
        <v>41791</v>
      </c>
      <c r="Y692" s="44">
        <v>41820</v>
      </c>
      <c r="Z692" s="44">
        <v>41851</v>
      </c>
      <c r="AA692" s="30"/>
    </row>
    <row r="693" spans="1:27" s="29" customFormat="1" ht="34.5" customHeight="1">
      <c r="A693" s="30" t="s">
        <v>142</v>
      </c>
      <c r="B693" s="30" t="s">
        <v>64</v>
      </c>
      <c r="C693" s="30" t="s">
        <v>39</v>
      </c>
      <c r="D693" s="30" t="s">
        <v>1736</v>
      </c>
      <c r="E693" s="30" t="s">
        <v>234</v>
      </c>
      <c r="F693" s="30" t="s">
        <v>1284</v>
      </c>
      <c r="G693" s="30" t="s">
        <v>227</v>
      </c>
      <c r="H693" s="30">
        <v>238220</v>
      </c>
      <c r="I693" s="129" t="s">
        <v>546</v>
      </c>
      <c r="J693" s="30" t="s">
        <v>129</v>
      </c>
      <c r="K693" s="31" t="s">
        <v>69</v>
      </c>
      <c r="L693" s="30" t="s">
        <v>1737</v>
      </c>
      <c r="M693" s="39">
        <v>20000</v>
      </c>
      <c r="N693" s="39">
        <v>60000</v>
      </c>
      <c r="O693" s="30" t="s">
        <v>79</v>
      </c>
      <c r="P693" s="30" t="s">
        <v>302</v>
      </c>
      <c r="Q693" s="30" t="s">
        <v>294</v>
      </c>
      <c r="R693" s="30" t="s">
        <v>100</v>
      </c>
      <c r="S693" s="41">
        <v>2014</v>
      </c>
      <c r="T693" s="31" t="s">
        <v>1738</v>
      </c>
      <c r="U693" s="31" t="s">
        <v>1710</v>
      </c>
      <c r="V693" s="30" t="s">
        <v>1711</v>
      </c>
      <c r="W693" s="30" t="s">
        <v>114</v>
      </c>
      <c r="X693" s="44">
        <v>41730</v>
      </c>
      <c r="Y693" s="44">
        <v>41749</v>
      </c>
      <c r="Z693" s="44">
        <v>41779</v>
      </c>
      <c r="AA693" s="30"/>
    </row>
    <row r="694" spans="1:27" s="29" customFormat="1" ht="34.5" customHeight="1">
      <c r="A694" s="30" t="s">
        <v>142</v>
      </c>
      <c r="B694" s="30" t="s">
        <v>64</v>
      </c>
      <c r="C694" s="30" t="s">
        <v>39</v>
      </c>
      <c r="D694" s="30" t="s">
        <v>1739</v>
      </c>
      <c r="E694" s="30" t="s">
        <v>161</v>
      </c>
      <c r="F694" s="30" t="s">
        <v>1284</v>
      </c>
      <c r="G694" s="30" t="s">
        <v>227</v>
      </c>
      <c r="H694" s="30">
        <v>236220</v>
      </c>
      <c r="I694" s="30" t="s">
        <v>98</v>
      </c>
      <c r="J694" s="30" t="s">
        <v>129</v>
      </c>
      <c r="K694" s="31" t="s">
        <v>69</v>
      </c>
      <c r="L694" s="30" t="s">
        <v>1740</v>
      </c>
      <c r="M694" s="39">
        <v>8000</v>
      </c>
      <c r="N694" s="39">
        <v>33000</v>
      </c>
      <c r="O694" s="30" t="s">
        <v>149</v>
      </c>
      <c r="P694" s="30" t="s">
        <v>302</v>
      </c>
      <c r="Q694" s="30" t="s">
        <v>294</v>
      </c>
      <c r="R694" s="30" t="s">
        <v>35</v>
      </c>
      <c r="S694" s="41">
        <v>2014</v>
      </c>
      <c r="T694" s="31" t="s">
        <v>1714</v>
      </c>
      <c r="U694" s="31" t="s">
        <v>1710</v>
      </c>
      <c r="V694" s="30" t="s">
        <v>1715</v>
      </c>
      <c r="W694" s="30" t="s">
        <v>114</v>
      </c>
      <c r="X694" s="44">
        <v>41821</v>
      </c>
      <c r="Y694" s="44">
        <v>41851</v>
      </c>
      <c r="Z694" s="44">
        <v>41881</v>
      </c>
      <c r="AA694" s="30"/>
    </row>
    <row r="695" spans="1:27" s="29" customFormat="1" ht="34.5" customHeight="1">
      <c r="A695" s="30" t="s">
        <v>142</v>
      </c>
      <c r="B695" s="30" t="s">
        <v>64</v>
      </c>
      <c r="C695" s="30" t="s">
        <v>39</v>
      </c>
      <c r="D695" s="30" t="s">
        <v>1741</v>
      </c>
      <c r="E695" s="30" t="s">
        <v>161</v>
      </c>
      <c r="F695" s="30" t="s">
        <v>1701</v>
      </c>
      <c r="G695" s="30" t="s">
        <v>227</v>
      </c>
      <c r="H695" s="30">
        <v>236220</v>
      </c>
      <c r="I695" s="129" t="s">
        <v>546</v>
      </c>
      <c r="J695" s="30" t="s">
        <v>129</v>
      </c>
      <c r="K695" s="31" t="s">
        <v>69</v>
      </c>
      <c r="L695" s="30" t="s">
        <v>1742</v>
      </c>
      <c r="M695" s="39">
        <v>75000</v>
      </c>
      <c r="N695" s="39">
        <v>125000</v>
      </c>
      <c r="O695" s="30" t="s">
        <v>79</v>
      </c>
      <c r="P695" s="30" t="s">
        <v>302</v>
      </c>
      <c r="Q695" s="30" t="s">
        <v>294</v>
      </c>
      <c r="R695" s="155" t="s">
        <v>80</v>
      </c>
      <c r="S695" s="41">
        <v>2014</v>
      </c>
      <c r="T695" s="31" t="s">
        <v>1703</v>
      </c>
      <c r="U695" s="31" t="s">
        <v>1704</v>
      </c>
      <c r="V695" s="30" t="s">
        <v>1705</v>
      </c>
      <c r="W695" s="30" t="s">
        <v>114</v>
      </c>
      <c r="X695" s="44">
        <v>41654</v>
      </c>
      <c r="Y695" s="44">
        <v>41671</v>
      </c>
      <c r="Z695" s="44">
        <v>41730</v>
      </c>
      <c r="AA695" s="30"/>
    </row>
    <row r="696" spans="1:27" s="29" customFormat="1" ht="34.5" customHeight="1">
      <c r="A696" s="30" t="s">
        <v>142</v>
      </c>
      <c r="B696" s="30" t="s">
        <v>64</v>
      </c>
      <c r="C696" s="30" t="s">
        <v>29</v>
      </c>
      <c r="D696" s="30" t="s">
        <v>1743</v>
      </c>
      <c r="E696" s="30" t="s">
        <v>234</v>
      </c>
      <c r="F696" s="30" t="s">
        <v>1284</v>
      </c>
      <c r="G696" s="30" t="s">
        <v>227</v>
      </c>
      <c r="H696" s="30">
        <v>238220</v>
      </c>
      <c r="I696" s="129" t="s">
        <v>546</v>
      </c>
      <c r="J696" s="30" t="s">
        <v>129</v>
      </c>
      <c r="K696" s="31" t="s">
        <v>69</v>
      </c>
      <c r="L696" s="30" t="s">
        <v>1742</v>
      </c>
      <c r="M696" s="39">
        <v>50000</v>
      </c>
      <c r="N696" s="39">
        <v>100000</v>
      </c>
      <c r="O696" s="30" t="s">
        <v>79</v>
      </c>
      <c r="P696" s="30" t="s">
        <v>302</v>
      </c>
      <c r="Q696" s="30" t="s">
        <v>294</v>
      </c>
      <c r="R696" s="30" t="s">
        <v>150</v>
      </c>
      <c r="S696" s="41">
        <v>2014</v>
      </c>
      <c r="T696" s="31" t="s">
        <v>1703</v>
      </c>
      <c r="U696" s="31" t="s">
        <v>1704</v>
      </c>
      <c r="V696" s="30" t="s">
        <v>1705</v>
      </c>
      <c r="W696" s="30" t="s">
        <v>114</v>
      </c>
      <c r="X696" s="44">
        <v>41578</v>
      </c>
      <c r="Y696" s="44">
        <v>41590</v>
      </c>
      <c r="Z696" s="44">
        <v>41645</v>
      </c>
      <c r="AA696" s="30"/>
    </row>
    <row r="697" spans="1:27" s="29" customFormat="1" ht="34.5" customHeight="1">
      <c r="A697" s="30" t="s">
        <v>142</v>
      </c>
      <c r="B697" s="30" t="s">
        <v>64</v>
      </c>
      <c r="C697" s="30" t="s">
        <v>39</v>
      </c>
      <c r="D697" s="30" t="s">
        <v>1741</v>
      </c>
      <c r="E697" s="30" t="s">
        <v>161</v>
      </c>
      <c r="F697" s="30" t="s">
        <v>1701</v>
      </c>
      <c r="G697" s="30" t="s">
        <v>227</v>
      </c>
      <c r="H697" s="30">
        <v>236220</v>
      </c>
      <c r="I697" s="129" t="s">
        <v>546</v>
      </c>
      <c r="J697" s="30" t="s">
        <v>129</v>
      </c>
      <c r="K697" s="31" t="s">
        <v>69</v>
      </c>
      <c r="L697" s="30" t="s">
        <v>1744</v>
      </c>
      <c r="M697" s="39">
        <v>4000</v>
      </c>
      <c r="N697" s="39">
        <v>15000</v>
      </c>
      <c r="O697" s="30" t="s">
        <v>149</v>
      </c>
      <c r="P697" s="30" t="s">
        <v>302</v>
      </c>
      <c r="Q697" s="30" t="s">
        <v>294</v>
      </c>
      <c r="R697" s="30" t="s">
        <v>150</v>
      </c>
      <c r="S697" s="41">
        <v>2014</v>
      </c>
      <c r="T697" s="31" t="s">
        <v>1703</v>
      </c>
      <c r="U697" s="31" t="s">
        <v>1704</v>
      </c>
      <c r="V697" s="30" t="s">
        <v>1705</v>
      </c>
      <c r="W697" s="30" t="s">
        <v>114</v>
      </c>
      <c r="X697" s="44">
        <v>41955</v>
      </c>
      <c r="Y697" s="44">
        <v>41965</v>
      </c>
      <c r="Z697" s="44">
        <v>41988</v>
      </c>
      <c r="AA697" s="30"/>
    </row>
    <row r="698" spans="1:27" s="29" customFormat="1" ht="34.5" customHeight="1">
      <c r="A698" s="30" t="s">
        <v>142</v>
      </c>
      <c r="B698" s="30" t="s">
        <v>64</v>
      </c>
      <c r="C698" s="30" t="s">
        <v>39</v>
      </c>
      <c r="D698" s="30" t="s">
        <v>1745</v>
      </c>
      <c r="E698" s="30" t="s">
        <v>164</v>
      </c>
      <c r="F698" s="30" t="s">
        <v>1746</v>
      </c>
      <c r="G698" s="30" t="s">
        <v>241</v>
      </c>
      <c r="H698" s="30">
        <v>562910</v>
      </c>
      <c r="I698" s="129" t="s">
        <v>546</v>
      </c>
      <c r="J698" s="30" t="s">
        <v>129</v>
      </c>
      <c r="K698" s="31" t="s">
        <v>69</v>
      </c>
      <c r="L698" s="30" t="s">
        <v>1734</v>
      </c>
      <c r="M698" s="39">
        <v>30000</v>
      </c>
      <c r="N698" s="39">
        <v>100000</v>
      </c>
      <c r="O698" s="30" t="s">
        <v>79</v>
      </c>
      <c r="P698" s="30" t="s">
        <v>302</v>
      </c>
      <c r="Q698" s="30" t="s">
        <v>294</v>
      </c>
      <c r="R698" s="30" t="s">
        <v>100</v>
      </c>
      <c r="S698" s="41">
        <v>2014</v>
      </c>
      <c r="T698" s="31" t="s">
        <v>1747</v>
      </c>
      <c r="U698" s="31" t="s">
        <v>1748</v>
      </c>
      <c r="V698" s="30" t="s">
        <v>1749</v>
      </c>
      <c r="W698" s="30" t="s">
        <v>114</v>
      </c>
      <c r="X698" s="44">
        <v>41730</v>
      </c>
      <c r="Y698" s="44">
        <v>41759</v>
      </c>
      <c r="Z698" s="44">
        <v>41820</v>
      </c>
      <c r="AA698" s="30"/>
    </row>
    <row r="699" spans="1:27" s="29" customFormat="1" ht="34.5" customHeight="1">
      <c r="A699" s="30" t="s">
        <v>142</v>
      </c>
      <c r="B699" s="30" t="s">
        <v>64</v>
      </c>
      <c r="C699" s="30" t="s">
        <v>39</v>
      </c>
      <c r="D699" s="30" t="s">
        <v>1750</v>
      </c>
      <c r="E699" s="30" t="s">
        <v>164</v>
      </c>
      <c r="F699" s="30" t="s">
        <v>1751</v>
      </c>
      <c r="G699" s="30" t="s">
        <v>241</v>
      </c>
      <c r="H699" s="30">
        <v>238320</v>
      </c>
      <c r="I699" s="129" t="s">
        <v>546</v>
      </c>
      <c r="J699" s="30" t="s">
        <v>129</v>
      </c>
      <c r="K699" s="31" t="s">
        <v>69</v>
      </c>
      <c r="L699" s="30" t="s">
        <v>1734</v>
      </c>
      <c r="M699" s="39">
        <v>30000</v>
      </c>
      <c r="N699" s="39">
        <v>100000</v>
      </c>
      <c r="O699" s="30" t="s">
        <v>79</v>
      </c>
      <c r="P699" s="30" t="s">
        <v>302</v>
      </c>
      <c r="Q699" s="30" t="s">
        <v>294</v>
      </c>
      <c r="R699" s="30" t="s">
        <v>100</v>
      </c>
      <c r="S699" s="41">
        <v>2014</v>
      </c>
      <c r="T699" s="31" t="s">
        <v>1747</v>
      </c>
      <c r="U699" s="31" t="s">
        <v>1748</v>
      </c>
      <c r="V699" s="30" t="s">
        <v>1749</v>
      </c>
      <c r="W699" s="30" t="s">
        <v>114</v>
      </c>
      <c r="X699" s="44">
        <v>41730</v>
      </c>
      <c r="Y699" s="44">
        <v>41759</v>
      </c>
      <c r="Z699" s="44">
        <v>41820</v>
      </c>
      <c r="AA699" s="30"/>
    </row>
    <row r="700" spans="1:27" s="29" customFormat="1" ht="34.5" customHeight="1">
      <c r="A700" s="30" t="s">
        <v>142</v>
      </c>
      <c r="B700" s="30" t="s">
        <v>64</v>
      </c>
      <c r="C700" s="30" t="s">
        <v>29</v>
      </c>
      <c r="D700" s="30" t="s">
        <v>1752</v>
      </c>
      <c r="E700" s="30" t="s">
        <v>164</v>
      </c>
      <c r="F700" s="30" t="s">
        <v>1746</v>
      </c>
      <c r="G700" s="30" t="s">
        <v>241</v>
      </c>
      <c r="H700" s="30">
        <v>236220</v>
      </c>
      <c r="I700" s="129" t="s">
        <v>546</v>
      </c>
      <c r="J700" s="30" t="s">
        <v>129</v>
      </c>
      <c r="K700" s="31" t="s">
        <v>69</v>
      </c>
      <c r="L700" s="30" t="s">
        <v>1734</v>
      </c>
      <c r="M700" s="39">
        <v>30000</v>
      </c>
      <c r="N700" s="39">
        <v>100000</v>
      </c>
      <c r="O700" s="30" t="s">
        <v>79</v>
      </c>
      <c r="P700" s="30" t="s">
        <v>302</v>
      </c>
      <c r="Q700" s="30" t="s">
        <v>294</v>
      </c>
      <c r="R700" s="30" t="s">
        <v>150</v>
      </c>
      <c r="S700" s="41">
        <v>2014</v>
      </c>
      <c r="T700" s="31" t="s">
        <v>1747</v>
      </c>
      <c r="U700" s="31" t="s">
        <v>1748</v>
      </c>
      <c r="V700" s="30" t="s">
        <v>1749</v>
      </c>
      <c r="W700" s="30" t="s">
        <v>114</v>
      </c>
      <c r="X700" s="44">
        <v>41593</v>
      </c>
      <c r="Y700" s="44">
        <v>41623</v>
      </c>
      <c r="Z700" s="44">
        <v>41685</v>
      </c>
      <c r="AA700" s="30"/>
    </row>
    <row r="701" spans="1:27" s="29" customFormat="1" ht="34.5" customHeight="1">
      <c r="A701" s="30" t="s">
        <v>142</v>
      </c>
      <c r="B701" s="30" t="s">
        <v>64</v>
      </c>
      <c r="C701" s="30" t="s">
        <v>39</v>
      </c>
      <c r="D701" s="30" t="s">
        <v>1753</v>
      </c>
      <c r="E701" s="30" t="s">
        <v>164</v>
      </c>
      <c r="F701" s="30" t="s">
        <v>1754</v>
      </c>
      <c r="G701" s="30" t="s">
        <v>185</v>
      </c>
      <c r="H701" s="30">
        <v>236220</v>
      </c>
      <c r="I701" s="129" t="s">
        <v>59</v>
      </c>
      <c r="J701" s="30" t="s">
        <v>129</v>
      </c>
      <c r="K701" s="31" t="s">
        <v>69</v>
      </c>
      <c r="L701" s="30" t="s">
        <v>1755</v>
      </c>
      <c r="M701" s="39">
        <v>250000</v>
      </c>
      <c r="N701" s="39">
        <v>500000</v>
      </c>
      <c r="O701" s="30" t="s">
        <v>79</v>
      </c>
      <c r="P701" s="30" t="s">
        <v>302</v>
      </c>
      <c r="Q701" s="30" t="s">
        <v>294</v>
      </c>
      <c r="R701" s="155" t="s">
        <v>80</v>
      </c>
      <c r="S701" s="41">
        <v>2014</v>
      </c>
      <c r="T701" s="31" t="s">
        <v>1756</v>
      </c>
      <c r="U701" s="31" t="s">
        <v>1757</v>
      </c>
      <c r="V701" s="30" t="s">
        <v>1758</v>
      </c>
      <c r="W701" s="30" t="s">
        <v>114</v>
      </c>
      <c r="X701" s="44">
        <v>41641</v>
      </c>
      <c r="Y701" s="44">
        <v>41669</v>
      </c>
      <c r="Z701" s="44">
        <v>41820</v>
      </c>
      <c r="AA701" s="30"/>
    </row>
    <row r="702" spans="1:27" s="29" customFormat="1" ht="34.5" customHeight="1">
      <c r="A702" s="30" t="s">
        <v>142</v>
      </c>
      <c r="B702" s="30" t="s">
        <v>64</v>
      </c>
      <c r="C702" s="30" t="s">
        <v>39</v>
      </c>
      <c r="D702" s="30" t="s">
        <v>1520</v>
      </c>
      <c r="E702" s="30" t="s">
        <v>139</v>
      </c>
      <c r="F702" s="129" t="s">
        <v>822</v>
      </c>
      <c r="G702" s="30" t="s">
        <v>221</v>
      </c>
      <c r="H702" s="30">
        <v>561790</v>
      </c>
      <c r="I702" s="30" t="s">
        <v>98</v>
      </c>
      <c r="J702" s="30" t="s">
        <v>129</v>
      </c>
      <c r="K702" s="31" t="s">
        <v>69</v>
      </c>
      <c r="L702" s="30" t="s">
        <v>1759</v>
      </c>
      <c r="M702" s="39">
        <v>25000</v>
      </c>
      <c r="N702" s="39">
        <v>0</v>
      </c>
      <c r="O702" s="30" t="s">
        <v>149</v>
      </c>
      <c r="P702" s="30" t="s">
        <v>302</v>
      </c>
      <c r="Q702" s="30" t="s">
        <v>294</v>
      </c>
      <c r="R702" s="30" t="s">
        <v>35</v>
      </c>
      <c r="S702" s="41">
        <v>2014</v>
      </c>
      <c r="T702" s="31" t="s">
        <v>1760</v>
      </c>
      <c r="U702" s="31" t="s">
        <v>1761</v>
      </c>
      <c r="V702" s="30" t="s">
        <v>1762</v>
      </c>
      <c r="W702" s="30" t="s">
        <v>114</v>
      </c>
      <c r="X702" s="44">
        <v>41835</v>
      </c>
      <c r="Y702" s="44">
        <v>41882</v>
      </c>
      <c r="Z702" s="44">
        <v>42155</v>
      </c>
      <c r="AA702" s="30"/>
    </row>
    <row r="703" spans="1:27" s="29" customFormat="1" ht="34.5" customHeight="1">
      <c r="A703" s="30" t="s">
        <v>142</v>
      </c>
      <c r="B703" s="30" t="s">
        <v>64</v>
      </c>
      <c r="C703" s="30" t="s">
        <v>39</v>
      </c>
      <c r="D703" s="30" t="s">
        <v>1763</v>
      </c>
      <c r="E703" s="30" t="s">
        <v>164</v>
      </c>
      <c r="F703" s="30" t="s">
        <v>1764</v>
      </c>
      <c r="G703" s="30" t="s">
        <v>221</v>
      </c>
      <c r="H703" s="30">
        <v>238210</v>
      </c>
      <c r="I703" s="30" t="s">
        <v>98</v>
      </c>
      <c r="J703" s="30" t="s">
        <v>129</v>
      </c>
      <c r="K703" s="31" t="s">
        <v>69</v>
      </c>
      <c r="L703" s="30" t="s">
        <v>1759</v>
      </c>
      <c r="M703" s="39">
        <v>5000</v>
      </c>
      <c r="N703" s="39">
        <v>3000</v>
      </c>
      <c r="O703" s="30" t="s">
        <v>149</v>
      </c>
      <c r="P703" s="30" t="s">
        <v>302</v>
      </c>
      <c r="Q703" s="30" t="s">
        <v>294</v>
      </c>
      <c r="R703" s="30" t="s">
        <v>150</v>
      </c>
      <c r="S703" s="41">
        <v>2014</v>
      </c>
      <c r="T703" s="31" t="s">
        <v>1760</v>
      </c>
      <c r="U703" s="31" t="s">
        <v>1761</v>
      </c>
      <c r="V703" s="30" t="s">
        <v>1762</v>
      </c>
      <c r="W703" s="30" t="s">
        <v>114</v>
      </c>
      <c r="X703" s="44">
        <v>41609</v>
      </c>
      <c r="Y703" s="44">
        <v>41640</v>
      </c>
      <c r="Z703" s="44">
        <v>41671</v>
      </c>
      <c r="AA703" s="30"/>
    </row>
    <row r="704" spans="1:27" s="29" customFormat="1" ht="34.5" customHeight="1">
      <c r="A704" s="30" t="s">
        <v>142</v>
      </c>
      <c r="B704" s="30" t="s">
        <v>64</v>
      </c>
      <c r="C704" s="30" t="s">
        <v>39</v>
      </c>
      <c r="D704" s="30" t="s">
        <v>1765</v>
      </c>
      <c r="E704" s="30" t="s">
        <v>164</v>
      </c>
      <c r="F704" s="30" t="s">
        <v>1766</v>
      </c>
      <c r="G704" s="30" t="s">
        <v>185</v>
      </c>
      <c r="H704" s="30">
        <v>238220</v>
      </c>
      <c r="I704" s="30" t="s">
        <v>98</v>
      </c>
      <c r="J704" s="30" t="s">
        <v>129</v>
      </c>
      <c r="K704" s="31" t="s">
        <v>69</v>
      </c>
      <c r="L704" s="30" t="s">
        <v>1759</v>
      </c>
      <c r="M704" s="39">
        <v>0</v>
      </c>
      <c r="N704" s="39">
        <v>25000</v>
      </c>
      <c r="O704" s="30" t="s">
        <v>149</v>
      </c>
      <c r="P704" s="30" t="s">
        <v>302</v>
      </c>
      <c r="Q704" s="30" t="s">
        <v>294</v>
      </c>
      <c r="R704" s="30" t="s">
        <v>100</v>
      </c>
      <c r="S704" s="41">
        <v>2014</v>
      </c>
      <c r="T704" s="31" t="s">
        <v>1767</v>
      </c>
      <c r="U704" s="31" t="s">
        <v>1768</v>
      </c>
      <c r="V704" s="30" t="s">
        <v>1769</v>
      </c>
      <c r="W704" s="30" t="s">
        <v>114</v>
      </c>
      <c r="X704" s="44">
        <v>41730</v>
      </c>
      <c r="Y704" s="44">
        <v>41760</v>
      </c>
      <c r="Z704" s="44">
        <v>41805</v>
      </c>
      <c r="AA704" s="30"/>
    </row>
    <row r="705" spans="1:27" s="29" customFormat="1" ht="34.5" customHeight="1">
      <c r="A705" s="30" t="s">
        <v>142</v>
      </c>
      <c r="B705" s="30" t="s">
        <v>64</v>
      </c>
      <c r="C705" s="30" t="s">
        <v>39</v>
      </c>
      <c r="D705" s="30" t="s">
        <v>1770</v>
      </c>
      <c r="E705" s="30" t="s">
        <v>164</v>
      </c>
      <c r="F705" s="30" t="s">
        <v>1766</v>
      </c>
      <c r="G705" s="30" t="s">
        <v>185</v>
      </c>
      <c r="H705" s="30">
        <v>236220</v>
      </c>
      <c r="I705" s="129" t="s">
        <v>59</v>
      </c>
      <c r="J705" s="30" t="s">
        <v>129</v>
      </c>
      <c r="K705" s="31" t="s">
        <v>69</v>
      </c>
      <c r="L705" s="30" t="s">
        <v>925</v>
      </c>
      <c r="M705" s="39">
        <v>100000</v>
      </c>
      <c r="N705" s="39">
        <v>250000</v>
      </c>
      <c r="O705" s="30" t="s">
        <v>79</v>
      </c>
      <c r="P705" s="30" t="s">
        <v>302</v>
      </c>
      <c r="Q705" s="30" t="s">
        <v>294</v>
      </c>
      <c r="R705" s="30" t="s">
        <v>150</v>
      </c>
      <c r="S705" s="41">
        <v>2014</v>
      </c>
      <c r="T705" s="31" t="s">
        <v>1767</v>
      </c>
      <c r="U705" s="31" t="s">
        <v>1768</v>
      </c>
      <c r="V705" s="30" t="s">
        <v>1769</v>
      </c>
      <c r="W705" s="30" t="s">
        <v>114</v>
      </c>
      <c r="X705" s="44">
        <v>41593</v>
      </c>
      <c r="Y705" s="44">
        <v>41624</v>
      </c>
      <c r="Z705" s="44">
        <v>41726</v>
      </c>
      <c r="AA705" s="30"/>
    </row>
    <row r="706" spans="1:27" s="29" customFormat="1" ht="34.5" customHeight="1">
      <c r="A706" s="30" t="s">
        <v>142</v>
      </c>
      <c r="B706" s="30" t="s">
        <v>64</v>
      </c>
      <c r="C706" s="30" t="s">
        <v>39</v>
      </c>
      <c r="D706" s="30" t="s">
        <v>1771</v>
      </c>
      <c r="E706" s="30" t="s">
        <v>164</v>
      </c>
      <c r="F706" s="30" t="s">
        <v>1751</v>
      </c>
      <c r="G706" s="30" t="s">
        <v>241</v>
      </c>
      <c r="H706" s="30">
        <v>236220</v>
      </c>
      <c r="I706" s="30" t="s">
        <v>45</v>
      </c>
      <c r="J706" s="30" t="s">
        <v>129</v>
      </c>
      <c r="K706" s="30" t="s">
        <v>45</v>
      </c>
      <c r="L706" s="30" t="s">
        <v>1772</v>
      </c>
      <c r="M706" s="39">
        <v>100000</v>
      </c>
      <c r="N706" s="39">
        <v>250000</v>
      </c>
      <c r="O706" s="30" t="s">
        <v>79</v>
      </c>
      <c r="P706" s="30" t="s">
        <v>302</v>
      </c>
      <c r="Q706" s="30" t="s">
        <v>294</v>
      </c>
      <c r="R706" s="155" t="s">
        <v>80</v>
      </c>
      <c r="S706" s="41">
        <v>2014</v>
      </c>
      <c r="T706" s="31" t="s">
        <v>1756</v>
      </c>
      <c r="U706" s="31" t="s">
        <v>1757</v>
      </c>
      <c r="V706" s="30" t="s">
        <v>1758</v>
      </c>
      <c r="W706" s="30" t="s">
        <v>114</v>
      </c>
      <c r="X706" s="30"/>
      <c r="Y706" s="30"/>
      <c r="Z706" s="30"/>
      <c r="AA706" s="30"/>
    </row>
    <row r="707" spans="1:27" s="29" customFormat="1" ht="34.5" customHeight="1">
      <c r="A707" s="30" t="s">
        <v>142</v>
      </c>
      <c r="B707" s="30" t="s">
        <v>64</v>
      </c>
      <c r="C707" s="30" t="s">
        <v>39</v>
      </c>
      <c r="D707" s="30" t="s">
        <v>1773</v>
      </c>
      <c r="E707" s="30" t="s">
        <v>164</v>
      </c>
      <c r="F707" s="30" t="s">
        <v>1774</v>
      </c>
      <c r="G707" s="30" t="s">
        <v>185</v>
      </c>
      <c r="H707" s="30">
        <v>238130</v>
      </c>
      <c r="I707" s="30" t="s">
        <v>98</v>
      </c>
      <c r="J707" s="30" t="s">
        <v>129</v>
      </c>
      <c r="K707" s="31" t="s">
        <v>69</v>
      </c>
      <c r="L707" s="30" t="s">
        <v>1759</v>
      </c>
      <c r="M707" s="39">
        <v>25000</v>
      </c>
      <c r="N707" s="39">
        <v>100000</v>
      </c>
      <c r="O707" s="30" t="s">
        <v>79</v>
      </c>
      <c r="P707" s="30" t="s">
        <v>302</v>
      </c>
      <c r="Q707" s="30" t="s">
        <v>294</v>
      </c>
      <c r="R707" s="30" t="s">
        <v>100</v>
      </c>
      <c r="S707" s="41">
        <v>2014</v>
      </c>
      <c r="T707" s="31" t="s">
        <v>1767</v>
      </c>
      <c r="U707" s="31" t="s">
        <v>1768</v>
      </c>
      <c r="V707" s="30" t="s">
        <v>1769</v>
      </c>
      <c r="W707" s="30" t="s">
        <v>114</v>
      </c>
      <c r="X707" s="44">
        <v>41760</v>
      </c>
      <c r="Y707" s="44">
        <v>41797</v>
      </c>
      <c r="Z707" s="44">
        <v>41851</v>
      </c>
      <c r="AA707" s="30"/>
    </row>
    <row r="708" spans="1:27" s="29" customFormat="1" ht="34.5" customHeight="1">
      <c r="A708" s="30" t="s">
        <v>142</v>
      </c>
      <c r="B708" s="30" t="s">
        <v>64</v>
      </c>
      <c r="C708" s="30" t="s">
        <v>39</v>
      </c>
      <c r="D708" s="30" t="s">
        <v>1775</v>
      </c>
      <c r="E708" s="30" t="s">
        <v>164</v>
      </c>
      <c r="F708" s="30" t="s">
        <v>1776</v>
      </c>
      <c r="G708" s="30" t="s">
        <v>185</v>
      </c>
      <c r="H708" s="30">
        <v>238140</v>
      </c>
      <c r="I708" s="30" t="s">
        <v>45</v>
      </c>
      <c r="J708" s="30" t="s">
        <v>129</v>
      </c>
      <c r="K708" s="30" t="s">
        <v>45</v>
      </c>
      <c r="L708" s="52" t="s">
        <v>1777</v>
      </c>
      <c r="M708" s="39">
        <v>25000</v>
      </c>
      <c r="N708" s="39">
        <v>100000</v>
      </c>
      <c r="O708" s="30" t="s">
        <v>79</v>
      </c>
      <c r="P708" s="30" t="s">
        <v>302</v>
      </c>
      <c r="Q708" s="30" t="s">
        <v>294</v>
      </c>
      <c r="R708" s="30" t="s">
        <v>35</v>
      </c>
      <c r="S708" s="41">
        <v>2014</v>
      </c>
      <c r="T708" s="31" t="s">
        <v>1767</v>
      </c>
      <c r="U708" s="31" t="s">
        <v>1768</v>
      </c>
      <c r="V708" s="30" t="s">
        <v>1769</v>
      </c>
      <c r="W708" s="30" t="s">
        <v>114</v>
      </c>
      <c r="X708" s="44">
        <v>41821</v>
      </c>
      <c r="Y708" s="44">
        <v>41859</v>
      </c>
      <c r="Z708" s="44">
        <v>41912</v>
      </c>
      <c r="AA708" s="30"/>
    </row>
    <row r="709" spans="1:27" s="29" customFormat="1" ht="34.5" customHeight="1">
      <c r="A709" s="30" t="s">
        <v>142</v>
      </c>
      <c r="B709" s="30" t="s">
        <v>64</v>
      </c>
      <c r="C709" s="30" t="s">
        <v>39</v>
      </c>
      <c r="D709" s="30" t="s">
        <v>1778</v>
      </c>
      <c r="E709" s="30" t="s">
        <v>164</v>
      </c>
      <c r="F709" s="30" t="s">
        <v>1776</v>
      </c>
      <c r="G709" s="30" t="s">
        <v>185</v>
      </c>
      <c r="H709" s="30">
        <v>238220</v>
      </c>
      <c r="I709" s="30" t="s">
        <v>45</v>
      </c>
      <c r="J709" s="30" t="s">
        <v>129</v>
      </c>
      <c r="K709" s="30" t="s">
        <v>45</v>
      </c>
      <c r="L709" s="30" t="s">
        <v>1777</v>
      </c>
      <c r="M709" s="39">
        <v>0</v>
      </c>
      <c r="N709" s="39">
        <v>25000</v>
      </c>
      <c r="O709" s="30" t="s">
        <v>79</v>
      </c>
      <c r="P709" s="30" t="s">
        <v>302</v>
      </c>
      <c r="Q709" s="30" t="s">
        <v>294</v>
      </c>
      <c r="R709" s="30" t="s">
        <v>100</v>
      </c>
      <c r="S709" s="41">
        <v>2014</v>
      </c>
      <c r="T709" s="31" t="s">
        <v>1767</v>
      </c>
      <c r="U709" s="31" t="s">
        <v>1768</v>
      </c>
      <c r="V709" s="30" t="s">
        <v>1769</v>
      </c>
      <c r="W709" s="30" t="s">
        <v>114</v>
      </c>
      <c r="X709" s="44">
        <v>41791</v>
      </c>
      <c r="Y709" s="44">
        <v>41827</v>
      </c>
      <c r="Z709" s="44">
        <v>41880</v>
      </c>
      <c r="AA709" s="30"/>
    </row>
    <row r="710" spans="1:27" s="29" customFormat="1" ht="34.5" customHeight="1">
      <c r="A710" s="30" t="s">
        <v>142</v>
      </c>
      <c r="B710" s="30" t="s">
        <v>64</v>
      </c>
      <c r="C710" s="30" t="s">
        <v>39</v>
      </c>
      <c r="D710" s="30" t="s">
        <v>1779</v>
      </c>
      <c r="E710" s="30" t="s">
        <v>263</v>
      </c>
      <c r="F710" s="30" t="s">
        <v>1780</v>
      </c>
      <c r="G710" s="30" t="s">
        <v>201</v>
      </c>
      <c r="H710" s="30">
        <v>484210</v>
      </c>
      <c r="I710" s="129" t="s">
        <v>546</v>
      </c>
      <c r="J710" s="30" t="s">
        <v>129</v>
      </c>
      <c r="K710" s="31" t="s">
        <v>69</v>
      </c>
      <c r="L710" s="30" t="s">
        <v>1755</v>
      </c>
      <c r="M710" s="39">
        <v>25000</v>
      </c>
      <c r="N710" s="39">
        <v>25000</v>
      </c>
      <c r="O710" s="129" t="s">
        <v>149</v>
      </c>
      <c r="P710" s="30" t="s">
        <v>302</v>
      </c>
      <c r="Q710" s="30" t="s">
        <v>294</v>
      </c>
      <c r="R710" s="155" t="s">
        <v>80</v>
      </c>
      <c r="S710" s="41">
        <v>2014</v>
      </c>
      <c r="T710" s="31" t="s">
        <v>1781</v>
      </c>
      <c r="U710" s="31" t="s">
        <v>1782</v>
      </c>
      <c r="V710" s="30" t="s">
        <v>1783</v>
      </c>
      <c r="W710" s="30" t="s">
        <v>114</v>
      </c>
      <c r="X710" s="44">
        <v>41654</v>
      </c>
      <c r="Y710" s="44">
        <v>41670</v>
      </c>
      <c r="Z710" s="44">
        <v>41698</v>
      </c>
      <c r="AA710" s="30"/>
    </row>
    <row r="711" spans="1:27" s="29" customFormat="1" ht="34.5" customHeight="1">
      <c r="A711" s="30" t="s">
        <v>142</v>
      </c>
      <c r="B711" s="30" t="s">
        <v>64</v>
      </c>
      <c r="C711" s="30" t="s">
        <v>39</v>
      </c>
      <c r="D711" s="30" t="s">
        <v>1779</v>
      </c>
      <c r="E711" s="30" t="s">
        <v>263</v>
      </c>
      <c r="F711" s="30" t="s">
        <v>1284</v>
      </c>
      <c r="G711" s="30" t="s">
        <v>227</v>
      </c>
      <c r="H711" s="30">
        <v>484210</v>
      </c>
      <c r="I711" s="129" t="s">
        <v>546</v>
      </c>
      <c r="J711" s="30" t="s">
        <v>129</v>
      </c>
      <c r="K711" s="31" t="s">
        <v>69</v>
      </c>
      <c r="L711" s="30" t="s">
        <v>1755</v>
      </c>
      <c r="M711" s="39">
        <v>200000</v>
      </c>
      <c r="N711" s="39">
        <v>200000</v>
      </c>
      <c r="O711" s="129" t="s">
        <v>79</v>
      </c>
      <c r="P711" s="30" t="s">
        <v>302</v>
      </c>
      <c r="Q711" s="30" t="s">
        <v>294</v>
      </c>
      <c r="R711" s="30" t="s">
        <v>150</v>
      </c>
      <c r="S711" s="41">
        <v>2014</v>
      </c>
      <c r="T711" s="31" t="s">
        <v>1781</v>
      </c>
      <c r="U711" s="31" t="s">
        <v>1782</v>
      </c>
      <c r="V711" s="30" t="s">
        <v>1783</v>
      </c>
      <c r="W711" s="30" t="s">
        <v>114</v>
      </c>
      <c r="X711" s="44">
        <v>41610</v>
      </c>
      <c r="Y711" s="44">
        <v>41624</v>
      </c>
      <c r="Z711" s="44">
        <v>41789</v>
      </c>
      <c r="AA711" s="30"/>
    </row>
    <row r="712" spans="1:27" s="29" customFormat="1" ht="34.5" customHeight="1">
      <c r="A712" s="30" t="s">
        <v>142</v>
      </c>
      <c r="B712" s="30" t="s">
        <v>64</v>
      </c>
      <c r="C712" s="30" t="s">
        <v>39</v>
      </c>
      <c r="D712" s="30" t="s">
        <v>1784</v>
      </c>
      <c r="E712" s="30" t="s">
        <v>88</v>
      </c>
      <c r="F712" s="132" t="s">
        <v>3378</v>
      </c>
      <c r="G712" s="52" t="s">
        <v>201</v>
      </c>
      <c r="H712" s="30">
        <v>561210</v>
      </c>
      <c r="I712" s="30" t="s">
        <v>98</v>
      </c>
      <c r="J712" s="30" t="s">
        <v>129</v>
      </c>
      <c r="K712" s="31" t="s">
        <v>69</v>
      </c>
      <c r="L712" s="30" t="s">
        <v>1755</v>
      </c>
      <c r="M712" s="39">
        <v>5000000</v>
      </c>
      <c r="N712" s="39">
        <v>10000000</v>
      </c>
      <c r="O712" s="30" t="s">
        <v>79</v>
      </c>
      <c r="P712" s="30" t="s">
        <v>1785</v>
      </c>
      <c r="Q712" s="30" t="s">
        <v>294</v>
      </c>
      <c r="R712" s="30" t="s">
        <v>150</v>
      </c>
      <c r="S712" s="41">
        <v>2014</v>
      </c>
      <c r="T712" s="31" t="s">
        <v>1786</v>
      </c>
      <c r="U712" s="31" t="s">
        <v>1787</v>
      </c>
      <c r="V712" s="30" t="s">
        <v>1788</v>
      </c>
      <c r="W712" s="30" t="s">
        <v>114</v>
      </c>
      <c r="X712" s="88" t="s">
        <v>334</v>
      </c>
      <c r="Y712" s="44">
        <v>41699</v>
      </c>
      <c r="Z712" s="44">
        <v>43646</v>
      </c>
      <c r="AA712" s="30"/>
    </row>
    <row r="713" spans="1:27" s="29" customFormat="1" ht="34.5" customHeight="1">
      <c r="A713" s="30" t="s">
        <v>142</v>
      </c>
      <c r="B713" s="30" t="s">
        <v>64</v>
      </c>
      <c r="C713" s="30" t="s">
        <v>39</v>
      </c>
      <c r="D713" s="30" t="s">
        <v>1789</v>
      </c>
      <c r="E713" s="30" t="s">
        <v>164</v>
      </c>
      <c r="F713" s="30" t="s">
        <v>1790</v>
      </c>
      <c r="G713" s="30" t="s">
        <v>201</v>
      </c>
      <c r="H713" s="30">
        <v>238210</v>
      </c>
      <c r="I713" s="30" t="s">
        <v>98</v>
      </c>
      <c r="J713" s="30" t="s">
        <v>129</v>
      </c>
      <c r="K713" s="31" t="s">
        <v>69</v>
      </c>
      <c r="L713" s="30" t="s">
        <v>1755</v>
      </c>
      <c r="M713" s="39">
        <v>25000</v>
      </c>
      <c r="N713" s="39">
        <v>100000</v>
      </c>
      <c r="O713" s="30" t="s">
        <v>79</v>
      </c>
      <c r="P713" s="30" t="s">
        <v>302</v>
      </c>
      <c r="Q713" s="30" t="s">
        <v>294</v>
      </c>
      <c r="R713" s="155" t="s">
        <v>80</v>
      </c>
      <c r="S713" s="41">
        <v>2014</v>
      </c>
      <c r="T713" s="31" t="s">
        <v>1786</v>
      </c>
      <c r="U713" s="31" t="s">
        <v>1787</v>
      </c>
      <c r="V713" s="30" t="s">
        <v>1788</v>
      </c>
      <c r="W713" s="30" t="s">
        <v>114</v>
      </c>
      <c r="X713" s="44">
        <v>41640</v>
      </c>
      <c r="Y713" s="44">
        <v>41671</v>
      </c>
      <c r="Z713" s="44">
        <v>41790</v>
      </c>
      <c r="AA713" s="30"/>
    </row>
    <row r="714" spans="1:27" s="29" customFormat="1" ht="34.5" customHeight="1">
      <c r="A714" s="30" t="s">
        <v>142</v>
      </c>
      <c r="B714" s="30" t="s">
        <v>64</v>
      </c>
      <c r="C714" s="30" t="s">
        <v>39</v>
      </c>
      <c r="D714" s="30" t="s">
        <v>1791</v>
      </c>
      <c r="E714" s="30" t="s">
        <v>164</v>
      </c>
      <c r="F714" s="30" t="s">
        <v>1780</v>
      </c>
      <c r="G714" s="30" t="s">
        <v>201</v>
      </c>
      <c r="H714" s="30">
        <v>238150</v>
      </c>
      <c r="I714" s="30" t="s">
        <v>98</v>
      </c>
      <c r="J714" s="30" t="s">
        <v>129</v>
      </c>
      <c r="K714" s="31" t="s">
        <v>69</v>
      </c>
      <c r="L714" s="30" t="s">
        <v>1755</v>
      </c>
      <c r="M714" s="39">
        <v>0</v>
      </c>
      <c r="N714" s="39">
        <v>25000</v>
      </c>
      <c r="O714" s="30" t="s">
        <v>149</v>
      </c>
      <c r="P714" s="30" t="s">
        <v>302</v>
      </c>
      <c r="Q714" s="30" t="s">
        <v>294</v>
      </c>
      <c r="R714" s="155" t="s">
        <v>80</v>
      </c>
      <c r="S714" s="41">
        <v>2014</v>
      </c>
      <c r="T714" s="31" t="s">
        <v>1786</v>
      </c>
      <c r="U714" s="31" t="s">
        <v>1787</v>
      </c>
      <c r="V714" s="30" t="s">
        <v>1788</v>
      </c>
      <c r="W714" s="30" t="s">
        <v>114</v>
      </c>
      <c r="X714" s="44">
        <v>41640</v>
      </c>
      <c r="Y714" s="44">
        <v>41671</v>
      </c>
      <c r="Z714" s="44">
        <v>41759</v>
      </c>
      <c r="AA714" s="30"/>
    </row>
    <row r="715" spans="1:27" s="29" customFormat="1" ht="34.5" customHeight="1">
      <c r="A715" s="30" t="s">
        <v>142</v>
      </c>
      <c r="B715" s="30" t="s">
        <v>64</v>
      </c>
      <c r="C715" s="30" t="s">
        <v>39</v>
      </c>
      <c r="D715" s="30" t="s">
        <v>1792</v>
      </c>
      <c r="E715" s="30" t="s">
        <v>164</v>
      </c>
      <c r="F715" s="30" t="s">
        <v>1793</v>
      </c>
      <c r="G715" s="30" t="s">
        <v>201</v>
      </c>
      <c r="H715" s="30">
        <v>236220</v>
      </c>
      <c r="I715" s="30" t="s">
        <v>98</v>
      </c>
      <c r="J715" s="30" t="s">
        <v>129</v>
      </c>
      <c r="K715" s="31" t="s">
        <v>69</v>
      </c>
      <c r="L715" s="30" t="s">
        <v>1755</v>
      </c>
      <c r="M715" s="39">
        <v>25000</v>
      </c>
      <c r="N715" s="39">
        <v>100000</v>
      </c>
      <c r="O715" s="30" t="s">
        <v>79</v>
      </c>
      <c r="P715" s="30" t="s">
        <v>302</v>
      </c>
      <c r="Q715" s="30" t="s">
        <v>294</v>
      </c>
      <c r="R715" s="155" t="s">
        <v>80</v>
      </c>
      <c r="S715" s="41">
        <v>2014</v>
      </c>
      <c r="T715" s="31" t="s">
        <v>1786</v>
      </c>
      <c r="U715" s="31" t="s">
        <v>1787</v>
      </c>
      <c r="V715" s="30" t="s">
        <v>1788</v>
      </c>
      <c r="W715" s="30" t="s">
        <v>114</v>
      </c>
      <c r="X715" s="44">
        <v>41640</v>
      </c>
      <c r="Y715" s="44">
        <v>41671</v>
      </c>
      <c r="Z715" s="44">
        <v>41820</v>
      </c>
      <c r="AA715" s="30"/>
    </row>
    <row r="716" spans="1:27" s="29" customFormat="1" ht="34.5" customHeight="1">
      <c r="A716" s="30" t="s">
        <v>142</v>
      </c>
      <c r="B716" s="30" t="s">
        <v>64</v>
      </c>
      <c r="C716" s="30" t="s">
        <v>39</v>
      </c>
      <c r="D716" s="30" t="s">
        <v>1794</v>
      </c>
      <c r="E716" s="30" t="s">
        <v>164</v>
      </c>
      <c r="F716" s="30" t="s">
        <v>1795</v>
      </c>
      <c r="G716" s="30" t="s">
        <v>201</v>
      </c>
      <c r="H716" s="30">
        <v>236220</v>
      </c>
      <c r="I716" s="30" t="s">
        <v>98</v>
      </c>
      <c r="J716" s="30" t="s">
        <v>129</v>
      </c>
      <c r="K716" s="31" t="s">
        <v>69</v>
      </c>
      <c r="L716" s="30" t="s">
        <v>1755</v>
      </c>
      <c r="M716" s="39">
        <v>0</v>
      </c>
      <c r="N716" s="39">
        <v>25000</v>
      </c>
      <c r="O716" s="30" t="s">
        <v>149</v>
      </c>
      <c r="P716" s="30" t="s">
        <v>302</v>
      </c>
      <c r="Q716" s="30" t="s">
        <v>294</v>
      </c>
      <c r="R716" s="155" t="s">
        <v>80</v>
      </c>
      <c r="S716" s="41">
        <v>2014</v>
      </c>
      <c r="T716" s="31" t="s">
        <v>1786</v>
      </c>
      <c r="U716" s="31" t="s">
        <v>1787</v>
      </c>
      <c r="V716" s="30" t="s">
        <v>1788</v>
      </c>
      <c r="W716" s="30" t="s">
        <v>114</v>
      </c>
      <c r="X716" s="44">
        <v>41640</v>
      </c>
      <c r="Y716" s="44">
        <v>41671</v>
      </c>
      <c r="Z716" s="44">
        <v>41820</v>
      </c>
      <c r="AA716" s="30"/>
    </row>
    <row r="717" spans="1:27" s="29" customFormat="1" ht="34.5" customHeight="1">
      <c r="A717" s="30" t="s">
        <v>142</v>
      </c>
      <c r="B717" s="30" t="s">
        <v>64</v>
      </c>
      <c r="C717" s="30" t="s">
        <v>39</v>
      </c>
      <c r="D717" s="30" t="s">
        <v>1796</v>
      </c>
      <c r="E717" s="30" t="s">
        <v>164</v>
      </c>
      <c r="F717" s="30" t="s">
        <v>1780</v>
      </c>
      <c r="G717" s="30" t="s">
        <v>201</v>
      </c>
      <c r="H717" s="30">
        <v>238140</v>
      </c>
      <c r="I717" s="30" t="s">
        <v>98</v>
      </c>
      <c r="J717" s="30" t="s">
        <v>129</v>
      </c>
      <c r="K717" s="31" t="s">
        <v>69</v>
      </c>
      <c r="L717" s="30" t="s">
        <v>1755</v>
      </c>
      <c r="M717" s="39">
        <v>500000</v>
      </c>
      <c r="N717" s="39">
        <v>1000000</v>
      </c>
      <c r="O717" s="30" t="s">
        <v>79</v>
      </c>
      <c r="P717" s="30" t="s">
        <v>302</v>
      </c>
      <c r="Q717" s="30" t="s">
        <v>294</v>
      </c>
      <c r="R717" s="155" t="s">
        <v>80</v>
      </c>
      <c r="S717" s="41">
        <v>2014</v>
      </c>
      <c r="T717" s="31" t="s">
        <v>1786</v>
      </c>
      <c r="U717" s="31" t="s">
        <v>1787</v>
      </c>
      <c r="V717" s="30" t="s">
        <v>1788</v>
      </c>
      <c r="W717" s="30" t="s">
        <v>114</v>
      </c>
      <c r="X717" s="44">
        <v>41640</v>
      </c>
      <c r="Y717" s="44">
        <v>41671</v>
      </c>
      <c r="Z717" s="44">
        <v>41851</v>
      </c>
      <c r="AA717" s="30"/>
    </row>
    <row r="718" spans="1:27" s="29" customFormat="1" ht="34.5" customHeight="1">
      <c r="A718" s="30" t="s">
        <v>142</v>
      </c>
      <c r="B718" s="30" t="s">
        <v>64</v>
      </c>
      <c r="C718" s="30" t="s">
        <v>39</v>
      </c>
      <c r="D718" s="30" t="s">
        <v>1797</v>
      </c>
      <c r="E718" s="30" t="s">
        <v>164</v>
      </c>
      <c r="F718" s="30" t="s">
        <v>1798</v>
      </c>
      <c r="G718" s="30" t="s">
        <v>201</v>
      </c>
      <c r="H718" s="30">
        <v>236220</v>
      </c>
      <c r="I718" s="30" t="s">
        <v>98</v>
      </c>
      <c r="J718" s="30" t="s">
        <v>129</v>
      </c>
      <c r="K718" s="31" t="s">
        <v>69</v>
      </c>
      <c r="L718" s="30" t="s">
        <v>1799</v>
      </c>
      <c r="M718" s="39">
        <v>250000</v>
      </c>
      <c r="N718" s="39">
        <v>500000</v>
      </c>
      <c r="O718" s="30" t="s">
        <v>79</v>
      </c>
      <c r="P718" s="30" t="s">
        <v>302</v>
      </c>
      <c r="Q718" s="30" t="s">
        <v>294</v>
      </c>
      <c r="R718" s="155" t="s">
        <v>80</v>
      </c>
      <c r="S718" s="41">
        <v>2014</v>
      </c>
      <c r="T718" s="31" t="s">
        <v>1786</v>
      </c>
      <c r="U718" s="31" t="s">
        <v>1787</v>
      </c>
      <c r="V718" s="30" t="s">
        <v>1788</v>
      </c>
      <c r="W718" s="30" t="s">
        <v>114</v>
      </c>
      <c r="X718" s="44">
        <v>41640</v>
      </c>
      <c r="Y718" s="44">
        <v>41671</v>
      </c>
      <c r="Z718" s="44">
        <v>41851</v>
      </c>
      <c r="AA718" s="30"/>
    </row>
    <row r="719" spans="1:27" s="29" customFormat="1" ht="34.5" customHeight="1">
      <c r="A719" s="30" t="s">
        <v>142</v>
      </c>
      <c r="B719" s="30" t="s">
        <v>64</v>
      </c>
      <c r="C719" s="30" t="s">
        <v>39</v>
      </c>
      <c r="D719" s="30" t="s">
        <v>1800</v>
      </c>
      <c r="E719" s="30" t="s">
        <v>139</v>
      </c>
      <c r="F719" s="30" t="s">
        <v>1801</v>
      </c>
      <c r="G719" s="30" t="s">
        <v>201</v>
      </c>
      <c r="H719" s="30">
        <v>561790</v>
      </c>
      <c r="I719" s="30" t="s">
        <v>98</v>
      </c>
      <c r="J719" s="30" t="s">
        <v>129</v>
      </c>
      <c r="K719" s="31" t="s">
        <v>69</v>
      </c>
      <c r="L719" s="30" t="s">
        <v>1799</v>
      </c>
      <c r="M719" s="39">
        <v>25000</v>
      </c>
      <c r="N719" s="39">
        <v>150000</v>
      </c>
      <c r="O719" s="30" t="s">
        <v>149</v>
      </c>
      <c r="P719" s="30" t="s">
        <v>1802</v>
      </c>
      <c r="Q719" s="30" t="s">
        <v>294</v>
      </c>
      <c r="R719" s="30" t="s">
        <v>35</v>
      </c>
      <c r="S719" s="41">
        <v>2014</v>
      </c>
      <c r="T719" s="31" t="s">
        <v>1786</v>
      </c>
      <c r="U719" s="31" t="s">
        <v>1787</v>
      </c>
      <c r="V719" s="30" t="s">
        <v>1788</v>
      </c>
      <c r="W719" s="30" t="s">
        <v>114</v>
      </c>
      <c r="X719" s="44">
        <v>41821</v>
      </c>
      <c r="Y719" s="44">
        <v>41852</v>
      </c>
      <c r="Z719" s="44">
        <v>42521</v>
      </c>
      <c r="AA719" s="30"/>
    </row>
    <row r="720" spans="1:27" s="29" customFormat="1" ht="34.5" customHeight="1">
      <c r="A720" s="30" t="s">
        <v>142</v>
      </c>
      <c r="B720" s="30" t="s">
        <v>64</v>
      </c>
      <c r="C720" s="30" t="s">
        <v>39</v>
      </c>
      <c r="D720" s="30" t="s">
        <v>1803</v>
      </c>
      <c r="E720" s="30" t="s">
        <v>164</v>
      </c>
      <c r="F720" s="30" t="s">
        <v>1701</v>
      </c>
      <c r="G720" s="30" t="s">
        <v>227</v>
      </c>
      <c r="H720" s="30">
        <v>238210</v>
      </c>
      <c r="I720" s="30" t="s">
        <v>45</v>
      </c>
      <c r="J720" s="30" t="s">
        <v>129</v>
      </c>
      <c r="K720" s="31" t="s">
        <v>91</v>
      </c>
      <c r="L720" s="30" t="s">
        <v>1804</v>
      </c>
      <c r="M720" s="39">
        <v>500000</v>
      </c>
      <c r="N720" s="39">
        <v>1000000</v>
      </c>
      <c r="O720" s="30" t="s">
        <v>79</v>
      </c>
      <c r="P720" s="30" t="s">
        <v>302</v>
      </c>
      <c r="Q720" s="30" t="s">
        <v>294</v>
      </c>
      <c r="R720" s="30" t="s">
        <v>100</v>
      </c>
      <c r="S720" s="41">
        <v>2014</v>
      </c>
      <c r="T720" s="31" t="s">
        <v>1805</v>
      </c>
      <c r="U720" s="31" t="s">
        <v>1806</v>
      </c>
      <c r="V720" s="30" t="s">
        <v>1807</v>
      </c>
      <c r="W720" s="30" t="s">
        <v>114</v>
      </c>
      <c r="X720" s="44">
        <v>41699</v>
      </c>
      <c r="Y720" s="44">
        <v>41821</v>
      </c>
      <c r="Z720" s="44">
        <v>42004</v>
      </c>
      <c r="AA720" s="30"/>
    </row>
    <row r="721" spans="1:27" s="29" customFormat="1" ht="34.5" customHeight="1">
      <c r="A721" s="30" t="s">
        <v>142</v>
      </c>
      <c r="B721" s="30" t="s">
        <v>64</v>
      </c>
      <c r="C721" s="30" t="s">
        <v>39</v>
      </c>
      <c r="D721" s="30" t="s">
        <v>1808</v>
      </c>
      <c r="E721" s="30" t="s">
        <v>164</v>
      </c>
      <c r="F721" s="30" t="s">
        <v>1701</v>
      </c>
      <c r="G721" s="30" t="s">
        <v>227</v>
      </c>
      <c r="H721" s="30">
        <v>238990</v>
      </c>
      <c r="I721" s="30" t="s">
        <v>45</v>
      </c>
      <c r="J721" s="30" t="s">
        <v>129</v>
      </c>
      <c r="K721" s="31" t="s">
        <v>91</v>
      </c>
      <c r="L721" s="30" t="s">
        <v>1804</v>
      </c>
      <c r="M721" s="39">
        <v>250000</v>
      </c>
      <c r="N721" s="39">
        <v>500000</v>
      </c>
      <c r="O721" s="30" t="s">
        <v>79</v>
      </c>
      <c r="P721" s="30" t="s">
        <v>302</v>
      </c>
      <c r="Q721" s="30" t="s">
        <v>294</v>
      </c>
      <c r="R721" s="30" t="s">
        <v>100</v>
      </c>
      <c r="S721" s="41">
        <v>2014</v>
      </c>
      <c r="T721" s="31" t="s">
        <v>1805</v>
      </c>
      <c r="U721" s="31" t="s">
        <v>1806</v>
      </c>
      <c r="V721" s="30" t="s">
        <v>1807</v>
      </c>
      <c r="W721" s="30" t="s">
        <v>114</v>
      </c>
      <c r="X721" s="44">
        <v>41699</v>
      </c>
      <c r="Y721" s="44">
        <v>41821</v>
      </c>
      <c r="Z721" s="44">
        <v>42004</v>
      </c>
      <c r="AA721" s="30"/>
    </row>
    <row r="722" spans="1:27" s="29" customFormat="1" ht="34.5" customHeight="1">
      <c r="A722" s="30" t="s">
        <v>142</v>
      </c>
      <c r="B722" s="30" t="s">
        <v>64</v>
      </c>
      <c r="C722" s="30" t="s">
        <v>39</v>
      </c>
      <c r="D722" s="30" t="s">
        <v>1809</v>
      </c>
      <c r="E722" s="30" t="s">
        <v>164</v>
      </c>
      <c r="F722" s="30" t="s">
        <v>1810</v>
      </c>
      <c r="G722" s="30" t="s">
        <v>221</v>
      </c>
      <c r="H722" s="30">
        <v>238220</v>
      </c>
      <c r="I722" s="30" t="s">
        <v>45</v>
      </c>
      <c r="J722" s="30" t="s">
        <v>129</v>
      </c>
      <c r="K722" s="31" t="s">
        <v>69</v>
      </c>
      <c r="L722" s="30" t="s">
        <v>1804</v>
      </c>
      <c r="M722" s="39">
        <v>100000</v>
      </c>
      <c r="N722" s="39">
        <v>250000</v>
      </c>
      <c r="O722" s="30" t="s">
        <v>79</v>
      </c>
      <c r="P722" s="30" t="s">
        <v>302</v>
      </c>
      <c r="Q722" s="30" t="s">
        <v>294</v>
      </c>
      <c r="R722" s="155" t="s">
        <v>80</v>
      </c>
      <c r="S722" s="41">
        <v>2014</v>
      </c>
      <c r="T722" s="31" t="s">
        <v>1760</v>
      </c>
      <c r="U722" s="31" t="s">
        <v>1761</v>
      </c>
      <c r="V722" s="30" t="s">
        <v>1762</v>
      </c>
      <c r="W722" s="30" t="s">
        <v>114</v>
      </c>
      <c r="X722" s="44">
        <v>41609</v>
      </c>
      <c r="Y722" s="44">
        <v>41670</v>
      </c>
      <c r="Z722" s="44">
        <v>41820</v>
      </c>
      <c r="AA722" s="30"/>
    </row>
    <row r="723" spans="1:27" s="29" customFormat="1" ht="34.5" customHeight="1">
      <c r="A723" s="30" t="s">
        <v>142</v>
      </c>
      <c r="B723" s="30" t="s">
        <v>143</v>
      </c>
      <c r="C723" s="30" t="s">
        <v>39</v>
      </c>
      <c r="D723" s="30" t="s">
        <v>1811</v>
      </c>
      <c r="E723" s="30" t="s">
        <v>164</v>
      </c>
      <c r="F723" s="30" t="s">
        <v>1812</v>
      </c>
      <c r="G723" s="30" t="s">
        <v>66</v>
      </c>
      <c r="H723" s="30">
        <v>236220</v>
      </c>
      <c r="I723" s="30" t="s">
        <v>98</v>
      </c>
      <c r="J723" s="129" t="s">
        <v>129</v>
      </c>
      <c r="K723" s="30" t="s">
        <v>1813</v>
      </c>
      <c r="L723" s="129" t="s">
        <v>3410</v>
      </c>
      <c r="M723" s="39">
        <v>540000</v>
      </c>
      <c r="N723" s="39">
        <v>540000</v>
      </c>
      <c r="O723" s="30" t="s">
        <v>590</v>
      </c>
      <c r="P723" s="30" t="s">
        <v>302</v>
      </c>
      <c r="Q723" s="30" t="s">
        <v>294</v>
      </c>
      <c r="R723" s="155" t="s">
        <v>80</v>
      </c>
      <c r="S723" s="41">
        <v>2014</v>
      </c>
      <c r="T723" s="31" t="s">
        <v>1814</v>
      </c>
      <c r="U723" s="31" t="s">
        <v>1815</v>
      </c>
      <c r="V723" s="30" t="s">
        <v>1816</v>
      </c>
      <c r="W723" s="30" t="s">
        <v>101</v>
      </c>
      <c r="X723" s="44">
        <v>41671</v>
      </c>
      <c r="Y723" s="44">
        <v>41713</v>
      </c>
      <c r="Z723" s="30" t="s">
        <v>345</v>
      </c>
      <c r="AA723" s="30"/>
    </row>
    <row r="724" spans="1:27" s="29" customFormat="1" ht="34.5" customHeight="1">
      <c r="A724" s="30" t="s">
        <v>142</v>
      </c>
      <c r="B724" s="30" t="s">
        <v>143</v>
      </c>
      <c r="C724" s="30" t="s">
        <v>29</v>
      </c>
      <c r="D724" s="30" t="s">
        <v>1817</v>
      </c>
      <c r="E724" s="30" t="s">
        <v>164</v>
      </c>
      <c r="F724" s="30" t="s">
        <v>1818</v>
      </c>
      <c r="G724" s="30" t="s">
        <v>66</v>
      </c>
      <c r="H724" s="30">
        <v>236220</v>
      </c>
      <c r="I724" s="30" t="s">
        <v>98</v>
      </c>
      <c r="J724" s="30" t="s">
        <v>129</v>
      </c>
      <c r="K724" s="30" t="s">
        <v>1813</v>
      </c>
      <c r="L724" s="129" t="s">
        <v>3410</v>
      </c>
      <c r="M724" s="39">
        <v>260000</v>
      </c>
      <c r="N724" s="39">
        <f>M724</f>
        <v>260000</v>
      </c>
      <c r="O724" s="30" t="s">
        <v>590</v>
      </c>
      <c r="P724" s="30" t="s">
        <v>302</v>
      </c>
      <c r="Q724" s="30" t="s">
        <v>294</v>
      </c>
      <c r="R724" s="155" t="s">
        <v>80</v>
      </c>
      <c r="S724" s="41">
        <v>2014</v>
      </c>
      <c r="T724" s="31" t="s">
        <v>1814</v>
      </c>
      <c r="U724" s="31" t="s">
        <v>1815</v>
      </c>
      <c r="V724" s="30" t="s">
        <v>1816</v>
      </c>
      <c r="W724" s="30" t="s">
        <v>101</v>
      </c>
      <c r="X724" s="44">
        <v>41671</v>
      </c>
      <c r="Y724" s="44">
        <v>41713</v>
      </c>
      <c r="Z724" s="30" t="str">
        <f>Z723</f>
        <v>TBD</v>
      </c>
      <c r="AA724" s="30"/>
    </row>
    <row r="725" spans="1:27" s="29" customFormat="1" ht="34.5" customHeight="1">
      <c r="A725" s="30" t="s">
        <v>142</v>
      </c>
      <c r="B725" s="30" t="s">
        <v>143</v>
      </c>
      <c r="C725" s="30" t="s">
        <v>29</v>
      </c>
      <c r="D725" s="30" t="s">
        <v>1819</v>
      </c>
      <c r="E725" s="30" t="s">
        <v>164</v>
      </c>
      <c r="F725" s="30" t="str">
        <f>F724</f>
        <v>Bridgeport</v>
      </c>
      <c r="G725" s="30" t="s">
        <v>66</v>
      </c>
      <c r="H725" s="30">
        <v>236220</v>
      </c>
      <c r="I725" s="30" t="s">
        <v>98</v>
      </c>
      <c r="J725" s="30" t="s">
        <v>129</v>
      </c>
      <c r="K725" s="30" t="s">
        <v>1813</v>
      </c>
      <c r="L725" s="129" t="s">
        <v>3410</v>
      </c>
      <c r="M725" s="39">
        <v>550000</v>
      </c>
      <c r="N725" s="39">
        <f>M725</f>
        <v>550000</v>
      </c>
      <c r="O725" s="30" t="s">
        <v>590</v>
      </c>
      <c r="P725" s="30" t="s">
        <v>302</v>
      </c>
      <c r="Q725" s="30" t="s">
        <v>294</v>
      </c>
      <c r="R725" s="155" t="s">
        <v>80</v>
      </c>
      <c r="S725" s="41">
        <v>2014</v>
      </c>
      <c r="T725" s="31" t="s">
        <v>1814</v>
      </c>
      <c r="U725" s="31" t="s">
        <v>1815</v>
      </c>
      <c r="V725" s="30" t="s">
        <v>1816</v>
      </c>
      <c r="W725" s="30" t="s">
        <v>101</v>
      </c>
      <c r="X725" s="44">
        <v>41671</v>
      </c>
      <c r="Y725" s="44">
        <v>41713</v>
      </c>
      <c r="Z725" s="30" t="str">
        <f>Z724</f>
        <v>TBD</v>
      </c>
      <c r="AA725" s="30"/>
    </row>
    <row r="726" spans="1:27" s="29" customFormat="1" ht="34.5" customHeight="1">
      <c r="A726" s="30" t="s">
        <v>142</v>
      </c>
      <c r="B726" s="30" t="s">
        <v>143</v>
      </c>
      <c r="C726" s="30" t="s">
        <v>29</v>
      </c>
      <c r="D726" s="30" t="s">
        <v>1820</v>
      </c>
      <c r="E726" s="30" t="s">
        <v>164</v>
      </c>
      <c r="F726" s="30" t="s">
        <v>1821</v>
      </c>
      <c r="G726" s="30" t="s">
        <v>174</v>
      </c>
      <c r="H726" s="30">
        <v>236220</v>
      </c>
      <c r="I726" s="30" t="s">
        <v>98</v>
      </c>
      <c r="J726" s="30" t="s">
        <v>129</v>
      </c>
      <c r="K726" s="30" t="s">
        <v>1813</v>
      </c>
      <c r="L726" s="129" t="s">
        <v>3410</v>
      </c>
      <c r="M726" s="39">
        <v>1500000</v>
      </c>
      <c r="N726" s="39">
        <f>M726</f>
        <v>1500000</v>
      </c>
      <c r="O726" s="30" t="s">
        <v>590</v>
      </c>
      <c r="P726" s="30" t="s">
        <v>302</v>
      </c>
      <c r="Q726" s="30" t="s">
        <v>294</v>
      </c>
      <c r="R726" s="155" t="s">
        <v>80</v>
      </c>
      <c r="S726" s="41">
        <v>2014</v>
      </c>
      <c r="T726" s="31" t="s">
        <v>1814</v>
      </c>
      <c r="U726" s="31" t="s">
        <v>1815</v>
      </c>
      <c r="V726" s="30" t="s">
        <v>1816</v>
      </c>
      <c r="W726" s="30" t="s">
        <v>101</v>
      </c>
      <c r="X726" s="44">
        <v>41671</v>
      </c>
      <c r="Y726" s="44">
        <v>41713</v>
      </c>
      <c r="Z726" s="30" t="str">
        <f>Z725</f>
        <v>TBD</v>
      </c>
      <c r="AA726" s="30"/>
    </row>
    <row r="727" spans="1:27" s="29" customFormat="1" ht="34.5" customHeight="1">
      <c r="A727" s="30" t="s">
        <v>142</v>
      </c>
      <c r="B727" s="30" t="s">
        <v>143</v>
      </c>
      <c r="C727" s="30" t="s">
        <v>29</v>
      </c>
      <c r="D727" s="30" t="s">
        <v>1822</v>
      </c>
      <c r="E727" s="30" t="str">
        <f>E784</f>
        <v>Z-Maintenance, repair, and alteration of real property</v>
      </c>
      <c r="F727" s="30" t="s">
        <v>1823</v>
      </c>
      <c r="G727" s="30" t="s">
        <v>66</v>
      </c>
      <c r="H727" s="30">
        <v>561720</v>
      </c>
      <c r="I727" s="30" t="s">
        <v>67</v>
      </c>
      <c r="J727" s="30" t="s">
        <v>129</v>
      </c>
      <c r="K727" s="30" t="s">
        <v>1824</v>
      </c>
      <c r="L727" s="30" t="s">
        <v>1825</v>
      </c>
      <c r="M727" s="39">
        <v>3700000</v>
      </c>
      <c r="N727" s="39">
        <f>M727</f>
        <v>3700000</v>
      </c>
      <c r="O727" s="30" t="s">
        <v>79</v>
      </c>
      <c r="P727" s="30" t="s">
        <v>1826</v>
      </c>
      <c r="Q727" s="30" t="s">
        <v>294</v>
      </c>
      <c r="R727" s="155" t="s">
        <v>80</v>
      </c>
      <c r="S727" s="41">
        <v>2014</v>
      </c>
      <c r="T727" s="31" t="s">
        <v>1814</v>
      </c>
      <c r="U727" s="31" t="s">
        <v>1815</v>
      </c>
      <c r="V727" s="30" t="s">
        <v>1816</v>
      </c>
      <c r="W727" s="30" t="s">
        <v>101</v>
      </c>
      <c r="X727" s="44">
        <v>41671</v>
      </c>
      <c r="Y727" s="44">
        <v>41713</v>
      </c>
      <c r="Z727" s="30" t="str">
        <f>Z726</f>
        <v>TBD</v>
      </c>
      <c r="AA727" s="30"/>
    </row>
    <row r="728" spans="1:27" s="29" customFormat="1" ht="34.5" customHeight="1">
      <c r="A728" s="30" t="s">
        <v>142</v>
      </c>
      <c r="B728" s="30" t="s">
        <v>143</v>
      </c>
      <c r="C728" s="30" t="s">
        <v>29</v>
      </c>
      <c r="D728" s="30" t="s">
        <v>1520</v>
      </c>
      <c r="E728" s="30" t="s">
        <v>88</v>
      </c>
      <c r="F728" s="30" t="s">
        <v>1827</v>
      </c>
      <c r="G728" s="30" t="s">
        <v>174</v>
      </c>
      <c r="H728" s="30">
        <v>561790</v>
      </c>
      <c r="I728" s="30" t="s">
        <v>98</v>
      </c>
      <c r="J728" s="30" t="s">
        <v>129</v>
      </c>
      <c r="K728" s="31" t="s">
        <v>69</v>
      </c>
      <c r="L728" s="30"/>
      <c r="M728" s="39">
        <v>5000</v>
      </c>
      <c r="N728" s="39">
        <v>24800</v>
      </c>
      <c r="O728" s="30" t="s">
        <v>149</v>
      </c>
      <c r="P728" s="30" t="s">
        <v>1828</v>
      </c>
      <c r="Q728" s="129" t="s">
        <v>294</v>
      </c>
      <c r="R728" s="30" t="s">
        <v>35</v>
      </c>
      <c r="S728" s="41">
        <v>2014</v>
      </c>
      <c r="T728" s="31" t="s">
        <v>1829</v>
      </c>
      <c r="U728" s="31" t="s">
        <v>1830</v>
      </c>
      <c r="V728" s="30" t="s">
        <v>1831</v>
      </c>
      <c r="W728" s="30" t="s">
        <v>101</v>
      </c>
      <c r="X728" s="44">
        <v>41579</v>
      </c>
      <c r="Y728" s="44">
        <v>41598</v>
      </c>
      <c r="Z728" s="44">
        <v>43220</v>
      </c>
      <c r="AA728" s="30"/>
    </row>
    <row r="729" spans="1:27" s="29" customFormat="1" ht="34.5" customHeight="1">
      <c r="A729" s="30" t="s">
        <v>142</v>
      </c>
      <c r="B729" s="30" t="s">
        <v>143</v>
      </c>
      <c r="C729" s="30" t="s">
        <v>29</v>
      </c>
      <c r="D729" s="30" t="s">
        <v>1520</v>
      </c>
      <c r="E729" s="30" t="s">
        <v>88</v>
      </c>
      <c r="F729" s="30" t="s">
        <v>1832</v>
      </c>
      <c r="G729" s="30" t="s">
        <v>66</v>
      </c>
      <c r="H729" s="30">
        <v>561790</v>
      </c>
      <c r="I729" s="30" t="s">
        <v>98</v>
      </c>
      <c r="J729" s="30" t="s">
        <v>129</v>
      </c>
      <c r="K729" s="31" t="s">
        <v>69</v>
      </c>
      <c r="L729" s="30"/>
      <c r="M729" s="39">
        <v>5000</v>
      </c>
      <c r="N729" s="39">
        <v>24800</v>
      </c>
      <c r="O729" s="30" t="s">
        <v>149</v>
      </c>
      <c r="P729" s="30" t="s">
        <v>1833</v>
      </c>
      <c r="Q729" s="129" t="s">
        <v>294</v>
      </c>
      <c r="R729" s="30" t="s">
        <v>35</v>
      </c>
      <c r="S729" s="41">
        <v>2014</v>
      </c>
      <c r="T729" s="31" t="s">
        <v>1829</v>
      </c>
      <c r="U729" s="31" t="s">
        <v>1830</v>
      </c>
      <c r="V729" s="30" t="s">
        <v>1831</v>
      </c>
      <c r="W729" s="30" t="s">
        <v>101</v>
      </c>
      <c r="X729" s="44">
        <v>41579</v>
      </c>
      <c r="Y729" s="44">
        <v>41598</v>
      </c>
      <c r="Z729" s="44">
        <v>43220</v>
      </c>
      <c r="AA729" s="30"/>
    </row>
    <row r="730" spans="1:27" s="29" customFormat="1" ht="34.5" customHeight="1">
      <c r="A730" s="30" t="s">
        <v>142</v>
      </c>
      <c r="B730" s="30" t="s">
        <v>143</v>
      </c>
      <c r="C730" s="30" t="s">
        <v>39</v>
      </c>
      <c r="D730" s="30" t="s">
        <v>1834</v>
      </c>
      <c r="E730" s="30" t="s">
        <v>88</v>
      </c>
      <c r="F730" s="30" t="s">
        <v>1832</v>
      </c>
      <c r="G730" s="30" t="s">
        <v>66</v>
      </c>
      <c r="H730" s="30">
        <v>561730</v>
      </c>
      <c r="I730" s="30" t="s">
        <v>98</v>
      </c>
      <c r="J730" s="30" t="s">
        <v>129</v>
      </c>
      <c r="K730" s="31" t="s">
        <v>69</v>
      </c>
      <c r="L730" s="30"/>
      <c r="M730" s="39">
        <v>2500</v>
      </c>
      <c r="N730" s="39">
        <v>10000</v>
      </c>
      <c r="O730" s="30" t="s">
        <v>149</v>
      </c>
      <c r="P730" s="30" t="s">
        <v>1833</v>
      </c>
      <c r="Q730" s="129" t="s">
        <v>294</v>
      </c>
      <c r="R730" s="30" t="s">
        <v>150</v>
      </c>
      <c r="S730" s="41">
        <v>2014</v>
      </c>
      <c r="T730" s="31" t="s">
        <v>1829</v>
      </c>
      <c r="U730" s="31" t="s">
        <v>1830</v>
      </c>
      <c r="V730" s="30" t="s">
        <v>1831</v>
      </c>
      <c r="W730" s="30" t="s">
        <v>101</v>
      </c>
      <c r="X730" s="44">
        <v>41671</v>
      </c>
      <c r="Y730" s="44">
        <v>41699</v>
      </c>
      <c r="Z730" s="44">
        <v>41973</v>
      </c>
      <c r="AA730" s="30"/>
    </row>
    <row r="731" spans="1:27" s="29" customFormat="1" ht="34.5" customHeight="1">
      <c r="A731" s="30" t="s">
        <v>142</v>
      </c>
      <c r="B731" s="30" t="s">
        <v>143</v>
      </c>
      <c r="C731" s="30" t="s">
        <v>39</v>
      </c>
      <c r="D731" s="30" t="s">
        <v>1835</v>
      </c>
      <c r="E731" s="30" t="s">
        <v>139</v>
      </c>
      <c r="F731" s="30" t="s">
        <v>1836</v>
      </c>
      <c r="G731" s="30" t="s">
        <v>174</v>
      </c>
      <c r="H731" s="30">
        <v>454310</v>
      </c>
      <c r="I731" s="30" t="s">
        <v>98</v>
      </c>
      <c r="J731" s="30" t="s">
        <v>129</v>
      </c>
      <c r="K731" s="31" t="s">
        <v>69</v>
      </c>
      <c r="L731" s="30"/>
      <c r="M731" s="39">
        <v>8000</v>
      </c>
      <c r="N731" s="39">
        <v>12000</v>
      </c>
      <c r="O731" s="30" t="s">
        <v>149</v>
      </c>
      <c r="P731" s="30" t="s">
        <v>1837</v>
      </c>
      <c r="Q731" s="129" t="s">
        <v>294</v>
      </c>
      <c r="R731" s="30" t="s">
        <v>35</v>
      </c>
      <c r="S731" s="41">
        <v>2014</v>
      </c>
      <c r="T731" s="31" t="s">
        <v>1829</v>
      </c>
      <c r="U731" s="31" t="s">
        <v>1830</v>
      </c>
      <c r="V731" s="49" t="s">
        <v>1831</v>
      </c>
      <c r="W731" s="30" t="s">
        <v>101</v>
      </c>
      <c r="X731" s="44">
        <v>41583</v>
      </c>
      <c r="Y731" s="44">
        <v>41609</v>
      </c>
      <c r="Z731" s="44">
        <v>41973</v>
      </c>
      <c r="AA731" s="30"/>
    </row>
    <row r="732" spans="1:27" s="29" customFormat="1" ht="34.5" customHeight="1">
      <c r="A732" s="30" t="s">
        <v>142</v>
      </c>
      <c r="B732" s="30" t="s">
        <v>143</v>
      </c>
      <c r="C732" s="30" t="s">
        <v>39</v>
      </c>
      <c r="D732" s="30" t="s">
        <v>1835</v>
      </c>
      <c r="E732" s="30" t="s">
        <v>139</v>
      </c>
      <c r="F732" s="30" t="s">
        <v>1838</v>
      </c>
      <c r="G732" s="30" t="s">
        <v>174</v>
      </c>
      <c r="H732" s="30">
        <v>454310</v>
      </c>
      <c r="I732" s="30" t="s">
        <v>98</v>
      </c>
      <c r="J732" s="30" t="s">
        <v>129</v>
      </c>
      <c r="K732" s="31" t="s">
        <v>69</v>
      </c>
      <c r="L732" s="30"/>
      <c r="M732" s="39">
        <v>8000</v>
      </c>
      <c r="N732" s="39">
        <v>12000</v>
      </c>
      <c r="O732" s="30" t="s">
        <v>149</v>
      </c>
      <c r="P732" s="30" t="s">
        <v>1837</v>
      </c>
      <c r="Q732" s="129" t="s">
        <v>294</v>
      </c>
      <c r="R732" s="30" t="s">
        <v>35</v>
      </c>
      <c r="S732" s="41">
        <v>2014</v>
      </c>
      <c r="T732" s="31" t="s">
        <v>1829</v>
      </c>
      <c r="U732" s="31" t="s">
        <v>1830</v>
      </c>
      <c r="V732" s="30" t="s">
        <v>1831</v>
      </c>
      <c r="W732" s="30" t="s">
        <v>101</v>
      </c>
      <c r="X732" s="44">
        <v>41583</v>
      </c>
      <c r="Y732" s="44">
        <v>41609</v>
      </c>
      <c r="Z732" s="44">
        <v>41973</v>
      </c>
      <c r="AA732" s="30"/>
    </row>
    <row r="733" spans="1:27" s="29" customFormat="1" ht="34.5" customHeight="1">
      <c r="A733" s="30" t="s">
        <v>142</v>
      </c>
      <c r="B733" s="30" t="s">
        <v>143</v>
      </c>
      <c r="C733" s="30" t="s">
        <v>39</v>
      </c>
      <c r="D733" s="30" t="s">
        <v>1839</v>
      </c>
      <c r="E733" s="30" t="s">
        <v>252</v>
      </c>
      <c r="F733" s="30" t="s">
        <v>1082</v>
      </c>
      <c r="G733" s="30" t="s">
        <v>174</v>
      </c>
      <c r="H733" s="30">
        <v>238290</v>
      </c>
      <c r="I733" s="30" t="s">
        <v>98</v>
      </c>
      <c r="J733" s="30" t="s">
        <v>129</v>
      </c>
      <c r="K733" s="31" t="s">
        <v>69</v>
      </c>
      <c r="L733" s="30"/>
      <c r="M733" s="39">
        <v>15000</v>
      </c>
      <c r="N733" s="39">
        <v>20000</v>
      </c>
      <c r="O733" s="30" t="s">
        <v>79</v>
      </c>
      <c r="P733" s="30" t="s">
        <v>1840</v>
      </c>
      <c r="Q733" s="129" t="s">
        <v>294</v>
      </c>
      <c r="R733" s="31" t="s">
        <v>80</v>
      </c>
      <c r="S733" s="41">
        <v>2014</v>
      </c>
      <c r="T733" s="31" t="s">
        <v>1829</v>
      </c>
      <c r="U733" s="31" t="s">
        <v>1830</v>
      </c>
      <c r="V733" s="30" t="s">
        <v>1831</v>
      </c>
      <c r="W733" s="30" t="s">
        <v>101</v>
      </c>
      <c r="X733" s="30"/>
      <c r="Y733" s="30"/>
      <c r="Z733" s="30"/>
      <c r="AA733" s="30"/>
    </row>
    <row r="734" spans="1:27" s="29" customFormat="1" ht="34.5" customHeight="1">
      <c r="A734" s="30" t="s">
        <v>142</v>
      </c>
      <c r="B734" s="30" t="s">
        <v>143</v>
      </c>
      <c r="C734" s="30" t="s">
        <v>39</v>
      </c>
      <c r="D734" s="30" t="s">
        <v>1834</v>
      </c>
      <c r="E734" s="30" t="s">
        <v>88</v>
      </c>
      <c r="F734" s="30" t="s">
        <v>1836</v>
      </c>
      <c r="G734" s="30" t="s">
        <v>174</v>
      </c>
      <c r="H734" s="30">
        <v>561730</v>
      </c>
      <c r="I734" s="30" t="s">
        <v>98</v>
      </c>
      <c r="J734" s="30" t="s">
        <v>129</v>
      </c>
      <c r="K734" s="31" t="s">
        <v>69</v>
      </c>
      <c r="L734" s="30"/>
      <c r="M734" s="39">
        <v>3000</v>
      </c>
      <c r="N734" s="39">
        <v>5000</v>
      </c>
      <c r="O734" s="30" t="s">
        <v>149</v>
      </c>
      <c r="P734" s="30" t="s">
        <v>1828</v>
      </c>
      <c r="Q734" s="129" t="s">
        <v>294</v>
      </c>
      <c r="R734" s="30" t="s">
        <v>150</v>
      </c>
      <c r="S734" s="41">
        <v>2014</v>
      </c>
      <c r="T734" s="31" t="s">
        <v>1829</v>
      </c>
      <c r="U734" s="31" t="s">
        <v>1830</v>
      </c>
      <c r="V734" s="30" t="s">
        <v>1831</v>
      </c>
      <c r="W734" s="30" t="s">
        <v>101</v>
      </c>
      <c r="X734" s="30"/>
      <c r="Y734" s="30"/>
      <c r="Z734" s="30"/>
      <c r="AA734" s="30"/>
    </row>
    <row r="735" spans="1:27" s="29" customFormat="1" ht="34.5" customHeight="1">
      <c r="A735" s="30" t="s">
        <v>142</v>
      </c>
      <c r="B735" s="30" t="s">
        <v>143</v>
      </c>
      <c r="C735" s="30" t="s">
        <v>39</v>
      </c>
      <c r="D735" s="30" t="s">
        <v>1841</v>
      </c>
      <c r="E735" s="30" t="s">
        <v>164</v>
      </c>
      <c r="F735" s="30" t="s">
        <v>1842</v>
      </c>
      <c r="G735" s="30" t="s">
        <v>217</v>
      </c>
      <c r="H735" s="30">
        <v>238320</v>
      </c>
      <c r="I735" s="30" t="s">
        <v>98</v>
      </c>
      <c r="J735" s="30" t="s">
        <v>129</v>
      </c>
      <c r="K735" s="31" t="s">
        <v>69</v>
      </c>
      <c r="L735" s="30"/>
      <c r="M735" s="39">
        <v>7000</v>
      </c>
      <c r="N735" s="39"/>
      <c r="O735" s="30" t="s">
        <v>149</v>
      </c>
      <c r="P735" s="30"/>
      <c r="Q735" s="129" t="s">
        <v>294</v>
      </c>
      <c r="R735" s="31" t="s">
        <v>80</v>
      </c>
      <c r="S735" s="41">
        <v>2014</v>
      </c>
      <c r="T735" s="31" t="s">
        <v>1843</v>
      </c>
      <c r="U735" s="31" t="s">
        <v>1844</v>
      </c>
      <c r="V735" s="30" t="s">
        <v>1845</v>
      </c>
      <c r="W735" s="30" t="s">
        <v>101</v>
      </c>
      <c r="X735" s="30"/>
      <c r="Y735" s="30"/>
      <c r="Z735" s="30"/>
      <c r="AA735" s="30"/>
    </row>
    <row r="736" spans="1:27" s="29" customFormat="1" ht="34.5" customHeight="1">
      <c r="A736" s="30" t="s">
        <v>1846</v>
      </c>
      <c r="B736" s="30" t="s">
        <v>143</v>
      </c>
      <c r="C736" s="30" t="s">
        <v>39</v>
      </c>
      <c r="D736" s="30" t="s">
        <v>1847</v>
      </c>
      <c r="E736" s="30" t="s">
        <v>164</v>
      </c>
      <c r="F736" s="30" t="s">
        <v>1812</v>
      </c>
      <c r="G736" s="30" t="s">
        <v>66</v>
      </c>
      <c r="H736" s="30">
        <v>238340</v>
      </c>
      <c r="I736" s="30" t="s">
        <v>98</v>
      </c>
      <c r="J736" s="30" t="s">
        <v>129</v>
      </c>
      <c r="K736" s="31" t="s">
        <v>69</v>
      </c>
      <c r="L736" s="30"/>
      <c r="M736" s="39">
        <v>3500</v>
      </c>
      <c r="N736" s="39"/>
      <c r="O736" s="30" t="s">
        <v>149</v>
      </c>
      <c r="P736" s="30"/>
      <c r="Q736" s="129" t="s">
        <v>294</v>
      </c>
      <c r="R736" s="31" t="s">
        <v>80</v>
      </c>
      <c r="S736" s="41">
        <v>2014</v>
      </c>
      <c r="T736" s="184" t="s">
        <v>1848</v>
      </c>
      <c r="U736" s="180" t="s">
        <v>3439</v>
      </c>
      <c r="V736" s="30" t="s">
        <v>1849</v>
      </c>
      <c r="W736" s="30" t="s">
        <v>101</v>
      </c>
      <c r="X736" s="30"/>
      <c r="Y736" s="30"/>
      <c r="Z736" s="30"/>
      <c r="AA736" s="30"/>
    </row>
    <row r="737" spans="1:27" s="29" customFormat="1" ht="34.5" customHeight="1">
      <c r="A737" s="30" t="s">
        <v>142</v>
      </c>
      <c r="B737" s="30" t="s">
        <v>143</v>
      </c>
      <c r="C737" s="30" t="s">
        <v>39</v>
      </c>
      <c r="D737" s="30" t="s">
        <v>1850</v>
      </c>
      <c r="E737" s="30" t="s">
        <v>285</v>
      </c>
      <c r="F737" s="30" t="s">
        <v>1851</v>
      </c>
      <c r="G737" s="30" t="s">
        <v>174</v>
      </c>
      <c r="H737" s="30">
        <v>484210</v>
      </c>
      <c r="I737" s="30" t="s">
        <v>98</v>
      </c>
      <c r="J737" s="30" t="s">
        <v>129</v>
      </c>
      <c r="K737" s="31" t="s">
        <v>69</v>
      </c>
      <c r="L737" s="30"/>
      <c r="M737" s="39">
        <v>20000</v>
      </c>
      <c r="N737" s="39"/>
      <c r="O737" s="30" t="s">
        <v>149</v>
      </c>
      <c r="P737" s="30"/>
      <c r="Q737" s="129" t="s">
        <v>294</v>
      </c>
      <c r="R737" s="30" t="s">
        <v>35</v>
      </c>
      <c r="S737" s="41">
        <v>2014</v>
      </c>
      <c r="T737" s="31" t="s">
        <v>1852</v>
      </c>
      <c r="U737" s="31" t="s">
        <v>1853</v>
      </c>
      <c r="V737" s="30" t="s">
        <v>1854</v>
      </c>
      <c r="W737" s="30" t="s">
        <v>101</v>
      </c>
      <c r="X737" s="30"/>
      <c r="Y737" s="30"/>
      <c r="Z737" s="30"/>
      <c r="AA737" s="30"/>
    </row>
    <row r="738" spans="1:27" s="29" customFormat="1" ht="34.5" customHeight="1">
      <c r="A738" s="30" t="s">
        <v>142</v>
      </c>
      <c r="B738" s="30" t="s">
        <v>143</v>
      </c>
      <c r="C738" s="30" t="s">
        <v>39</v>
      </c>
      <c r="D738" s="30" t="s">
        <v>1841</v>
      </c>
      <c r="E738" s="30" t="s">
        <v>164</v>
      </c>
      <c r="F738" s="30" t="s">
        <v>1842</v>
      </c>
      <c r="G738" s="30" t="s">
        <v>217</v>
      </c>
      <c r="H738" s="30">
        <v>238320</v>
      </c>
      <c r="I738" s="30" t="s">
        <v>98</v>
      </c>
      <c r="J738" s="30" t="s">
        <v>129</v>
      </c>
      <c r="K738" s="31" t="s">
        <v>69</v>
      </c>
      <c r="L738" s="30"/>
      <c r="M738" s="39">
        <v>3500</v>
      </c>
      <c r="N738" s="39"/>
      <c r="O738" s="30" t="s">
        <v>149</v>
      </c>
      <c r="P738" s="30"/>
      <c r="Q738" s="129" t="s">
        <v>294</v>
      </c>
      <c r="R738" s="31" t="s">
        <v>80</v>
      </c>
      <c r="S738" s="41">
        <v>2014</v>
      </c>
      <c r="T738" s="31" t="s">
        <v>1843</v>
      </c>
      <c r="U738" s="31" t="s">
        <v>1844</v>
      </c>
      <c r="V738" s="60" t="s">
        <v>1845</v>
      </c>
      <c r="W738" s="30" t="s">
        <v>101</v>
      </c>
      <c r="X738" s="30"/>
      <c r="Y738" s="30"/>
      <c r="Z738" s="30"/>
      <c r="AA738" s="30"/>
    </row>
    <row r="739" spans="1:27" s="29" customFormat="1" ht="34.5" customHeight="1">
      <c r="A739" s="30" t="s">
        <v>142</v>
      </c>
      <c r="B739" s="30" t="s">
        <v>143</v>
      </c>
      <c r="C739" s="30" t="s">
        <v>39</v>
      </c>
      <c r="D739" s="30" t="s">
        <v>1850</v>
      </c>
      <c r="E739" s="30" t="s">
        <v>285</v>
      </c>
      <c r="F739" s="30" t="s">
        <v>1823</v>
      </c>
      <c r="G739" s="30" t="s">
        <v>66</v>
      </c>
      <c r="H739" s="30">
        <v>484210</v>
      </c>
      <c r="I739" s="30" t="s">
        <v>98</v>
      </c>
      <c r="J739" s="30" t="s">
        <v>129</v>
      </c>
      <c r="K739" s="31" t="s">
        <v>69</v>
      </c>
      <c r="L739" s="30"/>
      <c r="M739" s="39">
        <v>12000</v>
      </c>
      <c r="N739" s="39"/>
      <c r="O739" s="30" t="s">
        <v>149</v>
      </c>
      <c r="P739" s="30"/>
      <c r="Q739" s="129" t="s">
        <v>294</v>
      </c>
      <c r="R739" s="30" t="s">
        <v>100</v>
      </c>
      <c r="S739" s="41">
        <v>2014</v>
      </c>
      <c r="T739" s="31" t="s">
        <v>1855</v>
      </c>
      <c r="U739" s="31" t="s">
        <v>1856</v>
      </c>
      <c r="V739" s="30" t="s">
        <v>1857</v>
      </c>
      <c r="W739" s="30" t="s">
        <v>101</v>
      </c>
      <c r="X739" s="30"/>
      <c r="Y739" s="30"/>
      <c r="Z739" s="30"/>
      <c r="AA739" s="30"/>
    </row>
    <row r="740" spans="1:27" s="29" customFormat="1" ht="34.5" customHeight="1">
      <c r="A740" s="30" t="s">
        <v>142</v>
      </c>
      <c r="B740" s="30" t="s">
        <v>143</v>
      </c>
      <c r="C740" s="30" t="s">
        <v>39</v>
      </c>
      <c r="D740" s="30" t="s">
        <v>1858</v>
      </c>
      <c r="E740" s="30" t="s">
        <v>164</v>
      </c>
      <c r="F740" s="30" t="s">
        <v>1842</v>
      </c>
      <c r="G740" s="30" t="s">
        <v>217</v>
      </c>
      <c r="H740" s="30">
        <v>238320</v>
      </c>
      <c r="I740" s="30" t="s">
        <v>98</v>
      </c>
      <c r="J740" s="30" t="s">
        <v>129</v>
      </c>
      <c r="K740" s="31" t="s">
        <v>69</v>
      </c>
      <c r="L740" s="30"/>
      <c r="M740" s="39">
        <v>5000</v>
      </c>
      <c r="N740" s="39"/>
      <c r="O740" s="30" t="s">
        <v>149</v>
      </c>
      <c r="P740" s="30"/>
      <c r="Q740" s="129" t="s">
        <v>294</v>
      </c>
      <c r="R740" s="31" t="s">
        <v>80</v>
      </c>
      <c r="S740" s="41">
        <v>2014</v>
      </c>
      <c r="T740" s="31" t="s">
        <v>1843</v>
      </c>
      <c r="U740" s="31" t="s">
        <v>1844</v>
      </c>
      <c r="V740" s="30" t="s">
        <v>1845</v>
      </c>
      <c r="W740" s="30" t="s">
        <v>101</v>
      </c>
      <c r="X740" s="30"/>
      <c r="Y740" s="30"/>
      <c r="Z740" s="30"/>
      <c r="AA740" s="30"/>
    </row>
    <row r="741" spans="1:27" s="29" customFormat="1" ht="34.5" customHeight="1">
      <c r="A741" s="30" t="s">
        <v>142</v>
      </c>
      <c r="B741" s="30" t="s">
        <v>143</v>
      </c>
      <c r="C741" s="30" t="s">
        <v>39</v>
      </c>
      <c r="D741" s="30" t="s">
        <v>1859</v>
      </c>
      <c r="E741" s="30" t="s">
        <v>164</v>
      </c>
      <c r="F741" s="30" t="s">
        <v>1818</v>
      </c>
      <c r="G741" s="30" t="s">
        <v>66</v>
      </c>
      <c r="H741" s="30">
        <v>236220</v>
      </c>
      <c r="I741" s="30" t="s">
        <v>98</v>
      </c>
      <c r="J741" s="30" t="s">
        <v>129</v>
      </c>
      <c r="K741" s="31" t="s">
        <v>69</v>
      </c>
      <c r="L741" s="30"/>
      <c r="M741" s="39">
        <v>35000</v>
      </c>
      <c r="N741" s="39"/>
      <c r="O741" s="30" t="s">
        <v>79</v>
      </c>
      <c r="P741" s="30"/>
      <c r="Q741" s="129" t="s">
        <v>294</v>
      </c>
      <c r="R741" s="31" t="s">
        <v>80</v>
      </c>
      <c r="S741" s="41">
        <v>2014</v>
      </c>
      <c r="T741" s="184" t="s">
        <v>1848</v>
      </c>
      <c r="U741" s="180" t="s">
        <v>3439</v>
      </c>
      <c r="V741" s="30" t="s">
        <v>1849</v>
      </c>
      <c r="W741" s="30" t="s">
        <v>101</v>
      </c>
      <c r="X741" s="30"/>
      <c r="Y741" s="30"/>
      <c r="Z741" s="30"/>
      <c r="AA741" s="30"/>
    </row>
    <row r="742" spans="1:27" s="29" customFormat="1" ht="34.5" customHeight="1">
      <c r="A742" s="30" t="s">
        <v>142</v>
      </c>
      <c r="B742" s="30" t="s">
        <v>143</v>
      </c>
      <c r="C742" s="30" t="s">
        <v>39</v>
      </c>
      <c r="D742" s="30" t="s">
        <v>1860</v>
      </c>
      <c r="E742" s="30" t="s">
        <v>96</v>
      </c>
      <c r="F742" s="30" t="s">
        <v>1212</v>
      </c>
      <c r="G742" s="30" t="s">
        <v>174</v>
      </c>
      <c r="H742" s="30">
        <v>541310</v>
      </c>
      <c r="I742" s="30" t="s">
        <v>98</v>
      </c>
      <c r="J742" s="30" t="s">
        <v>129</v>
      </c>
      <c r="K742" s="31" t="s">
        <v>69</v>
      </c>
      <c r="L742" s="30"/>
      <c r="M742" s="39">
        <v>100000</v>
      </c>
      <c r="N742" s="39">
        <v>150000</v>
      </c>
      <c r="O742" s="30" t="s">
        <v>79</v>
      </c>
      <c r="P742" s="30"/>
      <c r="Q742" s="129" t="s">
        <v>294</v>
      </c>
      <c r="R742" s="31" t="s">
        <v>80</v>
      </c>
      <c r="S742" s="41">
        <v>2014</v>
      </c>
      <c r="T742" s="31" t="s">
        <v>1861</v>
      </c>
      <c r="U742" s="31" t="s">
        <v>1862</v>
      </c>
      <c r="V742" s="30" t="s">
        <v>1863</v>
      </c>
      <c r="W742" s="30" t="s">
        <v>101</v>
      </c>
      <c r="X742" s="30"/>
      <c r="Y742" s="30"/>
      <c r="Z742" s="30"/>
      <c r="AA742" s="30"/>
    </row>
    <row r="743" spans="1:27" s="29" customFormat="1" ht="34.5" customHeight="1">
      <c r="A743" s="30" t="s">
        <v>142</v>
      </c>
      <c r="B743" s="30" t="s">
        <v>143</v>
      </c>
      <c r="C743" s="30" t="s">
        <v>144</v>
      </c>
      <c r="D743" s="30" t="s">
        <v>1864</v>
      </c>
      <c r="E743" s="30" t="s">
        <v>164</v>
      </c>
      <c r="F743" s="30" t="s">
        <v>1212</v>
      </c>
      <c r="G743" s="30" t="s">
        <v>174</v>
      </c>
      <c r="H743" s="30">
        <v>236220</v>
      </c>
      <c r="I743" s="30" t="s">
        <v>98</v>
      </c>
      <c r="J743" s="30" t="s">
        <v>129</v>
      </c>
      <c r="K743" s="31" t="s">
        <v>69</v>
      </c>
      <c r="L743" s="30"/>
      <c r="M743" s="39">
        <v>250000</v>
      </c>
      <c r="N743" s="39">
        <v>500000</v>
      </c>
      <c r="O743" s="30" t="s">
        <v>79</v>
      </c>
      <c r="P743" s="30"/>
      <c r="Q743" s="129" t="s">
        <v>294</v>
      </c>
      <c r="R743" s="30" t="s">
        <v>150</v>
      </c>
      <c r="S743" s="41">
        <v>2014</v>
      </c>
      <c r="T743" s="31" t="s">
        <v>1861</v>
      </c>
      <c r="U743" s="31" t="s">
        <v>1862</v>
      </c>
      <c r="V743" s="30" t="s">
        <v>1863</v>
      </c>
      <c r="W743" s="30" t="s">
        <v>101</v>
      </c>
      <c r="X743" s="30"/>
      <c r="Y743" s="30"/>
      <c r="Z743" s="30"/>
      <c r="AA743" s="30"/>
    </row>
    <row r="744" spans="1:27" s="29" customFormat="1" ht="34.5" customHeight="1">
      <c r="A744" s="30" t="s">
        <v>142</v>
      </c>
      <c r="B744" s="30" t="s">
        <v>143</v>
      </c>
      <c r="C744" s="30" t="s">
        <v>144</v>
      </c>
      <c r="D744" s="30" t="s">
        <v>1865</v>
      </c>
      <c r="E744" s="30" t="s">
        <v>164</v>
      </c>
      <c r="F744" s="30" t="s">
        <v>1212</v>
      </c>
      <c r="G744" s="30" t="s">
        <v>174</v>
      </c>
      <c r="H744" s="30">
        <v>236220</v>
      </c>
      <c r="I744" s="30" t="s">
        <v>98</v>
      </c>
      <c r="J744" s="30" t="s">
        <v>129</v>
      </c>
      <c r="K744" s="31" t="s">
        <v>69</v>
      </c>
      <c r="L744" s="30"/>
      <c r="M744" s="39">
        <v>500000</v>
      </c>
      <c r="N744" s="39">
        <v>1000000</v>
      </c>
      <c r="O744" s="30" t="s">
        <v>79</v>
      </c>
      <c r="P744" s="30"/>
      <c r="Q744" s="129" t="s">
        <v>294</v>
      </c>
      <c r="R744" s="30" t="s">
        <v>150</v>
      </c>
      <c r="S744" s="41">
        <v>2014</v>
      </c>
      <c r="T744" s="31" t="s">
        <v>1861</v>
      </c>
      <c r="U744" s="31" t="s">
        <v>1862</v>
      </c>
      <c r="V744" s="30" t="s">
        <v>1863</v>
      </c>
      <c r="W744" s="30" t="s">
        <v>101</v>
      </c>
      <c r="X744" s="30"/>
      <c r="Y744" s="30"/>
      <c r="Z744" s="30"/>
      <c r="AA744" s="30"/>
    </row>
    <row r="745" spans="1:27" s="29" customFormat="1" ht="34.5" customHeight="1">
      <c r="A745" s="30" t="s">
        <v>142</v>
      </c>
      <c r="B745" s="30" t="s">
        <v>143</v>
      </c>
      <c r="C745" s="30" t="s">
        <v>39</v>
      </c>
      <c r="D745" s="30" t="s">
        <v>1866</v>
      </c>
      <c r="E745" s="30" t="s">
        <v>96</v>
      </c>
      <c r="F745" s="30" t="s">
        <v>1212</v>
      </c>
      <c r="G745" s="30" t="s">
        <v>174</v>
      </c>
      <c r="H745" s="30">
        <v>541310</v>
      </c>
      <c r="I745" s="30" t="s">
        <v>98</v>
      </c>
      <c r="J745" s="30" t="s">
        <v>129</v>
      </c>
      <c r="K745" s="31" t="s">
        <v>69</v>
      </c>
      <c r="L745" s="30"/>
      <c r="M745" s="39">
        <v>500000</v>
      </c>
      <c r="N745" s="39">
        <v>1000000</v>
      </c>
      <c r="O745" s="30" t="s">
        <v>79</v>
      </c>
      <c r="P745" s="30"/>
      <c r="Q745" s="129" t="s">
        <v>294</v>
      </c>
      <c r="R745" s="31" t="s">
        <v>80</v>
      </c>
      <c r="S745" s="41">
        <v>2014</v>
      </c>
      <c r="T745" s="31" t="s">
        <v>1861</v>
      </c>
      <c r="U745" s="31" t="s">
        <v>1862</v>
      </c>
      <c r="V745" s="30" t="s">
        <v>1863</v>
      </c>
      <c r="W745" s="30" t="s">
        <v>101</v>
      </c>
      <c r="X745" s="30" t="s">
        <v>345</v>
      </c>
      <c r="Y745" s="30" t="s">
        <v>345</v>
      </c>
      <c r="Z745" s="30" t="s">
        <v>345</v>
      </c>
      <c r="AA745" s="30"/>
    </row>
    <row r="746" spans="1:27" s="29" customFormat="1" ht="34.5" customHeight="1">
      <c r="A746" s="30" t="s">
        <v>142</v>
      </c>
      <c r="B746" s="30" t="s">
        <v>143</v>
      </c>
      <c r="C746" s="30" t="s">
        <v>39</v>
      </c>
      <c r="D746" s="30" t="s">
        <v>1867</v>
      </c>
      <c r="E746" s="30" t="s">
        <v>96</v>
      </c>
      <c r="F746" s="30" t="s">
        <v>1212</v>
      </c>
      <c r="G746" s="30" t="s">
        <v>174</v>
      </c>
      <c r="H746" s="30">
        <v>541310</v>
      </c>
      <c r="I746" s="30" t="s">
        <v>98</v>
      </c>
      <c r="J746" s="30" t="s">
        <v>129</v>
      </c>
      <c r="K746" s="31" t="s">
        <v>69</v>
      </c>
      <c r="L746" s="30"/>
      <c r="M746" s="39">
        <v>25000</v>
      </c>
      <c r="N746" s="39">
        <v>50000</v>
      </c>
      <c r="O746" s="30" t="s">
        <v>79</v>
      </c>
      <c r="P746" s="30"/>
      <c r="Q746" s="129" t="s">
        <v>294</v>
      </c>
      <c r="R746" s="31" t="s">
        <v>80</v>
      </c>
      <c r="S746" s="41">
        <v>2014</v>
      </c>
      <c r="T746" s="31" t="s">
        <v>1861</v>
      </c>
      <c r="U746" s="31" t="s">
        <v>1862</v>
      </c>
      <c r="V746" s="30" t="s">
        <v>1863</v>
      </c>
      <c r="W746" s="30" t="s">
        <v>101</v>
      </c>
      <c r="X746" s="30" t="s">
        <v>345</v>
      </c>
      <c r="Y746" s="30" t="s">
        <v>345</v>
      </c>
      <c r="Z746" s="30" t="s">
        <v>345</v>
      </c>
      <c r="AA746" s="30"/>
    </row>
    <row r="747" spans="1:27" s="29" customFormat="1" ht="34.5" customHeight="1">
      <c r="A747" s="30" t="s">
        <v>142</v>
      </c>
      <c r="B747" s="30" t="s">
        <v>143</v>
      </c>
      <c r="C747" s="30" t="s">
        <v>39</v>
      </c>
      <c r="D747" s="30" t="s">
        <v>1868</v>
      </c>
      <c r="E747" s="30" t="s">
        <v>164</v>
      </c>
      <c r="F747" s="30" t="s">
        <v>1212</v>
      </c>
      <c r="G747" s="30" t="s">
        <v>174</v>
      </c>
      <c r="H747" s="30">
        <v>236220</v>
      </c>
      <c r="I747" s="30" t="s">
        <v>98</v>
      </c>
      <c r="J747" s="30" t="s">
        <v>129</v>
      </c>
      <c r="K747" s="31" t="s">
        <v>69</v>
      </c>
      <c r="L747" s="30"/>
      <c r="M747" s="39">
        <v>500000</v>
      </c>
      <c r="N747" s="39">
        <v>1000000</v>
      </c>
      <c r="O747" s="30" t="s">
        <v>79</v>
      </c>
      <c r="P747" s="30"/>
      <c r="Q747" s="129" t="s">
        <v>294</v>
      </c>
      <c r="R747" s="31" t="s">
        <v>80</v>
      </c>
      <c r="S747" s="41">
        <v>2014</v>
      </c>
      <c r="T747" s="31" t="s">
        <v>1861</v>
      </c>
      <c r="U747" s="31" t="s">
        <v>1862</v>
      </c>
      <c r="V747" s="30" t="s">
        <v>1863</v>
      </c>
      <c r="W747" s="30" t="s">
        <v>101</v>
      </c>
      <c r="X747" s="44">
        <v>41730</v>
      </c>
      <c r="Y747" s="44">
        <v>41805</v>
      </c>
      <c r="Z747" s="44">
        <v>42003</v>
      </c>
      <c r="AA747" s="30"/>
    </row>
    <row r="748" spans="1:27" s="29" customFormat="1" ht="34.5" customHeight="1">
      <c r="A748" s="30" t="s">
        <v>142</v>
      </c>
      <c r="B748" s="30" t="s">
        <v>143</v>
      </c>
      <c r="C748" s="30" t="s">
        <v>39</v>
      </c>
      <c r="D748" s="30" t="s">
        <v>1869</v>
      </c>
      <c r="E748" s="30" t="s">
        <v>96</v>
      </c>
      <c r="F748" s="30" t="s">
        <v>1212</v>
      </c>
      <c r="G748" s="30" t="s">
        <v>174</v>
      </c>
      <c r="H748" s="30">
        <v>541310</v>
      </c>
      <c r="I748" s="30" t="s">
        <v>98</v>
      </c>
      <c r="J748" s="30" t="s">
        <v>129</v>
      </c>
      <c r="K748" s="31" t="s">
        <v>69</v>
      </c>
      <c r="L748" s="30"/>
      <c r="M748" s="39">
        <v>25000</v>
      </c>
      <c r="N748" s="39">
        <v>50000</v>
      </c>
      <c r="O748" s="30" t="s">
        <v>79</v>
      </c>
      <c r="P748" s="30"/>
      <c r="Q748" s="129" t="s">
        <v>294</v>
      </c>
      <c r="R748" s="30" t="s">
        <v>100</v>
      </c>
      <c r="S748" s="41">
        <v>2014</v>
      </c>
      <c r="T748" s="31" t="s">
        <v>1861</v>
      </c>
      <c r="U748" s="31" t="s">
        <v>1862</v>
      </c>
      <c r="V748" s="30" t="s">
        <v>1863</v>
      </c>
      <c r="W748" s="30" t="s">
        <v>101</v>
      </c>
      <c r="X748" s="44">
        <v>41593</v>
      </c>
      <c r="Y748" s="44">
        <v>41654</v>
      </c>
      <c r="Z748" s="44">
        <v>41762</v>
      </c>
      <c r="AA748" s="30"/>
    </row>
    <row r="749" spans="1:27" s="29" customFormat="1" ht="34.5" customHeight="1">
      <c r="A749" s="30" t="s">
        <v>142</v>
      </c>
      <c r="B749" s="30" t="s">
        <v>143</v>
      </c>
      <c r="C749" s="30" t="s">
        <v>39</v>
      </c>
      <c r="D749" s="30" t="s">
        <v>1869</v>
      </c>
      <c r="E749" s="30" t="s">
        <v>164</v>
      </c>
      <c r="F749" s="30" t="s">
        <v>1212</v>
      </c>
      <c r="G749" s="30" t="s">
        <v>174</v>
      </c>
      <c r="H749" s="30">
        <v>236220</v>
      </c>
      <c r="I749" s="30" t="s">
        <v>98</v>
      </c>
      <c r="J749" s="30" t="s">
        <v>129</v>
      </c>
      <c r="K749" s="31" t="s">
        <v>69</v>
      </c>
      <c r="L749" s="30"/>
      <c r="M749" s="39">
        <v>500000</v>
      </c>
      <c r="N749" s="39">
        <v>650000</v>
      </c>
      <c r="O749" s="30" t="s">
        <v>79</v>
      </c>
      <c r="P749" s="30"/>
      <c r="Q749" s="129" t="s">
        <v>294</v>
      </c>
      <c r="R749" s="30" t="s">
        <v>35</v>
      </c>
      <c r="S749" s="41">
        <v>2014</v>
      </c>
      <c r="T749" s="31" t="s">
        <v>1861</v>
      </c>
      <c r="U749" s="31" t="s">
        <v>1862</v>
      </c>
      <c r="V749" s="30" t="s">
        <v>1863</v>
      </c>
      <c r="W749" s="30" t="s">
        <v>101</v>
      </c>
      <c r="X749" s="44">
        <v>41730</v>
      </c>
      <c r="Y749" s="44">
        <v>41805</v>
      </c>
      <c r="Z749" s="44">
        <v>42003</v>
      </c>
      <c r="AA749" s="30"/>
    </row>
    <row r="750" spans="1:27" s="29" customFormat="1" ht="34.5" customHeight="1">
      <c r="A750" s="30" t="s">
        <v>142</v>
      </c>
      <c r="B750" s="30" t="s">
        <v>143</v>
      </c>
      <c r="C750" s="30" t="s">
        <v>39</v>
      </c>
      <c r="D750" s="30" t="s">
        <v>1870</v>
      </c>
      <c r="E750" s="30" t="s">
        <v>139</v>
      </c>
      <c r="F750" s="30" t="s">
        <v>1212</v>
      </c>
      <c r="G750" s="30" t="s">
        <v>174</v>
      </c>
      <c r="H750" s="30">
        <v>561730</v>
      </c>
      <c r="I750" s="30" t="s">
        <v>45</v>
      </c>
      <c r="J750" s="30" t="s">
        <v>77</v>
      </c>
      <c r="K750" s="30" t="s">
        <v>45</v>
      </c>
      <c r="L750" s="30"/>
      <c r="M750" s="39">
        <v>75000</v>
      </c>
      <c r="N750" s="39">
        <v>150000</v>
      </c>
      <c r="O750" s="30" t="s">
        <v>79</v>
      </c>
      <c r="P750" s="30"/>
      <c r="Q750" s="129" t="s">
        <v>294</v>
      </c>
      <c r="R750" s="30" t="s">
        <v>45</v>
      </c>
      <c r="S750" s="41">
        <v>2014</v>
      </c>
      <c r="T750" s="31" t="s">
        <v>1861</v>
      </c>
      <c r="U750" s="31" t="s">
        <v>1862</v>
      </c>
      <c r="V750" s="30" t="s">
        <v>1863</v>
      </c>
      <c r="W750" s="30" t="s">
        <v>101</v>
      </c>
      <c r="X750" s="30" t="s">
        <v>345</v>
      </c>
      <c r="Y750" s="30" t="s">
        <v>345</v>
      </c>
      <c r="Z750" s="30" t="s">
        <v>1871</v>
      </c>
      <c r="AA750" s="30"/>
    </row>
    <row r="751" spans="1:27" s="29" customFormat="1" ht="34.5" customHeight="1">
      <c r="A751" s="30" t="s">
        <v>142</v>
      </c>
      <c r="B751" s="30" t="s">
        <v>143</v>
      </c>
      <c r="C751" s="30" t="s">
        <v>39</v>
      </c>
      <c r="D751" s="30" t="s">
        <v>1872</v>
      </c>
      <c r="E751" s="30" t="s">
        <v>139</v>
      </c>
      <c r="F751" s="30" t="s">
        <v>1212</v>
      </c>
      <c r="G751" s="30" t="s">
        <v>174</v>
      </c>
      <c r="H751" s="30">
        <v>561720</v>
      </c>
      <c r="I751" s="30" t="s">
        <v>45</v>
      </c>
      <c r="J751" s="30" t="s">
        <v>77</v>
      </c>
      <c r="K751" s="30" t="s">
        <v>45</v>
      </c>
      <c r="L751" s="30"/>
      <c r="M751" s="39">
        <v>250000</v>
      </c>
      <c r="N751" s="39">
        <v>350000</v>
      </c>
      <c r="O751" s="30" t="s">
        <v>79</v>
      </c>
      <c r="P751" s="30"/>
      <c r="Q751" s="129" t="s">
        <v>294</v>
      </c>
      <c r="R751" s="30" t="s">
        <v>45</v>
      </c>
      <c r="S751" s="41">
        <v>2014</v>
      </c>
      <c r="T751" s="31" t="s">
        <v>1861</v>
      </c>
      <c r="U751" s="31" t="s">
        <v>1862</v>
      </c>
      <c r="V751" s="30" t="s">
        <v>1863</v>
      </c>
      <c r="W751" s="30" t="s">
        <v>101</v>
      </c>
      <c r="X751" s="30" t="s">
        <v>345</v>
      </c>
      <c r="Y751" s="30" t="s">
        <v>345</v>
      </c>
      <c r="Z751" s="30" t="s">
        <v>1871</v>
      </c>
      <c r="AA751" s="30"/>
    </row>
    <row r="752" spans="1:27" s="29" customFormat="1" ht="34.5" customHeight="1">
      <c r="A752" s="30" t="s">
        <v>142</v>
      </c>
      <c r="B752" s="30" t="s">
        <v>143</v>
      </c>
      <c r="C752" s="30" t="s">
        <v>39</v>
      </c>
      <c r="D752" s="30" t="s">
        <v>1873</v>
      </c>
      <c r="E752" s="30" t="s">
        <v>161</v>
      </c>
      <c r="F752" s="30" t="s">
        <v>1823</v>
      </c>
      <c r="G752" s="30" t="s">
        <v>66</v>
      </c>
      <c r="H752" s="30">
        <v>236220</v>
      </c>
      <c r="I752" s="30" t="s">
        <v>45</v>
      </c>
      <c r="J752" s="30" t="s">
        <v>129</v>
      </c>
      <c r="K752" s="30" t="s">
        <v>34</v>
      </c>
      <c r="L752" s="30" t="s">
        <v>345</v>
      </c>
      <c r="M752" s="39">
        <v>800000</v>
      </c>
      <c r="N752" s="39">
        <v>900000</v>
      </c>
      <c r="O752" s="30" t="s">
        <v>79</v>
      </c>
      <c r="P752" s="30"/>
      <c r="Q752" s="30"/>
      <c r="R752" s="30" t="s">
        <v>150</v>
      </c>
      <c r="S752" s="41">
        <v>2014</v>
      </c>
      <c r="T752" s="155" t="s">
        <v>3429</v>
      </c>
      <c r="U752" s="31" t="s">
        <v>1874</v>
      </c>
      <c r="V752" s="30" t="str">
        <f t="shared" ref="V752:V779" si="0">HYPERLINK("mailto:robert.herman@gsa.gov","robert.herman@gsa.gov")</f>
        <v>robert.herman@gsa.gov</v>
      </c>
      <c r="W752" s="30" t="s">
        <v>101</v>
      </c>
      <c r="X752" s="44">
        <v>41640</v>
      </c>
      <c r="Y752" s="44">
        <v>41654</v>
      </c>
      <c r="Z752" s="44">
        <v>42019</v>
      </c>
      <c r="AA752" s="30"/>
    </row>
    <row r="753" spans="1:27" s="29" customFormat="1" ht="34.5" customHeight="1">
      <c r="A753" s="30" t="s">
        <v>142</v>
      </c>
      <c r="B753" s="30" t="s">
        <v>143</v>
      </c>
      <c r="C753" s="30" t="s">
        <v>39</v>
      </c>
      <c r="D753" s="30" t="s">
        <v>1875</v>
      </c>
      <c r="E753" s="30" t="s">
        <v>161</v>
      </c>
      <c r="F753" s="30" t="s">
        <v>1823</v>
      </c>
      <c r="G753" s="30" t="s">
        <v>66</v>
      </c>
      <c r="H753" s="30">
        <v>236220</v>
      </c>
      <c r="I753" s="30" t="s">
        <v>45</v>
      </c>
      <c r="J753" s="30" t="s">
        <v>129</v>
      </c>
      <c r="K753" s="30" t="s">
        <v>34</v>
      </c>
      <c r="L753" s="30" t="s">
        <v>345</v>
      </c>
      <c r="M753" s="39">
        <v>24000</v>
      </c>
      <c r="N753" s="39">
        <v>25000</v>
      </c>
      <c r="O753" s="30" t="s">
        <v>149</v>
      </c>
      <c r="P753" s="30"/>
      <c r="Q753" s="30"/>
      <c r="R753" s="30" t="s">
        <v>150</v>
      </c>
      <c r="S753" s="41">
        <v>2014</v>
      </c>
      <c r="T753" s="155" t="s">
        <v>3429</v>
      </c>
      <c r="U753" s="31" t="s">
        <v>1874</v>
      </c>
      <c r="V753" s="30" t="str">
        <f t="shared" si="0"/>
        <v>robert.herman@gsa.gov</v>
      </c>
      <c r="W753" s="30" t="s">
        <v>101</v>
      </c>
      <c r="X753" s="44">
        <v>41974</v>
      </c>
      <c r="Y753" s="44">
        <v>41640</v>
      </c>
      <c r="Z753" s="44">
        <v>41685</v>
      </c>
      <c r="AA753" s="30"/>
    </row>
    <row r="754" spans="1:27" s="29" customFormat="1" ht="34.5" customHeight="1">
      <c r="A754" s="30" t="s">
        <v>142</v>
      </c>
      <c r="B754" s="30" t="s">
        <v>143</v>
      </c>
      <c r="C754" s="30" t="s">
        <v>39</v>
      </c>
      <c r="D754" s="30" t="s">
        <v>1876</v>
      </c>
      <c r="E754" s="30" t="s">
        <v>161</v>
      </c>
      <c r="F754" s="30" t="s">
        <v>1818</v>
      </c>
      <c r="G754" s="30" t="s">
        <v>66</v>
      </c>
      <c r="H754" s="30">
        <v>236220</v>
      </c>
      <c r="I754" s="30" t="s">
        <v>45</v>
      </c>
      <c r="J754" s="30" t="s">
        <v>129</v>
      </c>
      <c r="K754" s="30" t="s">
        <v>34</v>
      </c>
      <c r="L754" s="30" t="s">
        <v>345</v>
      </c>
      <c r="M754" s="39">
        <v>140000</v>
      </c>
      <c r="N754" s="39">
        <v>150000</v>
      </c>
      <c r="O754" s="30" t="s">
        <v>79</v>
      </c>
      <c r="P754" s="30"/>
      <c r="Q754" s="30"/>
      <c r="R754" s="30" t="s">
        <v>100</v>
      </c>
      <c r="S754" s="41">
        <v>2014</v>
      </c>
      <c r="T754" s="155" t="s">
        <v>3429</v>
      </c>
      <c r="U754" s="31" t="s">
        <v>1874</v>
      </c>
      <c r="V754" s="30" t="str">
        <f t="shared" si="0"/>
        <v>robert.herman@gsa.gov</v>
      </c>
      <c r="W754" s="30" t="s">
        <v>101</v>
      </c>
      <c r="X754" s="44">
        <v>41685</v>
      </c>
      <c r="Y754" s="44">
        <v>41685</v>
      </c>
      <c r="Z754" s="44">
        <v>41866</v>
      </c>
      <c r="AA754" s="30"/>
    </row>
    <row r="755" spans="1:27" s="29" customFormat="1" ht="34.5" customHeight="1">
      <c r="A755" s="30" t="s">
        <v>142</v>
      </c>
      <c r="B755" s="30" t="s">
        <v>143</v>
      </c>
      <c r="C755" s="30" t="s">
        <v>39</v>
      </c>
      <c r="D755" s="30" t="s">
        <v>1877</v>
      </c>
      <c r="E755" s="30" t="s">
        <v>161</v>
      </c>
      <c r="F755" s="30" t="s">
        <v>1812</v>
      </c>
      <c r="G755" s="30" t="s">
        <v>66</v>
      </c>
      <c r="H755" s="30">
        <v>236220</v>
      </c>
      <c r="I755" s="30" t="s">
        <v>45</v>
      </c>
      <c r="J755" s="30" t="s">
        <v>129</v>
      </c>
      <c r="K755" s="30" t="s">
        <v>34</v>
      </c>
      <c r="L755" s="30" t="s">
        <v>345</v>
      </c>
      <c r="M755" s="39">
        <v>230000</v>
      </c>
      <c r="N755" s="39">
        <v>260000</v>
      </c>
      <c r="O755" s="30" t="s">
        <v>79</v>
      </c>
      <c r="P755" s="30"/>
      <c r="Q755" s="30"/>
      <c r="R755" s="30" t="s">
        <v>150</v>
      </c>
      <c r="S755" s="41">
        <v>2014</v>
      </c>
      <c r="T755" s="155" t="s">
        <v>3429</v>
      </c>
      <c r="U755" s="31" t="s">
        <v>1874</v>
      </c>
      <c r="V755" s="49" t="str">
        <f t="shared" si="0"/>
        <v>robert.herman@gsa.gov</v>
      </c>
      <c r="W755" s="30" t="s">
        <v>101</v>
      </c>
      <c r="X755" s="44">
        <v>41897</v>
      </c>
      <c r="Y755" s="44">
        <v>41912</v>
      </c>
      <c r="Z755" s="44">
        <v>42050</v>
      </c>
      <c r="AA755" s="30"/>
    </row>
    <row r="756" spans="1:27" s="29" customFormat="1" ht="34.5" customHeight="1">
      <c r="A756" s="30" t="s">
        <v>142</v>
      </c>
      <c r="B756" s="30" t="s">
        <v>143</v>
      </c>
      <c r="C756" s="30" t="s">
        <v>39</v>
      </c>
      <c r="D756" s="30" t="s">
        <v>1878</v>
      </c>
      <c r="E756" s="30" t="s">
        <v>161</v>
      </c>
      <c r="F756" s="30" t="s">
        <v>1812</v>
      </c>
      <c r="G756" s="30" t="s">
        <v>66</v>
      </c>
      <c r="H756" s="30">
        <v>236220</v>
      </c>
      <c r="I756" s="129" t="s">
        <v>546</v>
      </c>
      <c r="J756" s="30" t="s">
        <v>129</v>
      </c>
      <c r="K756" s="30" t="s">
        <v>44</v>
      </c>
      <c r="L756" s="129" t="s">
        <v>3410</v>
      </c>
      <c r="M756" s="39">
        <v>240000</v>
      </c>
      <c r="N756" s="39">
        <v>250000</v>
      </c>
      <c r="O756" s="30" t="s">
        <v>79</v>
      </c>
      <c r="P756" s="30"/>
      <c r="Q756" s="30"/>
      <c r="R756" s="30" t="s">
        <v>150</v>
      </c>
      <c r="S756" s="41">
        <v>2014</v>
      </c>
      <c r="T756" s="155" t="s">
        <v>3429</v>
      </c>
      <c r="U756" s="31" t="s">
        <v>1874</v>
      </c>
      <c r="V756" s="49" t="str">
        <f t="shared" si="0"/>
        <v>robert.herman@gsa.gov</v>
      </c>
      <c r="W756" s="30" t="s">
        <v>101</v>
      </c>
      <c r="X756" s="44">
        <v>41805</v>
      </c>
      <c r="Y756" s="44">
        <v>41820</v>
      </c>
      <c r="Z756" s="44">
        <v>41957</v>
      </c>
      <c r="AA756" s="30"/>
    </row>
    <row r="757" spans="1:27" s="29" customFormat="1" ht="34.5" customHeight="1">
      <c r="A757" s="30" t="s">
        <v>142</v>
      </c>
      <c r="B757" s="30" t="s">
        <v>143</v>
      </c>
      <c r="C757" s="30" t="s">
        <v>39</v>
      </c>
      <c r="D757" s="30" t="s">
        <v>1879</v>
      </c>
      <c r="E757" s="30" t="s">
        <v>161</v>
      </c>
      <c r="F757" s="30" t="s">
        <v>1812</v>
      </c>
      <c r="G757" s="30" t="s">
        <v>66</v>
      </c>
      <c r="H757" s="30">
        <v>236220</v>
      </c>
      <c r="I757" s="129" t="s">
        <v>546</v>
      </c>
      <c r="J757" s="30" t="s">
        <v>129</v>
      </c>
      <c r="K757" s="30" t="s">
        <v>44</v>
      </c>
      <c r="L757" s="129" t="s">
        <v>3411</v>
      </c>
      <c r="M757" s="39">
        <v>750000</v>
      </c>
      <c r="N757" s="39">
        <v>900000</v>
      </c>
      <c r="O757" s="30" t="s">
        <v>79</v>
      </c>
      <c r="P757" s="30"/>
      <c r="Q757" s="30"/>
      <c r="R757" s="30" t="s">
        <v>150</v>
      </c>
      <c r="S757" s="41">
        <v>2014</v>
      </c>
      <c r="T757" s="155" t="s">
        <v>3429</v>
      </c>
      <c r="U757" s="31" t="s">
        <v>1874</v>
      </c>
      <c r="V757" s="49" t="str">
        <f t="shared" si="0"/>
        <v>robert.herman@gsa.gov</v>
      </c>
      <c r="W757" s="30" t="s">
        <v>101</v>
      </c>
      <c r="X757" s="30" t="s">
        <v>1880</v>
      </c>
      <c r="Y757" s="44">
        <v>41713</v>
      </c>
      <c r="Z757" s="44">
        <v>41897</v>
      </c>
      <c r="AA757" s="30"/>
    </row>
    <row r="758" spans="1:27" s="29" customFormat="1" ht="34.5" customHeight="1">
      <c r="A758" s="30" t="s">
        <v>142</v>
      </c>
      <c r="B758" s="30" t="s">
        <v>143</v>
      </c>
      <c r="C758" s="30" t="s">
        <v>39</v>
      </c>
      <c r="D758" s="30" t="s">
        <v>1881</v>
      </c>
      <c r="E758" s="30" t="s">
        <v>161</v>
      </c>
      <c r="F758" s="30" t="s">
        <v>1082</v>
      </c>
      <c r="G758" s="30" t="s">
        <v>174</v>
      </c>
      <c r="H758" s="30">
        <v>236220</v>
      </c>
      <c r="I758" s="129" t="s">
        <v>546</v>
      </c>
      <c r="J758" s="30" t="s">
        <v>129</v>
      </c>
      <c r="K758" s="30" t="s">
        <v>44</v>
      </c>
      <c r="L758" s="129" t="s">
        <v>3411</v>
      </c>
      <c r="M758" s="39">
        <v>280000</v>
      </c>
      <c r="N758" s="39">
        <v>290000</v>
      </c>
      <c r="O758" s="30" t="s">
        <v>79</v>
      </c>
      <c r="P758" s="30"/>
      <c r="Q758" s="30"/>
      <c r="R758" s="30" t="s">
        <v>150</v>
      </c>
      <c r="S758" s="41">
        <v>2014</v>
      </c>
      <c r="T758" s="155" t="s">
        <v>3429</v>
      </c>
      <c r="U758" s="31" t="s">
        <v>1874</v>
      </c>
      <c r="V758" s="49" t="str">
        <f t="shared" si="0"/>
        <v>robert.herman@gsa.gov</v>
      </c>
      <c r="W758" s="30" t="s">
        <v>101</v>
      </c>
      <c r="X758" s="44">
        <v>41654</v>
      </c>
      <c r="Y758" s="44">
        <v>41654</v>
      </c>
      <c r="Z758" s="44">
        <v>42019</v>
      </c>
      <c r="AA758" s="30"/>
    </row>
    <row r="759" spans="1:27" s="29" customFormat="1" ht="34.5" customHeight="1">
      <c r="A759" s="30" t="s">
        <v>142</v>
      </c>
      <c r="B759" s="30" t="s">
        <v>143</v>
      </c>
      <c r="C759" s="30" t="s">
        <v>39</v>
      </c>
      <c r="D759" s="30" t="s">
        <v>1882</v>
      </c>
      <c r="E759" s="30" t="s">
        <v>161</v>
      </c>
      <c r="F759" s="30" t="s">
        <v>1832</v>
      </c>
      <c r="G759" s="30" t="s">
        <v>66</v>
      </c>
      <c r="H759" s="30">
        <v>236220</v>
      </c>
      <c r="I759" s="129" t="s">
        <v>546</v>
      </c>
      <c r="J759" s="30" t="s">
        <v>129</v>
      </c>
      <c r="K759" s="30" t="s">
        <v>44</v>
      </c>
      <c r="L759" s="129" t="s">
        <v>3411</v>
      </c>
      <c r="M759" s="39">
        <v>450000</v>
      </c>
      <c r="N759" s="39">
        <v>500000</v>
      </c>
      <c r="O759" s="30" t="s">
        <v>79</v>
      </c>
      <c r="P759" s="30"/>
      <c r="Q759" s="30"/>
      <c r="R759" s="30" t="s">
        <v>150</v>
      </c>
      <c r="S759" s="41">
        <v>2014</v>
      </c>
      <c r="T759" s="155" t="s">
        <v>3429</v>
      </c>
      <c r="U759" s="31" t="s">
        <v>1874</v>
      </c>
      <c r="V759" s="49" t="str">
        <f t="shared" si="0"/>
        <v>robert.herman@gsa.gov</v>
      </c>
      <c r="W759" s="30" t="s">
        <v>101</v>
      </c>
      <c r="X759" s="44">
        <v>41685</v>
      </c>
      <c r="Y759" s="30" t="s">
        <v>1027</v>
      </c>
      <c r="Z759" s="44">
        <v>41897</v>
      </c>
      <c r="AA759" s="30"/>
    </row>
    <row r="760" spans="1:27" s="29" customFormat="1" ht="34.5" customHeight="1">
      <c r="A760" s="30" t="s">
        <v>142</v>
      </c>
      <c r="B760" s="30" t="s">
        <v>143</v>
      </c>
      <c r="C760" s="30" t="s">
        <v>39</v>
      </c>
      <c r="D760" s="30" t="s">
        <v>1883</v>
      </c>
      <c r="E760" s="30" t="s">
        <v>161</v>
      </c>
      <c r="F760" s="30" t="s">
        <v>1823</v>
      </c>
      <c r="G760" s="30" t="s">
        <v>66</v>
      </c>
      <c r="H760" s="30">
        <v>236220</v>
      </c>
      <c r="I760" s="129" t="s">
        <v>546</v>
      </c>
      <c r="J760" s="30" t="s">
        <v>129</v>
      </c>
      <c r="K760" s="30" t="s">
        <v>44</v>
      </c>
      <c r="L760" s="129" t="s">
        <v>3411</v>
      </c>
      <c r="M760" s="39">
        <v>140000</v>
      </c>
      <c r="N760" s="39">
        <v>160000</v>
      </c>
      <c r="O760" s="30" t="s">
        <v>79</v>
      </c>
      <c r="P760" s="30"/>
      <c r="Q760" s="30"/>
      <c r="R760" s="30" t="s">
        <v>150</v>
      </c>
      <c r="S760" s="41">
        <v>2014</v>
      </c>
      <c r="T760" s="155" t="s">
        <v>3429</v>
      </c>
      <c r="U760" s="31" t="s">
        <v>1874</v>
      </c>
      <c r="V760" s="49" t="str">
        <f t="shared" si="0"/>
        <v>robert.herman@gsa.gov</v>
      </c>
      <c r="W760" s="30" t="s">
        <v>101</v>
      </c>
      <c r="X760" s="44">
        <v>41537</v>
      </c>
      <c r="Y760" s="44">
        <v>41547</v>
      </c>
      <c r="Z760" s="44">
        <v>41608</v>
      </c>
      <c r="AA760" s="30"/>
    </row>
    <row r="761" spans="1:27" s="29" customFormat="1" ht="34.5" customHeight="1">
      <c r="A761" s="30" t="s">
        <v>142</v>
      </c>
      <c r="B761" s="30" t="s">
        <v>143</v>
      </c>
      <c r="C761" s="30" t="s">
        <v>39</v>
      </c>
      <c r="D761" s="30" t="s">
        <v>1884</v>
      </c>
      <c r="E761" s="30" t="s">
        <v>161</v>
      </c>
      <c r="F761" s="30" t="s">
        <v>1818</v>
      </c>
      <c r="G761" s="30" t="s">
        <v>66</v>
      </c>
      <c r="H761" s="30">
        <v>236220</v>
      </c>
      <c r="I761" s="129" t="s">
        <v>546</v>
      </c>
      <c r="J761" s="30" t="s">
        <v>129</v>
      </c>
      <c r="K761" s="30" t="s">
        <v>44</v>
      </c>
      <c r="L761" s="129" t="s">
        <v>3411</v>
      </c>
      <c r="M761" s="39">
        <v>25000</v>
      </c>
      <c r="N761" s="39">
        <v>30000</v>
      </c>
      <c r="O761" s="30" t="s">
        <v>79</v>
      </c>
      <c r="P761" s="30"/>
      <c r="Q761" s="30"/>
      <c r="R761" s="30" t="s">
        <v>150</v>
      </c>
      <c r="S761" s="41">
        <v>2014</v>
      </c>
      <c r="T761" s="155" t="s">
        <v>3429</v>
      </c>
      <c r="U761" s="31" t="s">
        <v>1874</v>
      </c>
      <c r="V761" s="49" t="str">
        <f t="shared" si="0"/>
        <v>robert.herman@gsa.gov</v>
      </c>
      <c r="W761" s="30" t="s">
        <v>101</v>
      </c>
      <c r="X761" s="44">
        <v>41608</v>
      </c>
      <c r="Y761" s="44">
        <v>41608</v>
      </c>
      <c r="Z761" s="44">
        <v>41654</v>
      </c>
      <c r="AA761" s="30"/>
    </row>
    <row r="762" spans="1:27" s="29" customFormat="1" ht="34.5" customHeight="1">
      <c r="A762" s="30" t="s">
        <v>142</v>
      </c>
      <c r="B762" s="30" t="s">
        <v>143</v>
      </c>
      <c r="C762" s="30" t="s">
        <v>39</v>
      </c>
      <c r="D762" s="30" t="s">
        <v>1885</v>
      </c>
      <c r="E762" s="30" t="s">
        <v>161</v>
      </c>
      <c r="F762" s="30" t="s">
        <v>1082</v>
      </c>
      <c r="G762" s="30" t="s">
        <v>174</v>
      </c>
      <c r="H762" s="30">
        <v>236220</v>
      </c>
      <c r="I762" s="129" t="s">
        <v>546</v>
      </c>
      <c r="J762" s="30" t="s">
        <v>129</v>
      </c>
      <c r="K762" s="30" t="s">
        <v>34</v>
      </c>
      <c r="L762" s="30" t="s">
        <v>345</v>
      </c>
      <c r="M762" s="39">
        <v>900000</v>
      </c>
      <c r="N762" s="39">
        <v>1100000</v>
      </c>
      <c r="O762" s="30" t="s">
        <v>79</v>
      </c>
      <c r="P762" s="30"/>
      <c r="Q762" s="30"/>
      <c r="R762" s="30" t="s">
        <v>150</v>
      </c>
      <c r="S762" s="41">
        <v>2014</v>
      </c>
      <c r="T762" s="155" t="s">
        <v>3429</v>
      </c>
      <c r="U762" s="31" t="s">
        <v>1874</v>
      </c>
      <c r="V762" s="49" t="str">
        <f t="shared" si="0"/>
        <v>robert.herman@gsa.gov</v>
      </c>
      <c r="W762" s="30" t="s">
        <v>101</v>
      </c>
      <c r="X762" s="44">
        <v>41713</v>
      </c>
      <c r="Y762" s="44">
        <v>41654</v>
      </c>
      <c r="Z762" s="44">
        <v>42019</v>
      </c>
      <c r="AA762" s="30"/>
    </row>
    <row r="763" spans="1:27" s="29" customFormat="1" ht="34.5" customHeight="1">
      <c r="A763" s="30" t="s">
        <v>142</v>
      </c>
      <c r="B763" s="30" t="s">
        <v>143</v>
      </c>
      <c r="C763" s="30" t="s">
        <v>39</v>
      </c>
      <c r="D763" s="30" t="s">
        <v>1886</v>
      </c>
      <c r="E763" s="30" t="s">
        <v>161</v>
      </c>
      <c r="F763" s="132" t="s">
        <v>1823</v>
      </c>
      <c r="G763" s="52" t="s">
        <v>66</v>
      </c>
      <c r="H763" s="30">
        <v>236220</v>
      </c>
      <c r="I763" s="30" t="s">
        <v>98</v>
      </c>
      <c r="J763" s="30" t="s">
        <v>129</v>
      </c>
      <c r="K763" s="31" t="s">
        <v>91</v>
      </c>
      <c r="L763" s="30" t="s">
        <v>345</v>
      </c>
      <c r="M763" s="39">
        <v>125000</v>
      </c>
      <c r="N763" s="39">
        <v>150000</v>
      </c>
      <c r="O763" s="30" t="s">
        <v>79</v>
      </c>
      <c r="P763" s="30"/>
      <c r="Q763" s="30"/>
      <c r="R763" s="30" t="s">
        <v>100</v>
      </c>
      <c r="S763" s="41">
        <v>2014</v>
      </c>
      <c r="T763" s="155" t="s">
        <v>3429</v>
      </c>
      <c r="U763" s="31" t="s">
        <v>1874</v>
      </c>
      <c r="V763" s="49" t="str">
        <f t="shared" si="0"/>
        <v>robert.herman@gsa.gov</v>
      </c>
      <c r="W763" s="30" t="s">
        <v>101</v>
      </c>
      <c r="X763" s="44">
        <v>41760</v>
      </c>
      <c r="Y763" s="44">
        <v>41764</v>
      </c>
      <c r="Z763" s="44">
        <v>41912</v>
      </c>
      <c r="AA763" s="147" t="s">
        <v>3379</v>
      </c>
    </row>
    <row r="764" spans="1:27" s="29" customFormat="1" ht="34.5" customHeight="1">
      <c r="A764" s="30" t="s">
        <v>142</v>
      </c>
      <c r="B764" s="30" t="s">
        <v>143</v>
      </c>
      <c r="C764" s="30" t="s">
        <v>39</v>
      </c>
      <c r="D764" s="30" t="s">
        <v>1887</v>
      </c>
      <c r="E764" s="30" t="s">
        <v>161</v>
      </c>
      <c r="F764" s="132" t="s">
        <v>1823</v>
      </c>
      <c r="G764" s="52" t="s">
        <v>66</v>
      </c>
      <c r="H764" s="30">
        <v>236220</v>
      </c>
      <c r="I764" s="30" t="s">
        <v>98</v>
      </c>
      <c r="J764" s="30" t="s">
        <v>129</v>
      </c>
      <c r="K764" s="31" t="s">
        <v>91</v>
      </c>
      <c r="L764" s="30" t="s">
        <v>345</v>
      </c>
      <c r="M764" s="39">
        <v>35000</v>
      </c>
      <c r="N764" s="39">
        <v>40000</v>
      </c>
      <c r="O764" s="30" t="s">
        <v>79</v>
      </c>
      <c r="P764" s="30"/>
      <c r="Q764" s="30"/>
      <c r="R764" s="30" t="s">
        <v>100</v>
      </c>
      <c r="S764" s="41">
        <v>2014</v>
      </c>
      <c r="T764" s="155" t="s">
        <v>3429</v>
      </c>
      <c r="U764" s="31" t="s">
        <v>1874</v>
      </c>
      <c r="V764" s="49" t="str">
        <f t="shared" si="0"/>
        <v>robert.herman@gsa.gov</v>
      </c>
      <c r="W764" s="30" t="s">
        <v>101</v>
      </c>
      <c r="X764" s="44">
        <v>41760</v>
      </c>
      <c r="Y764" s="44">
        <v>41764</v>
      </c>
      <c r="Z764" s="44">
        <v>41912</v>
      </c>
      <c r="AA764" s="147" t="s">
        <v>3379</v>
      </c>
    </row>
    <row r="765" spans="1:27" s="29" customFormat="1" ht="34.5" customHeight="1">
      <c r="A765" s="30" t="s">
        <v>142</v>
      </c>
      <c r="B765" s="30" t="s">
        <v>143</v>
      </c>
      <c r="C765" s="30" t="s">
        <v>39</v>
      </c>
      <c r="D765" s="30" t="s">
        <v>1888</v>
      </c>
      <c r="E765" s="30" t="s">
        <v>161</v>
      </c>
      <c r="F765" s="30" t="s">
        <v>1889</v>
      </c>
      <c r="G765" s="30" t="s">
        <v>174</v>
      </c>
      <c r="H765" s="30">
        <v>236220</v>
      </c>
      <c r="I765" s="30" t="s">
        <v>98</v>
      </c>
      <c r="J765" s="30" t="s">
        <v>129</v>
      </c>
      <c r="K765" s="31" t="s">
        <v>91</v>
      </c>
      <c r="L765" s="30" t="s">
        <v>345</v>
      </c>
      <c r="M765" s="39">
        <v>25000</v>
      </c>
      <c r="N765" s="39">
        <v>30000</v>
      </c>
      <c r="O765" s="30" t="s">
        <v>79</v>
      </c>
      <c r="P765" s="30"/>
      <c r="Q765" s="30"/>
      <c r="R765" s="30" t="s">
        <v>100</v>
      </c>
      <c r="S765" s="41">
        <v>2014</v>
      </c>
      <c r="T765" s="155" t="s">
        <v>3429</v>
      </c>
      <c r="U765" s="31" t="s">
        <v>1874</v>
      </c>
      <c r="V765" s="49" t="str">
        <f t="shared" si="0"/>
        <v>robert.herman@gsa.gov</v>
      </c>
      <c r="W765" s="30" t="s">
        <v>101</v>
      </c>
      <c r="X765" s="44">
        <v>41760</v>
      </c>
      <c r="Y765" s="44">
        <v>41764</v>
      </c>
      <c r="Z765" s="44">
        <v>41912</v>
      </c>
      <c r="AA765" s="30"/>
    </row>
    <row r="766" spans="1:27" s="29" customFormat="1" ht="34.5" customHeight="1">
      <c r="A766" s="30" t="s">
        <v>142</v>
      </c>
      <c r="B766" s="30" t="s">
        <v>143</v>
      </c>
      <c r="C766" s="30" t="s">
        <v>39</v>
      </c>
      <c r="D766" s="30" t="s">
        <v>1890</v>
      </c>
      <c r="E766" s="30" t="s">
        <v>161</v>
      </c>
      <c r="F766" s="30" t="s">
        <v>1889</v>
      </c>
      <c r="G766" s="30" t="s">
        <v>174</v>
      </c>
      <c r="H766" s="30">
        <v>236220</v>
      </c>
      <c r="I766" s="30" t="s">
        <v>98</v>
      </c>
      <c r="J766" s="30" t="s">
        <v>129</v>
      </c>
      <c r="K766" s="31" t="s">
        <v>91</v>
      </c>
      <c r="L766" s="30" t="s">
        <v>345</v>
      </c>
      <c r="M766" s="39">
        <v>75000</v>
      </c>
      <c r="N766" s="39">
        <v>80000</v>
      </c>
      <c r="O766" s="30" t="s">
        <v>79</v>
      </c>
      <c r="P766" s="30"/>
      <c r="Q766" s="30"/>
      <c r="R766" s="30" t="s">
        <v>100</v>
      </c>
      <c r="S766" s="41">
        <v>2014</v>
      </c>
      <c r="T766" s="155" t="s">
        <v>3429</v>
      </c>
      <c r="U766" s="31" t="s">
        <v>1874</v>
      </c>
      <c r="V766" s="49" t="str">
        <f t="shared" si="0"/>
        <v>robert.herman@gsa.gov</v>
      </c>
      <c r="W766" s="30" t="s">
        <v>101</v>
      </c>
      <c r="X766" s="44">
        <v>41760</v>
      </c>
      <c r="Y766" s="44">
        <v>41764</v>
      </c>
      <c r="Z766" s="44">
        <v>41912</v>
      </c>
      <c r="AA766" s="30"/>
    </row>
    <row r="767" spans="1:27" s="29" customFormat="1" ht="34.5" customHeight="1">
      <c r="A767" s="30" t="s">
        <v>142</v>
      </c>
      <c r="B767" s="30" t="s">
        <v>143</v>
      </c>
      <c r="C767" s="30" t="s">
        <v>39</v>
      </c>
      <c r="D767" s="30" t="s">
        <v>1891</v>
      </c>
      <c r="E767" s="30" t="s">
        <v>161</v>
      </c>
      <c r="F767" s="30" t="s">
        <v>1889</v>
      </c>
      <c r="G767" s="30" t="s">
        <v>174</v>
      </c>
      <c r="H767" s="30">
        <v>236220</v>
      </c>
      <c r="I767" s="30" t="s">
        <v>98</v>
      </c>
      <c r="J767" s="30" t="s">
        <v>129</v>
      </c>
      <c r="K767" s="31" t="s">
        <v>91</v>
      </c>
      <c r="L767" s="30" t="s">
        <v>345</v>
      </c>
      <c r="M767" s="39">
        <v>85000</v>
      </c>
      <c r="N767" s="39">
        <v>90000</v>
      </c>
      <c r="O767" s="30" t="s">
        <v>79</v>
      </c>
      <c r="P767" s="30"/>
      <c r="Q767" s="30"/>
      <c r="R767" s="30" t="s">
        <v>100</v>
      </c>
      <c r="S767" s="41">
        <v>2014</v>
      </c>
      <c r="T767" s="155" t="s">
        <v>3429</v>
      </c>
      <c r="U767" s="31" t="s">
        <v>1874</v>
      </c>
      <c r="V767" s="49" t="str">
        <f t="shared" si="0"/>
        <v>robert.herman@gsa.gov</v>
      </c>
      <c r="W767" s="30" t="s">
        <v>101</v>
      </c>
      <c r="X767" s="44">
        <v>41760</v>
      </c>
      <c r="Y767" s="44">
        <v>41764</v>
      </c>
      <c r="Z767" s="44">
        <v>41912</v>
      </c>
      <c r="AA767" s="30"/>
    </row>
    <row r="768" spans="1:27" s="29" customFormat="1" ht="34.5" customHeight="1">
      <c r="A768" s="30" t="s">
        <v>142</v>
      </c>
      <c r="B768" s="30" t="s">
        <v>143</v>
      </c>
      <c r="C768" s="30" t="s">
        <v>39</v>
      </c>
      <c r="D768" s="30" t="s">
        <v>1892</v>
      </c>
      <c r="E768" s="30" t="s">
        <v>161</v>
      </c>
      <c r="F768" s="30" t="s">
        <v>1893</v>
      </c>
      <c r="G768" s="30" t="s">
        <v>66</v>
      </c>
      <c r="H768" s="30">
        <v>236220</v>
      </c>
      <c r="I768" s="30" t="s">
        <v>98</v>
      </c>
      <c r="J768" s="30" t="s">
        <v>129</v>
      </c>
      <c r="K768" s="31" t="s">
        <v>91</v>
      </c>
      <c r="L768" s="30" t="s">
        <v>345</v>
      </c>
      <c r="M768" s="39">
        <v>30000</v>
      </c>
      <c r="N768" s="39">
        <v>35000</v>
      </c>
      <c r="O768" s="30" t="s">
        <v>79</v>
      </c>
      <c r="P768" s="30"/>
      <c r="Q768" s="30"/>
      <c r="R768" s="30" t="s">
        <v>100</v>
      </c>
      <c r="S768" s="41">
        <v>2014</v>
      </c>
      <c r="T768" s="155" t="s">
        <v>3429</v>
      </c>
      <c r="U768" s="31" t="s">
        <v>1874</v>
      </c>
      <c r="V768" s="49" t="str">
        <f t="shared" si="0"/>
        <v>robert.herman@gsa.gov</v>
      </c>
      <c r="W768" s="30" t="s">
        <v>101</v>
      </c>
      <c r="X768" s="44">
        <v>41760</v>
      </c>
      <c r="Y768" s="44">
        <v>41764</v>
      </c>
      <c r="Z768" s="44">
        <v>41912</v>
      </c>
      <c r="AA768" s="30"/>
    </row>
    <row r="769" spans="1:272" ht="34.5" customHeight="1">
      <c r="A769" s="30" t="s">
        <v>142</v>
      </c>
      <c r="B769" s="30" t="s">
        <v>143</v>
      </c>
      <c r="C769" s="30" t="s">
        <v>39</v>
      </c>
      <c r="D769" s="30" t="s">
        <v>1894</v>
      </c>
      <c r="E769" s="30" t="s">
        <v>161</v>
      </c>
      <c r="F769" s="30" t="s">
        <v>1895</v>
      </c>
      <c r="G769" s="30" t="s">
        <v>217</v>
      </c>
      <c r="H769" s="30">
        <v>236220</v>
      </c>
      <c r="I769" s="30" t="s">
        <v>98</v>
      </c>
      <c r="J769" s="30" t="s">
        <v>129</v>
      </c>
      <c r="K769" s="31" t="s">
        <v>91</v>
      </c>
      <c r="L769" s="30" t="s">
        <v>345</v>
      </c>
      <c r="M769" s="39">
        <v>20000</v>
      </c>
      <c r="N769" s="39">
        <v>25000</v>
      </c>
      <c r="O769" s="30" t="s">
        <v>79</v>
      </c>
      <c r="P769" s="30"/>
      <c r="Q769" s="30"/>
      <c r="R769" s="30" t="s">
        <v>100</v>
      </c>
      <c r="S769" s="41">
        <v>2014</v>
      </c>
      <c r="T769" s="155" t="s">
        <v>3429</v>
      </c>
      <c r="U769" s="31" t="s">
        <v>1874</v>
      </c>
      <c r="V769" s="49" t="str">
        <f t="shared" si="0"/>
        <v>robert.herman@gsa.gov</v>
      </c>
      <c r="W769" s="30" t="s">
        <v>101</v>
      </c>
      <c r="X769" s="44">
        <v>41760</v>
      </c>
      <c r="Y769" s="44">
        <v>41764</v>
      </c>
      <c r="Z769" s="44">
        <v>41912</v>
      </c>
      <c r="AA769" s="30"/>
      <c r="AE769" s="29"/>
      <c r="AF769" s="29"/>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c r="BF769" s="29"/>
      <c r="BG769" s="29"/>
      <c r="BH769" s="29"/>
      <c r="BI769" s="29"/>
      <c r="BJ769" s="29"/>
      <c r="BK769" s="29"/>
      <c r="BL769" s="29"/>
      <c r="BM769" s="29"/>
      <c r="BN769" s="29"/>
      <c r="BO769" s="29"/>
      <c r="BP769" s="29"/>
      <c r="BQ769" s="29"/>
      <c r="BR769" s="29"/>
      <c r="BS769" s="29"/>
      <c r="BT769" s="29"/>
      <c r="BU769" s="29"/>
      <c r="BV769" s="29"/>
      <c r="BW769" s="29"/>
      <c r="BX769" s="29"/>
      <c r="BY769" s="29"/>
      <c r="BZ769" s="29"/>
      <c r="CA769" s="29"/>
      <c r="CB769" s="29"/>
      <c r="CC769" s="29"/>
      <c r="CD769" s="29"/>
      <c r="CE769" s="29"/>
      <c r="CF769" s="29"/>
      <c r="CG769" s="29"/>
      <c r="CH769" s="29"/>
      <c r="CI769" s="29"/>
      <c r="CJ769" s="29"/>
      <c r="CK769" s="29"/>
      <c r="CL769" s="29"/>
      <c r="CM769" s="29"/>
      <c r="CN769" s="29"/>
      <c r="CO769" s="29"/>
      <c r="CP769" s="29"/>
      <c r="CQ769" s="29"/>
      <c r="CR769" s="29"/>
      <c r="CS769" s="29"/>
      <c r="CT769" s="29"/>
      <c r="CU769" s="29"/>
      <c r="CV769" s="29"/>
      <c r="CW769" s="29"/>
      <c r="CX769" s="29"/>
      <c r="CY769" s="29"/>
      <c r="CZ769" s="29"/>
      <c r="DA769" s="29"/>
      <c r="DB769" s="29"/>
      <c r="DC769" s="29"/>
      <c r="DD769" s="29"/>
      <c r="DE769" s="29"/>
      <c r="DF769" s="29"/>
      <c r="DG769" s="29"/>
      <c r="DH769" s="29"/>
      <c r="DI769" s="29"/>
      <c r="DJ769" s="29"/>
      <c r="DK769" s="29"/>
      <c r="DL769" s="29"/>
      <c r="DM769" s="29"/>
      <c r="DN769" s="29"/>
      <c r="DO769" s="29"/>
      <c r="DP769" s="29"/>
      <c r="DQ769" s="29"/>
      <c r="DR769" s="29"/>
      <c r="DS769" s="29"/>
      <c r="DT769" s="29"/>
      <c r="DU769" s="29"/>
      <c r="DV769" s="29"/>
      <c r="DW769" s="29"/>
      <c r="DX769" s="29"/>
      <c r="DY769" s="29"/>
      <c r="DZ769" s="29"/>
      <c r="EA769" s="29"/>
      <c r="EB769" s="29"/>
      <c r="EC769" s="29"/>
      <c r="ED769" s="29"/>
      <c r="EE769" s="29"/>
      <c r="EF769" s="29"/>
      <c r="EG769" s="29"/>
      <c r="EH769" s="29"/>
      <c r="EI769" s="29"/>
      <c r="EJ769" s="29"/>
      <c r="EK769" s="29"/>
      <c r="EL769" s="29"/>
      <c r="EM769" s="29"/>
      <c r="EN769" s="29"/>
      <c r="EO769" s="29"/>
      <c r="EP769" s="29"/>
      <c r="EQ769" s="29"/>
      <c r="ER769" s="29"/>
      <c r="ES769" s="29"/>
      <c r="ET769" s="29"/>
      <c r="EU769" s="29"/>
      <c r="EV769" s="29"/>
      <c r="EW769" s="29"/>
      <c r="EX769" s="29"/>
      <c r="EY769" s="29"/>
      <c r="EZ769" s="29"/>
      <c r="FA769" s="29"/>
      <c r="FB769" s="29"/>
      <c r="FC769" s="29"/>
      <c r="FD769" s="29"/>
      <c r="FE769" s="29"/>
      <c r="FF769" s="29"/>
      <c r="FG769" s="29"/>
      <c r="FH769" s="29"/>
      <c r="FI769" s="29"/>
      <c r="FJ769" s="29"/>
      <c r="FK769" s="29"/>
      <c r="FL769" s="29"/>
      <c r="FM769" s="29"/>
      <c r="FN769" s="29"/>
      <c r="FO769" s="29"/>
      <c r="FP769" s="29"/>
      <c r="FQ769" s="29"/>
      <c r="FR769" s="29"/>
      <c r="FS769" s="29"/>
      <c r="FT769" s="29"/>
      <c r="FU769" s="29"/>
      <c r="FV769" s="29"/>
      <c r="FW769" s="29"/>
      <c r="FX769" s="29"/>
      <c r="FY769" s="29"/>
      <c r="FZ769" s="29"/>
      <c r="GA769" s="29"/>
      <c r="GB769" s="29"/>
      <c r="GC769" s="29"/>
      <c r="GD769" s="29"/>
      <c r="GE769" s="29"/>
      <c r="GF769" s="29"/>
      <c r="GG769" s="29"/>
      <c r="GH769" s="29"/>
      <c r="GI769" s="29"/>
      <c r="GJ769" s="29"/>
      <c r="GK769" s="29"/>
      <c r="GL769" s="29"/>
      <c r="GM769" s="29"/>
      <c r="GN769" s="29"/>
      <c r="GO769" s="29"/>
      <c r="GP769" s="29"/>
      <c r="GQ769" s="29"/>
      <c r="GR769" s="29"/>
      <c r="GS769" s="29"/>
      <c r="GT769" s="29"/>
      <c r="GU769" s="29"/>
      <c r="GV769" s="29"/>
      <c r="GW769" s="29"/>
      <c r="GX769" s="29"/>
      <c r="GY769" s="29"/>
      <c r="GZ769" s="29"/>
      <c r="HA769" s="29"/>
      <c r="HB769" s="29"/>
      <c r="HC769" s="29"/>
      <c r="HD769" s="29"/>
      <c r="HE769" s="29"/>
      <c r="HF769" s="29"/>
      <c r="HG769" s="29"/>
      <c r="HH769" s="29"/>
      <c r="HI769" s="29"/>
      <c r="HJ769" s="29"/>
      <c r="HK769" s="29"/>
      <c r="HL769" s="29"/>
      <c r="HM769" s="29"/>
      <c r="HN769" s="29"/>
      <c r="HO769" s="29"/>
      <c r="HP769" s="29"/>
      <c r="HQ769" s="29"/>
      <c r="HR769" s="29"/>
      <c r="HS769" s="29"/>
      <c r="HT769" s="29"/>
      <c r="HU769" s="29"/>
      <c r="HV769" s="29"/>
      <c r="HW769" s="29"/>
      <c r="HX769" s="29"/>
      <c r="HY769" s="29"/>
      <c r="HZ769" s="29"/>
      <c r="IA769" s="29"/>
      <c r="IB769" s="29"/>
      <c r="IC769" s="29"/>
      <c r="ID769" s="29"/>
      <c r="IE769" s="29"/>
      <c r="IF769" s="29"/>
      <c r="IG769" s="29"/>
      <c r="IH769" s="29"/>
      <c r="II769" s="29"/>
      <c r="IJ769" s="29"/>
      <c r="IK769" s="29"/>
      <c r="IL769" s="29"/>
      <c r="IM769" s="29"/>
      <c r="IN769" s="29"/>
      <c r="IO769" s="29"/>
      <c r="IP769" s="29"/>
      <c r="IQ769" s="29"/>
      <c r="IR769" s="29"/>
      <c r="IS769" s="29"/>
      <c r="IT769" s="29"/>
      <c r="IU769" s="29"/>
      <c r="IV769" s="29"/>
      <c r="IW769" s="29"/>
      <c r="IX769" s="29"/>
      <c r="IY769" s="29"/>
      <c r="IZ769" s="29"/>
      <c r="JA769" s="29"/>
      <c r="JB769" s="29"/>
      <c r="JC769" s="29"/>
      <c r="JD769" s="29"/>
      <c r="JE769" s="29"/>
      <c r="JF769" s="29"/>
      <c r="JG769" s="29"/>
      <c r="JH769" s="29"/>
      <c r="JI769" s="29"/>
      <c r="JJ769" s="29"/>
      <c r="JK769" s="29"/>
      <c r="JL769" s="29"/>
    </row>
    <row r="770" spans="1:272" ht="34.5" customHeight="1">
      <c r="A770" s="30" t="s">
        <v>142</v>
      </c>
      <c r="B770" s="30" t="s">
        <v>143</v>
      </c>
      <c r="C770" s="30" t="s">
        <v>39</v>
      </c>
      <c r="D770" s="30" t="s">
        <v>1896</v>
      </c>
      <c r="E770" s="30" t="s">
        <v>161</v>
      </c>
      <c r="F770" s="30" t="s">
        <v>1895</v>
      </c>
      <c r="G770" s="30" t="s">
        <v>217</v>
      </c>
      <c r="H770" s="30">
        <v>236220</v>
      </c>
      <c r="I770" s="30" t="s">
        <v>98</v>
      </c>
      <c r="J770" s="30" t="s">
        <v>129</v>
      </c>
      <c r="K770" s="31" t="s">
        <v>91</v>
      </c>
      <c r="L770" s="30" t="s">
        <v>345</v>
      </c>
      <c r="M770" s="39">
        <v>25000</v>
      </c>
      <c r="N770" s="39">
        <v>30000</v>
      </c>
      <c r="O770" s="30" t="s">
        <v>79</v>
      </c>
      <c r="P770" s="30"/>
      <c r="Q770" s="30"/>
      <c r="R770" s="30" t="s">
        <v>100</v>
      </c>
      <c r="S770" s="41">
        <v>2014</v>
      </c>
      <c r="T770" s="155" t="s">
        <v>3429</v>
      </c>
      <c r="U770" s="31" t="s">
        <v>1874</v>
      </c>
      <c r="V770" s="49" t="str">
        <f t="shared" si="0"/>
        <v>robert.herman@gsa.gov</v>
      </c>
      <c r="W770" s="30" t="s">
        <v>101</v>
      </c>
      <c r="X770" s="44">
        <v>41760</v>
      </c>
      <c r="Y770" s="44">
        <v>41764</v>
      </c>
      <c r="Z770" s="44">
        <v>41912</v>
      </c>
      <c r="AA770" s="30"/>
      <c r="AE770" s="29"/>
      <c r="AF770" s="29"/>
      <c r="AG770" s="29"/>
      <c r="AH770" s="29"/>
      <c r="AI770" s="29"/>
      <c r="AJ770" s="29"/>
      <c r="AK770" s="29"/>
      <c r="AL770" s="29"/>
      <c r="AM770" s="29"/>
      <c r="AN770" s="29"/>
      <c r="AO770" s="29"/>
      <c r="AP770" s="29"/>
      <c r="AQ770" s="29"/>
      <c r="AR770" s="29"/>
      <c r="AS770" s="29"/>
      <c r="AT770" s="29"/>
      <c r="AU770" s="29"/>
      <c r="AV770" s="29"/>
      <c r="AW770" s="29"/>
      <c r="AX770" s="29"/>
      <c r="AY770" s="29"/>
      <c r="AZ770" s="29"/>
      <c r="BA770" s="29"/>
      <c r="BB770" s="29"/>
      <c r="BC770" s="29"/>
      <c r="BD770" s="29"/>
      <c r="BE770" s="29"/>
      <c r="BF770" s="29"/>
      <c r="BG770" s="29"/>
      <c r="BH770" s="29"/>
      <c r="BI770" s="29"/>
      <c r="BJ770" s="29"/>
      <c r="BK770" s="29"/>
      <c r="BL770" s="29"/>
      <c r="BM770" s="29"/>
      <c r="BN770" s="29"/>
      <c r="BO770" s="29"/>
      <c r="BP770" s="29"/>
      <c r="BQ770" s="29"/>
      <c r="BR770" s="29"/>
      <c r="BS770" s="29"/>
      <c r="BT770" s="29"/>
      <c r="BU770" s="29"/>
      <c r="BV770" s="29"/>
      <c r="BW770" s="29"/>
      <c r="BX770" s="29"/>
      <c r="BY770" s="29"/>
      <c r="BZ770" s="29"/>
      <c r="CA770" s="29"/>
      <c r="CB770" s="29"/>
      <c r="CC770" s="29"/>
      <c r="CD770" s="29"/>
      <c r="CE770" s="29"/>
      <c r="CF770" s="29"/>
      <c r="CG770" s="29"/>
      <c r="CH770" s="29"/>
      <c r="CI770" s="29"/>
      <c r="CJ770" s="29"/>
      <c r="CK770" s="29"/>
      <c r="CL770" s="29"/>
      <c r="CM770" s="29"/>
      <c r="CN770" s="29"/>
      <c r="CO770" s="29"/>
      <c r="CP770" s="29"/>
      <c r="CQ770" s="29"/>
      <c r="CR770" s="29"/>
      <c r="CS770" s="29"/>
      <c r="CT770" s="29"/>
      <c r="CU770" s="29"/>
      <c r="CV770" s="29"/>
      <c r="CW770" s="29"/>
      <c r="CX770" s="29"/>
      <c r="CY770" s="29"/>
      <c r="CZ770" s="29"/>
      <c r="DA770" s="29"/>
      <c r="DB770" s="29"/>
      <c r="DC770" s="29"/>
      <c r="DD770" s="29"/>
      <c r="DE770" s="29"/>
      <c r="DF770" s="29"/>
      <c r="DG770" s="29"/>
      <c r="DH770" s="29"/>
      <c r="DI770" s="29"/>
      <c r="DJ770" s="29"/>
      <c r="DK770" s="29"/>
      <c r="DL770" s="29"/>
      <c r="DM770" s="29"/>
      <c r="DN770" s="29"/>
      <c r="DO770" s="29"/>
      <c r="DP770" s="29"/>
      <c r="DQ770" s="29"/>
      <c r="DR770" s="29"/>
      <c r="DS770" s="29"/>
      <c r="DT770" s="29"/>
      <c r="DU770" s="29"/>
      <c r="DV770" s="29"/>
      <c r="DW770" s="29"/>
      <c r="DX770" s="29"/>
      <c r="DY770" s="29"/>
      <c r="DZ770" s="29"/>
      <c r="EA770" s="29"/>
      <c r="EB770" s="29"/>
      <c r="EC770" s="29"/>
      <c r="ED770" s="29"/>
      <c r="EE770" s="29"/>
      <c r="EF770" s="29"/>
      <c r="EG770" s="29"/>
      <c r="EH770" s="29"/>
      <c r="EI770" s="29"/>
      <c r="EJ770" s="29"/>
      <c r="EK770" s="29"/>
      <c r="EL770" s="29"/>
      <c r="EM770" s="29"/>
      <c r="EN770" s="29"/>
      <c r="EO770" s="29"/>
      <c r="EP770" s="29"/>
      <c r="EQ770" s="29"/>
      <c r="ER770" s="29"/>
      <c r="ES770" s="29"/>
      <c r="ET770" s="29"/>
      <c r="EU770" s="29"/>
      <c r="EV770" s="29"/>
      <c r="EW770" s="29"/>
      <c r="EX770" s="29"/>
      <c r="EY770" s="29"/>
      <c r="EZ770" s="29"/>
      <c r="FA770" s="29"/>
      <c r="FB770" s="29"/>
      <c r="FC770" s="29"/>
      <c r="FD770" s="29"/>
      <c r="FE770" s="29"/>
      <c r="FF770" s="29"/>
      <c r="FG770" s="29"/>
      <c r="FH770" s="29"/>
      <c r="FI770" s="29"/>
      <c r="FJ770" s="29"/>
      <c r="FK770" s="29"/>
      <c r="FL770" s="29"/>
      <c r="FM770" s="29"/>
      <c r="FN770" s="29"/>
      <c r="FO770" s="29"/>
      <c r="FP770" s="29"/>
      <c r="FQ770" s="29"/>
      <c r="FR770" s="29"/>
      <c r="FS770" s="29"/>
      <c r="FT770" s="29"/>
      <c r="FU770" s="29"/>
      <c r="FV770" s="29"/>
      <c r="FW770" s="29"/>
      <c r="FX770" s="29"/>
      <c r="FY770" s="29"/>
      <c r="FZ770" s="29"/>
      <c r="GA770" s="29"/>
      <c r="GB770" s="29"/>
      <c r="GC770" s="29"/>
      <c r="GD770" s="29"/>
      <c r="GE770" s="29"/>
      <c r="GF770" s="29"/>
      <c r="GG770" s="29"/>
      <c r="GH770" s="29"/>
      <c r="GI770" s="29"/>
      <c r="GJ770" s="29"/>
      <c r="GK770" s="29"/>
      <c r="GL770" s="29"/>
      <c r="GM770" s="29"/>
      <c r="GN770" s="29"/>
      <c r="GO770" s="29"/>
      <c r="GP770" s="29"/>
      <c r="GQ770" s="29"/>
      <c r="GR770" s="29"/>
      <c r="GS770" s="29"/>
      <c r="GT770" s="29"/>
      <c r="GU770" s="29"/>
      <c r="GV770" s="29"/>
      <c r="GW770" s="29"/>
      <c r="GX770" s="29"/>
      <c r="GY770" s="29"/>
      <c r="GZ770" s="29"/>
      <c r="HA770" s="29"/>
      <c r="HB770" s="29"/>
      <c r="HC770" s="29"/>
      <c r="HD770" s="29"/>
      <c r="HE770" s="29"/>
      <c r="HF770" s="29"/>
      <c r="HG770" s="29"/>
      <c r="HH770" s="29"/>
      <c r="HI770" s="29"/>
      <c r="HJ770" s="29"/>
      <c r="HK770" s="29"/>
      <c r="HL770" s="29"/>
      <c r="HM770" s="29"/>
      <c r="HN770" s="29"/>
      <c r="HO770" s="29"/>
      <c r="HP770" s="29"/>
      <c r="HQ770" s="29"/>
      <c r="HR770" s="29"/>
      <c r="HS770" s="29"/>
      <c r="HT770" s="29"/>
      <c r="HU770" s="29"/>
      <c r="HV770" s="29"/>
      <c r="HW770" s="29"/>
      <c r="HX770" s="29"/>
      <c r="HY770" s="29"/>
      <c r="HZ770" s="29"/>
      <c r="IA770" s="29"/>
      <c r="IB770" s="29"/>
      <c r="IC770" s="29"/>
      <c r="ID770" s="29"/>
      <c r="IE770" s="29"/>
      <c r="IF770" s="29"/>
      <c r="IG770" s="29"/>
      <c r="IH770" s="29"/>
      <c r="II770" s="29"/>
      <c r="IJ770" s="29"/>
      <c r="IK770" s="29"/>
      <c r="IL770" s="29"/>
      <c r="IM770" s="29"/>
      <c r="IN770" s="29"/>
      <c r="IO770" s="29"/>
      <c r="IP770" s="29"/>
      <c r="IQ770" s="29"/>
      <c r="IR770" s="29"/>
      <c r="IS770" s="29"/>
      <c r="IT770" s="29"/>
      <c r="IU770" s="29"/>
      <c r="IV770" s="29"/>
      <c r="IW770" s="29"/>
      <c r="IX770" s="29"/>
      <c r="IY770" s="29"/>
      <c r="IZ770" s="29"/>
      <c r="JA770" s="29"/>
      <c r="JB770" s="29"/>
      <c r="JC770" s="29"/>
      <c r="JD770" s="29"/>
      <c r="JE770" s="29"/>
      <c r="JF770" s="29"/>
      <c r="JG770" s="29"/>
      <c r="JH770" s="29"/>
      <c r="JI770" s="29"/>
      <c r="JJ770" s="29"/>
      <c r="JK770" s="29"/>
      <c r="JL770" s="29"/>
    </row>
    <row r="771" spans="1:272" ht="34.5" customHeight="1">
      <c r="A771" s="30" t="s">
        <v>142</v>
      </c>
      <c r="B771" s="30" t="s">
        <v>143</v>
      </c>
      <c r="C771" s="30" t="s">
        <v>39</v>
      </c>
      <c r="D771" s="30" t="s">
        <v>1897</v>
      </c>
      <c r="E771" s="30" t="s">
        <v>161</v>
      </c>
      <c r="F771" s="132" t="s">
        <v>1812</v>
      </c>
      <c r="G771" s="52" t="s">
        <v>66</v>
      </c>
      <c r="H771" s="30">
        <v>236220</v>
      </c>
      <c r="I771" s="30" t="s">
        <v>98</v>
      </c>
      <c r="J771" s="30" t="s">
        <v>129</v>
      </c>
      <c r="K771" s="31" t="s">
        <v>91</v>
      </c>
      <c r="L771" s="30" t="s">
        <v>345</v>
      </c>
      <c r="M771" s="39">
        <v>60000</v>
      </c>
      <c r="N771" s="39">
        <v>60000</v>
      </c>
      <c r="O771" s="30" t="s">
        <v>79</v>
      </c>
      <c r="P771" s="30"/>
      <c r="Q771" s="30"/>
      <c r="R771" s="30" t="s">
        <v>100</v>
      </c>
      <c r="S771" s="41">
        <v>2014</v>
      </c>
      <c r="T771" s="155" t="s">
        <v>3429</v>
      </c>
      <c r="U771" s="31" t="s">
        <v>1874</v>
      </c>
      <c r="V771" s="49" t="str">
        <f t="shared" si="0"/>
        <v>robert.herman@gsa.gov</v>
      </c>
      <c r="W771" s="30" t="s">
        <v>101</v>
      </c>
      <c r="X771" s="44">
        <v>41760</v>
      </c>
      <c r="Y771" s="44">
        <v>41764</v>
      </c>
      <c r="Z771" s="44">
        <v>41912</v>
      </c>
      <c r="AA771" s="148" t="s">
        <v>3380</v>
      </c>
      <c r="AE771" s="29"/>
      <c r="AF771" s="29"/>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c r="BF771" s="29"/>
      <c r="BG771" s="29"/>
      <c r="BH771" s="29"/>
      <c r="BI771" s="29"/>
      <c r="BJ771" s="29"/>
      <c r="BK771" s="29"/>
      <c r="BL771" s="29"/>
      <c r="BM771" s="29"/>
      <c r="BN771" s="29"/>
      <c r="BO771" s="29"/>
      <c r="BP771" s="29"/>
      <c r="BQ771" s="29"/>
      <c r="BR771" s="29"/>
      <c r="BS771" s="29"/>
      <c r="BT771" s="29"/>
      <c r="BU771" s="29"/>
      <c r="BV771" s="29"/>
      <c r="BW771" s="29"/>
      <c r="BX771" s="29"/>
      <c r="BY771" s="29"/>
      <c r="BZ771" s="29"/>
      <c r="CA771" s="29"/>
      <c r="CB771" s="29"/>
      <c r="CC771" s="29"/>
      <c r="CD771" s="29"/>
      <c r="CE771" s="29"/>
      <c r="CF771" s="29"/>
      <c r="CG771" s="29"/>
      <c r="CH771" s="29"/>
      <c r="CI771" s="29"/>
      <c r="CJ771" s="29"/>
      <c r="CK771" s="29"/>
      <c r="CL771" s="29"/>
      <c r="CM771" s="29"/>
      <c r="CN771" s="29"/>
      <c r="CO771" s="29"/>
      <c r="CP771" s="29"/>
      <c r="CQ771" s="29"/>
      <c r="CR771" s="29"/>
      <c r="CS771" s="29"/>
      <c r="CT771" s="29"/>
      <c r="CU771" s="29"/>
      <c r="CV771" s="29"/>
      <c r="CW771" s="29"/>
      <c r="CX771" s="29"/>
      <c r="CY771" s="29"/>
      <c r="CZ771" s="29"/>
      <c r="DA771" s="29"/>
      <c r="DB771" s="29"/>
      <c r="DC771" s="29"/>
      <c r="DD771" s="29"/>
      <c r="DE771" s="29"/>
      <c r="DF771" s="29"/>
      <c r="DG771" s="29"/>
      <c r="DH771" s="29"/>
      <c r="DI771" s="29"/>
      <c r="DJ771" s="29"/>
      <c r="DK771" s="29"/>
      <c r="DL771" s="29"/>
      <c r="DM771" s="29"/>
      <c r="DN771" s="29"/>
      <c r="DO771" s="29"/>
      <c r="DP771" s="29"/>
      <c r="DQ771" s="29"/>
      <c r="DR771" s="29"/>
      <c r="DS771" s="29"/>
      <c r="DT771" s="29"/>
      <c r="DU771" s="29"/>
      <c r="DV771" s="29"/>
      <c r="DW771" s="29"/>
      <c r="DX771" s="29"/>
      <c r="DY771" s="29"/>
      <c r="DZ771" s="29"/>
      <c r="EA771" s="29"/>
      <c r="EB771" s="29"/>
      <c r="EC771" s="29"/>
      <c r="ED771" s="29"/>
      <c r="EE771" s="29"/>
      <c r="EF771" s="29"/>
      <c r="EG771" s="29"/>
      <c r="EH771" s="29"/>
      <c r="EI771" s="29"/>
      <c r="EJ771" s="29"/>
      <c r="EK771" s="29"/>
      <c r="EL771" s="29"/>
      <c r="EM771" s="29"/>
      <c r="EN771" s="29"/>
      <c r="EO771" s="29"/>
      <c r="EP771" s="29"/>
      <c r="EQ771" s="29"/>
      <c r="ER771" s="29"/>
      <c r="ES771" s="29"/>
      <c r="ET771" s="29"/>
      <c r="EU771" s="29"/>
      <c r="EV771" s="29"/>
      <c r="EW771" s="29"/>
      <c r="EX771" s="29"/>
      <c r="EY771" s="29"/>
      <c r="EZ771" s="29"/>
      <c r="FA771" s="29"/>
      <c r="FB771" s="29"/>
      <c r="FC771" s="29"/>
      <c r="FD771" s="29"/>
      <c r="FE771" s="29"/>
      <c r="FF771" s="29"/>
      <c r="FG771" s="29"/>
      <c r="FH771" s="29"/>
      <c r="FI771" s="29"/>
      <c r="FJ771" s="29"/>
      <c r="FK771" s="29"/>
      <c r="FL771" s="29"/>
      <c r="FM771" s="29"/>
      <c r="FN771" s="29"/>
      <c r="FO771" s="29"/>
      <c r="FP771" s="29"/>
      <c r="FQ771" s="29"/>
      <c r="FR771" s="29"/>
      <c r="FS771" s="29"/>
      <c r="FT771" s="29"/>
      <c r="FU771" s="29"/>
      <c r="FV771" s="29"/>
      <c r="FW771" s="29"/>
      <c r="FX771" s="29"/>
      <c r="FY771" s="29"/>
      <c r="FZ771" s="29"/>
      <c r="GA771" s="29"/>
      <c r="GB771" s="29"/>
      <c r="GC771" s="29"/>
      <c r="GD771" s="29"/>
      <c r="GE771" s="29"/>
      <c r="GF771" s="29"/>
      <c r="GG771" s="29"/>
      <c r="GH771" s="29"/>
      <c r="GI771" s="29"/>
      <c r="GJ771" s="29"/>
      <c r="GK771" s="29"/>
      <c r="GL771" s="29"/>
      <c r="GM771" s="29"/>
      <c r="GN771" s="29"/>
      <c r="GO771" s="29"/>
      <c r="GP771" s="29"/>
      <c r="GQ771" s="29"/>
      <c r="GR771" s="29"/>
      <c r="GS771" s="29"/>
      <c r="GT771" s="29"/>
      <c r="GU771" s="29"/>
      <c r="GV771" s="29"/>
      <c r="GW771" s="29"/>
      <c r="GX771" s="29"/>
      <c r="GY771" s="29"/>
      <c r="GZ771" s="29"/>
      <c r="HA771" s="29"/>
      <c r="HB771" s="29"/>
      <c r="HC771" s="29"/>
      <c r="HD771" s="29"/>
      <c r="HE771" s="29"/>
      <c r="HF771" s="29"/>
      <c r="HG771" s="29"/>
      <c r="HH771" s="29"/>
      <c r="HI771" s="29"/>
      <c r="HJ771" s="29"/>
      <c r="HK771" s="29"/>
      <c r="HL771" s="29"/>
      <c r="HM771" s="29"/>
      <c r="HN771" s="29"/>
      <c r="HO771" s="29"/>
      <c r="HP771" s="29"/>
      <c r="HQ771" s="29"/>
      <c r="HR771" s="29"/>
      <c r="HS771" s="29"/>
      <c r="HT771" s="29"/>
      <c r="HU771" s="29"/>
      <c r="HV771" s="29"/>
      <c r="HW771" s="29"/>
      <c r="HX771" s="29"/>
      <c r="HY771" s="29"/>
      <c r="HZ771" s="29"/>
      <c r="IA771" s="29"/>
      <c r="IB771" s="29"/>
      <c r="IC771" s="29"/>
      <c r="ID771" s="29"/>
      <c r="IE771" s="29"/>
      <c r="IF771" s="29"/>
      <c r="IG771" s="29"/>
      <c r="IH771" s="29"/>
      <c r="II771" s="29"/>
      <c r="IJ771" s="29"/>
      <c r="IK771" s="29"/>
      <c r="IL771" s="29"/>
      <c r="IM771" s="29"/>
      <c r="IN771" s="29"/>
      <c r="IO771" s="29"/>
      <c r="IP771" s="29"/>
      <c r="IQ771" s="29"/>
      <c r="IR771" s="29"/>
      <c r="IS771" s="29"/>
      <c r="IT771" s="29"/>
      <c r="IU771" s="29"/>
      <c r="IV771" s="29"/>
      <c r="IW771" s="29"/>
      <c r="IX771" s="29"/>
      <c r="IY771" s="29"/>
      <c r="IZ771" s="29"/>
      <c r="JA771" s="29"/>
      <c r="JB771" s="29"/>
      <c r="JC771" s="29"/>
      <c r="JD771" s="29"/>
      <c r="JE771" s="29"/>
      <c r="JF771" s="29"/>
      <c r="JG771" s="29"/>
      <c r="JH771" s="29"/>
      <c r="JI771" s="29"/>
      <c r="JJ771" s="29"/>
      <c r="JK771" s="29"/>
      <c r="JL771" s="29"/>
    </row>
    <row r="772" spans="1:272" ht="34.5" customHeight="1">
      <c r="A772" s="30" t="s">
        <v>142</v>
      </c>
      <c r="B772" s="30" t="s">
        <v>143</v>
      </c>
      <c r="C772" s="30" t="s">
        <v>39</v>
      </c>
      <c r="D772" s="30" t="s">
        <v>1898</v>
      </c>
      <c r="E772" s="30" t="s">
        <v>161</v>
      </c>
      <c r="F772" s="30" t="s">
        <v>1899</v>
      </c>
      <c r="G772" s="30" t="s">
        <v>66</v>
      </c>
      <c r="H772" s="30">
        <v>236220</v>
      </c>
      <c r="I772" s="30" t="s">
        <v>98</v>
      </c>
      <c r="J772" s="30" t="s">
        <v>129</v>
      </c>
      <c r="K772" s="31" t="s">
        <v>91</v>
      </c>
      <c r="L772" s="30" t="s">
        <v>345</v>
      </c>
      <c r="M772" s="39">
        <v>40000</v>
      </c>
      <c r="N772" s="39">
        <v>40000</v>
      </c>
      <c r="O772" s="30" t="s">
        <v>79</v>
      </c>
      <c r="P772" s="30"/>
      <c r="Q772" s="30"/>
      <c r="R772" s="30" t="s">
        <v>100</v>
      </c>
      <c r="S772" s="41">
        <v>2014</v>
      </c>
      <c r="T772" s="155" t="s">
        <v>3429</v>
      </c>
      <c r="U772" s="31" t="s">
        <v>1874</v>
      </c>
      <c r="V772" s="49" t="str">
        <f t="shared" si="0"/>
        <v>robert.herman@gsa.gov</v>
      </c>
      <c r="W772" s="30" t="s">
        <v>101</v>
      </c>
      <c r="X772" s="44">
        <v>41760</v>
      </c>
      <c r="Y772" s="44">
        <v>41764</v>
      </c>
      <c r="Z772" s="44">
        <v>41912</v>
      </c>
      <c r="AA772" s="30"/>
      <c r="AE772" s="29"/>
      <c r="AF772" s="29"/>
      <c r="AG772" s="29"/>
      <c r="AH772" s="29"/>
      <c r="AI772" s="29"/>
      <c r="AJ772" s="29"/>
      <c r="AK772" s="29"/>
      <c r="AL772" s="29"/>
      <c r="AM772" s="29"/>
      <c r="AN772" s="29"/>
      <c r="AO772" s="29"/>
      <c r="AP772" s="29"/>
      <c r="AQ772" s="29"/>
      <c r="AR772" s="29"/>
      <c r="AS772" s="29"/>
      <c r="AT772" s="29"/>
      <c r="AU772" s="29"/>
      <c r="AV772" s="29"/>
      <c r="AW772" s="29"/>
      <c r="AX772" s="29"/>
      <c r="AY772" s="29"/>
      <c r="AZ772" s="29"/>
      <c r="BA772" s="29"/>
      <c r="BB772" s="29"/>
      <c r="BC772" s="29"/>
      <c r="BD772" s="29"/>
      <c r="BE772" s="29"/>
      <c r="BF772" s="29"/>
      <c r="BG772" s="29"/>
      <c r="BH772" s="29"/>
      <c r="BI772" s="29"/>
      <c r="BJ772" s="29"/>
      <c r="BK772" s="29"/>
      <c r="BL772" s="29"/>
      <c r="BM772" s="29"/>
      <c r="BN772" s="29"/>
      <c r="BO772" s="29"/>
      <c r="BP772" s="29"/>
      <c r="BQ772" s="29"/>
      <c r="BR772" s="29"/>
      <c r="BS772" s="29"/>
      <c r="BT772" s="29"/>
      <c r="BU772" s="29"/>
      <c r="BV772" s="29"/>
      <c r="BW772" s="29"/>
      <c r="BX772" s="29"/>
      <c r="BY772" s="29"/>
      <c r="BZ772" s="29"/>
      <c r="CA772" s="29"/>
      <c r="CB772" s="29"/>
      <c r="CC772" s="29"/>
      <c r="CD772" s="29"/>
      <c r="CE772" s="29"/>
      <c r="CF772" s="29"/>
      <c r="CG772" s="29"/>
      <c r="CH772" s="29"/>
      <c r="CI772" s="29"/>
      <c r="CJ772" s="29"/>
      <c r="CK772" s="29"/>
      <c r="CL772" s="29"/>
      <c r="CM772" s="29"/>
      <c r="CN772" s="29"/>
      <c r="CO772" s="29"/>
      <c r="CP772" s="29"/>
      <c r="CQ772" s="29"/>
      <c r="CR772" s="29"/>
      <c r="CS772" s="29"/>
      <c r="CT772" s="29"/>
      <c r="CU772" s="29"/>
      <c r="CV772" s="29"/>
      <c r="CW772" s="29"/>
      <c r="CX772" s="29"/>
      <c r="CY772" s="29"/>
      <c r="CZ772" s="29"/>
      <c r="DA772" s="29"/>
      <c r="DB772" s="29"/>
      <c r="DC772" s="29"/>
      <c r="DD772" s="29"/>
      <c r="DE772" s="29"/>
      <c r="DF772" s="29"/>
      <c r="DG772" s="29"/>
      <c r="DH772" s="29"/>
      <c r="DI772" s="29"/>
      <c r="DJ772" s="29"/>
      <c r="DK772" s="29"/>
      <c r="DL772" s="29"/>
      <c r="DM772" s="29"/>
      <c r="DN772" s="29"/>
      <c r="DO772" s="29"/>
      <c r="DP772" s="29"/>
      <c r="DQ772" s="29"/>
      <c r="DR772" s="29"/>
      <c r="DS772" s="29"/>
      <c r="DT772" s="29"/>
      <c r="DU772" s="29"/>
      <c r="DV772" s="29"/>
      <c r="DW772" s="29"/>
      <c r="DX772" s="29"/>
      <c r="DY772" s="29"/>
      <c r="DZ772" s="29"/>
      <c r="EA772" s="29"/>
      <c r="EB772" s="29"/>
      <c r="EC772" s="29"/>
      <c r="ED772" s="29"/>
      <c r="EE772" s="29"/>
      <c r="EF772" s="29"/>
      <c r="EG772" s="29"/>
      <c r="EH772" s="29"/>
      <c r="EI772" s="29"/>
      <c r="EJ772" s="29"/>
      <c r="EK772" s="29"/>
      <c r="EL772" s="29"/>
      <c r="EM772" s="29"/>
      <c r="EN772" s="29"/>
      <c r="EO772" s="29"/>
      <c r="EP772" s="29"/>
      <c r="EQ772" s="29"/>
      <c r="ER772" s="29"/>
      <c r="ES772" s="29"/>
      <c r="ET772" s="29"/>
      <c r="EU772" s="29"/>
      <c r="EV772" s="29"/>
      <c r="EW772" s="29"/>
      <c r="EX772" s="29"/>
      <c r="EY772" s="29"/>
      <c r="EZ772" s="29"/>
      <c r="FA772" s="29"/>
      <c r="FB772" s="29"/>
      <c r="FC772" s="29"/>
      <c r="FD772" s="29"/>
      <c r="FE772" s="29"/>
      <c r="FF772" s="29"/>
      <c r="FG772" s="29"/>
      <c r="FH772" s="29"/>
      <c r="FI772" s="29"/>
      <c r="FJ772" s="29"/>
      <c r="FK772" s="29"/>
      <c r="FL772" s="29"/>
      <c r="FM772" s="29"/>
      <c r="FN772" s="29"/>
      <c r="FO772" s="29"/>
      <c r="FP772" s="29"/>
      <c r="FQ772" s="29"/>
      <c r="FR772" s="29"/>
      <c r="FS772" s="29"/>
      <c r="FT772" s="29"/>
      <c r="FU772" s="29"/>
      <c r="FV772" s="29"/>
      <c r="FW772" s="29"/>
      <c r="FX772" s="29"/>
      <c r="FY772" s="29"/>
      <c r="FZ772" s="29"/>
      <c r="GA772" s="29"/>
      <c r="GB772" s="29"/>
      <c r="GC772" s="29"/>
      <c r="GD772" s="29"/>
      <c r="GE772" s="29"/>
      <c r="GF772" s="29"/>
      <c r="GG772" s="29"/>
      <c r="GH772" s="29"/>
      <c r="GI772" s="29"/>
      <c r="GJ772" s="29"/>
      <c r="GK772" s="29"/>
      <c r="GL772" s="29"/>
      <c r="GM772" s="29"/>
      <c r="GN772" s="29"/>
      <c r="GO772" s="29"/>
      <c r="GP772" s="29"/>
      <c r="GQ772" s="29"/>
      <c r="GR772" s="29"/>
      <c r="GS772" s="29"/>
      <c r="GT772" s="29"/>
      <c r="GU772" s="29"/>
      <c r="GV772" s="29"/>
      <c r="GW772" s="29"/>
      <c r="GX772" s="29"/>
      <c r="GY772" s="29"/>
      <c r="GZ772" s="29"/>
      <c r="HA772" s="29"/>
      <c r="HB772" s="29"/>
      <c r="HC772" s="29"/>
      <c r="HD772" s="29"/>
      <c r="HE772" s="29"/>
      <c r="HF772" s="29"/>
      <c r="HG772" s="29"/>
      <c r="HH772" s="29"/>
      <c r="HI772" s="29"/>
      <c r="HJ772" s="29"/>
      <c r="HK772" s="29"/>
      <c r="HL772" s="29"/>
      <c r="HM772" s="29"/>
      <c r="HN772" s="29"/>
      <c r="HO772" s="29"/>
      <c r="HP772" s="29"/>
      <c r="HQ772" s="29"/>
      <c r="HR772" s="29"/>
      <c r="HS772" s="29"/>
      <c r="HT772" s="29"/>
      <c r="HU772" s="29"/>
      <c r="HV772" s="29"/>
      <c r="HW772" s="29"/>
      <c r="HX772" s="29"/>
      <c r="HY772" s="29"/>
      <c r="HZ772" s="29"/>
      <c r="IA772" s="29"/>
      <c r="IB772" s="29"/>
      <c r="IC772" s="29"/>
      <c r="ID772" s="29"/>
      <c r="IE772" s="29"/>
      <c r="IF772" s="29"/>
      <c r="IG772" s="29"/>
      <c r="IH772" s="29"/>
      <c r="II772" s="29"/>
      <c r="IJ772" s="29"/>
      <c r="IK772" s="29"/>
      <c r="IL772" s="29"/>
      <c r="IM772" s="29"/>
      <c r="IN772" s="29"/>
      <c r="IO772" s="29"/>
      <c r="IP772" s="29"/>
      <c r="IQ772" s="29"/>
      <c r="IR772" s="29"/>
      <c r="IS772" s="29"/>
      <c r="IT772" s="29"/>
      <c r="IU772" s="29"/>
      <c r="IV772" s="29"/>
      <c r="IW772" s="29"/>
      <c r="IX772" s="29"/>
      <c r="IY772" s="29"/>
      <c r="IZ772" s="29"/>
      <c r="JA772" s="29"/>
      <c r="JB772" s="29"/>
      <c r="JC772" s="29"/>
      <c r="JD772" s="29"/>
      <c r="JE772" s="29"/>
      <c r="JF772" s="29"/>
      <c r="JG772" s="29"/>
      <c r="JH772" s="29"/>
      <c r="JI772" s="29"/>
      <c r="JJ772" s="29"/>
      <c r="JK772" s="29"/>
      <c r="JL772" s="29"/>
    </row>
    <row r="773" spans="1:272" ht="34.5" customHeight="1">
      <c r="A773" s="30" t="s">
        <v>142</v>
      </c>
      <c r="B773" s="30" t="s">
        <v>143</v>
      </c>
      <c r="C773" s="30" t="s">
        <v>39</v>
      </c>
      <c r="D773" s="30" t="s">
        <v>1900</v>
      </c>
      <c r="E773" s="30" t="s">
        <v>161</v>
      </c>
      <c r="F773" s="30" t="s">
        <v>1901</v>
      </c>
      <c r="G773" s="30" t="s">
        <v>217</v>
      </c>
      <c r="H773" s="30">
        <v>236220</v>
      </c>
      <c r="I773" s="30" t="s">
        <v>98</v>
      </c>
      <c r="J773" s="30" t="s">
        <v>129</v>
      </c>
      <c r="K773" s="31" t="s">
        <v>91</v>
      </c>
      <c r="L773" s="30" t="s">
        <v>345</v>
      </c>
      <c r="M773" s="39">
        <v>11000</v>
      </c>
      <c r="N773" s="39">
        <v>13000</v>
      </c>
      <c r="O773" s="30" t="s">
        <v>79</v>
      </c>
      <c r="P773" s="30"/>
      <c r="Q773" s="30"/>
      <c r="R773" s="30" t="s">
        <v>100</v>
      </c>
      <c r="S773" s="41">
        <v>2014</v>
      </c>
      <c r="T773" s="155" t="s">
        <v>3429</v>
      </c>
      <c r="U773" s="31" t="s">
        <v>1874</v>
      </c>
      <c r="V773" s="49" t="str">
        <f t="shared" si="0"/>
        <v>robert.herman@gsa.gov</v>
      </c>
      <c r="W773" s="30" t="s">
        <v>101</v>
      </c>
      <c r="X773" s="44">
        <v>41760</v>
      </c>
      <c r="Y773" s="44">
        <v>41764</v>
      </c>
      <c r="Z773" s="44">
        <v>41912</v>
      </c>
      <c r="AA773" s="30"/>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c r="BO773" s="29"/>
      <c r="BP773" s="29"/>
      <c r="BQ773" s="29"/>
      <c r="BR773" s="29"/>
      <c r="BS773" s="29"/>
      <c r="BT773" s="29"/>
      <c r="BU773" s="29"/>
      <c r="BV773" s="29"/>
      <c r="BW773" s="29"/>
      <c r="BX773" s="29"/>
      <c r="BY773" s="29"/>
      <c r="BZ773" s="29"/>
      <c r="CA773" s="29"/>
      <c r="CB773" s="29"/>
      <c r="CC773" s="29"/>
      <c r="CD773" s="29"/>
      <c r="CE773" s="29"/>
      <c r="CF773" s="29"/>
      <c r="CG773" s="29"/>
      <c r="CH773" s="29"/>
      <c r="CI773" s="29"/>
      <c r="CJ773" s="29"/>
      <c r="CK773" s="29"/>
      <c r="CL773" s="29"/>
      <c r="CM773" s="29"/>
      <c r="CN773" s="29"/>
      <c r="CO773" s="29"/>
      <c r="CP773" s="29"/>
      <c r="CQ773" s="29"/>
      <c r="CR773" s="29"/>
      <c r="CS773" s="29"/>
      <c r="CT773" s="29"/>
      <c r="CU773" s="29"/>
      <c r="CV773" s="29"/>
      <c r="CW773" s="29"/>
      <c r="CX773" s="29"/>
      <c r="CY773" s="29"/>
      <c r="CZ773" s="29"/>
      <c r="DA773" s="29"/>
      <c r="DB773" s="29"/>
      <c r="DC773" s="29"/>
      <c r="DD773" s="29"/>
      <c r="DE773" s="29"/>
      <c r="DF773" s="29"/>
      <c r="DG773" s="29"/>
      <c r="DH773" s="29"/>
      <c r="DI773" s="29"/>
      <c r="DJ773" s="29"/>
      <c r="DK773" s="29"/>
      <c r="DL773" s="29"/>
      <c r="DM773" s="29"/>
      <c r="DN773" s="29"/>
      <c r="DO773" s="29"/>
      <c r="DP773" s="29"/>
      <c r="DQ773" s="29"/>
      <c r="DR773" s="29"/>
      <c r="DS773" s="29"/>
      <c r="DT773" s="29"/>
      <c r="DU773" s="29"/>
      <c r="DV773" s="29"/>
      <c r="DW773" s="29"/>
      <c r="DX773" s="29"/>
      <c r="DY773" s="29"/>
      <c r="DZ773" s="29"/>
      <c r="EA773" s="29"/>
      <c r="EB773" s="29"/>
      <c r="EC773" s="29"/>
      <c r="ED773" s="29"/>
      <c r="EE773" s="29"/>
      <c r="EF773" s="29"/>
      <c r="EG773" s="29"/>
      <c r="EH773" s="29"/>
      <c r="EI773" s="29"/>
      <c r="EJ773" s="29"/>
      <c r="EK773" s="29"/>
      <c r="EL773" s="29"/>
      <c r="EM773" s="29"/>
      <c r="EN773" s="29"/>
      <c r="EO773" s="29"/>
      <c r="EP773" s="29"/>
      <c r="EQ773" s="29"/>
      <c r="ER773" s="29"/>
      <c r="ES773" s="29"/>
      <c r="ET773" s="29"/>
      <c r="EU773" s="29"/>
      <c r="EV773" s="29"/>
      <c r="EW773" s="29"/>
      <c r="EX773" s="29"/>
      <c r="EY773" s="29"/>
      <c r="EZ773" s="29"/>
      <c r="FA773" s="29"/>
      <c r="FB773" s="29"/>
      <c r="FC773" s="29"/>
      <c r="FD773" s="29"/>
      <c r="FE773" s="29"/>
      <c r="FF773" s="29"/>
      <c r="FG773" s="29"/>
      <c r="FH773" s="29"/>
      <c r="FI773" s="29"/>
      <c r="FJ773" s="29"/>
      <c r="FK773" s="29"/>
      <c r="FL773" s="29"/>
      <c r="FM773" s="29"/>
      <c r="FN773" s="29"/>
      <c r="FO773" s="29"/>
      <c r="FP773" s="29"/>
      <c r="FQ773" s="29"/>
      <c r="FR773" s="29"/>
      <c r="FS773" s="29"/>
      <c r="FT773" s="29"/>
      <c r="FU773" s="29"/>
      <c r="FV773" s="29"/>
      <c r="FW773" s="29"/>
      <c r="FX773" s="29"/>
      <c r="FY773" s="29"/>
      <c r="FZ773" s="29"/>
      <c r="GA773" s="29"/>
      <c r="GB773" s="29"/>
      <c r="GC773" s="29"/>
      <c r="GD773" s="29"/>
      <c r="GE773" s="29"/>
      <c r="GF773" s="29"/>
      <c r="GG773" s="29"/>
      <c r="GH773" s="29"/>
      <c r="GI773" s="29"/>
      <c r="GJ773" s="29"/>
      <c r="GK773" s="29"/>
      <c r="GL773" s="29"/>
      <c r="GM773" s="29"/>
      <c r="GN773" s="29"/>
      <c r="GO773" s="29"/>
      <c r="GP773" s="29"/>
      <c r="GQ773" s="29"/>
      <c r="GR773" s="29"/>
      <c r="GS773" s="29"/>
      <c r="GT773" s="29"/>
      <c r="GU773" s="29"/>
      <c r="GV773" s="29"/>
      <c r="GW773" s="29"/>
      <c r="GX773" s="29"/>
      <c r="GY773" s="29"/>
      <c r="GZ773" s="29"/>
      <c r="HA773" s="29"/>
      <c r="HB773" s="29"/>
      <c r="HC773" s="29"/>
      <c r="HD773" s="29"/>
      <c r="HE773" s="29"/>
      <c r="HF773" s="29"/>
      <c r="HG773" s="29"/>
      <c r="HH773" s="29"/>
      <c r="HI773" s="29"/>
      <c r="HJ773" s="29"/>
      <c r="HK773" s="29"/>
      <c r="HL773" s="29"/>
      <c r="HM773" s="29"/>
      <c r="HN773" s="29"/>
      <c r="HO773" s="29"/>
      <c r="HP773" s="29"/>
      <c r="HQ773" s="29"/>
      <c r="HR773" s="29"/>
      <c r="HS773" s="29"/>
      <c r="HT773" s="29"/>
      <c r="HU773" s="29"/>
      <c r="HV773" s="29"/>
      <c r="HW773" s="29"/>
      <c r="HX773" s="29"/>
      <c r="HY773" s="29"/>
      <c r="HZ773" s="29"/>
      <c r="IA773" s="29"/>
      <c r="IB773" s="29"/>
      <c r="IC773" s="29"/>
      <c r="ID773" s="29"/>
      <c r="IE773" s="29"/>
      <c r="IF773" s="29"/>
      <c r="IG773" s="29"/>
      <c r="IH773" s="29"/>
      <c r="II773" s="29"/>
      <c r="IJ773" s="29"/>
      <c r="IK773" s="29"/>
      <c r="IL773" s="29"/>
      <c r="IM773" s="29"/>
      <c r="IN773" s="29"/>
      <c r="IO773" s="29"/>
      <c r="IP773" s="29"/>
      <c r="IQ773" s="29"/>
      <c r="IR773" s="29"/>
      <c r="IS773" s="29"/>
      <c r="IT773" s="29"/>
      <c r="IU773" s="29"/>
      <c r="IV773" s="29"/>
      <c r="IW773" s="29"/>
      <c r="IX773" s="29"/>
      <c r="IY773" s="29"/>
      <c r="IZ773" s="29"/>
      <c r="JA773" s="29"/>
      <c r="JB773" s="29"/>
      <c r="JC773" s="29"/>
      <c r="JD773" s="29"/>
      <c r="JE773" s="29"/>
      <c r="JF773" s="29"/>
      <c r="JG773" s="29"/>
      <c r="JH773" s="29"/>
      <c r="JI773" s="29"/>
      <c r="JJ773" s="29"/>
      <c r="JK773" s="29"/>
      <c r="JL773" s="29"/>
    </row>
    <row r="774" spans="1:272" ht="34.5" customHeight="1">
      <c r="A774" s="30" t="s">
        <v>142</v>
      </c>
      <c r="B774" s="30" t="s">
        <v>143</v>
      </c>
      <c r="C774" s="30" t="s">
        <v>39</v>
      </c>
      <c r="D774" s="30" t="s">
        <v>1902</v>
      </c>
      <c r="E774" s="30" t="s">
        <v>161</v>
      </c>
      <c r="F774" s="30" t="s">
        <v>1901</v>
      </c>
      <c r="G774" s="30" t="s">
        <v>217</v>
      </c>
      <c r="H774" s="30">
        <v>236220</v>
      </c>
      <c r="I774" s="30" t="s">
        <v>98</v>
      </c>
      <c r="J774" s="30" t="s">
        <v>129</v>
      </c>
      <c r="K774" s="31" t="s">
        <v>91</v>
      </c>
      <c r="L774" s="30" t="s">
        <v>345</v>
      </c>
      <c r="M774" s="39">
        <v>30000</v>
      </c>
      <c r="N774" s="39">
        <v>35000</v>
      </c>
      <c r="O774" s="30" t="s">
        <v>79</v>
      </c>
      <c r="P774" s="30"/>
      <c r="Q774" s="30"/>
      <c r="R774" s="30" t="s">
        <v>100</v>
      </c>
      <c r="S774" s="41">
        <v>2014</v>
      </c>
      <c r="T774" s="155" t="s">
        <v>3429</v>
      </c>
      <c r="U774" s="31" t="s">
        <v>1874</v>
      </c>
      <c r="V774" s="49" t="str">
        <f t="shared" si="0"/>
        <v>robert.herman@gsa.gov</v>
      </c>
      <c r="W774" s="30" t="s">
        <v>101</v>
      </c>
      <c r="X774" s="44">
        <v>41760</v>
      </c>
      <c r="Y774" s="44">
        <v>41764</v>
      </c>
      <c r="Z774" s="44">
        <v>41912</v>
      </c>
      <c r="AA774" s="30"/>
      <c r="AE774" s="29"/>
      <c r="AF774" s="29"/>
      <c r="AG774" s="29"/>
      <c r="AH774" s="29"/>
      <c r="AI774" s="29"/>
      <c r="AJ774" s="29"/>
      <c r="AK774" s="29"/>
      <c r="AL774" s="29"/>
      <c r="AM774" s="29"/>
      <c r="AN774" s="29"/>
      <c r="AO774" s="29"/>
      <c r="AP774" s="29"/>
      <c r="AQ774" s="29"/>
      <c r="AR774" s="29"/>
      <c r="AS774" s="29"/>
      <c r="AT774" s="29"/>
      <c r="AU774" s="29"/>
      <c r="AV774" s="29"/>
      <c r="AW774" s="29"/>
      <c r="AX774" s="29"/>
      <c r="AY774" s="29"/>
      <c r="AZ774" s="29"/>
      <c r="BA774" s="29"/>
      <c r="BB774" s="29"/>
      <c r="BC774" s="29"/>
      <c r="BD774" s="29"/>
      <c r="BE774" s="29"/>
      <c r="BF774" s="29"/>
      <c r="BG774" s="29"/>
      <c r="BH774" s="29"/>
      <c r="BI774" s="29"/>
      <c r="BJ774" s="29"/>
      <c r="BK774" s="29"/>
      <c r="BL774" s="29"/>
      <c r="BM774" s="29"/>
      <c r="BN774" s="29"/>
      <c r="BO774" s="29"/>
      <c r="BP774" s="29"/>
      <c r="BQ774" s="29"/>
      <c r="BR774" s="29"/>
      <c r="BS774" s="29"/>
      <c r="BT774" s="29"/>
      <c r="BU774" s="29"/>
      <c r="BV774" s="29"/>
      <c r="BW774" s="29"/>
      <c r="BX774" s="29"/>
      <c r="BY774" s="29"/>
      <c r="BZ774" s="29"/>
      <c r="CA774" s="29"/>
      <c r="CB774" s="29"/>
      <c r="CC774" s="29"/>
      <c r="CD774" s="29"/>
      <c r="CE774" s="29"/>
      <c r="CF774" s="29"/>
      <c r="CG774" s="29"/>
      <c r="CH774" s="29"/>
      <c r="CI774" s="29"/>
      <c r="CJ774" s="29"/>
      <c r="CK774" s="29"/>
      <c r="CL774" s="29"/>
      <c r="CM774" s="29"/>
      <c r="CN774" s="29"/>
      <c r="CO774" s="29"/>
      <c r="CP774" s="29"/>
      <c r="CQ774" s="29"/>
      <c r="CR774" s="29"/>
      <c r="CS774" s="29"/>
      <c r="CT774" s="29"/>
      <c r="CU774" s="29"/>
      <c r="CV774" s="29"/>
      <c r="CW774" s="29"/>
      <c r="CX774" s="29"/>
      <c r="CY774" s="29"/>
      <c r="CZ774" s="29"/>
      <c r="DA774" s="29"/>
      <c r="DB774" s="29"/>
      <c r="DC774" s="29"/>
      <c r="DD774" s="29"/>
      <c r="DE774" s="29"/>
      <c r="DF774" s="29"/>
      <c r="DG774" s="29"/>
      <c r="DH774" s="29"/>
      <c r="DI774" s="29"/>
      <c r="DJ774" s="29"/>
      <c r="DK774" s="29"/>
      <c r="DL774" s="29"/>
      <c r="DM774" s="29"/>
      <c r="DN774" s="29"/>
      <c r="DO774" s="29"/>
      <c r="DP774" s="29"/>
      <c r="DQ774" s="29"/>
      <c r="DR774" s="29"/>
      <c r="DS774" s="29"/>
      <c r="DT774" s="29"/>
      <c r="DU774" s="29"/>
      <c r="DV774" s="29"/>
      <c r="DW774" s="29"/>
      <c r="DX774" s="29"/>
      <c r="DY774" s="29"/>
      <c r="DZ774" s="29"/>
      <c r="EA774" s="29"/>
      <c r="EB774" s="29"/>
      <c r="EC774" s="29"/>
      <c r="ED774" s="29"/>
      <c r="EE774" s="29"/>
      <c r="EF774" s="29"/>
      <c r="EG774" s="29"/>
      <c r="EH774" s="29"/>
      <c r="EI774" s="29"/>
      <c r="EJ774" s="29"/>
      <c r="EK774" s="29"/>
      <c r="EL774" s="29"/>
      <c r="EM774" s="29"/>
      <c r="EN774" s="29"/>
      <c r="EO774" s="29"/>
      <c r="EP774" s="29"/>
      <c r="EQ774" s="29"/>
      <c r="ER774" s="29"/>
      <c r="ES774" s="29"/>
      <c r="ET774" s="29"/>
      <c r="EU774" s="29"/>
      <c r="EV774" s="29"/>
      <c r="EW774" s="29"/>
      <c r="EX774" s="29"/>
      <c r="EY774" s="29"/>
      <c r="EZ774" s="29"/>
      <c r="FA774" s="29"/>
      <c r="FB774" s="29"/>
      <c r="FC774" s="29"/>
      <c r="FD774" s="29"/>
      <c r="FE774" s="29"/>
      <c r="FF774" s="29"/>
      <c r="FG774" s="29"/>
      <c r="FH774" s="29"/>
      <c r="FI774" s="29"/>
      <c r="FJ774" s="29"/>
      <c r="FK774" s="29"/>
      <c r="FL774" s="29"/>
      <c r="FM774" s="29"/>
      <c r="FN774" s="29"/>
      <c r="FO774" s="29"/>
      <c r="FP774" s="29"/>
      <c r="FQ774" s="29"/>
      <c r="FR774" s="29"/>
      <c r="FS774" s="29"/>
      <c r="FT774" s="29"/>
      <c r="FU774" s="29"/>
      <c r="FV774" s="29"/>
      <c r="FW774" s="29"/>
      <c r="FX774" s="29"/>
      <c r="FY774" s="29"/>
      <c r="FZ774" s="29"/>
      <c r="GA774" s="29"/>
      <c r="GB774" s="29"/>
      <c r="GC774" s="29"/>
      <c r="GD774" s="29"/>
      <c r="GE774" s="29"/>
      <c r="GF774" s="29"/>
      <c r="GG774" s="29"/>
      <c r="GH774" s="29"/>
      <c r="GI774" s="29"/>
      <c r="GJ774" s="29"/>
      <c r="GK774" s="29"/>
      <c r="GL774" s="29"/>
      <c r="GM774" s="29"/>
      <c r="GN774" s="29"/>
      <c r="GO774" s="29"/>
      <c r="GP774" s="29"/>
      <c r="GQ774" s="29"/>
      <c r="GR774" s="29"/>
      <c r="GS774" s="29"/>
      <c r="GT774" s="29"/>
      <c r="GU774" s="29"/>
      <c r="GV774" s="29"/>
      <c r="GW774" s="29"/>
      <c r="GX774" s="29"/>
      <c r="GY774" s="29"/>
      <c r="GZ774" s="29"/>
      <c r="HA774" s="29"/>
      <c r="HB774" s="29"/>
      <c r="HC774" s="29"/>
      <c r="HD774" s="29"/>
      <c r="HE774" s="29"/>
      <c r="HF774" s="29"/>
      <c r="HG774" s="29"/>
      <c r="HH774" s="29"/>
      <c r="HI774" s="29"/>
      <c r="HJ774" s="29"/>
      <c r="HK774" s="29"/>
      <c r="HL774" s="29"/>
      <c r="HM774" s="29"/>
      <c r="HN774" s="29"/>
      <c r="HO774" s="29"/>
      <c r="HP774" s="29"/>
      <c r="HQ774" s="29"/>
      <c r="HR774" s="29"/>
      <c r="HS774" s="29"/>
      <c r="HT774" s="29"/>
      <c r="HU774" s="29"/>
      <c r="HV774" s="29"/>
      <c r="HW774" s="29"/>
      <c r="HX774" s="29"/>
      <c r="HY774" s="29"/>
      <c r="HZ774" s="29"/>
      <c r="IA774" s="29"/>
      <c r="IB774" s="29"/>
      <c r="IC774" s="29"/>
      <c r="ID774" s="29"/>
      <c r="IE774" s="29"/>
      <c r="IF774" s="29"/>
      <c r="IG774" s="29"/>
      <c r="IH774" s="29"/>
      <c r="II774" s="29"/>
      <c r="IJ774" s="29"/>
      <c r="IK774" s="29"/>
      <c r="IL774" s="29"/>
      <c r="IM774" s="29"/>
      <c r="IN774" s="29"/>
      <c r="IO774" s="29"/>
      <c r="IP774" s="29"/>
      <c r="IQ774" s="29"/>
      <c r="IR774" s="29"/>
      <c r="IS774" s="29"/>
      <c r="IT774" s="29"/>
      <c r="IU774" s="29"/>
      <c r="IV774" s="29"/>
      <c r="IW774" s="29"/>
      <c r="IX774" s="29"/>
      <c r="IY774" s="29"/>
      <c r="IZ774" s="29"/>
      <c r="JA774" s="29"/>
      <c r="JB774" s="29"/>
      <c r="JC774" s="29"/>
      <c r="JD774" s="29"/>
      <c r="JE774" s="29"/>
      <c r="JF774" s="29"/>
      <c r="JG774" s="29"/>
      <c r="JH774" s="29"/>
      <c r="JI774" s="29"/>
      <c r="JJ774" s="29"/>
      <c r="JK774" s="29"/>
      <c r="JL774" s="29"/>
    </row>
    <row r="775" spans="1:272" ht="34.5" customHeight="1">
      <c r="A775" s="30" t="s">
        <v>142</v>
      </c>
      <c r="B775" s="30" t="s">
        <v>143</v>
      </c>
      <c r="C775" s="30" t="s">
        <v>39</v>
      </c>
      <c r="D775" s="30" t="s">
        <v>1903</v>
      </c>
      <c r="E775" s="30" t="s">
        <v>161</v>
      </c>
      <c r="F775" s="30" t="s">
        <v>1901</v>
      </c>
      <c r="G775" s="30" t="s">
        <v>217</v>
      </c>
      <c r="H775" s="30">
        <v>236220</v>
      </c>
      <c r="I775" s="30" t="s">
        <v>98</v>
      </c>
      <c r="J775" s="30" t="s">
        <v>129</v>
      </c>
      <c r="K775" s="31" t="s">
        <v>91</v>
      </c>
      <c r="L775" s="30" t="s">
        <v>345</v>
      </c>
      <c r="M775" s="39">
        <v>30000</v>
      </c>
      <c r="N775" s="39">
        <v>30000</v>
      </c>
      <c r="O775" s="30" t="s">
        <v>79</v>
      </c>
      <c r="P775" s="30"/>
      <c r="Q775" s="30"/>
      <c r="R775" s="30" t="s">
        <v>100</v>
      </c>
      <c r="S775" s="41">
        <v>2014</v>
      </c>
      <c r="T775" s="155" t="s">
        <v>3429</v>
      </c>
      <c r="U775" s="31" t="s">
        <v>1874</v>
      </c>
      <c r="V775" s="49" t="str">
        <f t="shared" si="0"/>
        <v>robert.herman@gsa.gov</v>
      </c>
      <c r="W775" s="30" t="s">
        <v>101</v>
      </c>
      <c r="X775" s="44">
        <v>41760</v>
      </c>
      <c r="Y775" s="44">
        <v>41764</v>
      </c>
      <c r="Z775" s="44">
        <v>41912</v>
      </c>
      <c r="AA775" s="30"/>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c r="BO775" s="29"/>
      <c r="BP775" s="29"/>
      <c r="BQ775" s="29"/>
      <c r="BR775" s="29"/>
      <c r="BS775" s="29"/>
      <c r="BT775" s="29"/>
      <c r="BU775" s="29"/>
      <c r="BV775" s="29"/>
      <c r="BW775" s="29"/>
      <c r="BX775" s="29"/>
      <c r="BY775" s="29"/>
      <c r="BZ775" s="29"/>
      <c r="CA775" s="29"/>
      <c r="CB775" s="29"/>
      <c r="CC775" s="29"/>
      <c r="CD775" s="29"/>
      <c r="CE775" s="29"/>
      <c r="CF775" s="29"/>
      <c r="CG775" s="29"/>
      <c r="CH775" s="29"/>
      <c r="CI775" s="29"/>
      <c r="CJ775" s="29"/>
      <c r="CK775" s="29"/>
      <c r="CL775" s="29"/>
      <c r="CM775" s="29"/>
      <c r="CN775" s="29"/>
      <c r="CO775" s="29"/>
      <c r="CP775" s="29"/>
      <c r="CQ775" s="29"/>
      <c r="CR775" s="29"/>
      <c r="CS775" s="29"/>
      <c r="CT775" s="29"/>
      <c r="CU775" s="29"/>
      <c r="CV775" s="29"/>
      <c r="CW775" s="29"/>
      <c r="CX775" s="29"/>
      <c r="CY775" s="29"/>
      <c r="CZ775" s="29"/>
      <c r="DA775" s="29"/>
      <c r="DB775" s="29"/>
      <c r="DC775" s="29"/>
      <c r="DD775" s="29"/>
      <c r="DE775" s="29"/>
      <c r="DF775" s="29"/>
      <c r="DG775" s="29"/>
      <c r="DH775" s="29"/>
      <c r="DI775" s="29"/>
      <c r="DJ775" s="29"/>
      <c r="DK775" s="29"/>
      <c r="DL775" s="29"/>
      <c r="DM775" s="29"/>
      <c r="DN775" s="29"/>
      <c r="DO775" s="29"/>
      <c r="DP775" s="29"/>
      <c r="DQ775" s="29"/>
      <c r="DR775" s="29"/>
      <c r="DS775" s="29"/>
      <c r="DT775" s="29"/>
      <c r="DU775" s="29"/>
      <c r="DV775" s="29"/>
      <c r="DW775" s="29"/>
      <c r="DX775" s="29"/>
      <c r="DY775" s="29"/>
      <c r="DZ775" s="29"/>
      <c r="EA775" s="29"/>
      <c r="EB775" s="29"/>
      <c r="EC775" s="29"/>
      <c r="ED775" s="29"/>
      <c r="EE775" s="29"/>
      <c r="EF775" s="29"/>
      <c r="EG775" s="29"/>
      <c r="EH775" s="29"/>
      <c r="EI775" s="29"/>
      <c r="EJ775" s="29"/>
      <c r="EK775" s="29"/>
      <c r="EL775" s="29"/>
      <c r="EM775" s="29"/>
      <c r="EN775" s="29"/>
      <c r="EO775" s="29"/>
      <c r="EP775" s="29"/>
      <c r="EQ775" s="29"/>
      <c r="ER775" s="29"/>
      <c r="ES775" s="29"/>
      <c r="ET775" s="29"/>
      <c r="EU775" s="29"/>
      <c r="EV775" s="29"/>
      <c r="EW775" s="29"/>
      <c r="EX775" s="29"/>
      <c r="EY775" s="29"/>
      <c r="EZ775" s="29"/>
      <c r="FA775" s="29"/>
      <c r="FB775" s="29"/>
      <c r="FC775" s="29"/>
      <c r="FD775" s="29"/>
      <c r="FE775" s="29"/>
      <c r="FF775" s="29"/>
      <c r="FG775" s="29"/>
      <c r="FH775" s="29"/>
      <c r="FI775" s="29"/>
      <c r="FJ775" s="29"/>
      <c r="FK775" s="29"/>
      <c r="FL775" s="29"/>
      <c r="FM775" s="29"/>
      <c r="FN775" s="29"/>
      <c r="FO775" s="29"/>
      <c r="FP775" s="29"/>
      <c r="FQ775" s="29"/>
      <c r="FR775" s="29"/>
      <c r="FS775" s="29"/>
      <c r="FT775" s="29"/>
      <c r="FU775" s="29"/>
      <c r="FV775" s="29"/>
      <c r="FW775" s="29"/>
      <c r="FX775" s="29"/>
      <c r="FY775" s="29"/>
      <c r="FZ775" s="29"/>
      <c r="GA775" s="29"/>
      <c r="GB775" s="29"/>
      <c r="GC775" s="29"/>
      <c r="GD775" s="29"/>
      <c r="GE775" s="29"/>
      <c r="GF775" s="29"/>
      <c r="GG775" s="29"/>
      <c r="GH775" s="29"/>
      <c r="GI775" s="29"/>
      <c r="GJ775" s="29"/>
      <c r="GK775" s="29"/>
      <c r="GL775" s="29"/>
      <c r="GM775" s="29"/>
      <c r="GN775" s="29"/>
      <c r="GO775" s="29"/>
      <c r="GP775" s="29"/>
      <c r="GQ775" s="29"/>
      <c r="GR775" s="29"/>
      <c r="GS775" s="29"/>
      <c r="GT775" s="29"/>
      <c r="GU775" s="29"/>
      <c r="GV775" s="29"/>
      <c r="GW775" s="29"/>
      <c r="GX775" s="29"/>
      <c r="GY775" s="29"/>
      <c r="GZ775" s="29"/>
      <c r="HA775" s="29"/>
      <c r="HB775" s="29"/>
      <c r="HC775" s="29"/>
      <c r="HD775" s="29"/>
      <c r="HE775" s="29"/>
      <c r="HF775" s="29"/>
      <c r="HG775" s="29"/>
      <c r="HH775" s="29"/>
      <c r="HI775" s="29"/>
      <c r="HJ775" s="29"/>
      <c r="HK775" s="29"/>
      <c r="HL775" s="29"/>
      <c r="HM775" s="29"/>
      <c r="HN775" s="29"/>
      <c r="HO775" s="29"/>
      <c r="HP775" s="29"/>
      <c r="HQ775" s="29"/>
      <c r="HR775" s="29"/>
      <c r="HS775" s="29"/>
      <c r="HT775" s="29"/>
      <c r="HU775" s="29"/>
      <c r="HV775" s="29"/>
      <c r="HW775" s="29"/>
      <c r="HX775" s="29"/>
      <c r="HY775" s="29"/>
      <c r="HZ775" s="29"/>
      <c r="IA775" s="29"/>
      <c r="IB775" s="29"/>
      <c r="IC775" s="29"/>
      <c r="ID775" s="29"/>
      <c r="IE775" s="29"/>
      <c r="IF775" s="29"/>
      <c r="IG775" s="29"/>
      <c r="IH775" s="29"/>
      <c r="II775" s="29"/>
      <c r="IJ775" s="29"/>
      <c r="IK775" s="29"/>
      <c r="IL775" s="29"/>
      <c r="IM775" s="29"/>
      <c r="IN775" s="29"/>
      <c r="IO775" s="29"/>
      <c r="IP775" s="29"/>
      <c r="IQ775" s="29"/>
      <c r="IR775" s="29"/>
      <c r="IS775" s="29"/>
      <c r="IT775" s="29"/>
      <c r="IU775" s="29"/>
      <c r="IV775" s="29"/>
      <c r="IW775" s="29"/>
      <c r="IX775" s="29"/>
      <c r="IY775" s="29"/>
      <c r="IZ775" s="29"/>
      <c r="JA775" s="29"/>
      <c r="JB775" s="29"/>
      <c r="JC775" s="29"/>
      <c r="JD775" s="29"/>
      <c r="JE775" s="29"/>
      <c r="JF775" s="29"/>
      <c r="JG775" s="29"/>
      <c r="JH775" s="29"/>
      <c r="JI775" s="29"/>
      <c r="JJ775" s="29"/>
      <c r="JK775" s="29"/>
      <c r="JL775" s="29"/>
    </row>
    <row r="776" spans="1:272" ht="34.5" customHeight="1">
      <c r="A776" s="30" t="s">
        <v>142</v>
      </c>
      <c r="B776" s="30" t="s">
        <v>143</v>
      </c>
      <c r="C776" s="30" t="s">
        <v>39</v>
      </c>
      <c r="D776" s="30" t="s">
        <v>1886</v>
      </c>
      <c r="E776" s="30" t="s">
        <v>161</v>
      </c>
      <c r="F776" s="132" t="s">
        <v>1821</v>
      </c>
      <c r="G776" s="52" t="s">
        <v>174</v>
      </c>
      <c r="H776" s="30">
        <v>236220</v>
      </c>
      <c r="I776" s="30" t="s">
        <v>98</v>
      </c>
      <c r="J776" s="30" t="s">
        <v>129</v>
      </c>
      <c r="K776" s="31" t="s">
        <v>91</v>
      </c>
      <c r="L776" s="30" t="s">
        <v>345</v>
      </c>
      <c r="M776" s="39">
        <v>120000</v>
      </c>
      <c r="N776" s="39">
        <v>140000</v>
      </c>
      <c r="O776" s="30" t="s">
        <v>79</v>
      </c>
      <c r="P776" s="30"/>
      <c r="Q776" s="30"/>
      <c r="R776" s="30" t="s">
        <v>100</v>
      </c>
      <c r="S776" s="41">
        <v>2014</v>
      </c>
      <c r="T776" s="155" t="s">
        <v>3429</v>
      </c>
      <c r="U776" s="31" t="s">
        <v>1874</v>
      </c>
      <c r="V776" s="49" t="str">
        <f t="shared" si="0"/>
        <v>robert.herman@gsa.gov</v>
      </c>
      <c r="W776" s="30" t="s">
        <v>101</v>
      </c>
      <c r="X776" s="44">
        <v>41760</v>
      </c>
      <c r="Y776" s="44">
        <v>41764</v>
      </c>
      <c r="Z776" s="44">
        <v>41912</v>
      </c>
      <c r="AA776" s="147" t="s">
        <v>3381</v>
      </c>
      <c r="AE776" s="29"/>
      <c r="AF776" s="29"/>
      <c r="AG776" s="29"/>
      <c r="AH776" s="29"/>
      <c r="AI776" s="29"/>
      <c r="AJ776" s="29"/>
      <c r="AK776" s="29"/>
      <c r="AL776" s="29"/>
      <c r="AM776" s="29"/>
      <c r="AN776" s="29"/>
      <c r="AO776" s="29"/>
      <c r="AP776" s="29"/>
      <c r="AQ776" s="29"/>
      <c r="AR776" s="29"/>
      <c r="AS776" s="29"/>
      <c r="AT776" s="29"/>
      <c r="AU776" s="29"/>
      <c r="AV776" s="29"/>
      <c r="AW776" s="29"/>
      <c r="AX776" s="29"/>
      <c r="AY776" s="29"/>
      <c r="AZ776" s="29"/>
      <c r="BA776" s="29"/>
      <c r="BB776" s="29"/>
      <c r="BC776" s="29"/>
      <c r="BD776" s="29"/>
      <c r="BE776" s="29"/>
      <c r="BF776" s="29"/>
      <c r="BG776" s="29"/>
      <c r="BH776" s="29"/>
      <c r="BI776" s="29"/>
      <c r="BJ776" s="29"/>
      <c r="BK776" s="29"/>
      <c r="BL776" s="29"/>
      <c r="BM776" s="29"/>
      <c r="BN776" s="29"/>
      <c r="BO776" s="29"/>
      <c r="BP776" s="29"/>
      <c r="BQ776" s="29"/>
      <c r="BR776" s="29"/>
      <c r="BS776" s="29"/>
      <c r="BT776" s="29"/>
      <c r="BU776" s="29"/>
      <c r="BV776" s="29"/>
      <c r="BW776" s="29"/>
      <c r="BX776" s="29"/>
      <c r="BY776" s="29"/>
      <c r="BZ776" s="29"/>
      <c r="CA776" s="29"/>
      <c r="CB776" s="29"/>
      <c r="CC776" s="29"/>
      <c r="CD776" s="29"/>
      <c r="CE776" s="29"/>
      <c r="CF776" s="29"/>
      <c r="CG776" s="29"/>
      <c r="CH776" s="29"/>
      <c r="CI776" s="29"/>
      <c r="CJ776" s="29"/>
      <c r="CK776" s="29"/>
      <c r="CL776" s="29"/>
      <c r="CM776" s="29"/>
      <c r="CN776" s="29"/>
      <c r="CO776" s="29"/>
      <c r="CP776" s="29"/>
      <c r="CQ776" s="29"/>
      <c r="CR776" s="29"/>
      <c r="CS776" s="29"/>
      <c r="CT776" s="29"/>
      <c r="CU776" s="29"/>
      <c r="CV776" s="29"/>
      <c r="CW776" s="29"/>
      <c r="CX776" s="29"/>
      <c r="CY776" s="29"/>
      <c r="CZ776" s="29"/>
      <c r="DA776" s="29"/>
      <c r="DB776" s="29"/>
      <c r="DC776" s="29"/>
      <c r="DD776" s="29"/>
      <c r="DE776" s="29"/>
      <c r="DF776" s="29"/>
      <c r="DG776" s="29"/>
      <c r="DH776" s="29"/>
      <c r="DI776" s="29"/>
      <c r="DJ776" s="29"/>
      <c r="DK776" s="29"/>
      <c r="DL776" s="29"/>
      <c r="DM776" s="29"/>
      <c r="DN776" s="29"/>
      <c r="DO776" s="29"/>
      <c r="DP776" s="29"/>
      <c r="DQ776" s="29"/>
      <c r="DR776" s="29"/>
      <c r="DS776" s="29"/>
      <c r="DT776" s="29"/>
      <c r="DU776" s="29"/>
      <c r="DV776" s="29"/>
      <c r="DW776" s="29"/>
      <c r="DX776" s="29"/>
      <c r="DY776" s="29"/>
      <c r="DZ776" s="29"/>
      <c r="EA776" s="29"/>
      <c r="EB776" s="29"/>
      <c r="EC776" s="29"/>
      <c r="ED776" s="29"/>
      <c r="EE776" s="29"/>
      <c r="EF776" s="29"/>
      <c r="EG776" s="29"/>
      <c r="EH776" s="29"/>
      <c r="EI776" s="29"/>
      <c r="EJ776" s="29"/>
      <c r="EK776" s="29"/>
      <c r="EL776" s="29"/>
      <c r="EM776" s="29"/>
      <c r="EN776" s="29"/>
      <c r="EO776" s="29"/>
      <c r="EP776" s="29"/>
      <c r="EQ776" s="29"/>
      <c r="ER776" s="29"/>
      <c r="ES776" s="29"/>
      <c r="ET776" s="29"/>
      <c r="EU776" s="29"/>
      <c r="EV776" s="29"/>
      <c r="EW776" s="29"/>
      <c r="EX776" s="29"/>
      <c r="EY776" s="29"/>
      <c r="EZ776" s="29"/>
      <c r="FA776" s="29"/>
      <c r="FB776" s="29"/>
      <c r="FC776" s="29"/>
      <c r="FD776" s="29"/>
      <c r="FE776" s="29"/>
      <c r="FF776" s="29"/>
      <c r="FG776" s="29"/>
      <c r="FH776" s="29"/>
      <c r="FI776" s="29"/>
      <c r="FJ776" s="29"/>
      <c r="FK776" s="29"/>
      <c r="FL776" s="29"/>
      <c r="FM776" s="29"/>
      <c r="FN776" s="29"/>
      <c r="FO776" s="29"/>
      <c r="FP776" s="29"/>
      <c r="FQ776" s="29"/>
      <c r="FR776" s="29"/>
      <c r="FS776" s="29"/>
      <c r="FT776" s="29"/>
      <c r="FU776" s="29"/>
      <c r="FV776" s="29"/>
      <c r="FW776" s="29"/>
      <c r="FX776" s="29"/>
      <c r="FY776" s="29"/>
      <c r="FZ776" s="29"/>
      <c r="GA776" s="29"/>
      <c r="GB776" s="29"/>
      <c r="GC776" s="29"/>
      <c r="GD776" s="29"/>
      <c r="GE776" s="29"/>
      <c r="GF776" s="29"/>
      <c r="GG776" s="29"/>
      <c r="GH776" s="29"/>
      <c r="GI776" s="29"/>
      <c r="GJ776" s="29"/>
      <c r="GK776" s="29"/>
      <c r="GL776" s="29"/>
      <c r="GM776" s="29"/>
      <c r="GN776" s="29"/>
      <c r="GO776" s="29"/>
      <c r="GP776" s="29"/>
      <c r="GQ776" s="29"/>
      <c r="GR776" s="29"/>
      <c r="GS776" s="29"/>
      <c r="GT776" s="29"/>
      <c r="GU776" s="29"/>
      <c r="GV776" s="29"/>
      <c r="GW776" s="29"/>
      <c r="GX776" s="29"/>
      <c r="GY776" s="29"/>
      <c r="GZ776" s="29"/>
      <c r="HA776" s="29"/>
      <c r="HB776" s="29"/>
      <c r="HC776" s="29"/>
      <c r="HD776" s="29"/>
      <c r="HE776" s="29"/>
      <c r="HF776" s="29"/>
      <c r="HG776" s="29"/>
      <c r="HH776" s="29"/>
      <c r="HI776" s="29"/>
      <c r="HJ776" s="29"/>
      <c r="HK776" s="29"/>
      <c r="HL776" s="29"/>
      <c r="HM776" s="29"/>
      <c r="HN776" s="29"/>
      <c r="HO776" s="29"/>
      <c r="HP776" s="29"/>
      <c r="HQ776" s="29"/>
      <c r="HR776" s="29"/>
      <c r="HS776" s="29"/>
      <c r="HT776" s="29"/>
      <c r="HU776" s="29"/>
      <c r="HV776" s="29"/>
      <c r="HW776" s="29"/>
      <c r="HX776" s="29"/>
      <c r="HY776" s="29"/>
      <c r="HZ776" s="29"/>
      <c r="IA776" s="29"/>
      <c r="IB776" s="29"/>
      <c r="IC776" s="29"/>
      <c r="ID776" s="29"/>
      <c r="IE776" s="29"/>
      <c r="IF776" s="29"/>
      <c r="IG776" s="29"/>
      <c r="IH776" s="29"/>
      <c r="II776" s="29"/>
      <c r="IJ776" s="29"/>
      <c r="IK776" s="29"/>
      <c r="IL776" s="29"/>
      <c r="IM776" s="29"/>
      <c r="IN776" s="29"/>
      <c r="IO776" s="29"/>
      <c r="IP776" s="29"/>
      <c r="IQ776" s="29"/>
      <c r="IR776" s="29"/>
      <c r="IS776" s="29"/>
      <c r="IT776" s="29"/>
      <c r="IU776" s="29"/>
      <c r="IV776" s="29"/>
      <c r="IW776" s="29"/>
      <c r="IX776" s="29"/>
      <c r="IY776" s="29"/>
      <c r="IZ776" s="29"/>
      <c r="JA776" s="29"/>
      <c r="JB776" s="29"/>
      <c r="JC776" s="29"/>
      <c r="JD776" s="29"/>
      <c r="JE776" s="29"/>
      <c r="JF776" s="29"/>
      <c r="JG776" s="29"/>
      <c r="JH776" s="29"/>
      <c r="JI776" s="29"/>
      <c r="JJ776" s="29"/>
      <c r="JK776" s="29"/>
      <c r="JL776" s="29"/>
    </row>
    <row r="777" spans="1:272" ht="34.5" customHeight="1">
      <c r="A777" s="30" t="s">
        <v>142</v>
      </c>
      <c r="B777" s="30" t="s">
        <v>143</v>
      </c>
      <c r="C777" s="30" t="s">
        <v>39</v>
      </c>
      <c r="D777" s="30" t="s">
        <v>1904</v>
      </c>
      <c r="E777" s="30" t="s">
        <v>161</v>
      </c>
      <c r="F777" s="132" t="s">
        <v>1823</v>
      </c>
      <c r="G777" s="52" t="s">
        <v>66</v>
      </c>
      <c r="H777" s="30">
        <v>236220</v>
      </c>
      <c r="I777" s="30" t="s">
        <v>98</v>
      </c>
      <c r="J777" s="30" t="s">
        <v>129</v>
      </c>
      <c r="K777" s="31" t="s">
        <v>91</v>
      </c>
      <c r="L777" s="30" t="s">
        <v>345</v>
      </c>
      <c r="M777" s="39">
        <v>15000</v>
      </c>
      <c r="N777" s="39">
        <v>20000</v>
      </c>
      <c r="O777" s="30" t="s">
        <v>79</v>
      </c>
      <c r="P777" s="30"/>
      <c r="Q777" s="30"/>
      <c r="R777" s="30" t="s">
        <v>100</v>
      </c>
      <c r="S777" s="41">
        <v>2014</v>
      </c>
      <c r="T777" s="155" t="s">
        <v>3429</v>
      </c>
      <c r="U777" s="31" t="s">
        <v>1874</v>
      </c>
      <c r="V777" s="49" t="str">
        <f t="shared" si="0"/>
        <v>robert.herman@gsa.gov</v>
      </c>
      <c r="W777" s="30" t="s">
        <v>101</v>
      </c>
      <c r="X777" s="44">
        <v>41760</v>
      </c>
      <c r="Y777" s="44">
        <v>41764</v>
      </c>
      <c r="Z777" s="44">
        <v>41912</v>
      </c>
      <c r="AA777" s="133" t="s">
        <v>3382</v>
      </c>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c r="BO777" s="29"/>
      <c r="BP777" s="29"/>
      <c r="BQ777" s="29"/>
      <c r="BR777" s="29"/>
      <c r="BS777" s="29"/>
      <c r="BT777" s="29"/>
      <c r="BU777" s="29"/>
      <c r="BV777" s="29"/>
      <c r="BW777" s="29"/>
      <c r="BX777" s="29"/>
      <c r="BY777" s="29"/>
      <c r="BZ777" s="29"/>
      <c r="CA777" s="29"/>
      <c r="CB777" s="29"/>
      <c r="CC777" s="29"/>
      <c r="CD777" s="29"/>
      <c r="CE777" s="29"/>
      <c r="CF777" s="29"/>
      <c r="CG777" s="29"/>
      <c r="CH777" s="29"/>
      <c r="CI777" s="29"/>
      <c r="CJ777" s="29"/>
      <c r="CK777" s="29"/>
      <c r="CL777" s="29"/>
      <c r="CM777" s="29"/>
      <c r="CN777" s="29"/>
      <c r="CO777" s="29"/>
      <c r="CP777" s="29"/>
      <c r="CQ777" s="29"/>
      <c r="CR777" s="29"/>
      <c r="CS777" s="29"/>
      <c r="CT777" s="29"/>
      <c r="CU777" s="29"/>
      <c r="CV777" s="29"/>
      <c r="CW777" s="29"/>
      <c r="CX777" s="29"/>
      <c r="CY777" s="29"/>
      <c r="CZ777" s="29"/>
      <c r="DA777" s="29"/>
      <c r="DB777" s="29"/>
      <c r="DC777" s="29"/>
      <c r="DD777" s="29"/>
      <c r="DE777" s="29"/>
      <c r="DF777" s="29"/>
      <c r="DG777" s="29"/>
      <c r="DH777" s="29"/>
      <c r="DI777" s="29"/>
      <c r="DJ777" s="29"/>
      <c r="DK777" s="29"/>
      <c r="DL777" s="29"/>
      <c r="DM777" s="29"/>
      <c r="DN777" s="29"/>
      <c r="DO777" s="29"/>
      <c r="DP777" s="29"/>
      <c r="DQ777" s="29"/>
      <c r="DR777" s="29"/>
      <c r="DS777" s="29"/>
      <c r="DT777" s="29"/>
      <c r="DU777" s="29"/>
      <c r="DV777" s="29"/>
      <c r="DW777" s="29"/>
      <c r="DX777" s="29"/>
      <c r="DY777" s="29"/>
      <c r="DZ777" s="29"/>
      <c r="EA777" s="29"/>
      <c r="EB777" s="29"/>
      <c r="EC777" s="29"/>
      <c r="ED777" s="29"/>
      <c r="EE777" s="29"/>
      <c r="EF777" s="29"/>
      <c r="EG777" s="29"/>
      <c r="EH777" s="29"/>
      <c r="EI777" s="29"/>
      <c r="EJ777" s="29"/>
      <c r="EK777" s="29"/>
      <c r="EL777" s="29"/>
      <c r="EM777" s="29"/>
      <c r="EN777" s="29"/>
      <c r="EO777" s="29"/>
      <c r="EP777" s="29"/>
      <c r="EQ777" s="29"/>
      <c r="ER777" s="29"/>
      <c r="ES777" s="29"/>
      <c r="ET777" s="29"/>
      <c r="EU777" s="29"/>
      <c r="EV777" s="29"/>
      <c r="EW777" s="29"/>
      <c r="EX777" s="29"/>
      <c r="EY777" s="29"/>
      <c r="EZ777" s="29"/>
      <c r="FA777" s="29"/>
      <c r="FB777" s="29"/>
      <c r="FC777" s="29"/>
      <c r="FD777" s="29"/>
      <c r="FE777" s="29"/>
      <c r="FF777" s="29"/>
      <c r="FG777" s="29"/>
      <c r="FH777" s="29"/>
      <c r="FI777" s="29"/>
      <c r="FJ777" s="29"/>
      <c r="FK777" s="29"/>
      <c r="FL777" s="29"/>
      <c r="FM777" s="29"/>
      <c r="FN777" s="29"/>
      <c r="FO777" s="29"/>
      <c r="FP777" s="29"/>
      <c r="FQ777" s="29"/>
      <c r="FR777" s="29"/>
      <c r="FS777" s="29"/>
      <c r="FT777" s="29"/>
      <c r="FU777" s="29"/>
      <c r="FV777" s="29"/>
      <c r="FW777" s="29"/>
      <c r="FX777" s="29"/>
      <c r="FY777" s="29"/>
      <c r="FZ777" s="29"/>
      <c r="GA777" s="29"/>
      <c r="GB777" s="29"/>
      <c r="GC777" s="29"/>
      <c r="GD777" s="29"/>
      <c r="GE777" s="29"/>
      <c r="GF777" s="29"/>
      <c r="GG777" s="29"/>
      <c r="GH777" s="29"/>
      <c r="GI777" s="29"/>
      <c r="GJ777" s="29"/>
      <c r="GK777" s="29"/>
      <c r="GL777" s="29"/>
      <c r="GM777" s="29"/>
      <c r="GN777" s="29"/>
      <c r="GO777" s="29"/>
      <c r="GP777" s="29"/>
      <c r="GQ777" s="29"/>
      <c r="GR777" s="29"/>
      <c r="GS777" s="29"/>
      <c r="GT777" s="29"/>
      <c r="GU777" s="29"/>
      <c r="GV777" s="29"/>
      <c r="GW777" s="29"/>
      <c r="GX777" s="29"/>
      <c r="GY777" s="29"/>
      <c r="GZ777" s="29"/>
      <c r="HA777" s="29"/>
      <c r="HB777" s="29"/>
      <c r="HC777" s="29"/>
      <c r="HD777" s="29"/>
      <c r="HE777" s="29"/>
      <c r="HF777" s="29"/>
      <c r="HG777" s="29"/>
      <c r="HH777" s="29"/>
      <c r="HI777" s="29"/>
      <c r="HJ777" s="29"/>
      <c r="HK777" s="29"/>
      <c r="HL777" s="29"/>
      <c r="HM777" s="29"/>
      <c r="HN777" s="29"/>
      <c r="HO777" s="29"/>
      <c r="HP777" s="29"/>
      <c r="HQ777" s="29"/>
      <c r="HR777" s="29"/>
      <c r="HS777" s="29"/>
      <c r="HT777" s="29"/>
      <c r="HU777" s="29"/>
      <c r="HV777" s="29"/>
      <c r="HW777" s="29"/>
      <c r="HX777" s="29"/>
      <c r="HY777" s="29"/>
      <c r="HZ777" s="29"/>
      <c r="IA777" s="29"/>
      <c r="IB777" s="29"/>
      <c r="IC777" s="29"/>
      <c r="ID777" s="29"/>
      <c r="IE777" s="29"/>
      <c r="IF777" s="29"/>
      <c r="IG777" s="29"/>
      <c r="IH777" s="29"/>
      <c r="II777" s="29"/>
      <c r="IJ777" s="29"/>
      <c r="IK777" s="29"/>
      <c r="IL777" s="29"/>
      <c r="IM777" s="29"/>
      <c r="IN777" s="29"/>
      <c r="IO777" s="29"/>
      <c r="IP777" s="29"/>
      <c r="IQ777" s="29"/>
      <c r="IR777" s="29"/>
      <c r="IS777" s="29"/>
      <c r="IT777" s="29"/>
      <c r="IU777" s="29"/>
      <c r="IV777" s="29"/>
      <c r="IW777" s="29"/>
      <c r="IX777" s="29"/>
      <c r="IY777" s="29"/>
      <c r="IZ777" s="29"/>
      <c r="JA777" s="29"/>
      <c r="JB777" s="29"/>
      <c r="JC777" s="29"/>
      <c r="JD777" s="29"/>
      <c r="JE777" s="29"/>
      <c r="JF777" s="29"/>
      <c r="JG777" s="29"/>
      <c r="JH777" s="29"/>
      <c r="JI777" s="29"/>
      <c r="JJ777" s="29"/>
      <c r="JK777" s="29"/>
      <c r="JL777" s="29"/>
    </row>
    <row r="778" spans="1:272" ht="34.5" customHeight="1">
      <c r="A778" s="30" t="s">
        <v>142</v>
      </c>
      <c r="B778" s="30" t="s">
        <v>143</v>
      </c>
      <c r="C778" s="30" t="s">
        <v>39</v>
      </c>
      <c r="D778" s="30" t="s">
        <v>1905</v>
      </c>
      <c r="E778" s="30" t="s">
        <v>161</v>
      </c>
      <c r="F778" s="132" t="s">
        <v>1823</v>
      </c>
      <c r="G778" s="52" t="s">
        <v>66</v>
      </c>
      <c r="H778" s="30">
        <v>236220</v>
      </c>
      <c r="I778" s="30" t="s">
        <v>98</v>
      </c>
      <c r="J778" s="30" t="s">
        <v>129</v>
      </c>
      <c r="K778" s="31" t="s">
        <v>91</v>
      </c>
      <c r="L778" s="30" t="s">
        <v>345</v>
      </c>
      <c r="M778" s="39">
        <v>11000</v>
      </c>
      <c r="N778" s="39">
        <v>12000</v>
      </c>
      <c r="O778" s="30" t="s">
        <v>79</v>
      </c>
      <c r="P778" s="30"/>
      <c r="Q778" s="30"/>
      <c r="R778" s="30" t="s">
        <v>100</v>
      </c>
      <c r="S778" s="41">
        <v>2014</v>
      </c>
      <c r="T778" s="155" t="s">
        <v>3429</v>
      </c>
      <c r="U778" s="31" t="s">
        <v>1874</v>
      </c>
      <c r="V778" s="49" t="str">
        <f t="shared" si="0"/>
        <v>robert.herman@gsa.gov</v>
      </c>
      <c r="W778" s="30" t="s">
        <v>101</v>
      </c>
      <c r="X778" s="44">
        <v>41760</v>
      </c>
      <c r="Y778" s="44">
        <v>41764</v>
      </c>
      <c r="Z778" s="44">
        <v>41912</v>
      </c>
      <c r="AA778" s="133" t="s">
        <v>3382</v>
      </c>
      <c r="AE778" s="29"/>
      <c r="AF778" s="29"/>
      <c r="AG778" s="29"/>
      <c r="AH778" s="29"/>
      <c r="AI778" s="29"/>
      <c r="AJ778" s="29"/>
      <c r="AK778" s="29"/>
      <c r="AL778" s="29"/>
      <c r="AM778" s="29"/>
      <c r="AN778" s="29"/>
      <c r="AO778" s="29"/>
      <c r="AP778" s="29"/>
      <c r="AQ778" s="29"/>
      <c r="AR778" s="29"/>
      <c r="AS778" s="29"/>
      <c r="AT778" s="29"/>
      <c r="AU778" s="29"/>
      <c r="AV778" s="29"/>
      <c r="AW778" s="29"/>
      <c r="AX778" s="29"/>
      <c r="AY778" s="29"/>
      <c r="AZ778" s="29"/>
      <c r="BA778" s="29"/>
      <c r="BB778" s="29"/>
      <c r="BC778" s="29"/>
      <c r="BD778" s="29"/>
      <c r="BE778" s="29"/>
      <c r="BF778" s="29"/>
      <c r="BG778" s="29"/>
      <c r="BH778" s="29"/>
      <c r="BI778" s="29"/>
      <c r="BJ778" s="29"/>
      <c r="BK778" s="29"/>
      <c r="BL778" s="29"/>
      <c r="BM778" s="29"/>
      <c r="BN778" s="29"/>
      <c r="BO778" s="29"/>
      <c r="BP778" s="29"/>
      <c r="BQ778" s="29"/>
      <c r="BR778" s="29"/>
      <c r="BS778" s="29"/>
      <c r="BT778" s="29"/>
      <c r="BU778" s="29"/>
      <c r="BV778" s="29"/>
      <c r="BW778" s="29"/>
      <c r="BX778" s="29"/>
      <c r="BY778" s="29"/>
      <c r="BZ778" s="29"/>
      <c r="CA778" s="29"/>
      <c r="CB778" s="29"/>
      <c r="CC778" s="29"/>
      <c r="CD778" s="29"/>
      <c r="CE778" s="29"/>
      <c r="CF778" s="29"/>
      <c r="CG778" s="29"/>
      <c r="CH778" s="29"/>
      <c r="CI778" s="29"/>
      <c r="CJ778" s="29"/>
      <c r="CK778" s="29"/>
      <c r="CL778" s="29"/>
      <c r="CM778" s="29"/>
      <c r="CN778" s="29"/>
      <c r="CO778" s="29"/>
      <c r="CP778" s="29"/>
      <c r="CQ778" s="29"/>
      <c r="CR778" s="29"/>
      <c r="CS778" s="29"/>
      <c r="CT778" s="29"/>
      <c r="CU778" s="29"/>
      <c r="CV778" s="29"/>
      <c r="CW778" s="29"/>
      <c r="CX778" s="29"/>
      <c r="CY778" s="29"/>
      <c r="CZ778" s="29"/>
      <c r="DA778" s="29"/>
      <c r="DB778" s="29"/>
      <c r="DC778" s="29"/>
      <c r="DD778" s="29"/>
      <c r="DE778" s="29"/>
      <c r="DF778" s="29"/>
      <c r="DG778" s="29"/>
      <c r="DH778" s="29"/>
      <c r="DI778" s="29"/>
      <c r="DJ778" s="29"/>
      <c r="DK778" s="29"/>
      <c r="DL778" s="29"/>
      <c r="DM778" s="29"/>
      <c r="DN778" s="29"/>
      <c r="DO778" s="29"/>
      <c r="DP778" s="29"/>
      <c r="DQ778" s="29"/>
      <c r="DR778" s="29"/>
      <c r="DS778" s="29"/>
      <c r="DT778" s="29"/>
      <c r="DU778" s="29"/>
      <c r="DV778" s="29"/>
      <c r="DW778" s="29"/>
      <c r="DX778" s="29"/>
      <c r="DY778" s="29"/>
      <c r="DZ778" s="29"/>
      <c r="EA778" s="29"/>
      <c r="EB778" s="29"/>
      <c r="EC778" s="29"/>
      <c r="ED778" s="29"/>
      <c r="EE778" s="29"/>
      <c r="EF778" s="29"/>
      <c r="EG778" s="29"/>
      <c r="EH778" s="29"/>
      <c r="EI778" s="29"/>
      <c r="EJ778" s="29"/>
      <c r="EK778" s="29"/>
      <c r="EL778" s="29"/>
      <c r="EM778" s="29"/>
      <c r="EN778" s="29"/>
      <c r="EO778" s="29"/>
      <c r="EP778" s="29"/>
      <c r="EQ778" s="29"/>
      <c r="ER778" s="29"/>
      <c r="ES778" s="29"/>
      <c r="ET778" s="29"/>
      <c r="EU778" s="29"/>
      <c r="EV778" s="29"/>
      <c r="EW778" s="29"/>
      <c r="EX778" s="29"/>
      <c r="EY778" s="29"/>
      <c r="EZ778" s="29"/>
      <c r="FA778" s="29"/>
      <c r="FB778" s="29"/>
      <c r="FC778" s="29"/>
      <c r="FD778" s="29"/>
      <c r="FE778" s="29"/>
      <c r="FF778" s="29"/>
      <c r="FG778" s="29"/>
      <c r="FH778" s="29"/>
      <c r="FI778" s="29"/>
      <c r="FJ778" s="29"/>
      <c r="FK778" s="29"/>
      <c r="FL778" s="29"/>
      <c r="FM778" s="29"/>
      <c r="FN778" s="29"/>
      <c r="FO778" s="29"/>
      <c r="FP778" s="29"/>
      <c r="FQ778" s="29"/>
      <c r="FR778" s="29"/>
      <c r="FS778" s="29"/>
      <c r="FT778" s="29"/>
      <c r="FU778" s="29"/>
      <c r="FV778" s="29"/>
      <c r="FW778" s="29"/>
      <c r="FX778" s="29"/>
      <c r="FY778" s="29"/>
      <c r="FZ778" s="29"/>
      <c r="GA778" s="29"/>
      <c r="GB778" s="29"/>
      <c r="GC778" s="29"/>
      <c r="GD778" s="29"/>
      <c r="GE778" s="29"/>
      <c r="GF778" s="29"/>
      <c r="GG778" s="29"/>
      <c r="GH778" s="29"/>
      <c r="GI778" s="29"/>
      <c r="GJ778" s="29"/>
      <c r="GK778" s="29"/>
      <c r="GL778" s="29"/>
      <c r="GM778" s="29"/>
      <c r="GN778" s="29"/>
      <c r="GO778" s="29"/>
      <c r="GP778" s="29"/>
      <c r="GQ778" s="29"/>
      <c r="GR778" s="29"/>
      <c r="GS778" s="29"/>
      <c r="GT778" s="29"/>
      <c r="GU778" s="29"/>
      <c r="GV778" s="29"/>
      <c r="GW778" s="29"/>
      <c r="GX778" s="29"/>
      <c r="GY778" s="29"/>
      <c r="GZ778" s="29"/>
      <c r="HA778" s="29"/>
      <c r="HB778" s="29"/>
      <c r="HC778" s="29"/>
      <c r="HD778" s="29"/>
      <c r="HE778" s="29"/>
      <c r="HF778" s="29"/>
      <c r="HG778" s="29"/>
      <c r="HH778" s="29"/>
      <c r="HI778" s="29"/>
      <c r="HJ778" s="29"/>
      <c r="HK778" s="29"/>
      <c r="HL778" s="29"/>
      <c r="HM778" s="29"/>
      <c r="HN778" s="29"/>
      <c r="HO778" s="29"/>
      <c r="HP778" s="29"/>
      <c r="HQ778" s="29"/>
      <c r="HR778" s="29"/>
      <c r="HS778" s="29"/>
      <c r="HT778" s="29"/>
      <c r="HU778" s="29"/>
      <c r="HV778" s="29"/>
      <c r="HW778" s="29"/>
      <c r="HX778" s="29"/>
      <c r="HY778" s="29"/>
      <c r="HZ778" s="29"/>
      <c r="IA778" s="29"/>
      <c r="IB778" s="29"/>
      <c r="IC778" s="29"/>
      <c r="ID778" s="29"/>
      <c r="IE778" s="29"/>
      <c r="IF778" s="29"/>
      <c r="IG778" s="29"/>
      <c r="IH778" s="29"/>
      <c r="II778" s="29"/>
      <c r="IJ778" s="29"/>
      <c r="IK778" s="29"/>
      <c r="IL778" s="29"/>
      <c r="IM778" s="29"/>
      <c r="IN778" s="29"/>
      <c r="IO778" s="29"/>
      <c r="IP778" s="29"/>
      <c r="IQ778" s="29"/>
      <c r="IR778" s="29"/>
      <c r="IS778" s="29"/>
      <c r="IT778" s="29"/>
      <c r="IU778" s="29"/>
      <c r="IV778" s="29"/>
      <c r="IW778" s="29"/>
      <c r="IX778" s="29"/>
      <c r="IY778" s="29"/>
      <c r="IZ778" s="29"/>
      <c r="JA778" s="29"/>
      <c r="JB778" s="29"/>
      <c r="JC778" s="29"/>
      <c r="JD778" s="29"/>
      <c r="JE778" s="29"/>
      <c r="JF778" s="29"/>
      <c r="JG778" s="29"/>
      <c r="JH778" s="29"/>
      <c r="JI778" s="29"/>
      <c r="JJ778" s="29"/>
      <c r="JK778" s="29"/>
      <c r="JL778" s="29"/>
    </row>
    <row r="779" spans="1:272" ht="34.5" customHeight="1">
      <c r="A779" s="30" t="s">
        <v>142</v>
      </c>
      <c r="B779" s="30" t="s">
        <v>143</v>
      </c>
      <c r="C779" s="30" t="s">
        <v>39</v>
      </c>
      <c r="D779" s="30" t="s">
        <v>1898</v>
      </c>
      <c r="E779" s="30" t="s">
        <v>161</v>
      </c>
      <c r="F779" s="30" t="s">
        <v>1832</v>
      </c>
      <c r="G779" s="30" t="s">
        <v>66</v>
      </c>
      <c r="H779" s="30">
        <v>236220</v>
      </c>
      <c r="I779" s="30" t="s">
        <v>98</v>
      </c>
      <c r="J779" s="30" t="s">
        <v>129</v>
      </c>
      <c r="K779" s="31" t="s">
        <v>91</v>
      </c>
      <c r="L779" s="30" t="s">
        <v>345</v>
      </c>
      <c r="M779" s="39">
        <v>50000</v>
      </c>
      <c r="N779" s="39">
        <v>55000</v>
      </c>
      <c r="O779" s="30" t="s">
        <v>79</v>
      </c>
      <c r="P779" s="30"/>
      <c r="Q779" s="30"/>
      <c r="R779" s="30" t="s">
        <v>100</v>
      </c>
      <c r="S779" s="41">
        <v>2014</v>
      </c>
      <c r="T779" s="155" t="s">
        <v>3429</v>
      </c>
      <c r="U779" s="31" t="s">
        <v>1874</v>
      </c>
      <c r="V779" s="49" t="str">
        <f t="shared" si="0"/>
        <v>robert.herman@gsa.gov</v>
      </c>
      <c r="W779" s="129" t="s">
        <v>101</v>
      </c>
      <c r="X779" s="30"/>
      <c r="Y779" s="30"/>
      <c r="Z779" s="30"/>
      <c r="AA779" s="30"/>
    </row>
    <row r="780" spans="1:272" ht="38.1" customHeight="1">
      <c r="A780" s="30" t="s">
        <v>55</v>
      </c>
      <c r="B780" s="30" t="s">
        <v>116</v>
      </c>
      <c r="C780" s="30"/>
      <c r="D780" s="30" t="s">
        <v>1908</v>
      </c>
      <c r="E780" s="30" t="s">
        <v>262</v>
      </c>
      <c r="F780" s="30" t="s">
        <v>289</v>
      </c>
      <c r="G780" s="30" t="s">
        <v>111</v>
      </c>
      <c r="H780" s="30"/>
      <c r="I780" s="30" t="s">
        <v>98</v>
      </c>
      <c r="J780" s="30" t="s">
        <v>129</v>
      </c>
      <c r="K780" s="31" t="s">
        <v>91</v>
      </c>
      <c r="L780" s="30" t="s">
        <v>345</v>
      </c>
      <c r="M780" s="39">
        <v>430000</v>
      </c>
      <c r="N780" s="39">
        <v>440000</v>
      </c>
      <c r="O780" s="30" t="s">
        <v>79</v>
      </c>
      <c r="P780" s="30"/>
      <c r="Q780" s="30"/>
      <c r="R780" s="31" t="s">
        <v>80</v>
      </c>
      <c r="S780" s="41">
        <v>2014</v>
      </c>
      <c r="T780" s="31" t="s">
        <v>3356</v>
      </c>
      <c r="U780" s="31" t="s">
        <v>3355</v>
      </c>
      <c r="V780" s="49" t="s">
        <v>1909</v>
      </c>
      <c r="W780" s="30" t="s">
        <v>81</v>
      </c>
      <c r="X780" s="30"/>
      <c r="Y780" s="30"/>
      <c r="Z780" s="30"/>
      <c r="AA780" s="30" t="s">
        <v>1907</v>
      </c>
      <c r="JB780" s="29"/>
      <c r="JC780" s="29"/>
      <c r="JD780" s="29"/>
      <c r="JE780" s="29"/>
      <c r="JF780" s="29"/>
      <c r="JG780" s="29"/>
      <c r="JH780" s="29"/>
      <c r="JI780" s="29"/>
      <c r="JJ780" s="29"/>
      <c r="JK780" s="29"/>
      <c r="JL780" s="29"/>
    </row>
    <row r="781" spans="1:272" ht="34.5" customHeight="1">
      <c r="A781" s="30" t="s">
        <v>142</v>
      </c>
      <c r="B781" s="30" t="s">
        <v>109</v>
      </c>
      <c r="C781" s="30" t="s">
        <v>39</v>
      </c>
      <c r="D781" s="30" t="s">
        <v>1911</v>
      </c>
      <c r="E781" s="30" t="s">
        <v>164</v>
      </c>
      <c r="F781" s="30" t="s">
        <v>478</v>
      </c>
      <c r="G781" s="30" t="s">
        <v>235</v>
      </c>
      <c r="H781" s="30">
        <v>238220</v>
      </c>
      <c r="I781" s="30" t="s">
        <v>45</v>
      </c>
      <c r="J781" s="30" t="s">
        <v>129</v>
      </c>
      <c r="K781" s="31" t="s">
        <v>91</v>
      </c>
      <c r="L781" s="30" t="s">
        <v>91</v>
      </c>
      <c r="M781" s="39">
        <v>500000</v>
      </c>
      <c r="N781" s="39">
        <v>1000000</v>
      </c>
      <c r="O781" s="30" t="s">
        <v>79</v>
      </c>
      <c r="P781" s="30" t="s">
        <v>302</v>
      </c>
      <c r="Q781" s="31" t="s">
        <v>294</v>
      </c>
      <c r="R781" s="129" t="s">
        <v>3453</v>
      </c>
      <c r="S781" s="41">
        <v>2013</v>
      </c>
      <c r="T781" s="31" t="s">
        <v>1912</v>
      </c>
      <c r="U781" s="31" t="s">
        <v>1913</v>
      </c>
      <c r="V781" s="49" t="s">
        <v>1914</v>
      </c>
      <c r="W781" s="129" t="s">
        <v>120</v>
      </c>
      <c r="X781" s="30"/>
      <c r="Y781" s="30"/>
      <c r="Z781" s="30"/>
      <c r="AA781" s="30"/>
    </row>
    <row r="782" spans="1:272" ht="34.5" customHeight="1">
      <c r="A782" s="30" t="s">
        <v>142</v>
      </c>
      <c r="B782" s="30" t="s">
        <v>109</v>
      </c>
      <c r="C782" s="30" t="s">
        <v>39</v>
      </c>
      <c r="D782" s="30" t="s">
        <v>1915</v>
      </c>
      <c r="E782" s="30" t="s">
        <v>164</v>
      </c>
      <c r="F782" s="30" t="s">
        <v>478</v>
      </c>
      <c r="G782" s="30" t="s">
        <v>235</v>
      </c>
      <c r="H782" s="30">
        <v>236220</v>
      </c>
      <c r="I782" s="30" t="s">
        <v>45</v>
      </c>
      <c r="J782" s="30" t="s">
        <v>129</v>
      </c>
      <c r="K782" s="31" t="s">
        <v>91</v>
      </c>
      <c r="L782" s="30" t="s">
        <v>91</v>
      </c>
      <c r="M782" s="39">
        <v>100000</v>
      </c>
      <c r="N782" s="39">
        <v>250000</v>
      </c>
      <c r="O782" s="30" t="s">
        <v>79</v>
      </c>
      <c r="P782" s="30" t="s">
        <v>302</v>
      </c>
      <c r="Q782" s="31" t="s">
        <v>294</v>
      </c>
      <c r="R782" s="129" t="s">
        <v>3453</v>
      </c>
      <c r="S782" s="41">
        <v>2013</v>
      </c>
      <c r="T782" s="31" t="s">
        <v>1912</v>
      </c>
      <c r="U782" s="31" t="s">
        <v>1913</v>
      </c>
      <c r="V782" s="49" t="s">
        <v>1914</v>
      </c>
      <c r="W782" s="129" t="s">
        <v>120</v>
      </c>
      <c r="X782" s="30" t="s">
        <v>345</v>
      </c>
      <c r="Y782" s="30" t="s">
        <v>345</v>
      </c>
      <c r="Z782" s="30" t="s">
        <v>345</v>
      </c>
      <c r="AA782" s="30" t="s">
        <v>393</v>
      </c>
      <c r="AE782" s="29"/>
      <c r="AF782" s="29"/>
      <c r="AG782" s="29"/>
      <c r="AH782" s="29"/>
      <c r="AI782" s="29"/>
      <c r="AJ782" s="29"/>
      <c r="AK782" s="29"/>
      <c r="AL782" s="29"/>
      <c r="AM782" s="29"/>
      <c r="AN782" s="29"/>
      <c r="AO782" s="29"/>
      <c r="AP782" s="29"/>
      <c r="AQ782" s="29"/>
      <c r="AR782" s="29"/>
      <c r="AS782" s="29"/>
      <c r="AT782" s="29"/>
      <c r="AU782" s="29"/>
      <c r="AV782" s="29"/>
      <c r="AW782" s="29"/>
      <c r="AX782" s="29"/>
      <c r="AY782" s="29"/>
      <c r="AZ782" s="29"/>
      <c r="BA782" s="29"/>
      <c r="BB782" s="29"/>
      <c r="BC782" s="29"/>
      <c r="BD782" s="29"/>
      <c r="BE782" s="29"/>
      <c r="BF782" s="29"/>
      <c r="BG782" s="29"/>
      <c r="BH782" s="29"/>
      <c r="BI782" s="29"/>
      <c r="BJ782" s="29"/>
      <c r="BK782" s="29"/>
      <c r="BL782" s="29"/>
      <c r="BM782" s="29"/>
      <c r="BN782" s="29"/>
      <c r="BO782" s="29"/>
      <c r="BP782" s="29"/>
      <c r="BQ782" s="29"/>
      <c r="BR782" s="29"/>
      <c r="BS782" s="29"/>
      <c r="BT782" s="29"/>
      <c r="BU782" s="29"/>
      <c r="BV782" s="29"/>
      <c r="BW782" s="29"/>
      <c r="BX782" s="29"/>
      <c r="BY782" s="29"/>
      <c r="BZ782" s="29"/>
      <c r="CA782" s="29"/>
      <c r="CB782" s="29"/>
      <c r="CC782" s="29"/>
      <c r="CD782" s="29"/>
      <c r="CE782" s="29"/>
      <c r="CF782" s="29"/>
      <c r="CG782" s="29"/>
      <c r="CH782" s="29"/>
      <c r="CI782" s="29"/>
      <c r="CJ782" s="29"/>
      <c r="CK782" s="29"/>
      <c r="CL782" s="29"/>
      <c r="CM782" s="29"/>
      <c r="CN782" s="29"/>
      <c r="CO782" s="29"/>
      <c r="CP782" s="29"/>
      <c r="CQ782" s="29"/>
      <c r="CR782" s="29"/>
      <c r="CS782" s="29"/>
      <c r="CT782" s="29"/>
      <c r="CU782" s="29"/>
      <c r="CV782" s="29"/>
      <c r="CW782" s="29"/>
      <c r="CX782" s="29"/>
      <c r="CY782" s="29"/>
      <c r="CZ782" s="29"/>
      <c r="DA782" s="29"/>
      <c r="DB782" s="29"/>
      <c r="DC782" s="29"/>
      <c r="DD782" s="29"/>
      <c r="DE782" s="29"/>
      <c r="DF782" s="29"/>
      <c r="DG782" s="29"/>
      <c r="DH782" s="29"/>
      <c r="DI782" s="29"/>
      <c r="DJ782" s="29"/>
      <c r="DK782" s="29"/>
      <c r="DL782" s="29"/>
      <c r="DM782" s="29"/>
      <c r="DN782" s="29"/>
      <c r="DO782" s="29"/>
      <c r="DP782" s="29"/>
      <c r="DQ782" s="29"/>
      <c r="DR782" s="29"/>
      <c r="DS782" s="29"/>
      <c r="DT782" s="29"/>
      <c r="DU782" s="29"/>
      <c r="DV782" s="29"/>
      <c r="DW782" s="29"/>
      <c r="DX782" s="29"/>
      <c r="DY782" s="29"/>
      <c r="DZ782" s="29"/>
      <c r="EA782" s="29"/>
      <c r="EB782" s="29"/>
      <c r="EC782" s="29"/>
      <c r="ED782" s="29"/>
      <c r="EE782" s="29"/>
      <c r="EF782" s="29"/>
      <c r="EG782" s="29"/>
      <c r="EH782" s="29"/>
      <c r="EI782" s="29"/>
      <c r="EJ782" s="29"/>
      <c r="EK782" s="29"/>
      <c r="EL782" s="29"/>
      <c r="EM782" s="29"/>
      <c r="EN782" s="29"/>
      <c r="EO782" s="29"/>
      <c r="EP782" s="29"/>
      <c r="EQ782" s="29"/>
      <c r="ER782" s="29"/>
      <c r="ES782" s="29"/>
      <c r="ET782" s="29"/>
      <c r="EU782" s="29"/>
      <c r="EV782" s="29"/>
      <c r="EW782" s="29"/>
      <c r="EX782" s="29"/>
      <c r="EY782" s="29"/>
      <c r="EZ782" s="29"/>
      <c r="FA782" s="29"/>
      <c r="FB782" s="29"/>
      <c r="FC782" s="29"/>
      <c r="FD782" s="29"/>
      <c r="FE782" s="29"/>
      <c r="FF782" s="29"/>
      <c r="FG782" s="29"/>
      <c r="FH782" s="29"/>
      <c r="FI782" s="29"/>
      <c r="FJ782" s="29"/>
      <c r="FK782" s="29"/>
      <c r="FL782" s="29"/>
      <c r="FM782" s="29"/>
      <c r="FN782" s="29"/>
      <c r="FO782" s="29"/>
      <c r="FP782" s="29"/>
      <c r="FQ782" s="29"/>
      <c r="FR782" s="29"/>
      <c r="FS782" s="29"/>
      <c r="FT782" s="29"/>
      <c r="FU782" s="29"/>
      <c r="FV782" s="29"/>
      <c r="FW782" s="29"/>
      <c r="FX782" s="29"/>
      <c r="FY782" s="29"/>
      <c r="FZ782" s="29"/>
      <c r="GA782" s="29"/>
      <c r="GB782" s="29"/>
      <c r="GC782" s="29"/>
      <c r="GD782" s="29"/>
      <c r="GE782" s="29"/>
      <c r="GF782" s="29"/>
      <c r="GG782" s="29"/>
      <c r="GH782" s="29"/>
      <c r="GI782" s="29"/>
      <c r="GJ782" s="29"/>
      <c r="GK782" s="29"/>
      <c r="GL782" s="29"/>
      <c r="GM782" s="29"/>
      <c r="GN782" s="29"/>
      <c r="GO782" s="29"/>
      <c r="GP782" s="29"/>
      <c r="GQ782" s="29"/>
      <c r="GR782" s="29"/>
      <c r="GS782" s="29"/>
      <c r="GT782" s="29"/>
      <c r="GU782" s="29"/>
      <c r="GV782" s="29"/>
      <c r="GW782" s="29"/>
      <c r="GX782" s="29"/>
      <c r="GY782" s="29"/>
      <c r="GZ782" s="29"/>
      <c r="HA782" s="29"/>
      <c r="HB782" s="29"/>
      <c r="HC782" s="29"/>
      <c r="HD782" s="29"/>
      <c r="HE782" s="29"/>
      <c r="HF782" s="29"/>
      <c r="HG782" s="29"/>
      <c r="HH782" s="29"/>
      <c r="HI782" s="29"/>
      <c r="HJ782" s="29"/>
      <c r="HK782" s="29"/>
      <c r="HL782" s="29"/>
      <c r="HM782" s="29"/>
      <c r="HN782" s="29"/>
      <c r="HO782" s="29"/>
      <c r="HP782" s="29"/>
      <c r="HQ782" s="29"/>
      <c r="HR782" s="29"/>
      <c r="HS782" s="29"/>
      <c r="HT782" s="29"/>
      <c r="HU782" s="29"/>
      <c r="HV782" s="29"/>
      <c r="HW782" s="29"/>
      <c r="HX782" s="29"/>
      <c r="HY782" s="29"/>
      <c r="HZ782" s="29"/>
      <c r="IA782" s="29"/>
      <c r="IB782" s="29"/>
      <c r="IC782" s="29"/>
      <c r="ID782" s="29"/>
      <c r="IE782" s="29"/>
      <c r="IF782" s="29"/>
      <c r="IG782" s="29"/>
      <c r="IH782" s="29"/>
      <c r="II782" s="29"/>
      <c r="IJ782" s="29"/>
      <c r="IK782" s="29"/>
      <c r="IL782" s="29"/>
      <c r="IM782" s="29"/>
      <c r="IN782" s="29"/>
      <c r="IO782" s="29"/>
      <c r="IP782" s="29"/>
      <c r="IQ782" s="29"/>
      <c r="IR782" s="29"/>
      <c r="IS782" s="29"/>
      <c r="IT782" s="29"/>
      <c r="IU782" s="29"/>
      <c r="IV782" s="29"/>
      <c r="IW782" s="29"/>
      <c r="IX782" s="29"/>
      <c r="IY782" s="29"/>
      <c r="IZ782" s="29"/>
      <c r="JA782" s="29"/>
      <c r="JB782" s="29"/>
      <c r="JC782" s="29"/>
      <c r="JD782" s="29"/>
      <c r="JE782" s="29"/>
      <c r="JF782" s="29"/>
      <c r="JG782" s="29"/>
      <c r="JH782" s="29"/>
      <c r="JI782" s="29"/>
      <c r="JJ782" s="29"/>
      <c r="JK782" s="29"/>
      <c r="JL782" s="29"/>
    </row>
    <row r="783" spans="1:272" ht="34.5" customHeight="1">
      <c r="A783" s="30" t="s">
        <v>142</v>
      </c>
      <c r="B783" s="30" t="s">
        <v>109</v>
      </c>
      <c r="C783" s="30" t="s">
        <v>39</v>
      </c>
      <c r="D783" s="30" t="s">
        <v>1916</v>
      </c>
      <c r="E783" s="30" t="s">
        <v>164</v>
      </c>
      <c r="F783" s="30" t="s">
        <v>478</v>
      </c>
      <c r="G783" s="30" t="s">
        <v>235</v>
      </c>
      <c r="H783" s="30">
        <v>238210</v>
      </c>
      <c r="I783" s="30" t="s">
        <v>45</v>
      </c>
      <c r="J783" s="30" t="s">
        <v>129</v>
      </c>
      <c r="K783" s="31" t="s">
        <v>91</v>
      </c>
      <c r="L783" s="30" t="s">
        <v>91</v>
      </c>
      <c r="M783" s="39">
        <v>250000</v>
      </c>
      <c r="N783" s="39">
        <v>500000</v>
      </c>
      <c r="O783" s="30" t="s">
        <v>79</v>
      </c>
      <c r="P783" s="30" t="s">
        <v>302</v>
      </c>
      <c r="Q783" s="30" t="s">
        <v>294</v>
      </c>
      <c r="R783" s="30"/>
      <c r="S783" s="41">
        <v>2014</v>
      </c>
      <c r="T783" s="31" t="s">
        <v>1912</v>
      </c>
      <c r="U783" s="31" t="s">
        <v>1913</v>
      </c>
      <c r="V783" s="30" t="s">
        <v>1914</v>
      </c>
      <c r="W783" s="129" t="s">
        <v>120</v>
      </c>
      <c r="X783" s="30" t="s">
        <v>345</v>
      </c>
      <c r="Y783" s="30" t="s">
        <v>345</v>
      </c>
      <c r="Z783" s="30" t="s">
        <v>345</v>
      </c>
      <c r="AA783" s="30" t="s">
        <v>393</v>
      </c>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c r="BO783" s="29"/>
      <c r="BP783" s="29"/>
      <c r="BQ783" s="29"/>
      <c r="BR783" s="29"/>
      <c r="BS783" s="29"/>
      <c r="BT783" s="29"/>
      <c r="BU783" s="29"/>
      <c r="BV783" s="29"/>
      <c r="BW783" s="29"/>
      <c r="BX783" s="29"/>
      <c r="BY783" s="29"/>
      <c r="BZ783" s="29"/>
      <c r="CA783" s="29"/>
      <c r="CB783" s="29"/>
      <c r="CC783" s="29"/>
      <c r="CD783" s="29"/>
      <c r="CE783" s="29"/>
      <c r="CF783" s="29"/>
      <c r="CG783" s="29"/>
      <c r="CH783" s="29"/>
      <c r="CI783" s="29"/>
      <c r="CJ783" s="29"/>
      <c r="CK783" s="29"/>
      <c r="CL783" s="29"/>
      <c r="CM783" s="29"/>
      <c r="CN783" s="29"/>
      <c r="CO783" s="29"/>
      <c r="CP783" s="29"/>
      <c r="CQ783" s="29"/>
      <c r="CR783" s="29"/>
      <c r="CS783" s="29"/>
      <c r="CT783" s="29"/>
      <c r="CU783" s="29"/>
      <c r="CV783" s="29"/>
      <c r="CW783" s="29"/>
      <c r="CX783" s="29"/>
      <c r="CY783" s="29"/>
      <c r="CZ783" s="29"/>
      <c r="DA783" s="29"/>
      <c r="DB783" s="29"/>
      <c r="DC783" s="29"/>
      <c r="DD783" s="29"/>
      <c r="DE783" s="29"/>
      <c r="DF783" s="29"/>
      <c r="DG783" s="29"/>
      <c r="DH783" s="29"/>
      <c r="DI783" s="29"/>
      <c r="DJ783" s="29"/>
      <c r="DK783" s="29"/>
      <c r="DL783" s="29"/>
      <c r="DM783" s="29"/>
      <c r="DN783" s="29"/>
      <c r="DO783" s="29"/>
      <c r="DP783" s="29"/>
      <c r="DQ783" s="29"/>
      <c r="DR783" s="29"/>
      <c r="DS783" s="29"/>
      <c r="DT783" s="29"/>
      <c r="DU783" s="29"/>
      <c r="DV783" s="29"/>
      <c r="DW783" s="29"/>
      <c r="DX783" s="29"/>
      <c r="DY783" s="29"/>
      <c r="DZ783" s="29"/>
      <c r="EA783" s="29"/>
      <c r="EB783" s="29"/>
      <c r="EC783" s="29"/>
      <c r="ED783" s="29"/>
      <c r="EE783" s="29"/>
      <c r="EF783" s="29"/>
      <c r="EG783" s="29"/>
      <c r="EH783" s="29"/>
      <c r="EI783" s="29"/>
      <c r="EJ783" s="29"/>
      <c r="EK783" s="29"/>
      <c r="EL783" s="29"/>
      <c r="EM783" s="29"/>
      <c r="EN783" s="29"/>
      <c r="EO783" s="29"/>
      <c r="EP783" s="29"/>
      <c r="EQ783" s="29"/>
      <c r="ER783" s="29"/>
      <c r="ES783" s="29"/>
      <c r="ET783" s="29"/>
      <c r="EU783" s="29"/>
      <c r="EV783" s="29"/>
      <c r="EW783" s="29"/>
      <c r="EX783" s="29"/>
      <c r="EY783" s="29"/>
      <c r="EZ783" s="29"/>
      <c r="FA783" s="29"/>
      <c r="FB783" s="29"/>
      <c r="FC783" s="29"/>
      <c r="FD783" s="29"/>
      <c r="FE783" s="29"/>
      <c r="FF783" s="29"/>
      <c r="FG783" s="29"/>
      <c r="FH783" s="29"/>
      <c r="FI783" s="29"/>
      <c r="FJ783" s="29"/>
      <c r="FK783" s="29"/>
      <c r="FL783" s="29"/>
      <c r="FM783" s="29"/>
      <c r="FN783" s="29"/>
      <c r="FO783" s="29"/>
      <c r="FP783" s="29"/>
      <c r="FQ783" s="29"/>
      <c r="FR783" s="29"/>
      <c r="FS783" s="29"/>
      <c r="FT783" s="29"/>
      <c r="FU783" s="29"/>
      <c r="FV783" s="29"/>
      <c r="FW783" s="29"/>
      <c r="FX783" s="29"/>
      <c r="FY783" s="29"/>
      <c r="FZ783" s="29"/>
      <c r="GA783" s="29"/>
      <c r="GB783" s="29"/>
      <c r="GC783" s="29"/>
      <c r="GD783" s="29"/>
      <c r="GE783" s="29"/>
      <c r="GF783" s="29"/>
      <c r="GG783" s="29"/>
      <c r="GH783" s="29"/>
      <c r="GI783" s="29"/>
      <c r="GJ783" s="29"/>
      <c r="GK783" s="29"/>
      <c r="GL783" s="29"/>
      <c r="GM783" s="29"/>
      <c r="GN783" s="29"/>
      <c r="GO783" s="29"/>
      <c r="GP783" s="29"/>
      <c r="GQ783" s="29"/>
      <c r="GR783" s="29"/>
      <c r="GS783" s="29"/>
      <c r="GT783" s="29"/>
      <c r="GU783" s="29"/>
      <c r="GV783" s="29"/>
      <c r="GW783" s="29"/>
      <c r="GX783" s="29"/>
      <c r="GY783" s="29"/>
      <c r="GZ783" s="29"/>
      <c r="HA783" s="29"/>
      <c r="HB783" s="29"/>
      <c r="HC783" s="29"/>
      <c r="HD783" s="29"/>
      <c r="HE783" s="29"/>
      <c r="HF783" s="29"/>
      <c r="HG783" s="29"/>
      <c r="HH783" s="29"/>
      <c r="HI783" s="29"/>
      <c r="HJ783" s="29"/>
      <c r="HK783" s="29"/>
      <c r="HL783" s="29"/>
      <c r="HM783" s="29"/>
      <c r="HN783" s="29"/>
      <c r="HO783" s="29"/>
      <c r="HP783" s="29"/>
      <c r="HQ783" s="29"/>
      <c r="HR783" s="29"/>
      <c r="HS783" s="29"/>
      <c r="HT783" s="29"/>
      <c r="HU783" s="29"/>
      <c r="HV783" s="29"/>
      <c r="HW783" s="29"/>
      <c r="HX783" s="29"/>
      <c r="HY783" s="29"/>
      <c r="HZ783" s="29"/>
      <c r="IA783" s="29"/>
      <c r="IB783" s="29"/>
      <c r="IC783" s="29"/>
      <c r="ID783" s="29"/>
      <c r="IE783" s="29"/>
      <c r="IF783" s="29"/>
      <c r="IG783" s="29"/>
      <c r="IH783" s="29"/>
      <c r="II783" s="29"/>
      <c r="IJ783" s="29"/>
      <c r="IK783" s="29"/>
      <c r="IL783" s="29"/>
      <c r="IM783" s="29"/>
      <c r="IN783" s="29"/>
      <c r="IO783" s="29"/>
      <c r="IP783" s="29"/>
      <c r="IQ783" s="29"/>
      <c r="IR783" s="29"/>
      <c r="IS783" s="29"/>
      <c r="IT783" s="29"/>
      <c r="IU783" s="29"/>
      <c r="IV783" s="29"/>
      <c r="IW783" s="29"/>
      <c r="IX783" s="29"/>
      <c r="IY783" s="29"/>
      <c r="IZ783" s="29"/>
      <c r="JA783" s="29"/>
      <c r="JB783" s="29"/>
      <c r="JC783" s="29"/>
      <c r="JD783" s="29"/>
      <c r="JE783" s="29"/>
      <c r="JF783" s="29"/>
      <c r="JG783" s="29"/>
      <c r="JH783" s="29"/>
      <c r="JI783" s="29"/>
      <c r="JJ783" s="29"/>
      <c r="JK783" s="29"/>
      <c r="JL783" s="29"/>
    </row>
    <row r="784" spans="1:272" ht="34.5" customHeight="1">
      <c r="A784" s="30" t="s">
        <v>142</v>
      </c>
      <c r="B784" s="31" t="s">
        <v>109</v>
      </c>
      <c r="C784" s="30" t="s">
        <v>39</v>
      </c>
      <c r="D784" s="30" t="s">
        <v>1917</v>
      </c>
      <c r="E784" s="30" t="s">
        <v>164</v>
      </c>
      <c r="F784" s="30" t="s">
        <v>1918</v>
      </c>
      <c r="G784" s="30" t="s">
        <v>235</v>
      </c>
      <c r="H784" s="30">
        <v>237310</v>
      </c>
      <c r="I784" s="30" t="s">
        <v>45</v>
      </c>
      <c r="J784" s="30" t="s">
        <v>129</v>
      </c>
      <c r="K784" s="31" t="s">
        <v>91</v>
      </c>
      <c r="L784" s="30" t="s">
        <v>91</v>
      </c>
      <c r="M784" s="39">
        <v>100000</v>
      </c>
      <c r="N784" s="39">
        <v>250000</v>
      </c>
      <c r="O784" s="30" t="s">
        <v>79</v>
      </c>
      <c r="P784" s="30" t="s">
        <v>302</v>
      </c>
      <c r="Q784" s="30" t="s">
        <v>294</v>
      </c>
      <c r="R784" s="30"/>
      <c r="S784" s="41">
        <v>2014</v>
      </c>
      <c r="T784" s="31" t="s">
        <v>1912</v>
      </c>
      <c r="U784" s="31" t="s">
        <v>1913</v>
      </c>
      <c r="V784" s="30" t="s">
        <v>1914</v>
      </c>
      <c r="W784" s="129" t="s">
        <v>120</v>
      </c>
      <c r="X784" s="30" t="s">
        <v>345</v>
      </c>
      <c r="Y784" s="30" t="s">
        <v>345</v>
      </c>
      <c r="Z784" s="30" t="s">
        <v>345</v>
      </c>
      <c r="AA784" s="30" t="s">
        <v>393</v>
      </c>
      <c r="AE784" s="29"/>
      <c r="AF784" s="29"/>
      <c r="AG784" s="29"/>
      <c r="AH784" s="29"/>
      <c r="AI784" s="29"/>
      <c r="AJ784" s="29"/>
      <c r="AK784" s="29"/>
      <c r="AL784" s="29"/>
      <c r="AM784" s="29"/>
      <c r="AN784" s="29"/>
      <c r="AO784" s="29"/>
      <c r="AP784" s="29"/>
      <c r="AQ784" s="29"/>
      <c r="AR784" s="29"/>
      <c r="AS784" s="29"/>
      <c r="AT784" s="29"/>
      <c r="AU784" s="29"/>
      <c r="AV784" s="29"/>
      <c r="AW784" s="29"/>
      <c r="AX784" s="29"/>
      <c r="AY784" s="29"/>
      <c r="AZ784" s="29"/>
      <c r="BA784" s="29"/>
      <c r="BB784" s="29"/>
      <c r="BC784" s="29"/>
      <c r="BD784" s="29"/>
      <c r="BE784" s="29"/>
      <c r="BF784" s="29"/>
      <c r="BG784" s="29"/>
      <c r="BH784" s="29"/>
      <c r="BI784" s="29"/>
      <c r="BJ784" s="29"/>
      <c r="BK784" s="29"/>
      <c r="BL784" s="29"/>
      <c r="BM784" s="29"/>
      <c r="BN784" s="29"/>
      <c r="BO784" s="29"/>
      <c r="BP784" s="29"/>
      <c r="BQ784" s="29"/>
      <c r="BR784" s="29"/>
      <c r="BS784" s="29"/>
      <c r="BT784" s="29"/>
      <c r="BU784" s="29"/>
      <c r="BV784" s="29"/>
      <c r="BW784" s="29"/>
      <c r="BX784" s="29"/>
      <c r="BY784" s="29"/>
      <c r="BZ784" s="29"/>
      <c r="CA784" s="29"/>
      <c r="CB784" s="29"/>
      <c r="CC784" s="29"/>
      <c r="CD784" s="29"/>
      <c r="CE784" s="29"/>
      <c r="CF784" s="29"/>
      <c r="CG784" s="29"/>
      <c r="CH784" s="29"/>
      <c r="CI784" s="29"/>
      <c r="CJ784" s="29"/>
      <c r="CK784" s="29"/>
      <c r="CL784" s="29"/>
      <c r="CM784" s="29"/>
      <c r="CN784" s="29"/>
      <c r="CO784" s="29"/>
      <c r="CP784" s="29"/>
      <c r="CQ784" s="29"/>
      <c r="CR784" s="29"/>
      <c r="CS784" s="29"/>
      <c r="CT784" s="29"/>
      <c r="CU784" s="29"/>
      <c r="CV784" s="29"/>
      <c r="CW784" s="29"/>
      <c r="CX784" s="29"/>
      <c r="CY784" s="29"/>
      <c r="CZ784" s="29"/>
      <c r="DA784" s="29"/>
      <c r="DB784" s="29"/>
      <c r="DC784" s="29"/>
      <c r="DD784" s="29"/>
      <c r="DE784" s="29"/>
      <c r="DF784" s="29"/>
      <c r="DG784" s="29"/>
      <c r="DH784" s="29"/>
      <c r="DI784" s="29"/>
      <c r="DJ784" s="29"/>
      <c r="DK784" s="29"/>
      <c r="DL784" s="29"/>
      <c r="DM784" s="29"/>
      <c r="DN784" s="29"/>
      <c r="DO784" s="29"/>
      <c r="DP784" s="29"/>
      <c r="DQ784" s="29"/>
      <c r="DR784" s="29"/>
      <c r="DS784" s="29"/>
      <c r="DT784" s="29"/>
      <c r="DU784" s="29"/>
      <c r="DV784" s="29"/>
      <c r="DW784" s="29"/>
      <c r="DX784" s="29"/>
      <c r="DY784" s="29"/>
      <c r="DZ784" s="29"/>
      <c r="EA784" s="29"/>
      <c r="EB784" s="29"/>
      <c r="EC784" s="29"/>
      <c r="ED784" s="29"/>
      <c r="EE784" s="29"/>
      <c r="EF784" s="29"/>
      <c r="EG784" s="29"/>
      <c r="EH784" s="29"/>
      <c r="EI784" s="29"/>
      <c r="EJ784" s="29"/>
      <c r="EK784" s="29"/>
      <c r="EL784" s="29"/>
      <c r="EM784" s="29"/>
      <c r="EN784" s="29"/>
      <c r="EO784" s="29"/>
      <c r="EP784" s="29"/>
      <c r="EQ784" s="29"/>
      <c r="ER784" s="29"/>
      <c r="ES784" s="29"/>
      <c r="ET784" s="29"/>
      <c r="EU784" s="29"/>
      <c r="EV784" s="29"/>
      <c r="EW784" s="29"/>
      <c r="EX784" s="29"/>
      <c r="EY784" s="29"/>
      <c r="EZ784" s="29"/>
      <c r="FA784" s="29"/>
      <c r="FB784" s="29"/>
      <c r="FC784" s="29"/>
      <c r="FD784" s="29"/>
      <c r="FE784" s="29"/>
      <c r="FF784" s="29"/>
      <c r="FG784" s="29"/>
      <c r="FH784" s="29"/>
      <c r="FI784" s="29"/>
      <c r="FJ784" s="29"/>
      <c r="FK784" s="29"/>
      <c r="FL784" s="29"/>
      <c r="FM784" s="29"/>
      <c r="FN784" s="29"/>
      <c r="FO784" s="29"/>
      <c r="FP784" s="29"/>
      <c r="FQ784" s="29"/>
      <c r="FR784" s="29"/>
      <c r="FS784" s="29"/>
      <c r="FT784" s="29"/>
      <c r="FU784" s="29"/>
      <c r="FV784" s="29"/>
      <c r="FW784" s="29"/>
      <c r="FX784" s="29"/>
      <c r="FY784" s="29"/>
      <c r="FZ784" s="29"/>
      <c r="GA784" s="29"/>
      <c r="GB784" s="29"/>
      <c r="GC784" s="29"/>
      <c r="GD784" s="29"/>
      <c r="GE784" s="29"/>
      <c r="GF784" s="29"/>
      <c r="GG784" s="29"/>
      <c r="GH784" s="29"/>
      <c r="GI784" s="29"/>
      <c r="GJ784" s="29"/>
      <c r="GK784" s="29"/>
      <c r="GL784" s="29"/>
      <c r="GM784" s="29"/>
      <c r="GN784" s="29"/>
      <c r="GO784" s="29"/>
      <c r="GP784" s="29"/>
      <c r="GQ784" s="29"/>
      <c r="GR784" s="29"/>
      <c r="GS784" s="29"/>
      <c r="GT784" s="29"/>
      <c r="GU784" s="29"/>
      <c r="GV784" s="29"/>
      <c r="GW784" s="29"/>
      <c r="GX784" s="29"/>
      <c r="GY784" s="29"/>
      <c r="GZ784" s="29"/>
      <c r="HA784" s="29"/>
      <c r="HB784" s="29"/>
      <c r="HC784" s="29"/>
      <c r="HD784" s="29"/>
      <c r="HE784" s="29"/>
      <c r="HF784" s="29"/>
      <c r="HG784" s="29"/>
      <c r="HH784" s="29"/>
      <c r="HI784" s="29"/>
      <c r="HJ784" s="29"/>
      <c r="HK784" s="29"/>
      <c r="HL784" s="29"/>
      <c r="HM784" s="29"/>
      <c r="HN784" s="29"/>
      <c r="HO784" s="29"/>
      <c r="HP784" s="29"/>
      <c r="HQ784" s="29"/>
      <c r="HR784" s="29"/>
      <c r="HS784" s="29"/>
      <c r="HT784" s="29"/>
      <c r="HU784" s="29"/>
      <c r="HV784" s="29"/>
      <c r="HW784" s="29"/>
      <c r="HX784" s="29"/>
      <c r="HY784" s="29"/>
      <c r="HZ784" s="29"/>
      <c r="IA784" s="29"/>
      <c r="IB784" s="29"/>
      <c r="IC784" s="29"/>
      <c r="ID784" s="29"/>
      <c r="IE784" s="29"/>
      <c r="IF784" s="29"/>
      <c r="IG784" s="29"/>
      <c r="IH784" s="29"/>
      <c r="II784" s="29"/>
      <c r="IJ784" s="29"/>
      <c r="IK784" s="29"/>
      <c r="IL784" s="29"/>
      <c r="IM784" s="29"/>
      <c r="IN784" s="29"/>
      <c r="IO784" s="29"/>
      <c r="IP784" s="29"/>
      <c r="IQ784" s="29"/>
      <c r="IR784" s="29"/>
      <c r="IS784" s="29"/>
      <c r="IT784" s="29"/>
      <c r="IU784" s="29"/>
      <c r="IV784" s="29"/>
      <c r="IW784" s="29"/>
      <c r="IX784" s="29"/>
      <c r="IY784" s="29"/>
      <c r="IZ784" s="29"/>
      <c r="JA784" s="29"/>
      <c r="JB784" s="29"/>
      <c r="JC784" s="29"/>
      <c r="JD784" s="29"/>
      <c r="JE784" s="29"/>
      <c r="JF784" s="29"/>
      <c r="JG784" s="29"/>
      <c r="JH784" s="29"/>
      <c r="JI784" s="29"/>
      <c r="JJ784" s="29"/>
      <c r="JK784" s="29"/>
      <c r="JL784" s="29"/>
    </row>
    <row r="785" spans="1:272" ht="34.5" customHeight="1">
      <c r="A785" s="30" t="s">
        <v>142</v>
      </c>
      <c r="B785" s="31" t="s">
        <v>109</v>
      </c>
      <c r="C785" s="30" t="s">
        <v>39</v>
      </c>
      <c r="D785" s="30" t="s">
        <v>1919</v>
      </c>
      <c r="E785" s="30" t="s">
        <v>164</v>
      </c>
      <c r="F785" s="30" t="s">
        <v>1918</v>
      </c>
      <c r="G785" s="30" t="s">
        <v>235</v>
      </c>
      <c r="H785" s="30">
        <v>237310</v>
      </c>
      <c r="I785" s="30" t="s">
        <v>45</v>
      </c>
      <c r="J785" s="30" t="s">
        <v>129</v>
      </c>
      <c r="K785" s="31" t="s">
        <v>91</v>
      </c>
      <c r="L785" s="30" t="s">
        <v>91</v>
      </c>
      <c r="M785" s="39">
        <v>25000</v>
      </c>
      <c r="N785" s="39">
        <v>100000</v>
      </c>
      <c r="O785" s="30" t="s">
        <v>79</v>
      </c>
      <c r="P785" s="30" t="s">
        <v>302</v>
      </c>
      <c r="Q785" s="30" t="s">
        <v>294</v>
      </c>
      <c r="R785" s="30"/>
      <c r="S785" s="41">
        <v>2014</v>
      </c>
      <c r="T785" s="31" t="s">
        <v>1912</v>
      </c>
      <c r="U785" s="31" t="s">
        <v>1920</v>
      </c>
      <c r="V785" s="30" t="s">
        <v>1914</v>
      </c>
      <c r="W785" s="129" t="s">
        <v>120</v>
      </c>
      <c r="X785" s="30" t="s">
        <v>345</v>
      </c>
      <c r="Y785" s="30" t="s">
        <v>345</v>
      </c>
      <c r="Z785" s="30" t="s">
        <v>345</v>
      </c>
      <c r="AA785" s="30" t="s">
        <v>393</v>
      </c>
      <c r="AE785" s="29"/>
      <c r="AF785" s="29"/>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c r="BF785" s="29"/>
      <c r="BG785" s="29"/>
      <c r="BH785" s="29"/>
      <c r="BI785" s="29"/>
      <c r="BJ785" s="29"/>
      <c r="BK785" s="29"/>
      <c r="BL785" s="29"/>
      <c r="BM785" s="29"/>
      <c r="BN785" s="29"/>
      <c r="BO785" s="29"/>
      <c r="BP785" s="29"/>
      <c r="BQ785" s="29"/>
      <c r="BR785" s="29"/>
      <c r="BS785" s="29"/>
      <c r="BT785" s="29"/>
      <c r="BU785" s="29"/>
      <c r="BV785" s="29"/>
      <c r="BW785" s="29"/>
      <c r="BX785" s="29"/>
      <c r="BY785" s="29"/>
      <c r="BZ785" s="29"/>
      <c r="CA785" s="29"/>
      <c r="CB785" s="29"/>
      <c r="CC785" s="29"/>
      <c r="CD785" s="29"/>
      <c r="CE785" s="29"/>
      <c r="CF785" s="29"/>
      <c r="CG785" s="29"/>
      <c r="CH785" s="29"/>
      <c r="CI785" s="29"/>
      <c r="CJ785" s="29"/>
      <c r="CK785" s="29"/>
      <c r="CL785" s="29"/>
      <c r="CM785" s="29"/>
      <c r="CN785" s="29"/>
      <c r="CO785" s="29"/>
      <c r="CP785" s="29"/>
      <c r="CQ785" s="29"/>
      <c r="CR785" s="29"/>
      <c r="CS785" s="29"/>
      <c r="CT785" s="29"/>
      <c r="CU785" s="29"/>
      <c r="CV785" s="29"/>
      <c r="CW785" s="29"/>
      <c r="CX785" s="29"/>
      <c r="CY785" s="29"/>
      <c r="CZ785" s="29"/>
      <c r="DA785" s="29"/>
      <c r="DB785" s="29"/>
      <c r="DC785" s="29"/>
      <c r="DD785" s="29"/>
      <c r="DE785" s="29"/>
      <c r="DF785" s="29"/>
      <c r="DG785" s="29"/>
      <c r="DH785" s="29"/>
      <c r="DI785" s="29"/>
      <c r="DJ785" s="29"/>
      <c r="DK785" s="29"/>
      <c r="DL785" s="29"/>
      <c r="DM785" s="29"/>
      <c r="DN785" s="29"/>
      <c r="DO785" s="29"/>
      <c r="DP785" s="29"/>
      <c r="DQ785" s="29"/>
      <c r="DR785" s="29"/>
      <c r="DS785" s="29"/>
      <c r="DT785" s="29"/>
      <c r="DU785" s="29"/>
      <c r="DV785" s="29"/>
      <c r="DW785" s="29"/>
      <c r="DX785" s="29"/>
      <c r="DY785" s="29"/>
      <c r="DZ785" s="29"/>
      <c r="EA785" s="29"/>
      <c r="EB785" s="29"/>
      <c r="EC785" s="29"/>
      <c r="ED785" s="29"/>
      <c r="EE785" s="29"/>
      <c r="EF785" s="29"/>
      <c r="EG785" s="29"/>
      <c r="EH785" s="29"/>
      <c r="EI785" s="29"/>
      <c r="EJ785" s="29"/>
      <c r="EK785" s="29"/>
      <c r="EL785" s="29"/>
      <c r="EM785" s="29"/>
      <c r="EN785" s="29"/>
      <c r="EO785" s="29"/>
      <c r="EP785" s="29"/>
      <c r="EQ785" s="29"/>
      <c r="ER785" s="29"/>
      <c r="ES785" s="29"/>
      <c r="ET785" s="29"/>
      <c r="EU785" s="29"/>
      <c r="EV785" s="29"/>
      <c r="EW785" s="29"/>
      <c r="EX785" s="29"/>
      <c r="EY785" s="29"/>
      <c r="EZ785" s="29"/>
      <c r="FA785" s="29"/>
      <c r="FB785" s="29"/>
      <c r="FC785" s="29"/>
      <c r="FD785" s="29"/>
      <c r="FE785" s="29"/>
      <c r="FF785" s="29"/>
      <c r="FG785" s="29"/>
      <c r="FH785" s="29"/>
      <c r="FI785" s="29"/>
      <c r="FJ785" s="29"/>
      <c r="FK785" s="29"/>
      <c r="FL785" s="29"/>
      <c r="FM785" s="29"/>
      <c r="FN785" s="29"/>
      <c r="FO785" s="29"/>
      <c r="FP785" s="29"/>
      <c r="FQ785" s="29"/>
      <c r="FR785" s="29"/>
      <c r="FS785" s="29"/>
      <c r="FT785" s="29"/>
      <c r="FU785" s="29"/>
      <c r="FV785" s="29"/>
      <c r="FW785" s="29"/>
      <c r="FX785" s="29"/>
      <c r="FY785" s="29"/>
      <c r="FZ785" s="29"/>
      <c r="GA785" s="29"/>
      <c r="GB785" s="29"/>
      <c r="GC785" s="29"/>
      <c r="GD785" s="29"/>
      <c r="GE785" s="29"/>
      <c r="GF785" s="29"/>
      <c r="GG785" s="29"/>
      <c r="GH785" s="29"/>
      <c r="GI785" s="29"/>
      <c r="GJ785" s="29"/>
      <c r="GK785" s="29"/>
      <c r="GL785" s="29"/>
      <c r="GM785" s="29"/>
      <c r="GN785" s="29"/>
      <c r="GO785" s="29"/>
      <c r="GP785" s="29"/>
      <c r="GQ785" s="29"/>
      <c r="GR785" s="29"/>
      <c r="GS785" s="29"/>
      <c r="GT785" s="29"/>
      <c r="GU785" s="29"/>
      <c r="GV785" s="29"/>
      <c r="GW785" s="29"/>
      <c r="GX785" s="29"/>
      <c r="GY785" s="29"/>
      <c r="GZ785" s="29"/>
      <c r="HA785" s="29"/>
      <c r="HB785" s="29"/>
      <c r="HC785" s="29"/>
      <c r="HD785" s="29"/>
      <c r="HE785" s="29"/>
      <c r="HF785" s="29"/>
      <c r="HG785" s="29"/>
      <c r="HH785" s="29"/>
      <c r="HI785" s="29"/>
      <c r="HJ785" s="29"/>
      <c r="HK785" s="29"/>
      <c r="HL785" s="29"/>
      <c r="HM785" s="29"/>
      <c r="HN785" s="29"/>
      <c r="HO785" s="29"/>
      <c r="HP785" s="29"/>
      <c r="HQ785" s="29"/>
      <c r="HR785" s="29"/>
      <c r="HS785" s="29"/>
      <c r="HT785" s="29"/>
      <c r="HU785" s="29"/>
      <c r="HV785" s="29"/>
      <c r="HW785" s="29"/>
      <c r="HX785" s="29"/>
      <c r="HY785" s="29"/>
      <c r="HZ785" s="29"/>
      <c r="IA785" s="29"/>
      <c r="IB785" s="29"/>
      <c r="IC785" s="29"/>
      <c r="ID785" s="29"/>
      <c r="IE785" s="29"/>
      <c r="IF785" s="29"/>
      <c r="IG785" s="29"/>
      <c r="IH785" s="29"/>
      <c r="II785" s="29"/>
      <c r="IJ785" s="29"/>
      <c r="IK785" s="29"/>
      <c r="IL785" s="29"/>
      <c r="IM785" s="29"/>
      <c r="IN785" s="29"/>
      <c r="IO785" s="29"/>
      <c r="IP785" s="29"/>
      <c r="IQ785" s="29"/>
      <c r="IR785" s="29"/>
      <c r="IS785" s="29"/>
      <c r="IT785" s="29"/>
      <c r="IU785" s="29"/>
      <c r="IV785" s="29"/>
      <c r="IW785" s="29"/>
      <c r="IX785" s="29"/>
      <c r="IY785" s="29"/>
      <c r="IZ785" s="29"/>
      <c r="JA785" s="29"/>
      <c r="JB785" s="29"/>
      <c r="JC785" s="29"/>
      <c r="JD785" s="29"/>
      <c r="JE785" s="29"/>
      <c r="JF785" s="29"/>
      <c r="JG785" s="29"/>
      <c r="JH785" s="29"/>
      <c r="JI785" s="29"/>
      <c r="JJ785" s="29"/>
      <c r="JK785" s="29"/>
      <c r="JL785" s="29"/>
    </row>
    <row r="786" spans="1:272" ht="34.5" customHeight="1">
      <c r="A786" s="30" t="s">
        <v>142</v>
      </c>
      <c r="B786" s="31" t="s">
        <v>109</v>
      </c>
      <c r="C786" s="30" t="s">
        <v>39</v>
      </c>
      <c r="D786" s="30" t="s">
        <v>1921</v>
      </c>
      <c r="E786" s="30" t="s">
        <v>164</v>
      </c>
      <c r="F786" s="30" t="s">
        <v>1922</v>
      </c>
      <c r="G786" s="30" t="s">
        <v>235</v>
      </c>
      <c r="H786" s="30">
        <v>238220</v>
      </c>
      <c r="I786" s="30" t="s">
        <v>45</v>
      </c>
      <c r="J786" s="30" t="s">
        <v>129</v>
      </c>
      <c r="K786" s="31" t="s">
        <v>91</v>
      </c>
      <c r="L786" s="30" t="s">
        <v>91</v>
      </c>
      <c r="M786" s="39">
        <v>100000</v>
      </c>
      <c r="N786" s="39">
        <v>250000</v>
      </c>
      <c r="O786" s="30" t="s">
        <v>79</v>
      </c>
      <c r="P786" s="30" t="s">
        <v>302</v>
      </c>
      <c r="Q786" s="30" t="s">
        <v>294</v>
      </c>
      <c r="R786" s="30"/>
      <c r="S786" s="41">
        <v>2014</v>
      </c>
      <c r="T786" s="31" t="s">
        <v>1912</v>
      </c>
      <c r="U786" s="31" t="s">
        <v>1923</v>
      </c>
      <c r="V786" s="30" t="s">
        <v>1914</v>
      </c>
      <c r="W786" s="129" t="s">
        <v>120</v>
      </c>
      <c r="X786" s="30" t="s">
        <v>345</v>
      </c>
      <c r="Y786" s="30" t="s">
        <v>345</v>
      </c>
      <c r="Z786" s="30" t="s">
        <v>345</v>
      </c>
      <c r="AA786" s="30" t="s">
        <v>393</v>
      </c>
      <c r="AE786" s="29"/>
      <c r="AF786" s="29"/>
      <c r="AG786" s="29"/>
      <c r="AH786" s="29"/>
      <c r="AI786" s="29"/>
      <c r="AJ786" s="29"/>
      <c r="AK786" s="29"/>
      <c r="AL786" s="29"/>
      <c r="AM786" s="29"/>
      <c r="AN786" s="29"/>
      <c r="AO786" s="29"/>
      <c r="AP786" s="29"/>
      <c r="AQ786" s="29"/>
      <c r="AR786" s="29"/>
      <c r="AS786" s="29"/>
      <c r="AT786" s="29"/>
      <c r="AU786" s="29"/>
      <c r="AV786" s="29"/>
      <c r="AW786" s="29"/>
      <c r="AX786" s="29"/>
      <c r="AY786" s="29"/>
      <c r="AZ786" s="29"/>
      <c r="BA786" s="29"/>
      <c r="BB786" s="29"/>
      <c r="BC786" s="29"/>
      <c r="BD786" s="29"/>
      <c r="BE786" s="29"/>
      <c r="BF786" s="29"/>
      <c r="BG786" s="29"/>
      <c r="BH786" s="29"/>
      <c r="BI786" s="29"/>
      <c r="BJ786" s="29"/>
      <c r="BK786" s="29"/>
      <c r="BL786" s="29"/>
      <c r="BM786" s="29"/>
      <c r="BN786" s="29"/>
      <c r="BO786" s="29"/>
      <c r="BP786" s="29"/>
      <c r="BQ786" s="29"/>
      <c r="BR786" s="29"/>
      <c r="BS786" s="29"/>
      <c r="BT786" s="29"/>
      <c r="BU786" s="29"/>
      <c r="BV786" s="29"/>
      <c r="BW786" s="29"/>
      <c r="BX786" s="29"/>
      <c r="BY786" s="29"/>
      <c r="BZ786" s="29"/>
      <c r="CA786" s="29"/>
      <c r="CB786" s="29"/>
      <c r="CC786" s="29"/>
      <c r="CD786" s="29"/>
      <c r="CE786" s="29"/>
      <c r="CF786" s="29"/>
      <c r="CG786" s="29"/>
      <c r="CH786" s="29"/>
      <c r="CI786" s="29"/>
      <c r="CJ786" s="29"/>
      <c r="CK786" s="29"/>
      <c r="CL786" s="29"/>
      <c r="CM786" s="29"/>
      <c r="CN786" s="29"/>
      <c r="CO786" s="29"/>
      <c r="CP786" s="29"/>
      <c r="CQ786" s="29"/>
      <c r="CR786" s="29"/>
      <c r="CS786" s="29"/>
      <c r="CT786" s="29"/>
      <c r="CU786" s="29"/>
      <c r="CV786" s="29"/>
      <c r="CW786" s="29"/>
      <c r="CX786" s="29"/>
      <c r="CY786" s="29"/>
      <c r="CZ786" s="29"/>
      <c r="DA786" s="29"/>
      <c r="DB786" s="29"/>
      <c r="DC786" s="29"/>
      <c r="DD786" s="29"/>
      <c r="DE786" s="29"/>
      <c r="DF786" s="29"/>
      <c r="DG786" s="29"/>
      <c r="DH786" s="29"/>
      <c r="DI786" s="29"/>
      <c r="DJ786" s="29"/>
      <c r="DK786" s="29"/>
      <c r="DL786" s="29"/>
      <c r="DM786" s="29"/>
      <c r="DN786" s="29"/>
      <c r="DO786" s="29"/>
      <c r="DP786" s="29"/>
      <c r="DQ786" s="29"/>
      <c r="DR786" s="29"/>
      <c r="DS786" s="29"/>
      <c r="DT786" s="29"/>
      <c r="DU786" s="29"/>
      <c r="DV786" s="29"/>
      <c r="DW786" s="29"/>
      <c r="DX786" s="29"/>
      <c r="DY786" s="29"/>
      <c r="DZ786" s="29"/>
      <c r="EA786" s="29"/>
      <c r="EB786" s="29"/>
      <c r="EC786" s="29"/>
      <c r="ED786" s="29"/>
      <c r="EE786" s="29"/>
      <c r="EF786" s="29"/>
      <c r="EG786" s="29"/>
      <c r="EH786" s="29"/>
      <c r="EI786" s="29"/>
      <c r="EJ786" s="29"/>
      <c r="EK786" s="29"/>
      <c r="EL786" s="29"/>
      <c r="EM786" s="29"/>
      <c r="EN786" s="29"/>
      <c r="EO786" s="29"/>
      <c r="EP786" s="29"/>
      <c r="EQ786" s="29"/>
      <c r="ER786" s="29"/>
      <c r="ES786" s="29"/>
      <c r="ET786" s="29"/>
      <c r="EU786" s="29"/>
      <c r="EV786" s="29"/>
      <c r="EW786" s="29"/>
      <c r="EX786" s="29"/>
      <c r="EY786" s="29"/>
      <c r="EZ786" s="29"/>
      <c r="FA786" s="29"/>
      <c r="FB786" s="29"/>
      <c r="FC786" s="29"/>
      <c r="FD786" s="29"/>
      <c r="FE786" s="29"/>
      <c r="FF786" s="29"/>
      <c r="FG786" s="29"/>
      <c r="FH786" s="29"/>
      <c r="FI786" s="29"/>
      <c r="FJ786" s="29"/>
      <c r="FK786" s="29"/>
      <c r="FL786" s="29"/>
      <c r="FM786" s="29"/>
      <c r="FN786" s="29"/>
      <c r="FO786" s="29"/>
      <c r="FP786" s="29"/>
      <c r="FQ786" s="29"/>
      <c r="FR786" s="29"/>
      <c r="FS786" s="29"/>
      <c r="FT786" s="29"/>
      <c r="FU786" s="29"/>
      <c r="FV786" s="29"/>
      <c r="FW786" s="29"/>
      <c r="FX786" s="29"/>
      <c r="FY786" s="29"/>
      <c r="FZ786" s="29"/>
      <c r="GA786" s="29"/>
      <c r="GB786" s="29"/>
      <c r="GC786" s="29"/>
      <c r="GD786" s="29"/>
      <c r="GE786" s="29"/>
      <c r="GF786" s="29"/>
      <c r="GG786" s="29"/>
      <c r="GH786" s="29"/>
      <c r="GI786" s="29"/>
      <c r="GJ786" s="29"/>
      <c r="GK786" s="29"/>
      <c r="GL786" s="29"/>
      <c r="GM786" s="29"/>
      <c r="GN786" s="29"/>
      <c r="GO786" s="29"/>
      <c r="GP786" s="29"/>
      <c r="GQ786" s="29"/>
      <c r="GR786" s="29"/>
      <c r="GS786" s="29"/>
      <c r="GT786" s="29"/>
      <c r="GU786" s="29"/>
      <c r="GV786" s="29"/>
      <c r="GW786" s="29"/>
      <c r="GX786" s="29"/>
      <c r="GY786" s="29"/>
      <c r="GZ786" s="29"/>
      <c r="HA786" s="29"/>
      <c r="HB786" s="29"/>
      <c r="HC786" s="29"/>
      <c r="HD786" s="29"/>
      <c r="HE786" s="29"/>
      <c r="HF786" s="29"/>
      <c r="HG786" s="29"/>
      <c r="HH786" s="29"/>
      <c r="HI786" s="29"/>
      <c r="HJ786" s="29"/>
      <c r="HK786" s="29"/>
      <c r="HL786" s="29"/>
      <c r="HM786" s="29"/>
      <c r="HN786" s="29"/>
      <c r="HO786" s="29"/>
      <c r="HP786" s="29"/>
      <c r="HQ786" s="29"/>
      <c r="HR786" s="29"/>
      <c r="HS786" s="29"/>
      <c r="HT786" s="29"/>
      <c r="HU786" s="29"/>
      <c r="HV786" s="29"/>
      <c r="HW786" s="29"/>
      <c r="HX786" s="29"/>
      <c r="HY786" s="29"/>
      <c r="HZ786" s="29"/>
      <c r="IA786" s="29"/>
      <c r="IB786" s="29"/>
      <c r="IC786" s="29"/>
      <c r="ID786" s="29"/>
      <c r="IE786" s="29"/>
      <c r="IF786" s="29"/>
      <c r="IG786" s="29"/>
      <c r="IH786" s="29"/>
      <c r="II786" s="29"/>
      <c r="IJ786" s="29"/>
      <c r="IK786" s="29"/>
      <c r="IL786" s="29"/>
      <c r="IM786" s="29"/>
      <c r="IN786" s="29"/>
      <c r="IO786" s="29"/>
      <c r="IP786" s="29"/>
      <c r="IQ786" s="29"/>
      <c r="IR786" s="29"/>
      <c r="IS786" s="29"/>
      <c r="IT786" s="29"/>
      <c r="IU786" s="29"/>
      <c r="IV786" s="29"/>
      <c r="IW786" s="29"/>
      <c r="IX786" s="29"/>
      <c r="IY786" s="29"/>
      <c r="IZ786" s="29"/>
      <c r="JA786" s="29"/>
      <c r="JB786" s="29"/>
      <c r="JC786" s="29"/>
      <c r="JD786" s="29"/>
      <c r="JE786" s="29"/>
      <c r="JF786" s="29"/>
      <c r="JG786" s="29"/>
      <c r="JH786" s="29"/>
      <c r="JI786" s="29"/>
      <c r="JJ786" s="29"/>
      <c r="JK786" s="29"/>
      <c r="JL786" s="29"/>
    </row>
    <row r="787" spans="1:272" ht="34.5" customHeight="1">
      <c r="A787" s="30" t="s">
        <v>142</v>
      </c>
      <c r="B787" s="31" t="s">
        <v>109</v>
      </c>
      <c r="C787" s="30" t="s">
        <v>39</v>
      </c>
      <c r="D787" s="30" t="s">
        <v>1924</v>
      </c>
      <c r="E787" s="30" t="s">
        <v>164</v>
      </c>
      <c r="F787" s="30" t="s">
        <v>1925</v>
      </c>
      <c r="G787" s="30" t="s">
        <v>235</v>
      </c>
      <c r="H787" s="30">
        <v>236220</v>
      </c>
      <c r="I787" s="30" t="s">
        <v>45</v>
      </c>
      <c r="J787" s="30" t="s">
        <v>129</v>
      </c>
      <c r="K787" s="31" t="s">
        <v>91</v>
      </c>
      <c r="L787" s="30" t="s">
        <v>91</v>
      </c>
      <c r="M787" s="39">
        <v>250000</v>
      </c>
      <c r="N787" s="39">
        <v>500000</v>
      </c>
      <c r="O787" s="30" t="s">
        <v>79</v>
      </c>
      <c r="P787" s="30" t="s">
        <v>302</v>
      </c>
      <c r="Q787" s="30" t="s">
        <v>294</v>
      </c>
      <c r="R787" s="30"/>
      <c r="S787" s="41">
        <v>2014</v>
      </c>
      <c r="T787" s="31" t="s">
        <v>1912</v>
      </c>
      <c r="U787" s="31" t="s">
        <v>1926</v>
      </c>
      <c r="V787" s="30" t="s">
        <v>1914</v>
      </c>
      <c r="W787" s="129" t="s">
        <v>120</v>
      </c>
      <c r="X787" s="30" t="s">
        <v>345</v>
      </c>
      <c r="Y787" s="30" t="s">
        <v>345</v>
      </c>
      <c r="Z787" s="30" t="s">
        <v>345</v>
      </c>
      <c r="AA787" s="30" t="s">
        <v>393</v>
      </c>
      <c r="AE787" s="29"/>
      <c r="AF787" s="29"/>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c r="BF787" s="29"/>
      <c r="BG787" s="29"/>
      <c r="BH787" s="29"/>
      <c r="BI787" s="29"/>
      <c r="BJ787" s="29"/>
      <c r="BK787" s="29"/>
      <c r="BL787" s="29"/>
      <c r="BM787" s="29"/>
      <c r="BN787" s="29"/>
      <c r="BO787" s="29"/>
      <c r="BP787" s="29"/>
      <c r="BQ787" s="29"/>
      <c r="BR787" s="29"/>
      <c r="BS787" s="29"/>
      <c r="BT787" s="29"/>
      <c r="BU787" s="29"/>
      <c r="BV787" s="29"/>
      <c r="BW787" s="29"/>
      <c r="BX787" s="29"/>
      <c r="BY787" s="29"/>
      <c r="BZ787" s="29"/>
      <c r="CA787" s="29"/>
      <c r="CB787" s="29"/>
      <c r="CC787" s="29"/>
      <c r="CD787" s="29"/>
      <c r="CE787" s="29"/>
      <c r="CF787" s="29"/>
      <c r="CG787" s="29"/>
      <c r="CH787" s="29"/>
      <c r="CI787" s="29"/>
      <c r="CJ787" s="29"/>
      <c r="CK787" s="29"/>
      <c r="CL787" s="29"/>
      <c r="CM787" s="29"/>
      <c r="CN787" s="29"/>
      <c r="CO787" s="29"/>
      <c r="CP787" s="29"/>
      <c r="CQ787" s="29"/>
      <c r="CR787" s="29"/>
      <c r="CS787" s="29"/>
      <c r="CT787" s="29"/>
      <c r="CU787" s="29"/>
      <c r="CV787" s="29"/>
      <c r="CW787" s="29"/>
      <c r="CX787" s="29"/>
      <c r="CY787" s="29"/>
      <c r="CZ787" s="29"/>
      <c r="DA787" s="29"/>
      <c r="DB787" s="29"/>
      <c r="DC787" s="29"/>
      <c r="DD787" s="29"/>
      <c r="DE787" s="29"/>
      <c r="DF787" s="29"/>
      <c r="DG787" s="29"/>
      <c r="DH787" s="29"/>
      <c r="DI787" s="29"/>
      <c r="DJ787" s="29"/>
      <c r="DK787" s="29"/>
      <c r="DL787" s="29"/>
      <c r="DM787" s="29"/>
      <c r="DN787" s="29"/>
      <c r="DO787" s="29"/>
      <c r="DP787" s="29"/>
      <c r="DQ787" s="29"/>
      <c r="DR787" s="29"/>
      <c r="DS787" s="29"/>
      <c r="DT787" s="29"/>
      <c r="DU787" s="29"/>
      <c r="DV787" s="29"/>
      <c r="DW787" s="29"/>
      <c r="DX787" s="29"/>
      <c r="DY787" s="29"/>
      <c r="DZ787" s="29"/>
      <c r="EA787" s="29"/>
      <c r="EB787" s="29"/>
      <c r="EC787" s="29"/>
      <c r="ED787" s="29"/>
      <c r="EE787" s="29"/>
      <c r="EF787" s="29"/>
      <c r="EG787" s="29"/>
      <c r="EH787" s="29"/>
      <c r="EI787" s="29"/>
      <c r="EJ787" s="29"/>
      <c r="EK787" s="29"/>
      <c r="EL787" s="29"/>
      <c r="EM787" s="29"/>
      <c r="EN787" s="29"/>
      <c r="EO787" s="29"/>
      <c r="EP787" s="29"/>
      <c r="EQ787" s="29"/>
      <c r="ER787" s="29"/>
      <c r="ES787" s="29"/>
      <c r="ET787" s="29"/>
      <c r="EU787" s="29"/>
      <c r="EV787" s="29"/>
      <c r="EW787" s="29"/>
      <c r="EX787" s="29"/>
      <c r="EY787" s="29"/>
      <c r="EZ787" s="29"/>
      <c r="FA787" s="29"/>
      <c r="FB787" s="29"/>
      <c r="FC787" s="29"/>
      <c r="FD787" s="29"/>
      <c r="FE787" s="29"/>
      <c r="FF787" s="29"/>
      <c r="FG787" s="29"/>
      <c r="FH787" s="29"/>
      <c r="FI787" s="29"/>
      <c r="FJ787" s="29"/>
      <c r="FK787" s="29"/>
      <c r="FL787" s="29"/>
      <c r="FM787" s="29"/>
      <c r="FN787" s="29"/>
      <c r="FO787" s="29"/>
      <c r="FP787" s="29"/>
      <c r="FQ787" s="29"/>
      <c r="FR787" s="29"/>
      <c r="FS787" s="29"/>
      <c r="FT787" s="29"/>
      <c r="FU787" s="29"/>
      <c r="FV787" s="29"/>
      <c r="FW787" s="29"/>
      <c r="FX787" s="29"/>
      <c r="FY787" s="29"/>
      <c r="FZ787" s="29"/>
      <c r="GA787" s="29"/>
      <c r="GB787" s="29"/>
      <c r="GC787" s="29"/>
      <c r="GD787" s="29"/>
      <c r="GE787" s="29"/>
      <c r="GF787" s="29"/>
      <c r="GG787" s="29"/>
      <c r="GH787" s="29"/>
      <c r="GI787" s="29"/>
      <c r="GJ787" s="29"/>
      <c r="GK787" s="29"/>
      <c r="GL787" s="29"/>
      <c r="GM787" s="29"/>
      <c r="GN787" s="29"/>
      <c r="GO787" s="29"/>
      <c r="GP787" s="29"/>
      <c r="GQ787" s="29"/>
      <c r="GR787" s="29"/>
      <c r="GS787" s="29"/>
      <c r="GT787" s="29"/>
      <c r="GU787" s="29"/>
      <c r="GV787" s="29"/>
      <c r="GW787" s="29"/>
      <c r="GX787" s="29"/>
      <c r="GY787" s="29"/>
      <c r="GZ787" s="29"/>
      <c r="HA787" s="29"/>
      <c r="HB787" s="29"/>
      <c r="HC787" s="29"/>
      <c r="HD787" s="29"/>
      <c r="HE787" s="29"/>
      <c r="HF787" s="29"/>
      <c r="HG787" s="29"/>
      <c r="HH787" s="29"/>
      <c r="HI787" s="29"/>
      <c r="HJ787" s="29"/>
      <c r="HK787" s="29"/>
      <c r="HL787" s="29"/>
      <c r="HM787" s="29"/>
      <c r="HN787" s="29"/>
      <c r="HO787" s="29"/>
      <c r="HP787" s="29"/>
      <c r="HQ787" s="29"/>
      <c r="HR787" s="29"/>
      <c r="HS787" s="29"/>
      <c r="HT787" s="29"/>
      <c r="HU787" s="29"/>
      <c r="HV787" s="29"/>
      <c r="HW787" s="29"/>
      <c r="HX787" s="29"/>
      <c r="HY787" s="29"/>
      <c r="HZ787" s="29"/>
      <c r="IA787" s="29"/>
      <c r="IB787" s="29"/>
      <c r="IC787" s="29"/>
      <c r="ID787" s="29"/>
      <c r="IE787" s="29"/>
      <c r="IF787" s="29"/>
      <c r="IG787" s="29"/>
      <c r="IH787" s="29"/>
      <c r="II787" s="29"/>
      <c r="IJ787" s="29"/>
      <c r="IK787" s="29"/>
      <c r="IL787" s="29"/>
      <c r="IM787" s="29"/>
      <c r="IN787" s="29"/>
      <c r="IO787" s="29"/>
      <c r="IP787" s="29"/>
      <c r="IQ787" s="29"/>
      <c r="IR787" s="29"/>
      <c r="IS787" s="29"/>
      <c r="IT787" s="29"/>
      <c r="IU787" s="29"/>
      <c r="IV787" s="29"/>
      <c r="IW787" s="29"/>
      <c r="IX787" s="29"/>
      <c r="IY787" s="29"/>
      <c r="IZ787" s="29"/>
      <c r="JA787" s="29"/>
      <c r="JB787" s="29"/>
      <c r="JC787" s="29"/>
      <c r="JD787" s="29"/>
      <c r="JE787" s="29"/>
      <c r="JF787" s="29"/>
      <c r="JG787" s="29"/>
      <c r="JH787" s="29"/>
      <c r="JI787" s="29"/>
      <c r="JJ787" s="29"/>
      <c r="JK787" s="29"/>
      <c r="JL787" s="29"/>
    </row>
    <row r="788" spans="1:272" ht="34.5" customHeight="1">
      <c r="A788" s="30" t="s">
        <v>142</v>
      </c>
      <c r="B788" s="31" t="s">
        <v>109</v>
      </c>
      <c r="C788" s="30" t="s">
        <v>39</v>
      </c>
      <c r="D788" s="30" t="s">
        <v>1927</v>
      </c>
      <c r="E788" s="30" t="s">
        <v>164</v>
      </c>
      <c r="F788" s="30" t="s">
        <v>478</v>
      </c>
      <c r="G788" s="30" t="s">
        <v>235</v>
      </c>
      <c r="H788" s="30">
        <v>238220</v>
      </c>
      <c r="I788" s="30" t="s">
        <v>45</v>
      </c>
      <c r="J788" s="30" t="s">
        <v>129</v>
      </c>
      <c r="K788" s="31" t="s">
        <v>91</v>
      </c>
      <c r="L788" s="30" t="s">
        <v>91</v>
      </c>
      <c r="M788" s="39">
        <v>25000</v>
      </c>
      <c r="N788" s="39">
        <v>100000</v>
      </c>
      <c r="O788" s="30" t="s">
        <v>79</v>
      </c>
      <c r="P788" s="30" t="s">
        <v>302</v>
      </c>
      <c r="Q788" s="30" t="s">
        <v>294</v>
      </c>
      <c r="R788" s="30"/>
      <c r="S788" s="41">
        <v>2014</v>
      </c>
      <c r="T788" s="31" t="s">
        <v>1912</v>
      </c>
      <c r="U788" s="31" t="s">
        <v>1928</v>
      </c>
      <c r="V788" s="30" t="s">
        <v>1914</v>
      </c>
      <c r="W788" s="129" t="s">
        <v>120</v>
      </c>
      <c r="X788" s="30" t="s">
        <v>345</v>
      </c>
      <c r="Y788" s="30" t="s">
        <v>345</v>
      </c>
      <c r="Z788" s="30" t="s">
        <v>345</v>
      </c>
      <c r="AA788" s="30" t="s">
        <v>393</v>
      </c>
      <c r="AE788" s="29"/>
      <c r="AF788" s="29"/>
      <c r="AG788" s="29"/>
      <c r="AH788" s="29"/>
      <c r="AI788" s="29"/>
      <c r="AJ788" s="29"/>
      <c r="AK788" s="29"/>
      <c r="AL788" s="29"/>
      <c r="AM788" s="29"/>
      <c r="AN788" s="29"/>
      <c r="AO788" s="29"/>
      <c r="AP788" s="29"/>
      <c r="AQ788" s="29"/>
      <c r="AR788" s="29"/>
      <c r="AS788" s="29"/>
      <c r="AT788" s="29"/>
      <c r="AU788" s="29"/>
      <c r="AV788" s="29"/>
      <c r="AW788" s="29"/>
      <c r="AX788" s="29"/>
      <c r="AY788" s="29"/>
      <c r="AZ788" s="29"/>
      <c r="BA788" s="29"/>
      <c r="BB788" s="29"/>
      <c r="BC788" s="29"/>
      <c r="BD788" s="29"/>
      <c r="BE788" s="29"/>
      <c r="BF788" s="29"/>
      <c r="BG788" s="29"/>
      <c r="BH788" s="29"/>
      <c r="BI788" s="29"/>
      <c r="BJ788" s="29"/>
      <c r="BK788" s="29"/>
      <c r="BL788" s="29"/>
      <c r="BM788" s="29"/>
      <c r="BN788" s="29"/>
      <c r="BO788" s="29"/>
      <c r="BP788" s="29"/>
      <c r="BQ788" s="29"/>
      <c r="BR788" s="29"/>
      <c r="BS788" s="29"/>
      <c r="BT788" s="29"/>
      <c r="BU788" s="29"/>
      <c r="BV788" s="29"/>
      <c r="BW788" s="29"/>
      <c r="BX788" s="29"/>
      <c r="BY788" s="29"/>
      <c r="BZ788" s="29"/>
      <c r="CA788" s="29"/>
      <c r="CB788" s="29"/>
      <c r="CC788" s="29"/>
      <c r="CD788" s="29"/>
      <c r="CE788" s="29"/>
      <c r="CF788" s="29"/>
      <c r="CG788" s="29"/>
      <c r="CH788" s="29"/>
      <c r="CI788" s="29"/>
      <c r="CJ788" s="29"/>
      <c r="CK788" s="29"/>
      <c r="CL788" s="29"/>
      <c r="CM788" s="29"/>
      <c r="CN788" s="29"/>
      <c r="CO788" s="29"/>
      <c r="CP788" s="29"/>
      <c r="CQ788" s="29"/>
      <c r="CR788" s="29"/>
      <c r="CS788" s="29"/>
      <c r="CT788" s="29"/>
      <c r="CU788" s="29"/>
      <c r="CV788" s="29"/>
      <c r="CW788" s="29"/>
      <c r="CX788" s="29"/>
      <c r="CY788" s="29"/>
      <c r="CZ788" s="29"/>
      <c r="DA788" s="29"/>
      <c r="DB788" s="29"/>
      <c r="DC788" s="29"/>
      <c r="DD788" s="29"/>
      <c r="DE788" s="29"/>
      <c r="DF788" s="29"/>
      <c r="DG788" s="29"/>
      <c r="DH788" s="29"/>
      <c r="DI788" s="29"/>
      <c r="DJ788" s="29"/>
      <c r="DK788" s="29"/>
      <c r="DL788" s="29"/>
      <c r="DM788" s="29"/>
      <c r="DN788" s="29"/>
      <c r="DO788" s="29"/>
      <c r="DP788" s="29"/>
      <c r="DQ788" s="29"/>
      <c r="DR788" s="29"/>
      <c r="DS788" s="29"/>
      <c r="DT788" s="29"/>
      <c r="DU788" s="29"/>
      <c r="DV788" s="29"/>
      <c r="DW788" s="29"/>
      <c r="DX788" s="29"/>
      <c r="DY788" s="29"/>
      <c r="DZ788" s="29"/>
      <c r="EA788" s="29"/>
      <c r="EB788" s="29"/>
      <c r="EC788" s="29"/>
      <c r="ED788" s="29"/>
      <c r="EE788" s="29"/>
      <c r="EF788" s="29"/>
      <c r="EG788" s="29"/>
      <c r="EH788" s="29"/>
      <c r="EI788" s="29"/>
      <c r="EJ788" s="29"/>
      <c r="EK788" s="29"/>
      <c r="EL788" s="29"/>
      <c r="EM788" s="29"/>
      <c r="EN788" s="29"/>
      <c r="EO788" s="29"/>
      <c r="EP788" s="29"/>
      <c r="EQ788" s="29"/>
      <c r="ER788" s="29"/>
      <c r="ES788" s="29"/>
      <c r="ET788" s="29"/>
      <c r="EU788" s="29"/>
      <c r="EV788" s="29"/>
      <c r="EW788" s="29"/>
      <c r="EX788" s="29"/>
      <c r="EY788" s="29"/>
      <c r="EZ788" s="29"/>
      <c r="FA788" s="29"/>
      <c r="FB788" s="29"/>
      <c r="FC788" s="29"/>
      <c r="FD788" s="29"/>
      <c r="FE788" s="29"/>
      <c r="FF788" s="29"/>
      <c r="FG788" s="29"/>
      <c r="FH788" s="29"/>
      <c r="FI788" s="29"/>
      <c r="FJ788" s="29"/>
      <c r="FK788" s="29"/>
      <c r="FL788" s="29"/>
      <c r="FM788" s="29"/>
      <c r="FN788" s="29"/>
      <c r="FO788" s="29"/>
      <c r="FP788" s="29"/>
      <c r="FQ788" s="29"/>
      <c r="FR788" s="29"/>
      <c r="FS788" s="29"/>
      <c r="FT788" s="29"/>
      <c r="FU788" s="29"/>
      <c r="FV788" s="29"/>
      <c r="FW788" s="29"/>
      <c r="FX788" s="29"/>
      <c r="FY788" s="29"/>
      <c r="FZ788" s="29"/>
      <c r="GA788" s="29"/>
      <c r="GB788" s="29"/>
      <c r="GC788" s="29"/>
      <c r="GD788" s="29"/>
      <c r="GE788" s="29"/>
      <c r="GF788" s="29"/>
      <c r="GG788" s="29"/>
      <c r="GH788" s="29"/>
      <c r="GI788" s="29"/>
      <c r="GJ788" s="29"/>
      <c r="GK788" s="29"/>
      <c r="GL788" s="29"/>
      <c r="GM788" s="29"/>
      <c r="GN788" s="29"/>
      <c r="GO788" s="29"/>
      <c r="GP788" s="29"/>
      <c r="GQ788" s="29"/>
      <c r="GR788" s="29"/>
      <c r="GS788" s="29"/>
      <c r="GT788" s="29"/>
      <c r="GU788" s="29"/>
      <c r="GV788" s="29"/>
      <c r="GW788" s="29"/>
      <c r="GX788" s="29"/>
      <c r="GY788" s="29"/>
      <c r="GZ788" s="29"/>
      <c r="HA788" s="29"/>
      <c r="HB788" s="29"/>
      <c r="HC788" s="29"/>
      <c r="HD788" s="29"/>
      <c r="HE788" s="29"/>
      <c r="HF788" s="29"/>
      <c r="HG788" s="29"/>
      <c r="HH788" s="29"/>
      <c r="HI788" s="29"/>
      <c r="HJ788" s="29"/>
      <c r="HK788" s="29"/>
      <c r="HL788" s="29"/>
      <c r="HM788" s="29"/>
      <c r="HN788" s="29"/>
      <c r="HO788" s="29"/>
      <c r="HP788" s="29"/>
      <c r="HQ788" s="29"/>
      <c r="HR788" s="29"/>
      <c r="HS788" s="29"/>
      <c r="HT788" s="29"/>
      <c r="HU788" s="29"/>
      <c r="HV788" s="29"/>
      <c r="HW788" s="29"/>
      <c r="HX788" s="29"/>
      <c r="HY788" s="29"/>
      <c r="HZ788" s="29"/>
      <c r="IA788" s="29"/>
      <c r="IB788" s="29"/>
      <c r="IC788" s="29"/>
      <c r="ID788" s="29"/>
      <c r="IE788" s="29"/>
      <c r="IF788" s="29"/>
      <c r="IG788" s="29"/>
      <c r="IH788" s="29"/>
      <c r="II788" s="29"/>
      <c r="IJ788" s="29"/>
      <c r="IK788" s="29"/>
      <c r="IL788" s="29"/>
      <c r="IM788" s="29"/>
      <c r="IN788" s="29"/>
      <c r="IO788" s="29"/>
      <c r="IP788" s="29"/>
      <c r="IQ788" s="29"/>
      <c r="IR788" s="29"/>
      <c r="IS788" s="29"/>
      <c r="IT788" s="29"/>
      <c r="IU788" s="29"/>
      <c r="IV788" s="29"/>
      <c r="IW788" s="29"/>
      <c r="IX788" s="29"/>
      <c r="IY788" s="29"/>
      <c r="IZ788" s="29"/>
      <c r="JA788" s="29"/>
      <c r="JB788" s="29"/>
      <c r="JC788" s="29"/>
      <c r="JD788" s="29"/>
      <c r="JE788" s="29"/>
      <c r="JF788" s="29"/>
      <c r="JG788" s="29"/>
      <c r="JH788" s="29"/>
      <c r="JI788" s="29"/>
      <c r="JJ788" s="29"/>
      <c r="JK788" s="29"/>
      <c r="JL788" s="29"/>
    </row>
    <row r="789" spans="1:272" ht="34.5" customHeight="1">
      <c r="A789" s="30" t="s">
        <v>142</v>
      </c>
      <c r="B789" s="31" t="s">
        <v>109</v>
      </c>
      <c r="C789" s="30" t="s">
        <v>39</v>
      </c>
      <c r="D789" s="30" t="s">
        <v>1929</v>
      </c>
      <c r="E789" s="30" t="s">
        <v>164</v>
      </c>
      <c r="F789" s="30" t="s">
        <v>1925</v>
      </c>
      <c r="G789" s="30" t="s">
        <v>235</v>
      </c>
      <c r="H789" s="30">
        <v>238220</v>
      </c>
      <c r="I789" s="30" t="s">
        <v>45</v>
      </c>
      <c r="J789" s="129" t="s">
        <v>129</v>
      </c>
      <c r="K789" s="31" t="s">
        <v>91</v>
      </c>
      <c r="L789" s="30" t="s">
        <v>91</v>
      </c>
      <c r="M789" s="39">
        <v>25000</v>
      </c>
      <c r="N789" s="39">
        <v>100000</v>
      </c>
      <c r="O789" s="30" t="s">
        <v>79</v>
      </c>
      <c r="P789" s="30" t="s">
        <v>302</v>
      </c>
      <c r="Q789" s="30" t="s">
        <v>294</v>
      </c>
      <c r="R789" s="30"/>
      <c r="S789" s="41">
        <v>2014</v>
      </c>
      <c r="T789" s="31" t="s">
        <v>1912</v>
      </c>
      <c r="U789" s="31" t="s">
        <v>1930</v>
      </c>
      <c r="V789" s="30" t="s">
        <v>1914</v>
      </c>
      <c r="W789" s="129" t="s">
        <v>120</v>
      </c>
      <c r="X789" s="30" t="s">
        <v>345</v>
      </c>
      <c r="Y789" s="30" t="s">
        <v>345</v>
      </c>
      <c r="Z789" s="30" t="s">
        <v>345</v>
      </c>
      <c r="AA789" s="30" t="s">
        <v>393</v>
      </c>
      <c r="AE789" s="29"/>
      <c r="AF789" s="29"/>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c r="BF789" s="29"/>
      <c r="BG789" s="29"/>
      <c r="BH789" s="29"/>
      <c r="BI789" s="29"/>
      <c r="BJ789" s="29"/>
      <c r="BK789" s="29"/>
      <c r="BL789" s="29"/>
      <c r="BM789" s="29"/>
      <c r="BN789" s="29"/>
      <c r="BO789" s="29"/>
      <c r="BP789" s="29"/>
      <c r="BQ789" s="29"/>
      <c r="BR789" s="29"/>
      <c r="BS789" s="29"/>
      <c r="BT789" s="29"/>
      <c r="BU789" s="29"/>
      <c r="BV789" s="29"/>
      <c r="BW789" s="29"/>
      <c r="BX789" s="29"/>
      <c r="BY789" s="29"/>
      <c r="BZ789" s="29"/>
      <c r="CA789" s="29"/>
      <c r="CB789" s="29"/>
      <c r="CC789" s="29"/>
      <c r="CD789" s="29"/>
      <c r="CE789" s="29"/>
      <c r="CF789" s="29"/>
      <c r="CG789" s="29"/>
      <c r="CH789" s="29"/>
      <c r="CI789" s="29"/>
      <c r="CJ789" s="29"/>
      <c r="CK789" s="29"/>
      <c r="CL789" s="29"/>
      <c r="CM789" s="29"/>
      <c r="CN789" s="29"/>
      <c r="CO789" s="29"/>
      <c r="CP789" s="29"/>
      <c r="CQ789" s="29"/>
      <c r="CR789" s="29"/>
      <c r="CS789" s="29"/>
      <c r="CT789" s="29"/>
      <c r="CU789" s="29"/>
      <c r="CV789" s="29"/>
      <c r="CW789" s="29"/>
      <c r="CX789" s="29"/>
      <c r="CY789" s="29"/>
      <c r="CZ789" s="29"/>
      <c r="DA789" s="29"/>
      <c r="DB789" s="29"/>
      <c r="DC789" s="29"/>
      <c r="DD789" s="29"/>
      <c r="DE789" s="29"/>
      <c r="DF789" s="29"/>
      <c r="DG789" s="29"/>
      <c r="DH789" s="29"/>
      <c r="DI789" s="29"/>
      <c r="DJ789" s="29"/>
      <c r="DK789" s="29"/>
      <c r="DL789" s="29"/>
      <c r="DM789" s="29"/>
      <c r="DN789" s="29"/>
      <c r="DO789" s="29"/>
      <c r="DP789" s="29"/>
      <c r="DQ789" s="29"/>
      <c r="DR789" s="29"/>
      <c r="DS789" s="29"/>
      <c r="DT789" s="29"/>
      <c r="DU789" s="29"/>
      <c r="DV789" s="29"/>
      <c r="DW789" s="29"/>
      <c r="DX789" s="29"/>
      <c r="DY789" s="29"/>
      <c r="DZ789" s="29"/>
      <c r="EA789" s="29"/>
      <c r="EB789" s="29"/>
      <c r="EC789" s="29"/>
      <c r="ED789" s="29"/>
      <c r="EE789" s="29"/>
      <c r="EF789" s="29"/>
      <c r="EG789" s="29"/>
      <c r="EH789" s="29"/>
      <c r="EI789" s="29"/>
      <c r="EJ789" s="29"/>
      <c r="EK789" s="29"/>
      <c r="EL789" s="29"/>
      <c r="EM789" s="29"/>
      <c r="EN789" s="29"/>
      <c r="EO789" s="29"/>
      <c r="EP789" s="29"/>
      <c r="EQ789" s="29"/>
      <c r="ER789" s="29"/>
      <c r="ES789" s="29"/>
      <c r="ET789" s="29"/>
      <c r="EU789" s="29"/>
      <c r="EV789" s="29"/>
      <c r="EW789" s="29"/>
      <c r="EX789" s="29"/>
      <c r="EY789" s="29"/>
      <c r="EZ789" s="29"/>
      <c r="FA789" s="29"/>
      <c r="FB789" s="29"/>
      <c r="FC789" s="29"/>
      <c r="FD789" s="29"/>
      <c r="FE789" s="29"/>
      <c r="FF789" s="29"/>
      <c r="FG789" s="29"/>
      <c r="FH789" s="29"/>
      <c r="FI789" s="29"/>
      <c r="FJ789" s="29"/>
      <c r="FK789" s="29"/>
      <c r="FL789" s="29"/>
      <c r="FM789" s="29"/>
      <c r="FN789" s="29"/>
      <c r="FO789" s="29"/>
      <c r="FP789" s="29"/>
      <c r="FQ789" s="29"/>
      <c r="FR789" s="29"/>
      <c r="FS789" s="29"/>
      <c r="FT789" s="29"/>
      <c r="FU789" s="29"/>
      <c r="FV789" s="29"/>
      <c r="FW789" s="29"/>
      <c r="FX789" s="29"/>
      <c r="FY789" s="29"/>
      <c r="FZ789" s="29"/>
      <c r="GA789" s="29"/>
      <c r="GB789" s="29"/>
      <c r="GC789" s="29"/>
      <c r="GD789" s="29"/>
      <c r="GE789" s="29"/>
      <c r="GF789" s="29"/>
      <c r="GG789" s="29"/>
      <c r="GH789" s="29"/>
      <c r="GI789" s="29"/>
      <c r="GJ789" s="29"/>
      <c r="GK789" s="29"/>
      <c r="GL789" s="29"/>
      <c r="GM789" s="29"/>
      <c r="GN789" s="29"/>
      <c r="GO789" s="29"/>
      <c r="GP789" s="29"/>
      <c r="GQ789" s="29"/>
      <c r="GR789" s="29"/>
      <c r="GS789" s="29"/>
      <c r="GT789" s="29"/>
      <c r="GU789" s="29"/>
      <c r="GV789" s="29"/>
      <c r="GW789" s="29"/>
      <c r="GX789" s="29"/>
      <c r="GY789" s="29"/>
      <c r="GZ789" s="29"/>
      <c r="HA789" s="29"/>
      <c r="HB789" s="29"/>
      <c r="HC789" s="29"/>
      <c r="HD789" s="29"/>
      <c r="HE789" s="29"/>
      <c r="HF789" s="29"/>
      <c r="HG789" s="29"/>
      <c r="HH789" s="29"/>
      <c r="HI789" s="29"/>
      <c r="HJ789" s="29"/>
      <c r="HK789" s="29"/>
      <c r="HL789" s="29"/>
      <c r="HM789" s="29"/>
      <c r="HN789" s="29"/>
      <c r="HO789" s="29"/>
      <c r="HP789" s="29"/>
      <c r="HQ789" s="29"/>
      <c r="HR789" s="29"/>
      <c r="HS789" s="29"/>
      <c r="HT789" s="29"/>
      <c r="HU789" s="29"/>
      <c r="HV789" s="29"/>
      <c r="HW789" s="29"/>
      <c r="HX789" s="29"/>
      <c r="HY789" s="29"/>
      <c r="HZ789" s="29"/>
      <c r="IA789" s="29"/>
      <c r="IB789" s="29"/>
      <c r="IC789" s="29"/>
      <c r="ID789" s="29"/>
      <c r="IE789" s="29"/>
      <c r="IF789" s="29"/>
      <c r="IG789" s="29"/>
      <c r="IH789" s="29"/>
      <c r="II789" s="29"/>
      <c r="IJ789" s="29"/>
      <c r="IK789" s="29"/>
      <c r="IL789" s="29"/>
      <c r="IM789" s="29"/>
      <c r="IN789" s="29"/>
      <c r="IO789" s="29"/>
      <c r="IP789" s="29"/>
      <c r="IQ789" s="29"/>
      <c r="IR789" s="29"/>
      <c r="IS789" s="29"/>
      <c r="IT789" s="29"/>
      <c r="IU789" s="29"/>
      <c r="IV789" s="29"/>
      <c r="IW789" s="29"/>
      <c r="IX789" s="29"/>
      <c r="IY789" s="29"/>
      <c r="IZ789" s="29"/>
      <c r="JA789" s="29"/>
      <c r="JB789" s="29"/>
      <c r="JC789" s="29"/>
      <c r="JD789" s="29"/>
      <c r="JE789" s="29"/>
      <c r="JF789" s="29"/>
      <c r="JG789" s="29"/>
      <c r="JH789" s="29"/>
      <c r="JI789" s="29"/>
      <c r="JJ789" s="29"/>
      <c r="JK789" s="29"/>
      <c r="JL789" s="29"/>
    </row>
    <row r="790" spans="1:272" ht="38.25">
      <c r="A790" s="30" t="s">
        <v>71</v>
      </c>
      <c r="B790" s="30" t="s">
        <v>94</v>
      </c>
      <c r="C790" s="30" t="s">
        <v>1931</v>
      </c>
      <c r="D790" s="30" t="s">
        <v>1932</v>
      </c>
      <c r="E790" s="30">
        <v>36</v>
      </c>
      <c r="F790" s="129" t="s">
        <v>822</v>
      </c>
      <c r="G790" s="129" t="s">
        <v>3364</v>
      </c>
      <c r="H790" s="30">
        <v>333293</v>
      </c>
      <c r="I790" s="129" t="s">
        <v>113</v>
      </c>
      <c r="J790" s="30" t="s">
        <v>623</v>
      </c>
      <c r="K790" s="30" t="s">
        <v>1933</v>
      </c>
      <c r="L790" s="30" t="s">
        <v>1933</v>
      </c>
      <c r="M790" s="45" t="s">
        <v>302</v>
      </c>
      <c r="N790" s="45" t="s">
        <v>302</v>
      </c>
      <c r="O790" s="30" t="s">
        <v>79</v>
      </c>
      <c r="P790" s="30" t="s">
        <v>453</v>
      </c>
      <c r="Q790" s="30" t="s">
        <v>294</v>
      </c>
      <c r="R790" s="129" t="s">
        <v>150</v>
      </c>
      <c r="S790" s="41">
        <v>2014</v>
      </c>
      <c r="T790" s="31" t="s">
        <v>1934</v>
      </c>
      <c r="U790" s="31" t="s">
        <v>1935</v>
      </c>
      <c r="V790" s="30" t="s">
        <v>1936</v>
      </c>
      <c r="W790" s="30" t="s">
        <v>46</v>
      </c>
      <c r="X790" s="30" t="s">
        <v>1937</v>
      </c>
      <c r="Y790" s="129" t="s">
        <v>3452</v>
      </c>
      <c r="Z790" s="129" t="s">
        <v>3452</v>
      </c>
      <c r="AA790" s="30" t="s">
        <v>623</v>
      </c>
      <c r="AE790" s="29"/>
      <c r="AF790" s="29"/>
      <c r="AG790" s="29"/>
      <c r="AH790" s="29"/>
      <c r="AI790" s="29"/>
      <c r="AJ790" s="29"/>
      <c r="AK790" s="29"/>
      <c r="AL790" s="29"/>
      <c r="AM790" s="29"/>
      <c r="AN790" s="29"/>
      <c r="AO790" s="29"/>
      <c r="AP790" s="29"/>
      <c r="AQ790" s="29"/>
      <c r="AR790" s="29"/>
      <c r="AS790" s="29"/>
      <c r="AT790" s="29"/>
      <c r="AU790" s="29"/>
      <c r="AV790" s="29"/>
      <c r="AW790" s="29"/>
      <c r="AX790" s="29"/>
      <c r="AY790" s="29"/>
      <c r="AZ790" s="29"/>
      <c r="BA790" s="29"/>
      <c r="BB790" s="29"/>
      <c r="BC790" s="29"/>
      <c r="BD790" s="29"/>
      <c r="BE790" s="29"/>
      <c r="BF790" s="29"/>
      <c r="BG790" s="29"/>
      <c r="BH790" s="29"/>
      <c r="BI790" s="29"/>
      <c r="BJ790" s="29"/>
      <c r="BK790" s="29"/>
      <c r="BL790" s="29"/>
      <c r="BM790" s="29"/>
      <c r="BN790" s="29"/>
      <c r="BO790" s="29"/>
      <c r="BP790" s="29"/>
      <c r="BQ790" s="29"/>
      <c r="BR790" s="29"/>
      <c r="BS790" s="29"/>
      <c r="BT790" s="29"/>
      <c r="BU790" s="29"/>
      <c r="BV790" s="29"/>
      <c r="BW790" s="29"/>
      <c r="BX790" s="29"/>
      <c r="BY790" s="29"/>
      <c r="BZ790" s="29"/>
      <c r="CA790" s="29"/>
      <c r="CB790" s="29"/>
      <c r="CC790" s="29"/>
      <c r="CD790" s="29"/>
      <c r="CE790" s="29"/>
      <c r="CF790" s="29"/>
      <c r="CG790" s="29"/>
      <c r="CH790" s="29"/>
      <c r="CI790" s="29"/>
      <c r="CJ790" s="29"/>
      <c r="CK790" s="29"/>
      <c r="CL790" s="29"/>
      <c r="CM790" s="29"/>
      <c r="CN790" s="29"/>
      <c r="CO790" s="29"/>
      <c r="CP790" s="29"/>
      <c r="CQ790" s="29"/>
      <c r="CR790" s="29"/>
      <c r="CS790" s="29"/>
      <c r="CT790" s="29"/>
      <c r="CU790" s="29"/>
      <c r="CV790" s="29"/>
      <c r="CW790" s="29"/>
      <c r="CX790" s="29"/>
      <c r="CY790" s="29"/>
      <c r="CZ790" s="29"/>
      <c r="DA790" s="29"/>
      <c r="DB790" s="29"/>
      <c r="DC790" s="29"/>
      <c r="DD790" s="29"/>
      <c r="DE790" s="29"/>
      <c r="DF790" s="29"/>
      <c r="DG790" s="29"/>
      <c r="DH790" s="29"/>
      <c r="DI790" s="29"/>
      <c r="DJ790" s="29"/>
      <c r="DK790" s="29"/>
      <c r="DL790" s="29"/>
      <c r="DM790" s="29"/>
      <c r="DN790" s="29"/>
      <c r="DO790" s="29"/>
      <c r="DP790" s="29"/>
      <c r="DQ790" s="29"/>
      <c r="DR790" s="29"/>
      <c r="DS790" s="29"/>
      <c r="DT790" s="29"/>
      <c r="DU790" s="29"/>
      <c r="DV790" s="29"/>
      <c r="DW790" s="29"/>
      <c r="DX790" s="29"/>
      <c r="DY790" s="29"/>
      <c r="DZ790" s="29"/>
      <c r="EA790" s="29"/>
      <c r="EB790" s="29"/>
      <c r="EC790" s="29"/>
      <c r="ED790" s="29"/>
      <c r="EE790" s="29"/>
      <c r="EF790" s="29"/>
      <c r="EG790" s="29"/>
      <c r="EH790" s="29"/>
      <c r="EI790" s="29"/>
      <c r="EJ790" s="29"/>
      <c r="EK790" s="29"/>
      <c r="EL790" s="29"/>
      <c r="EM790" s="29"/>
      <c r="EN790" s="29"/>
      <c r="EO790" s="29"/>
      <c r="EP790" s="29"/>
      <c r="EQ790" s="29"/>
      <c r="ER790" s="29"/>
      <c r="ES790" s="29"/>
      <c r="ET790" s="29"/>
      <c r="EU790" s="29"/>
      <c r="EV790" s="29"/>
      <c r="EW790" s="29"/>
      <c r="EX790" s="29"/>
      <c r="EY790" s="29"/>
      <c r="EZ790" s="29"/>
      <c r="FA790" s="29"/>
      <c r="FB790" s="29"/>
      <c r="FC790" s="29"/>
      <c r="FD790" s="29"/>
      <c r="FE790" s="29"/>
      <c r="FF790" s="29"/>
      <c r="FG790" s="29"/>
      <c r="FH790" s="29"/>
      <c r="FI790" s="29"/>
      <c r="FJ790" s="29"/>
      <c r="FK790" s="29"/>
      <c r="FL790" s="29"/>
      <c r="FM790" s="29"/>
      <c r="FN790" s="29"/>
      <c r="FO790" s="29"/>
      <c r="FP790" s="29"/>
      <c r="FQ790" s="29"/>
      <c r="FR790" s="29"/>
      <c r="FS790" s="29"/>
      <c r="FT790" s="29"/>
      <c r="FU790" s="29"/>
      <c r="FV790" s="29"/>
      <c r="FW790" s="29"/>
      <c r="FX790" s="29"/>
      <c r="FY790" s="29"/>
      <c r="FZ790" s="29"/>
      <c r="GA790" s="29"/>
      <c r="GB790" s="29"/>
      <c r="GC790" s="29"/>
      <c r="GD790" s="29"/>
      <c r="GE790" s="29"/>
      <c r="GF790" s="29"/>
      <c r="GG790" s="29"/>
      <c r="GH790" s="29"/>
      <c r="GI790" s="29"/>
      <c r="GJ790" s="29"/>
      <c r="GK790" s="29"/>
      <c r="GL790" s="29"/>
      <c r="GM790" s="29"/>
      <c r="GN790" s="29"/>
      <c r="GO790" s="29"/>
      <c r="GP790" s="29"/>
      <c r="GQ790" s="29"/>
      <c r="GR790" s="29"/>
      <c r="GS790" s="29"/>
      <c r="GT790" s="29"/>
      <c r="GU790" s="29"/>
      <c r="GV790" s="29"/>
      <c r="GW790" s="29"/>
      <c r="GX790" s="29"/>
      <c r="GY790" s="29"/>
      <c r="GZ790" s="29"/>
      <c r="HA790" s="29"/>
      <c r="HB790" s="29"/>
      <c r="HC790" s="29"/>
      <c r="HD790" s="29"/>
      <c r="HE790" s="29"/>
      <c r="HF790" s="29"/>
      <c r="HG790" s="29"/>
      <c r="HH790" s="29"/>
      <c r="HI790" s="29"/>
      <c r="HJ790" s="29"/>
      <c r="HK790" s="29"/>
      <c r="HL790" s="29"/>
      <c r="HM790" s="29"/>
      <c r="HN790" s="29"/>
      <c r="HO790" s="29"/>
      <c r="HP790" s="29"/>
      <c r="HQ790" s="29"/>
      <c r="HR790" s="29"/>
      <c r="HS790" s="29"/>
      <c r="HT790" s="29"/>
      <c r="HU790" s="29"/>
      <c r="HV790" s="29"/>
      <c r="HW790" s="29"/>
      <c r="HX790" s="29"/>
      <c r="HY790" s="29"/>
      <c r="HZ790" s="29"/>
      <c r="IA790" s="29"/>
      <c r="IB790" s="29"/>
      <c r="IC790" s="29"/>
      <c r="ID790" s="29"/>
      <c r="IE790" s="29"/>
      <c r="IF790" s="29"/>
      <c r="IG790" s="29"/>
      <c r="IH790" s="29"/>
      <c r="II790" s="29"/>
      <c r="IJ790" s="29"/>
      <c r="IK790" s="29"/>
      <c r="IL790" s="29"/>
      <c r="IM790" s="29"/>
      <c r="IN790" s="29"/>
      <c r="IO790" s="29"/>
      <c r="IP790" s="29"/>
      <c r="IQ790" s="29"/>
      <c r="IR790" s="29"/>
      <c r="IS790" s="29"/>
      <c r="IT790" s="29"/>
      <c r="IU790" s="29"/>
      <c r="IV790" s="29"/>
      <c r="IW790" s="29"/>
      <c r="IX790" s="29"/>
      <c r="IY790" s="29"/>
      <c r="IZ790" s="29"/>
      <c r="JA790" s="29"/>
      <c r="JB790" s="29"/>
      <c r="JC790" s="29"/>
      <c r="JD790" s="29"/>
      <c r="JE790" s="29"/>
      <c r="JF790" s="29"/>
      <c r="JG790" s="29"/>
      <c r="JH790" s="29"/>
      <c r="JI790" s="29"/>
      <c r="JJ790" s="29"/>
      <c r="JK790" s="29"/>
      <c r="JL790" s="29"/>
    </row>
    <row r="791" spans="1:272" ht="63.75">
      <c r="A791" s="30" t="s">
        <v>71</v>
      </c>
      <c r="B791" s="30" t="s">
        <v>94</v>
      </c>
      <c r="C791" s="30" t="s">
        <v>1931</v>
      </c>
      <c r="D791" s="30" t="s">
        <v>1938</v>
      </c>
      <c r="E791" s="30">
        <v>58</v>
      </c>
      <c r="F791" s="129" t="s">
        <v>822</v>
      </c>
      <c r="G791" s="129" t="s">
        <v>3364</v>
      </c>
      <c r="H791" s="30">
        <v>334310</v>
      </c>
      <c r="I791" s="30"/>
      <c r="J791" s="30" t="s">
        <v>623</v>
      </c>
      <c r="K791" s="30" t="s">
        <v>1933</v>
      </c>
      <c r="L791" s="30" t="s">
        <v>1933</v>
      </c>
      <c r="M791" s="45" t="s">
        <v>302</v>
      </c>
      <c r="N791" s="45" t="s">
        <v>302</v>
      </c>
      <c r="O791" s="30" t="s">
        <v>79</v>
      </c>
      <c r="P791" s="30" t="s">
        <v>453</v>
      </c>
      <c r="Q791" s="30" t="s">
        <v>294</v>
      </c>
      <c r="R791" s="129" t="s">
        <v>150</v>
      </c>
      <c r="S791" s="41">
        <v>2014</v>
      </c>
      <c r="T791" s="31" t="s">
        <v>1939</v>
      </c>
      <c r="U791" s="31" t="s">
        <v>1940</v>
      </c>
      <c r="V791" s="30" t="s">
        <v>1941</v>
      </c>
      <c r="W791" s="30" t="s">
        <v>46</v>
      </c>
      <c r="X791" s="30" t="s">
        <v>1937</v>
      </c>
      <c r="Y791" s="129" t="s">
        <v>3452</v>
      </c>
      <c r="Z791" s="129" t="s">
        <v>3452</v>
      </c>
      <c r="AA791" s="30" t="s">
        <v>623</v>
      </c>
      <c r="AE791" s="29"/>
      <c r="AF791" s="29"/>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c r="BF791" s="29"/>
      <c r="BG791" s="29"/>
      <c r="BH791" s="29"/>
      <c r="BI791" s="29"/>
      <c r="BJ791" s="29"/>
      <c r="BK791" s="29"/>
      <c r="BL791" s="29"/>
      <c r="BM791" s="29"/>
      <c r="BN791" s="29"/>
      <c r="BO791" s="29"/>
      <c r="BP791" s="29"/>
      <c r="BQ791" s="29"/>
      <c r="BR791" s="29"/>
      <c r="BS791" s="29"/>
      <c r="BT791" s="29"/>
      <c r="BU791" s="29"/>
      <c r="BV791" s="29"/>
      <c r="BW791" s="29"/>
      <c r="BX791" s="29"/>
      <c r="BY791" s="29"/>
      <c r="BZ791" s="29"/>
      <c r="CA791" s="29"/>
      <c r="CB791" s="29"/>
      <c r="CC791" s="29"/>
      <c r="CD791" s="29"/>
      <c r="CE791" s="29"/>
      <c r="CF791" s="29"/>
      <c r="CG791" s="29"/>
      <c r="CH791" s="29"/>
      <c r="CI791" s="29"/>
      <c r="CJ791" s="29"/>
      <c r="CK791" s="29"/>
      <c r="CL791" s="29"/>
      <c r="CM791" s="29"/>
      <c r="CN791" s="29"/>
      <c r="CO791" s="29"/>
      <c r="CP791" s="29"/>
      <c r="CQ791" s="29"/>
      <c r="CR791" s="29"/>
      <c r="CS791" s="29"/>
      <c r="CT791" s="29"/>
      <c r="CU791" s="29"/>
      <c r="CV791" s="29"/>
      <c r="CW791" s="29"/>
      <c r="CX791" s="29"/>
      <c r="CY791" s="29"/>
      <c r="CZ791" s="29"/>
      <c r="DA791" s="29"/>
      <c r="DB791" s="29"/>
      <c r="DC791" s="29"/>
      <c r="DD791" s="29"/>
      <c r="DE791" s="29"/>
      <c r="DF791" s="29"/>
      <c r="DG791" s="29"/>
      <c r="DH791" s="29"/>
      <c r="DI791" s="29"/>
      <c r="DJ791" s="29"/>
      <c r="DK791" s="29"/>
      <c r="DL791" s="29"/>
      <c r="DM791" s="29"/>
      <c r="DN791" s="29"/>
      <c r="DO791" s="29"/>
      <c r="DP791" s="29"/>
      <c r="DQ791" s="29"/>
      <c r="DR791" s="29"/>
      <c r="DS791" s="29"/>
      <c r="DT791" s="29"/>
      <c r="DU791" s="29"/>
      <c r="DV791" s="29"/>
      <c r="DW791" s="29"/>
      <c r="DX791" s="29"/>
      <c r="DY791" s="29"/>
      <c r="DZ791" s="29"/>
      <c r="EA791" s="29"/>
      <c r="EB791" s="29"/>
      <c r="EC791" s="29"/>
      <c r="ED791" s="29"/>
      <c r="EE791" s="29"/>
      <c r="EF791" s="29"/>
      <c r="EG791" s="29"/>
      <c r="EH791" s="29"/>
      <c r="EI791" s="29"/>
      <c r="EJ791" s="29"/>
      <c r="EK791" s="29"/>
      <c r="EL791" s="29"/>
      <c r="EM791" s="29"/>
      <c r="EN791" s="29"/>
      <c r="EO791" s="29"/>
      <c r="EP791" s="29"/>
      <c r="EQ791" s="29"/>
      <c r="ER791" s="29"/>
      <c r="ES791" s="29"/>
      <c r="ET791" s="29"/>
      <c r="EU791" s="29"/>
      <c r="EV791" s="29"/>
      <c r="EW791" s="29"/>
      <c r="EX791" s="29"/>
      <c r="EY791" s="29"/>
      <c r="EZ791" s="29"/>
      <c r="FA791" s="29"/>
      <c r="FB791" s="29"/>
      <c r="FC791" s="29"/>
      <c r="FD791" s="29"/>
      <c r="FE791" s="29"/>
      <c r="FF791" s="29"/>
      <c r="FG791" s="29"/>
      <c r="FH791" s="29"/>
      <c r="FI791" s="29"/>
      <c r="FJ791" s="29"/>
      <c r="FK791" s="29"/>
      <c r="FL791" s="29"/>
      <c r="FM791" s="29"/>
      <c r="FN791" s="29"/>
      <c r="FO791" s="29"/>
      <c r="FP791" s="29"/>
      <c r="FQ791" s="29"/>
      <c r="FR791" s="29"/>
      <c r="FS791" s="29"/>
      <c r="FT791" s="29"/>
      <c r="FU791" s="29"/>
      <c r="FV791" s="29"/>
      <c r="FW791" s="29"/>
      <c r="FX791" s="29"/>
      <c r="FY791" s="29"/>
      <c r="FZ791" s="29"/>
      <c r="GA791" s="29"/>
      <c r="GB791" s="29"/>
      <c r="GC791" s="29"/>
      <c r="GD791" s="29"/>
      <c r="GE791" s="29"/>
      <c r="GF791" s="29"/>
      <c r="GG791" s="29"/>
      <c r="GH791" s="29"/>
      <c r="GI791" s="29"/>
      <c r="GJ791" s="29"/>
      <c r="GK791" s="29"/>
      <c r="GL791" s="29"/>
      <c r="GM791" s="29"/>
      <c r="GN791" s="29"/>
      <c r="GO791" s="29"/>
      <c r="GP791" s="29"/>
      <c r="GQ791" s="29"/>
      <c r="GR791" s="29"/>
      <c r="GS791" s="29"/>
      <c r="GT791" s="29"/>
      <c r="GU791" s="29"/>
      <c r="GV791" s="29"/>
      <c r="GW791" s="29"/>
      <c r="GX791" s="29"/>
      <c r="GY791" s="29"/>
      <c r="GZ791" s="29"/>
      <c r="HA791" s="29"/>
      <c r="HB791" s="29"/>
      <c r="HC791" s="29"/>
      <c r="HD791" s="29"/>
      <c r="HE791" s="29"/>
      <c r="HF791" s="29"/>
      <c r="HG791" s="29"/>
      <c r="HH791" s="29"/>
      <c r="HI791" s="29"/>
      <c r="HJ791" s="29"/>
      <c r="HK791" s="29"/>
      <c r="HL791" s="29"/>
      <c r="HM791" s="29"/>
      <c r="HN791" s="29"/>
      <c r="HO791" s="29"/>
      <c r="HP791" s="29"/>
      <c r="HQ791" s="29"/>
      <c r="HR791" s="29"/>
      <c r="HS791" s="29"/>
      <c r="HT791" s="29"/>
      <c r="HU791" s="29"/>
      <c r="HV791" s="29"/>
      <c r="HW791" s="29"/>
      <c r="HX791" s="29"/>
      <c r="HY791" s="29"/>
      <c r="HZ791" s="29"/>
      <c r="IA791" s="29"/>
      <c r="IB791" s="29"/>
      <c r="IC791" s="29"/>
      <c r="ID791" s="29"/>
      <c r="IE791" s="29"/>
      <c r="IF791" s="29"/>
      <c r="IG791" s="29"/>
      <c r="IH791" s="29"/>
      <c r="II791" s="29"/>
      <c r="IJ791" s="29"/>
      <c r="IK791" s="29"/>
      <c r="IL791" s="29"/>
      <c r="IM791" s="29"/>
      <c r="IN791" s="29"/>
      <c r="IO791" s="29"/>
      <c r="IP791" s="29"/>
      <c r="IQ791" s="29"/>
      <c r="IR791" s="29"/>
      <c r="IS791" s="29"/>
      <c r="IT791" s="29"/>
      <c r="IU791" s="29"/>
      <c r="IV791" s="29"/>
      <c r="IW791" s="29"/>
      <c r="IX791" s="29"/>
      <c r="IY791" s="29"/>
      <c r="IZ791" s="29"/>
      <c r="JA791" s="29"/>
      <c r="JB791" s="29"/>
      <c r="JC791" s="29"/>
      <c r="JD791" s="29"/>
      <c r="JE791" s="29"/>
      <c r="JF791" s="29"/>
      <c r="JG791" s="29"/>
      <c r="JH791" s="29"/>
      <c r="JI791" s="29"/>
      <c r="JJ791" s="29"/>
      <c r="JK791" s="29"/>
      <c r="JL791" s="29"/>
    </row>
    <row r="792" spans="1:272" ht="38.25">
      <c r="A792" s="30" t="s">
        <v>71</v>
      </c>
      <c r="B792" s="30" t="s">
        <v>94</v>
      </c>
      <c r="C792" s="30" t="s">
        <v>1931</v>
      </c>
      <c r="D792" s="30" t="s">
        <v>1942</v>
      </c>
      <c r="E792" s="30">
        <v>72</v>
      </c>
      <c r="F792" s="129" t="s">
        <v>822</v>
      </c>
      <c r="G792" s="129" t="s">
        <v>3364</v>
      </c>
      <c r="H792" s="30">
        <v>314110</v>
      </c>
      <c r="I792" s="129" t="s">
        <v>113</v>
      </c>
      <c r="J792" s="30" t="s">
        <v>623</v>
      </c>
      <c r="K792" s="30" t="s">
        <v>1933</v>
      </c>
      <c r="L792" s="30" t="s">
        <v>1933</v>
      </c>
      <c r="M792" s="45" t="s">
        <v>302</v>
      </c>
      <c r="N792" s="45" t="s">
        <v>302</v>
      </c>
      <c r="O792" s="30" t="s">
        <v>79</v>
      </c>
      <c r="P792" s="30" t="s">
        <v>453</v>
      </c>
      <c r="Q792" s="30" t="s">
        <v>294</v>
      </c>
      <c r="R792" s="129" t="s">
        <v>35</v>
      </c>
      <c r="S792" s="41">
        <v>2014</v>
      </c>
      <c r="T792" s="31" t="s">
        <v>1943</v>
      </c>
      <c r="U792" s="31" t="s">
        <v>1944</v>
      </c>
      <c r="V792" s="30" t="s">
        <v>1945</v>
      </c>
      <c r="W792" s="30" t="s">
        <v>46</v>
      </c>
      <c r="X792" s="30" t="s">
        <v>1937</v>
      </c>
      <c r="Y792" s="129" t="s">
        <v>3452</v>
      </c>
      <c r="Z792" s="129" t="s">
        <v>3452</v>
      </c>
      <c r="AA792" s="30" t="s">
        <v>623</v>
      </c>
      <c r="AE792" s="29"/>
      <c r="AF792" s="29"/>
      <c r="AG792" s="29"/>
      <c r="AH792" s="29"/>
      <c r="AI792" s="29"/>
      <c r="AJ792" s="29"/>
      <c r="AK792" s="29"/>
      <c r="AL792" s="29"/>
      <c r="AM792" s="29"/>
      <c r="AN792" s="29"/>
      <c r="AO792" s="29"/>
      <c r="AP792" s="29"/>
      <c r="AQ792" s="29"/>
      <c r="AR792" s="29"/>
      <c r="AS792" s="29"/>
      <c r="AT792" s="29"/>
      <c r="AU792" s="29"/>
      <c r="AV792" s="29"/>
      <c r="AW792" s="29"/>
      <c r="AX792" s="29"/>
      <c r="AY792" s="29"/>
      <c r="AZ792" s="29"/>
      <c r="BA792" s="29"/>
      <c r="BB792" s="29"/>
      <c r="BC792" s="29"/>
      <c r="BD792" s="29"/>
      <c r="BE792" s="29"/>
      <c r="BF792" s="29"/>
      <c r="BG792" s="29"/>
      <c r="BH792" s="29"/>
      <c r="BI792" s="29"/>
      <c r="BJ792" s="29"/>
      <c r="BK792" s="29"/>
      <c r="BL792" s="29"/>
      <c r="BM792" s="29"/>
      <c r="BN792" s="29"/>
      <c r="BO792" s="29"/>
      <c r="BP792" s="29"/>
      <c r="BQ792" s="29"/>
      <c r="BR792" s="29"/>
      <c r="BS792" s="29"/>
      <c r="BT792" s="29"/>
      <c r="BU792" s="29"/>
      <c r="BV792" s="29"/>
      <c r="BW792" s="29"/>
      <c r="BX792" s="29"/>
      <c r="BY792" s="29"/>
      <c r="BZ792" s="29"/>
      <c r="CA792" s="29"/>
      <c r="CB792" s="29"/>
      <c r="CC792" s="29"/>
      <c r="CD792" s="29"/>
      <c r="CE792" s="29"/>
      <c r="CF792" s="29"/>
      <c r="CG792" s="29"/>
      <c r="CH792" s="29"/>
      <c r="CI792" s="29"/>
      <c r="CJ792" s="29"/>
      <c r="CK792" s="29"/>
      <c r="CL792" s="29"/>
      <c r="CM792" s="29"/>
      <c r="CN792" s="29"/>
      <c r="CO792" s="29"/>
      <c r="CP792" s="29"/>
      <c r="CQ792" s="29"/>
      <c r="CR792" s="29"/>
      <c r="CS792" s="29"/>
      <c r="CT792" s="29"/>
      <c r="CU792" s="29"/>
      <c r="CV792" s="29"/>
      <c r="CW792" s="29"/>
      <c r="CX792" s="29"/>
      <c r="CY792" s="29"/>
      <c r="CZ792" s="29"/>
      <c r="DA792" s="29"/>
      <c r="DB792" s="29"/>
      <c r="DC792" s="29"/>
      <c r="DD792" s="29"/>
      <c r="DE792" s="29"/>
      <c r="DF792" s="29"/>
      <c r="DG792" s="29"/>
      <c r="DH792" s="29"/>
      <c r="DI792" s="29"/>
      <c r="DJ792" s="29"/>
      <c r="DK792" s="29"/>
      <c r="DL792" s="29"/>
      <c r="DM792" s="29"/>
      <c r="DN792" s="29"/>
      <c r="DO792" s="29"/>
      <c r="DP792" s="29"/>
      <c r="DQ792" s="29"/>
      <c r="DR792" s="29"/>
      <c r="DS792" s="29"/>
      <c r="DT792" s="29"/>
      <c r="DU792" s="29"/>
      <c r="DV792" s="29"/>
      <c r="DW792" s="29"/>
      <c r="DX792" s="29"/>
      <c r="DY792" s="29"/>
      <c r="DZ792" s="29"/>
      <c r="EA792" s="29"/>
      <c r="EB792" s="29"/>
      <c r="EC792" s="29"/>
      <c r="ED792" s="29"/>
      <c r="EE792" s="29"/>
      <c r="EF792" s="29"/>
      <c r="EG792" s="29"/>
      <c r="EH792" s="29"/>
      <c r="EI792" s="29"/>
      <c r="EJ792" s="29"/>
      <c r="EK792" s="29"/>
      <c r="EL792" s="29"/>
      <c r="EM792" s="29"/>
      <c r="EN792" s="29"/>
      <c r="EO792" s="29"/>
      <c r="EP792" s="29"/>
      <c r="EQ792" s="29"/>
      <c r="ER792" s="29"/>
      <c r="ES792" s="29"/>
      <c r="ET792" s="29"/>
      <c r="EU792" s="29"/>
      <c r="EV792" s="29"/>
      <c r="EW792" s="29"/>
      <c r="EX792" s="29"/>
      <c r="EY792" s="29"/>
      <c r="EZ792" s="29"/>
      <c r="FA792" s="29"/>
      <c r="FB792" s="29"/>
      <c r="FC792" s="29"/>
      <c r="FD792" s="29"/>
      <c r="FE792" s="29"/>
      <c r="FF792" s="29"/>
      <c r="FG792" s="29"/>
      <c r="FH792" s="29"/>
      <c r="FI792" s="29"/>
      <c r="FJ792" s="29"/>
      <c r="FK792" s="29"/>
      <c r="FL792" s="29"/>
      <c r="FM792" s="29"/>
      <c r="FN792" s="29"/>
      <c r="FO792" s="29"/>
      <c r="FP792" s="29"/>
      <c r="FQ792" s="29"/>
      <c r="FR792" s="29"/>
      <c r="FS792" s="29"/>
      <c r="FT792" s="29"/>
      <c r="FU792" s="29"/>
      <c r="FV792" s="29"/>
      <c r="FW792" s="29"/>
      <c r="FX792" s="29"/>
      <c r="FY792" s="29"/>
      <c r="FZ792" s="29"/>
      <c r="GA792" s="29"/>
      <c r="GB792" s="29"/>
      <c r="GC792" s="29"/>
      <c r="GD792" s="29"/>
      <c r="GE792" s="29"/>
      <c r="GF792" s="29"/>
      <c r="GG792" s="29"/>
      <c r="GH792" s="29"/>
      <c r="GI792" s="29"/>
      <c r="GJ792" s="29"/>
      <c r="GK792" s="29"/>
      <c r="GL792" s="29"/>
      <c r="GM792" s="29"/>
      <c r="GN792" s="29"/>
      <c r="GO792" s="29"/>
      <c r="GP792" s="29"/>
      <c r="GQ792" s="29"/>
      <c r="GR792" s="29"/>
      <c r="GS792" s="29"/>
      <c r="GT792" s="29"/>
      <c r="GU792" s="29"/>
      <c r="GV792" s="29"/>
      <c r="GW792" s="29"/>
      <c r="GX792" s="29"/>
      <c r="GY792" s="29"/>
      <c r="GZ792" s="29"/>
      <c r="HA792" s="29"/>
      <c r="HB792" s="29"/>
      <c r="HC792" s="29"/>
      <c r="HD792" s="29"/>
      <c r="HE792" s="29"/>
      <c r="HF792" s="29"/>
      <c r="HG792" s="29"/>
      <c r="HH792" s="29"/>
      <c r="HI792" s="29"/>
      <c r="HJ792" s="29"/>
      <c r="HK792" s="29"/>
      <c r="HL792" s="29"/>
      <c r="HM792" s="29"/>
      <c r="HN792" s="29"/>
      <c r="HO792" s="29"/>
      <c r="HP792" s="29"/>
      <c r="HQ792" s="29"/>
      <c r="HR792" s="29"/>
      <c r="HS792" s="29"/>
      <c r="HT792" s="29"/>
      <c r="HU792" s="29"/>
      <c r="HV792" s="29"/>
      <c r="HW792" s="29"/>
      <c r="HX792" s="29"/>
      <c r="HY792" s="29"/>
      <c r="HZ792" s="29"/>
      <c r="IA792" s="29"/>
      <c r="IB792" s="29"/>
      <c r="IC792" s="29"/>
      <c r="ID792" s="29"/>
      <c r="IE792" s="29"/>
      <c r="IF792" s="29"/>
      <c r="IG792" s="29"/>
      <c r="IH792" s="29"/>
      <c r="II792" s="29"/>
      <c r="IJ792" s="29"/>
      <c r="IK792" s="29"/>
      <c r="IL792" s="29"/>
      <c r="IM792" s="29"/>
      <c r="IN792" s="29"/>
      <c r="IO792" s="29"/>
      <c r="IP792" s="29"/>
      <c r="IQ792" s="29"/>
      <c r="IR792" s="29"/>
      <c r="IS792" s="29"/>
      <c r="IT792" s="29"/>
      <c r="IU792" s="29"/>
      <c r="IV792" s="29"/>
      <c r="IW792" s="29"/>
      <c r="IX792" s="29"/>
      <c r="IY792" s="29"/>
      <c r="IZ792" s="29"/>
      <c r="JA792" s="29"/>
      <c r="JB792" s="29"/>
      <c r="JC792" s="29"/>
      <c r="JD792" s="29"/>
      <c r="JE792" s="29"/>
      <c r="JF792" s="29"/>
      <c r="JG792" s="29"/>
      <c r="JH792" s="29"/>
      <c r="JI792" s="29"/>
      <c r="JJ792" s="29"/>
      <c r="JK792" s="29"/>
      <c r="JL792" s="29"/>
    </row>
    <row r="793" spans="1:272" ht="38.25">
      <c r="A793" s="30" t="s">
        <v>71</v>
      </c>
      <c r="B793" s="30" t="s">
        <v>94</v>
      </c>
      <c r="C793" s="30" t="s">
        <v>1931</v>
      </c>
      <c r="D793" s="30" t="s">
        <v>1946</v>
      </c>
      <c r="E793" s="30">
        <v>71</v>
      </c>
      <c r="F793" s="129" t="s">
        <v>822</v>
      </c>
      <c r="G793" s="129" t="s">
        <v>3364</v>
      </c>
      <c r="H793" s="30">
        <v>337214</v>
      </c>
      <c r="I793" s="129" t="s">
        <v>113</v>
      </c>
      <c r="J793" s="30" t="s">
        <v>623</v>
      </c>
      <c r="K793" s="30" t="s">
        <v>1933</v>
      </c>
      <c r="L793" s="30" t="s">
        <v>1933</v>
      </c>
      <c r="M793" s="45" t="s">
        <v>302</v>
      </c>
      <c r="N793" s="45" t="s">
        <v>302</v>
      </c>
      <c r="O793" s="30" t="s">
        <v>79</v>
      </c>
      <c r="P793" s="30" t="s">
        <v>453</v>
      </c>
      <c r="Q793" s="30" t="s">
        <v>294</v>
      </c>
      <c r="R793" s="129" t="s">
        <v>100</v>
      </c>
      <c r="S793" s="41">
        <v>2014</v>
      </c>
      <c r="T793" s="31" t="s">
        <v>1947</v>
      </c>
      <c r="U793" s="31" t="s">
        <v>1948</v>
      </c>
      <c r="V793" s="30" t="s">
        <v>1949</v>
      </c>
      <c r="W793" s="30" t="s">
        <v>46</v>
      </c>
      <c r="X793" s="30" t="s">
        <v>1937</v>
      </c>
      <c r="Y793" s="129" t="s">
        <v>3452</v>
      </c>
      <c r="Z793" s="129" t="s">
        <v>3452</v>
      </c>
      <c r="AA793" s="30" t="s">
        <v>623</v>
      </c>
      <c r="AE793" s="29"/>
      <c r="AF793" s="29"/>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c r="BF793" s="29"/>
      <c r="BG793" s="29"/>
      <c r="BH793" s="29"/>
      <c r="BI793" s="29"/>
      <c r="BJ793" s="29"/>
      <c r="BK793" s="29"/>
      <c r="BL793" s="29"/>
      <c r="BM793" s="29"/>
      <c r="BN793" s="29"/>
      <c r="BO793" s="29"/>
      <c r="BP793" s="29"/>
      <c r="BQ793" s="29"/>
      <c r="BR793" s="29"/>
      <c r="BS793" s="29"/>
      <c r="BT793" s="29"/>
      <c r="BU793" s="29"/>
      <c r="BV793" s="29"/>
      <c r="BW793" s="29"/>
      <c r="BX793" s="29"/>
      <c r="BY793" s="29"/>
      <c r="BZ793" s="29"/>
      <c r="CA793" s="29"/>
      <c r="CB793" s="29"/>
      <c r="CC793" s="29"/>
      <c r="CD793" s="29"/>
      <c r="CE793" s="29"/>
      <c r="CF793" s="29"/>
      <c r="CG793" s="29"/>
      <c r="CH793" s="29"/>
      <c r="CI793" s="29"/>
      <c r="CJ793" s="29"/>
      <c r="CK793" s="29"/>
      <c r="CL793" s="29"/>
      <c r="CM793" s="29"/>
      <c r="CN793" s="29"/>
      <c r="CO793" s="29"/>
      <c r="CP793" s="29"/>
      <c r="CQ793" s="29"/>
      <c r="CR793" s="29"/>
      <c r="CS793" s="29"/>
      <c r="CT793" s="29"/>
      <c r="CU793" s="29"/>
      <c r="CV793" s="29"/>
      <c r="CW793" s="29"/>
      <c r="CX793" s="29"/>
      <c r="CY793" s="29"/>
      <c r="CZ793" s="29"/>
      <c r="DA793" s="29"/>
      <c r="DB793" s="29"/>
      <c r="DC793" s="29"/>
      <c r="DD793" s="29"/>
      <c r="DE793" s="29"/>
      <c r="DF793" s="29"/>
      <c r="DG793" s="29"/>
      <c r="DH793" s="29"/>
      <c r="DI793" s="29"/>
      <c r="DJ793" s="29"/>
      <c r="DK793" s="29"/>
      <c r="DL793" s="29"/>
      <c r="DM793" s="29"/>
      <c r="DN793" s="29"/>
      <c r="DO793" s="29"/>
      <c r="DP793" s="29"/>
      <c r="DQ793" s="29"/>
      <c r="DR793" s="29"/>
      <c r="DS793" s="29"/>
      <c r="DT793" s="29"/>
      <c r="DU793" s="29"/>
      <c r="DV793" s="29"/>
      <c r="DW793" s="29"/>
      <c r="DX793" s="29"/>
      <c r="DY793" s="29"/>
      <c r="DZ793" s="29"/>
      <c r="EA793" s="29"/>
      <c r="EB793" s="29"/>
      <c r="EC793" s="29"/>
      <c r="ED793" s="29"/>
      <c r="EE793" s="29"/>
      <c r="EF793" s="29"/>
      <c r="EG793" s="29"/>
      <c r="EH793" s="29"/>
      <c r="EI793" s="29"/>
      <c r="EJ793" s="29"/>
      <c r="EK793" s="29"/>
      <c r="EL793" s="29"/>
      <c r="EM793" s="29"/>
      <c r="EN793" s="29"/>
      <c r="EO793" s="29"/>
      <c r="EP793" s="29"/>
      <c r="EQ793" s="29"/>
      <c r="ER793" s="29"/>
      <c r="ES793" s="29"/>
      <c r="ET793" s="29"/>
      <c r="EU793" s="29"/>
      <c r="EV793" s="29"/>
      <c r="EW793" s="29"/>
      <c r="EX793" s="29"/>
      <c r="EY793" s="29"/>
      <c r="EZ793" s="29"/>
      <c r="FA793" s="29"/>
      <c r="FB793" s="29"/>
      <c r="FC793" s="29"/>
      <c r="FD793" s="29"/>
      <c r="FE793" s="29"/>
      <c r="FF793" s="29"/>
      <c r="FG793" s="29"/>
      <c r="FH793" s="29"/>
      <c r="FI793" s="29"/>
      <c r="FJ793" s="29"/>
      <c r="FK793" s="29"/>
      <c r="FL793" s="29"/>
      <c r="FM793" s="29"/>
      <c r="FN793" s="29"/>
      <c r="FO793" s="29"/>
      <c r="FP793" s="29"/>
      <c r="FQ793" s="29"/>
      <c r="FR793" s="29"/>
      <c r="FS793" s="29"/>
      <c r="FT793" s="29"/>
      <c r="FU793" s="29"/>
      <c r="FV793" s="29"/>
      <c r="FW793" s="29"/>
      <c r="FX793" s="29"/>
      <c r="FY793" s="29"/>
      <c r="FZ793" s="29"/>
      <c r="GA793" s="29"/>
      <c r="GB793" s="29"/>
      <c r="GC793" s="29"/>
      <c r="GD793" s="29"/>
      <c r="GE793" s="29"/>
      <c r="GF793" s="29"/>
      <c r="GG793" s="29"/>
      <c r="GH793" s="29"/>
      <c r="GI793" s="29"/>
      <c r="GJ793" s="29"/>
      <c r="GK793" s="29"/>
      <c r="GL793" s="29"/>
      <c r="GM793" s="29"/>
      <c r="GN793" s="29"/>
      <c r="GO793" s="29"/>
      <c r="GP793" s="29"/>
      <c r="GQ793" s="29"/>
      <c r="GR793" s="29"/>
      <c r="GS793" s="29"/>
      <c r="GT793" s="29"/>
      <c r="GU793" s="29"/>
      <c r="GV793" s="29"/>
      <c r="GW793" s="29"/>
      <c r="GX793" s="29"/>
      <c r="GY793" s="29"/>
      <c r="GZ793" s="29"/>
      <c r="HA793" s="29"/>
      <c r="HB793" s="29"/>
      <c r="HC793" s="29"/>
      <c r="HD793" s="29"/>
      <c r="HE793" s="29"/>
      <c r="HF793" s="29"/>
      <c r="HG793" s="29"/>
      <c r="HH793" s="29"/>
      <c r="HI793" s="29"/>
      <c r="HJ793" s="29"/>
      <c r="HK793" s="29"/>
      <c r="HL793" s="29"/>
      <c r="HM793" s="29"/>
      <c r="HN793" s="29"/>
      <c r="HO793" s="29"/>
      <c r="HP793" s="29"/>
      <c r="HQ793" s="29"/>
      <c r="HR793" s="29"/>
      <c r="HS793" s="29"/>
      <c r="HT793" s="29"/>
      <c r="HU793" s="29"/>
      <c r="HV793" s="29"/>
      <c r="HW793" s="29"/>
      <c r="HX793" s="29"/>
      <c r="HY793" s="29"/>
      <c r="HZ793" s="29"/>
      <c r="IA793" s="29"/>
      <c r="IB793" s="29"/>
      <c r="IC793" s="29"/>
      <c r="ID793" s="29"/>
      <c r="IE793" s="29"/>
      <c r="IF793" s="29"/>
      <c r="IG793" s="29"/>
      <c r="IH793" s="29"/>
      <c r="II793" s="29"/>
      <c r="IJ793" s="29"/>
      <c r="IK793" s="29"/>
      <c r="IL793" s="29"/>
      <c r="IM793" s="29"/>
      <c r="IN793" s="29"/>
      <c r="IO793" s="29"/>
      <c r="IP793" s="29"/>
      <c r="IQ793" s="29"/>
      <c r="IR793" s="29"/>
      <c r="IS793" s="29"/>
      <c r="IT793" s="29"/>
      <c r="IU793" s="29"/>
      <c r="IV793" s="29"/>
      <c r="IW793" s="29"/>
      <c r="IX793" s="29"/>
      <c r="IY793" s="29"/>
      <c r="IZ793" s="29"/>
      <c r="JA793" s="29"/>
      <c r="JB793" s="29"/>
      <c r="JC793" s="29"/>
      <c r="JD793" s="29"/>
      <c r="JE793" s="29"/>
      <c r="JF793" s="29"/>
      <c r="JG793" s="29"/>
      <c r="JH793" s="29"/>
      <c r="JI793" s="29"/>
      <c r="JJ793" s="29"/>
      <c r="JK793" s="29"/>
      <c r="JL793" s="29"/>
    </row>
    <row r="794" spans="1:272" ht="51">
      <c r="A794" s="30" t="s">
        <v>71</v>
      </c>
      <c r="B794" s="30" t="s">
        <v>94</v>
      </c>
      <c r="C794" s="30" t="s">
        <v>1931</v>
      </c>
      <c r="D794" s="30" t="s">
        <v>1950</v>
      </c>
      <c r="E794" s="30" t="s">
        <v>1951</v>
      </c>
      <c r="F794" s="129" t="s">
        <v>822</v>
      </c>
      <c r="G794" s="129" t="s">
        <v>3364</v>
      </c>
      <c r="H794" s="30">
        <v>541611</v>
      </c>
      <c r="I794" s="30"/>
      <c r="J794" s="30" t="s">
        <v>623</v>
      </c>
      <c r="K794" s="30" t="s">
        <v>1933</v>
      </c>
      <c r="L794" s="30" t="s">
        <v>1933</v>
      </c>
      <c r="M794" s="45" t="s">
        <v>302</v>
      </c>
      <c r="N794" s="45" t="s">
        <v>302</v>
      </c>
      <c r="O794" s="30" t="s">
        <v>79</v>
      </c>
      <c r="P794" s="30" t="s">
        <v>453</v>
      </c>
      <c r="Q794" s="30" t="s">
        <v>294</v>
      </c>
      <c r="R794" s="129" t="s">
        <v>100</v>
      </c>
      <c r="S794" s="41">
        <v>2014</v>
      </c>
      <c r="T794" s="31" t="s">
        <v>1952</v>
      </c>
      <c r="U794" s="31" t="s">
        <v>1953</v>
      </c>
      <c r="V794" s="30" t="s">
        <v>1954</v>
      </c>
      <c r="W794" s="30" t="s">
        <v>46</v>
      </c>
      <c r="X794" s="30" t="s">
        <v>1937</v>
      </c>
      <c r="Y794" s="129" t="s">
        <v>3452</v>
      </c>
      <c r="Z794" s="129" t="s">
        <v>3452</v>
      </c>
      <c r="AA794" s="30" t="s">
        <v>623</v>
      </c>
      <c r="AE794" s="29"/>
      <c r="AF794" s="29"/>
      <c r="AG794" s="29"/>
      <c r="AH794" s="29"/>
      <c r="AI794" s="29"/>
      <c r="AJ794" s="29"/>
      <c r="AK794" s="29"/>
      <c r="AL794" s="29"/>
      <c r="AM794" s="29"/>
      <c r="AN794" s="29"/>
      <c r="AO794" s="29"/>
      <c r="AP794" s="29"/>
      <c r="AQ794" s="29"/>
      <c r="AR794" s="29"/>
      <c r="AS794" s="29"/>
      <c r="AT794" s="29"/>
      <c r="AU794" s="29"/>
      <c r="AV794" s="29"/>
      <c r="AW794" s="29"/>
      <c r="AX794" s="29"/>
      <c r="AY794" s="29"/>
      <c r="AZ794" s="29"/>
      <c r="BA794" s="29"/>
      <c r="BB794" s="29"/>
      <c r="BC794" s="29"/>
      <c r="BD794" s="29"/>
      <c r="BE794" s="29"/>
      <c r="BF794" s="29"/>
      <c r="BG794" s="29"/>
      <c r="BH794" s="29"/>
      <c r="BI794" s="29"/>
      <c r="BJ794" s="29"/>
      <c r="BK794" s="29"/>
      <c r="BL794" s="29"/>
      <c r="BM794" s="29"/>
      <c r="BN794" s="29"/>
      <c r="BO794" s="29"/>
      <c r="BP794" s="29"/>
      <c r="BQ794" s="29"/>
      <c r="BR794" s="29"/>
      <c r="BS794" s="29"/>
      <c r="BT794" s="29"/>
      <c r="BU794" s="29"/>
      <c r="BV794" s="29"/>
      <c r="BW794" s="29"/>
      <c r="BX794" s="29"/>
      <c r="BY794" s="29"/>
      <c r="BZ794" s="29"/>
      <c r="CA794" s="29"/>
      <c r="CB794" s="29"/>
      <c r="CC794" s="29"/>
      <c r="CD794" s="29"/>
      <c r="CE794" s="29"/>
      <c r="CF794" s="29"/>
      <c r="CG794" s="29"/>
      <c r="CH794" s="29"/>
      <c r="CI794" s="29"/>
      <c r="CJ794" s="29"/>
      <c r="CK794" s="29"/>
      <c r="CL794" s="29"/>
      <c r="CM794" s="29"/>
      <c r="CN794" s="29"/>
      <c r="CO794" s="29"/>
      <c r="CP794" s="29"/>
      <c r="CQ794" s="29"/>
      <c r="CR794" s="29"/>
      <c r="CS794" s="29"/>
      <c r="CT794" s="29"/>
      <c r="CU794" s="29"/>
      <c r="CV794" s="29"/>
      <c r="CW794" s="29"/>
      <c r="CX794" s="29"/>
      <c r="CY794" s="29"/>
      <c r="CZ794" s="29"/>
      <c r="DA794" s="29"/>
      <c r="DB794" s="29"/>
      <c r="DC794" s="29"/>
      <c r="DD794" s="29"/>
      <c r="DE794" s="29"/>
      <c r="DF794" s="29"/>
      <c r="DG794" s="29"/>
      <c r="DH794" s="29"/>
      <c r="DI794" s="29"/>
      <c r="DJ794" s="29"/>
      <c r="DK794" s="29"/>
      <c r="DL794" s="29"/>
      <c r="DM794" s="29"/>
      <c r="DN794" s="29"/>
      <c r="DO794" s="29"/>
      <c r="DP794" s="29"/>
      <c r="DQ794" s="29"/>
      <c r="DR794" s="29"/>
      <c r="DS794" s="29"/>
      <c r="DT794" s="29"/>
      <c r="DU794" s="29"/>
      <c r="DV794" s="29"/>
      <c r="DW794" s="29"/>
      <c r="DX794" s="29"/>
      <c r="DY794" s="29"/>
      <c r="DZ794" s="29"/>
      <c r="EA794" s="29"/>
      <c r="EB794" s="29"/>
      <c r="EC794" s="29"/>
      <c r="ED794" s="29"/>
      <c r="EE794" s="29"/>
      <c r="EF794" s="29"/>
      <c r="EG794" s="29"/>
      <c r="EH794" s="29"/>
      <c r="EI794" s="29"/>
      <c r="EJ794" s="29"/>
      <c r="EK794" s="29"/>
      <c r="EL794" s="29"/>
      <c r="EM794" s="29"/>
      <c r="EN794" s="29"/>
      <c r="EO794" s="29"/>
      <c r="EP794" s="29"/>
      <c r="EQ794" s="29"/>
      <c r="ER794" s="29"/>
      <c r="ES794" s="29"/>
      <c r="ET794" s="29"/>
      <c r="EU794" s="29"/>
      <c r="EV794" s="29"/>
      <c r="EW794" s="29"/>
      <c r="EX794" s="29"/>
      <c r="EY794" s="29"/>
      <c r="EZ794" s="29"/>
      <c r="FA794" s="29"/>
      <c r="FB794" s="29"/>
      <c r="FC794" s="29"/>
      <c r="FD794" s="29"/>
      <c r="FE794" s="29"/>
      <c r="FF794" s="29"/>
      <c r="FG794" s="29"/>
      <c r="FH794" s="29"/>
      <c r="FI794" s="29"/>
      <c r="FJ794" s="29"/>
      <c r="FK794" s="29"/>
      <c r="FL794" s="29"/>
      <c r="FM794" s="29"/>
      <c r="FN794" s="29"/>
      <c r="FO794" s="29"/>
      <c r="FP794" s="29"/>
      <c r="FQ794" s="29"/>
      <c r="FR794" s="29"/>
      <c r="FS794" s="29"/>
      <c r="FT794" s="29"/>
      <c r="FU794" s="29"/>
      <c r="FV794" s="29"/>
      <c r="FW794" s="29"/>
      <c r="FX794" s="29"/>
      <c r="FY794" s="29"/>
      <c r="FZ794" s="29"/>
      <c r="GA794" s="29"/>
      <c r="GB794" s="29"/>
      <c r="GC794" s="29"/>
      <c r="GD794" s="29"/>
      <c r="GE794" s="29"/>
      <c r="GF794" s="29"/>
      <c r="GG794" s="29"/>
      <c r="GH794" s="29"/>
      <c r="GI794" s="29"/>
      <c r="GJ794" s="29"/>
      <c r="GK794" s="29"/>
      <c r="GL794" s="29"/>
      <c r="GM794" s="29"/>
      <c r="GN794" s="29"/>
      <c r="GO794" s="29"/>
      <c r="GP794" s="29"/>
      <c r="GQ794" s="29"/>
      <c r="GR794" s="29"/>
      <c r="GS794" s="29"/>
      <c r="GT794" s="29"/>
      <c r="GU794" s="29"/>
      <c r="GV794" s="29"/>
      <c r="GW794" s="29"/>
      <c r="GX794" s="29"/>
      <c r="GY794" s="29"/>
      <c r="GZ794" s="29"/>
      <c r="HA794" s="29"/>
      <c r="HB794" s="29"/>
      <c r="HC794" s="29"/>
      <c r="HD794" s="29"/>
      <c r="HE794" s="29"/>
      <c r="HF794" s="29"/>
      <c r="HG794" s="29"/>
      <c r="HH794" s="29"/>
      <c r="HI794" s="29"/>
      <c r="HJ794" s="29"/>
      <c r="HK794" s="29"/>
      <c r="HL794" s="29"/>
      <c r="HM794" s="29"/>
      <c r="HN794" s="29"/>
      <c r="HO794" s="29"/>
      <c r="HP794" s="29"/>
      <c r="HQ794" s="29"/>
      <c r="HR794" s="29"/>
      <c r="HS794" s="29"/>
      <c r="HT794" s="29"/>
      <c r="HU794" s="29"/>
      <c r="HV794" s="29"/>
      <c r="HW794" s="29"/>
      <c r="HX794" s="29"/>
      <c r="HY794" s="29"/>
      <c r="HZ794" s="29"/>
      <c r="IA794" s="29"/>
      <c r="IB794" s="29"/>
      <c r="IC794" s="29"/>
      <c r="ID794" s="29"/>
      <c r="IE794" s="29"/>
      <c r="IF794" s="29"/>
      <c r="IG794" s="29"/>
      <c r="IH794" s="29"/>
      <c r="II794" s="29"/>
      <c r="IJ794" s="29"/>
      <c r="IK794" s="29"/>
      <c r="IL794" s="29"/>
      <c r="IM794" s="29"/>
      <c r="IN794" s="29"/>
      <c r="IO794" s="29"/>
      <c r="IP794" s="29"/>
      <c r="IQ794" s="29"/>
      <c r="IR794" s="29"/>
      <c r="IS794" s="29"/>
      <c r="IT794" s="29"/>
      <c r="IU794" s="29"/>
      <c r="IV794" s="29"/>
      <c r="IW794" s="29"/>
      <c r="IX794" s="29"/>
      <c r="IY794" s="29"/>
      <c r="IZ794" s="29"/>
      <c r="JA794" s="29"/>
      <c r="JB794" s="29"/>
      <c r="JC794" s="29"/>
      <c r="JD794" s="29"/>
      <c r="JE794" s="29"/>
      <c r="JF794" s="29"/>
      <c r="JG794" s="29"/>
      <c r="JH794" s="29"/>
      <c r="JI794" s="29"/>
      <c r="JJ794" s="29"/>
      <c r="JK794" s="29"/>
      <c r="JL794" s="29"/>
    </row>
    <row r="795" spans="1:272" ht="66" customHeight="1">
      <c r="A795" s="30" t="s">
        <v>71</v>
      </c>
      <c r="B795" s="30" t="s">
        <v>94</v>
      </c>
      <c r="C795" s="30" t="s">
        <v>1931</v>
      </c>
      <c r="D795" s="30" t="s">
        <v>1955</v>
      </c>
      <c r="E795" s="30">
        <v>78</v>
      </c>
      <c r="F795" s="129" t="s">
        <v>822</v>
      </c>
      <c r="G795" s="129" t="s">
        <v>3364</v>
      </c>
      <c r="H795" s="30">
        <v>33992</v>
      </c>
      <c r="I795" s="129" t="s">
        <v>113</v>
      </c>
      <c r="J795" s="30" t="s">
        <v>623</v>
      </c>
      <c r="K795" s="30" t="s">
        <v>1933</v>
      </c>
      <c r="L795" s="30" t="s">
        <v>1933</v>
      </c>
      <c r="M795" s="45" t="s">
        <v>302</v>
      </c>
      <c r="N795" s="45" t="s">
        <v>302</v>
      </c>
      <c r="O795" s="30" t="s">
        <v>79</v>
      </c>
      <c r="P795" s="30" t="s">
        <v>822</v>
      </c>
      <c r="Q795" s="30" t="s">
        <v>294</v>
      </c>
      <c r="R795" s="155" t="s">
        <v>80</v>
      </c>
      <c r="S795" s="41">
        <v>2014</v>
      </c>
      <c r="T795" s="31" t="s">
        <v>1956</v>
      </c>
      <c r="U795" s="31" t="s">
        <v>1957</v>
      </c>
      <c r="V795" s="30" t="s">
        <v>1958</v>
      </c>
      <c r="W795" s="30" t="s">
        <v>46</v>
      </c>
      <c r="X795" s="30" t="s">
        <v>1937</v>
      </c>
      <c r="Y795" s="129" t="s">
        <v>3452</v>
      </c>
      <c r="Z795" s="129" t="s">
        <v>3452</v>
      </c>
      <c r="AA795" s="30" t="s">
        <v>623</v>
      </c>
      <c r="AE795" s="29"/>
      <c r="AF795" s="29"/>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c r="BF795" s="29"/>
      <c r="BG795" s="29"/>
      <c r="BH795" s="29"/>
      <c r="BI795" s="29"/>
      <c r="BJ795" s="29"/>
      <c r="BK795" s="29"/>
      <c r="BL795" s="29"/>
      <c r="BM795" s="29"/>
      <c r="BN795" s="29"/>
      <c r="BO795" s="29"/>
      <c r="BP795" s="29"/>
      <c r="BQ795" s="29"/>
      <c r="BR795" s="29"/>
      <c r="BS795" s="29"/>
      <c r="BT795" s="29"/>
      <c r="BU795" s="29"/>
      <c r="BV795" s="29"/>
      <c r="BW795" s="29"/>
      <c r="BX795" s="29"/>
      <c r="BY795" s="29"/>
      <c r="BZ795" s="29"/>
      <c r="CA795" s="29"/>
      <c r="CB795" s="29"/>
      <c r="CC795" s="29"/>
      <c r="CD795" s="29"/>
      <c r="CE795" s="29"/>
      <c r="CF795" s="29"/>
      <c r="CG795" s="29"/>
      <c r="CH795" s="29"/>
      <c r="CI795" s="29"/>
      <c r="CJ795" s="29"/>
      <c r="CK795" s="29"/>
      <c r="CL795" s="29"/>
      <c r="CM795" s="29"/>
      <c r="CN795" s="29"/>
      <c r="CO795" s="29"/>
      <c r="CP795" s="29"/>
      <c r="CQ795" s="29"/>
      <c r="CR795" s="29"/>
      <c r="CS795" s="29"/>
      <c r="CT795" s="29"/>
      <c r="CU795" s="29"/>
      <c r="CV795" s="29"/>
      <c r="CW795" s="29"/>
      <c r="CX795" s="29"/>
      <c r="CY795" s="29"/>
      <c r="CZ795" s="29"/>
      <c r="DA795" s="29"/>
      <c r="DB795" s="29"/>
      <c r="DC795" s="29"/>
      <c r="DD795" s="29"/>
      <c r="DE795" s="29"/>
      <c r="DF795" s="29"/>
      <c r="DG795" s="29"/>
      <c r="DH795" s="29"/>
      <c r="DI795" s="29"/>
      <c r="DJ795" s="29"/>
      <c r="DK795" s="29"/>
      <c r="DL795" s="29"/>
      <c r="DM795" s="29"/>
      <c r="DN795" s="29"/>
      <c r="DO795" s="29"/>
      <c r="DP795" s="29"/>
      <c r="DQ795" s="29"/>
      <c r="DR795" s="29"/>
      <c r="DS795" s="29"/>
      <c r="DT795" s="29"/>
      <c r="DU795" s="29"/>
      <c r="DV795" s="29"/>
      <c r="DW795" s="29"/>
      <c r="DX795" s="29"/>
      <c r="DY795" s="29"/>
      <c r="DZ795" s="29"/>
      <c r="EA795" s="29"/>
      <c r="EB795" s="29"/>
      <c r="EC795" s="29"/>
      <c r="ED795" s="29"/>
      <c r="EE795" s="29"/>
      <c r="EF795" s="29"/>
      <c r="EG795" s="29"/>
      <c r="EH795" s="29"/>
      <c r="EI795" s="29"/>
      <c r="EJ795" s="29"/>
      <c r="EK795" s="29"/>
      <c r="EL795" s="29"/>
      <c r="EM795" s="29"/>
      <c r="EN795" s="29"/>
      <c r="EO795" s="29"/>
      <c r="EP795" s="29"/>
      <c r="EQ795" s="29"/>
      <c r="ER795" s="29"/>
      <c r="ES795" s="29"/>
      <c r="ET795" s="29"/>
      <c r="EU795" s="29"/>
      <c r="EV795" s="29"/>
      <c r="EW795" s="29"/>
      <c r="EX795" s="29"/>
      <c r="EY795" s="29"/>
      <c r="EZ795" s="29"/>
      <c r="FA795" s="29"/>
      <c r="FB795" s="29"/>
      <c r="FC795" s="29"/>
      <c r="FD795" s="29"/>
      <c r="FE795" s="29"/>
      <c r="FF795" s="29"/>
      <c r="FG795" s="29"/>
      <c r="FH795" s="29"/>
      <c r="FI795" s="29"/>
      <c r="FJ795" s="29"/>
      <c r="FK795" s="29"/>
      <c r="FL795" s="29"/>
      <c r="FM795" s="29"/>
      <c r="FN795" s="29"/>
      <c r="FO795" s="29"/>
      <c r="FP795" s="29"/>
      <c r="FQ795" s="29"/>
      <c r="FR795" s="29"/>
      <c r="FS795" s="29"/>
      <c r="FT795" s="29"/>
      <c r="FU795" s="29"/>
      <c r="FV795" s="29"/>
      <c r="FW795" s="29"/>
      <c r="FX795" s="29"/>
      <c r="FY795" s="29"/>
      <c r="FZ795" s="29"/>
      <c r="GA795" s="29"/>
      <c r="GB795" s="29"/>
      <c r="GC795" s="29"/>
      <c r="GD795" s="29"/>
      <c r="GE795" s="29"/>
      <c r="GF795" s="29"/>
      <c r="GG795" s="29"/>
      <c r="GH795" s="29"/>
      <c r="GI795" s="29"/>
      <c r="GJ795" s="29"/>
      <c r="GK795" s="29"/>
      <c r="GL795" s="29"/>
      <c r="GM795" s="29"/>
      <c r="GN795" s="29"/>
      <c r="GO795" s="29"/>
      <c r="GP795" s="29"/>
      <c r="GQ795" s="29"/>
      <c r="GR795" s="29"/>
      <c r="GS795" s="29"/>
      <c r="GT795" s="29"/>
      <c r="GU795" s="29"/>
      <c r="GV795" s="29"/>
      <c r="GW795" s="29"/>
      <c r="GX795" s="29"/>
      <c r="GY795" s="29"/>
      <c r="GZ795" s="29"/>
      <c r="HA795" s="29"/>
      <c r="HB795" s="29"/>
      <c r="HC795" s="29"/>
      <c r="HD795" s="29"/>
      <c r="HE795" s="29"/>
      <c r="HF795" s="29"/>
      <c r="HG795" s="29"/>
      <c r="HH795" s="29"/>
      <c r="HI795" s="29"/>
      <c r="HJ795" s="29"/>
      <c r="HK795" s="29"/>
      <c r="HL795" s="29"/>
      <c r="HM795" s="29"/>
      <c r="HN795" s="29"/>
      <c r="HO795" s="29"/>
      <c r="HP795" s="29"/>
      <c r="HQ795" s="29"/>
      <c r="HR795" s="29"/>
      <c r="HS795" s="29"/>
      <c r="HT795" s="29"/>
      <c r="HU795" s="29"/>
      <c r="HV795" s="29"/>
      <c r="HW795" s="29"/>
      <c r="HX795" s="29"/>
      <c r="HY795" s="29"/>
      <c r="HZ795" s="29"/>
      <c r="IA795" s="29"/>
      <c r="IB795" s="29"/>
      <c r="IC795" s="29"/>
      <c r="ID795" s="29"/>
      <c r="IE795" s="29"/>
      <c r="IF795" s="29"/>
      <c r="IG795" s="29"/>
      <c r="IH795" s="29"/>
      <c r="II795" s="29"/>
      <c r="IJ795" s="29"/>
      <c r="IK795" s="29"/>
      <c r="IL795" s="29"/>
      <c r="IM795" s="29"/>
      <c r="IN795" s="29"/>
      <c r="IO795" s="29"/>
      <c r="IP795" s="29"/>
      <c r="IQ795" s="29"/>
      <c r="IR795" s="29"/>
      <c r="IS795" s="29"/>
      <c r="IT795" s="29"/>
      <c r="IU795" s="29"/>
      <c r="IV795" s="29"/>
      <c r="IW795" s="29"/>
      <c r="IX795" s="29"/>
      <c r="IY795" s="29"/>
      <c r="IZ795" s="29"/>
      <c r="JA795" s="29"/>
      <c r="JB795" s="29"/>
      <c r="JC795" s="29"/>
      <c r="JD795" s="29"/>
      <c r="JE795" s="29"/>
      <c r="JF795" s="29"/>
      <c r="JG795" s="29"/>
      <c r="JH795" s="29"/>
      <c r="JI795" s="29"/>
      <c r="JJ795" s="29"/>
      <c r="JK795" s="29"/>
      <c r="JL795" s="29"/>
    </row>
    <row r="796" spans="1:272" ht="38.25">
      <c r="A796" s="30" t="s">
        <v>71</v>
      </c>
      <c r="B796" s="31" t="s">
        <v>38</v>
      </c>
      <c r="C796" s="129" t="s">
        <v>3447</v>
      </c>
      <c r="D796" s="30" t="s">
        <v>1960</v>
      </c>
      <c r="E796" s="30"/>
      <c r="F796" s="30" t="s">
        <v>1354</v>
      </c>
      <c r="G796" s="30" t="s">
        <v>205</v>
      </c>
      <c r="H796" s="30">
        <v>541330</v>
      </c>
      <c r="I796" s="30"/>
      <c r="J796" s="129" t="s">
        <v>3401</v>
      </c>
      <c r="K796" s="30"/>
      <c r="L796" s="30"/>
      <c r="M796" s="39"/>
      <c r="N796" s="39"/>
      <c r="O796" s="30" t="s">
        <v>79</v>
      </c>
      <c r="P796" s="30"/>
      <c r="Q796" s="30" t="s">
        <v>294</v>
      </c>
      <c r="R796" s="155" t="s">
        <v>80</v>
      </c>
      <c r="S796" s="41">
        <v>2014</v>
      </c>
      <c r="T796" s="31" t="s">
        <v>1961</v>
      </c>
      <c r="U796" s="31" t="s">
        <v>1962</v>
      </c>
      <c r="V796" s="30" t="s">
        <v>1963</v>
      </c>
      <c r="W796" s="129" t="s">
        <v>62</v>
      </c>
      <c r="X796" s="30"/>
      <c r="Y796" s="30"/>
      <c r="Z796" s="30"/>
      <c r="AA796" s="30" t="s">
        <v>1964</v>
      </c>
    </row>
    <row r="797" spans="1:272" ht="38.25">
      <c r="A797" s="30" t="s">
        <v>71</v>
      </c>
      <c r="B797" s="31" t="s">
        <v>38</v>
      </c>
      <c r="C797" s="129" t="s">
        <v>3447</v>
      </c>
      <c r="D797" s="30" t="s">
        <v>1960</v>
      </c>
      <c r="E797" s="30"/>
      <c r="F797" s="30" t="s">
        <v>1354</v>
      </c>
      <c r="G797" s="30" t="s">
        <v>205</v>
      </c>
      <c r="H797" s="30"/>
      <c r="I797" s="129" t="s">
        <v>98</v>
      </c>
      <c r="J797" s="129" t="s">
        <v>3401</v>
      </c>
      <c r="K797" s="129" t="s">
        <v>350</v>
      </c>
      <c r="L797" s="30" t="s">
        <v>1965</v>
      </c>
      <c r="M797" s="39"/>
      <c r="N797" s="39">
        <v>99999</v>
      </c>
      <c r="O797" s="30" t="s">
        <v>79</v>
      </c>
      <c r="P797" s="30" t="s">
        <v>302</v>
      </c>
      <c r="Q797" s="30" t="s">
        <v>294</v>
      </c>
      <c r="R797" s="155" t="s">
        <v>80</v>
      </c>
      <c r="S797" s="41">
        <v>2014</v>
      </c>
      <c r="T797" s="31" t="s">
        <v>1961</v>
      </c>
      <c r="U797" s="31" t="s">
        <v>1962</v>
      </c>
      <c r="V797" s="30" t="s">
        <v>1963</v>
      </c>
      <c r="W797" s="129" t="s">
        <v>62</v>
      </c>
      <c r="X797" s="30"/>
      <c r="Y797" s="30"/>
      <c r="Z797" s="30"/>
      <c r="AA797" s="30" t="s">
        <v>1966</v>
      </c>
    </row>
    <row r="798" spans="1:272" ht="38.25">
      <c r="A798" s="30" t="s">
        <v>71</v>
      </c>
      <c r="B798" s="31" t="s">
        <v>38</v>
      </c>
      <c r="C798" s="129" t="s">
        <v>3447</v>
      </c>
      <c r="D798" s="30" t="s">
        <v>1960</v>
      </c>
      <c r="E798" s="30"/>
      <c r="F798" s="30" t="s">
        <v>1354</v>
      </c>
      <c r="G798" s="30" t="s">
        <v>205</v>
      </c>
      <c r="H798" s="30">
        <v>541330</v>
      </c>
      <c r="I798" s="129" t="s">
        <v>98</v>
      </c>
      <c r="J798" s="129" t="s">
        <v>3401</v>
      </c>
      <c r="K798" s="129" t="s">
        <v>350</v>
      </c>
      <c r="L798" s="129" t="s">
        <v>2623</v>
      </c>
      <c r="M798" s="39"/>
      <c r="N798" s="39"/>
      <c r="O798" s="30" t="s">
        <v>79</v>
      </c>
      <c r="P798" s="30"/>
      <c r="Q798" s="30" t="s">
        <v>1967</v>
      </c>
      <c r="R798" s="155" t="s">
        <v>80</v>
      </c>
      <c r="S798" s="41">
        <v>2014</v>
      </c>
      <c r="T798" s="31" t="s">
        <v>1961</v>
      </c>
      <c r="U798" s="31" t="s">
        <v>1962</v>
      </c>
      <c r="V798" s="30" t="s">
        <v>1963</v>
      </c>
      <c r="W798" s="129" t="s">
        <v>62</v>
      </c>
      <c r="X798" s="30"/>
      <c r="Y798" s="30"/>
      <c r="Z798" s="30"/>
      <c r="AA798" s="30" t="s">
        <v>1968</v>
      </c>
    </row>
    <row r="799" spans="1:272" ht="38.25" customHeight="1">
      <c r="A799" s="30" t="s">
        <v>71</v>
      </c>
      <c r="B799" s="31" t="s">
        <v>38</v>
      </c>
      <c r="C799" s="152" t="s">
        <v>3389</v>
      </c>
      <c r="D799" s="35" t="s">
        <v>1960</v>
      </c>
      <c r="E799" s="35"/>
      <c r="F799" s="35" t="s">
        <v>1969</v>
      </c>
      <c r="G799" s="35" t="s">
        <v>233</v>
      </c>
      <c r="H799" s="35">
        <v>541219</v>
      </c>
      <c r="I799" s="152" t="s">
        <v>98</v>
      </c>
      <c r="J799" s="129" t="s">
        <v>129</v>
      </c>
      <c r="K799" s="129" t="s">
        <v>113</v>
      </c>
      <c r="L799" s="35"/>
      <c r="M799" s="169" t="s">
        <v>345</v>
      </c>
      <c r="N799" s="169" t="s">
        <v>345</v>
      </c>
      <c r="O799" s="35" t="s">
        <v>79</v>
      </c>
      <c r="P799" s="35"/>
      <c r="Q799" s="35" t="s">
        <v>1970</v>
      </c>
      <c r="R799" s="163" t="s">
        <v>80</v>
      </c>
      <c r="S799" s="82">
        <v>2014</v>
      </c>
      <c r="T799" s="161" t="s">
        <v>1961</v>
      </c>
      <c r="U799" s="161" t="s">
        <v>1962</v>
      </c>
      <c r="V799" s="35" t="s">
        <v>1963</v>
      </c>
      <c r="W799" s="129" t="s">
        <v>62</v>
      </c>
      <c r="X799" s="152" t="s">
        <v>345</v>
      </c>
      <c r="Y799" s="152" t="s">
        <v>345</v>
      </c>
      <c r="Z799" s="152" t="s">
        <v>345</v>
      </c>
      <c r="AA799" s="30" t="s">
        <v>1971</v>
      </c>
      <c r="AE799" s="29"/>
      <c r="AF799" s="29"/>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c r="BF799" s="29"/>
      <c r="BG799" s="29"/>
      <c r="BH799" s="29"/>
      <c r="BI799" s="29"/>
      <c r="BJ799" s="29"/>
      <c r="BK799" s="29"/>
      <c r="BL799" s="29"/>
      <c r="BM799" s="29"/>
      <c r="BN799" s="29"/>
      <c r="BO799" s="29"/>
      <c r="BP799" s="29"/>
      <c r="BQ799" s="29"/>
      <c r="BR799" s="29"/>
      <c r="BS799" s="29"/>
      <c r="BT799" s="29"/>
      <c r="BU799" s="29"/>
      <c r="BV799" s="29"/>
      <c r="BW799" s="29"/>
      <c r="BX799" s="29"/>
      <c r="BY799" s="29"/>
      <c r="BZ799" s="29"/>
      <c r="CA799" s="29"/>
      <c r="CB799" s="29"/>
      <c r="CC799" s="29"/>
      <c r="CD799" s="29"/>
      <c r="CE799" s="29"/>
      <c r="CF799" s="29"/>
      <c r="CG799" s="29"/>
      <c r="CH799" s="29"/>
      <c r="CI799" s="29"/>
      <c r="CJ799" s="29"/>
      <c r="CK799" s="29"/>
      <c r="CL799" s="29"/>
      <c r="CM799" s="29"/>
      <c r="CN799" s="29"/>
      <c r="CO799" s="29"/>
      <c r="CP799" s="29"/>
      <c r="CQ799" s="29"/>
      <c r="CR799" s="29"/>
      <c r="CS799" s="29"/>
      <c r="CT799" s="29"/>
      <c r="CU799" s="29"/>
      <c r="CV799" s="29"/>
      <c r="CW799" s="29"/>
      <c r="CX799" s="29"/>
      <c r="CY799" s="29"/>
      <c r="CZ799" s="29"/>
      <c r="DA799" s="29"/>
      <c r="DB799" s="29"/>
      <c r="DC799" s="29"/>
      <c r="DD799" s="29"/>
      <c r="DE799" s="29"/>
      <c r="DF799" s="29"/>
      <c r="DG799" s="29"/>
      <c r="DH799" s="29"/>
      <c r="DI799" s="29"/>
      <c r="DJ799" s="29"/>
      <c r="DK799" s="29"/>
      <c r="DL799" s="29"/>
      <c r="DM799" s="29"/>
      <c r="DN799" s="29"/>
      <c r="DO799" s="29"/>
      <c r="DP799" s="29"/>
      <c r="DQ799" s="29"/>
      <c r="DR799" s="29"/>
      <c r="DS799" s="29"/>
      <c r="DT799" s="29"/>
      <c r="DU799" s="29"/>
      <c r="DV799" s="29"/>
      <c r="DW799" s="29"/>
      <c r="DX799" s="29"/>
      <c r="DY799" s="29"/>
      <c r="DZ799" s="29"/>
      <c r="EA799" s="29"/>
      <c r="EB799" s="29"/>
      <c r="EC799" s="29"/>
      <c r="ED799" s="29"/>
      <c r="EE799" s="29"/>
      <c r="EF799" s="29"/>
      <c r="EG799" s="29"/>
      <c r="EH799" s="29"/>
      <c r="EI799" s="29"/>
      <c r="EJ799" s="29"/>
      <c r="EK799" s="29"/>
      <c r="EL799" s="29"/>
      <c r="EM799" s="29"/>
      <c r="EN799" s="29"/>
      <c r="EO799" s="29"/>
      <c r="EP799" s="29"/>
      <c r="EQ799" s="29"/>
      <c r="ER799" s="29"/>
      <c r="ES799" s="29"/>
      <c r="ET799" s="29"/>
      <c r="EU799" s="29"/>
      <c r="EV799" s="29"/>
      <c r="EW799" s="29"/>
      <c r="EX799" s="29"/>
      <c r="EY799" s="29"/>
      <c r="EZ799" s="29"/>
      <c r="FA799" s="29"/>
      <c r="FB799" s="29"/>
      <c r="FC799" s="29"/>
      <c r="FD799" s="29"/>
      <c r="FE799" s="29"/>
      <c r="FF799" s="29"/>
      <c r="FG799" s="29"/>
      <c r="FH799" s="29"/>
      <c r="FI799" s="29"/>
      <c r="FJ799" s="29"/>
      <c r="FK799" s="29"/>
      <c r="FL799" s="29"/>
      <c r="FM799" s="29"/>
      <c r="FN799" s="29"/>
      <c r="FO799" s="29"/>
      <c r="FP799" s="29"/>
      <c r="FQ799" s="29"/>
      <c r="FR799" s="29"/>
      <c r="FS799" s="29"/>
      <c r="FT799" s="29"/>
      <c r="FU799" s="29"/>
      <c r="FV799" s="29"/>
      <c r="FW799" s="29"/>
      <c r="FX799" s="29"/>
      <c r="FY799" s="29"/>
      <c r="FZ799" s="29"/>
      <c r="GA799" s="29"/>
      <c r="GB799" s="29"/>
      <c r="GC799" s="29"/>
      <c r="GD799" s="29"/>
      <c r="GE799" s="29"/>
      <c r="GF799" s="29"/>
      <c r="GG799" s="29"/>
      <c r="GH799" s="29"/>
      <c r="GI799" s="29"/>
      <c r="GJ799" s="29"/>
      <c r="GK799" s="29"/>
      <c r="GL799" s="29"/>
      <c r="GM799" s="29"/>
      <c r="GN799" s="29"/>
      <c r="GO799" s="29"/>
      <c r="GP799" s="29"/>
      <c r="GQ799" s="29"/>
      <c r="GR799" s="29"/>
      <c r="GS799" s="29"/>
      <c r="GT799" s="29"/>
      <c r="GU799" s="29"/>
      <c r="GV799" s="29"/>
      <c r="GW799" s="29"/>
      <c r="GX799" s="29"/>
      <c r="GY799" s="29"/>
      <c r="GZ799" s="29"/>
      <c r="HA799" s="29"/>
      <c r="HB799" s="29"/>
      <c r="HC799" s="29"/>
      <c r="HD799" s="29"/>
      <c r="HE799" s="29"/>
      <c r="HF799" s="29"/>
      <c r="HG799" s="29"/>
      <c r="HH799" s="29"/>
      <c r="HI799" s="29"/>
      <c r="HJ799" s="29"/>
      <c r="HK799" s="29"/>
      <c r="HL799" s="29"/>
      <c r="HM799" s="29"/>
      <c r="HN799" s="29"/>
      <c r="HO799" s="29"/>
      <c r="HP799" s="29"/>
      <c r="HQ799" s="29"/>
      <c r="HR799" s="29"/>
      <c r="HS799" s="29"/>
      <c r="HT799" s="29"/>
      <c r="HU799" s="29"/>
      <c r="HV799" s="29"/>
      <c r="HW799" s="29"/>
      <c r="HX799" s="29"/>
      <c r="HY799" s="29"/>
      <c r="HZ799" s="29"/>
      <c r="IA799" s="29"/>
      <c r="IB799" s="29"/>
      <c r="IC799" s="29"/>
      <c r="ID799" s="29"/>
      <c r="IE799" s="29"/>
      <c r="IF799" s="29"/>
      <c r="IG799" s="29"/>
      <c r="IH799" s="29"/>
      <c r="II799" s="29"/>
      <c r="IJ799" s="29"/>
      <c r="IK799" s="29"/>
      <c r="IL799" s="29"/>
      <c r="IM799" s="29"/>
      <c r="IN799" s="29"/>
      <c r="IO799" s="29"/>
      <c r="IP799" s="29"/>
      <c r="IQ799" s="29"/>
      <c r="IR799" s="29"/>
      <c r="IS799" s="29"/>
      <c r="IT799" s="29"/>
      <c r="IU799" s="29"/>
      <c r="IV799" s="29"/>
      <c r="IW799" s="29"/>
      <c r="IX799" s="29"/>
      <c r="IY799" s="29"/>
      <c r="IZ799" s="29"/>
      <c r="JA799" s="29"/>
      <c r="JB799" s="29"/>
      <c r="JC799" s="29"/>
      <c r="JD799" s="29"/>
      <c r="JE799" s="29"/>
      <c r="JF799" s="29"/>
      <c r="JG799" s="29"/>
      <c r="JH799" s="29"/>
      <c r="JI799" s="29"/>
      <c r="JJ799" s="29"/>
      <c r="JK799" s="29"/>
      <c r="JL799" s="29"/>
    </row>
    <row r="800" spans="1:272" ht="38.25" customHeight="1">
      <c r="A800" s="30" t="s">
        <v>71</v>
      </c>
      <c r="B800" s="30" t="s">
        <v>28</v>
      </c>
      <c r="C800" s="35" t="s">
        <v>39</v>
      </c>
      <c r="D800" s="35" t="s">
        <v>1972</v>
      </c>
      <c r="E800" s="35" t="s">
        <v>1973</v>
      </c>
      <c r="F800" s="35" t="s">
        <v>1345</v>
      </c>
      <c r="G800" s="35" t="s">
        <v>123</v>
      </c>
      <c r="H800" s="35">
        <v>541611</v>
      </c>
      <c r="I800" s="35" t="s">
        <v>98</v>
      </c>
      <c r="J800" s="35" t="s">
        <v>1374</v>
      </c>
      <c r="K800" s="35" t="s">
        <v>1974</v>
      </c>
      <c r="L800" s="35" t="s">
        <v>1974</v>
      </c>
      <c r="M800" s="81">
        <v>550000</v>
      </c>
      <c r="N800" s="81">
        <v>1700000</v>
      </c>
      <c r="O800" s="35" t="s">
        <v>79</v>
      </c>
      <c r="P800" s="30" t="s">
        <v>302</v>
      </c>
      <c r="Q800" s="35" t="s">
        <v>294</v>
      </c>
      <c r="R800" s="155" t="s">
        <v>80</v>
      </c>
      <c r="S800" s="82">
        <v>2014</v>
      </c>
      <c r="T800" s="161" t="s">
        <v>1975</v>
      </c>
      <c r="U800" s="161" t="s">
        <v>1976</v>
      </c>
      <c r="V800" s="35" t="s">
        <v>1977</v>
      </c>
      <c r="W800" s="35" t="s">
        <v>1978</v>
      </c>
      <c r="X800" s="84">
        <v>41646</v>
      </c>
      <c r="Y800" s="84">
        <v>41713</v>
      </c>
      <c r="Z800" s="84">
        <v>42839</v>
      </c>
      <c r="AA800" s="35"/>
      <c r="AE800" s="29"/>
      <c r="AF800" s="29"/>
      <c r="AG800" s="29"/>
      <c r="AH800" s="29"/>
      <c r="AI800" s="29"/>
      <c r="AJ800" s="29"/>
      <c r="AK800" s="29"/>
      <c r="AL800" s="29"/>
      <c r="AM800" s="29"/>
      <c r="AN800" s="29"/>
      <c r="AO800" s="29"/>
      <c r="AP800" s="29"/>
      <c r="AQ800" s="29"/>
      <c r="AR800" s="29"/>
      <c r="AS800" s="29"/>
      <c r="AT800" s="29"/>
      <c r="AU800" s="29"/>
      <c r="AV800" s="29"/>
      <c r="AW800" s="29"/>
      <c r="AX800" s="29"/>
      <c r="AY800" s="29"/>
      <c r="AZ800" s="29"/>
      <c r="BA800" s="29"/>
      <c r="BB800" s="29"/>
      <c r="BC800" s="29"/>
      <c r="BD800" s="29"/>
      <c r="BE800" s="29"/>
      <c r="BF800" s="29"/>
      <c r="BG800" s="29"/>
      <c r="BH800" s="29"/>
      <c r="BI800" s="29"/>
      <c r="BJ800" s="29"/>
      <c r="BK800" s="29"/>
      <c r="BL800" s="29"/>
      <c r="BM800" s="29"/>
      <c r="BN800" s="29"/>
      <c r="BO800" s="29"/>
      <c r="BP800" s="29"/>
      <c r="BQ800" s="29"/>
      <c r="BR800" s="29"/>
      <c r="BS800" s="29"/>
      <c r="BT800" s="29"/>
      <c r="BU800" s="29"/>
      <c r="BV800" s="29"/>
      <c r="BW800" s="29"/>
      <c r="BX800" s="29"/>
      <c r="BY800" s="29"/>
      <c r="BZ800" s="29"/>
      <c r="CA800" s="29"/>
      <c r="CB800" s="29"/>
      <c r="CC800" s="29"/>
      <c r="CD800" s="29"/>
      <c r="CE800" s="29"/>
      <c r="CF800" s="29"/>
      <c r="CG800" s="29"/>
      <c r="CH800" s="29"/>
      <c r="CI800" s="29"/>
      <c r="CJ800" s="29"/>
      <c r="CK800" s="29"/>
      <c r="CL800" s="29"/>
      <c r="CM800" s="29"/>
      <c r="CN800" s="29"/>
      <c r="CO800" s="29"/>
      <c r="CP800" s="29"/>
      <c r="CQ800" s="29"/>
      <c r="CR800" s="29"/>
      <c r="CS800" s="29"/>
      <c r="CT800" s="29"/>
      <c r="CU800" s="29"/>
      <c r="CV800" s="29"/>
      <c r="CW800" s="29"/>
      <c r="CX800" s="29"/>
      <c r="CY800" s="29"/>
      <c r="CZ800" s="29"/>
      <c r="DA800" s="29"/>
      <c r="DB800" s="29"/>
      <c r="DC800" s="29"/>
      <c r="DD800" s="29"/>
      <c r="DE800" s="29"/>
      <c r="DF800" s="29"/>
      <c r="DG800" s="29"/>
      <c r="DH800" s="29"/>
      <c r="DI800" s="29"/>
      <c r="DJ800" s="29"/>
      <c r="DK800" s="29"/>
      <c r="DL800" s="29"/>
      <c r="DM800" s="29"/>
      <c r="DN800" s="29"/>
      <c r="DO800" s="29"/>
      <c r="DP800" s="29"/>
      <c r="DQ800" s="29"/>
      <c r="DR800" s="29"/>
      <c r="DS800" s="29"/>
      <c r="DT800" s="29"/>
      <c r="DU800" s="29"/>
      <c r="DV800" s="29"/>
      <c r="DW800" s="29"/>
      <c r="DX800" s="29"/>
      <c r="DY800" s="29"/>
      <c r="DZ800" s="29"/>
      <c r="EA800" s="29"/>
      <c r="EB800" s="29"/>
      <c r="EC800" s="29"/>
      <c r="ED800" s="29"/>
      <c r="EE800" s="29"/>
      <c r="EF800" s="29"/>
      <c r="EG800" s="29"/>
      <c r="EH800" s="29"/>
      <c r="EI800" s="29"/>
      <c r="EJ800" s="29"/>
      <c r="EK800" s="29"/>
      <c r="EL800" s="29"/>
      <c r="EM800" s="29"/>
      <c r="EN800" s="29"/>
      <c r="EO800" s="29"/>
      <c r="EP800" s="29"/>
      <c r="EQ800" s="29"/>
      <c r="ER800" s="29"/>
      <c r="ES800" s="29"/>
      <c r="ET800" s="29"/>
      <c r="EU800" s="29"/>
      <c r="EV800" s="29"/>
      <c r="EW800" s="29"/>
      <c r="EX800" s="29"/>
      <c r="EY800" s="29"/>
      <c r="EZ800" s="29"/>
      <c r="FA800" s="29"/>
      <c r="FB800" s="29"/>
      <c r="FC800" s="29"/>
      <c r="FD800" s="29"/>
      <c r="FE800" s="29"/>
      <c r="FF800" s="29"/>
      <c r="FG800" s="29"/>
      <c r="FH800" s="29"/>
      <c r="FI800" s="29"/>
      <c r="FJ800" s="29"/>
      <c r="FK800" s="29"/>
      <c r="FL800" s="29"/>
      <c r="FM800" s="29"/>
      <c r="FN800" s="29"/>
      <c r="FO800" s="29"/>
      <c r="FP800" s="29"/>
      <c r="FQ800" s="29"/>
      <c r="FR800" s="29"/>
      <c r="FS800" s="29"/>
      <c r="FT800" s="29"/>
      <c r="FU800" s="29"/>
      <c r="FV800" s="29"/>
      <c r="FW800" s="29"/>
      <c r="FX800" s="29"/>
      <c r="FY800" s="29"/>
      <c r="FZ800" s="29"/>
      <c r="GA800" s="29"/>
      <c r="GB800" s="29"/>
      <c r="GC800" s="29"/>
      <c r="GD800" s="29"/>
      <c r="GE800" s="29"/>
      <c r="GF800" s="29"/>
      <c r="GG800" s="29"/>
      <c r="GH800" s="29"/>
      <c r="GI800" s="29"/>
      <c r="GJ800" s="29"/>
      <c r="GK800" s="29"/>
      <c r="GL800" s="29"/>
      <c r="GM800" s="29"/>
      <c r="GN800" s="29"/>
      <c r="GO800" s="29"/>
      <c r="GP800" s="29"/>
      <c r="GQ800" s="29"/>
      <c r="GR800" s="29"/>
      <c r="GS800" s="29"/>
      <c r="GT800" s="29"/>
      <c r="GU800" s="29"/>
      <c r="GV800" s="29"/>
      <c r="GW800" s="29"/>
      <c r="GX800" s="29"/>
      <c r="GY800" s="29"/>
      <c r="GZ800" s="29"/>
      <c r="HA800" s="29"/>
      <c r="HB800" s="29"/>
      <c r="HC800" s="29"/>
      <c r="HD800" s="29"/>
      <c r="HE800" s="29"/>
      <c r="HF800" s="29"/>
      <c r="HG800" s="29"/>
      <c r="HH800" s="29"/>
      <c r="HI800" s="29"/>
      <c r="HJ800" s="29"/>
      <c r="HK800" s="29"/>
      <c r="HL800" s="29"/>
      <c r="HM800" s="29"/>
      <c r="HN800" s="29"/>
      <c r="HO800" s="29"/>
      <c r="HP800" s="29"/>
      <c r="HQ800" s="29"/>
      <c r="HR800" s="29"/>
      <c r="HS800" s="29"/>
      <c r="HT800" s="29"/>
      <c r="HU800" s="29"/>
      <c r="HV800" s="29"/>
      <c r="HW800" s="29"/>
      <c r="HX800" s="29"/>
      <c r="HY800" s="29"/>
      <c r="HZ800" s="29"/>
      <c r="IA800" s="29"/>
      <c r="IB800" s="29"/>
      <c r="IC800" s="29"/>
      <c r="ID800" s="29"/>
      <c r="IE800" s="29"/>
      <c r="IF800" s="29"/>
      <c r="IG800" s="29"/>
      <c r="IH800" s="29"/>
      <c r="II800" s="29"/>
      <c r="IJ800" s="29"/>
      <c r="IK800" s="29"/>
      <c r="IL800" s="29"/>
      <c r="IM800" s="29"/>
      <c r="IN800" s="29"/>
      <c r="IO800" s="29"/>
      <c r="IP800" s="29"/>
      <c r="IQ800" s="29"/>
      <c r="IR800" s="29"/>
      <c r="IS800" s="29"/>
      <c r="IT800" s="29"/>
      <c r="IU800" s="29"/>
      <c r="IV800" s="29"/>
      <c r="IW800" s="29"/>
      <c r="IX800" s="29"/>
      <c r="IY800" s="29"/>
      <c r="IZ800" s="29"/>
      <c r="JA800" s="29"/>
      <c r="JB800" s="29"/>
      <c r="JC800" s="29"/>
      <c r="JD800" s="29"/>
      <c r="JE800" s="29"/>
      <c r="JF800" s="29"/>
      <c r="JG800" s="29"/>
      <c r="JH800" s="29"/>
      <c r="JI800" s="29"/>
      <c r="JJ800" s="29"/>
      <c r="JK800" s="29"/>
      <c r="JL800" s="29"/>
    </row>
    <row r="801" spans="1:27" s="29" customFormat="1" ht="38.25" customHeight="1">
      <c r="A801" s="30" t="s">
        <v>71</v>
      </c>
      <c r="B801" s="30" t="s">
        <v>28</v>
      </c>
      <c r="C801" s="35" t="s">
        <v>735</v>
      </c>
      <c r="D801" s="35" t="s">
        <v>1972</v>
      </c>
      <c r="E801" s="35">
        <v>8742</v>
      </c>
      <c r="F801" s="35" t="s">
        <v>1345</v>
      </c>
      <c r="G801" s="35" t="s">
        <v>123</v>
      </c>
      <c r="H801" s="125">
        <v>541611</v>
      </c>
      <c r="I801" s="35" t="s">
        <v>98</v>
      </c>
      <c r="J801" s="129" t="s">
        <v>129</v>
      </c>
      <c r="K801" s="35" t="s">
        <v>1974</v>
      </c>
      <c r="L801" s="35" t="s">
        <v>1974</v>
      </c>
      <c r="M801" s="81">
        <v>327886</v>
      </c>
      <c r="N801" s="81">
        <v>1835508</v>
      </c>
      <c r="O801" s="35" t="s">
        <v>79</v>
      </c>
      <c r="P801" s="30" t="s">
        <v>302</v>
      </c>
      <c r="Q801" s="35" t="s">
        <v>294</v>
      </c>
      <c r="R801" s="155" t="s">
        <v>80</v>
      </c>
      <c r="S801" s="82">
        <v>2014</v>
      </c>
      <c r="T801" s="161" t="s">
        <v>1979</v>
      </c>
      <c r="U801" s="161" t="s">
        <v>1980</v>
      </c>
      <c r="V801" s="35" t="s">
        <v>1981</v>
      </c>
      <c r="W801" s="30" t="s">
        <v>1978</v>
      </c>
      <c r="X801" s="35"/>
      <c r="Y801" s="84">
        <v>41755</v>
      </c>
      <c r="Z801" s="84">
        <v>43580</v>
      </c>
      <c r="AA801" s="35"/>
    </row>
    <row r="802" spans="1:27" s="29" customFormat="1" ht="38.25" customHeight="1">
      <c r="A802" s="30" t="s">
        <v>71</v>
      </c>
      <c r="B802" s="30" t="s">
        <v>28</v>
      </c>
      <c r="C802" s="35" t="s">
        <v>735</v>
      </c>
      <c r="D802" s="35" t="s">
        <v>1972</v>
      </c>
      <c r="E802" s="35">
        <v>8742</v>
      </c>
      <c r="F802" s="35" t="s">
        <v>1345</v>
      </c>
      <c r="G802" s="35" t="s">
        <v>123</v>
      </c>
      <c r="H802" s="35">
        <v>541614</v>
      </c>
      <c r="I802" s="35" t="s">
        <v>98</v>
      </c>
      <c r="J802" s="129" t="s">
        <v>129</v>
      </c>
      <c r="K802" s="35" t="s">
        <v>1974</v>
      </c>
      <c r="L802" s="35" t="s">
        <v>1974</v>
      </c>
      <c r="M802" s="81">
        <v>724558</v>
      </c>
      <c r="N802" s="81">
        <v>3883607</v>
      </c>
      <c r="O802" s="35" t="s">
        <v>79</v>
      </c>
      <c r="P802" s="30" t="s">
        <v>302</v>
      </c>
      <c r="Q802" s="35" t="s">
        <v>294</v>
      </c>
      <c r="R802" s="155" t="s">
        <v>80</v>
      </c>
      <c r="S802" s="82">
        <v>2014</v>
      </c>
      <c r="T802" s="161" t="s">
        <v>1979</v>
      </c>
      <c r="U802" s="161" t="s">
        <v>1980</v>
      </c>
      <c r="V802" s="35" t="s">
        <v>1981</v>
      </c>
      <c r="W802" s="30" t="s">
        <v>1978</v>
      </c>
      <c r="X802" s="35"/>
      <c r="Y802" s="84">
        <v>41755</v>
      </c>
      <c r="Z802" s="84">
        <v>43580</v>
      </c>
      <c r="AA802" s="35"/>
    </row>
    <row r="803" spans="1:27" s="29" customFormat="1" ht="38.25" customHeight="1">
      <c r="A803" s="30" t="s">
        <v>71</v>
      </c>
      <c r="B803" s="30" t="s">
        <v>28</v>
      </c>
      <c r="C803" s="30" t="s">
        <v>1959</v>
      </c>
      <c r="D803" s="30" t="s">
        <v>1972</v>
      </c>
      <c r="E803" s="30" t="s">
        <v>1982</v>
      </c>
      <c r="F803" s="30" t="s">
        <v>1345</v>
      </c>
      <c r="G803" s="30" t="s">
        <v>123</v>
      </c>
      <c r="H803" s="30">
        <v>541990</v>
      </c>
      <c r="I803" s="30" t="s">
        <v>98</v>
      </c>
      <c r="J803" s="129" t="s">
        <v>129</v>
      </c>
      <c r="K803" s="30" t="s">
        <v>1974</v>
      </c>
      <c r="L803" s="30" t="s">
        <v>1974</v>
      </c>
      <c r="M803" s="39">
        <v>500000</v>
      </c>
      <c r="N803" s="39">
        <v>2000000</v>
      </c>
      <c r="O803" s="30" t="s">
        <v>79</v>
      </c>
      <c r="P803" s="30" t="s">
        <v>302</v>
      </c>
      <c r="Q803" s="30" t="s">
        <v>294</v>
      </c>
      <c r="R803" s="129" t="s">
        <v>150</v>
      </c>
      <c r="S803" s="41">
        <v>2014</v>
      </c>
      <c r="T803" s="31" t="s">
        <v>1983</v>
      </c>
      <c r="U803" s="31" t="s">
        <v>1984</v>
      </c>
      <c r="V803" s="30" t="s">
        <v>1985</v>
      </c>
      <c r="W803" s="30" t="s">
        <v>1978</v>
      </c>
      <c r="X803" s="44">
        <v>41593</v>
      </c>
      <c r="Y803" s="44">
        <v>41615</v>
      </c>
      <c r="Z803" s="44">
        <v>43440</v>
      </c>
      <c r="AA803" s="30"/>
    </row>
    <row r="804" spans="1:27" s="29" customFormat="1" ht="38.25" customHeight="1">
      <c r="A804" s="30" t="s">
        <v>71</v>
      </c>
      <c r="B804" s="30" t="s">
        <v>28</v>
      </c>
      <c r="C804" s="30" t="s">
        <v>144</v>
      </c>
      <c r="D804" s="30" t="s">
        <v>1986</v>
      </c>
      <c r="E804" s="31" t="s">
        <v>1987</v>
      </c>
      <c r="F804" s="30" t="s">
        <v>1988</v>
      </c>
      <c r="G804" s="30" t="s">
        <v>219</v>
      </c>
      <c r="H804" s="30">
        <v>42510</v>
      </c>
      <c r="I804" s="30" t="s">
        <v>98</v>
      </c>
      <c r="J804" s="129" t="s">
        <v>129</v>
      </c>
      <c r="K804" s="30" t="s">
        <v>1989</v>
      </c>
      <c r="L804" s="30" t="s">
        <v>1933</v>
      </c>
      <c r="M804" s="39">
        <v>667947</v>
      </c>
      <c r="N804" s="39">
        <v>1402688</v>
      </c>
      <c r="O804" s="30" t="s">
        <v>79</v>
      </c>
      <c r="P804" s="139" t="s">
        <v>301</v>
      </c>
      <c r="Q804" s="30" t="s">
        <v>294</v>
      </c>
      <c r="R804" s="129" t="s">
        <v>150</v>
      </c>
      <c r="S804" s="41">
        <v>2014</v>
      </c>
      <c r="T804" s="31" t="s">
        <v>1990</v>
      </c>
      <c r="U804" s="31" t="s">
        <v>1991</v>
      </c>
      <c r="V804" s="30" t="s">
        <v>1992</v>
      </c>
      <c r="W804" s="30" t="s">
        <v>1978</v>
      </c>
      <c r="X804" s="44">
        <v>41549</v>
      </c>
      <c r="Y804" s="44">
        <v>41585</v>
      </c>
      <c r="Z804" s="44">
        <v>42277</v>
      </c>
      <c r="AA804" s="30"/>
    </row>
    <row r="805" spans="1:27" s="29" customFormat="1" ht="38.25" customHeight="1">
      <c r="A805" s="30" t="s">
        <v>71</v>
      </c>
      <c r="B805" s="30" t="s">
        <v>28</v>
      </c>
      <c r="C805" s="30" t="s">
        <v>144</v>
      </c>
      <c r="D805" s="30" t="s">
        <v>1986</v>
      </c>
      <c r="E805" s="31" t="s">
        <v>1987</v>
      </c>
      <c r="F805" s="30" t="s">
        <v>1290</v>
      </c>
      <c r="G805" s="30" t="s">
        <v>199</v>
      </c>
      <c r="H805" s="30">
        <v>42510</v>
      </c>
      <c r="I805" s="30" t="s">
        <v>98</v>
      </c>
      <c r="J805" s="129" t="s">
        <v>129</v>
      </c>
      <c r="K805" s="30" t="s">
        <v>1989</v>
      </c>
      <c r="L805" s="30" t="s">
        <v>1933</v>
      </c>
      <c r="M805" s="39">
        <v>642607</v>
      </c>
      <c r="N805" s="39">
        <v>1329674</v>
      </c>
      <c r="O805" s="30" t="s">
        <v>79</v>
      </c>
      <c r="P805" s="61" t="s">
        <v>301</v>
      </c>
      <c r="Q805" s="30" t="s">
        <v>294</v>
      </c>
      <c r="R805" s="129" t="s">
        <v>150</v>
      </c>
      <c r="S805" s="41">
        <v>2014</v>
      </c>
      <c r="T805" s="31" t="s">
        <v>1990</v>
      </c>
      <c r="U805" s="31" t="s">
        <v>1991</v>
      </c>
      <c r="V805" s="30" t="s">
        <v>1992</v>
      </c>
      <c r="W805" s="30" t="s">
        <v>1978</v>
      </c>
      <c r="X805" s="44">
        <v>41549</v>
      </c>
      <c r="Y805" s="44">
        <v>41585</v>
      </c>
      <c r="Z805" s="44">
        <v>42277</v>
      </c>
      <c r="AA805" s="30"/>
    </row>
    <row r="806" spans="1:27" s="29" customFormat="1" ht="38.25" customHeight="1">
      <c r="A806" s="30" t="s">
        <v>71</v>
      </c>
      <c r="B806" s="30" t="s">
        <v>28</v>
      </c>
      <c r="C806" s="30" t="s">
        <v>144</v>
      </c>
      <c r="D806" s="30" t="s">
        <v>1986</v>
      </c>
      <c r="E806" s="31" t="s">
        <v>1987</v>
      </c>
      <c r="F806" s="30" t="s">
        <v>1993</v>
      </c>
      <c r="G806" s="30" t="s">
        <v>118</v>
      </c>
      <c r="H806" s="30">
        <v>42510</v>
      </c>
      <c r="I806" s="30" t="s">
        <v>98</v>
      </c>
      <c r="J806" s="129" t="s">
        <v>129</v>
      </c>
      <c r="K806" s="30" t="s">
        <v>1994</v>
      </c>
      <c r="L806" s="30" t="s">
        <v>1994</v>
      </c>
      <c r="M806" s="39">
        <v>929049</v>
      </c>
      <c r="N806" s="39">
        <v>1929538</v>
      </c>
      <c r="O806" s="30" t="s">
        <v>79</v>
      </c>
      <c r="P806" s="61" t="s">
        <v>301</v>
      </c>
      <c r="Q806" s="30" t="s">
        <v>294</v>
      </c>
      <c r="R806" s="129" t="s">
        <v>150</v>
      </c>
      <c r="S806" s="41">
        <v>2014</v>
      </c>
      <c r="T806" s="31" t="s">
        <v>1990</v>
      </c>
      <c r="U806" s="31" t="s">
        <v>1991</v>
      </c>
      <c r="V806" s="30" t="s">
        <v>1992</v>
      </c>
      <c r="W806" s="30" t="s">
        <v>1978</v>
      </c>
      <c r="X806" s="44">
        <v>41549</v>
      </c>
      <c r="Y806" s="44">
        <v>41585</v>
      </c>
      <c r="Z806" s="44">
        <v>42277</v>
      </c>
      <c r="AA806" s="30"/>
    </row>
    <row r="807" spans="1:27" s="29" customFormat="1" ht="38.25" customHeight="1">
      <c r="A807" s="30" t="s">
        <v>71</v>
      </c>
      <c r="B807" s="30" t="s">
        <v>28</v>
      </c>
      <c r="C807" s="30" t="s">
        <v>735</v>
      </c>
      <c r="D807" s="30" t="s">
        <v>1995</v>
      </c>
      <c r="E807" s="31" t="s">
        <v>1987</v>
      </c>
      <c r="F807" s="129" t="s">
        <v>822</v>
      </c>
      <c r="G807" s="30" t="s">
        <v>243</v>
      </c>
      <c r="H807" s="30">
        <v>42510</v>
      </c>
      <c r="I807" s="30" t="s">
        <v>98</v>
      </c>
      <c r="J807" s="129" t="s">
        <v>129</v>
      </c>
      <c r="K807" s="30" t="s">
        <v>1989</v>
      </c>
      <c r="L807" s="30" t="s">
        <v>1933</v>
      </c>
      <c r="M807" s="39">
        <v>181167</v>
      </c>
      <c r="N807" s="39">
        <v>181167</v>
      </c>
      <c r="O807" s="30" t="s">
        <v>79</v>
      </c>
      <c r="P807" s="30" t="s">
        <v>302</v>
      </c>
      <c r="Q807" s="30" t="s">
        <v>294</v>
      </c>
      <c r="R807" s="129" t="s">
        <v>150</v>
      </c>
      <c r="S807" s="41">
        <v>2014</v>
      </c>
      <c r="T807" s="31" t="s">
        <v>1990</v>
      </c>
      <c r="U807" s="31" t="s">
        <v>1991</v>
      </c>
      <c r="V807" s="30" t="s">
        <v>1992</v>
      </c>
      <c r="W807" s="30" t="s">
        <v>1978</v>
      </c>
      <c r="X807" s="44">
        <v>41549</v>
      </c>
      <c r="Y807" s="44">
        <v>41585</v>
      </c>
      <c r="Z807" s="44">
        <v>42277</v>
      </c>
      <c r="AA807" s="30"/>
    </row>
    <row r="808" spans="1:27" s="29" customFormat="1" ht="51">
      <c r="A808" s="30" t="s">
        <v>142</v>
      </c>
      <c r="B808" s="30" t="s">
        <v>38</v>
      </c>
      <c r="C808" s="30" t="s">
        <v>1650</v>
      </c>
      <c r="D808" s="30" t="s">
        <v>1997</v>
      </c>
      <c r="E808" s="31" t="s">
        <v>96</v>
      </c>
      <c r="F808" s="30" t="s">
        <v>822</v>
      </c>
      <c r="G808" s="30" t="s">
        <v>1998</v>
      </c>
      <c r="H808" s="30">
        <v>541310</v>
      </c>
      <c r="I808" s="30" t="s">
        <v>98</v>
      </c>
      <c r="J808" s="30" t="s">
        <v>77</v>
      </c>
      <c r="K808" s="30" t="s">
        <v>44</v>
      </c>
      <c r="L808" s="30" t="s">
        <v>1999</v>
      </c>
      <c r="M808" s="39">
        <v>250</v>
      </c>
      <c r="N808" s="39">
        <v>1500000</v>
      </c>
      <c r="O808" s="30" t="s">
        <v>79</v>
      </c>
      <c r="P808" s="30" t="s">
        <v>1996</v>
      </c>
      <c r="Q808" s="129" t="s">
        <v>3420</v>
      </c>
      <c r="R808" s="31" t="s">
        <v>80</v>
      </c>
      <c r="S808" s="41">
        <v>2014</v>
      </c>
      <c r="T808" s="31" t="s">
        <v>2000</v>
      </c>
      <c r="U808" s="31" t="s">
        <v>2001</v>
      </c>
      <c r="V808" s="30" t="s">
        <v>2002</v>
      </c>
      <c r="W808" s="129" t="s">
        <v>62</v>
      </c>
      <c r="X808" s="30" t="s">
        <v>302</v>
      </c>
      <c r="Y808" s="30" t="s">
        <v>302</v>
      </c>
      <c r="Z808" s="30" t="s">
        <v>302</v>
      </c>
      <c r="AA808" s="30" t="s">
        <v>2003</v>
      </c>
    </row>
    <row r="809" spans="1:27" s="29" customFormat="1" ht="38.25">
      <c r="A809" s="30" t="s">
        <v>142</v>
      </c>
      <c r="B809" s="30" t="s">
        <v>38</v>
      </c>
      <c r="C809" s="30" t="s">
        <v>1080</v>
      </c>
      <c r="D809" s="30" t="s">
        <v>2004</v>
      </c>
      <c r="E809" s="31" t="s">
        <v>88</v>
      </c>
      <c r="F809" s="30" t="s">
        <v>822</v>
      </c>
      <c r="G809" s="30" t="s">
        <v>1998</v>
      </c>
      <c r="H809" s="30">
        <v>238210</v>
      </c>
      <c r="I809" s="30" t="s">
        <v>2005</v>
      </c>
      <c r="J809" s="129" t="s">
        <v>129</v>
      </c>
      <c r="K809" s="30" t="s">
        <v>44</v>
      </c>
      <c r="L809" s="30" t="s">
        <v>78</v>
      </c>
      <c r="M809" s="39">
        <v>3000</v>
      </c>
      <c r="N809" s="39">
        <v>5000000</v>
      </c>
      <c r="O809" s="30" t="s">
        <v>79</v>
      </c>
      <c r="P809" s="30" t="s">
        <v>1996</v>
      </c>
      <c r="Q809" s="30" t="s">
        <v>294</v>
      </c>
      <c r="R809" s="30" t="s">
        <v>150</v>
      </c>
      <c r="S809" s="41">
        <v>2014</v>
      </c>
      <c r="T809" s="31" t="s">
        <v>2006</v>
      </c>
      <c r="U809" s="31" t="s">
        <v>2007</v>
      </c>
      <c r="V809" s="30" t="s">
        <v>2008</v>
      </c>
      <c r="W809" s="129" t="s">
        <v>62</v>
      </c>
      <c r="X809" s="30" t="s">
        <v>302</v>
      </c>
      <c r="Y809" s="44">
        <v>41548</v>
      </c>
      <c r="Z809" s="44">
        <v>43343</v>
      </c>
      <c r="AA809" s="30" t="s">
        <v>2009</v>
      </c>
    </row>
    <row r="810" spans="1:27" s="29" customFormat="1" ht="51">
      <c r="A810" s="30" t="s">
        <v>142</v>
      </c>
      <c r="B810" s="30" t="s">
        <v>38</v>
      </c>
      <c r="C810" s="30" t="s">
        <v>1650</v>
      </c>
      <c r="D810" s="30" t="s">
        <v>2010</v>
      </c>
      <c r="E810" s="31" t="s">
        <v>164</v>
      </c>
      <c r="F810" s="30" t="s">
        <v>822</v>
      </c>
      <c r="G810" s="30" t="s">
        <v>1998</v>
      </c>
      <c r="H810" s="30">
        <v>236220</v>
      </c>
      <c r="I810" s="30" t="s">
        <v>67</v>
      </c>
      <c r="J810" s="30" t="s">
        <v>77</v>
      </c>
      <c r="K810" s="30" t="s">
        <v>44</v>
      </c>
      <c r="L810" s="129" t="s">
        <v>858</v>
      </c>
      <c r="M810" s="39">
        <v>5000</v>
      </c>
      <c r="N810" s="39">
        <v>10000000</v>
      </c>
      <c r="O810" s="30" t="s">
        <v>79</v>
      </c>
      <c r="P810" s="30" t="s">
        <v>1996</v>
      </c>
      <c r="Q810" s="129" t="s">
        <v>3420</v>
      </c>
      <c r="R810" s="31" t="s">
        <v>80</v>
      </c>
      <c r="S810" s="41">
        <v>2014</v>
      </c>
      <c r="T810" s="31" t="s">
        <v>2011</v>
      </c>
      <c r="U810" s="31" t="s">
        <v>2012</v>
      </c>
      <c r="V810" s="30" t="s">
        <v>2013</v>
      </c>
      <c r="W810" s="129" t="s">
        <v>62</v>
      </c>
      <c r="X810" s="30" t="s">
        <v>302</v>
      </c>
      <c r="Y810" s="30" t="s">
        <v>302</v>
      </c>
      <c r="Z810" s="30" t="s">
        <v>302</v>
      </c>
      <c r="AA810" s="30" t="s">
        <v>2003</v>
      </c>
    </row>
    <row r="811" spans="1:27" s="29" customFormat="1" ht="51">
      <c r="A811" s="30" t="s">
        <v>142</v>
      </c>
      <c r="B811" s="61" t="s">
        <v>38</v>
      </c>
      <c r="C811" s="61" t="s">
        <v>1080</v>
      </c>
      <c r="D811" s="61" t="s">
        <v>2014</v>
      </c>
      <c r="E811" s="61" t="s">
        <v>164</v>
      </c>
      <c r="F811" s="61" t="s">
        <v>822</v>
      </c>
      <c r="G811" s="61" t="s">
        <v>1998</v>
      </c>
      <c r="H811" s="61">
        <v>236220</v>
      </c>
      <c r="I811" s="61" t="s">
        <v>98</v>
      </c>
      <c r="J811" s="61" t="s">
        <v>77</v>
      </c>
      <c r="K811" s="61" t="s">
        <v>44</v>
      </c>
      <c r="L811" s="61" t="s">
        <v>1999</v>
      </c>
      <c r="M811" s="62">
        <v>2000</v>
      </c>
      <c r="N811" s="62">
        <v>6000000</v>
      </c>
      <c r="O811" s="61" t="s">
        <v>79</v>
      </c>
      <c r="P811" s="61" t="s">
        <v>1996</v>
      </c>
      <c r="Q811" s="139" t="s">
        <v>3421</v>
      </c>
      <c r="R811" s="63" t="s">
        <v>100</v>
      </c>
      <c r="S811" s="64">
        <v>2014</v>
      </c>
      <c r="T811" s="164" t="s">
        <v>2015</v>
      </c>
      <c r="U811" s="185" t="s">
        <v>2016</v>
      </c>
      <c r="V811" s="65" t="s">
        <v>2017</v>
      </c>
      <c r="W811" s="129" t="s">
        <v>62</v>
      </c>
      <c r="X811" s="30" t="s">
        <v>302</v>
      </c>
      <c r="Y811" s="44">
        <v>41759</v>
      </c>
      <c r="Z811" s="44">
        <v>43251</v>
      </c>
      <c r="AA811" s="65" t="s">
        <v>2003</v>
      </c>
    </row>
    <row r="812" spans="1:27" s="29" customFormat="1" ht="51">
      <c r="A812" s="30" t="s">
        <v>142</v>
      </c>
      <c r="B812" s="61" t="s">
        <v>38</v>
      </c>
      <c r="C812" s="61" t="s">
        <v>1080</v>
      </c>
      <c r="D812" s="61" t="s">
        <v>2018</v>
      </c>
      <c r="E812" s="61" t="s">
        <v>135</v>
      </c>
      <c r="F812" s="61" t="s">
        <v>822</v>
      </c>
      <c r="G812" s="61" t="s">
        <v>1998</v>
      </c>
      <c r="H812" s="61">
        <v>484210</v>
      </c>
      <c r="I812" s="61" t="s">
        <v>98</v>
      </c>
      <c r="J812" s="61" t="s">
        <v>77</v>
      </c>
      <c r="K812" s="61" t="s">
        <v>44</v>
      </c>
      <c r="L812" s="61" t="s">
        <v>1999</v>
      </c>
      <c r="M812" s="62">
        <v>3000</v>
      </c>
      <c r="N812" s="67" t="s">
        <v>2019</v>
      </c>
      <c r="O812" s="61" t="s">
        <v>79</v>
      </c>
      <c r="P812" s="61" t="s">
        <v>2020</v>
      </c>
      <c r="Q812" s="139" t="s">
        <v>2187</v>
      </c>
      <c r="R812" s="61" t="s">
        <v>150</v>
      </c>
      <c r="S812" s="68">
        <v>2014</v>
      </c>
      <c r="T812" s="164" t="s">
        <v>2022</v>
      </c>
      <c r="U812" s="164" t="s">
        <v>2023</v>
      </c>
      <c r="V812" s="65" t="s">
        <v>2024</v>
      </c>
      <c r="W812" s="129" t="s">
        <v>62</v>
      </c>
      <c r="X812" s="30" t="s">
        <v>302</v>
      </c>
      <c r="Y812" s="30" t="s">
        <v>302</v>
      </c>
      <c r="Z812" s="30" t="s">
        <v>302</v>
      </c>
      <c r="AA812" s="69" t="s">
        <v>2003</v>
      </c>
    </row>
    <row r="813" spans="1:27" s="29" customFormat="1" ht="51">
      <c r="A813" s="30" t="s">
        <v>142</v>
      </c>
      <c r="B813" s="61" t="s">
        <v>38</v>
      </c>
      <c r="C813" s="61" t="s">
        <v>1080</v>
      </c>
      <c r="D813" s="61" t="s">
        <v>2018</v>
      </c>
      <c r="E813" s="61" t="s">
        <v>135</v>
      </c>
      <c r="F813" s="61" t="s">
        <v>822</v>
      </c>
      <c r="G813" s="61" t="s">
        <v>1998</v>
      </c>
      <c r="H813" s="61">
        <v>484210</v>
      </c>
      <c r="I813" s="61" t="s">
        <v>98</v>
      </c>
      <c r="J813" s="61" t="s">
        <v>77</v>
      </c>
      <c r="K813" s="61" t="s">
        <v>44</v>
      </c>
      <c r="L813" s="61" t="s">
        <v>1999</v>
      </c>
      <c r="M813" s="62">
        <v>3000</v>
      </c>
      <c r="N813" s="67" t="s">
        <v>2019</v>
      </c>
      <c r="O813" s="61" t="s">
        <v>79</v>
      </c>
      <c r="P813" s="61" t="s">
        <v>2025</v>
      </c>
      <c r="Q813" s="139" t="s">
        <v>2187</v>
      </c>
      <c r="R813" s="61" t="s">
        <v>150</v>
      </c>
      <c r="S813" s="68">
        <v>2014</v>
      </c>
      <c r="T813" s="164" t="s">
        <v>2022</v>
      </c>
      <c r="U813" s="164" t="s">
        <v>2023</v>
      </c>
      <c r="V813" s="65" t="s">
        <v>2024</v>
      </c>
      <c r="W813" s="129" t="s">
        <v>62</v>
      </c>
      <c r="X813" s="30" t="s">
        <v>302</v>
      </c>
      <c r="Y813" s="30" t="s">
        <v>302</v>
      </c>
      <c r="Z813" s="30" t="s">
        <v>302</v>
      </c>
      <c r="AA813" s="65" t="s">
        <v>2003</v>
      </c>
    </row>
    <row r="814" spans="1:27" s="29" customFormat="1" ht="51">
      <c r="A814" s="30" t="s">
        <v>142</v>
      </c>
      <c r="B814" s="61" t="s">
        <v>38</v>
      </c>
      <c r="C814" s="61" t="s">
        <v>1080</v>
      </c>
      <c r="D814" s="61" t="s">
        <v>2026</v>
      </c>
      <c r="E814" s="61" t="s">
        <v>164</v>
      </c>
      <c r="F814" s="132" t="s">
        <v>822</v>
      </c>
      <c r="G814" s="132" t="s">
        <v>3386</v>
      </c>
      <c r="H814" s="61">
        <v>236220</v>
      </c>
      <c r="I814" s="61" t="s">
        <v>98</v>
      </c>
      <c r="J814" s="61" t="s">
        <v>77</v>
      </c>
      <c r="K814" s="61" t="s">
        <v>44</v>
      </c>
      <c r="L814" s="61" t="s">
        <v>1999</v>
      </c>
      <c r="M814" s="62">
        <v>1000</v>
      </c>
      <c r="N814" s="62">
        <v>7000000</v>
      </c>
      <c r="O814" s="61" t="s">
        <v>79</v>
      </c>
      <c r="P814" s="61" t="s">
        <v>2027</v>
      </c>
      <c r="Q814" s="139" t="s">
        <v>2187</v>
      </c>
      <c r="R814" s="61" t="s">
        <v>100</v>
      </c>
      <c r="S814" s="68">
        <v>2014</v>
      </c>
      <c r="T814" s="164" t="s">
        <v>2028</v>
      </c>
      <c r="U814" s="164" t="s">
        <v>2029</v>
      </c>
      <c r="V814" s="65" t="s">
        <v>2030</v>
      </c>
      <c r="W814" s="129" t="s">
        <v>62</v>
      </c>
      <c r="X814" s="30" t="s">
        <v>302</v>
      </c>
      <c r="Y814" s="30" t="s">
        <v>302</v>
      </c>
      <c r="Z814" s="30" t="s">
        <v>302</v>
      </c>
      <c r="AA814" s="65" t="s">
        <v>2003</v>
      </c>
    </row>
    <row r="815" spans="1:27" s="29" customFormat="1" ht="51">
      <c r="A815" s="30" t="s">
        <v>142</v>
      </c>
      <c r="B815" s="61" t="s">
        <v>38</v>
      </c>
      <c r="C815" s="61" t="s">
        <v>1080</v>
      </c>
      <c r="D815" s="61" t="s">
        <v>2031</v>
      </c>
      <c r="E815" s="30" t="s">
        <v>135</v>
      </c>
      <c r="F815" s="132" t="s">
        <v>822</v>
      </c>
      <c r="G815" s="132" t="s">
        <v>3386</v>
      </c>
      <c r="H815" s="61">
        <v>236220</v>
      </c>
      <c r="I815" s="61" t="s">
        <v>98</v>
      </c>
      <c r="J815" s="61" t="s">
        <v>77</v>
      </c>
      <c r="K815" s="61" t="s">
        <v>44</v>
      </c>
      <c r="L815" s="61" t="s">
        <v>1999</v>
      </c>
      <c r="M815" s="62">
        <v>1000</v>
      </c>
      <c r="N815" s="62">
        <v>7000000</v>
      </c>
      <c r="O815" s="61" t="s">
        <v>79</v>
      </c>
      <c r="P815" s="61" t="s">
        <v>2027</v>
      </c>
      <c r="Q815" s="139" t="s">
        <v>2191</v>
      </c>
      <c r="R815" s="61" t="s">
        <v>35</v>
      </c>
      <c r="S815" s="68">
        <v>2014</v>
      </c>
      <c r="T815" s="164" t="s">
        <v>2028</v>
      </c>
      <c r="U815" s="164" t="s">
        <v>2029</v>
      </c>
      <c r="V815" s="65" t="s">
        <v>2030</v>
      </c>
      <c r="W815" s="129" t="s">
        <v>62</v>
      </c>
      <c r="X815" s="30" t="s">
        <v>302</v>
      </c>
      <c r="Y815" s="30" t="s">
        <v>302</v>
      </c>
      <c r="Z815" s="30" t="s">
        <v>302</v>
      </c>
      <c r="AA815" s="65" t="s">
        <v>2003</v>
      </c>
    </row>
    <row r="816" spans="1:27" s="29" customFormat="1" ht="51">
      <c r="A816" s="30" t="s">
        <v>142</v>
      </c>
      <c r="B816" s="61" t="s">
        <v>38</v>
      </c>
      <c r="C816" s="61" t="s">
        <v>29</v>
      </c>
      <c r="D816" s="61" t="s">
        <v>2033</v>
      </c>
      <c r="E816" s="30" t="s">
        <v>96</v>
      </c>
      <c r="F816" s="61" t="s">
        <v>822</v>
      </c>
      <c r="G816" s="61" t="s">
        <v>3383</v>
      </c>
      <c r="H816" s="61">
        <v>541310</v>
      </c>
      <c r="I816" s="61" t="s">
        <v>45</v>
      </c>
      <c r="J816" s="61" t="s">
        <v>77</v>
      </c>
      <c r="K816" s="61" t="s">
        <v>44</v>
      </c>
      <c r="L816" s="61" t="s">
        <v>789</v>
      </c>
      <c r="M816" s="62">
        <v>2500</v>
      </c>
      <c r="N816" s="62">
        <v>20000000</v>
      </c>
      <c r="O816" s="61" t="s">
        <v>79</v>
      </c>
      <c r="P816" s="61" t="s">
        <v>1996</v>
      </c>
      <c r="Q816" s="61" t="s">
        <v>294</v>
      </c>
      <c r="R816" s="61" t="s">
        <v>150</v>
      </c>
      <c r="S816" s="68">
        <v>2014</v>
      </c>
      <c r="T816" s="164" t="s">
        <v>2034</v>
      </c>
      <c r="U816" s="164" t="s">
        <v>2035</v>
      </c>
      <c r="V816" s="65" t="s">
        <v>2036</v>
      </c>
      <c r="W816" s="129" t="s">
        <v>62</v>
      </c>
      <c r="X816" s="30" t="s">
        <v>307</v>
      </c>
      <c r="Y816" s="30" t="s">
        <v>534</v>
      </c>
      <c r="Z816" s="30" t="s">
        <v>2037</v>
      </c>
      <c r="AA816" s="65" t="s">
        <v>2003</v>
      </c>
    </row>
    <row r="817" spans="1:27" s="29" customFormat="1" ht="51">
      <c r="A817" s="30" t="s">
        <v>142</v>
      </c>
      <c r="B817" s="61" t="s">
        <v>38</v>
      </c>
      <c r="C817" s="61" t="s">
        <v>1650</v>
      </c>
      <c r="D817" s="30" t="s">
        <v>2038</v>
      </c>
      <c r="E817" s="30" t="s">
        <v>135</v>
      </c>
      <c r="F817" s="30" t="s">
        <v>822</v>
      </c>
      <c r="G817" s="30" t="s">
        <v>3384</v>
      </c>
      <c r="H817" s="30">
        <v>484210</v>
      </c>
      <c r="I817" s="30" t="s">
        <v>98</v>
      </c>
      <c r="J817" s="30" t="s">
        <v>77</v>
      </c>
      <c r="K817" s="31" t="s">
        <v>69</v>
      </c>
      <c r="L817" s="30" t="s">
        <v>2039</v>
      </c>
      <c r="M817" s="39">
        <v>300</v>
      </c>
      <c r="N817" s="39">
        <v>2000000</v>
      </c>
      <c r="O817" s="30" t="s">
        <v>79</v>
      </c>
      <c r="P817" s="30" t="s">
        <v>1996</v>
      </c>
      <c r="Q817" s="139" t="s">
        <v>2187</v>
      </c>
      <c r="R817" s="30" t="s">
        <v>35</v>
      </c>
      <c r="S817" s="41">
        <v>2014</v>
      </c>
      <c r="T817" s="31" t="s">
        <v>2034</v>
      </c>
      <c r="U817" s="31" t="s">
        <v>2035</v>
      </c>
      <c r="V817" s="30" t="s">
        <v>2036</v>
      </c>
      <c r="W817" s="129" t="s">
        <v>62</v>
      </c>
      <c r="X817" s="30" t="s">
        <v>302</v>
      </c>
      <c r="Y817" s="30" t="s">
        <v>2040</v>
      </c>
      <c r="Z817" s="30" t="s">
        <v>2041</v>
      </c>
      <c r="AA817" s="30" t="s">
        <v>2003</v>
      </c>
    </row>
    <row r="818" spans="1:27" s="29" customFormat="1" ht="51">
      <c r="A818" s="30" t="s">
        <v>142</v>
      </c>
      <c r="B818" s="61" t="s">
        <v>38</v>
      </c>
      <c r="C818" s="61" t="s">
        <v>1080</v>
      </c>
      <c r="D818" s="30" t="s">
        <v>2042</v>
      </c>
      <c r="E818" s="30" t="s">
        <v>135</v>
      </c>
      <c r="F818" s="30" t="s">
        <v>822</v>
      </c>
      <c r="G818" s="129" t="s">
        <v>205</v>
      </c>
      <c r="H818" s="30">
        <v>561499</v>
      </c>
      <c r="I818" s="30" t="s">
        <v>98</v>
      </c>
      <c r="J818" s="30" t="s">
        <v>77</v>
      </c>
      <c r="K818" s="30" t="s">
        <v>44</v>
      </c>
      <c r="L818" s="30" t="s">
        <v>2039</v>
      </c>
      <c r="M818" s="39">
        <v>300</v>
      </c>
      <c r="N818" s="39">
        <v>5000000</v>
      </c>
      <c r="O818" s="30" t="s">
        <v>79</v>
      </c>
      <c r="P818" s="30" t="s">
        <v>2043</v>
      </c>
      <c r="Q818" s="139" t="s">
        <v>2187</v>
      </c>
      <c r="R818" s="31" t="s">
        <v>80</v>
      </c>
      <c r="S818" s="41">
        <v>2014</v>
      </c>
      <c r="T818" s="31" t="s">
        <v>2044</v>
      </c>
      <c r="U818" s="31" t="s">
        <v>2045</v>
      </c>
      <c r="V818" s="30" t="s">
        <v>2046</v>
      </c>
      <c r="W818" s="129" t="s">
        <v>62</v>
      </c>
      <c r="X818" s="30" t="s">
        <v>302</v>
      </c>
      <c r="Y818" s="30" t="s">
        <v>2047</v>
      </c>
      <c r="Z818" s="30" t="s">
        <v>2048</v>
      </c>
      <c r="AA818" s="30" t="s">
        <v>2003</v>
      </c>
    </row>
    <row r="819" spans="1:27" s="29" customFormat="1" ht="51">
      <c r="A819" s="30" t="s">
        <v>142</v>
      </c>
      <c r="B819" s="61" t="s">
        <v>38</v>
      </c>
      <c r="C819" s="30" t="s">
        <v>1080</v>
      </c>
      <c r="D819" s="61" t="s">
        <v>2049</v>
      </c>
      <c r="E819" s="61" t="s">
        <v>164</v>
      </c>
      <c r="F819" s="129" t="s">
        <v>822</v>
      </c>
      <c r="G819" s="61" t="s">
        <v>3385</v>
      </c>
      <c r="H819" s="61">
        <v>236220</v>
      </c>
      <c r="I819" s="61" t="s">
        <v>2050</v>
      </c>
      <c r="J819" s="61" t="s">
        <v>77</v>
      </c>
      <c r="K819" s="61" t="s">
        <v>44</v>
      </c>
      <c r="L819" s="61" t="s">
        <v>2051</v>
      </c>
      <c r="M819" s="62">
        <v>2500</v>
      </c>
      <c r="N819" s="62">
        <v>1500000</v>
      </c>
      <c r="O819" s="61" t="s">
        <v>79</v>
      </c>
      <c r="P819" s="61" t="s">
        <v>1996</v>
      </c>
      <c r="Q819" s="139" t="s">
        <v>3422</v>
      </c>
      <c r="R819" s="164" t="s">
        <v>80</v>
      </c>
      <c r="S819" s="68">
        <v>2014</v>
      </c>
      <c r="T819" s="164" t="s">
        <v>2052</v>
      </c>
      <c r="U819" s="164" t="s">
        <v>2053</v>
      </c>
      <c r="V819" s="65" t="s">
        <v>2054</v>
      </c>
      <c r="W819" s="129" t="s">
        <v>62</v>
      </c>
      <c r="X819" s="129" t="s">
        <v>302</v>
      </c>
      <c r="Y819" s="30" t="s">
        <v>2055</v>
      </c>
      <c r="Z819" s="44">
        <v>42004</v>
      </c>
      <c r="AA819" s="30" t="s">
        <v>2056</v>
      </c>
    </row>
    <row r="820" spans="1:27" s="29" customFormat="1" ht="38.25">
      <c r="A820" s="30" t="s">
        <v>142</v>
      </c>
      <c r="B820" s="61" t="s">
        <v>38</v>
      </c>
      <c r="C820" s="30" t="s">
        <v>1080</v>
      </c>
      <c r="D820" s="30" t="s">
        <v>2057</v>
      </c>
      <c r="E820" s="30" t="s">
        <v>88</v>
      </c>
      <c r="F820" s="61" t="s">
        <v>2058</v>
      </c>
      <c r="G820" s="129" t="s">
        <v>84</v>
      </c>
      <c r="H820" s="30">
        <v>561720</v>
      </c>
      <c r="I820" s="30" t="s">
        <v>98</v>
      </c>
      <c r="J820" s="30" t="s">
        <v>311</v>
      </c>
      <c r="K820" s="30" t="s">
        <v>44</v>
      </c>
      <c r="L820" s="30" t="s">
        <v>687</v>
      </c>
      <c r="M820" s="39">
        <v>76831.28</v>
      </c>
      <c r="N820" s="39">
        <v>384156.6</v>
      </c>
      <c r="O820" s="61" t="s">
        <v>79</v>
      </c>
      <c r="P820" s="30" t="s">
        <v>2059</v>
      </c>
      <c r="Q820" s="129" t="s">
        <v>3423</v>
      </c>
      <c r="R820" s="30" t="s">
        <v>150</v>
      </c>
      <c r="S820" s="41">
        <v>2014</v>
      </c>
      <c r="T820" s="31" t="s">
        <v>2060</v>
      </c>
      <c r="U820" s="31" t="s">
        <v>2061</v>
      </c>
      <c r="V820" s="30" t="s">
        <v>2062</v>
      </c>
      <c r="W820" s="129" t="s">
        <v>62</v>
      </c>
      <c r="X820" s="44">
        <v>41142</v>
      </c>
      <c r="Y820" s="44">
        <v>41239</v>
      </c>
      <c r="Z820" s="44">
        <v>43131</v>
      </c>
      <c r="AA820" s="65" t="s">
        <v>2063</v>
      </c>
    </row>
    <row r="821" spans="1:27" s="29" customFormat="1" ht="51">
      <c r="A821" s="30" t="s">
        <v>142</v>
      </c>
      <c r="B821" s="61" t="s">
        <v>38</v>
      </c>
      <c r="C821" s="65" t="s">
        <v>1080</v>
      </c>
      <c r="D821" s="70" t="s">
        <v>2064</v>
      </c>
      <c r="E821" s="66" t="s">
        <v>88</v>
      </c>
      <c r="F821" s="61" t="s">
        <v>2058</v>
      </c>
      <c r="G821" s="129" t="s">
        <v>84</v>
      </c>
      <c r="H821" s="70">
        <v>238220</v>
      </c>
      <c r="I821" s="70" t="s">
        <v>98</v>
      </c>
      <c r="J821" s="70" t="s">
        <v>311</v>
      </c>
      <c r="K821" s="70" t="s">
        <v>44</v>
      </c>
      <c r="L821" s="70" t="s">
        <v>687</v>
      </c>
      <c r="M821" s="39">
        <v>93000</v>
      </c>
      <c r="N821" s="39">
        <v>465884</v>
      </c>
      <c r="O821" s="61" t="s">
        <v>79</v>
      </c>
      <c r="P821" s="65" t="s">
        <v>2065</v>
      </c>
      <c r="Q821" s="70" t="s">
        <v>2032</v>
      </c>
      <c r="R821" s="165" t="s">
        <v>80</v>
      </c>
      <c r="S821" s="68">
        <v>2014</v>
      </c>
      <c r="T821" s="164" t="s">
        <v>2060</v>
      </c>
      <c r="U821" s="164" t="s">
        <v>2061</v>
      </c>
      <c r="V821" s="65" t="s">
        <v>2062</v>
      </c>
      <c r="W821" s="129" t="s">
        <v>62</v>
      </c>
      <c r="X821" s="30" t="s">
        <v>302</v>
      </c>
      <c r="Y821" s="30" t="s">
        <v>302</v>
      </c>
      <c r="Z821" s="44">
        <v>42825</v>
      </c>
      <c r="AA821" s="65" t="s">
        <v>2003</v>
      </c>
    </row>
    <row r="822" spans="1:27" s="29" customFormat="1" ht="51">
      <c r="A822" s="30" t="s">
        <v>142</v>
      </c>
      <c r="B822" s="61" t="s">
        <v>38</v>
      </c>
      <c r="C822" s="61" t="s">
        <v>1650</v>
      </c>
      <c r="D822" s="61" t="s">
        <v>2066</v>
      </c>
      <c r="E822" s="61" t="s">
        <v>96</v>
      </c>
      <c r="F822" s="61" t="s">
        <v>822</v>
      </c>
      <c r="G822" s="61" t="s">
        <v>2067</v>
      </c>
      <c r="H822" s="61">
        <v>541310</v>
      </c>
      <c r="I822" s="61" t="s">
        <v>98</v>
      </c>
      <c r="J822" s="61" t="s">
        <v>77</v>
      </c>
      <c r="K822" s="61" t="s">
        <v>99</v>
      </c>
      <c r="L822" s="61" t="s">
        <v>2039</v>
      </c>
      <c r="M822" s="62">
        <v>25000</v>
      </c>
      <c r="N822" s="62">
        <v>2000000</v>
      </c>
      <c r="O822" s="61" t="s">
        <v>79</v>
      </c>
      <c r="P822" s="61" t="s">
        <v>2068</v>
      </c>
      <c r="Q822" s="61" t="s">
        <v>2021</v>
      </c>
      <c r="R822" s="61" t="s">
        <v>150</v>
      </c>
      <c r="S822" s="68">
        <v>2014</v>
      </c>
      <c r="T822" s="164" t="s">
        <v>2060</v>
      </c>
      <c r="U822" s="164" t="s">
        <v>2069</v>
      </c>
      <c r="V822" s="65" t="s">
        <v>2062</v>
      </c>
      <c r="W822" s="129" t="s">
        <v>62</v>
      </c>
      <c r="X822" s="30" t="s">
        <v>302</v>
      </c>
      <c r="Y822" s="30" t="s">
        <v>302</v>
      </c>
      <c r="Z822" s="44">
        <v>42582</v>
      </c>
      <c r="AA822" s="65" t="s">
        <v>2070</v>
      </c>
    </row>
    <row r="823" spans="1:27" s="29" customFormat="1" ht="38.25">
      <c r="A823" s="30" t="s">
        <v>142</v>
      </c>
      <c r="B823" s="61" t="s">
        <v>38</v>
      </c>
      <c r="C823" s="30" t="s">
        <v>29</v>
      </c>
      <c r="D823" s="30" t="s">
        <v>2071</v>
      </c>
      <c r="E823" s="30" t="s">
        <v>164</v>
      </c>
      <c r="F823" s="30" t="s">
        <v>2072</v>
      </c>
      <c r="G823" s="129" t="s">
        <v>84</v>
      </c>
      <c r="H823" s="30">
        <v>236220</v>
      </c>
      <c r="I823" s="30" t="s">
        <v>98</v>
      </c>
      <c r="J823" s="30" t="s">
        <v>2073</v>
      </c>
      <c r="K823" s="30" t="s">
        <v>44</v>
      </c>
      <c r="L823" s="30" t="s">
        <v>1999</v>
      </c>
      <c r="M823" s="39">
        <v>200000</v>
      </c>
      <c r="N823" s="39">
        <v>200000</v>
      </c>
      <c r="O823" s="61" t="s">
        <v>79</v>
      </c>
      <c r="P823" s="30" t="s">
        <v>302</v>
      </c>
      <c r="Q823" s="30" t="s">
        <v>294</v>
      </c>
      <c r="R823" s="30" t="s">
        <v>150</v>
      </c>
      <c r="S823" s="41">
        <v>2014</v>
      </c>
      <c r="T823" s="31" t="s">
        <v>2074</v>
      </c>
      <c r="U823" s="31" t="s">
        <v>2075</v>
      </c>
      <c r="V823" s="30" t="s">
        <v>2076</v>
      </c>
      <c r="W823" s="129" t="s">
        <v>62</v>
      </c>
      <c r="X823" s="44">
        <v>41548</v>
      </c>
      <c r="Y823" s="44">
        <v>41613</v>
      </c>
      <c r="Z823" s="30" t="s">
        <v>345</v>
      </c>
      <c r="AA823" s="30" t="s">
        <v>2077</v>
      </c>
    </row>
    <row r="824" spans="1:27" s="29" customFormat="1" ht="51">
      <c r="A824" s="30" t="s">
        <v>142</v>
      </c>
      <c r="B824" s="61" t="s">
        <v>38</v>
      </c>
      <c r="C824" s="61" t="s">
        <v>1080</v>
      </c>
      <c r="D824" s="65" t="s">
        <v>1839</v>
      </c>
      <c r="E824" s="70" t="s">
        <v>88</v>
      </c>
      <c r="F824" s="66" t="s">
        <v>2072</v>
      </c>
      <c r="G824" s="129" t="s">
        <v>84</v>
      </c>
      <c r="H824" s="61">
        <v>238290</v>
      </c>
      <c r="I824" s="30" t="s">
        <v>67</v>
      </c>
      <c r="J824" s="61" t="s">
        <v>311</v>
      </c>
      <c r="K824" s="61" t="s">
        <v>44</v>
      </c>
      <c r="L824" s="61" t="s">
        <v>687</v>
      </c>
      <c r="M824" s="62">
        <v>36866.94</v>
      </c>
      <c r="N824" s="62">
        <v>190334.69</v>
      </c>
      <c r="O824" s="61" t="s">
        <v>79</v>
      </c>
      <c r="P824" s="61" t="s">
        <v>2078</v>
      </c>
      <c r="Q824" s="139" t="s">
        <v>3421</v>
      </c>
      <c r="R824" s="61" t="s">
        <v>150</v>
      </c>
      <c r="S824" s="68">
        <v>2014</v>
      </c>
      <c r="T824" s="164" t="s">
        <v>2074</v>
      </c>
      <c r="U824" s="164" t="s">
        <v>2075</v>
      </c>
      <c r="V824" s="65" t="s">
        <v>2076</v>
      </c>
      <c r="W824" s="129" t="s">
        <v>62</v>
      </c>
      <c r="X824" s="30" t="s">
        <v>302</v>
      </c>
      <c r="Y824" s="30" t="s">
        <v>302</v>
      </c>
      <c r="Z824" s="44">
        <v>43159</v>
      </c>
      <c r="AA824" s="65" t="s">
        <v>2003</v>
      </c>
    </row>
    <row r="825" spans="1:27" s="29" customFormat="1" ht="38.25">
      <c r="A825" s="30" t="s">
        <v>142</v>
      </c>
      <c r="B825" s="61" t="s">
        <v>38</v>
      </c>
      <c r="C825" s="30" t="s">
        <v>29</v>
      </c>
      <c r="D825" s="30" t="s">
        <v>2079</v>
      </c>
      <c r="E825" s="30" t="s">
        <v>164</v>
      </c>
      <c r="F825" s="30" t="s">
        <v>2072</v>
      </c>
      <c r="G825" s="129" t="s">
        <v>84</v>
      </c>
      <c r="H825" s="30">
        <v>238220</v>
      </c>
      <c r="I825" s="30" t="s">
        <v>98</v>
      </c>
      <c r="J825" s="30" t="s">
        <v>2073</v>
      </c>
      <c r="K825" s="30" t="s">
        <v>44</v>
      </c>
      <c r="L825" s="30" t="s">
        <v>1999</v>
      </c>
      <c r="M825" s="39">
        <v>73000</v>
      </c>
      <c r="N825" s="39">
        <v>73000</v>
      </c>
      <c r="O825" s="61" t="s">
        <v>79</v>
      </c>
      <c r="P825" s="30" t="s">
        <v>302</v>
      </c>
      <c r="Q825" s="30" t="s">
        <v>294</v>
      </c>
      <c r="R825" s="30" t="s">
        <v>150</v>
      </c>
      <c r="S825" s="41">
        <v>2014</v>
      </c>
      <c r="T825" s="31" t="s">
        <v>2074</v>
      </c>
      <c r="U825" s="31" t="s">
        <v>2075</v>
      </c>
      <c r="V825" s="30" t="s">
        <v>2076</v>
      </c>
      <c r="W825" s="129" t="s">
        <v>62</v>
      </c>
      <c r="X825" s="44">
        <v>41548</v>
      </c>
      <c r="Y825" s="44">
        <v>41613</v>
      </c>
      <c r="Z825" s="30" t="s">
        <v>345</v>
      </c>
      <c r="AA825" s="30" t="s">
        <v>2080</v>
      </c>
    </row>
    <row r="826" spans="1:27" s="29" customFormat="1" ht="51">
      <c r="A826" s="30" t="s">
        <v>142</v>
      </c>
      <c r="B826" s="61" t="s">
        <v>38</v>
      </c>
      <c r="C826" s="61" t="s">
        <v>1650</v>
      </c>
      <c r="D826" s="61" t="s">
        <v>2066</v>
      </c>
      <c r="E826" s="61" t="s">
        <v>96</v>
      </c>
      <c r="F826" s="61" t="s">
        <v>822</v>
      </c>
      <c r="G826" s="61" t="s">
        <v>2067</v>
      </c>
      <c r="H826" s="61">
        <v>541310</v>
      </c>
      <c r="I826" s="61" t="s">
        <v>98</v>
      </c>
      <c r="J826" s="61" t="s">
        <v>77</v>
      </c>
      <c r="K826" s="61" t="s">
        <v>99</v>
      </c>
      <c r="L826" s="61" t="s">
        <v>2039</v>
      </c>
      <c r="M826" s="62">
        <v>25000</v>
      </c>
      <c r="N826" s="62">
        <v>2000000</v>
      </c>
      <c r="O826" s="61" t="s">
        <v>79</v>
      </c>
      <c r="P826" s="61" t="s">
        <v>2081</v>
      </c>
      <c r="Q826" s="61" t="s">
        <v>2021</v>
      </c>
      <c r="R826" s="61" t="s">
        <v>150</v>
      </c>
      <c r="S826" s="68">
        <v>2014</v>
      </c>
      <c r="T826" s="164" t="s">
        <v>2074</v>
      </c>
      <c r="U826" s="164" t="s">
        <v>2082</v>
      </c>
      <c r="V826" s="65" t="s">
        <v>2076</v>
      </c>
      <c r="W826" s="129" t="s">
        <v>62</v>
      </c>
      <c r="X826" s="30" t="s">
        <v>302</v>
      </c>
      <c r="Y826" s="30" t="s">
        <v>302</v>
      </c>
      <c r="Z826" s="44">
        <v>42004</v>
      </c>
      <c r="AA826" s="65" t="s">
        <v>2003</v>
      </c>
    </row>
    <row r="827" spans="1:27" s="29" customFormat="1" ht="51">
      <c r="A827" s="30" t="s">
        <v>142</v>
      </c>
      <c r="B827" s="61" t="s">
        <v>38</v>
      </c>
      <c r="C827" s="61" t="s">
        <v>1650</v>
      </c>
      <c r="D827" s="61" t="s">
        <v>2083</v>
      </c>
      <c r="E827" s="61" t="s">
        <v>164</v>
      </c>
      <c r="F827" s="61" t="s">
        <v>822</v>
      </c>
      <c r="G827" s="61" t="s">
        <v>2067</v>
      </c>
      <c r="H827" s="61">
        <v>236220</v>
      </c>
      <c r="I827" s="30" t="s">
        <v>67</v>
      </c>
      <c r="J827" s="61" t="s">
        <v>77</v>
      </c>
      <c r="K827" s="61" t="s">
        <v>44</v>
      </c>
      <c r="L827" s="61" t="s">
        <v>2051</v>
      </c>
      <c r="M827" s="62">
        <v>2000</v>
      </c>
      <c r="N827" s="62">
        <v>500000</v>
      </c>
      <c r="O827" s="61" t="s">
        <v>79</v>
      </c>
      <c r="P827" s="61" t="s">
        <v>2084</v>
      </c>
      <c r="Q827" s="139" t="s">
        <v>3422</v>
      </c>
      <c r="R827" s="61" t="s">
        <v>150</v>
      </c>
      <c r="S827" s="68">
        <v>2014</v>
      </c>
      <c r="T827" s="164" t="s">
        <v>2074</v>
      </c>
      <c r="U827" s="164" t="s">
        <v>2082</v>
      </c>
      <c r="V827" s="65" t="s">
        <v>2076</v>
      </c>
      <c r="W827" s="129" t="s">
        <v>62</v>
      </c>
      <c r="X827" s="30" t="s">
        <v>302</v>
      </c>
      <c r="Y827" s="30" t="s">
        <v>302</v>
      </c>
      <c r="Z827" s="44">
        <v>42004</v>
      </c>
      <c r="AA827" s="30" t="s">
        <v>2056</v>
      </c>
    </row>
    <row r="828" spans="1:27" s="29" customFormat="1" ht="51">
      <c r="A828" s="30" t="s">
        <v>142</v>
      </c>
      <c r="B828" s="61" t="s">
        <v>38</v>
      </c>
      <c r="C828" s="61" t="s">
        <v>1650</v>
      </c>
      <c r="D828" s="61" t="s">
        <v>2083</v>
      </c>
      <c r="E828" s="61" t="s">
        <v>164</v>
      </c>
      <c r="F828" s="129" t="s">
        <v>822</v>
      </c>
      <c r="G828" s="61" t="s">
        <v>2067</v>
      </c>
      <c r="H828" s="61">
        <v>236220</v>
      </c>
      <c r="I828" s="61" t="s">
        <v>98</v>
      </c>
      <c r="J828" s="61" t="s">
        <v>77</v>
      </c>
      <c r="K828" s="61" t="s">
        <v>44</v>
      </c>
      <c r="L828" s="61" t="s">
        <v>2051</v>
      </c>
      <c r="M828" s="62">
        <v>2000</v>
      </c>
      <c r="N828" s="62">
        <v>500000</v>
      </c>
      <c r="O828" s="61" t="s">
        <v>79</v>
      </c>
      <c r="P828" s="61" t="s">
        <v>2085</v>
      </c>
      <c r="Q828" s="139" t="s">
        <v>3422</v>
      </c>
      <c r="R828" s="61" t="s">
        <v>150</v>
      </c>
      <c r="S828" s="68">
        <v>2014</v>
      </c>
      <c r="T828" s="164" t="s">
        <v>2074</v>
      </c>
      <c r="U828" s="164" t="s">
        <v>2082</v>
      </c>
      <c r="V828" s="65" t="s">
        <v>2076</v>
      </c>
      <c r="W828" s="129" t="s">
        <v>62</v>
      </c>
      <c r="X828" s="30" t="s">
        <v>302</v>
      </c>
      <c r="Y828" s="30" t="s">
        <v>302</v>
      </c>
      <c r="Z828" s="44">
        <v>42004</v>
      </c>
      <c r="AA828" s="65" t="s">
        <v>2056</v>
      </c>
    </row>
    <row r="829" spans="1:27" s="29" customFormat="1" ht="51">
      <c r="A829" s="30" t="s">
        <v>142</v>
      </c>
      <c r="B829" s="61" t="s">
        <v>38</v>
      </c>
      <c r="C829" s="30" t="s">
        <v>1650</v>
      </c>
      <c r="D829" s="30" t="s">
        <v>2083</v>
      </c>
      <c r="E829" s="30" t="s">
        <v>164</v>
      </c>
      <c r="F829" s="129" t="s">
        <v>822</v>
      </c>
      <c r="G829" s="30" t="s">
        <v>2067</v>
      </c>
      <c r="H829" s="30">
        <v>236220</v>
      </c>
      <c r="I829" s="30" t="s">
        <v>98</v>
      </c>
      <c r="J829" s="30" t="s">
        <v>77</v>
      </c>
      <c r="K829" s="30" t="s">
        <v>44</v>
      </c>
      <c r="L829" s="30" t="s">
        <v>2051</v>
      </c>
      <c r="M829" s="39">
        <v>2000</v>
      </c>
      <c r="N829" s="39">
        <v>500000</v>
      </c>
      <c r="O829" s="61" t="s">
        <v>79</v>
      </c>
      <c r="P829" s="30" t="s">
        <v>2086</v>
      </c>
      <c r="Q829" s="139" t="s">
        <v>3422</v>
      </c>
      <c r="R829" s="30" t="s">
        <v>150</v>
      </c>
      <c r="S829" s="41">
        <v>2014</v>
      </c>
      <c r="T829" s="164" t="s">
        <v>2074</v>
      </c>
      <c r="U829" s="31" t="s">
        <v>2082</v>
      </c>
      <c r="V829" s="30" t="s">
        <v>2076</v>
      </c>
      <c r="W829" s="129" t="s">
        <v>62</v>
      </c>
      <c r="X829" s="30" t="s">
        <v>302</v>
      </c>
      <c r="Y829" s="30" t="s">
        <v>302</v>
      </c>
      <c r="Z829" s="44">
        <v>42004</v>
      </c>
      <c r="AA829" s="30" t="s">
        <v>2056</v>
      </c>
    </row>
    <row r="830" spans="1:27" s="29" customFormat="1" ht="51">
      <c r="A830" s="30" t="s">
        <v>142</v>
      </c>
      <c r="B830" s="61" t="s">
        <v>38</v>
      </c>
      <c r="C830" s="65" t="s">
        <v>1650</v>
      </c>
      <c r="D830" s="70" t="s">
        <v>2083</v>
      </c>
      <c r="E830" s="70" t="s">
        <v>164</v>
      </c>
      <c r="F830" s="129" t="s">
        <v>822</v>
      </c>
      <c r="G830" s="70" t="s">
        <v>2067</v>
      </c>
      <c r="H830" s="70">
        <v>236220</v>
      </c>
      <c r="I830" s="70" t="s">
        <v>98</v>
      </c>
      <c r="J830" s="70" t="s">
        <v>77</v>
      </c>
      <c r="K830" s="70" t="s">
        <v>44</v>
      </c>
      <c r="L830" s="70" t="s">
        <v>2051</v>
      </c>
      <c r="M830" s="71">
        <v>2000</v>
      </c>
      <c r="N830" s="72">
        <v>500000</v>
      </c>
      <c r="O830" s="61" t="s">
        <v>79</v>
      </c>
      <c r="P830" s="65" t="s">
        <v>2087</v>
      </c>
      <c r="Q830" s="139" t="s">
        <v>3422</v>
      </c>
      <c r="R830" s="70" t="s">
        <v>150</v>
      </c>
      <c r="S830" s="73">
        <v>2014</v>
      </c>
      <c r="T830" s="164" t="s">
        <v>2074</v>
      </c>
      <c r="U830" s="164" t="s">
        <v>2082</v>
      </c>
      <c r="V830" s="65" t="s">
        <v>2076</v>
      </c>
      <c r="W830" s="129" t="s">
        <v>62</v>
      </c>
      <c r="X830" s="30" t="s">
        <v>302</v>
      </c>
      <c r="Y830" s="30" t="s">
        <v>302</v>
      </c>
      <c r="Z830" s="44">
        <v>42004</v>
      </c>
      <c r="AA830" s="65" t="s">
        <v>2003</v>
      </c>
    </row>
    <row r="831" spans="1:27" s="29" customFormat="1" ht="51">
      <c r="A831" s="30" t="s">
        <v>142</v>
      </c>
      <c r="B831" s="61" t="s">
        <v>38</v>
      </c>
      <c r="C831" s="61" t="s">
        <v>1650</v>
      </c>
      <c r="D831" s="61" t="s">
        <v>2083</v>
      </c>
      <c r="E831" s="61" t="s">
        <v>164</v>
      </c>
      <c r="F831" s="129" t="s">
        <v>822</v>
      </c>
      <c r="G831" s="61" t="s">
        <v>2067</v>
      </c>
      <c r="H831" s="61">
        <v>236220</v>
      </c>
      <c r="I831" s="61" t="s">
        <v>98</v>
      </c>
      <c r="J831" s="61" t="s">
        <v>77</v>
      </c>
      <c r="K831" s="61" t="s">
        <v>44</v>
      </c>
      <c r="L831" s="61" t="s">
        <v>2051</v>
      </c>
      <c r="M831" s="62">
        <v>2000</v>
      </c>
      <c r="N831" s="62">
        <v>500000</v>
      </c>
      <c r="O831" s="61" t="s">
        <v>79</v>
      </c>
      <c r="P831" s="61" t="s">
        <v>2088</v>
      </c>
      <c r="Q831" s="139" t="s">
        <v>3422</v>
      </c>
      <c r="R831" s="61" t="s">
        <v>150</v>
      </c>
      <c r="S831" s="68">
        <v>2014</v>
      </c>
      <c r="T831" s="164" t="s">
        <v>2074</v>
      </c>
      <c r="U831" s="164" t="s">
        <v>2082</v>
      </c>
      <c r="V831" s="65" t="s">
        <v>2076</v>
      </c>
      <c r="W831" s="129" t="s">
        <v>62</v>
      </c>
      <c r="X831" s="30" t="s">
        <v>302</v>
      </c>
      <c r="Y831" s="30" t="s">
        <v>302</v>
      </c>
      <c r="Z831" s="44">
        <v>42004</v>
      </c>
      <c r="AA831" s="65" t="s">
        <v>2003</v>
      </c>
    </row>
    <row r="832" spans="1:27" s="29" customFormat="1" ht="38.25" customHeight="1">
      <c r="A832" s="30" t="s">
        <v>142</v>
      </c>
      <c r="B832" s="61" t="s">
        <v>38</v>
      </c>
      <c r="C832" s="61" t="s">
        <v>1080</v>
      </c>
      <c r="D832" s="61" t="s">
        <v>2089</v>
      </c>
      <c r="E832" s="61" t="s">
        <v>88</v>
      </c>
      <c r="F832" s="61" t="s">
        <v>2090</v>
      </c>
      <c r="G832" s="139" t="s">
        <v>140</v>
      </c>
      <c r="H832" s="61">
        <v>238990</v>
      </c>
      <c r="I832" s="61" t="s">
        <v>98</v>
      </c>
      <c r="J832" s="61" t="s">
        <v>2073</v>
      </c>
      <c r="K832" s="61" t="s">
        <v>44</v>
      </c>
      <c r="L832" s="61" t="s">
        <v>2091</v>
      </c>
      <c r="M832" s="62">
        <v>45885</v>
      </c>
      <c r="N832" s="62">
        <v>45885</v>
      </c>
      <c r="O832" s="61" t="s">
        <v>79</v>
      </c>
      <c r="P832" s="61" t="s">
        <v>2092</v>
      </c>
      <c r="Q832" s="139" t="s">
        <v>3421</v>
      </c>
      <c r="R832" s="61" t="s">
        <v>100</v>
      </c>
      <c r="S832" s="68">
        <v>2014</v>
      </c>
      <c r="T832" s="164" t="s">
        <v>2093</v>
      </c>
      <c r="U832" s="164" t="s">
        <v>2094</v>
      </c>
      <c r="V832" s="65" t="s">
        <v>2095</v>
      </c>
      <c r="W832" s="129" t="s">
        <v>62</v>
      </c>
      <c r="X832" s="30" t="s">
        <v>302</v>
      </c>
      <c r="Y832" s="44">
        <v>41759</v>
      </c>
      <c r="Z832" s="44">
        <v>43251</v>
      </c>
      <c r="AA832" s="65" t="s">
        <v>2096</v>
      </c>
    </row>
    <row r="833" spans="1:27" s="29" customFormat="1" ht="38.25">
      <c r="A833" s="30" t="s">
        <v>142</v>
      </c>
      <c r="B833" s="61" t="s">
        <v>38</v>
      </c>
      <c r="C833" s="61" t="s">
        <v>1650</v>
      </c>
      <c r="D833" s="61" t="s">
        <v>1839</v>
      </c>
      <c r="E833" s="61" t="s">
        <v>88</v>
      </c>
      <c r="F833" s="61" t="s">
        <v>2097</v>
      </c>
      <c r="G833" s="61" t="s">
        <v>2067</v>
      </c>
      <c r="H833" s="61">
        <v>561720</v>
      </c>
      <c r="I833" s="61" t="s">
        <v>45</v>
      </c>
      <c r="J833" s="61" t="s">
        <v>311</v>
      </c>
      <c r="K833" s="61" t="s">
        <v>44</v>
      </c>
      <c r="L833" s="61" t="s">
        <v>687</v>
      </c>
      <c r="M833" s="62">
        <v>25000</v>
      </c>
      <c r="N833" s="62">
        <v>500000</v>
      </c>
      <c r="O833" s="61" t="s">
        <v>79</v>
      </c>
      <c r="P833" s="61" t="s">
        <v>2098</v>
      </c>
      <c r="Q833" s="139" t="s">
        <v>3421</v>
      </c>
      <c r="R833" s="61" t="s">
        <v>35</v>
      </c>
      <c r="S833" s="68">
        <v>2014</v>
      </c>
      <c r="T833" s="164" t="s">
        <v>2093</v>
      </c>
      <c r="U833" s="164" t="s">
        <v>2094</v>
      </c>
      <c r="V833" s="65" t="s">
        <v>2095</v>
      </c>
      <c r="W833" s="129" t="s">
        <v>62</v>
      </c>
      <c r="X833" s="30" t="s">
        <v>302</v>
      </c>
      <c r="Y833" s="44">
        <v>41897</v>
      </c>
      <c r="Z833" s="44">
        <v>43434</v>
      </c>
      <c r="AA833" s="65" t="s">
        <v>2099</v>
      </c>
    </row>
    <row r="834" spans="1:27" s="29" customFormat="1" ht="51">
      <c r="A834" s="30" t="s">
        <v>142</v>
      </c>
      <c r="B834" s="61" t="s">
        <v>38</v>
      </c>
      <c r="C834" s="61" t="s">
        <v>1080</v>
      </c>
      <c r="D834" s="61" t="s">
        <v>1839</v>
      </c>
      <c r="E834" s="61" t="s">
        <v>88</v>
      </c>
      <c r="F834" s="61" t="s">
        <v>2100</v>
      </c>
      <c r="G834" s="61" t="s">
        <v>140</v>
      </c>
      <c r="H834" s="61">
        <v>238290</v>
      </c>
      <c r="I834" s="30" t="s">
        <v>67</v>
      </c>
      <c r="J834" s="61" t="s">
        <v>311</v>
      </c>
      <c r="K834" s="61" t="s">
        <v>44</v>
      </c>
      <c r="L834" s="61" t="s">
        <v>2091</v>
      </c>
      <c r="M834" s="62">
        <v>100000</v>
      </c>
      <c r="N834" s="62">
        <v>500000</v>
      </c>
      <c r="O834" s="61" t="s">
        <v>79</v>
      </c>
      <c r="P834" s="61" t="s">
        <v>2101</v>
      </c>
      <c r="Q834" s="139" t="s">
        <v>3421</v>
      </c>
      <c r="R834" s="164" t="s">
        <v>80</v>
      </c>
      <c r="S834" s="68">
        <v>2014</v>
      </c>
      <c r="T834" s="164" t="s">
        <v>2102</v>
      </c>
      <c r="U834" s="164" t="s">
        <v>2103</v>
      </c>
      <c r="V834" s="65" t="s">
        <v>2104</v>
      </c>
      <c r="W834" s="129" t="s">
        <v>62</v>
      </c>
      <c r="X834" s="30" t="s">
        <v>302</v>
      </c>
      <c r="Y834" s="30" t="s">
        <v>302</v>
      </c>
      <c r="Z834" s="30" t="s">
        <v>302</v>
      </c>
      <c r="AA834" s="65" t="s">
        <v>2070</v>
      </c>
    </row>
    <row r="835" spans="1:27" s="29" customFormat="1" ht="51">
      <c r="A835" s="30" t="s">
        <v>142</v>
      </c>
      <c r="B835" s="61" t="s">
        <v>38</v>
      </c>
      <c r="C835" s="61" t="s">
        <v>1080</v>
      </c>
      <c r="D835" s="61" t="s">
        <v>1839</v>
      </c>
      <c r="E835" s="61" t="s">
        <v>88</v>
      </c>
      <c r="F835" s="61" t="s">
        <v>2105</v>
      </c>
      <c r="G835" s="61" t="s">
        <v>140</v>
      </c>
      <c r="H835" s="61">
        <v>238290</v>
      </c>
      <c r="I835" s="30" t="s">
        <v>67</v>
      </c>
      <c r="J835" s="61" t="s">
        <v>311</v>
      </c>
      <c r="K835" s="61" t="s">
        <v>44</v>
      </c>
      <c r="L835" s="61" t="s">
        <v>2091</v>
      </c>
      <c r="M835" s="62">
        <v>100000</v>
      </c>
      <c r="N835" s="62">
        <v>500000</v>
      </c>
      <c r="O835" s="61" t="s">
        <v>79</v>
      </c>
      <c r="P835" s="61" t="s">
        <v>2106</v>
      </c>
      <c r="Q835" s="139" t="s">
        <v>3421</v>
      </c>
      <c r="R835" s="61" t="s">
        <v>35</v>
      </c>
      <c r="S835" s="68">
        <v>2014</v>
      </c>
      <c r="T835" s="164" t="s">
        <v>2102</v>
      </c>
      <c r="U835" s="164" t="s">
        <v>2103</v>
      </c>
      <c r="V835" s="65" t="s">
        <v>2104</v>
      </c>
      <c r="W835" s="129" t="s">
        <v>62</v>
      </c>
      <c r="X835" s="30" t="s">
        <v>302</v>
      </c>
      <c r="Y835" s="30" t="s">
        <v>302</v>
      </c>
      <c r="Z835" s="30" t="s">
        <v>302</v>
      </c>
      <c r="AA835" s="65" t="s">
        <v>2003</v>
      </c>
    </row>
    <row r="836" spans="1:27" s="29" customFormat="1" ht="51">
      <c r="A836" s="30" t="s">
        <v>142</v>
      </c>
      <c r="B836" s="61" t="s">
        <v>38</v>
      </c>
      <c r="C836" s="61" t="s">
        <v>1080</v>
      </c>
      <c r="D836" s="61" t="s">
        <v>2064</v>
      </c>
      <c r="E836" s="30" t="s">
        <v>88</v>
      </c>
      <c r="F836" s="61" t="s">
        <v>2072</v>
      </c>
      <c r="G836" s="61" t="s">
        <v>2067</v>
      </c>
      <c r="H836" s="61">
        <v>238220</v>
      </c>
      <c r="I836" s="61" t="s">
        <v>45</v>
      </c>
      <c r="J836" s="30" t="s">
        <v>2107</v>
      </c>
      <c r="K836" s="30" t="s">
        <v>44</v>
      </c>
      <c r="L836" s="30" t="s">
        <v>687</v>
      </c>
      <c r="M836" s="62">
        <v>350000</v>
      </c>
      <c r="N836" s="62">
        <v>1800000</v>
      </c>
      <c r="O836" s="61" t="s">
        <v>79</v>
      </c>
      <c r="P836" s="61" t="s">
        <v>2108</v>
      </c>
      <c r="Q836" s="139" t="s">
        <v>3421</v>
      </c>
      <c r="R836" s="31" t="s">
        <v>80</v>
      </c>
      <c r="S836" s="41">
        <v>2014</v>
      </c>
      <c r="T836" s="164" t="s">
        <v>2109</v>
      </c>
      <c r="U836" s="164" t="s">
        <v>2110</v>
      </c>
      <c r="V836" s="65" t="s">
        <v>2111</v>
      </c>
      <c r="W836" s="129" t="s">
        <v>62</v>
      </c>
      <c r="X836" s="30" t="s">
        <v>302</v>
      </c>
      <c r="Y836" s="44">
        <v>41671</v>
      </c>
      <c r="Z836" s="44">
        <v>43159</v>
      </c>
      <c r="AA836" s="30" t="s">
        <v>2003</v>
      </c>
    </row>
    <row r="837" spans="1:27" s="29" customFormat="1" ht="38.25">
      <c r="A837" s="30" t="s">
        <v>142</v>
      </c>
      <c r="B837" s="61" t="s">
        <v>38</v>
      </c>
      <c r="C837" s="61" t="s">
        <v>1080</v>
      </c>
      <c r="D837" s="61" t="s">
        <v>2066</v>
      </c>
      <c r="E837" s="30" t="s">
        <v>96</v>
      </c>
      <c r="F837" s="61" t="s">
        <v>822</v>
      </c>
      <c r="G837" s="61" t="s">
        <v>2067</v>
      </c>
      <c r="H837" s="61">
        <v>541310</v>
      </c>
      <c r="I837" s="61" t="s">
        <v>98</v>
      </c>
      <c r="J837" s="61" t="s">
        <v>77</v>
      </c>
      <c r="K837" s="61" t="s">
        <v>99</v>
      </c>
      <c r="L837" s="61" t="s">
        <v>2039</v>
      </c>
      <c r="M837" s="62">
        <v>25000</v>
      </c>
      <c r="N837" s="62">
        <v>2000000</v>
      </c>
      <c r="O837" s="61" t="s">
        <v>79</v>
      </c>
      <c r="P837" s="61" t="s">
        <v>2112</v>
      </c>
      <c r="Q837" s="61" t="s">
        <v>2032</v>
      </c>
      <c r="R837" s="164" t="s">
        <v>80</v>
      </c>
      <c r="S837" s="68">
        <v>2014</v>
      </c>
      <c r="T837" s="164" t="s">
        <v>2109</v>
      </c>
      <c r="U837" s="164" t="s">
        <v>2113</v>
      </c>
      <c r="V837" s="65" t="s">
        <v>2111</v>
      </c>
      <c r="W837" s="129" t="s">
        <v>62</v>
      </c>
      <c r="X837" s="30" t="s">
        <v>302</v>
      </c>
      <c r="Y837" s="44">
        <v>41821</v>
      </c>
      <c r="Z837" s="44">
        <v>42947</v>
      </c>
      <c r="AA837" s="30" t="s">
        <v>2114</v>
      </c>
    </row>
    <row r="838" spans="1:27" s="29" customFormat="1" ht="38.25">
      <c r="A838" s="30" t="s">
        <v>142</v>
      </c>
      <c r="B838" s="61" t="s">
        <v>38</v>
      </c>
      <c r="C838" s="61" t="s">
        <v>1650</v>
      </c>
      <c r="D838" s="61" t="s">
        <v>2064</v>
      </c>
      <c r="E838" s="30" t="s">
        <v>88</v>
      </c>
      <c r="F838" s="61" t="s">
        <v>2097</v>
      </c>
      <c r="G838" s="61" t="s">
        <v>2067</v>
      </c>
      <c r="H838" s="61">
        <v>561720</v>
      </c>
      <c r="I838" s="61" t="s">
        <v>45</v>
      </c>
      <c r="J838" s="61" t="s">
        <v>311</v>
      </c>
      <c r="K838" s="61" t="s">
        <v>44</v>
      </c>
      <c r="L838" s="61" t="s">
        <v>687</v>
      </c>
      <c r="M838" s="62">
        <v>25000</v>
      </c>
      <c r="N838" s="62">
        <v>500000</v>
      </c>
      <c r="O838" s="61" t="s">
        <v>79</v>
      </c>
      <c r="P838" s="61" t="s">
        <v>1519</v>
      </c>
      <c r="Q838" s="139" t="s">
        <v>3421</v>
      </c>
      <c r="R838" s="164" t="s">
        <v>80</v>
      </c>
      <c r="S838" s="68">
        <v>2014</v>
      </c>
      <c r="T838" s="164" t="s">
        <v>2109</v>
      </c>
      <c r="U838" s="164" t="s">
        <v>2113</v>
      </c>
      <c r="V838" s="65" t="s">
        <v>2111</v>
      </c>
      <c r="W838" s="129" t="s">
        <v>62</v>
      </c>
      <c r="X838" s="30" t="s">
        <v>302</v>
      </c>
      <c r="Y838" s="44">
        <v>41974</v>
      </c>
      <c r="Z838" s="44">
        <v>43465</v>
      </c>
      <c r="AA838" s="65" t="s">
        <v>2114</v>
      </c>
    </row>
    <row r="839" spans="1:27" s="29" customFormat="1" ht="51">
      <c r="A839" s="30" t="s">
        <v>142</v>
      </c>
      <c r="B839" s="61" t="s">
        <v>38</v>
      </c>
      <c r="C839" s="30" t="s">
        <v>1080</v>
      </c>
      <c r="D839" s="30" t="s">
        <v>2057</v>
      </c>
      <c r="E839" s="30" t="s">
        <v>139</v>
      </c>
      <c r="F839" s="30" t="s">
        <v>2115</v>
      </c>
      <c r="G839" s="30" t="s">
        <v>140</v>
      </c>
      <c r="H839" s="30">
        <v>561720</v>
      </c>
      <c r="I839" s="30" t="s">
        <v>67</v>
      </c>
      <c r="J839" s="30" t="s">
        <v>311</v>
      </c>
      <c r="K839" s="30" t="s">
        <v>44</v>
      </c>
      <c r="L839" s="30" t="s">
        <v>2091</v>
      </c>
      <c r="M839" s="39">
        <v>62500</v>
      </c>
      <c r="N839" s="39">
        <v>315000</v>
      </c>
      <c r="O839" s="61" t="s">
        <v>79</v>
      </c>
      <c r="P839" s="30" t="s">
        <v>2059</v>
      </c>
      <c r="Q839" s="139" t="s">
        <v>3421</v>
      </c>
      <c r="R839" s="30" t="s">
        <v>100</v>
      </c>
      <c r="S839" s="41">
        <v>2014</v>
      </c>
      <c r="T839" s="31" t="s">
        <v>2109</v>
      </c>
      <c r="U839" s="31" t="s">
        <v>2110</v>
      </c>
      <c r="V839" s="30" t="s">
        <v>2111</v>
      </c>
      <c r="W839" s="129" t="s">
        <v>62</v>
      </c>
      <c r="X839" s="44">
        <v>41470</v>
      </c>
      <c r="Y839" s="44">
        <v>41579</v>
      </c>
      <c r="Z839" s="30" t="s">
        <v>2116</v>
      </c>
      <c r="AA839" s="65" t="s">
        <v>2003</v>
      </c>
    </row>
    <row r="840" spans="1:27" s="29" customFormat="1" ht="38.25">
      <c r="A840" s="30" t="s">
        <v>142</v>
      </c>
      <c r="B840" s="61" t="s">
        <v>38</v>
      </c>
      <c r="C840" s="30" t="s">
        <v>1080</v>
      </c>
      <c r="D840" s="30" t="s">
        <v>1839</v>
      </c>
      <c r="E840" s="30" t="s">
        <v>88</v>
      </c>
      <c r="F840" s="30" t="s">
        <v>2117</v>
      </c>
      <c r="G840" s="30" t="s">
        <v>140</v>
      </c>
      <c r="H840" s="30">
        <v>238290</v>
      </c>
      <c r="I840" s="30" t="s">
        <v>67</v>
      </c>
      <c r="J840" s="30" t="s">
        <v>311</v>
      </c>
      <c r="K840" s="30" t="s">
        <v>44</v>
      </c>
      <c r="L840" s="30" t="s">
        <v>2091</v>
      </c>
      <c r="M840" s="39">
        <v>10000</v>
      </c>
      <c r="N840" s="39">
        <v>60000</v>
      </c>
      <c r="O840" s="61" t="s">
        <v>79</v>
      </c>
      <c r="P840" s="30" t="s">
        <v>2101</v>
      </c>
      <c r="Q840" s="30" t="s">
        <v>2021</v>
      </c>
      <c r="R840" s="30" t="s">
        <v>100</v>
      </c>
      <c r="S840" s="41">
        <v>2014</v>
      </c>
      <c r="T840" s="31" t="s">
        <v>2109</v>
      </c>
      <c r="U840" s="31" t="s">
        <v>2110</v>
      </c>
      <c r="V840" s="30" t="s">
        <v>2111</v>
      </c>
      <c r="W840" s="129" t="s">
        <v>62</v>
      </c>
      <c r="X840" s="30" t="s">
        <v>302</v>
      </c>
      <c r="Y840" s="44">
        <v>41883</v>
      </c>
      <c r="Z840" s="30" t="s">
        <v>345</v>
      </c>
      <c r="AA840" s="65" t="s">
        <v>2091</v>
      </c>
    </row>
    <row r="841" spans="1:27" s="29" customFormat="1" ht="38.25">
      <c r="A841" s="30" t="s">
        <v>142</v>
      </c>
      <c r="B841" s="61" t="s">
        <v>38</v>
      </c>
      <c r="C841" s="30" t="s">
        <v>1650</v>
      </c>
      <c r="D841" s="30" t="s">
        <v>2118</v>
      </c>
      <c r="E841" s="30" t="s">
        <v>96</v>
      </c>
      <c r="F841" s="129" t="s">
        <v>822</v>
      </c>
      <c r="G841" s="30" t="s">
        <v>205</v>
      </c>
      <c r="H841" s="30">
        <v>541310</v>
      </c>
      <c r="I841" s="30" t="s">
        <v>98</v>
      </c>
      <c r="J841" s="30" t="s">
        <v>77</v>
      </c>
      <c r="K841" s="30" t="s">
        <v>99</v>
      </c>
      <c r="L841" s="30" t="s">
        <v>2051</v>
      </c>
      <c r="M841" s="39">
        <v>250</v>
      </c>
      <c r="N841" s="39">
        <v>1500000</v>
      </c>
      <c r="O841" s="61" t="s">
        <v>79</v>
      </c>
      <c r="P841" s="30" t="s">
        <v>1996</v>
      </c>
      <c r="Q841" s="30" t="s">
        <v>2021</v>
      </c>
      <c r="R841" s="31" t="s">
        <v>80</v>
      </c>
      <c r="S841" s="41">
        <v>2014</v>
      </c>
      <c r="T841" s="31" t="s">
        <v>2119</v>
      </c>
      <c r="U841" s="31" t="s">
        <v>2120</v>
      </c>
      <c r="V841" s="30" t="s">
        <v>2121</v>
      </c>
      <c r="W841" s="129" t="s">
        <v>62</v>
      </c>
      <c r="X841" s="129" t="s">
        <v>3448</v>
      </c>
      <c r="Y841" s="44">
        <v>41791</v>
      </c>
      <c r="Z841" s="44">
        <v>42185</v>
      </c>
      <c r="AA841" s="65" t="s">
        <v>2091</v>
      </c>
    </row>
    <row r="842" spans="1:27" s="29" customFormat="1" ht="38.25">
      <c r="A842" s="30" t="s">
        <v>142</v>
      </c>
      <c r="B842" s="61" t="s">
        <v>38</v>
      </c>
      <c r="C842" s="65" t="s">
        <v>1650</v>
      </c>
      <c r="D842" s="70" t="s">
        <v>2118</v>
      </c>
      <c r="E842" s="70" t="s">
        <v>96</v>
      </c>
      <c r="F842" s="129" t="s">
        <v>822</v>
      </c>
      <c r="G842" s="70" t="s">
        <v>205</v>
      </c>
      <c r="H842" s="70">
        <v>541310</v>
      </c>
      <c r="I842" s="70" t="s">
        <v>98</v>
      </c>
      <c r="J842" s="70" t="s">
        <v>77</v>
      </c>
      <c r="K842" s="70" t="s">
        <v>99</v>
      </c>
      <c r="L842" s="70" t="s">
        <v>2051</v>
      </c>
      <c r="M842" s="71">
        <v>250</v>
      </c>
      <c r="N842" s="71">
        <v>1500000</v>
      </c>
      <c r="O842" s="70" t="s">
        <v>79</v>
      </c>
      <c r="P842" s="70" t="s">
        <v>1996</v>
      </c>
      <c r="Q842" s="70" t="s">
        <v>2021</v>
      </c>
      <c r="R842" s="166" t="s">
        <v>80</v>
      </c>
      <c r="S842" s="74">
        <v>2014</v>
      </c>
      <c r="T842" s="166" t="s">
        <v>2119</v>
      </c>
      <c r="U842" s="166" t="s">
        <v>2120</v>
      </c>
      <c r="V842" s="70" t="s">
        <v>2121</v>
      </c>
      <c r="W842" s="129" t="s">
        <v>62</v>
      </c>
      <c r="X842" s="129" t="s">
        <v>3448</v>
      </c>
      <c r="Y842" s="44">
        <v>41791</v>
      </c>
      <c r="Z842" s="44">
        <v>42185</v>
      </c>
      <c r="AA842" s="65" t="s">
        <v>2091</v>
      </c>
    </row>
    <row r="843" spans="1:27" s="29" customFormat="1" ht="38.25">
      <c r="A843" s="30" t="s">
        <v>142</v>
      </c>
      <c r="B843" s="61" t="s">
        <v>38</v>
      </c>
      <c r="C843" s="61" t="s">
        <v>1080</v>
      </c>
      <c r="D843" s="61" t="s">
        <v>2122</v>
      </c>
      <c r="E843" s="61" t="s">
        <v>164</v>
      </c>
      <c r="F843" s="61" t="s">
        <v>2123</v>
      </c>
      <c r="G843" s="61" t="s">
        <v>205</v>
      </c>
      <c r="H843" s="61">
        <v>561210</v>
      </c>
      <c r="I843" s="61" t="s">
        <v>98</v>
      </c>
      <c r="J843" s="129" t="s">
        <v>129</v>
      </c>
      <c r="K843" s="61" t="s">
        <v>44</v>
      </c>
      <c r="L843" s="61" t="s">
        <v>687</v>
      </c>
      <c r="M843" s="62">
        <v>2615939.64</v>
      </c>
      <c r="N843" s="62">
        <v>4524274.49</v>
      </c>
      <c r="O843" s="61" t="s">
        <v>79</v>
      </c>
      <c r="P843" s="61" t="s">
        <v>2124</v>
      </c>
      <c r="Q843" s="61" t="s">
        <v>2032</v>
      </c>
      <c r="R843" s="61" t="s">
        <v>35</v>
      </c>
      <c r="S843" s="68">
        <v>2014</v>
      </c>
      <c r="T843" s="164" t="s">
        <v>2125</v>
      </c>
      <c r="U843" s="164" t="s">
        <v>2126</v>
      </c>
      <c r="V843" s="65" t="s">
        <v>2127</v>
      </c>
      <c r="W843" s="129" t="s">
        <v>62</v>
      </c>
      <c r="X843" s="30" t="s">
        <v>302</v>
      </c>
      <c r="Y843" s="44">
        <v>41820</v>
      </c>
      <c r="Z843" s="44">
        <v>42216</v>
      </c>
      <c r="AA843" s="65" t="s">
        <v>2091</v>
      </c>
    </row>
    <row r="844" spans="1:27" s="29" customFormat="1" ht="38.25">
      <c r="A844" s="30" t="s">
        <v>142</v>
      </c>
      <c r="B844" s="61" t="s">
        <v>38</v>
      </c>
      <c r="C844" s="61" t="s">
        <v>1080</v>
      </c>
      <c r="D844" s="61" t="s">
        <v>515</v>
      </c>
      <c r="E844" s="61" t="s">
        <v>164</v>
      </c>
      <c r="F844" s="61" t="s">
        <v>2128</v>
      </c>
      <c r="G844" s="61" t="s">
        <v>205</v>
      </c>
      <c r="H844" s="61">
        <v>236220</v>
      </c>
      <c r="I844" s="129" t="s">
        <v>546</v>
      </c>
      <c r="J844" s="129" t="s">
        <v>129</v>
      </c>
      <c r="K844" s="61" t="s">
        <v>44</v>
      </c>
      <c r="L844" s="139" t="s">
        <v>3413</v>
      </c>
      <c r="M844" s="62">
        <v>500000</v>
      </c>
      <c r="N844" s="62">
        <v>1000000</v>
      </c>
      <c r="O844" s="61" t="s">
        <v>79</v>
      </c>
      <c r="P844" s="30" t="s">
        <v>302</v>
      </c>
      <c r="Q844" s="61" t="s">
        <v>294</v>
      </c>
      <c r="R844" s="164" t="s">
        <v>80</v>
      </c>
      <c r="S844" s="68">
        <v>2014</v>
      </c>
      <c r="T844" s="164" t="s">
        <v>2129</v>
      </c>
      <c r="U844" s="164" t="s">
        <v>2130</v>
      </c>
      <c r="V844" s="65" t="s">
        <v>2131</v>
      </c>
      <c r="W844" s="129" t="s">
        <v>62</v>
      </c>
      <c r="X844" s="30" t="s">
        <v>345</v>
      </c>
      <c r="Y844" s="30" t="s">
        <v>345</v>
      </c>
      <c r="Z844" s="30" t="s">
        <v>345</v>
      </c>
      <c r="AA844" s="65" t="s">
        <v>301</v>
      </c>
    </row>
    <row r="845" spans="1:27" s="29" customFormat="1" ht="51">
      <c r="A845" s="30" t="s">
        <v>142</v>
      </c>
      <c r="B845" s="61" t="s">
        <v>38</v>
      </c>
      <c r="C845" s="61" t="s">
        <v>1650</v>
      </c>
      <c r="D845" s="61" t="s">
        <v>2132</v>
      </c>
      <c r="E845" s="61" t="s">
        <v>96</v>
      </c>
      <c r="F845" s="129" t="s">
        <v>822</v>
      </c>
      <c r="G845" s="61" t="s">
        <v>179</v>
      </c>
      <c r="H845" s="61">
        <v>541310</v>
      </c>
      <c r="I845" s="30" t="s">
        <v>67</v>
      </c>
      <c r="J845" s="61" t="s">
        <v>77</v>
      </c>
      <c r="K845" s="61" t="s">
        <v>44</v>
      </c>
      <c r="L845" s="61" t="s">
        <v>78</v>
      </c>
      <c r="M845" s="62">
        <v>100</v>
      </c>
      <c r="N845" s="62">
        <v>1500000</v>
      </c>
      <c r="O845" s="61" t="s">
        <v>79</v>
      </c>
      <c r="P845" s="61" t="s">
        <v>2133</v>
      </c>
      <c r="Q845" s="139" t="s">
        <v>3422</v>
      </c>
      <c r="R845" s="164" t="s">
        <v>80</v>
      </c>
      <c r="S845" s="68">
        <v>2014</v>
      </c>
      <c r="T845" s="164" t="s">
        <v>2134</v>
      </c>
      <c r="U845" s="164">
        <v>6127251863</v>
      </c>
      <c r="V845" s="65" t="s">
        <v>2135</v>
      </c>
      <c r="W845" s="129" t="s">
        <v>62</v>
      </c>
      <c r="X845" s="30" t="s">
        <v>302</v>
      </c>
      <c r="Y845" s="44">
        <v>41699</v>
      </c>
      <c r="Z845" s="44">
        <v>42094</v>
      </c>
      <c r="AA845" s="65" t="s">
        <v>2003</v>
      </c>
    </row>
    <row r="846" spans="1:27" s="29" customFormat="1" ht="51">
      <c r="A846" s="30" t="s">
        <v>142</v>
      </c>
      <c r="B846" s="61" t="s">
        <v>38</v>
      </c>
      <c r="C846" s="30" t="s">
        <v>1650</v>
      </c>
      <c r="D846" s="30" t="s">
        <v>2132</v>
      </c>
      <c r="E846" s="30" t="s">
        <v>96</v>
      </c>
      <c r="F846" s="129" t="s">
        <v>822</v>
      </c>
      <c r="G846" s="30" t="s">
        <v>179</v>
      </c>
      <c r="H846" s="30">
        <v>541310</v>
      </c>
      <c r="I846" s="30" t="s">
        <v>98</v>
      </c>
      <c r="J846" s="30" t="s">
        <v>77</v>
      </c>
      <c r="K846" s="30" t="s">
        <v>44</v>
      </c>
      <c r="L846" s="30" t="s">
        <v>78</v>
      </c>
      <c r="M846" s="39">
        <v>100</v>
      </c>
      <c r="N846" s="39">
        <v>1500000</v>
      </c>
      <c r="O846" s="30" t="s">
        <v>79</v>
      </c>
      <c r="P846" s="30" t="s">
        <v>2136</v>
      </c>
      <c r="Q846" s="139" t="s">
        <v>3422</v>
      </c>
      <c r="R846" s="31" t="s">
        <v>80</v>
      </c>
      <c r="S846" s="41">
        <v>2014</v>
      </c>
      <c r="T846" s="31" t="s">
        <v>2134</v>
      </c>
      <c r="U846" s="31">
        <v>6127251863</v>
      </c>
      <c r="V846" s="30" t="s">
        <v>2135</v>
      </c>
      <c r="W846" s="129" t="s">
        <v>62</v>
      </c>
      <c r="X846" s="30" t="s">
        <v>302</v>
      </c>
      <c r="Y846" s="44">
        <v>41699</v>
      </c>
      <c r="Z846" s="44">
        <v>42094</v>
      </c>
      <c r="AA846" s="65" t="s">
        <v>2003</v>
      </c>
    </row>
    <row r="847" spans="1:27" s="29" customFormat="1" ht="51">
      <c r="A847" s="30" t="s">
        <v>142</v>
      </c>
      <c r="B847" s="61" t="s">
        <v>38</v>
      </c>
      <c r="C847" s="30" t="s">
        <v>1650</v>
      </c>
      <c r="D847" s="30" t="s">
        <v>2132</v>
      </c>
      <c r="E847" s="30" t="s">
        <v>96</v>
      </c>
      <c r="F847" s="30" t="s">
        <v>822</v>
      </c>
      <c r="G847" s="30" t="s">
        <v>239</v>
      </c>
      <c r="H847" s="30">
        <v>541310</v>
      </c>
      <c r="I847" s="30" t="s">
        <v>67</v>
      </c>
      <c r="J847" s="30" t="s">
        <v>77</v>
      </c>
      <c r="K847" s="30" t="s">
        <v>44</v>
      </c>
      <c r="L847" s="30" t="s">
        <v>78</v>
      </c>
      <c r="M847" s="39">
        <v>100</v>
      </c>
      <c r="N847" s="39">
        <v>1500000</v>
      </c>
      <c r="O847" s="30" t="s">
        <v>79</v>
      </c>
      <c r="P847" s="30" t="s">
        <v>2137</v>
      </c>
      <c r="Q847" s="139" t="s">
        <v>3422</v>
      </c>
      <c r="R847" s="31" t="s">
        <v>80</v>
      </c>
      <c r="S847" s="41">
        <v>2014</v>
      </c>
      <c r="T847" s="31" t="s">
        <v>2134</v>
      </c>
      <c r="U847" s="31">
        <v>6127251863</v>
      </c>
      <c r="V847" s="30" t="s">
        <v>2135</v>
      </c>
      <c r="W847" s="129" t="s">
        <v>62</v>
      </c>
      <c r="X847" s="30" t="s">
        <v>302</v>
      </c>
      <c r="Y847" s="44">
        <v>41699</v>
      </c>
      <c r="Z847" s="44">
        <v>42094</v>
      </c>
      <c r="AA847" s="30" t="s">
        <v>2003</v>
      </c>
    </row>
    <row r="848" spans="1:27" s="29" customFormat="1" ht="51">
      <c r="A848" s="30" t="s">
        <v>142</v>
      </c>
      <c r="B848" s="61" t="s">
        <v>38</v>
      </c>
      <c r="C848" s="61" t="s">
        <v>1080</v>
      </c>
      <c r="D848" s="61" t="s">
        <v>1839</v>
      </c>
      <c r="E848" s="61" t="s">
        <v>88</v>
      </c>
      <c r="F848" s="61" t="s">
        <v>2138</v>
      </c>
      <c r="G848" s="61" t="s">
        <v>179</v>
      </c>
      <c r="H848" s="61">
        <v>238290</v>
      </c>
      <c r="I848" s="30" t="s">
        <v>67</v>
      </c>
      <c r="J848" s="129" t="s">
        <v>129</v>
      </c>
      <c r="K848" s="61" t="s">
        <v>44</v>
      </c>
      <c r="L848" s="61" t="s">
        <v>2091</v>
      </c>
      <c r="M848" s="62">
        <v>241520</v>
      </c>
      <c r="N848" s="62">
        <v>241520</v>
      </c>
      <c r="O848" s="61" t="s">
        <v>79</v>
      </c>
      <c r="P848" s="61" t="s">
        <v>2092</v>
      </c>
      <c r="Q848" s="61" t="s">
        <v>867</v>
      </c>
      <c r="R848" s="61" t="s">
        <v>150</v>
      </c>
      <c r="S848" s="68">
        <v>2014</v>
      </c>
      <c r="T848" s="164" t="s">
        <v>2134</v>
      </c>
      <c r="U848" s="164" t="s">
        <v>2139</v>
      </c>
      <c r="V848" s="65" t="s">
        <v>2135</v>
      </c>
      <c r="W848" s="129" t="s">
        <v>62</v>
      </c>
      <c r="X848" s="30" t="s">
        <v>302</v>
      </c>
      <c r="Y848" s="44">
        <v>41699</v>
      </c>
      <c r="Z848" s="44">
        <v>42155</v>
      </c>
      <c r="AA848" s="65" t="s">
        <v>2003</v>
      </c>
    </row>
    <row r="849" spans="1:27" s="29" customFormat="1" ht="51">
      <c r="A849" s="30" t="s">
        <v>142</v>
      </c>
      <c r="B849" s="61" t="s">
        <v>38</v>
      </c>
      <c r="C849" s="61" t="s">
        <v>1080</v>
      </c>
      <c r="D849" s="61" t="s">
        <v>2140</v>
      </c>
      <c r="E849" s="61" t="s">
        <v>88</v>
      </c>
      <c r="F849" s="61" t="s">
        <v>2141</v>
      </c>
      <c r="G849" s="61" t="s">
        <v>179</v>
      </c>
      <c r="H849" s="61">
        <v>238290</v>
      </c>
      <c r="I849" s="30" t="s">
        <v>67</v>
      </c>
      <c r="J849" s="129" t="s">
        <v>129</v>
      </c>
      <c r="K849" s="61" t="s">
        <v>44</v>
      </c>
      <c r="L849" s="61" t="s">
        <v>2091</v>
      </c>
      <c r="M849" s="62">
        <v>417084</v>
      </c>
      <c r="N849" s="62">
        <v>417084</v>
      </c>
      <c r="O849" s="61" t="s">
        <v>79</v>
      </c>
      <c r="P849" s="61" t="s">
        <v>2092</v>
      </c>
      <c r="Q849" s="61" t="s">
        <v>867</v>
      </c>
      <c r="R849" s="61" t="s">
        <v>150</v>
      </c>
      <c r="S849" s="68">
        <v>2014</v>
      </c>
      <c r="T849" s="164" t="s">
        <v>2134</v>
      </c>
      <c r="U849" s="164" t="s">
        <v>2139</v>
      </c>
      <c r="V849" s="65" t="s">
        <v>2135</v>
      </c>
      <c r="W849" s="129" t="s">
        <v>62</v>
      </c>
      <c r="X849" s="30" t="s">
        <v>302</v>
      </c>
      <c r="Y849" s="30" t="s">
        <v>302</v>
      </c>
      <c r="Z849" s="44">
        <v>42369</v>
      </c>
      <c r="AA849" s="65" t="s">
        <v>2003</v>
      </c>
    </row>
    <row r="850" spans="1:27" s="29" customFormat="1" ht="51">
      <c r="A850" s="30" t="s">
        <v>142</v>
      </c>
      <c r="B850" s="61" t="s">
        <v>38</v>
      </c>
      <c r="C850" s="61" t="s">
        <v>144</v>
      </c>
      <c r="D850" s="61" t="s">
        <v>2142</v>
      </c>
      <c r="E850" s="61" t="s">
        <v>88</v>
      </c>
      <c r="F850" s="30" t="s">
        <v>2143</v>
      </c>
      <c r="G850" s="61" t="s">
        <v>177</v>
      </c>
      <c r="H850" s="61">
        <v>238290</v>
      </c>
      <c r="I850" s="61" t="s">
        <v>789</v>
      </c>
      <c r="J850" s="61" t="s">
        <v>90</v>
      </c>
      <c r="K850" s="61" t="s">
        <v>44</v>
      </c>
      <c r="L850" s="61" t="s">
        <v>1999</v>
      </c>
      <c r="M850" s="62">
        <v>120204</v>
      </c>
      <c r="N850" s="62">
        <v>675810</v>
      </c>
      <c r="O850" s="61" t="s">
        <v>79</v>
      </c>
      <c r="P850" s="61" t="s">
        <v>2144</v>
      </c>
      <c r="Q850" s="139" t="s">
        <v>3421</v>
      </c>
      <c r="R850" s="164" t="s">
        <v>80</v>
      </c>
      <c r="S850" s="68">
        <v>2014</v>
      </c>
      <c r="T850" s="164" t="s">
        <v>2145</v>
      </c>
      <c r="U850" s="164" t="s">
        <v>2146</v>
      </c>
      <c r="V850" s="65" t="s">
        <v>2147</v>
      </c>
      <c r="W850" s="129" t="s">
        <v>62</v>
      </c>
      <c r="X850" s="30" t="s">
        <v>302</v>
      </c>
      <c r="Y850" s="30" t="s">
        <v>302</v>
      </c>
      <c r="Z850" s="44">
        <v>43159</v>
      </c>
      <c r="AA850" s="65" t="s">
        <v>2003</v>
      </c>
    </row>
    <row r="851" spans="1:27" s="29" customFormat="1" ht="51">
      <c r="A851" s="30" t="s">
        <v>142</v>
      </c>
      <c r="B851" s="61" t="s">
        <v>38</v>
      </c>
      <c r="C851" s="61" t="s">
        <v>1650</v>
      </c>
      <c r="D851" s="61" t="s">
        <v>568</v>
      </c>
      <c r="E851" s="61" t="s">
        <v>139</v>
      </c>
      <c r="F851" s="129" t="s">
        <v>822</v>
      </c>
      <c r="G851" s="61" t="s">
        <v>179</v>
      </c>
      <c r="H851" s="61">
        <v>561720</v>
      </c>
      <c r="I851" s="129" t="s">
        <v>546</v>
      </c>
      <c r="J851" s="129" t="s">
        <v>129</v>
      </c>
      <c r="K851" s="61" t="s">
        <v>44</v>
      </c>
      <c r="L851" s="61" t="s">
        <v>290</v>
      </c>
      <c r="M851" s="62">
        <v>100000</v>
      </c>
      <c r="N851" s="62">
        <v>500000</v>
      </c>
      <c r="O851" s="61" t="s">
        <v>79</v>
      </c>
      <c r="P851" s="61" t="s">
        <v>2148</v>
      </c>
      <c r="Q851" s="61" t="s">
        <v>867</v>
      </c>
      <c r="R851" s="61" t="s">
        <v>150</v>
      </c>
      <c r="S851" s="68">
        <v>2014</v>
      </c>
      <c r="T851" s="164" t="s">
        <v>2149</v>
      </c>
      <c r="U851" s="164" t="s">
        <v>2150</v>
      </c>
      <c r="V851" s="65" t="s">
        <v>2151</v>
      </c>
      <c r="W851" s="129" t="s">
        <v>62</v>
      </c>
      <c r="X851" s="30" t="s">
        <v>464</v>
      </c>
      <c r="Y851" s="44">
        <v>41699</v>
      </c>
      <c r="Z851" s="44">
        <v>42094</v>
      </c>
      <c r="AA851" s="65" t="s">
        <v>2003</v>
      </c>
    </row>
    <row r="852" spans="1:27" s="29" customFormat="1" ht="51">
      <c r="A852" s="30" t="s">
        <v>142</v>
      </c>
      <c r="B852" s="61" t="s">
        <v>38</v>
      </c>
      <c r="C852" s="61" t="s">
        <v>1080</v>
      </c>
      <c r="D852" s="61" t="s">
        <v>568</v>
      </c>
      <c r="E852" s="61" t="s">
        <v>139</v>
      </c>
      <c r="F852" s="61" t="s">
        <v>2152</v>
      </c>
      <c r="G852" s="61" t="s">
        <v>239</v>
      </c>
      <c r="H852" s="61">
        <v>561720</v>
      </c>
      <c r="I852" s="30" t="s">
        <v>67</v>
      </c>
      <c r="J852" s="61" t="s">
        <v>311</v>
      </c>
      <c r="K852" s="61" t="s">
        <v>44</v>
      </c>
      <c r="L852" s="61" t="s">
        <v>2091</v>
      </c>
      <c r="M852" s="62"/>
      <c r="N852" s="62">
        <v>598846.56000000006</v>
      </c>
      <c r="O852" s="61" t="s">
        <v>79</v>
      </c>
      <c r="P852" s="61" t="s">
        <v>2153</v>
      </c>
      <c r="Q852" s="139" t="s">
        <v>3421</v>
      </c>
      <c r="R852" s="61" t="s">
        <v>150</v>
      </c>
      <c r="S852" s="68">
        <v>2014</v>
      </c>
      <c r="T852" s="164" t="s">
        <v>2154</v>
      </c>
      <c r="U852" s="164" t="s">
        <v>2155</v>
      </c>
      <c r="V852" s="65" t="s">
        <v>2156</v>
      </c>
      <c r="W852" s="129" t="s">
        <v>62</v>
      </c>
      <c r="X852" s="30" t="s">
        <v>302</v>
      </c>
      <c r="Y852" s="30" t="s">
        <v>302</v>
      </c>
      <c r="Z852" s="44">
        <v>43100</v>
      </c>
      <c r="AA852" s="65" t="s">
        <v>2003</v>
      </c>
    </row>
    <row r="853" spans="1:27" s="29" customFormat="1" ht="51">
      <c r="A853" s="30" t="s">
        <v>142</v>
      </c>
      <c r="B853" s="61" t="s">
        <v>38</v>
      </c>
      <c r="C853" s="61" t="s">
        <v>144</v>
      </c>
      <c r="D853" s="61" t="s">
        <v>2157</v>
      </c>
      <c r="E853" s="30" t="s">
        <v>164</v>
      </c>
      <c r="F853" s="61" t="s">
        <v>822</v>
      </c>
      <c r="G853" s="61" t="s">
        <v>177</v>
      </c>
      <c r="H853" s="61">
        <v>236220</v>
      </c>
      <c r="I853" s="61" t="s">
        <v>98</v>
      </c>
      <c r="J853" s="61" t="s">
        <v>77</v>
      </c>
      <c r="K853" s="61" t="s">
        <v>44</v>
      </c>
      <c r="L853" s="61" t="s">
        <v>1999</v>
      </c>
      <c r="M853" s="62">
        <v>2000</v>
      </c>
      <c r="N853" s="62">
        <v>10000000</v>
      </c>
      <c r="O853" s="61" t="s">
        <v>79</v>
      </c>
      <c r="P853" s="61" t="s">
        <v>1996</v>
      </c>
      <c r="Q853" s="61" t="s">
        <v>2032</v>
      </c>
      <c r="R853" s="61" t="s">
        <v>35</v>
      </c>
      <c r="S853" s="68">
        <v>2014</v>
      </c>
      <c r="T853" s="164" t="s">
        <v>2158</v>
      </c>
      <c r="U853" s="164" t="s">
        <v>2159</v>
      </c>
      <c r="V853" s="65" t="s">
        <v>2160</v>
      </c>
      <c r="W853" s="129" t="s">
        <v>62</v>
      </c>
      <c r="X853" s="30" t="s">
        <v>302</v>
      </c>
      <c r="Y853" s="44">
        <v>41883</v>
      </c>
      <c r="Z853" s="44">
        <v>42614</v>
      </c>
      <c r="AA853" s="65" t="s">
        <v>2003</v>
      </c>
    </row>
    <row r="854" spans="1:27" s="29" customFormat="1" ht="51">
      <c r="A854" s="30" t="s">
        <v>142</v>
      </c>
      <c r="B854" s="61" t="s">
        <v>38</v>
      </c>
      <c r="C854" s="61" t="s">
        <v>1650</v>
      </c>
      <c r="D854" s="61" t="s">
        <v>2142</v>
      </c>
      <c r="E854" s="61" t="s">
        <v>88</v>
      </c>
      <c r="F854" s="61" t="s">
        <v>2161</v>
      </c>
      <c r="G854" s="61" t="s">
        <v>177</v>
      </c>
      <c r="H854" s="61">
        <v>238290</v>
      </c>
      <c r="I854" s="61" t="s">
        <v>789</v>
      </c>
      <c r="J854" s="61" t="s">
        <v>789</v>
      </c>
      <c r="K854" s="61" t="s">
        <v>44</v>
      </c>
      <c r="L854" s="61" t="s">
        <v>789</v>
      </c>
      <c r="M854" s="62">
        <v>2500</v>
      </c>
      <c r="N854" s="62">
        <v>2000000</v>
      </c>
      <c r="O854" s="61" t="s">
        <v>79</v>
      </c>
      <c r="P854" s="61" t="s">
        <v>2162</v>
      </c>
      <c r="Q854" s="61" t="s">
        <v>294</v>
      </c>
      <c r="R854" s="167" t="s">
        <v>80</v>
      </c>
      <c r="S854" s="68">
        <v>2014</v>
      </c>
      <c r="T854" s="164" t="s">
        <v>2163</v>
      </c>
      <c r="U854" s="164" t="s">
        <v>2164</v>
      </c>
      <c r="V854" s="65" t="s">
        <v>2165</v>
      </c>
      <c r="W854" s="129" t="s">
        <v>62</v>
      </c>
      <c r="X854" s="30" t="s">
        <v>345</v>
      </c>
      <c r="Y854" s="30" t="s">
        <v>345</v>
      </c>
      <c r="Z854" s="30" t="s">
        <v>345</v>
      </c>
      <c r="AA854" s="65" t="s">
        <v>2166</v>
      </c>
    </row>
    <row r="855" spans="1:27" s="29" customFormat="1" ht="51">
      <c r="A855" s="30" t="s">
        <v>142</v>
      </c>
      <c r="B855" s="61" t="s">
        <v>38</v>
      </c>
      <c r="C855" s="61" t="s">
        <v>144</v>
      </c>
      <c r="D855" s="61" t="s">
        <v>2142</v>
      </c>
      <c r="E855" s="61" t="s">
        <v>88</v>
      </c>
      <c r="F855" s="61" t="s">
        <v>2167</v>
      </c>
      <c r="G855" s="61" t="s">
        <v>177</v>
      </c>
      <c r="H855" s="61">
        <v>238210</v>
      </c>
      <c r="I855" s="61" t="s">
        <v>98</v>
      </c>
      <c r="J855" s="61" t="s">
        <v>90</v>
      </c>
      <c r="K855" s="61" t="s">
        <v>44</v>
      </c>
      <c r="L855" s="61" t="s">
        <v>1999</v>
      </c>
      <c r="M855" s="62">
        <v>2500</v>
      </c>
      <c r="N855" s="62">
        <v>2000000</v>
      </c>
      <c r="O855" s="61" t="s">
        <v>79</v>
      </c>
      <c r="P855" s="61" t="s">
        <v>2168</v>
      </c>
      <c r="Q855" s="139" t="s">
        <v>3421</v>
      </c>
      <c r="R855" s="61" t="s">
        <v>100</v>
      </c>
      <c r="S855" s="68">
        <v>2014</v>
      </c>
      <c r="T855" s="164" t="s">
        <v>2169</v>
      </c>
      <c r="U855" s="164" t="s">
        <v>2170</v>
      </c>
      <c r="V855" s="65" t="s">
        <v>2171</v>
      </c>
      <c r="W855" s="129" t="s">
        <v>62</v>
      </c>
      <c r="X855" s="30" t="s">
        <v>302</v>
      </c>
      <c r="Y855" s="30" t="s">
        <v>302</v>
      </c>
      <c r="Z855" s="44">
        <v>43343</v>
      </c>
      <c r="AA855" s="65" t="s">
        <v>2003</v>
      </c>
    </row>
    <row r="856" spans="1:27" s="29" customFormat="1" ht="51">
      <c r="A856" s="30" t="s">
        <v>142</v>
      </c>
      <c r="B856" s="61" t="s">
        <v>38</v>
      </c>
      <c r="C856" s="61" t="s">
        <v>1650</v>
      </c>
      <c r="D856" s="61" t="s">
        <v>2132</v>
      </c>
      <c r="E856" s="61" t="s">
        <v>96</v>
      </c>
      <c r="F856" s="129" t="s">
        <v>822</v>
      </c>
      <c r="G856" s="61" t="s">
        <v>179</v>
      </c>
      <c r="H856" s="61">
        <v>541310</v>
      </c>
      <c r="I856" s="61" t="s">
        <v>98</v>
      </c>
      <c r="J856" s="61" t="s">
        <v>77</v>
      </c>
      <c r="K856" s="61" t="s">
        <v>44</v>
      </c>
      <c r="L856" s="61" t="s">
        <v>78</v>
      </c>
      <c r="M856" s="62">
        <v>100</v>
      </c>
      <c r="N856" s="62">
        <v>1500000</v>
      </c>
      <c r="O856" s="61" t="s">
        <v>79</v>
      </c>
      <c r="P856" s="61" t="s">
        <v>2172</v>
      </c>
      <c r="Q856" s="139" t="s">
        <v>3422</v>
      </c>
      <c r="R856" s="164" t="s">
        <v>80</v>
      </c>
      <c r="S856" s="68">
        <v>2014</v>
      </c>
      <c r="T856" s="164" t="s">
        <v>2163</v>
      </c>
      <c r="U856" s="164">
        <v>3123535855</v>
      </c>
      <c r="V856" s="65" t="s">
        <v>2165</v>
      </c>
      <c r="W856" s="129" t="s">
        <v>62</v>
      </c>
      <c r="X856" s="30" t="s">
        <v>302</v>
      </c>
      <c r="Y856" s="44">
        <v>41699</v>
      </c>
      <c r="Z856" s="44">
        <v>42094</v>
      </c>
      <c r="AA856" s="65" t="s">
        <v>2003</v>
      </c>
    </row>
    <row r="857" spans="1:27" s="29" customFormat="1" ht="38.25">
      <c r="A857" s="30" t="s">
        <v>142</v>
      </c>
      <c r="B857" s="61" t="s">
        <v>38</v>
      </c>
      <c r="C857" s="61" t="s">
        <v>29</v>
      </c>
      <c r="D857" s="61" t="s">
        <v>2142</v>
      </c>
      <c r="E857" s="30" t="s">
        <v>88</v>
      </c>
      <c r="F857" s="61" t="s">
        <v>2173</v>
      </c>
      <c r="G857" s="61" t="s">
        <v>179</v>
      </c>
      <c r="H857" s="61">
        <v>238290</v>
      </c>
      <c r="I857" s="129" t="s">
        <v>546</v>
      </c>
      <c r="J857" s="129" t="s">
        <v>129</v>
      </c>
      <c r="K857" s="61" t="s">
        <v>44</v>
      </c>
      <c r="L857" s="139" t="s">
        <v>290</v>
      </c>
      <c r="M857" s="62">
        <v>500000</v>
      </c>
      <c r="N857" s="62">
        <v>1500000</v>
      </c>
      <c r="O857" s="61" t="s">
        <v>79</v>
      </c>
      <c r="P857" s="61" t="s">
        <v>2174</v>
      </c>
      <c r="Q857" s="61" t="s">
        <v>294</v>
      </c>
      <c r="R857" s="164" t="s">
        <v>80</v>
      </c>
      <c r="S857" s="68">
        <v>2014</v>
      </c>
      <c r="T857" s="164" t="s">
        <v>2175</v>
      </c>
      <c r="U857" s="164" t="s">
        <v>2176</v>
      </c>
      <c r="V857" s="65" t="s">
        <v>2177</v>
      </c>
      <c r="W857" s="129" t="s">
        <v>62</v>
      </c>
      <c r="X857" s="30" t="s">
        <v>302</v>
      </c>
      <c r="Y857" s="44">
        <v>41699</v>
      </c>
      <c r="Z857" s="44">
        <v>41729</v>
      </c>
      <c r="AA857" s="65" t="s">
        <v>2166</v>
      </c>
    </row>
    <row r="858" spans="1:27" s="29" customFormat="1" ht="51">
      <c r="A858" s="30" t="s">
        <v>142</v>
      </c>
      <c r="B858" s="61" t="s">
        <v>38</v>
      </c>
      <c r="C858" s="61" t="s">
        <v>1650</v>
      </c>
      <c r="D858" s="61" t="s">
        <v>2132</v>
      </c>
      <c r="E858" s="61" t="s">
        <v>96</v>
      </c>
      <c r="F858" s="129" t="s">
        <v>822</v>
      </c>
      <c r="G858" s="139" t="s">
        <v>3387</v>
      </c>
      <c r="H858" s="61">
        <v>541310</v>
      </c>
      <c r="I858" s="30" t="s">
        <v>67</v>
      </c>
      <c r="J858" s="61" t="s">
        <v>77</v>
      </c>
      <c r="K858" s="61" t="s">
        <v>44</v>
      </c>
      <c r="L858" s="61" t="s">
        <v>78</v>
      </c>
      <c r="M858" s="62">
        <v>100</v>
      </c>
      <c r="N858" s="62">
        <v>1500000</v>
      </c>
      <c r="O858" s="61" t="s">
        <v>79</v>
      </c>
      <c r="P858" s="61" t="s">
        <v>2178</v>
      </c>
      <c r="Q858" s="139" t="s">
        <v>3422</v>
      </c>
      <c r="R858" s="164" t="s">
        <v>80</v>
      </c>
      <c r="S858" s="68">
        <v>2014</v>
      </c>
      <c r="T858" s="164" t="s">
        <v>2163</v>
      </c>
      <c r="U858" s="164">
        <v>3123535855</v>
      </c>
      <c r="V858" s="65" t="s">
        <v>2165</v>
      </c>
      <c r="W858" s="129" t="s">
        <v>62</v>
      </c>
      <c r="X858" s="30" t="s">
        <v>302</v>
      </c>
      <c r="Y858" s="44">
        <v>41699</v>
      </c>
      <c r="Z858" s="44">
        <v>42094</v>
      </c>
      <c r="AA858" s="65" t="s">
        <v>2003</v>
      </c>
    </row>
    <row r="859" spans="1:27" s="29" customFormat="1" ht="51">
      <c r="A859" s="30" t="s">
        <v>142</v>
      </c>
      <c r="B859" s="61" t="s">
        <v>38</v>
      </c>
      <c r="C859" s="61" t="s">
        <v>144</v>
      </c>
      <c r="D859" s="61" t="s">
        <v>2179</v>
      </c>
      <c r="E859" s="61" t="s">
        <v>96</v>
      </c>
      <c r="F859" s="61" t="s">
        <v>822</v>
      </c>
      <c r="G859" s="61" t="s">
        <v>177</v>
      </c>
      <c r="H859" s="61">
        <v>541310</v>
      </c>
      <c r="I859" s="61" t="s">
        <v>98</v>
      </c>
      <c r="J859" s="61" t="s">
        <v>77</v>
      </c>
      <c r="K859" s="61" t="s">
        <v>44</v>
      </c>
      <c r="L859" s="61" t="s">
        <v>1999</v>
      </c>
      <c r="M859" s="62">
        <v>250</v>
      </c>
      <c r="N859" s="62">
        <v>1500000</v>
      </c>
      <c r="O859" s="61" t="s">
        <v>79</v>
      </c>
      <c r="P859" s="61" t="s">
        <v>1996</v>
      </c>
      <c r="Q859" s="139" t="s">
        <v>3421</v>
      </c>
      <c r="R859" s="61" t="s">
        <v>35</v>
      </c>
      <c r="S859" s="68">
        <v>2014</v>
      </c>
      <c r="T859" s="164" t="s">
        <v>2180</v>
      </c>
      <c r="U859" s="164" t="s">
        <v>2181</v>
      </c>
      <c r="V859" s="65" t="s">
        <v>2182</v>
      </c>
      <c r="W859" s="129" t="s">
        <v>62</v>
      </c>
      <c r="X859" s="30" t="s">
        <v>302</v>
      </c>
      <c r="Y859" s="30" t="s">
        <v>302</v>
      </c>
      <c r="Z859" s="44">
        <v>43359</v>
      </c>
      <c r="AA859" s="65" t="s">
        <v>2003</v>
      </c>
    </row>
    <row r="860" spans="1:27" s="29" customFormat="1" ht="51">
      <c r="A860" s="30" t="s">
        <v>142</v>
      </c>
      <c r="B860" s="61" t="s">
        <v>38</v>
      </c>
      <c r="C860" s="61" t="s">
        <v>1080</v>
      </c>
      <c r="D860" s="61" t="s">
        <v>2142</v>
      </c>
      <c r="E860" s="61" t="s">
        <v>88</v>
      </c>
      <c r="F860" s="61" t="s">
        <v>2138</v>
      </c>
      <c r="G860" s="61" t="s">
        <v>179</v>
      </c>
      <c r="H860" s="61">
        <v>238290</v>
      </c>
      <c r="I860" s="61" t="s">
        <v>98</v>
      </c>
      <c r="J860" s="129" t="s">
        <v>129</v>
      </c>
      <c r="K860" s="61" t="s">
        <v>44</v>
      </c>
      <c r="L860" s="61" t="s">
        <v>1999</v>
      </c>
      <c r="M860" s="62">
        <v>500000</v>
      </c>
      <c r="N860" s="62">
        <v>1500000</v>
      </c>
      <c r="O860" s="61" t="s">
        <v>79</v>
      </c>
      <c r="P860" s="61" t="s">
        <v>2183</v>
      </c>
      <c r="Q860" s="139" t="s">
        <v>3422</v>
      </c>
      <c r="R860" s="61" t="s">
        <v>150</v>
      </c>
      <c r="S860" s="68">
        <v>2014</v>
      </c>
      <c r="T860" s="164" t="s">
        <v>2134</v>
      </c>
      <c r="U860" s="164" t="s">
        <v>2184</v>
      </c>
      <c r="V860" s="65" t="s">
        <v>2135</v>
      </c>
      <c r="W860" s="129" t="s">
        <v>62</v>
      </c>
      <c r="X860" s="30" t="s">
        <v>302</v>
      </c>
      <c r="Y860" s="44">
        <v>41608</v>
      </c>
      <c r="Z860" s="44">
        <v>41973</v>
      </c>
      <c r="AA860" s="65" t="s">
        <v>2003</v>
      </c>
    </row>
    <row r="861" spans="1:27" s="29" customFormat="1" ht="38.25">
      <c r="A861" s="30" t="s">
        <v>142</v>
      </c>
      <c r="B861" s="61" t="s">
        <v>38</v>
      </c>
      <c r="C861" s="61" t="s">
        <v>29</v>
      </c>
      <c r="D861" s="61" t="s">
        <v>2142</v>
      </c>
      <c r="E861" s="61" t="s">
        <v>88</v>
      </c>
      <c r="F861" s="61" t="s">
        <v>2138</v>
      </c>
      <c r="G861" s="61" t="s">
        <v>179</v>
      </c>
      <c r="H861" s="61">
        <v>238290</v>
      </c>
      <c r="I861" s="61" t="s">
        <v>98</v>
      </c>
      <c r="J861" s="129" t="s">
        <v>129</v>
      </c>
      <c r="K861" s="61" t="s">
        <v>44</v>
      </c>
      <c r="L861" s="61" t="s">
        <v>1999</v>
      </c>
      <c r="M861" s="62">
        <v>500000</v>
      </c>
      <c r="N861" s="62">
        <v>1500000</v>
      </c>
      <c r="O861" s="61" t="s">
        <v>79</v>
      </c>
      <c r="P861" s="61" t="s">
        <v>2183</v>
      </c>
      <c r="Q861" s="61" t="s">
        <v>294</v>
      </c>
      <c r="R861" s="61" t="s">
        <v>100</v>
      </c>
      <c r="S861" s="68">
        <v>2014</v>
      </c>
      <c r="T861" s="164" t="s">
        <v>2134</v>
      </c>
      <c r="U861" s="164" t="s">
        <v>2184</v>
      </c>
      <c r="V861" s="65" t="s">
        <v>2135</v>
      </c>
      <c r="W861" s="129" t="s">
        <v>62</v>
      </c>
      <c r="X861" s="30" t="s">
        <v>302</v>
      </c>
      <c r="Y861" s="44">
        <v>41850</v>
      </c>
      <c r="Z861" s="44">
        <v>41973</v>
      </c>
      <c r="AA861" s="65" t="s">
        <v>2166</v>
      </c>
    </row>
    <row r="862" spans="1:27" s="29" customFormat="1" ht="51">
      <c r="A862" s="30" t="s">
        <v>142</v>
      </c>
      <c r="B862" s="61" t="s">
        <v>38</v>
      </c>
      <c r="C862" s="61" t="s">
        <v>1080</v>
      </c>
      <c r="D862" s="61" t="s">
        <v>2142</v>
      </c>
      <c r="E862" s="61" t="s">
        <v>88</v>
      </c>
      <c r="F862" s="61" t="s">
        <v>2185</v>
      </c>
      <c r="G862" s="139" t="s">
        <v>3387</v>
      </c>
      <c r="H862" s="61">
        <v>238290</v>
      </c>
      <c r="I862" s="61" t="s">
        <v>98</v>
      </c>
      <c r="J862" s="129" t="s">
        <v>129</v>
      </c>
      <c r="K862" s="61" t="s">
        <v>44</v>
      </c>
      <c r="L862" s="61" t="s">
        <v>1999</v>
      </c>
      <c r="M862" s="62">
        <v>3495120</v>
      </c>
      <c r="N862" s="62">
        <v>7500000</v>
      </c>
      <c r="O862" s="61" t="s">
        <v>79</v>
      </c>
      <c r="P862" s="61" t="s">
        <v>2186</v>
      </c>
      <c r="Q862" s="61" t="s">
        <v>2187</v>
      </c>
      <c r="R862" s="61" t="s">
        <v>150</v>
      </c>
      <c r="S862" s="68">
        <v>2014</v>
      </c>
      <c r="T862" s="188" t="s">
        <v>2188</v>
      </c>
      <c r="U862" s="180" t="s">
        <v>3440</v>
      </c>
      <c r="V862" s="65" t="s">
        <v>2177</v>
      </c>
      <c r="W862" s="129" t="s">
        <v>62</v>
      </c>
      <c r="X862" s="30" t="s">
        <v>302</v>
      </c>
      <c r="Y862" s="44">
        <v>41827</v>
      </c>
      <c r="Z862" s="44">
        <v>42978</v>
      </c>
      <c r="AA862" s="65" t="s">
        <v>2003</v>
      </c>
    </row>
    <row r="863" spans="1:27" s="29" customFormat="1" ht="51">
      <c r="A863" s="30" t="s">
        <v>142</v>
      </c>
      <c r="B863" s="61" t="s">
        <v>38</v>
      </c>
      <c r="C863" s="61" t="s">
        <v>1080</v>
      </c>
      <c r="D863" s="61" t="s">
        <v>2142</v>
      </c>
      <c r="E863" s="61" t="s">
        <v>88</v>
      </c>
      <c r="F863" s="61" t="s">
        <v>2189</v>
      </c>
      <c r="G863" s="61" t="s">
        <v>179</v>
      </c>
      <c r="H863" s="61">
        <v>238290</v>
      </c>
      <c r="I863" s="61" t="s">
        <v>98</v>
      </c>
      <c r="J863" s="129" t="s">
        <v>129</v>
      </c>
      <c r="K863" s="61" t="s">
        <v>44</v>
      </c>
      <c r="L863" s="61" t="s">
        <v>1999</v>
      </c>
      <c r="M863" s="62">
        <v>1026108.92</v>
      </c>
      <c r="N863" s="62">
        <v>2000000</v>
      </c>
      <c r="O863" s="61" t="s">
        <v>79</v>
      </c>
      <c r="P863" s="61" t="s">
        <v>2190</v>
      </c>
      <c r="Q863" s="61" t="s">
        <v>2191</v>
      </c>
      <c r="R863" s="61" t="s">
        <v>35</v>
      </c>
      <c r="S863" s="68">
        <v>2014</v>
      </c>
      <c r="T863" s="164" t="s">
        <v>2192</v>
      </c>
      <c r="U863" s="164" t="s">
        <v>2139</v>
      </c>
      <c r="V863" s="65" t="s">
        <v>2193</v>
      </c>
      <c r="W863" s="129" t="s">
        <v>62</v>
      </c>
      <c r="X863" s="30" t="s">
        <v>302</v>
      </c>
      <c r="Y863" s="44">
        <v>41775</v>
      </c>
      <c r="Z863" s="44">
        <v>42916</v>
      </c>
      <c r="AA863" s="65" t="s">
        <v>2003</v>
      </c>
    </row>
    <row r="864" spans="1:27" s="29" customFormat="1" ht="51">
      <c r="A864" s="30" t="s">
        <v>142</v>
      </c>
      <c r="B864" s="61" t="s">
        <v>38</v>
      </c>
      <c r="C864" s="61" t="s">
        <v>1080</v>
      </c>
      <c r="D864" s="61" t="s">
        <v>2194</v>
      </c>
      <c r="E864" s="61" t="s">
        <v>164</v>
      </c>
      <c r="F864" s="61" t="s">
        <v>2195</v>
      </c>
      <c r="G864" s="139" t="s">
        <v>3387</v>
      </c>
      <c r="H864" s="61">
        <v>236220</v>
      </c>
      <c r="I864" s="61" t="s">
        <v>98</v>
      </c>
      <c r="J864" s="61" t="s">
        <v>77</v>
      </c>
      <c r="K864" s="61" t="s">
        <v>44</v>
      </c>
      <c r="L864" s="61" t="s">
        <v>1999</v>
      </c>
      <c r="M864" s="62">
        <v>2500</v>
      </c>
      <c r="N864" s="62">
        <v>2000000</v>
      </c>
      <c r="O864" s="61" t="s">
        <v>79</v>
      </c>
      <c r="P864" s="61" t="s">
        <v>1996</v>
      </c>
      <c r="Q864" s="139" t="s">
        <v>3421</v>
      </c>
      <c r="R864" s="164" t="s">
        <v>80</v>
      </c>
      <c r="S864" s="68">
        <v>2014</v>
      </c>
      <c r="T864" s="164" t="s">
        <v>2188</v>
      </c>
      <c r="U864" s="164" t="s">
        <v>2196</v>
      </c>
      <c r="V864" s="65" t="s">
        <v>2197</v>
      </c>
      <c r="W864" s="129" t="s">
        <v>62</v>
      </c>
      <c r="X864" s="30" t="s">
        <v>302</v>
      </c>
      <c r="Y864" s="44">
        <v>41681</v>
      </c>
      <c r="Z864" s="44">
        <v>43190</v>
      </c>
      <c r="AA864" s="65" t="s">
        <v>2003</v>
      </c>
    </row>
    <row r="865" spans="1:27" s="29" customFormat="1" ht="51">
      <c r="A865" s="30" t="s">
        <v>142</v>
      </c>
      <c r="B865" s="61" t="s">
        <v>38</v>
      </c>
      <c r="C865" s="61" t="s">
        <v>1080</v>
      </c>
      <c r="D865" s="61" t="s">
        <v>2194</v>
      </c>
      <c r="E865" s="61" t="s">
        <v>164</v>
      </c>
      <c r="F865" s="61" t="s">
        <v>2198</v>
      </c>
      <c r="G865" s="61" t="s">
        <v>239</v>
      </c>
      <c r="H865" s="61">
        <v>236220</v>
      </c>
      <c r="I865" s="61" t="s">
        <v>98</v>
      </c>
      <c r="J865" s="61" t="s">
        <v>77</v>
      </c>
      <c r="K865" s="61" t="s">
        <v>44</v>
      </c>
      <c r="L865" s="61" t="s">
        <v>1999</v>
      </c>
      <c r="M865" s="62">
        <v>2500</v>
      </c>
      <c r="N865" s="62">
        <v>2000000</v>
      </c>
      <c r="O865" s="61" t="s">
        <v>79</v>
      </c>
      <c r="P865" s="61" t="s">
        <v>1996</v>
      </c>
      <c r="Q865" s="139" t="s">
        <v>3421</v>
      </c>
      <c r="R865" s="164" t="s">
        <v>80</v>
      </c>
      <c r="S865" s="68">
        <v>2014</v>
      </c>
      <c r="T865" s="164" t="s">
        <v>2188</v>
      </c>
      <c r="U865" s="164" t="s">
        <v>2196</v>
      </c>
      <c r="V865" s="65" t="s">
        <v>2197</v>
      </c>
      <c r="W865" s="129" t="s">
        <v>62</v>
      </c>
      <c r="X865" s="30" t="s">
        <v>302</v>
      </c>
      <c r="Y865" s="44">
        <v>41681</v>
      </c>
      <c r="Z865" s="44">
        <v>408432</v>
      </c>
      <c r="AA865" s="65" t="s">
        <v>2003</v>
      </c>
    </row>
    <row r="866" spans="1:27" s="29" customFormat="1" ht="51">
      <c r="A866" s="30" t="s">
        <v>142</v>
      </c>
      <c r="B866" s="61" t="s">
        <v>38</v>
      </c>
      <c r="C866" s="61" t="s">
        <v>1080</v>
      </c>
      <c r="D866" s="61" t="s">
        <v>2140</v>
      </c>
      <c r="E866" s="61" t="s">
        <v>88</v>
      </c>
      <c r="F866" s="61" t="s">
        <v>2173</v>
      </c>
      <c r="G866" s="61" t="s">
        <v>179</v>
      </c>
      <c r="H866" s="61">
        <v>238290</v>
      </c>
      <c r="I866" s="61" t="s">
        <v>98</v>
      </c>
      <c r="J866" s="129" t="s">
        <v>129</v>
      </c>
      <c r="K866" s="61" t="s">
        <v>44</v>
      </c>
      <c r="L866" s="61" t="s">
        <v>2091</v>
      </c>
      <c r="M866" s="62">
        <v>34284.79</v>
      </c>
      <c r="N866" s="62">
        <v>149704.09</v>
      </c>
      <c r="O866" s="61" t="s">
        <v>79</v>
      </c>
      <c r="P866" s="30" t="s">
        <v>302</v>
      </c>
      <c r="Q866" s="139" t="s">
        <v>3421</v>
      </c>
      <c r="R866" s="61" t="s">
        <v>150</v>
      </c>
      <c r="S866" s="68">
        <v>2014</v>
      </c>
      <c r="T866" s="164" t="s">
        <v>2199</v>
      </c>
      <c r="U866" s="164" t="s">
        <v>2200</v>
      </c>
      <c r="V866" s="65" t="s">
        <v>2201</v>
      </c>
      <c r="W866" s="129" t="s">
        <v>62</v>
      </c>
      <c r="X866" s="30" t="s">
        <v>302</v>
      </c>
      <c r="Y866" s="44">
        <v>41699</v>
      </c>
      <c r="Z866" s="44">
        <v>43281</v>
      </c>
      <c r="AA866" s="65" t="s">
        <v>2003</v>
      </c>
    </row>
    <row r="867" spans="1:27" s="29" customFormat="1" ht="51">
      <c r="A867" s="30" t="s">
        <v>142</v>
      </c>
      <c r="B867" s="61" t="s">
        <v>38</v>
      </c>
      <c r="C867" s="61" t="s">
        <v>1080</v>
      </c>
      <c r="D867" s="61" t="s">
        <v>2140</v>
      </c>
      <c r="E867" s="61" t="s">
        <v>88</v>
      </c>
      <c r="F867" s="61" t="s">
        <v>2202</v>
      </c>
      <c r="G867" s="61" t="s">
        <v>239</v>
      </c>
      <c r="H867" s="61">
        <v>238290</v>
      </c>
      <c r="I867" s="61" t="s">
        <v>98</v>
      </c>
      <c r="J867" s="129" t="s">
        <v>129</v>
      </c>
      <c r="K867" s="61" t="s">
        <v>44</v>
      </c>
      <c r="L867" s="61" t="s">
        <v>2091</v>
      </c>
      <c r="M867" s="62">
        <v>79020</v>
      </c>
      <c r="N867" s="62">
        <v>187170.88</v>
      </c>
      <c r="O867" s="61" t="s">
        <v>79</v>
      </c>
      <c r="P867" s="61" t="s">
        <v>1840</v>
      </c>
      <c r="Q867" s="61" t="s">
        <v>867</v>
      </c>
      <c r="R867" s="61" t="s">
        <v>100</v>
      </c>
      <c r="S867" s="68">
        <v>2014</v>
      </c>
      <c r="T867" s="164" t="s">
        <v>2199</v>
      </c>
      <c r="U867" s="164" t="s">
        <v>2200</v>
      </c>
      <c r="V867" s="65" t="s">
        <v>2201</v>
      </c>
      <c r="W867" s="129" t="s">
        <v>62</v>
      </c>
      <c r="X867" s="30" t="s">
        <v>302</v>
      </c>
      <c r="Y867" s="30" t="s">
        <v>302</v>
      </c>
      <c r="Z867" s="44">
        <v>42521</v>
      </c>
      <c r="AA867" s="65" t="s">
        <v>2003</v>
      </c>
    </row>
    <row r="868" spans="1:27" s="29" customFormat="1" ht="51">
      <c r="A868" s="30" t="s">
        <v>142</v>
      </c>
      <c r="B868" s="61" t="s">
        <v>38</v>
      </c>
      <c r="C868" s="61" t="s">
        <v>1080</v>
      </c>
      <c r="D868" s="61" t="s">
        <v>1520</v>
      </c>
      <c r="E868" s="61" t="s">
        <v>135</v>
      </c>
      <c r="F868" s="61" t="s">
        <v>2203</v>
      </c>
      <c r="G868" s="61" t="s">
        <v>179</v>
      </c>
      <c r="H868" s="61">
        <v>561790</v>
      </c>
      <c r="I868" s="61" t="s">
        <v>98</v>
      </c>
      <c r="J868" s="129" t="s">
        <v>129</v>
      </c>
      <c r="K868" s="61" t="s">
        <v>44</v>
      </c>
      <c r="L868" s="61" t="s">
        <v>2091</v>
      </c>
      <c r="M868" s="62">
        <v>100</v>
      </c>
      <c r="N868" s="62">
        <v>456755</v>
      </c>
      <c r="O868" s="61" t="s">
        <v>79</v>
      </c>
      <c r="P868" s="61" t="s">
        <v>2204</v>
      </c>
      <c r="Q868" s="61" t="s">
        <v>867</v>
      </c>
      <c r="R868" s="61" t="s">
        <v>35</v>
      </c>
      <c r="S868" s="68">
        <v>2014</v>
      </c>
      <c r="T868" s="164" t="s">
        <v>2199</v>
      </c>
      <c r="U868" s="164" t="s">
        <v>2200</v>
      </c>
      <c r="V868" s="65" t="s">
        <v>2201</v>
      </c>
      <c r="W868" s="129" t="s">
        <v>62</v>
      </c>
      <c r="X868" s="30" t="s">
        <v>302</v>
      </c>
      <c r="Y868" s="30" t="s">
        <v>302</v>
      </c>
      <c r="Z868" s="44">
        <v>41912</v>
      </c>
      <c r="AA868" s="65" t="s">
        <v>2003</v>
      </c>
    </row>
    <row r="869" spans="1:27" s="29" customFormat="1" ht="38.25">
      <c r="A869" s="30" t="s">
        <v>142</v>
      </c>
      <c r="B869" s="61" t="s">
        <v>103</v>
      </c>
      <c r="C869" s="61" t="s">
        <v>2205</v>
      </c>
      <c r="D869" s="61" t="s">
        <v>2206</v>
      </c>
      <c r="E869" s="61" t="s">
        <v>88</v>
      </c>
      <c r="F869" s="61" t="s">
        <v>289</v>
      </c>
      <c r="G869" s="61" t="s">
        <v>111</v>
      </c>
      <c r="H869" s="61">
        <v>236220</v>
      </c>
      <c r="I869" s="61" t="s">
        <v>98</v>
      </c>
      <c r="J869" s="61" t="s">
        <v>129</v>
      </c>
      <c r="K869" s="164" t="s">
        <v>76</v>
      </c>
      <c r="L869" s="61" t="s">
        <v>98</v>
      </c>
      <c r="M869" s="62">
        <v>150000</v>
      </c>
      <c r="N869" s="62">
        <v>300000</v>
      </c>
      <c r="O869" s="61" t="s">
        <v>79</v>
      </c>
      <c r="P869" s="61" t="s">
        <v>301</v>
      </c>
      <c r="Q869" s="61" t="s">
        <v>294</v>
      </c>
      <c r="R869" s="61" t="s">
        <v>150</v>
      </c>
      <c r="S869" s="68">
        <v>2014</v>
      </c>
      <c r="T869" s="164" t="s">
        <v>2207</v>
      </c>
      <c r="U869" s="164" t="s">
        <v>2208</v>
      </c>
      <c r="V869" s="65" t="s">
        <v>2209</v>
      </c>
      <c r="W869" s="66" t="s">
        <v>2210</v>
      </c>
      <c r="X869" s="44">
        <v>41579</v>
      </c>
      <c r="Y869" s="44">
        <v>41609</v>
      </c>
      <c r="Z869" s="44">
        <v>42338</v>
      </c>
      <c r="AA869" s="65" t="s">
        <v>2211</v>
      </c>
    </row>
    <row r="870" spans="1:27" s="29" customFormat="1" ht="38.25">
      <c r="A870" s="30" t="s">
        <v>142</v>
      </c>
      <c r="B870" s="61" t="s">
        <v>103</v>
      </c>
      <c r="C870" s="61" t="s">
        <v>2205</v>
      </c>
      <c r="D870" s="61" t="s">
        <v>2206</v>
      </c>
      <c r="E870" s="61" t="s">
        <v>88</v>
      </c>
      <c r="F870" s="61" t="s">
        <v>289</v>
      </c>
      <c r="G870" s="61" t="s">
        <v>111</v>
      </c>
      <c r="H870" s="61">
        <v>236220</v>
      </c>
      <c r="I870" s="61" t="s">
        <v>98</v>
      </c>
      <c r="J870" s="61" t="s">
        <v>129</v>
      </c>
      <c r="K870" s="167" t="s">
        <v>3405</v>
      </c>
      <c r="L870" s="61" t="s">
        <v>98</v>
      </c>
      <c r="M870" s="62">
        <v>1000000</v>
      </c>
      <c r="N870" s="62">
        <v>2000000</v>
      </c>
      <c r="O870" s="61" t="s">
        <v>79</v>
      </c>
      <c r="P870" s="61" t="s">
        <v>301</v>
      </c>
      <c r="Q870" s="61" t="s">
        <v>294</v>
      </c>
      <c r="R870" s="61" t="s">
        <v>150</v>
      </c>
      <c r="S870" s="68">
        <v>2014</v>
      </c>
      <c r="T870" s="164" t="s">
        <v>2207</v>
      </c>
      <c r="U870" s="164" t="s">
        <v>2208</v>
      </c>
      <c r="V870" s="65" t="s">
        <v>2209</v>
      </c>
      <c r="W870" s="66" t="s">
        <v>2210</v>
      </c>
      <c r="X870" s="44">
        <v>41671</v>
      </c>
      <c r="Y870" s="44">
        <v>41699</v>
      </c>
      <c r="Z870" s="44">
        <v>43524</v>
      </c>
      <c r="AA870" s="65" t="s">
        <v>2211</v>
      </c>
    </row>
    <row r="871" spans="1:27" s="29" customFormat="1" ht="38.25">
      <c r="A871" s="30" t="s">
        <v>142</v>
      </c>
      <c r="B871" s="61" t="s">
        <v>103</v>
      </c>
      <c r="C871" s="61" t="s">
        <v>2212</v>
      </c>
      <c r="D871" s="61" t="s">
        <v>2213</v>
      </c>
      <c r="E871" s="61" t="s">
        <v>164</v>
      </c>
      <c r="F871" s="61" t="s">
        <v>289</v>
      </c>
      <c r="G871" s="61" t="s">
        <v>111</v>
      </c>
      <c r="H871" s="61">
        <v>236220</v>
      </c>
      <c r="I871" s="61" t="s">
        <v>98</v>
      </c>
      <c r="J871" s="61" t="s">
        <v>129</v>
      </c>
      <c r="K871" s="31" t="s">
        <v>91</v>
      </c>
      <c r="L871" s="61" t="s">
        <v>345</v>
      </c>
      <c r="M871" s="62">
        <v>100000</v>
      </c>
      <c r="N871" s="62">
        <v>250000</v>
      </c>
      <c r="O871" s="61" t="s">
        <v>79</v>
      </c>
      <c r="P871" s="61" t="s">
        <v>301</v>
      </c>
      <c r="Q871" s="61" t="s">
        <v>294</v>
      </c>
      <c r="R871" s="31" t="s">
        <v>80</v>
      </c>
      <c r="S871" s="68">
        <v>2014</v>
      </c>
      <c r="T871" s="164" t="s">
        <v>2214</v>
      </c>
      <c r="U871" s="164" t="s">
        <v>2215</v>
      </c>
      <c r="V871" s="65" t="s">
        <v>2216</v>
      </c>
      <c r="W871" s="66" t="s">
        <v>2210</v>
      </c>
      <c r="X871" s="30" t="s">
        <v>345</v>
      </c>
      <c r="Y871" s="30" t="s">
        <v>345</v>
      </c>
      <c r="Z871" s="30" t="s">
        <v>345</v>
      </c>
      <c r="AA871" s="65" t="s">
        <v>2217</v>
      </c>
    </row>
    <row r="872" spans="1:27" s="29" customFormat="1" ht="38.25">
      <c r="A872" s="30" t="s">
        <v>142</v>
      </c>
      <c r="B872" s="30" t="s">
        <v>103</v>
      </c>
      <c r="C872" s="30" t="s">
        <v>2212</v>
      </c>
      <c r="D872" s="30" t="s">
        <v>2213</v>
      </c>
      <c r="E872" s="30" t="s">
        <v>164</v>
      </c>
      <c r="F872" s="30" t="s">
        <v>289</v>
      </c>
      <c r="G872" s="30" t="s">
        <v>111</v>
      </c>
      <c r="H872" s="30">
        <v>236220</v>
      </c>
      <c r="I872" s="30" t="s">
        <v>98</v>
      </c>
      <c r="J872" s="30" t="s">
        <v>129</v>
      </c>
      <c r="K872" s="31" t="s">
        <v>91</v>
      </c>
      <c r="L872" s="30" t="s">
        <v>345</v>
      </c>
      <c r="M872" s="39">
        <v>500000</v>
      </c>
      <c r="N872" s="39">
        <v>1000000</v>
      </c>
      <c r="O872" s="30" t="s">
        <v>79</v>
      </c>
      <c r="P872" s="30" t="s">
        <v>301</v>
      </c>
      <c r="Q872" s="30" t="s">
        <v>294</v>
      </c>
      <c r="R872" s="30" t="s">
        <v>100</v>
      </c>
      <c r="S872" s="41">
        <v>2014</v>
      </c>
      <c r="T872" s="31" t="s">
        <v>2214</v>
      </c>
      <c r="U872" s="31" t="s">
        <v>2215</v>
      </c>
      <c r="V872" s="30" t="s">
        <v>2216</v>
      </c>
      <c r="W872" s="30" t="s">
        <v>2210</v>
      </c>
      <c r="X872" s="30" t="s">
        <v>345</v>
      </c>
      <c r="Y872" s="30" t="s">
        <v>345</v>
      </c>
      <c r="Z872" s="30" t="s">
        <v>345</v>
      </c>
      <c r="AA872" s="30" t="s">
        <v>2218</v>
      </c>
    </row>
    <row r="873" spans="1:27" s="29" customFormat="1" ht="38.25">
      <c r="A873" s="30" t="s">
        <v>142</v>
      </c>
      <c r="B873" s="30" t="s">
        <v>103</v>
      </c>
      <c r="C873" s="30" t="s">
        <v>2212</v>
      </c>
      <c r="D873" s="30" t="s">
        <v>2213</v>
      </c>
      <c r="E873" s="30" t="s">
        <v>164</v>
      </c>
      <c r="F873" s="30" t="s">
        <v>289</v>
      </c>
      <c r="G873" s="30" t="s">
        <v>111</v>
      </c>
      <c r="H873" s="30">
        <v>236220</v>
      </c>
      <c r="I873" s="30" t="s">
        <v>98</v>
      </c>
      <c r="J873" s="30" t="s">
        <v>129</v>
      </c>
      <c r="K873" s="31" t="s">
        <v>91</v>
      </c>
      <c r="L873" s="30" t="s">
        <v>345</v>
      </c>
      <c r="M873" s="39">
        <v>25000</v>
      </c>
      <c r="N873" s="39">
        <v>100000</v>
      </c>
      <c r="O873" s="30" t="s">
        <v>79</v>
      </c>
      <c r="P873" s="30" t="s">
        <v>301</v>
      </c>
      <c r="Q873" s="30" t="s">
        <v>294</v>
      </c>
      <c r="R873" s="30" t="s">
        <v>35</v>
      </c>
      <c r="S873" s="41">
        <v>2014</v>
      </c>
      <c r="T873" s="31" t="s">
        <v>2214</v>
      </c>
      <c r="U873" s="31" t="s">
        <v>2215</v>
      </c>
      <c r="V873" s="30" t="s">
        <v>2216</v>
      </c>
      <c r="W873" s="30" t="s">
        <v>2210</v>
      </c>
      <c r="X873" s="30" t="s">
        <v>345</v>
      </c>
      <c r="Y873" s="30" t="s">
        <v>345</v>
      </c>
      <c r="Z873" s="30" t="s">
        <v>345</v>
      </c>
      <c r="AA873" s="30" t="s">
        <v>2219</v>
      </c>
    </row>
    <row r="874" spans="1:27" s="29" customFormat="1" ht="38.25">
      <c r="A874" s="30" t="s">
        <v>142</v>
      </c>
      <c r="B874" s="30" t="s">
        <v>103</v>
      </c>
      <c r="C874" s="30" t="s">
        <v>2212</v>
      </c>
      <c r="D874" s="30" t="s">
        <v>2213</v>
      </c>
      <c r="E874" s="61" t="s">
        <v>164</v>
      </c>
      <c r="F874" s="30" t="s">
        <v>289</v>
      </c>
      <c r="G874" s="30" t="s">
        <v>111</v>
      </c>
      <c r="H874" s="30">
        <v>236220</v>
      </c>
      <c r="I874" s="30" t="s">
        <v>98</v>
      </c>
      <c r="J874" s="30" t="s">
        <v>129</v>
      </c>
      <c r="K874" s="31" t="s">
        <v>91</v>
      </c>
      <c r="L874" s="41" t="s">
        <v>345</v>
      </c>
      <c r="M874" s="39">
        <v>100000</v>
      </c>
      <c r="N874" s="39">
        <v>250000</v>
      </c>
      <c r="O874" s="30" t="s">
        <v>79</v>
      </c>
      <c r="P874" s="30" t="s">
        <v>301</v>
      </c>
      <c r="Q874" s="30" t="s">
        <v>294</v>
      </c>
      <c r="R874" s="30" t="s">
        <v>35</v>
      </c>
      <c r="S874" s="41">
        <v>2014</v>
      </c>
      <c r="T874" s="31" t="s">
        <v>2214</v>
      </c>
      <c r="U874" s="31" t="s">
        <v>2215</v>
      </c>
      <c r="V874" s="30" t="s">
        <v>2216</v>
      </c>
      <c r="W874" s="30" t="s">
        <v>2210</v>
      </c>
      <c r="X874" s="41" t="s">
        <v>345</v>
      </c>
      <c r="Y874" s="41" t="s">
        <v>345</v>
      </c>
      <c r="Z874" s="41" t="s">
        <v>345</v>
      </c>
      <c r="AA874" s="30" t="s">
        <v>2220</v>
      </c>
    </row>
    <row r="875" spans="1:27" s="29" customFormat="1" ht="38.25">
      <c r="A875" s="30" t="s">
        <v>142</v>
      </c>
      <c r="B875" s="30" t="s">
        <v>103</v>
      </c>
      <c r="C875" s="30" t="s">
        <v>2212</v>
      </c>
      <c r="D875" s="30" t="s">
        <v>2213</v>
      </c>
      <c r="E875" s="61" t="s">
        <v>164</v>
      </c>
      <c r="F875" s="30" t="s">
        <v>289</v>
      </c>
      <c r="G875" s="30" t="s">
        <v>111</v>
      </c>
      <c r="H875" s="30">
        <v>236220</v>
      </c>
      <c r="I875" s="30" t="s">
        <v>98</v>
      </c>
      <c r="J875" s="30" t="s">
        <v>129</v>
      </c>
      <c r="K875" s="31" t="s">
        <v>91</v>
      </c>
      <c r="L875" s="41" t="s">
        <v>345</v>
      </c>
      <c r="M875" s="39">
        <v>25000</v>
      </c>
      <c r="N875" s="39">
        <v>100000</v>
      </c>
      <c r="O875" s="30" t="s">
        <v>79</v>
      </c>
      <c r="P875" s="30" t="s">
        <v>301</v>
      </c>
      <c r="Q875" s="30" t="s">
        <v>294</v>
      </c>
      <c r="R875" s="30" t="s">
        <v>150</v>
      </c>
      <c r="S875" s="41">
        <v>2014</v>
      </c>
      <c r="T875" s="31" t="s">
        <v>2207</v>
      </c>
      <c r="U875" s="31" t="s">
        <v>2208</v>
      </c>
      <c r="V875" s="30" t="s">
        <v>2209</v>
      </c>
      <c r="W875" s="30" t="s">
        <v>2210</v>
      </c>
      <c r="X875" s="41" t="s">
        <v>345</v>
      </c>
      <c r="Y875" s="41" t="s">
        <v>345</v>
      </c>
      <c r="Z875" s="41" t="s">
        <v>345</v>
      </c>
      <c r="AA875" s="30" t="s">
        <v>2221</v>
      </c>
    </row>
    <row r="876" spans="1:27" s="29" customFormat="1" ht="38.25">
      <c r="A876" s="30" t="s">
        <v>142</v>
      </c>
      <c r="B876" s="30" t="s">
        <v>103</v>
      </c>
      <c r="C876" s="30" t="s">
        <v>2212</v>
      </c>
      <c r="D876" s="30" t="s">
        <v>2213</v>
      </c>
      <c r="E876" s="61" t="s">
        <v>164</v>
      </c>
      <c r="F876" s="30" t="s">
        <v>289</v>
      </c>
      <c r="G876" s="30" t="s">
        <v>111</v>
      </c>
      <c r="H876" s="30">
        <v>236220</v>
      </c>
      <c r="I876" s="30" t="s">
        <v>98</v>
      </c>
      <c r="J876" s="30" t="s">
        <v>129</v>
      </c>
      <c r="K876" s="31" t="s">
        <v>91</v>
      </c>
      <c r="L876" s="41" t="s">
        <v>345</v>
      </c>
      <c r="M876" s="39">
        <v>25000</v>
      </c>
      <c r="N876" s="39">
        <v>100000</v>
      </c>
      <c r="O876" s="30" t="s">
        <v>79</v>
      </c>
      <c r="P876" s="30" t="s">
        <v>301</v>
      </c>
      <c r="Q876" s="30" t="s">
        <v>294</v>
      </c>
      <c r="R876" s="30" t="s">
        <v>150</v>
      </c>
      <c r="S876" s="41">
        <v>2014</v>
      </c>
      <c r="T876" s="31" t="s">
        <v>2207</v>
      </c>
      <c r="U876" s="31" t="s">
        <v>2208</v>
      </c>
      <c r="V876" s="30" t="s">
        <v>2209</v>
      </c>
      <c r="W876" s="30" t="s">
        <v>2210</v>
      </c>
      <c r="X876" s="41" t="s">
        <v>345</v>
      </c>
      <c r="Y876" s="41" t="s">
        <v>345</v>
      </c>
      <c r="Z876" s="41" t="s">
        <v>345</v>
      </c>
      <c r="AA876" s="30" t="s">
        <v>2222</v>
      </c>
    </row>
    <row r="877" spans="1:27" s="29" customFormat="1" ht="38.25">
      <c r="A877" s="30" t="s">
        <v>142</v>
      </c>
      <c r="B877" s="30" t="s">
        <v>103</v>
      </c>
      <c r="C877" s="30" t="s">
        <v>2212</v>
      </c>
      <c r="D877" s="30" t="s">
        <v>2213</v>
      </c>
      <c r="E877" s="61" t="s">
        <v>164</v>
      </c>
      <c r="F877" s="30" t="s">
        <v>289</v>
      </c>
      <c r="G877" s="30" t="s">
        <v>111</v>
      </c>
      <c r="H877" s="30">
        <v>236220</v>
      </c>
      <c r="I877" s="30" t="s">
        <v>98</v>
      </c>
      <c r="J877" s="30" t="s">
        <v>129</v>
      </c>
      <c r="K877" s="31" t="s">
        <v>91</v>
      </c>
      <c r="L877" s="41" t="s">
        <v>345</v>
      </c>
      <c r="M877" s="39">
        <v>25000</v>
      </c>
      <c r="N877" s="39">
        <v>100000</v>
      </c>
      <c r="O877" s="30" t="s">
        <v>79</v>
      </c>
      <c r="P877" s="30" t="s">
        <v>301</v>
      </c>
      <c r="Q877" s="30" t="s">
        <v>294</v>
      </c>
      <c r="R877" s="30" t="s">
        <v>150</v>
      </c>
      <c r="S877" s="41">
        <v>2014</v>
      </c>
      <c r="T877" s="31" t="s">
        <v>2207</v>
      </c>
      <c r="U877" s="31" t="s">
        <v>2208</v>
      </c>
      <c r="V877" s="30" t="s">
        <v>2209</v>
      </c>
      <c r="W877" s="30" t="s">
        <v>2210</v>
      </c>
      <c r="X877" s="41" t="s">
        <v>345</v>
      </c>
      <c r="Y877" s="41" t="s">
        <v>345</v>
      </c>
      <c r="Z877" s="41" t="s">
        <v>345</v>
      </c>
      <c r="AA877" s="30" t="s">
        <v>2223</v>
      </c>
    </row>
    <row r="878" spans="1:27" s="29" customFormat="1" ht="38.25">
      <c r="A878" s="30" t="s">
        <v>142</v>
      </c>
      <c r="B878" s="30" t="s">
        <v>103</v>
      </c>
      <c r="C878" s="30" t="s">
        <v>2212</v>
      </c>
      <c r="D878" s="30" t="s">
        <v>2213</v>
      </c>
      <c r="E878" s="61" t="s">
        <v>164</v>
      </c>
      <c r="F878" s="30" t="s">
        <v>289</v>
      </c>
      <c r="G878" s="30" t="s">
        <v>111</v>
      </c>
      <c r="H878" s="30">
        <v>236220</v>
      </c>
      <c r="I878" s="30" t="s">
        <v>98</v>
      </c>
      <c r="J878" s="30" t="s">
        <v>129</v>
      </c>
      <c r="K878" s="31" t="s">
        <v>91</v>
      </c>
      <c r="L878" s="41" t="s">
        <v>345</v>
      </c>
      <c r="M878" s="39">
        <v>250000</v>
      </c>
      <c r="N878" s="39">
        <v>500000</v>
      </c>
      <c r="O878" s="30" t="s">
        <v>79</v>
      </c>
      <c r="P878" s="30" t="s">
        <v>301</v>
      </c>
      <c r="Q878" s="30" t="s">
        <v>294</v>
      </c>
      <c r="R878" s="31" t="s">
        <v>80</v>
      </c>
      <c r="S878" s="41">
        <v>2014</v>
      </c>
      <c r="T878" s="31" t="s">
        <v>2207</v>
      </c>
      <c r="U878" s="31" t="s">
        <v>2208</v>
      </c>
      <c r="V878" s="30" t="s">
        <v>2209</v>
      </c>
      <c r="W878" s="30" t="s">
        <v>2210</v>
      </c>
      <c r="X878" s="41" t="s">
        <v>345</v>
      </c>
      <c r="Y878" s="41" t="s">
        <v>345</v>
      </c>
      <c r="Z878" s="41" t="s">
        <v>345</v>
      </c>
      <c r="AA878" s="30" t="s">
        <v>2224</v>
      </c>
    </row>
    <row r="879" spans="1:27" s="29" customFormat="1" ht="38.25">
      <c r="A879" s="30" t="s">
        <v>142</v>
      </c>
      <c r="B879" s="30" t="s">
        <v>103</v>
      </c>
      <c r="C879" s="30" t="s">
        <v>2212</v>
      </c>
      <c r="D879" s="30" t="s">
        <v>2213</v>
      </c>
      <c r="E879" s="61" t="s">
        <v>164</v>
      </c>
      <c r="F879" s="30" t="s">
        <v>289</v>
      </c>
      <c r="G879" s="30" t="s">
        <v>111</v>
      </c>
      <c r="H879" s="30">
        <v>236220</v>
      </c>
      <c r="I879" s="30" t="s">
        <v>98</v>
      </c>
      <c r="J879" s="30" t="s">
        <v>129</v>
      </c>
      <c r="K879" s="31" t="s">
        <v>91</v>
      </c>
      <c r="L879" s="41" t="s">
        <v>345</v>
      </c>
      <c r="M879" s="39">
        <v>1000000</v>
      </c>
      <c r="N879" s="39">
        <v>5000000</v>
      </c>
      <c r="O879" s="30" t="s">
        <v>79</v>
      </c>
      <c r="P879" s="30" t="s">
        <v>301</v>
      </c>
      <c r="Q879" s="30" t="s">
        <v>294</v>
      </c>
      <c r="R879" s="30" t="s">
        <v>100</v>
      </c>
      <c r="S879" s="41">
        <v>2014</v>
      </c>
      <c r="T879" s="31" t="s">
        <v>2207</v>
      </c>
      <c r="U879" s="31" t="s">
        <v>2208</v>
      </c>
      <c r="V879" s="30" t="s">
        <v>2209</v>
      </c>
      <c r="W879" s="30" t="s">
        <v>2210</v>
      </c>
      <c r="X879" s="41" t="s">
        <v>345</v>
      </c>
      <c r="Y879" s="41" t="s">
        <v>345</v>
      </c>
      <c r="Z879" s="41" t="s">
        <v>345</v>
      </c>
      <c r="AA879" s="30" t="s">
        <v>2224</v>
      </c>
    </row>
    <row r="880" spans="1:27" s="29" customFormat="1" ht="38.25">
      <c r="A880" s="30" t="s">
        <v>142</v>
      </c>
      <c r="B880" s="30" t="s">
        <v>103</v>
      </c>
      <c r="C880" s="30" t="s">
        <v>2212</v>
      </c>
      <c r="D880" s="30" t="s">
        <v>2213</v>
      </c>
      <c r="E880" s="61" t="s">
        <v>164</v>
      </c>
      <c r="F880" s="30" t="s">
        <v>289</v>
      </c>
      <c r="G880" s="30" t="s">
        <v>111</v>
      </c>
      <c r="H880" s="30">
        <v>236220</v>
      </c>
      <c r="I880" s="30" t="s">
        <v>98</v>
      </c>
      <c r="J880" s="30" t="s">
        <v>129</v>
      </c>
      <c r="K880" s="31" t="s">
        <v>91</v>
      </c>
      <c r="L880" s="41" t="s">
        <v>345</v>
      </c>
      <c r="M880" s="39">
        <v>25000</v>
      </c>
      <c r="N880" s="39">
        <v>100000</v>
      </c>
      <c r="O880" s="30" t="s">
        <v>79</v>
      </c>
      <c r="P880" s="30" t="s">
        <v>301</v>
      </c>
      <c r="Q880" s="30" t="s">
        <v>294</v>
      </c>
      <c r="R880" s="30" t="s">
        <v>35</v>
      </c>
      <c r="S880" s="41">
        <v>2014</v>
      </c>
      <c r="T880" s="31" t="s">
        <v>2207</v>
      </c>
      <c r="U880" s="31" t="s">
        <v>2208</v>
      </c>
      <c r="V880" s="30" t="s">
        <v>2209</v>
      </c>
      <c r="W880" s="30" t="s">
        <v>2210</v>
      </c>
      <c r="X880" s="41" t="s">
        <v>345</v>
      </c>
      <c r="Y880" s="41" t="s">
        <v>345</v>
      </c>
      <c r="Z880" s="41" t="s">
        <v>345</v>
      </c>
      <c r="AA880" s="30" t="s">
        <v>2225</v>
      </c>
    </row>
    <row r="881" spans="1:27" s="29" customFormat="1" ht="38.25">
      <c r="A881" s="30" t="s">
        <v>142</v>
      </c>
      <c r="B881" s="30" t="s">
        <v>103</v>
      </c>
      <c r="C881" s="30" t="s">
        <v>2212</v>
      </c>
      <c r="D881" s="30" t="s">
        <v>2213</v>
      </c>
      <c r="E881" s="61" t="s">
        <v>164</v>
      </c>
      <c r="F881" s="30" t="s">
        <v>289</v>
      </c>
      <c r="G881" s="30" t="s">
        <v>111</v>
      </c>
      <c r="H881" s="30">
        <v>236220</v>
      </c>
      <c r="I881" s="30" t="s">
        <v>98</v>
      </c>
      <c r="J881" s="30" t="s">
        <v>129</v>
      </c>
      <c r="K881" s="31" t="s">
        <v>91</v>
      </c>
      <c r="L881" s="41" t="s">
        <v>345</v>
      </c>
      <c r="M881" s="39">
        <v>500000</v>
      </c>
      <c r="N881" s="39">
        <v>1000000</v>
      </c>
      <c r="O881" s="30" t="s">
        <v>79</v>
      </c>
      <c r="P881" s="30" t="s">
        <v>301</v>
      </c>
      <c r="Q881" s="30" t="s">
        <v>294</v>
      </c>
      <c r="R881" s="30" t="s">
        <v>150</v>
      </c>
      <c r="S881" s="41">
        <v>2014</v>
      </c>
      <c r="T881" s="31" t="s">
        <v>2226</v>
      </c>
      <c r="U881" s="31" t="s">
        <v>2227</v>
      </c>
      <c r="V881" s="30" t="s">
        <v>2228</v>
      </c>
      <c r="W881" s="30" t="s">
        <v>2210</v>
      </c>
      <c r="X881" s="41" t="s">
        <v>345</v>
      </c>
      <c r="Y881" s="41" t="s">
        <v>345</v>
      </c>
      <c r="Z881" s="41" t="s">
        <v>345</v>
      </c>
      <c r="AA881" s="30" t="s">
        <v>2229</v>
      </c>
    </row>
    <row r="882" spans="1:27" s="29" customFormat="1" ht="38.25">
      <c r="A882" s="30" t="s">
        <v>142</v>
      </c>
      <c r="B882" s="30" t="s">
        <v>103</v>
      </c>
      <c r="C882" s="30" t="s">
        <v>2212</v>
      </c>
      <c r="D882" s="30" t="s">
        <v>2213</v>
      </c>
      <c r="E882" s="61" t="s">
        <v>164</v>
      </c>
      <c r="F882" s="30" t="s">
        <v>289</v>
      </c>
      <c r="G882" s="30" t="s">
        <v>111</v>
      </c>
      <c r="H882" s="30">
        <v>236220</v>
      </c>
      <c r="I882" s="30" t="s">
        <v>98</v>
      </c>
      <c r="J882" s="30" t="s">
        <v>129</v>
      </c>
      <c r="K882" s="31" t="s">
        <v>91</v>
      </c>
      <c r="L882" s="41" t="s">
        <v>345</v>
      </c>
      <c r="M882" s="39">
        <v>25000</v>
      </c>
      <c r="N882" s="39">
        <v>100000</v>
      </c>
      <c r="O882" s="30" t="s">
        <v>79</v>
      </c>
      <c r="P882" s="30" t="s">
        <v>301</v>
      </c>
      <c r="Q882" s="30" t="s">
        <v>294</v>
      </c>
      <c r="R882" s="30" t="s">
        <v>150</v>
      </c>
      <c r="S882" s="41">
        <v>2014</v>
      </c>
      <c r="T882" s="31" t="s">
        <v>2226</v>
      </c>
      <c r="U882" s="31" t="s">
        <v>2227</v>
      </c>
      <c r="V882" s="30" t="s">
        <v>2228</v>
      </c>
      <c r="W882" s="30" t="s">
        <v>2210</v>
      </c>
      <c r="X882" s="41" t="s">
        <v>345</v>
      </c>
      <c r="Y882" s="41" t="s">
        <v>345</v>
      </c>
      <c r="Z882" s="41" t="s">
        <v>345</v>
      </c>
      <c r="AA882" s="30" t="s">
        <v>2230</v>
      </c>
    </row>
    <row r="883" spans="1:27" s="29" customFormat="1" ht="38.25">
      <c r="A883" s="30" t="s">
        <v>142</v>
      </c>
      <c r="B883" s="30" t="s">
        <v>103</v>
      </c>
      <c r="C883" s="30" t="s">
        <v>2212</v>
      </c>
      <c r="D883" s="30" t="s">
        <v>2231</v>
      </c>
      <c r="E883" s="61" t="s">
        <v>164</v>
      </c>
      <c r="F883" s="30" t="s">
        <v>289</v>
      </c>
      <c r="G883" s="30" t="s">
        <v>111</v>
      </c>
      <c r="H883" s="30">
        <v>238140</v>
      </c>
      <c r="I883" s="30"/>
      <c r="J883" s="30" t="s">
        <v>129</v>
      </c>
      <c r="K883" s="31" t="s">
        <v>91</v>
      </c>
      <c r="L883" s="41"/>
      <c r="M883" s="39">
        <v>400000</v>
      </c>
      <c r="N883" s="39">
        <v>400000</v>
      </c>
      <c r="O883" s="30" t="s">
        <v>79</v>
      </c>
      <c r="P883" s="30" t="s">
        <v>302</v>
      </c>
      <c r="Q883" s="30" t="s">
        <v>294</v>
      </c>
      <c r="R883" s="30" t="s">
        <v>345</v>
      </c>
      <c r="S883" s="41">
        <v>2014</v>
      </c>
      <c r="T883" s="31" t="s">
        <v>2232</v>
      </c>
      <c r="U883" s="31" t="s">
        <v>2233</v>
      </c>
      <c r="V883" s="30" t="s">
        <v>2234</v>
      </c>
      <c r="W883" s="30" t="s">
        <v>2210</v>
      </c>
      <c r="X883" s="41" t="s">
        <v>345</v>
      </c>
      <c r="Y883" s="41" t="s">
        <v>345</v>
      </c>
      <c r="Z883" s="41" t="s">
        <v>345</v>
      </c>
      <c r="AA883" s="30"/>
    </row>
    <row r="884" spans="1:27" s="29" customFormat="1" ht="38.25">
      <c r="A884" s="30" t="s">
        <v>142</v>
      </c>
      <c r="B884" s="30" t="s">
        <v>103</v>
      </c>
      <c r="C884" s="30" t="s">
        <v>2212</v>
      </c>
      <c r="D884" s="30" t="s">
        <v>2235</v>
      </c>
      <c r="E884" s="61" t="s">
        <v>164</v>
      </c>
      <c r="F884" s="30" t="s">
        <v>289</v>
      </c>
      <c r="G884" s="30" t="s">
        <v>111</v>
      </c>
      <c r="H884" s="30">
        <v>236220</v>
      </c>
      <c r="I884" s="30"/>
      <c r="J884" s="30" t="s">
        <v>129</v>
      </c>
      <c r="K884" s="31" t="s">
        <v>91</v>
      </c>
      <c r="L884" s="41"/>
      <c r="M884" s="39">
        <v>15000</v>
      </c>
      <c r="N884" s="39">
        <v>15000</v>
      </c>
      <c r="O884" s="30" t="s">
        <v>149</v>
      </c>
      <c r="P884" s="30" t="s">
        <v>302</v>
      </c>
      <c r="Q884" s="30" t="s">
        <v>294</v>
      </c>
      <c r="R884" s="30" t="s">
        <v>345</v>
      </c>
      <c r="S884" s="41">
        <v>2014</v>
      </c>
      <c r="T884" s="31" t="s">
        <v>2232</v>
      </c>
      <c r="U884" s="31" t="s">
        <v>2233</v>
      </c>
      <c r="V884" s="30" t="s">
        <v>2234</v>
      </c>
      <c r="W884" s="30" t="s">
        <v>2210</v>
      </c>
      <c r="X884" s="41" t="s">
        <v>345</v>
      </c>
      <c r="Y884" s="41" t="s">
        <v>345</v>
      </c>
      <c r="Z884" s="41" t="s">
        <v>345</v>
      </c>
      <c r="AA884" s="30"/>
    </row>
    <row r="885" spans="1:27" s="29" customFormat="1" ht="38.25">
      <c r="A885" s="30" t="s">
        <v>142</v>
      </c>
      <c r="B885" s="30" t="s">
        <v>103</v>
      </c>
      <c r="C885" s="30" t="s">
        <v>2212</v>
      </c>
      <c r="D885" s="30" t="s">
        <v>2236</v>
      </c>
      <c r="E885" s="61" t="s">
        <v>164</v>
      </c>
      <c r="F885" s="30" t="s">
        <v>289</v>
      </c>
      <c r="G885" s="30" t="s">
        <v>111</v>
      </c>
      <c r="H885" s="30">
        <v>236220</v>
      </c>
      <c r="I885" s="30"/>
      <c r="J885" s="30" t="s">
        <v>129</v>
      </c>
      <c r="K885" s="31" t="s">
        <v>91</v>
      </c>
      <c r="L885" s="41"/>
      <c r="M885" s="39">
        <v>1500000</v>
      </c>
      <c r="N885" s="39">
        <v>1500000</v>
      </c>
      <c r="O885" s="30" t="s">
        <v>79</v>
      </c>
      <c r="P885" s="30" t="s">
        <v>302</v>
      </c>
      <c r="Q885" s="30" t="s">
        <v>294</v>
      </c>
      <c r="R885" s="30" t="s">
        <v>345</v>
      </c>
      <c r="S885" s="41">
        <v>2014</v>
      </c>
      <c r="T885" s="31" t="s">
        <v>2232</v>
      </c>
      <c r="U885" s="31" t="s">
        <v>2233</v>
      </c>
      <c r="V885" s="30" t="s">
        <v>2234</v>
      </c>
      <c r="W885" s="30" t="s">
        <v>2210</v>
      </c>
      <c r="X885" s="41" t="s">
        <v>345</v>
      </c>
      <c r="Y885" s="41" t="s">
        <v>345</v>
      </c>
      <c r="Z885" s="41" t="s">
        <v>345</v>
      </c>
      <c r="AA885" s="30"/>
    </row>
    <row r="886" spans="1:27" s="29" customFormat="1" ht="38.25">
      <c r="A886" s="30" t="s">
        <v>142</v>
      </c>
      <c r="B886" s="30" t="s">
        <v>103</v>
      </c>
      <c r="C886" s="30" t="s">
        <v>2212</v>
      </c>
      <c r="D886" s="30" t="s">
        <v>2237</v>
      </c>
      <c r="E886" s="61" t="s">
        <v>88</v>
      </c>
      <c r="F886" s="30" t="s">
        <v>289</v>
      </c>
      <c r="G886" s="30" t="s">
        <v>111</v>
      </c>
      <c r="H886" s="30">
        <v>238220</v>
      </c>
      <c r="I886" s="30"/>
      <c r="J886" s="30" t="s">
        <v>129</v>
      </c>
      <c r="K886" s="31" t="s">
        <v>91</v>
      </c>
      <c r="L886" s="30"/>
      <c r="M886" s="39">
        <v>120000</v>
      </c>
      <c r="N886" s="39">
        <v>120000</v>
      </c>
      <c r="O886" s="30" t="s">
        <v>79</v>
      </c>
      <c r="P886" s="30" t="s">
        <v>302</v>
      </c>
      <c r="Q886" s="30" t="s">
        <v>294</v>
      </c>
      <c r="R886" s="30" t="s">
        <v>345</v>
      </c>
      <c r="S886" s="41">
        <v>2014</v>
      </c>
      <c r="T886" s="31" t="s">
        <v>2232</v>
      </c>
      <c r="U886" s="31" t="s">
        <v>2233</v>
      </c>
      <c r="V886" s="30" t="s">
        <v>2234</v>
      </c>
      <c r="W886" s="30" t="s">
        <v>2210</v>
      </c>
      <c r="X886" s="30" t="s">
        <v>345</v>
      </c>
      <c r="Y886" s="30" t="s">
        <v>345</v>
      </c>
      <c r="Z886" s="30" t="s">
        <v>345</v>
      </c>
      <c r="AA886" s="30"/>
    </row>
    <row r="887" spans="1:27" s="29" customFormat="1" ht="38.25">
      <c r="A887" s="30" t="s">
        <v>142</v>
      </c>
      <c r="B887" s="30" t="s">
        <v>103</v>
      </c>
      <c r="C887" s="30" t="s">
        <v>2212</v>
      </c>
      <c r="D887" s="30" t="s">
        <v>2238</v>
      </c>
      <c r="E887" s="61" t="s">
        <v>164</v>
      </c>
      <c r="F887" s="30" t="s">
        <v>289</v>
      </c>
      <c r="G887" s="30" t="s">
        <v>111</v>
      </c>
      <c r="H887" s="30">
        <v>238140</v>
      </c>
      <c r="I887" s="30"/>
      <c r="J887" s="30" t="s">
        <v>129</v>
      </c>
      <c r="K887" s="31" t="s">
        <v>91</v>
      </c>
      <c r="L887" s="30"/>
      <c r="M887" s="39">
        <v>200000</v>
      </c>
      <c r="N887" s="39">
        <v>200000</v>
      </c>
      <c r="O887" s="30" t="s">
        <v>79</v>
      </c>
      <c r="P887" s="30" t="s">
        <v>302</v>
      </c>
      <c r="Q887" s="30" t="s">
        <v>294</v>
      </c>
      <c r="R887" s="30" t="s">
        <v>345</v>
      </c>
      <c r="S887" s="41">
        <v>2014</v>
      </c>
      <c r="T887" s="31" t="s">
        <v>2232</v>
      </c>
      <c r="U887" s="31" t="s">
        <v>2233</v>
      </c>
      <c r="V887" s="30" t="s">
        <v>2234</v>
      </c>
      <c r="W887" s="30" t="s">
        <v>2210</v>
      </c>
      <c r="X887" s="30" t="s">
        <v>345</v>
      </c>
      <c r="Y887" s="30" t="s">
        <v>345</v>
      </c>
      <c r="Z887" s="30" t="s">
        <v>345</v>
      </c>
      <c r="AA887" s="30"/>
    </row>
    <row r="888" spans="1:27" s="29" customFormat="1" ht="38.25">
      <c r="A888" s="30" t="s">
        <v>142</v>
      </c>
      <c r="B888" s="30" t="s">
        <v>103</v>
      </c>
      <c r="C888" s="30" t="s">
        <v>2212</v>
      </c>
      <c r="D888" s="30" t="s">
        <v>2239</v>
      </c>
      <c r="E888" s="61" t="s">
        <v>88</v>
      </c>
      <c r="F888" s="30" t="s">
        <v>289</v>
      </c>
      <c r="G888" s="30" t="s">
        <v>111</v>
      </c>
      <c r="H888" s="30">
        <v>238290</v>
      </c>
      <c r="I888" s="30"/>
      <c r="J888" s="30" t="s">
        <v>129</v>
      </c>
      <c r="K888" s="31" t="s">
        <v>91</v>
      </c>
      <c r="L888" s="30"/>
      <c r="M888" s="39">
        <v>1200000</v>
      </c>
      <c r="N888" s="39">
        <v>1200000</v>
      </c>
      <c r="O888" s="30" t="s">
        <v>79</v>
      </c>
      <c r="P888" s="30" t="s">
        <v>302</v>
      </c>
      <c r="Q888" s="30" t="s">
        <v>294</v>
      </c>
      <c r="R888" s="30" t="s">
        <v>345</v>
      </c>
      <c r="S888" s="41">
        <v>2014</v>
      </c>
      <c r="T888" s="31" t="s">
        <v>2232</v>
      </c>
      <c r="U888" s="31" t="s">
        <v>2233</v>
      </c>
      <c r="V888" s="30" t="s">
        <v>2234</v>
      </c>
      <c r="W888" s="30" t="s">
        <v>2210</v>
      </c>
      <c r="X888" s="30" t="s">
        <v>345</v>
      </c>
      <c r="Y888" s="30" t="s">
        <v>345</v>
      </c>
      <c r="Z888" s="30" t="s">
        <v>345</v>
      </c>
      <c r="AA888" s="30"/>
    </row>
    <row r="889" spans="1:27" s="29" customFormat="1" ht="38.25">
      <c r="A889" s="30" t="s">
        <v>142</v>
      </c>
      <c r="B889" s="30" t="s">
        <v>103</v>
      </c>
      <c r="C889" s="30" t="s">
        <v>2212</v>
      </c>
      <c r="D889" s="30" t="s">
        <v>2240</v>
      </c>
      <c r="E889" s="61" t="s">
        <v>164</v>
      </c>
      <c r="F889" s="30" t="s">
        <v>289</v>
      </c>
      <c r="G889" s="30" t="s">
        <v>111</v>
      </c>
      <c r="H889" s="30">
        <v>238220</v>
      </c>
      <c r="I889" s="30"/>
      <c r="J889" s="30" t="s">
        <v>129</v>
      </c>
      <c r="K889" s="31" t="s">
        <v>91</v>
      </c>
      <c r="L889" s="30"/>
      <c r="M889" s="39">
        <v>25000</v>
      </c>
      <c r="N889" s="39">
        <v>25000</v>
      </c>
      <c r="O889" s="30" t="s">
        <v>79</v>
      </c>
      <c r="P889" s="30" t="s">
        <v>302</v>
      </c>
      <c r="Q889" s="30" t="s">
        <v>294</v>
      </c>
      <c r="R889" s="30" t="s">
        <v>345</v>
      </c>
      <c r="S889" s="41">
        <v>2014</v>
      </c>
      <c r="T889" s="31" t="s">
        <v>2232</v>
      </c>
      <c r="U889" s="31" t="s">
        <v>2233</v>
      </c>
      <c r="V889" s="30" t="s">
        <v>2234</v>
      </c>
      <c r="W889" s="30" t="s">
        <v>2210</v>
      </c>
      <c r="X889" s="30" t="s">
        <v>345</v>
      </c>
      <c r="Y889" s="30" t="s">
        <v>345</v>
      </c>
      <c r="Z889" s="30" t="s">
        <v>345</v>
      </c>
      <c r="AA889" s="30"/>
    </row>
    <row r="890" spans="1:27" s="29" customFormat="1" ht="38.25">
      <c r="A890" s="30" t="s">
        <v>142</v>
      </c>
      <c r="B890" s="30" t="s">
        <v>103</v>
      </c>
      <c r="C890" s="30" t="s">
        <v>2212</v>
      </c>
      <c r="D890" s="30" t="s">
        <v>2241</v>
      </c>
      <c r="E890" s="61" t="s">
        <v>164</v>
      </c>
      <c r="F890" s="30" t="s">
        <v>289</v>
      </c>
      <c r="G890" s="30" t="s">
        <v>111</v>
      </c>
      <c r="H890" s="30">
        <v>238220</v>
      </c>
      <c r="I890" s="30"/>
      <c r="J890" s="30" t="s">
        <v>129</v>
      </c>
      <c r="K890" s="31" t="s">
        <v>91</v>
      </c>
      <c r="L890" s="30"/>
      <c r="M890" s="39">
        <v>240000</v>
      </c>
      <c r="N890" s="39">
        <v>240000</v>
      </c>
      <c r="O890" s="30" t="s">
        <v>79</v>
      </c>
      <c r="P890" s="30" t="s">
        <v>302</v>
      </c>
      <c r="Q890" s="30" t="s">
        <v>294</v>
      </c>
      <c r="R890" s="30" t="s">
        <v>345</v>
      </c>
      <c r="S890" s="41">
        <v>2014</v>
      </c>
      <c r="T890" s="31" t="s">
        <v>2232</v>
      </c>
      <c r="U890" s="31" t="s">
        <v>2233</v>
      </c>
      <c r="V890" s="30" t="s">
        <v>2234</v>
      </c>
      <c r="W890" s="30" t="s">
        <v>2210</v>
      </c>
      <c r="X890" s="30" t="s">
        <v>345</v>
      </c>
      <c r="Y890" s="30" t="s">
        <v>345</v>
      </c>
      <c r="Z890" s="30" t="s">
        <v>345</v>
      </c>
      <c r="AA890" s="30"/>
    </row>
    <row r="891" spans="1:27" s="29" customFormat="1" ht="38.25">
      <c r="A891" s="30" t="s">
        <v>142</v>
      </c>
      <c r="B891" s="30" t="s">
        <v>103</v>
      </c>
      <c r="C891" s="30" t="s">
        <v>2212</v>
      </c>
      <c r="D891" s="30" t="s">
        <v>2242</v>
      </c>
      <c r="E891" s="61" t="s">
        <v>164</v>
      </c>
      <c r="F891" s="30" t="s">
        <v>289</v>
      </c>
      <c r="G891" s="30" t="s">
        <v>111</v>
      </c>
      <c r="H891" s="30">
        <v>238220</v>
      </c>
      <c r="I891" s="30"/>
      <c r="J891" s="30" t="s">
        <v>129</v>
      </c>
      <c r="K891" s="31" t="s">
        <v>91</v>
      </c>
      <c r="L891" s="30"/>
      <c r="M891" s="39">
        <v>40000</v>
      </c>
      <c r="N891" s="39">
        <v>40000</v>
      </c>
      <c r="O891" s="30" t="s">
        <v>79</v>
      </c>
      <c r="P891" s="30" t="s">
        <v>302</v>
      </c>
      <c r="Q891" s="30" t="s">
        <v>294</v>
      </c>
      <c r="R891" s="30" t="s">
        <v>345</v>
      </c>
      <c r="S891" s="41">
        <v>2014</v>
      </c>
      <c r="T891" s="31" t="s">
        <v>2232</v>
      </c>
      <c r="U891" s="31" t="s">
        <v>2233</v>
      </c>
      <c r="V891" s="30" t="s">
        <v>2234</v>
      </c>
      <c r="W891" s="30" t="s">
        <v>2210</v>
      </c>
      <c r="X891" s="30" t="s">
        <v>345</v>
      </c>
      <c r="Y891" s="30" t="s">
        <v>345</v>
      </c>
      <c r="Z891" s="30" t="s">
        <v>345</v>
      </c>
      <c r="AA891" s="30"/>
    </row>
    <row r="892" spans="1:27" s="29" customFormat="1" ht="38.25">
      <c r="A892" s="30" t="s">
        <v>142</v>
      </c>
      <c r="B892" s="30" t="s">
        <v>103</v>
      </c>
      <c r="C892" s="30" t="s">
        <v>2212</v>
      </c>
      <c r="D892" s="30" t="s">
        <v>2243</v>
      </c>
      <c r="E892" s="61" t="s">
        <v>164</v>
      </c>
      <c r="F892" s="30" t="s">
        <v>289</v>
      </c>
      <c r="G892" s="30" t="s">
        <v>111</v>
      </c>
      <c r="H892" s="30">
        <v>236220</v>
      </c>
      <c r="I892" s="30"/>
      <c r="J892" s="30" t="s">
        <v>129</v>
      </c>
      <c r="K892" s="31" t="s">
        <v>91</v>
      </c>
      <c r="L892" s="30"/>
      <c r="M892" s="39">
        <v>40000</v>
      </c>
      <c r="N892" s="39">
        <v>40000</v>
      </c>
      <c r="O892" s="30" t="s">
        <v>79</v>
      </c>
      <c r="P892" s="30" t="s">
        <v>302</v>
      </c>
      <c r="Q892" s="30" t="s">
        <v>294</v>
      </c>
      <c r="R892" s="30" t="s">
        <v>345</v>
      </c>
      <c r="S892" s="41">
        <v>2014</v>
      </c>
      <c r="T892" s="31" t="s">
        <v>2232</v>
      </c>
      <c r="U892" s="31" t="s">
        <v>2233</v>
      </c>
      <c r="V892" s="30" t="s">
        <v>2234</v>
      </c>
      <c r="W892" s="30" t="s">
        <v>2210</v>
      </c>
      <c r="X892" s="30" t="s">
        <v>345</v>
      </c>
      <c r="Y892" s="30" t="s">
        <v>345</v>
      </c>
      <c r="Z892" s="30" t="s">
        <v>345</v>
      </c>
      <c r="AA892" s="30"/>
    </row>
    <row r="893" spans="1:27" s="29" customFormat="1" ht="38.25">
      <c r="A893" s="30" t="s">
        <v>142</v>
      </c>
      <c r="B893" s="30" t="s">
        <v>103</v>
      </c>
      <c r="C893" s="30" t="s">
        <v>2212</v>
      </c>
      <c r="D893" s="30" t="s">
        <v>2213</v>
      </c>
      <c r="E893" s="61" t="s">
        <v>164</v>
      </c>
      <c r="F893" s="30" t="s">
        <v>289</v>
      </c>
      <c r="G893" s="30" t="s">
        <v>111</v>
      </c>
      <c r="H893" s="30">
        <v>236220</v>
      </c>
      <c r="I893" s="30" t="s">
        <v>98</v>
      </c>
      <c r="J893" s="30" t="s">
        <v>129</v>
      </c>
      <c r="K893" s="31" t="s">
        <v>91</v>
      </c>
      <c r="L893" s="30" t="s">
        <v>345</v>
      </c>
      <c r="M893" s="39">
        <v>1000000</v>
      </c>
      <c r="N893" s="39">
        <v>5000000</v>
      </c>
      <c r="O893" s="30" t="s">
        <v>79</v>
      </c>
      <c r="P893" s="30" t="s">
        <v>301</v>
      </c>
      <c r="Q893" s="30" t="s">
        <v>294</v>
      </c>
      <c r="R893" s="30" t="s">
        <v>150</v>
      </c>
      <c r="S893" s="41">
        <v>2014</v>
      </c>
      <c r="T893" s="31" t="s">
        <v>2226</v>
      </c>
      <c r="U893" s="31" t="s">
        <v>2227</v>
      </c>
      <c r="V893" s="30" t="s">
        <v>2228</v>
      </c>
      <c r="W893" s="30" t="s">
        <v>2210</v>
      </c>
      <c r="X893" s="30" t="s">
        <v>345</v>
      </c>
      <c r="Y893" s="30" t="s">
        <v>345</v>
      </c>
      <c r="Z893" s="30" t="s">
        <v>345</v>
      </c>
      <c r="AA893" s="30" t="s">
        <v>2244</v>
      </c>
    </row>
    <row r="894" spans="1:27" s="29" customFormat="1" ht="38.25">
      <c r="A894" s="30" t="s">
        <v>142</v>
      </c>
      <c r="B894" s="30" t="s">
        <v>103</v>
      </c>
      <c r="C894" s="30" t="s">
        <v>2212</v>
      </c>
      <c r="D894" s="30" t="s">
        <v>2245</v>
      </c>
      <c r="E894" s="61" t="s">
        <v>88</v>
      </c>
      <c r="F894" s="30" t="s">
        <v>289</v>
      </c>
      <c r="G894" s="30" t="s">
        <v>111</v>
      </c>
      <c r="H894" s="30">
        <v>238290</v>
      </c>
      <c r="I894" s="129" t="s">
        <v>546</v>
      </c>
      <c r="J894" s="30" t="s">
        <v>129</v>
      </c>
      <c r="K894" s="31" t="s">
        <v>69</v>
      </c>
      <c r="L894" s="30" t="s">
        <v>2246</v>
      </c>
      <c r="M894" s="39">
        <v>250000</v>
      </c>
      <c r="N894" s="39">
        <v>500000</v>
      </c>
      <c r="O894" s="30" t="s">
        <v>79</v>
      </c>
      <c r="P894" s="30" t="s">
        <v>302</v>
      </c>
      <c r="Q894" s="30" t="s">
        <v>294</v>
      </c>
      <c r="R894" s="30" t="s">
        <v>35</v>
      </c>
      <c r="S894" s="41">
        <v>2014</v>
      </c>
      <c r="T894" s="31" t="s">
        <v>2247</v>
      </c>
      <c r="U894" s="31" t="s">
        <v>2248</v>
      </c>
      <c r="V894" s="30" t="s">
        <v>2249</v>
      </c>
      <c r="W894" s="30" t="s">
        <v>2210</v>
      </c>
      <c r="X894" s="44">
        <v>41805</v>
      </c>
      <c r="Y894" s="44">
        <v>41856</v>
      </c>
      <c r="Z894" s="44">
        <v>41887</v>
      </c>
      <c r="AA894" s="30"/>
    </row>
    <row r="895" spans="1:27" s="29" customFormat="1" ht="38.25">
      <c r="A895" s="30" t="s">
        <v>142</v>
      </c>
      <c r="B895" s="30" t="s">
        <v>103</v>
      </c>
      <c r="C895" s="30" t="s">
        <v>741</v>
      </c>
      <c r="D895" s="30" t="s">
        <v>2250</v>
      </c>
      <c r="E895" s="61" t="s">
        <v>88</v>
      </c>
      <c r="F895" s="30" t="s">
        <v>289</v>
      </c>
      <c r="G895" s="30" t="s">
        <v>111</v>
      </c>
      <c r="H895" s="30">
        <v>238220</v>
      </c>
      <c r="I895" s="30" t="s">
        <v>51</v>
      </c>
      <c r="J895" s="30" t="s">
        <v>129</v>
      </c>
      <c r="K895" s="31" t="s">
        <v>69</v>
      </c>
      <c r="L895" s="30" t="s">
        <v>2246</v>
      </c>
      <c r="M895" s="39">
        <v>250000</v>
      </c>
      <c r="N895" s="39">
        <v>500000</v>
      </c>
      <c r="O895" s="30" t="s">
        <v>79</v>
      </c>
      <c r="P895" s="30" t="s">
        <v>302</v>
      </c>
      <c r="Q895" s="30" t="s">
        <v>294</v>
      </c>
      <c r="R895" s="31" t="s">
        <v>80</v>
      </c>
      <c r="S895" s="41">
        <v>2014</v>
      </c>
      <c r="T895" s="31" t="s">
        <v>2247</v>
      </c>
      <c r="U895" s="31" t="s">
        <v>2248</v>
      </c>
      <c r="V895" s="30" t="s">
        <v>2249</v>
      </c>
      <c r="W895" s="30" t="s">
        <v>2210</v>
      </c>
      <c r="X895" s="44">
        <v>41699</v>
      </c>
      <c r="Y895" s="30"/>
      <c r="Z895" s="30"/>
      <c r="AA895" s="30"/>
    </row>
    <row r="896" spans="1:27" s="29" customFormat="1" ht="38.25">
      <c r="A896" s="30" t="s">
        <v>142</v>
      </c>
      <c r="B896" s="30" t="s">
        <v>103</v>
      </c>
      <c r="C896" s="30" t="s">
        <v>2212</v>
      </c>
      <c r="D896" s="30" t="s">
        <v>2251</v>
      </c>
      <c r="E896" s="61" t="s">
        <v>88</v>
      </c>
      <c r="F896" s="30" t="s">
        <v>289</v>
      </c>
      <c r="G896" s="30" t="s">
        <v>111</v>
      </c>
      <c r="H896" s="30">
        <v>238220</v>
      </c>
      <c r="I896" s="30" t="s">
        <v>42</v>
      </c>
      <c r="J896" s="30" t="s">
        <v>129</v>
      </c>
      <c r="K896" s="31" t="s">
        <v>69</v>
      </c>
      <c r="L896" s="41" t="s">
        <v>2246</v>
      </c>
      <c r="M896" s="39">
        <v>75000</v>
      </c>
      <c r="N896" s="39">
        <v>500000</v>
      </c>
      <c r="O896" s="30" t="s">
        <v>79</v>
      </c>
      <c r="P896" s="30" t="s">
        <v>302</v>
      </c>
      <c r="Q896" s="30" t="s">
        <v>294</v>
      </c>
      <c r="R896" s="30" t="s">
        <v>150</v>
      </c>
      <c r="S896" s="41">
        <v>2014</v>
      </c>
      <c r="T896" s="31" t="s">
        <v>2247</v>
      </c>
      <c r="U896" s="31" t="s">
        <v>2248</v>
      </c>
      <c r="V896" s="30" t="s">
        <v>2249</v>
      </c>
      <c r="W896" s="30" t="s">
        <v>2210</v>
      </c>
      <c r="X896" s="75">
        <v>41607</v>
      </c>
      <c r="Y896" s="41"/>
      <c r="Z896" s="41"/>
      <c r="AA896" s="30" t="s">
        <v>2252</v>
      </c>
    </row>
    <row r="897" spans="1:81" s="29" customFormat="1" ht="38.25">
      <c r="A897" s="61" t="s">
        <v>142</v>
      </c>
      <c r="B897" s="61" t="s">
        <v>103</v>
      </c>
      <c r="C897" s="61" t="s">
        <v>2212</v>
      </c>
      <c r="D897" s="61" t="s">
        <v>2253</v>
      </c>
      <c r="E897" s="61" t="s">
        <v>88</v>
      </c>
      <c r="F897" s="61" t="s">
        <v>289</v>
      </c>
      <c r="G897" s="61" t="s">
        <v>111</v>
      </c>
      <c r="H897" s="61">
        <v>238220</v>
      </c>
      <c r="I897" s="61" t="s">
        <v>1138</v>
      </c>
      <c r="J897" s="61" t="s">
        <v>129</v>
      </c>
      <c r="K897" s="164" t="s">
        <v>69</v>
      </c>
      <c r="L897" s="61" t="s">
        <v>2246</v>
      </c>
      <c r="M897" s="76">
        <v>75000</v>
      </c>
      <c r="N897" s="76">
        <v>350000</v>
      </c>
      <c r="O897" s="77" t="s">
        <v>79</v>
      </c>
      <c r="P897" s="30" t="s">
        <v>302</v>
      </c>
      <c r="Q897" s="61" t="s">
        <v>294</v>
      </c>
      <c r="R897" s="61" t="s">
        <v>150</v>
      </c>
      <c r="S897" s="68">
        <v>2014</v>
      </c>
      <c r="T897" s="164" t="s">
        <v>2247</v>
      </c>
      <c r="U897" s="164" t="s">
        <v>2248</v>
      </c>
      <c r="V897" s="61" t="s">
        <v>2249</v>
      </c>
      <c r="W897" s="61" t="s">
        <v>2210</v>
      </c>
      <c r="X897" s="78">
        <v>41607</v>
      </c>
      <c r="Y897" s="61"/>
      <c r="Z897" s="61"/>
      <c r="AA897" s="61" t="s">
        <v>2252</v>
      </c>
      <c r="AB897" s="79"/>
      <c r="AC897" s="79"/>
      <c r="AD897" s="79"/>
      <c r="AE897" s="79"/>
      <c r="AF897" s="79"/>
      <c r="AG897" s="79"/>
      <c r="AH897" s="79"/>
      <c r="AI897" s="79"/>
      <c r="AJ897" s="79"/>
      <c r="AK897" s="79"/>
      <c r="AL897" s="79"/>
      <c r="AM897" s="79"/>
      <c r="AN897" s="79"/>
      <c r="AO897" s="79"/>
      <c r="AP897" s="79"/>
      <c r="AQ897" s="79"/>
      <c r="AR897" s="79"/>
      <c r="AS897" s="79"/>
      <c r="AT897" s="79"/>
      <c r="AU897" s="79"/>
      <c r="AV897" s="79"/>
      <c r="AW897" s="79"/>
      <c r="AX897" s="79"/>
      <c r="AY897" s="79"/>
      <c r="AZ897" s="79"/>
      <c r="BA897" s="79"/>
      <c r="BB897" s="79"/>
      <c r="BC897" s="79"/>
      <c r="BD897" s="79"/>
      <c r="BE897" s="79"/>
      <c r="BF897" s="79"/>
      <c r="BG897" s="79"/>
      <c r="BH897" s="79"/>
      <c r="BI897" s="79"/>
      <c r="BJ897" s="79"/>
      <c r="BK897" s="79"/>
      <c r="BL897" s="79"/>
      <c r="BM897" s="79"/>
      <c r="BN897" s="79"/>
      <c r="BO897" s="79"/>
      <c r="BP897" s="79"/>
      <c r="BQ897" s="79"/>
      <c r="BR897" s="79"/>
      <c r="BS897" s="79"/>
      <c r="BT897" s="79"/>
      <c r="BU897" s="79"/>
      <c r="BV897" s="79"/>
      <c r="BW897" s="79"/>
      <c r="BX897" s="79"/>
      <c r="BY897" s="79"/>
      <c r="BZ897" s="79"/>
      <c r="CA897" s="79"/>
      <c r="CB897" s="79"/>
      <c r="CC897" s="79"/>
    </row>
    <row r="898" spans="1:81" s="29" customFormat="1" ht="38.25">
      <c r="A898" s="61" t="s">
        <v>142</v>
      </c>
      <c r="B898" s="61" t="s">
        <v>103</v>
      </c>
      <c r="C898" s="61" t="s">
        <v>2212</v>
      </c>
      <c r="D898" s="61" t="s">
        <v>2254</v>
      </c>
      <c r="E898" s="61" t="s">
        <v>164</v>
      </c>
      <c r="F898" s="61" t="s">
        <v>289</v>
      </c>
      <c r="G898" s="61" t="s">
        <v>111</v>
      </c>
      <c r="H898" s="61">
        <v>238160</v>
      </c>
      <c r="I898" s="129" t="s">
        <v>546</v>
      </c>
      <c r="J898" s="61" t="s">
        <v>129</v>
      </c>
      <c r="K898" s="164" t="s">
        <v>69</v>
      </c>
      <c r="L898" s="61" t="s">
        <v>2246</v>
      </c>
      <c r="M898" s="76">
        <v>50000</v>
      </c>
      <c r="N898" s="76">
        <v>200000</v>
      </c>
      <c r="O898" s="77" t="s">
        <v>79</v>
      </c>
      <c r="P898" s="30" t="s">
        <v>302</v>
      </c>
      <c r="Q898" s="61" t="s">
        <v>294</v>
      </c>
      <c r="R898" s="164" t="s">
        <v>80</v>
      </c>
      <c r="S898" s="68">
        <v>2014</v>
      </c>
      <c r="T898" s="164" t="s">
        <v>2247</v>
      </c>
      <c r="U898" s="164" t="s">
        <v>2248</v>
      </c>
      <c r="V898" s="61" t="s">
        <v>2249</v>
      </c>
      <c r="W898" s="61" t="s">
        <v>2210</v>
      </c>
      <c r="X898" s="78">
        <v>41713</v>
      </c>
      <c r="Y898" s="61"/>
      <c r="Z898" s="61"/>
      <c r="AA898" s="61" t="s">
        <v>2252</v>
      </c>
      <c r="AB898" s="79"/>
      <c r="AC898" s="79"/>
      <c r="AD898" s="79"/>
      <c r="AE898" s="79"/>
      <c r="AF898" s="79"/>
      <c r="AG898" s="79"/>
      <c r="AH898" s="79"/>
      <c r="AI898" s="79"/>
      <c r="AJ898" s="79"/>
      <c r="AK898" s="79"/>
      <c r="AL898" s="79"/>
      <c r="AM898" s="79"/>
      <c r="AN898" s="79"/>
      <c r="AO898" s="79"/>
      <c r="AP898" s="79"/>
      <c r="AQ898" s="79"/>
      <c r="AR898" s="79"/>
      <c r="AS898" s="79"/>
      <c r="AT898" s="79"/>
      <c r="AU898" s="79"/>
      <c r="AV898" s="79"/>
      <c r="AW898" s="79"/>
      <c r="AX898" s="79"/>
      <c r="AY898" s="79"/>
      <c r="AZ898" s="79"/>
      <c r="BA898" s="79"/>
      <c r="BB898" s="79"/>
      <c r="BC898" s="79"/>
      <c r="BD898" s="79"/>
      <c r="BE898" s="79"/>
      <c r="BF898" s="79"/>
      <c r="BG898" s="79"/>
      <c r="BH898" s="79"/>
      <c r="BI898" s="79"/>
      <c r="BJ898" s="79"/>
      <c r="BK898" s="79"/>
      <c r="BL898" s="79"/>
      <c r="BM898" s="79"/>
      <c r="BN898" s="79"/>
      <c r="BO898" s="79"/>
      <c r="BP898" s="79"/>
      <c r="BQ898" s="79"/>
      <c r="BR898" s="79"/>
      <c r="BS898" s="79"/>
      <c r="BT898" s="79"/>
      <c r="BU898" s="79"/>
      <c r="BV898" s="79"/>
      <c r="BW898" s="79"/>
      <c r="BX898" s="79"/>
      <c r="BY898" s="79"/>
      <c r="BZ898" s="79"/>
      <c r="CA898" s="79"/>
      <c r="CB898" s="79"/>
      <c r="CC898" s="79"/>
    </row>
    <row r="899" spans="1:81" s="29" customFormat="1" ht="38.25">
      <c r="A899" s="61" t="s">
        <v>142</v>
      </c>
      <c r="B899" s="61" t="s">
        <v>103</v>
      </c>
      <c r="C899" s="61" t="s">
        <v>2205</v>
      </c>
      <c r="D899" s="61" t="s">
        <v>2255</v>
      </c>
      <c r="E899" s="61" t="s">
        <v>88</v>
      </c>
      <c r="F899" s="61" t="s">
        <v>289</v>
      </c>
      <c r="G899" s="61" t="s">
        <v>111</v>
      </c>
      <c r="H899" s="61">
        <v>238220</v>
      </c>
      <c r="I899" s="129" t="s">
        <v>546</v>
      </c>
      <c r="J899" s="61" t="s">
        <v>129</v>
      </c>
      <c r="K899" s="61" t="s">
        <v>148</v>
      </c>
      <c r="L899" s="61" t="s">
        <v>2246</v>
      </c>
      <c r="M899" s="76">
        <v>250000</v>
      </c>
      <c r="N899" s="76">
        <v>300000</v>
      </c>
      <c r="O899" s="77" t="s">
        <v>79</v>
      </c>
      <c r="P899" s="30" t="s">
        <v>302</v>
      </c>
      <c r="Q899" s="61" t="s">
        <v>294</v>
      </c>
      <c r="R899" s="164" t="s">
        <v>80</v>
      </c>
      <c r="S899" s="68">
        <v>2014</v>
      </c>
      <c r="T899" s="164" t="s">
        <v>2247</v>
      </c>
      <c r="U899" s="164" t="s">
        <v>2248</v>
      </c>
      <c r="V899" s="61" t="s">
        <v>2249</v>
      </c>
      <c r="W899" s="61" t="s">
        <v>2210</v>
      </c>
      <c r="X899" s="78">
        <v>41713</v>
      </c>
      <c r="Y899" s="61"/>
      <c r="Z899" s="61"/>
      <c r="AA899" s="61"/>
      <c r="AB899" s="79"/>
      <c r="AC899" s="79"/>
      <c r="AD899" s="79"/>
      <c r="AE899" s="79"/>
      <c r="AF899" s="79"/>
      <c r="AG899" s="79"/>
      <c r="AH899" s="79"/>
      <c r="AI899" s="79"/>
      <c r="AJ899" s="79"/>
      <c r="AK899" s="79"/>
      <c r="AL899" s="79"/>
      <c r="AM899" s="79"/>
      <c r="AN899" s="79"/>
      <c r="AO899" s="79"/>
      <c r="AP899" s="79"/>
      <c r="AQ899" s="79"/>
      <c r="AR899" s="79"/>
      <c r="AS899" s="79"/>
      <c r="AT899" s="79"/>
      <c r="AU899" s="79"/>
      <c r="AV899" s="79"/>
      <c r="AW899" s="79"/>
      <c r="AX899" s="79"/>
      <c r="AY899" s="79"/>
      <c r="AZ899" s="79"/>
      <c r="BA899" s="79"/>
      <c r="BB899" s="79"/>
      <c r="BC899" s="79"/>
      <c r="BD899" s="79"/>
      <c r="BE899" s="79"/>
      <c r="BF899" s="79"/>
      <c r="BG899" s="79"/>
      <c r="BH899" s="79"/>
      <c r="BI899" s="79"/>
      <c r="BJ899" s="79"/>
      <c r="BK899" s="79"/>
      <c r="BL899" s="79"/>
      <c r="BM899" s="79"/>
      <c r="BN899" s="79"/>
      <c r="BO899" s="79"/>
      <c r="BP899" s="79"/>
      <c r="BQ899" s="79"/>
      <c r="BR899" s="79"/>
      <c r="BS899" s="79"/>
      <c r="BT899" s="79"/>
      <c r="BU899" s="79"/>
      <c r="BV899" s="79"/>
      <c r="BW899" s="79"/>
      <c r="BX899" s="79"/>
      <c r="BY899" s="79"/>
      <c r="BZ899" s="79"/>
      <c r="CA899" s="79"/>
      <c r="CB899" s="79"/>
      <c r="CC899" s="79"/>
    </row>
    <row r="900" spans="1:81" s="29" customFormat="1" ht="38.25">
      <c r="A900" s="61" t="s">
        <v>142</v>
      </c>
      <c r="B900" s="61" t="s">
        <v>103</v>
      </c>
      <c r="C900" s="61" t="s">
        <v>2212</v>
      </c>
      <c r="D900" s="61" t="s">
        <v>2256</v>
      </c>
      <c r="E900" s="61" t="s">
        <v>164</v>
      </c>
      <c r="F900" s="61" t="s">
        <v>289</v>
      </c>
      <c r="G900" s="61" t="s">
        <v>111</v>
      </c>
      <c r="H900" s="61">
        <v>238190</v>
      </c>
      <c r="I900" s="61" t="s">
        <v>42</v>
      </c>
      <c r="J900" s="61" t="s">
        <v>129</v>
      </c>
      <c r="K900" s="164" t="s">
        <v>69</v>
      </c>
      <c r="L900" s="61"/>
      <c r="M900" s="76">
        <v>250000</v>
      </c>
      <c r="N900" s="76">
        <v>800000</v>
      </c>
      <c r="O900" s="77" t="s">
        <v>79</v>
      </c>
      <c r="P900" s="30" t="s">
        <v>302</v>
      </c>
      <c r="Q900" s="61" t="s">
        <v>294</v>
      </c>
      <c r="R900" s="61" t="s">
        <v>45</v>
      </c>
      <c r="S900" s="68">
        <v>2014</v>
      </c>
      <c r="T900" s="164" t="s">
        <v>2247</v>
      </c>
      <c r="U900" s="164" t="s">
        <v>2248</v>
      </c>
      <c r="V900" s="61" t="s">
        <v>2249</v>
      </c>
      <c r="W900" s="61" t="s">
        <v>2210</v>
      </c>
      <c r="X900" s="78">
        <v>41805</v>
      </c>
      <c r="Y900" s="61"/>
      <c r="Z900" s="61"/>
      <c r="AA900" s="61"/>
      <c r="AB900" s="79"/>
      <c r="AC900" s="79"/>
      <c r="AD900" s="79"/>
      <c r="AE900" s="79"/>
      <c r="AF900" s="79"/>
      <c r="AG900" s="79"/>
      <c r="AH900" s="79"/>
      <c r="AI900" s="79"/>
      <c r="AJ900" s="79"/>
      <c r="AK900" s="79"/>
      <c r="AL900" s="79"/>
      <c r="AM900" s="79"/>
      <c r="AN900" s="79"/>
      <c r="AO900" s="79"/>
      <c r="AP900" s="79"/>
      <c r="AQ900" s="79"/>
      <c r="AR900" s="79"/>
      <c r="AS900" s="79"/>
      <c r="AT900" s="79"/>
      <c r="AU900" s="79"/>
      <c r="AV900" s="79"/>
      <c r="AW900" s="79"/>
      <c r="AX900" s="79"/>
      <c r="AY900" s="79"/>
      <c r="AZ900" s="79"/>
      <c r="BA900" s="79"/>
      <c r="BB900" s="79"/>
      <c r="BC900" s="79"/>
      <c r="BD900" s="79"/>
      <c r="BE900" s="79"/>
      <c r="BF900" s="79"/>
      <c r="BG900" s="79"/>
      <c r="BH900" s="79"/>
      <c r="BI900" s="79"/>
      <c r="BJ900" s="79"/>
      <c r="BK900" s="79"/>
      <c r="BL900" s="79"/>
      <c r="BM900" s="79"/>
      <c r="BN900" s="79"/>
      <c r="BO900" s="79"/>
      <c r="BP900" s="79"/>
      <c r="BQ900" s="79"/>
      <c r="BR900" s="79"/>
      <c r="BS900" s="79"/>
      <c r="BT900" s="79"/>
      <c r="BU900" s="79"/>
      <c r="BV900" s="79"/>
      <c r="BW900" s="79"/>
      <c r="BX900" s="79"/>
      <c r="BY900" s="79"/>
      <c r="BZ900" s="79"/>
      <c r="CA900" s="79"/>
      <c r="CB900" s="79"/>
      <c r="CC900" s="79"/>
    </row>
    <row r="901" spans="1:81" s="29" customFormat="1" ht="38.25">
      <c r="A901" s="61" t="s">
        <v>142</v>
      </c>
      <c r="B901" s="61" t="s">
        <v>103</v>
      </c>
      <c r="C901" s="61" t="s">
        <v>2212</v>
      </c>
      <c r="D901" s="61" t="s">
        <v>2257</v>
      </c>
      <c r="E901" s="61" t="s">
        <v>164</v>
      </c>
      <c r="F901" s="61" t="s">
        <v>289</v>
      </c>
      <c r="G901" s="61" t="s">
        <v>111</v>
      </c>
      <c r="H901" s="61">
        <v>238990</v>
      </c>
      <c r="I901" s="129" t="s">
        <v>546</v>
      </c>
      <c r="J901" s="61" t="s">
        <v>129</v>
      </c>
      <c r="K901" s="164" t="s">
        <v>69</v>
      </c>
      <c r="L901" s="61" t="s">
        <v>2246</v>
      </c>
      <c r="M901" s="76">
        <v>100000</v>
      </c>
      <c r="N901" s="76">
        <v>200000</v>
      </c>
      <c r="O901" s="77" t="s">
        <v>79</v>
      </c>
      <c r="P901" s="30" t="s">
        <v>302</v>
      </c>
      <c r="Q901" s="61" t="s">
        <v>294</v>
      </c>
      <c r="R901" s="61" t="s">
        <v>100</v>
      </c>
      <c r="S901" s="68">
        <v>2014</v>
      </c>
      <c r="T901" s="164" t="s">
        <v>2258</v>
      </c>
      <c r="U901" s="164" t="s">
        <v>2259</v>
      </c>
      <c r="V901" s="61" t="s">
        <v>2260</v>
      </c>
      <c r="W901" s="61" t="s">
        <v>2210</v>
      </c>
      <c r="X901" s="78">
        <v>41769</v>
      </c>
      <c r="Y901" s="61"/>
      <c r="Z901" s="61"/>
      <c r="AA901" s="61"/>
      <c r="AB901" s="79"/>
      <c r="AC901" s="79"/>
      <c r="AD901" s="79"/>
      <c r="AE901" s="79"/>
      <c r="AF901" s="79"/>
      <c r="AG901" s="79"/>
      <c r="AH901" s="79"/>
      <c r="AI901" s="79"/>
      <c r="AJ901" s="79"/>
      <c r="AK901" s="79"/>
      <c r="AL901" s="79"/>
      <c r="AM901" s="79"/>
      <c r="AN901" s="79"/>
      <c r="AO901" s="79"/>
      <c r="AP901" s="79"/>
      <c r="AQ901" s="79"/>
      <c r="AR901" s="79"/>
      <c r="AS901" s="79"/>
      <c r="AT901" s="79"/>
      <c r="AU901" s="79"/>
      <c r="AV901" s="79"/>
      <c r="AW901" s="79"/>
      <c r="AX901" s="79"/>
      <c r="AY901" s="79"/>
      <c r="AZ901" s="79"/>
      <c r="BA901" s="79"/>
      <c r="BB901" s="79"/>
      <c r="BC901" s="79"/>
      <c r="BD901" s="79"/>
      <c r="BE901" s="79"/>
      <c r="BF901" s="79"/>
      <c r="BG901" s="79"/>
      <c r="BH901" s="79"/>
      <c r="BI901" s="79"/>
      <c r="BJ901" s="79"/>
      <c r="BK901" s="79"/>
      <c r="BL901" s="79"/>
      <c r="BM901" s="79"/>
      <c r="BN901" s="79"/>
      <c r="BO901" s="79"/>
      <c r="BP901" s="79"/>
      <c r="BQ901" s="79"/>
      <c r="BR901" s="79"/>
      <c r="BS901" s="79"/>
      <c r="BT901" s="79"/>
      <c r="BU901" s="79"/>
      <c r="BV901" s="79"/>
      <c r="BW901" s="79"/>
      <c r="BX901" s="79"/>
      <c r="BY901" s="79"/>
      <c r="BZ901" s="79"/>
      <c r="CA901" s="79"/>
      <c r="CB901" s="79"/>
      <c r="CC901" s="79"/>
    </row>
    <row r="902" spans="1:81" s="29" customFormat="1" ht="38.25">
      <c r="A902" s="61" t="s">
        <v>142</v>
      </c>
      <c r="B902" s="61" t="s">
        <v>103</v>
      </c>
      <c r="C902" s="61" t="s">
        <v>2212</v>
      </c>
      <c r="D902" s="61" t="s">
        <v>2261</v>
      </c>
      <c r="E902" s="61" t="s">
        <v>88</v>
      </c>
      <c r="F902" s="61" t="s">
        <v>289</v>
      </c>
      <c r="G902" s="61" t="s">
        <v>111</v>
      </c>
      <c r="H902" s="61">
        <v>238220</v>
      </c>
      <c r="I902" s="129" t="s">
        <v>546</v>
      </c>
      <c r="J902" s="61" t="s">
        <v>129</v>
      </c>
      <c r="K902" s="164" t="s">
        <v>69</v>
      </c>
      <c r="L902" s="61" t="s">
        <v>2246</v>
      </c>
      <c r="M902" s="76">
        <v>150000</v>
      </c>
      <c r="N902" s="76">
        <v>300000</v>
      </c>
      <c r="O902" s="77" t="s">
        <v>79</v>
      </c>
      <c r="P902" s="30" t="s">
        <v>302</v>
      </c>
      <c r="Q902" s="61" t="s">
        <v>294</v>
      </c>
      <c r="R902" s="61" t="s">
        <v>100</v>
      </c>
      <c r="S902" s="68">
        <v>2014</v>
      </c>
      <c r="T902" s="164" t="s">
        <v>2258</v>
      </c>
      <c r="U902" s="164" t="s">
        <v>2259</v>
      </c>
      <c r="V902" s="61" t="s">
        <v>2260</v>
      </c>
      <c r="W902" s="61" t="s">
        <v>2210</v>
      </c>
      <c r="X902" s="78">
        <v>41769</v>
      </c>
      <c r="Y902" s="61"/>
      <c r="Z902" s="61"/>
      <c r="AA902" s="61"/>
      <c r="AB902" s="79"/>
      <c r="AC902" s="79"/>
      <c r="AD902" s="79"/>
      <c r="AE902" s="79"/>
      <c r="AF902" s="79"/>
      <c r="AG902" s="79"/>
      <c r="AH902" s="79"/>
      <c r="AI902" s="79"/>
      <c r="AJ902" s="79"/>
      <c r="AK902" s="79"/>
      <c r="AL902" s="79"/>
      <c r="AM902" s="79"/>
      <c r="AN902" s="79"/>
      <c r="AO902" s="79"/>
      <c r="AP902" s="79"/>
      <c r="AQ902" s="79"/>
      <c r="AR902" s="79"/>
      <c r="AS902" s="79"/>
      <c r="AT902" s="79"/>
      <c r="AU902" s="79"/>
      <c r="AV902" s="79"/>
      <c r="AW902" s="79"/>
      <c r="AX902" s="79"/>
      <c r="AY902" s="79"/>
      <c r="AZ902" s="79"/>
      <c r="BA902" s="79"/>
      <c r="BB902" s="79"/>
      <c r="BC902" s="79"/>
      <c r="BD902" s="79"/>
      <c r="BE902" s="79"/>
      <c r="BF902" s="79"/>
      <c r="BG902" s="79"/>
      <c r="BH902" s="79"/>
      <c r="BI902" s="79"/>
      <c r="BJ902" s="79"/>
      <c r="BK902" s="79"/>
      <c r="BL902" s="79"/>
      <c r="BM902" s="79"/>
      <c r="BN902" s="79"/>
      <c r="BO902" s="79"/>
      <c r="BP902" s="79"/>
      <c r="BQ902" s="79"/>
      <c r="BR902" s="79"/>
      <c r="BS902" s="79"/>
      <c r="BT902" s="79"/>
      <c r="BU902" s="79"/>
      <c r="BV902" s="79"/>
      <c r="BW902" s="79"/>
      <c r="BX902" s="79"/>
      <c r="BY902" s="79"/>
      <c r="BZ902" s="79"/>
      <c r="CA902" s="79"/>
      <c r="CB902" s="79"/>
      <c r="CC902" s="79"/>
    </row>
    <row r="903" spans="1:81" s="29" customFormat="1" ht="38.25">
      <c r="A903" s="61" t="s">
        <v>142</v>
      </c>
      <c r="B903" s="61" t="s">
        <v>103</v>
      </c>
      <c r="C903" s="61" t="s">
        <v>2212</v>
      </c>
      <c r="D903" s="61" t="s">
        <v>2262</v>
      </c>
      <c r="E903" s="61" t="s">
        <v>345</v>
      </c>
      <c r="F903" s="61" t="s">
        <v>289</v>
      </c>
      <c r="G903" s="61" t="s">
        <v>111</v>
      </c>
      <c r="H903" s="61">
        <v>813990</v>
      </c>
      <c r="I903" s="61" t="s">
        <v>345</v>
      </c>
      <c r="J903" s="61" t="s">
        <v>129</v>
      </c>
      <c r="K903" s="31" t="s">
        <v>91</v>
      </c>
      <c r="L903" s="61" t="s">
        <v>2246</v>
      </c>
      <c r="M903" s="76">
        <v>10000</v>
      </c>
      <c r="N903" s="76">
        <v>15000</v>
      </c>
      <c r="O903" s="77" t="s">
        <v>2263</v>
      </c>
      <c r="P903" s="61" t="s">
        <v>301</v>
      </c>
      <c r="Q903" s="61" t="s">
        <v>294</v>
      </c>
      <c r="R903" s="61" t="s">
        <v>150</v>
      </c>
      <c r="S903" s="68">
        <v>2014</v>
      </c>
      <c r="T903" s="164" t="s">
        <v>2264</v>
      </c>
      <c r="U903" s="164" t="s">
        <v>2265</v>
      </c>
      <c r="V903" s="61" t="s">
        <v>2266</v>
      </c>
      <c r="W903" s="61" t="s">
        <v>2210</v>
      </c>
      <c r="X903" s="61" t="s">
        <v>345</v>
      </c>
      <c r="Y903" s="61" t="s">
        <v>345</v>
      </c>
      <c r="Z903" s="61" t="s">
        <v>345</v>
      </c>
      <c r="AA903" s="61" t="s">
        <v>345</v>
      </c>
      <c r="AB903" s="79"/>
      <c r="AC903" s="79"/>
      <c r="AD903" s="79"/>
      <c r="AE903" s="79"/>
      <c r="AF903" s="79"/>
      <c r="AG903" s="79"/>
      <c r="AH903" s="79"/>
      <c r="AI903" s="79"/>
      <c r="AJ903" s="79"/>
      <c r="AK903" s="79"/>
      <c r="AL903" s="79"/>
      <c r="AM903" s="79"/>
      <c r="AN903" s="79"/>
      <c r="AO903" s="79"/>
      <c r="AP903" s="79"/>
      <c r="AQ903" s="79"/>
      <c r="AR903" s="79"/>
      <c r="AS903" s="79"/>
      <c r="AT903" s="79"/>
      <c r="AU903" s="79"/>
      <c r="AV903" s="79"/>
      <c r="AW903" s="79"/>
      <c r="AX903" s="79"/>
      <c r="AY903" s="79"/>
      <c r="AZ903" s="79"/>
      <c r="BA903" s="79"/>
      <c r="BB903" s="79"/>
      <c r="BC903" s="79"/>
      <c r="BD903" s="79"/>
      <c r="BE903" s="79"/>
      <c r="BF903" s="79"/>
      <c r="BG903" s="79"/>
      <c r="BH903" s="79"/>
      <c r="BI903" s="79"/>
      <c r="BJ903" s="79"/>
      <c r="BK903" s="79"/>
      <c r="BL903" s="79"/>
      <c r="BM903" s="79"/>
      <c r="BN903" s="79"/>
      <c r="BO903" s="79"/>
      <c r="BP903" s="79"/>
      <c r="BQ903" s="79"/>
      <c r="BR903" s="79"/>
      <c r="BS903" s="79"/>
      <c r="BT903" s="79"/>
      <c r="BU903" s="79"/>
      <c r="BV903" s="79"/>
      <c r="BW903" s="79"/>
      <c r="BX903" s="79"/>
      <c r="BY903" s="79"/>
      <c r="BZ903" s="79"/>
      <c r="CA903" s="79"/>
      <c r="CB903" s="79"/>
      <c r="CC903" s="79"/>
    </row>
    <row r="904" spans="1:81" s="29" customFormat="1" ht="38.25">
      <c r="A904" s="61" t="s">
        <v>142</v>
      </c>
      <c r="B904" s="61" t="s">
        <v>103</v>
      </c>
      <c r="C904" s="61" t="s">
        <v>2212</v>
      </c>
      <c r="D904" s="61" t="s">
        <v>2267</v>
      </c>
      <c r="E904" s="61" t="s">
        <v>164</v>
      </c>
      <c r="F904" s="61" t="s">
        <v>289</v>
      </c>
      <c r="G904" s="61" t="s">
        <v>111</v>
      </c>
      <c r="H904" s="61">
        <v>238220</v>
      </c>
      <c r="I904" s="61"/>
      <c r="J904" s="61" t="s">
        <v>129</v>
      </c>
      <c r="K904" s="31" t="s">
        <v>91</v>
      </c>
      <c r="L904" s="61"/>
      <c r="M904" s="76">
        <v>1500000</v>
      </c>
      <c r="N904" s="76">
        <v>1500000</v>
      </c>
      <c r="O904" s="77" t="s">
        <v>79</v>
      </c>
      <c r="P904" s="30" t="s">
        <v>302</v>
      </c>
      <c r="Q904" s="61" t="s">
        <v>294</v>
      </c>
      <c r="R904" s="61" t="s">
        <v>345</v>
      </c>
      <c r="S904" s="68">
        <v>2014</v>
      </c>
      <c r="T904" s="164" t="s">
        <v>2232</v>
      </c>
      <c r="U904" s="164" t="s">
        <v>2233</v>
      </c>
      <c r="V904" s="61" t="s">
        <v>2234</v>
      </c>
      <c r="W904" s="61" t="s">
        <v>2210</v>
      </c>
      <c r="X904" s="61" t="s">
        <v>345</v>
      </c>
      <c r="Y904" s="61" t="s">
        <v>345</v>
      </c>
      <c r="Z904" s="61" t="s">
        <v>345</v>
      </c>
      <c r="AA904" s="61"/>
      <c r="AB904" s="79"/>
      <c r="AC904" s="79"/>
      <c r="AD904" s="79"/>
      <c r="AE904" s="79"/>
      <c r="AF904" s="79"/>
      <c r="AG904" s="79"/>
      <c r="AH904" s="79"/>
      <c r="AI904" s="79"/>
      <c r="AJ904" s="79"/>
      <c r="AK904" s="79"/>
      <c r="AL904" s="79"/>
      <c r="AM904" s="79"/>
      <c r="AN904" s="79"/>
      <c r="AO904" s="79"/>
      <c r="AP904" s="79"/>
      <c r="AQ904" s="79"/>
      <c r="AR904" s="79"/>
      <c r="AS904" s="79"/>
      <c r="AT904" s="79"/>
      <c r="AU904" s="79"/>
      <c r="AV904" s="79"/>
      <c r="AW904" s="79"/>
      <c r="AX904" s="79"/>
      <c r="AY904" s="79"/>
      <c r="AZ904" s="79"/>
      <c r="BA904" s="79"/>
      <c r="BB904" s="79"/>
      <c r="BC904" s="79"/>
      <c r="BD904" s="79"/>
      <c r="BE904" s="79"/>
      <c r="BF904" s="79"/>
      <c r="BG904" s="79"/>
      <c r="BH904" s="79"/>
      <c r="BI904" s="79"/>
      <c r="BJ904" s="79"/>
      <c r="BK904" s="79"/>
      <c r="BL904" s="79"/>
      <c r="BM904" s="79"/>
      <c r="BN904" s="79"/>
      <c r="BO904" s="79"/>
      <c r="BP904" s="79"/>
      <c r="BQ904" s="79"/>
      <c r="BR904" s="79"/>
      <c r="BS904" s="79"/>
      <c r="BT904" s="79"/>
      <c r="BU904" s="79"/>
      <c r="BV904" s="79"/>
      <c r="BW904" s="79"/>
      <c r="BX904" s="79"/>
      <c r="BY904" s="79"/>
      <c r="BZ904" s="79"/>
      <c r="CA904" s="79"/>
      <c r="CB904" s="79"/>
      <c r="CC904" s="79"/>
    </row>
    <row r="905" spans="1:81" s="29" customFormat="1" ht="38.25">
      <c r="A905" s="61" t="s">
        <v>142</v>
      </c>
      <c r="B905" s="61" t="s">
        <v>103</v>
      </c>
      <c r="C905" s="61" t="s">
        <v>2212</v>
      </c>
      <c r="D905" s="61" t="s">
        <v>2268</v>
      </c>
      <c r="E905" s="61" t="s">
        <v>164</v>
      </c>
      <c r="F905" s="61" t="s">
        <v>289</v>
      </c>
      <c r="G905" s="61" t="s">
        <v>111</v>
      </c>
      <c r="H905" s="61">
        <v>236220</v>
      </c>
      <c r="I905" s="61"/>
      <c r="J905" s="61" t="s">
        <v>129</v>
      </c>
      <c r="K905" s="31" t="s">
        <v>91</v>
      </c>
      <c r="L905" s="61"/>
      <c r="M905" s="76">
        <v>300000</v>
      </c>
      <c r="N905" s="76">
        <v>300000</v>
      </c>
      <c r="O905" s="77" t="s">
        <v>79</v>
      </c>
      <c r="P905" s="30" t="s">
        <v>302</v>
      </c>
      <c r="Q905" s="61" t="s">
        <v>294</v>
      </c>
      <c r="R905" s="61" t="s">
        <v>345</v>
      </c>
      <c r="S905" s="68">
        <v>2014</v>
      </c>
      <c r="T905" s="164" t="s">
        <v>2232</v>
      </c>
      <c r="U905" s="164" t="s">
        <v>2233</v>
      </c>
      <c r="V905" s="61" t="s">
        <v>2234</v>
      </c>
      <c r="W905" s="61" t="s">
        <v>2210</v>
      </c>
      <c r="X905" s="61" t="s">
        <v>345</v>
      </c>
      <c r="Y905" s="61" t="s">
        <v>345</v>
      </c>
      <c r="Z905" s="61" t="s">
        <v>345</v>
      </c>
      <c r="AA905" s="61"/>
      <c r="AB905" s="79"/>
      <c r="AC905" s="79"/>
      <c r="AD905" s="79"/>
      <c r="AE905" s="79"/>
      <c r="AF905" s="79"/>
      <c r="AG905" s="79"/>
      <c r="AH905" s="79"/>
      <c r="AI905" s="79"/>
      <c r="AJ905" s="79"/>
      <c r="AK905" s="79"/>
      <c r="AL905" s="79"/>
      <c r="AM905" s="79"/>
      <c r="AN905" s="79"/>
      <c r="AO905" s="79"/>
      <c r="AP905" s="79"/>
      <c r="AQ905" s="79"/>
      <c r="AR905" s="79"/>
      <c r="AS905" s="79"/>
      <c r="AT905" s="79"/>
      <c r="AU905" s="79"/>
      <c r="AV905" s="79"/>
      <c r="AW905" s="79"/>
      <c r="AX905" s="79"/>
      <c r="AY905" s="79"/>
      <c r="AZ905" s="79"/>
      <c r="BA905" s="79"/>
      <c r="BB905" s="79"/>
      <c r="BC905" s="79"/>
      <c r="BD905" s="79"/>
      <c r="BE905" s="79"/>
      <c r="BF905" s="79"/>
      <c r="BG905" s="79"/>
      <c r="BH905" s="79"/>
      <c r="BI905" s="79"/>
      <c r="BJ905" s="79"/>
      <c r="BK905" s="79"/>
      <c r="BL905" s="79"/>
      <c r="BM905" s="79"/>
      <c r="BN905" s="79"/>
      <c r="BO905" s="79"/>
      <c r="BP905" s="79"/>
      <c r="BQ905" s="79"/>
      <c r="BR905" s="79"/>
      <c r="BS905" s="79"/>
      <c r="BT905" s="79"/>
      <c r="BU905" s="79"/>
      <c r="BV905" s="79"/>
      <c r="BW905" s="79"/>
      <c r="BX905" s="79"/>
      <c r="BY905" s="79"/>
      <c r="BZ905" s="79"/>
      <c r="CA905" s="79"/>
      <c r="CB905" s="79"/>
      <c r="CC905" s="79"/>
    </row>
    <row r="906" spans="1:81" s="29" customFormat="1" ht="38.25">
      <c r="A906" s="30" t="s">
        <v>142</v>
      </c>
      <c r="B906" s="30" t="s">
        <v>103</v>
      </c>
      <c r="C906" s="30" t="s">
        <v>2212</v>
      </c>
      <c r="D906" s="30" t="s">
        <v>2269</v>
      </c>
      <c r="E906" s="30" t="s">
        <v>164</v>
      </c>
      <c r="F906" s="30" t="s">
        <v>289</v>
      </c>
      <c r="G906" s="30" t="s">
        <v>111</v>
      </c>
      <c r="H906" s="30">
        <v>236220</v>
      </c>
      <c r="I906" s="30"/>
      <c r="J906" s="30" t="s">
        <v>129</v>
      </c>
      <c r="K906" s="31" t="s">
        <v>91</v>
      </c>
      <c r="L906" s="61"/>
      <c r="M906" s="39">
        <v>200000</v>
      </c>
      <c r="N906" s="39">
        <v>200000</v>
      </c>
      <c r="O906" s="30" t="s">
        <v>79</v>
      </c>
      <c r="P906" s="30" t="s">
        <v>302</v>
      </c>
      <c r="Q906" s="30" t="s">
        <v>294</v>
      </c>
      <c r="R906" s="30" t="s">
        <v>345</v>
      </c>
      <c r="S906" s="41">
        <v>2014</v>
      </c>
      <c r="T906" s="31" t="s">
        <v>2232</v>
      </c>
      <c r="U906" s="31" t="s">
        <v>2233</v>
      </c>
      <c r="V906" s="30" t="s">
        <v>2234</v>
      </c>
      <c r="W906" s="30" t="s">
        <v>2210</v>
      </c>
      <c r="X906" s="30" t="s">
        <v>345</v>
      </c>
      <c r="Y906" s="30" t="s">
        <v>345</v>
      </c>
      <c r="Z906" s="30" t="s">
        <v>345</v>
      </c>
      <c r="AA906" s="30"/>
    </row>
    <row r="907" spans="1:81" s="29" customFormat="1" ht="38.25">
      <c r="A907" s="30" t="s">
        <v>142</v>
      </c>
      <c r="B907" s="30" t="s">
        <v>103</v>
      </c>
      <c r="C907" s="30" t="s">
        <v>2212</v>
      </c>
      <c r="D907" s="30" t="s">
        <v>2270</v>
      </c>
      <c r="E907" s="61" t="s">
        <v>164</v>
      </c>
      <c r="F907" s="30" t="s">
        <v>289</v>
      </c>
      <c r="G907" s="30" t="s">
        <v>111</v>
      </c>
      <c r="H907" s="30">
        <v>236220</v>
      </c>
      <c r="I907" s="30"/>
      <c r="J907" s="30" t="s">
        <v>129</v>
      </c>
      <c r="K907" s="31" t="s">
        <v>91</v>
      </c>
      <c r="L907" s="30"/>
      <c r="M907" s="39">
        <v>12000</v>
      </c>
      <c r="N907" s="39">
        <v>12000</v>
      </c>
      <c r="O907" s="30" t="s">
        <v>79</v>
      </c>
      <c r="P907" s="30" t="s">
        <v>302</v>
      </c>
      <c r="Q907" s="30" t="s">
        <v>294</v>
      </c>
      <c r="R907" s="30" t="s">
        <v>345</v>
      </c>
      <c r="S907" s="41">
        <v>2014</v>
      </c>
      <c r="T907" s="31" t="s">
        <v>2232</v>
      </c>
      <c r="U907" s="31" t="s">
        <v>2233</v>
      </c>
      <c r="V907" s="30" t="s">
        <v>2234</v>
      </c>
      <c r="W907" s="30" t="s">
        <v>2210</v>
      </c>
      <c r="X907" s="30" t="s">
        <v>345</v>
      </c>
      <c r="Y907" s="30" t="s">
        <v>345</v>
      </c>
      <c r="Z907" s="30" t="s">
        <v>345</v>
      </c>
      <c r="AA907" s="30"/>
    </row>
    <row r="908" spans="1:81" s="29" customFormat="1" ht="38.25">
      <c r="A908" s="30" t="s">
        <v>142</v>
      </c>
      <c r="B908" s="30" t="s">
        <v>103</v>
      </c>
      <c r="C908" s="30" t="s">
        <v>2212</v>
      </c>
      <c r="D908" s="30" t="s">
        <v>2271</v>
      </c>
      <c r="E908" s="61" t="s">
        <v>164</v>
      </c>
      <c r="F908" s="30" t="s">
        <v>289</v>
      </c>
      <c r="G908" s="30" t="s">
        <v>111</v>
      </c>
      <c r="H908" s="30">
        <v>238220</v>
      </c>
      <c r="I908" s="30"/>
      <c r="J908" s="30" t="s">
        <v>129</v>
      </c>
      <c r="K908" s="31" t="s">
        <v>91</v>
      </c>
      <c r="L908" s="30"/>
      <c r="M908" s="39">
        <v>70000</v>
      </c>
      <c r="N908" s="39">
        <v>70000</v>
      </c>
      <c r="O908" s="30" t="s">
        <v>79</v>
      </c>
      <c r="P908" s="30" t="s">
        <v>302</v>
      </c>
      <c r="Q908" s="30" t="s">
        <v>294</v>
      </c>
      <c r="R908" s="30" t="s">
        <v>345</v>
      </c>
      <c r="S908" s="41">
        <v>2014</v>
      </c>
      <c r="T908" s="31" t="s">
        <v>2232</v>
      </c>
      <c r="U908" s="31" t="s">
        <v>2233</v>
      </c>
      <c r="V908" s="30" t="s">
        <v>2234</v>
      </c>
      <c r="W908" s="30" t="s">
        <v>2210</v>
      </c>
      <c r="X908" s="30" t="s">
        <v>345</v>
      </c>
      <c r="Y908" s="30" t="s">
        <v>345</v>
      </c>
      <c r="Z908" s="30" t="s">
        <v>345</v>
      </c>
      <c r="AA908" s="30"/>
    </row>
    <row r="909" spans="1:81" s="29" customFormat="1" ht="38.25">
      <c r="A909" s="30" t="s">
        <v>142</v>
      </c>
      <c r="B909" s="30" t="s">
        <v>103</v>
      </c>
      <c r="C909" s="30" t="s">
        <v>2212</v>
      </c>
      <c r="D909" s="30" t="s">
        <v>2272</v>
      </c>
      <c r="E909" s="61" t="s">
        <v>88</v>
      </c>
      <c r="F909" s="30" t="s">
        <v>289</v>
      </c>
      <c r="G909" s="30" t="s">
        <v>111</v>
      </c>
      <c r="H909" s="30">
        <v>238220</v>
      </c>
      <c r="I909" s="30"/>
      <c r="J909" s="30" t="s">
        <v>129</v>
      </c>
      <c r="K909" s="31" t="s">
        <v>91</v>
      </c>
      <c r="L909" s="30"/>
      <c r="M909" s="39">
        <v>50000</v>
      </c>
      <c r="N909" s="39">
        <v>50000</v>
      </c>
      <c r="O909" s="30" t="s">
        <v>79</v>
      </c>
      <c r="P909" s="30" t="s">
        <v>302</v>
      </c>
      <c r="Q909" s="30" t="s">
        <v>294</v>
      </c>
      <c r="R909" s="30" t="s">
        <v>345</v>
      </c>
      <c r="S909" s="41">
        <v>2014</v>
      </c>
      <c r="T909" s="31" t="s">
        <v>2232</v>
      </c>
      <c r="U909" s="31" t="s">
        <v>2233</v>
      </c>
      <c r="V909" s="30" t="s">
        <v>2234</v>
      </c>
      <c r="W909" s="30" t="s">
        <v>2210</v>
      </c>
      <c r="X909" s="30" t="s">
        <v>345</v>
      </c>
      <c r="Y909" s="30" t="s">
        <v>345</v>
      </c>
      <c r="Z909" s="30" t="s">
        <v>345</v>
      </c>
      <c r="AA909" s="30"/>
    </row>
    <row r="910" spans="1:81" s="29" customFormat="1" ht="38.25">
      <c r="A910" s="30" t="s">
        <v>142</v>
      </c>
      <c r="B910" s="30" t="s">
        <v>103</v>
      </c>
      <c r="C910" s="30" t="s">
        <v>2212</v>
      </c>
      <c r="D910" s="30" t="s">
        <v>2273</v>
      </c>
      <c r="E910" s="61" t="s">
        <v>88</v>
      </c>
      <c r="F910" s="30" t="s">
        <v>289</v>
      </c>
      <c r="G910" s="30" t="s">
        <v>111</v>
      </c>
      <c r="H910" s="30">
        <v>238220</v>
      </c>
      <c r="I910" s="30"/>
      <c r="J910" s="30" t="s">
        <v>129</v>
      </c>
      <c r="K910" s="31" t="s">
        <v>91</v>
      </c>
      <c r="L910" s="30"/>
      <c r="M910" s="39">
        <v>15000</v>
      </c>
      <c r="N910" s="39">
        <v>15000</v>
      </c>
      <c r="O910" s="30" t="s">
        <v>149</v>
      </c>
      <c r="P910" s="30" t="s">
        <v>302</v>
      </c>
      <c r="Q910" s="30" t="s">
        <v>294</v>
      </c>
      <c r="R910" s="30" t="s">
        <v>345</v>
      </c>
      <c r="S910" s="41">
        <v>2014</v>
      </c>
      <c r="T910" s="31" t="s">
        <v>2232</v>
      </c>
      <c r="U910" s="31" t="s">
        <v>2233</v>
      </c>
      <c r="V910" s="30" t="s">
        <v>2234</v>
      </c>
      <c r="W910" s="30" t="s">
        <v>2210</v>
      </c>
      <c r="X910" s="30" t="s">
        <v>345</v>
      </c>
      <c r="Y910" s="30" t="s">
        <v>345</v>
      </c>
      <c r="Z910" s="30" t="s">
        <v>345</v>
      </c>
      <c r="AA910" s="30"/>
    </row>
    <row r="911" spans="1:81" s="29" customFormat="1" ht="38.25">
      <c r="A911" s="30" t="s">
        <v>142</v>
      </c>
      <c r="B911" s="30" t="s">
        <v>103</v>
      </c>
      <c r="C911" s="30" t="s">
        <v>2212</v>
      </c>
      <c r="D911" s="30" t="s">
        <v>2274</v>
      </c>
      <c r="E911" s="61" t="s">
        <v>164</v>
      </c>
      <c r="F911" s="30" t="s">
        <v>289</v>
      </c>
      <c r="G911" s="30" t="s">
        <v>111</v>
      </c>
      <c r="H911" s="30">
        <v>238210</v>
      </c>
      <c r="I911" s="30"/>
      <c r="J911" s="30" t="s">
        <v>129</v>
      </c>
      <c r="K911" s="31" t="s">
        <v>91</v>
      </c>
      <c r="L911" s="30"/>
      <c r="M911" s="39">
        <v>75000</v>
      </c>
      <c r="N911" s="39">
        <v>75000</v>
      </c>
      <c r="O911" s="30" t="s">
        <v>79</v>
      </c>
      <c r="P911" s="30" t="s">
        <v>302</v>
      </c>
      <c r="Q911" s="30" t="s">
        <v>294</v>
      </c>
      <c r="R911" s="30" t="s">
        <v>345</v>
      </c>
      <c r="S911" s="41">
        <v>2014</v>
      </c>
      <c r="T911" s="31" t="s">
        <v>2232</v>
      </c>
      <c r="U911" s="31" t="s">
        <v>2233</v>
      </c>
      <c r="V911" s="30" t="s">
        <v>2234</v>
      </c>
      <c r="W911" s="30" t="s">
        <v>2210</v>
      </c>
      <c r="X911" s="30" t="s">
        <v>345</v>
      </c>
      <c r="Y911" s="30" t="s">
        <v>345</v>
      </c>
      <c r="Z911" s="30" t="s">
        <v>345</v>
      </c>
      <c r="AA911" s="30"/>
    </row>
    <row r="912" spans="1:81" s="29" customFormat="1" ht="38.25">
      <c r="A912" s="30" t="s">
        <v>142</v>
      </c>
      <c r="B912" s="30" t="s">
        <v>103</v>
      </c>
      <c r="C912" s="30" t="s">
        <v>2212</v>
      </c>
      <c r="D912" s="30" t="s">
        <v>2275</v>
      </c>
      <c r="E912" s="61" t="s">
        <v>164</v>
      </c>
      <c r="F912" s="30" t="s">
        <v>289</v>
      </c>
      <c r="G912" s="30" t="s">
        <v>111</v>
      </c>
      <c r="H912" s="30">
        <v>238140</v>
      </c>
      <c r="I912" s="30"/>
      <c r="J912" s="30" t="s">
        <v>129</v>
      </c>
      <c r="K912" s="31" t="s">
        <v>91</v>
      </c>
      <c r="L912" s="30"/>
      <c r="M912" s="39">
        <v>700000</v>
      </c>
      <c r="N912" s="39">
        <v>700000</v>
      </c>
      <c r="O912" s="30" t="s">
        <v>79</v>
      </c>
      <c r="P912" s="30" t="s">
        <v>302</v>
      </c>
      <c r="Q912" s="30" t="s">
        <v>294</v>
      </c>
      <c r="R912" s="30" t="s">
        <v>345</v>
      </c>
      <c r="S912" s="41">
        <v>2014</v>
      </c>
      <c r="T912" s="31" t="s">
        <v>2232</v>
      </c>
      <c r="U912" s="31" t="s">
        <v>2233</v>
      </c>
      <c r="V912" s="30" t="s">
        <v>2234</v>
      </c>
      <c r="W912" s="30" t="s">
        <v>2210</v>
      </c>
      <c r="X912" s="30" t="s">
        <v>345</v>
      </c>
      <c r="Y912" s="30" t="s">
        <v>345</v>
      </c>
      <c r="Z912" s="30" t="s">
        <v>345</v>
      </c>
      <c r="AA912" s="30"/>
    </row>
    <row r="913" spans="1:27" s="29" customFormat="1" ht="38.25">
      <c r="A913" s="30" t="s">
        <v>142</v>
      </c>
      <c r="B913" s="30" t="s">
        <v>103</v>
      </c>
      <c r="C913" s="30" t="s">
        <v>2212</v>
      </c>
      <c r="D913" s="30" t="s">
        <v>2276</v>
      </c>
      <c r="E913" s="61" t="s">
        <v>88</v>
      </c>
      <c r="F913" s="30" t="s">
        <v>289</v>
      </c>
      <c r="G913" s="30" t="s">
        <v>111</v>
      </c>
      <c r="H913" s="30">
        <v>238210</v>
      </c>
      <c r="I913" s="30"/>
      <c r="J913" s="30" t="s">
        <v>129</v>
      </c>
      <c r="K913" s="31" t="s">
        <v>91</v>
      </c>
      <c r="L913" s="30"/>
      <c r="M913" s="39">
        <v>750000</v>
      </c>
      <c r="N913" s="39">
        <v>750000</v>
      </c>
      <c r="O913" s="30" t="s">
        <v>79</v>
      </c>
      <c r="P913" s="30" t="s">
        <v>302</v>
      </c>
      <c r="Q913" s="30" t="s">
        <v>294</v>
      </c>
      <c r="R913" s="30" t="s">
        <v>345</v>
      </c>
      <c r="S913" s="41">
        <v>2014</v>
      </c>
      <c r="T913" s="31" t="s">
        <v>2232</v>
      </c>
      <c r="U913" s="31" t="s">
        <v>2233</v>
      </c>
      <c r="V913" s="30" t="s">
        <v>2234</v>
      </c>
      <c r="W913" s="30" t="s">
        <v>2210</v>
      </c>
      <c r="X913" s="30" t="s">
        <v>345</v>
      </c>
      <c r="Y913" s="30" t="s">
        <v>345</v>
      </c>
      <c r="Z913" s="30" t="s">
        <v>345</v>
      </c>
      <c r="AA913" s="30"/>
    </row>
    <row r="914" spans="1:27" s="29" customFormat="1" ht="38.25">
      <c r="A914" s="30" t="s">
        <v>142</v>
      </c>
      <c r="B914" s="30" t="s">
        <v>103</v>
      </c>
      <c r="C914" s="30" t="s">
        <v>2212</v>
      </c>
      <c r="D914" s="30" t="s">
        <v>2277</v>
      </c>
      <c r="E914" s="61" t="s">
        <v>88</v>
      </c>
      <c r="F914" s="30" t="s">
        <v>289</v>
      </c>
      <c r="G914" s="30" t="s">
        <v>111</v>
      </c>
      <c r="H914" s="30">
        <v>238220</v>
      </c>
      <c r="I914" s="30"/>
      <c r="J914" s="30" t="s">
        <v>129</v>
      </c>
      <c r="K914" s="31" t="s">
        <v>91</v>
      </c>
      <c r="L914" s="30"/>
      <c r="M914" s="39">
        <v>51000</v>
      </c>
      <c r="N914" s="39">
        <v>51000</v>
      </c>
      <c r="O914" s="30" t="s">
        <v>79</v>
      </c>
      <c r="P914" s="30" t="s">
        <v>302</v>
      </c>
      <c r="Q914" s="30" t="s">
        <v>294</v>
      </c>
      <c r="R914" s="30" t="s">
        <v>345</v>
      </c>
      <c r="S914" s="41">
        <v>2014</v>
      </c>
      <c r="T914" s="31" t="s">
        <v>2232</v>
      </c>
      <c r="U914" s="31" t="s">
        <v>2233</v>
      </c>
      <c r="V914" s="30" t="s">
        <v>2234</v>
      </c>
      <c r="W914" s="30" t="s">
        <v>2210</v>
      </c>
      <c r="X914" s="30" t="s">
        <v>345</v>
      </c>
      <c r="Y914" s="30" t="s">
        <v>345</v>
      </c>
      <c r="Z914" s="30" t="s">
        <v>345</v>
      </c>
      <c r="AA914" s="30"/>
    </row>
    <row r="915" spans="1:27" s="29" customFormat="1" ht="38.25">
      <c r="A915" s="30" t="s">
        <v>142</v>
      </c>
      <c r="B915" s="30" t="s">
        <v>103</v>
      </c>
      <c r="C915" s="30" t="s">
        <v>2212</v>
      </c>
      <c r="D915" s="30" t="s">
        <v>2278</v>
      </c>
      <c r="E915" s="61" t="s">
        <v>164</v>
      </c>
      <c r="F915" s="30" t="s">
        <v>289</v>
      </c>
      <c r="G915" s="30" t="s">
        <v>111</v>
      </c>
      <c r="H915" s="30">
        <v>238210</v>
      </c>
      <c r="I915" s="30"/>
      <c r="J915" s="30" t="s">
        <v>129</v>
      </c>
      <c r="K915" s="31" t="s">
        <v>91</v>
      </c>
      <c r="L915" s="30"/>
      <c r="M915" s="39">
        <v>50000</v>
      </c>
      <c r="N915" s="39">
        <v>50000</v>
      </c>
      <c r="O915" s="30" t="s">
        <v>79</v>
      </c>
      <c r="P915" s="30" t="s">
        <v>302</v>
      </c>
      <c r="Q915" s="30" t="s">
        <v>294</v>
      </c>
      <c r="R915" s="30" t="s">
        <v>345</v>
      </c>
      <c r="S915" s="41">
        <v>2014</v>
      </c>
      <c r="T915" s="31" t="s">
        <v>2232</v>
      </c>
      <c r="U915" s="31" t="s">
        <v>2233</v>
      </c>
      <c r="V915" s="30" t="s">
        <v>2234</v>
      </c>
      <c r="W915" s="30" t="s">
        <v>2210</v>
      </c>
      <c r="X915" s="30" t="s">
        <v>345</v>
      </c>
      <c r="Y915" s="30" t="s">
        <v>345</v>
      </c>
      <c r="Z915" s="30" t="s">
        <v>345</v>
      </c>
      <c r="AA915" s="30"/>
    </row>
    <row r="916" spans="1:27" s="29" customFormat="1" ht="38.25">
      <c r="A916" s="30" t="s">
        <v>142</v>
      </c>
      <c r="B916" s="30" t="s">
        <v>103</v>
      </c>
      <c r="C916" s="30" t="s">
        <v>2212</v>
      </c>
      <c r="D916" s="30" t="s">
        <v>2279</v>
      </c>
      <c r="E916" s="61" t="s">
        <v>88</v>
      </c>
      <c r="F916" s="30" t="s">
        <v>289</v>
      </c>
      <c r="G916" s="30" t="s">
        <v>111</v>
      </c>
      <c r="H916" s="30">
        <v>238220</v>
      </c>
      <c r="I916" s="30"/>
      <c r="J916" s="30" t="s">
        <v>129</v>
      </c>
      <c r="K916" s="31" t="s">
        <v>91</v>
      </c>
      <c r="L916" s="30"/>
      <c r="M916" s="39">
        <v>25000</v>
      </c>
      <c r="N916" s="39">
        <v>25000</v>
      </c>
      <c r="O916" s="30" t="s">
        <v>79</v>
      </c>
      <c r="P916" s="30" t="s">
        <v>302</v>
      </c>
      <c r="Q916" s="30" t="s">
        <v>294</v>
      </c>
      <c r="R916" s="30" t="s">
        <v>345</v>
      </c>
      <c r="S916" s="41">
        <v>2014</v>
      </c>
      <c r="T916" s="31" t="s">
        <v>2232</v>
      </c>
      <c r="U916" s="31" t="s">
        <v>2233</v>
      </c>
      <c r="V916" s="30" t="s">
        <v>2234</v>
      </c>
      <c r="W916" s="30" t="s">
        <v>2210</v>
      </c>
      <c r="X916" s="30" t="s">
        <v>345</v>
      </c>
      <c r="Y916" s="30" t="s">
        <v>345</v>
      </c>
      <c r="Z916" s="30" t="s">
        <v>345</v>
      </c>
      <c r="AA916" s="30"/>
    </row>
    <row r="917" spans="1:27" s="29" customFormat="1" ht="38.25">
      <c r="A917" s="30" t="s">
        <v>142</v>
      </c>
      <c r="B917" s="30" t="s">
        <v>103</v>
      </c>
      <c r="C917" s="30" t="s">
        <v>2212</v>
      </c>
      <c r="D917" s="30" t="s">
        <v>2280</v>
      </c>
      <c r="E917" s="61" t="s">
        <v>164</v>
      </c>
      <c r="F917" s="30" t="s">
        <v>289</v>
      </c>
      <c r="G917" s="30" t="s">
        <v>111</v>
      </c>
      <c r="H917" s="30">
        <v>236220</v>
      </c>
      <c r="I917" s="30"/>
      <c r="J917" s="30" t="s">
        <v>129</v>
      </c>
      <c r="K917" s="31" t="s">
        <v>91</v>
      </c>
      <c r="L917" s="30"/>
      <c r="M917" s="39">
        <v>320000</v>
      </c>
      <c r="N917" s="39">
        <v>320000</v>
      </c>
      <c r="O917" s="30" t="s">
        <v>79</v>
      </c>
      <c r="P917" s="30" t="s">
        <v>302</v>
      </c>
      <c r="Q917" s="30" t="s">
        <v>294</v>
      </c>
      <c r="R917" s="30" t="s">
        <v>345</v>
      </c>
      <c r="S917" s="41">
        <v>2014</v>
      </c>
      <c r="T917" s="31" t="s">
        <v>2232</v>
      </c>
      <c r="U917" s="31" t="s">
        <v>2233</v>
      </c>
      <c r="V917" s="30" t="s">
        <v>2234</v>
      </c>
      <c r="W917" s="30" t="s">
        <v>2210</v>
      </c>
      <c r="X917" s="30" t="s">
        <v>345</v>
      </c>
      <c r="Y917" s="30" t="s">
        <v>345</v>
      </c>
      <c r="Z917" s="30" t="s">
        <v>345</v>
      </c>
      <c r="AA917" s="30"/>
    </row>
    <row r="918" spans="1:27" s="29" customFormat="1" ht="38.25">
      <c r="A918" s="30" t="s">
        <v>142</v>
      </c>
      <c r="B918" s="30" t="s">
        <v>103</v>
      </c>
      <c r="C918" s="30" t="s">
        <v>2212</v>
      </c>
      <c r="D918" s="30" t="s">
        <v>2281</v>
      </c>
      <c r="E918" s="61" t="s">
        <v>164</v>
      </c>
      <c r="F918" s="30" t="s">
        <v>289</v>
      </c>
      <c r="G918" s="30" t="s">
        <v>111</v>
      </c>
      <c r="H918" s="30">
        <v>238220</v>
      </c>
      <c r="I918" s="30"/>
      <c r="J918" s="30" t="s">
        <v>129</v>
      </c>
      <c r="K918" s="31" t="s">
        <v>91</v>
      </c>
      <c r="L918" s="30"/>
      <c r="M918" s="39">
        <v>65000</v>
      </c>
      <c r="N918" s="39">
        <v>65000</v>
      </c>
      <c r="O918" s="30" t="s">
        <v>79</v>
      </c>
      <c r="P918" s="30" t="s">
        <v>302</v>
      </c>
      <c r="Q918" s="30" t="s">
        <v>294</v>
      </c>
      <c r="R918" s="30" t="s">
        <v>345</v>
      </c>
      <c r="S918" s="41">
        <v>2014</v>
      </c>
      <c r="T918" s="31" t="s">
        <v>2232</v>
      </c>
      <c r="U918" s="31" t="s">
        <v>2233</v>
      </c>
      <c r="V918" s="30" t="s">
        <v>2234</v>
      </c>
      <c r="W918" s="30" t="s">
        <v>2210</v>
      </c>
      <c r="X918" s="30" t="s">
        <v>345</v>
      </c>
      <c r="Y918" s="30" t="s">
        <v>345</v>
      </c>
      <c r="Z918" s="30" t="s">
        <v>345</v>
      </c>
      <c r="AA918" s="30"/>
    </row>
    <row r="919" spans="1:27" s="29" customFormat="1" ht="38.25">
      <c r="A919" s="30" t="s">
        <v>142</v>
      </c>
      <c r="B919" s="30" t="s">
        <v>103</v>
      </c>
      <c r="C919" s="30" t="s">
        <v>2212</v>
      </c>
      <c r="D919" s="30" t="s">
        <v>2282</v>
      </c>
      <c r="E919" s="61" t="s">
        <v>88</v>
      </c>
      <c r="F919" s="30" t="s">
        <v>289</v>
      </c>
      <c r="G919" s="30" t="s">
        <v>111</v>
      </c>
      <c r="H919" s="30">
        <v>238220</v>
      </c>
      <c r="I919" s="30"/>
      <c r="J919" s="30" t="s">
        <v>129</v>
      </c>
      <c r="K919" s="31" t="s">
        <v>91</v>
      </c>
      <c r="L919" s="30"/>
      <c r="M919" s="39">
        <v>600000</v>
      </c>
      <c r="N919" s="39">
        <v>600000</v>
      </c>
      <c r="O919" s="30" t="s">
        <v>79</v>
      </c>
      <c r="P919" s="30" t="s">
        <v>302</v>
      </c>
      <c r="Q919" s="30" t="s">
        <v>294</v>
      </c>
      <c r="R919" s="30" t="s">
        <v>345</v>
      </c>
      <c r="S919" s="41">
        <v>2014</v>
      </c>
      <c r="T919" s="31" t="s">
        <v>2232</v>
      </c>
      <c r="U919" s="31" t="s">
        <v>2233</v>
      </c>
      <c r="V919" s="30" t="s">
        <v>2234</v>
      </c>
      <c r="W919" s="30" t="s">
        <v>2210</v>
      </c>
      <c r="X919" s="30" t="s">
        <v>345</v>
      </c>
      <c r="Y919" s="30" t="s">
        <v>345</v>
      </c>
      <c r="Z919" s="30" t="s">
        <v>345</v>
      </c>
      <c r="AA919" s="30"/>
    </row>
    <row r="920" spans="1:27" s="29" customFormat="1" ht="38.25">
      <c r="A920" s="30" t="s">
        <v>142</v>
      </c>
      <c r="B920" s="30" t="s">
        <v>103</v>
      </c>
      <c r="C920" s="30" t="s">
        <v>2212</v>
      </c>
      <c r="D920" s="30" t="s">
        <v>2283</v>
      </c>
      <c r="E920" s="61" t="s">
        <v>88</v>
      </c>
      <c r="F920" s="30" t="s">
        <v>289</v>
      </c>
      <c r="G920" s="30" t="s">
        <v>111</v>
      </c>
      <c r="H920" s="30">
        <v>238220</v>
      </c>
      <c r="I920" s="30"/>
      <c r="J920" s="30" t="s">
        <v>129</v>
      </c>
      <c r="K920" s="31" t="s">
        <v>91</v>
      </c>
      <c r="L920" s="30"/>
      <c r="M920" s="39">
        <v>500000</v>
      </c>
      <c r="N920" s="39">
        <v>500000</v>
      </c>
      <c r="O920" s="30" t="s">
        <v>79</v>
      </c>
      <c r="P920" s="30" t="s">
        <v>302</v>
      </c>
      <c r="Q920" s="30" t="s">
        <v>294</v>
      </c>
      <c r="R920" s="30" t="s">
        <v>345</v>
      </c>
      <c r="S920" s="41">
        <v>2014</v>
      </c>
      <c r="T920" s="31" t="s">
        <v>2232</v>
      </c>
      <c r="U920" s="31" t="s">
        <v>2233</v>
      </c>
      <c r="V920" s="30" t="s">
        <v>2234</v>
      </c>
      <c r="W920" s="30" t="s">
        <v>2210</v>
      </c>
      <c r="X920" s="30" t="s">
        <v>345</v>
      </c>
      <c r="Y920" s="30" t="s">
        <v>345</v>
      </c>
      <c r="Z920" s="30" t="s">
        <v>345</v>
      </c>
      <c r="AA920" s="30"/>
    </row>
    <row r="921" spans="1:27" s="29" customFormat="1" ht="38.25">
      <c r="A921" s="30" t="s">
        <v>142</v>
      </c>
      <c r="B921" s="30" t="s">
        <v>103</v>
      </c>
      <c r="C921" s="30" t="s">
        <v>2212</v>
      </c>
      <c r="D921" s="30" t="s">
        <v>2284</v>
      </c>
      <c r="E921" s="61" t="s">
        <v>164</v>
      </c>
      <c r="F921" s="30" t="s">
        <v>289</v>
      </c>
      <c r="G921" s="30" t="s">
        <v>111</v>
      </c>
      <c r="H921" s="30">
        <v>238210</v>
      </c>
      <c r="I921" s="30"/>
      <c r="J921" s="30" t="s">
        <v>129</v>
      </c>
      <c r="K921" s="31" t="s">
        <v>91</v>
      </c>
      <c r="L921" s="30"/>
      <c r="M921" s="39">
        <v>700000</v>
      </c>
      <c r="N921" s="39">
        <v>700000</v>
      </c>
      <c r="O921" s="30" t="s">
        <v>79</v>
      </c>
      <c r="P921" s="30" t="s">
        <v>302</v>
      </c>
      <c r="Q921" s="30" t="s">
        <v>294</v>
      </c>
      <c r="R921" s="30" t="s">
        <v>345</v>
      </c>
      <c r="S921" s="41">
        <v>2014</v>
      </c>
      <c r="T921" s="31" t="s">
        <v>2232</v>
      </c>
      <c r="U921" s="31" t="s">
        <v>2233</v>
      </c>
      <c r="V921" s="30" t="s">
        <v>2234</v>
      </c>
      <c r="W921" s="30" t="s">
        <v>2210</v>
      </c>
      <c r="X921" s="30" t="s">
        <v>345</v>
      </c>
      <c r="Y921" s="30" t="s">
        <v>345</v>
      </c>
      <c r="Z921" s="30" t="s">
        <v>345</v>
      </c>
      <c r="AA921" s="30"/>
    </row>
    <row r="922" spans="1:27" s="29" customFormat="1" ht="38.25">
      <c r="A922" s="30" t="s">
        <v>142</v>
      </c>
      <c r="B922" s="30" t="s">
        <v>103</v>
      </c>
      <c r="C922" s="30" t="s">
        <v>2212</v>
      </c>
      <c r="D922" s="30" t="s">
        <v>2285</v>
      </c>
      <c r="E922" s="61" t="s">
        <v>164</v>
      </c>
      <c r="F922" s="30" t="s">
        <v>289</v>
      </c>
      <c r="G922" s="30" t="s">
        <v>111</v>
      </c>
      <c r="H922" s="30">
        <v>238210</v>
      </c>
      <c r="I922" s="30"/>
      <c r="J922" s="30" t="s">
        <v>129</v>
      </c>
      <c r="K922" s="31" t="s">
        <v>91</v>
      </c>
      <c r="L922" s="30"/>
      <c r="M922" s="39">
        <v>50000</v>
      </c>
      <c r="N922" s="39">
        <v>50000</v>
      </c>
      <c r="O922" s="30" t="s">
        <v>79</v>
      </c>
      <c r="P922" s="30" t="s">
        <v>302</v>
      </c>
      <c r="Q922" s="30" t="s">
        <v>294</v>
      </c>
      <c r="R922" s="30" t="s">
        <v>345</v>
      </c>
      <c r="S922" s="41">
        <v>2014</v>
      </c>
      <c r="T922" s="31" t="s">
        <v>2232</v>
      </c>
      <c r="U922" s="31" t="s">
        <v>2233</v>
      </c>
      <c r="V922" s="30" t="s">
        <v>2234</v>
      </c>
      <c r="W922" s="30" t="s">
        <v>2210</v>
      </c>
      <c r="X922" s="30" t="s">
        <v>345</v>
      </c>
      <c r="Y922" s="30" t="s">
        <v>345</v>
      </c>
      <c r="Z922" s="30" t="s">
        <v>345</v>
      </c>
      <c r="AA922" s="30"/>
    </row>
    <row r="923" spans="1:27" s="29" customFormat="1" ht="38.25">
      <c r="A923" s="30" t="s">
        <v>142</v>
      </c>
      <c r="B923" s="30" t="s">
        <v>103</v>
      </c>
      <c r="C923" s="30" t="s">
        <v>2212</v>
      </c>
      <c r="D923" s="30" t="s">
        <v>2286</v>
      </c>
      <c r="E923" s="61" t="s">
        <v>164</v>
      </c>
      <c r="F923" s="30" t="s">
        <v>289</v>
      </c>
      <c r="G923" s="30" t="s">
        <v>111</v>
      </c>
      <c r="H923" s="30">
        <v>238290</v>
      </c>
      <c r="I923" s="30"/>
      <c r="J923" s="30" t="s">
        <v>129</v>
      </c>
      <c r="K923" s="31" t="s">
        <v>91</v>
      </c>
      <c r="L923" s="30"/>
      <c r="M923" s="39">
        <v>275000</v>
      </c>
      <c r="N923" s="39">
        <v>275000</v>
      </c>
      <c r="O923" s="30" t="s">
        <v>79</v>
      </c>
      <c r="P923" s="30" t="s">
        <v>302</v>
      </c>
      <c r="Q923" s="30" t="s">
        <v>294</v>
      </c>
      <c r="R923" s="30" t="s">
        <v>345</v>
      </c>
      <c r="S923" s="41">
        <v>2014</v>
      </c>
      <c r="T923" s="31" t="s">
        <v>2232</v>
      </c>
      <c r="U923" s="31" t="s">
        <v>2233</v>
      </c>
      <c r="V923" s="30" t="s">
        <v>2234</v>
      </c>
      <c r="W923" s="30" t="s">
        <v>2210</v>
      </c>
      <c r="X923" s="30" t="s">
        <v>345</v>
      </c>
      <c r="Y923" s="30" t="s">
        <v>345</v>
      </c>
      <c r="Z923" s="30" t="s">
        <v>345</v>
      </c>
      <c r="AA923" s="30"/>
    </row>
    <row r="924" spans="1:27" s="29" customFormat="1" ht="34.5" customHeight="1">
      <c r="A924" s="30" t="s">
        <v>71</v>
      </c>
      <c r="B924" s="30" t="s">
        <v>143</v>
      </c>
      <c r="C924" s="30" t="s">
        <v>39</v>
      </c>
      <c r="D924" s="30" t="s">
        <v>1906</v>
      </c>
      <c r="E924" s="61" t="s">
        <v>262</v>
      </c>
      <c r="F924" s="30" t="s">
        <v>1212</v>
      </c>
      <c r="G924" s="30" t="s">
        <v>174</v>
      </c>
      <c r="H924" s="30"/>
      <c r="I924" s="30" t="s">
        <v>98</v>
      </c>
      <c r="J924" s="30" t="s">
        <v>61</v>
      </c>
      <c r="K924" s="31" t="s">
        <v>91</v>
      </c>
      <c r="L924" s="30" t="s">
        <v>345</v>
      </c>
      <c r="M924" s="39">
        <v>50000</v>
      </c>
      <c r="N924" s="39">
        <v>50000</v>
      </c>
      <c r="O924" s="30" t="s">
        <v>79</v>
      </c>
      <c r="P924" s="30" t="s">
        <v>302</v>
      </c>
      <c r="Q924" s="30" t="s">
        <v>294</v>
      </c>
      <c r="R924" s="30" t="s">
        <v>100</v>
      </c>
      <c r="S924" s="41">
        <v>2014</v>
      </c>
      <c r="T924" s="31" t="s">
        <v>345</v>
      </c>
      <c r="U924" s="31" t="s">
        <v>345</v>
      </c>
      <c r="V924" s="30" t="s">
        <v>345</v>
      </c>
      <c r="W924" s="30" t="s">
        <v>101</v>
      </c>
      <c r="X924" s="30"/>
      <c r="Y924" s="30"/>
      <c r="Z924" s="30"/>
      <c r="AA924" s="30" t="s">
        <v>2287</v>
      </c>
    </row>
    <row r="925" spans="1:27" s="29" customFormat="1" ht="34.5" customHeight="1">
      <c r="A925" s="30" t="s">
        <v>71</v>
      </c>
      <c r="B925" s="30" t="s">
        <v>143</v>
      </c>
      <c r="C925" s="30" t="s">
        <v>39</v>
      </c>
      <c r="D925" s="30" t="s">
        <v>1910</v>
      </c>
      <c r="E925" s="61" t="s">
        <v>263</v>
      </c>
      <c r="F925" s="30" t="s">
        <v>1212</v>
      </c>
      <c r="G925" s="30" t="s">
        <v>174</v>
      </c>
      <c r="H925" s="30"/>
      <c r="I925" s="30" t="s">
        <v>98</v>
      </c>
      <c r="J925" s="30" t="s">
        <v>61</v>
      </c>
      <c r="K925" s="31" t="s">
        <v>91</v>
      </c>
      <c r="L925" s="30" t="s">
        <v>345</v>
      </c>
      <c r="M925" s="39">
        <v>250000</v>
      </c>
      <c r="N925" s="39">
        <v>350000</v>
      </c>
      <c r="O925" s="30" t="s">
        <v>79</v>
      </c>
      <c r="P925" s="30" t="s">
        <v>302</v>
      </c>
      <c r="Q925" s="30" t="s">
        <v>294</v>
      </c>
      <c r="R925" s="30" t="s">
        <v>100</v>
      </c>
      <c r="S925" s="41">
        <v>2014</v>
      </c>
      <c r="T925" s="31" t="s">
        <v>345</v>
      </c>
      <c r="U925" s="31" t="s">
        <v>345</v>
      </c>
      <c r="V925" s="30" t="s">
        <v>345</v>
      </c>
      <c r="W925" s="30" t="s">
        <v>101</v>
      </c>
      <c r="X925" s="30"/>
      <c r="Y925" s="30"/>
      <c r="Z925" s="30"/>
      <c r="AA925" s="30" t="s">
        <v>2287</v>
      </c>
    </row>
    <row r="926" spans="1:27" s="29" customFormat="1" ht="34.5" customHeight="1">
      <c r="A926" s="30" t="s">
        <v>71</v>
      </c>
      <c r="B926" s="30" t="s">
        <v>143</v>
      </c>
      <c r="C926" s="30"/>
      <c r="D926" s="30" t="s">
        <v>1910</v>
      </c>
      <c r="E926" s="80" t="s">
        <v>263</v>
      </c>
      <c r="F926" s="30" t="s">
        <v>1212</v>
      </c>
      <c r="G926" s="30" t="s">
        <v>174</v>
      </c>
      <c r="H926" s="30"/>
      <c r="I926" s="30" t="s">
        <v>98</v>
      </c>
      <c r="J926" s="30" t="s">
        <v>61</v>
      </c>
      <c r="K926" s="31" t="s">
        <v>91</v>
      </c>
      <c r="L926" s="30" t="s">
        <v>345</v>
      </c>
      <c r="M926" s="39">
        <v>25000</v>
      </c>
      <c r="N926" s="39">
        <v>25000</v>
      </c>
      <c r="O926" s="30" t="s">
        <v>79</v>
      </c>
      <c r="P926" s="30" t="s">
        <v>302</v>
      </c>
      <c r="Q926" s="30" t="s">
        <v>294</v>
      </c>
      <c r="R926" s="30" t="s">
        <v>100</v>
      </c>
      <c r="S926" s="41">
        <v>2014</v>
      </c>
      <c r="T926" s="31" t="s">
        <v>345</v>
      </c>
      <c r="U926" s="31" t="s">
        <v>345</v>
      </c>
      <c r="V926" s="30" t="s">
        <v>345</v>
      </c>
      <c r="W926" s="30" t="s">
        <v>101</v>
      </c>
      <c r="X926" s="30"/>
      <c r="Y926" s="30"/>
      <c r="Z926" s="30"/>
      <c r="AA926" s="30" t="s">
        <v>2287</v>
      </c>
    </row>
    <row r="927" spans="1:27" s="29" customFormat="1" ht="34.5" customHeight="1">
      <c r="A927" s="35" t="s">
        <v>142</v>
      </c>
      <c r="B927" s="35" t="s">
        <v>64</v>
      </c>
      <c r="C927" s="35" t="s">
        <v>39</v>
      </c>
      <c r="D927" s="35" t="s">
        <v>2288</v>
      </c>
      <c r="E927" s="35" t="s">
        <v>164</v>
      </c>
      <c r="F927" s="35" t="s">
        <v>1231</v>
      </c>
      <c r="G927" s="35" t="s">
        <v>58</v>
      </c>
      <c r="H927" s="35">
        <v>236220</v>
      </c>
      <c r="I927" s="35" t="s">
        <v>98</v>
      </c>
      <c r="J927" s="35" t="s">
        <v>129</v>
      </c>
      <c r="K927" s="161" t="s">
        <v>91</v>
      </c>
      <c r="L927" s="35" t="s">
        <v>345</v>
      </c>
      <c r="M927" s="81">
        <v>450000</v>
      </c>
      <c r="N927" s="81">
        <v>450000</v>
      </c>
      <c r="O927" s="35" t="s">
        <v>387</v>
      </c>
      <c r="P927" s="30" t="s">
        <v>302</v>
      </c>
      <c r="Q927" s="35" t="s">
        <v>294</v>
      </c>
      <c r="R927" s="161" t="s">
        <v>80</v>
      </c>
      <c r="S927" s="82">
        <v>2014</v>
      </c>
      <c r="T927" s="161" t="s">
        <v>345</v>
      </c>
      <c r="U927" s="161" t="s">
        <v>345</v>
      </c>
      <c r="V927" s="35" t="s">
        <v>345</v>
      </c>
      <c r="W927" s="30" t="s">
        <v>114</v>
      </c>
      <c r="X927" s="35" t="s">
        <v>438</v>
      </c>
      <c r="Y927" s="35" t="s">
        <v>334</v>
      </c>
      <c r="Z927" s="35" t="s">
        <v>345</v>
      </c>
      <c r="AA927" s="35" t="s">
        <v>2287</v>
      </c>
    </row>
    <row r="928" spans="1:27" s="29" customFormat="1" ht="34.5" customHeight="1">
      <c r="A928" s="35" t="s">
        <v>142</v>
      </c>
      <c r="B928" s="35" t="s">
        <v>64</v>
      </c>
      <c r="C928" s="35" t="s">
        <v>39</v>
      </c>
      <c r="D928" s="35" t="s">
        <v>2289</v>
      </c>
      <c r="E928" s="61" t="s">
        <v>164</v>
      </c>
      <c r="F928" s="35" t="s">
        <v>1231</v>
      </c>
      <c r="G928" s="35" t="s">
        <v>58</v>
      </c>
      <c r="H928" s="35">
        <v>236220</v>
      </c>
      <c r="I928" s="129" t="s">
        <v>546</v>
      </c>
      <c r="J928" s="35" t="s">
        <v>129</v>
      </c>
      <c r="K928" s="161" t="s">
        <v>91</v>
      </c>
      <c r="L928" s="35" t="s">
        <v>345</v>
      </c>
      <c r="M928" s="81">
        <v>125000</v>
      </c>
      <c r="N928" s="81">
        <v>125000</v>
      </c>
      <c r="O928" s="35" t="s">
        <v>387</v>
      </c>
      <c r="P928" s="30" t="s">
        <v>302</v>
      </c>
      <c r="Q928" s="35" t="s">
        <v>294</v>
      </c>
      <c r="R928" s="161" t="s">
        <v>80</v>
      </c>
      <c r="S928" s="82">
        <v>2014</v>
      </c>
      <c r="T928" s="161" t="s">
        <v>345</v>
      </c>
      <c r="U928" s="161" t="s">
        <v>345</v>
      </c>
      <c r="V928" s="35" t="s">
        <v>345</v>
      </c>
      <c r="W928" s="30" t="s">
        <v>114</v>
      </c>
      <c r="X928" s="35" t="s">
        <v>438</v>
      </c>
      <c r="Y928" s="35" t="s">
        <v>334</v>
      </c>
      <c r="Z928" s="35" t="s">
        <v>345</v>
      </c>
      <c r="AA928" s="35" t="s">
        <v>2287</v>
      </c>
    </row>
    <row r="929" spans="1:272" ht="34.5" customHeight="1">
      <c r="A929" s="35" t="s">
        <v>142</v>
      </c>
      <c r="B929" s="35" t="s">
        <v>64</v>
      </c>
      <c r="C929" s="35" t="s">
        <v>39</v>
      </c>
      <c r="D929" s="35" t="s">
        <v>2290</v>
      </c>
      <c r="E929" s="61" t="s">
        <v>164</v>
      </c>
      <c r="F929" s="35" t="s">
        <v>1231</v>
      </c>
      <c r="G929" s="35" t="s">
        <v>58</v>
      </c>
      <c r="H929" s="35">
        <v>236220</v>
      </c>
      <c r="I929" s="129" t="s">
        <v>546</v>
      </c>
      <c r="J929" s="35" t="s">
        <v>129</v>
      </c>
      <c r="K929" s="161" t="s">
        <v>91</v>
      </c>
      <c r="L929" s="35" t="s">
        <v>345</v>
      </c>
      <c r="M929" s="81">
        <v>115000</v>
      </c>
      <c r="N929" s="81">
        <v>115000</v>
      </c>
      <c r="O929" s="35" t="s">
        <v>387</v>
      </c>
      <c r="P929" s="30" t="s">
        <v>302</v>
      </c>
      <c r="Q929" s="31" t="s">
        <v>294</v>
      </c>
      <c r="R929" s="30" t="s">
        <v>150</v>
      </c>
      <c r="S929" s="82">
        <v>2013</v>
      </c>
      <c r="T929" s="161" t="s">
        <v>345</v>
      </c>
      <c r="U929" s="161" t="s">
        <v>345</v>
      </c>
      <c r="V929" s="35" t="s">
        <v>345</v>
      </c>
      <c r="W929" s="30" t="s">
        <v>114</v>
      </c>
      <c r="X929" s="35" t="s">
        <v>334</v>
      </c>
      <c r="Y929" s="35" t="s">
        <v>334</v>
      </c>
      <c r="Z929" s="35" t="s">
        <v>345</v>
      </c>
      <c r="AA929" s="35" t="s">
        <v>2291</v>
      </c>
      <c r="AE929" s="29"/>
      <c r="AF929" s="29"/>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c r="BC929" s="29"/>
      <c r="BD929" s="29"/>
      <c r="BE929" s="29"/>
      <c r="BF929" s="29"/>
      <c r="BG929" s="29"/>
      <c r="BH929" s="29"/>
      <c r="BI929" s="29"/>
      <c r="BJ929" s="29"/>
      <c r="BK929" s="29"/>
      <c r="BL929" s="29"/>
      <c r="BM929" s="29"/>
      <c r="BN929" s="29"/>
      <c r="BO929" s="29"/>
      <c r="BP929" s="29"/>
      <c r="BQ929" s="29"/>
      <c r="BR929" s="29"/>
      <c r="BS929" s="29"/>
      <c r="BT929" s="29"/>
      <c r="BU929" s="29"/>
      <c r="BV929" s="29"/>
      <c r="BW929" s="29"/>
      <c r="BX929" s="29"/>
      <c r="BY929" s="29"/>
      <c r="BZ929" s="29"/>
      <c r="CA929" s="29"/>
      <c r="CB929" s="29"/>
      <c r="CC929" s="29"/>
      <c r="CD929" s="29"/>
      <c r="CE929" s="29"/>
      <c r="CF929" s="29"/>
      <c r="CG929" s="29"/>
      <c r="CH929" s="29"/>
      <c r="CI929" s="29"/>
      <c r="CJ929" s="29"/>
      <c r="CK929" s="29"/>
      <c r="CL929" s="29"/>
      <c r="CM929" s="29"/>
      <c r="CN929" s="29"/>
      <c r="CO929" s="29"/>
      <c r="CP929" s="29"/>
      <c r="CQ929" s="29"/>
      <c r="CR929" s="29"/>
      <c r="CS929" s="29"/>
      <c r="CT929" s="29"/>
      <c r="CU929" s="29"/>
      <c r="CV929" s="29"/>
      <c r="CW929" s="29"/>
      <c r="CX929" s="29"/>
      <c r="CY929" s="29"/>
      <c r="CZ929" s="29"/>
      <c r="DA929" s="29"/>
      <c r="DB929" s="29"/>
      <c r="DC929" s="29"/>
      <c r="DD929" s="29"/>
      <c r="DE929" s="29"/>
      <c r="DF929" s="29"/>
      <c r="DG929" s="29"/>
      <c r="DH929" s="29"/>
      <c r="DI929" s="29"/>
      <c r="DJ929" s="29"/>
      <c r="DK929" s="29"/>
      <c r="DL929" s="29"/>
      <c r="DM929" s="29"/>
      <c r="DN929" s="29"/>
      <c r="DO929" s="29"/>
      <c r="DP929" s="29"/>
      <c r="DQ929" s="29"/>
      <c r="DR929" s="29"/>
      <c r="DS929" s="29"/>
      <c r="DT929" s="29"/>
      <c r="DU929" s="29"/>
      <c r="DV929" s="29"/>
      <c r="DW929" s="29"/>
      <c r="DX929" s="29"/>
      <c r="DY929" s="29"/>
      <c r="DZ929" s="29"/>
      <c r="EA929" s="29"/>
      <c r="EB929" s="29"/>
      <c r="EC929" s="29"/>
      <c r="ED929" s="29"/>
      <c r="EE929" s="29"/>
      <c r="EF929" s="29"/>
      <c r="EG929" s="29"/>
      <c r="EH929" s="29"/>
      <c r="EI929" s="29"/>
      <c r="EJ929" s="29"/>
      <c r="EK929" s="29"/>
      <c r="EL929" s="29"/>
      <c r="EM929" s="29"/>
      <c r="EN929" s="29"/>
      <c r="EO929" s="29"/>
      <c r="EP929" s="29"/>
      <c r="EQ929" s="29"/>
      <c r="ER929" s="29"/>
      <c r="ES929" s="29"/>
      <c r="ET929" s="29"/>
      <c r="EU929" s="29"/>
      <c r="EV929" s="29"/>
      <c r="EW929" s="29"/>
      <c r="EX929" s="29"/>
      <c r="EY929" s="29"/>
      <c r="EZ929" s="29"/>
      <c r="FA929" s="29"/>
      <c r="FB929" s="29"/>
      <c r="FC929" s="29"/>
      <c r="FD929" s="29"/>
      <c r="FE929" s="29"/>
      <c r="FF929" s="29"/>
      <c r="FG929" s="29"/>
      <c r="FH929" s="29"/>
      <c r="FI929" s="29"/>
      <c r="FJ929" s="29"/>
      <c r="FK929" s="29"/>
      <c r="FL929" s="29"/>
      <c r="FM929" s="29"/>
      <c r="FN929" s="29"/>
      <c r="FO929" s="29"/>
      <c r="FP929" s="29"/>
      <c r="FQ929" s="29"/>
      <c r="FR929" s="29"/>
      <c r="FS929" s="29"/>
      <c r="FT929" s="29"/>
      <c r="FU929" s="29"/>
      <c r="FV929" s="29"/>
      <c r="FW929" s="29"/>
      <c r="FX929" s="29"/>
      <c r="FY929" s="29"/>
      <c r="FZ929" s="29"/>
      <c r="GA929" s="29"/>
      <c r="GB929" s="29"/>
      <c r="GC929" s="29"/>
      <c r="GD929" s="29"/>
      <c r="GE929" s="29"/>
      <c r="GF929" s="29"/>
      <c r="GG929" s="29"/>
      <c r="GH929" s="29"/>
      <c r="GI929" s="29"/>
      <c r="GJ929" s="29"/>
      <c r="GK929" s="29"/>
      <c r="GL929" s="29"/>
      <c r="GM929" s="29"/>
      <c r="GN929" s="29"/>
      <c r="GO929" s="29"/>
      <c r="GP929" s="29"/>
      <c r="GQ929" s="29"/>
      <c r="GR929" s="29"/>
      <c r="GS929" s="29"/>
      <c r="GT929" s="29"/>
      <c r="GU929" s="29"/>
      <c r="GV929" s="29"/>
      <c r="GW929" s="29"/>
      <c r="GX929" s="29"/>
      <c r="GY929" s="29"/>
      <c r="GZ929" s="29"/>
      <c r="HA929" s="29"/>
      <c r="HB929" s="29"/>
      <c r="HC929" s="29"/>
      <c r="HD929" s="29"/>
      <c r="HE929" s="29"/>
      <c r="HF929" s="29"/>
      <c r="HG929" s="29"/>
      <c r="HH929" s="29"/>
      <c r="HI929" s="29"/>
      <c r="HJ929" s="29"/>
      <c r="HK929" s="29"/>
      <c r="HL929" s="29"/>
      <c r="HM929" s="29"/>
      <c r="HN929" s="29"/>
      <c r="HO929" s="29"/>
      <c r="HP929" s="29"/>
      <c r="HQ929" s="29"/>
      <c r="HR929" s="29"/>
      <c r="HS929" s="29"/>
      <c r="HT929" s="29"/>
      <c r="HU929" s="29"/>
      <c r="HV929" s="29"/>
      <c r="HW929" s="29"/>
      <c r="HX929" s="29"/>
      <c r="HY929" s="29"/>
      <c r="HZ929" s="29"/>
      <c r="IA929" s="29"/>
      <c r="IB929" s="29"/>
      <c r="IC929" s="29"/>
      <c r="ID929" s="29"/>
      <c r="IE929" s="29"/>
      <c r="IF929" s="29"/>
      <c r="IG929" s="29"/>
      <c r="IH929" s="29"/>
      <c r="II929" s="29"/>
      <c r="IJ929" s="29"/>
      <c r="IK929" s="29"/>
      <c r="IL929" s="29"/>
      <c r="IM929" s="29"/>
      <c r="IN929" s="29"/>
      <c r="IO929" s="29"/>
      <c r="IP929" s="29"/>
      <c r="IQ929" s="29"/>
      <c r="IR929" s="29"/>
      <c r="IS929" s="29"/>
      <c r="IT929" s="29"/>
      <c r="IU929" s="29"/>
      <c r="IV929" s="29"/>
      <c r="IW929" s="29"/>
      <c r="IX929" s="29"/>
      <c r="IY929" s="29"/>
      <c r="IZ929" s="29"/>
      <c r="JA929" s="29"/>
      <c r="JB929" s="29"/>
      <c r="JC929" s="29"/>
      <c r="JD929" s="29"/>
      <c r="JE929" s="29"/>
      <c r="JF929" s="29"/>
      <c r="JG929" s="29"/>
      <c r="JH929" s="29"/>
      <c r="JI929" s="29"/>
      <c r="JJ929" s="29"/>
      <c r="JK929" s="29"/>
      <c r="JL929" s="29"/>
    </row>
    <row r="930" spans="1:272" ht="34.5" customHeight="1">
      <c r="A930" s="35" t="s">
        <v>142</v>
      </c>
      <c r="B930" s="30" t="s">
        <v>64</v>
      </c>
      <c r="C930" s="30" t="s">
        <v>39</v>
      </c>
      <c r="D930" s="35" t="s">
        <v>2292</v>
      </c>
      <c r="E930" s="61" t="s">
        <v>164</v>
      </c>
      <c r="F930" s="35" t="s">
        <v>1231</v>
      </c>
      <c r="G930" s="35" t="s">
        <v>58</v>
      </c>
      <c r="H930" s="35">
        <v>236220</v>
      </c>
      <c r="I930" s="35" t="s">
        <v>98</v>
      </c>
      <c r="J930" s="35" t="s">
        <v>129</v>
      </c>
      <c r="K930" s="161" t="s">
        <v>91</v>
      </c>
      <c r="L930" s="35" t="s">
        <v>345</v>
      </c>
      <c r="M930" s="81">
        <v>215000</v>
      </c>
      <c r="N930" s="81">
        <v>215000</v>
      </c>
      <c r="O930" s="35" t="s">
        <v>387</v>
      </c>
      <c r="P930" s="30" t="s">
        <v>302</v>
      </c>
      <c r="Q930" s="35" t="s">
        <v>294</v>
      </c>
      <c r="R930" s="35" t="s">
        <v>345</v>
      </c>
      <c r="S930" s="82">
        <v>2014</v>
      </c>
      <c r="T930" s="161" t="s">
        <v>345</v>
      </c>
      <c r="U930" s="161" t="s">
        <v>345</v>
      </c>
      <c r="V930" s="35" t="s">
        <v>345</v>
      </c>
      <c r="W930" s="35" t="s">
        <v>114</v>
      </c>
      <c r="X930" s="35" t="s">
        <v>345</v>
      </c>
      <c r="Y930" s="35" t="s">
        <v>345</v>
      </c>
      <c r="Z930" s="35" t="s">
        <v>345</v>
      </c>
      <c r="AA930" s="35" t="s">
        <v>2287</v>
      </c>
      <c r="AE930" s="29"/>
      <c r="AF930" s="29"/>
      <c r="AG930" s="29"/>
      <c r="AH930" s="29"/>
      <c r="AI930" s="29"/>
      <c r="AJ930" s="29"/>
      <c r="AK930" s="29"/>
      <c r="AL930" s="29"/>
      <c r="AM930" s="29"/>
      <c r="AN930" s="29"/>
      <c r="AO930" s="29"/>
      <c r="AP930" s="29"/>
      <c r="AQ930" s="29"/>
      <c r="AR930" s="29"/>
      <c r="AS930" s="29"/>
      <c r="AT930" s="29"/>
      <c r="AU930" s="29"/>
      <c r="AV930" s="29"/>
      <c r="AW930" s="29"/>
      <c r="AX930" s="29"/>
      <c r="AY930" s="29"/>
      <c r="AZ930" s="29"/>
      <c r="BA930" s="29"/>
      <c r="BB930" s="29"/>
      <c r="BC930" s="29"/>
      <c r="BD930" s="29"/>
      <c r="BE930" s="29"/>
      <c r="BF930" s="29"/>
      <c r="BG930" s="29"/>
      <c r="BH930" s="29"/>
      <c r="BI930" s="29"/>
      <c r="BJ930" s="29"/>
      <c r="BK930" s="29"/>
      <c r="BL930" s="29"/>
      <c r="BM930" s="29"/>
      <c r="BN930" s="29"/>
      <c r="BO930" s="29"/>
      <c r="BP930" s="29"/>
      <c r="BQ930" s="29"/>
      <c r="BR930" s="29"/>
      <c r="BS930" s="29"/>
      <c r="BT930" s="29"/>
      <c r="BU930" s="29"/>
      <c r="BV930" s="29"/>
      <c r="BW930" s="29"/>
      <c r="BX930" s="29"/>
      <c r="BY930" s="29"/>
      <c r="BZ930" s="29"/>
      <c r="CA930" s="29"/>
      <c r="CB930" s="29"/>
      <c r="CC930" s="29"/>
      <c r="CD930" s="29"/>
      <c r="CE930" s="29"/>
      <c r="CF930" s="29"/>
      <c r="CG930" s="29"/>
      <c r="CH930" s="29"/>
      <c r="CI930" s="29"/>
      <c r="CJ930" s="29"/>
      <c r="CK930" s="29"/>
      <c r="CL930" s="29"/>
      <c r="CM930" s="29"/>
      <c r="CN930" s="29"/>
      <c r="CO930" s="29"/>
      <c r="CP930" s="29"/>
      <c r="CQ930" s="29"/>
      <c r="CR930" s="29"/>
      <c r="CS930" s="29"/>
      <c r="CT930" s="29"/>
      <c r="CU930" s="29"/>
      <c r="CV930" s="29"/>
      <c r="CW930" s="29"/>
      <c r="CX930" s="29"/>
      <c r="CY930" s="29"/>
      <c r="CZ930" s="29"/>
      <c r="DA930" s="29"/>
      <c r="DB930" s="29"/>
      <c r="DC930" s="29"/>
      <c r="DD930" s="29"/>
      <c r="DE930" s="29"/>
      <c r="DF930" s="29"/>
      <c r="DG930" s="29"/>
      <c r="DH930" s="29"/>
      <c r="DI930" s="29"/>
      <c r="DJ930" s="29"/>
      <c r="DK930" s="29"/>
      <c r="DL930" s="29"/>
      <c r="DM930" s="29"/>
      <c r="DN930" s="29"/>
      <c r="DO930" s="29"/>
      <c r="DP930" s="29"/>
      <c r="DQ930" s="29"/>
      <c r="DR930" s="29"/>
      <c r="DS930" s="29"/>
      <c r="DT930" s="29"/>
      <c r="DU930" s="29"/>
      <c r="DV930" s="29"/>
      <c r="DW930" s="29"/>
      <c r="DX930" s="29"/>
      <c r="DY930" s="29"/>
      <c r="DZ930" s="29"/>
      <c r="EA930" s="29"/>
      <c r="EB930" s="29"/>
      <c r="EC930" s="29"/>
      <c r="ED930" s="29"/>
      <c r="EE930" s="29"/>
      <c r="EF930" s="29"/>
      <c r="EG930" s="29"/>
      <c r="EH930" s="29"/>
      <c r="EI930" s="29"/>
      <c r="EJ930" s="29"/>
      <c r="EK930" s="29"/>
      <c r="EL930" s="29"/>
      <c r="EM930" s="29"/>
      <c r="EN930" s="29"/>
      <c r="EO930" s="29"/>
      <c r="EP930" s="29"/>
      <c r="EQ930" s="29"/>
      <c r="ER930" s="29"/>
      <c r="ES930" s="29"/>
      <c r="ET930" s="29"/>
      <c r="EU930" s="29"/>
      <c r="EV930" s="29"/>
      <c r="EW930" s="29"/>
      <c r="EX930" s="29"/>
      <c r="EY930" s="29"/>
      <c r="EZ930" s="29"/>
      <c r="FA930" s="29"/>
      <c r="FB930" s="29"/>
      <c r="FC930" s="29"/>
      <c r="FD930" s="29"/>
      <c r="FE930" s="29"/>
      <c r="FF930" s="29"/>
      <c r="FG930" s="29"/>
      <c r="FH930" s="29"/>
      <c r="FI930" s="29"/>
      <c r="FJ930" s="29"/>
      <c r="FK930" s="29"/>
      <c r="FL930" s="29"/>
      <c r="FM930" s="29"/>
      <c r="FN930" s="29"/>
      <c r="FO930" s="29"/>
      <c r="FP930" s="29"/>
      <c r="FQ930" s="29"/>
      <c r="FR930" s="29"/>
      <c r="FS930" s="29"/>
      <c r="FT930" s="29"/>
      <c r="FU930" s="29"/>
      <c r="FV930" s="29"/>
      <c r="FW930" s="29"/>
      <c r="FX930" s="29"/>
      <c r="FY930" s="29"/>
      <c r="FZ930" s="29"/>
      <c r="GA930" s="29"/>
      <c r="GB930" s="29"/>
      <c r="GC930" s="29"/>
      <c r="GD930" s="29"/>
      <c r="GE930" s="29"/>
      <c r="GF930" s="29"/>
      <c r="GG930" s="29"/>
      <c r="GH930" s="29"/>
      <c r="GI930" s="29"/>
      <c r="GJ930" s="29"/>
      <c r="GK930" s="29"/>
      <c r="GL930" s="29"/>
      <c r="GM930" s="29"/>
      <c r="GN930" s="29"/>
      <c r="GO930" s="29"/>
      <c r="GP930" s="29"/>
      <c r="GQ930" s="29"/>
      <c r="GR930" s="29"/>
      <c r="GS930" s="29"/>
      <c r="GT930" s="29"/>
      <c r="GU930" s="29"/>
      <c r="GV930" s="29"/>
      <c r="GW930" s="29"/>
      <c r="GX930" s="29"/>
      <c r="GY930" s="29"/>
      <c r="GZ930" s="29"/>
      <c r="HA930" s="29"/>
      <c r="HB930" s="29"/>
      <c r="HC930" s="29"/>
      <c r="HD930" s="29"/>
      <c r="HE930" s="29"/>
      <c r="HF930" s="29"/>
      <c r="HG930" s="29"/>
      <c r="HH930" s="29"/>
      <c r="HI930" s="29"/>
      <c r="HJ930" s="29"/>
      <c r="HK930" s="29"/>
      <c r="HL930" s="29"/>
      <c r="HM930" s="29"/>
      <c r="HN930" s="29"/>
      <c r="HO930" s="29"/>
      <c r="HP930" s="29"/>
      <c r="HQ930" s="29"/>
      <c r="HR930" s="29"/>
      <c r="HS930" s="29"/>
      <c r="HT930" s="29"/>
      <c r="HU930" s="29"/>
      <c r="HV930" s="29"/>
      <c r="HW930" s="29"/>
      <c r="HX930" s="29"/>
      <c r="HY930" s="29"/>
      <c r="HZ930" s="29"/>
      <c r="IA930" s="29"/>
      <c r="IB930" s="29"/>
      <c r="IC930" s="29"/>
      <c r="ID930" s="29"/>
      <c r="IE930" s="29"/>
      <c r="IF930" s="29"/>
      <c r="IG930" s="29"/>
      <c r="IH930" s="29"/>
      <c r="II930" s="29"/>
      <c r="IJ930" s="29"/>
      <c r="IK930" s="29"/>
      <c r="IL930" s="29"/>
      <c r="IM930" s="29"/>
      <c r="IN930" s="29"/>
      <c r="IO930" s="29"/>
      <c r="IP930" s="29"/>
      <c r="IQ930" s="29"/>
      <c r="IR930" s="29"/>
      <c r="IS930" s="29"/>
      <c r="IT930" s="29"/>
      <c r="IU930" s="29"/>
      <c r="IV930" s="29"/>
      <c r="IW930" s="29"/>
      <c r="IX930" s="29"/>
      <c r="IY930" s="29"/>
      <c r="IZ930" s="29"/>
      <c r="JA930" s="29"/>
      <c r="JB930" s="29"/>
      <c r="JC930" s="29"/>
      <c r="JD930" s="29"/>
      <c r="JE930" s="29"/>
      <c r="JF930" s="29"/>
      <c r="JG930" s="29"/>
      <c r="JH930" s="29"/>
      <c r="JI930" s="29"/>
      <c r="JJ930" s="29"/>
      <c r="JK930" s="29"/>
      <c r="JL930" s="29"/>
    </row>
    <row r="931" spans="1:272" ht="34.5" customHeight="1">
      <c r="A931" s="35" t="s">
        <v>142</v>
      </c>
      <c r="B931" s="35" t="s">
        <v>64</v>
      </c>
      <c r="C931" s="35" t="s">
        <v>39</v>
      </c>
      <c r="D931" s="35" t="s">
        <v>2293</v>
      </c>
      <c r="E931" s="61" t="s">
        <v>164</v>
      </c>
      <c r="F931" s="35" t="s">
        <v>1231</v>
      </c>
      <c r="G931" s="35" t="s">
        <v>58</v>
      </c>
      <c r="H931" s="35">
        <v>236220</v>
      </c>
      <c r="I931" s="129" t="s">
        <v>546</v>
      </c>
      <c r="J931" s="35" t="s">
        <v>129</v>
      </c>
      <c r="K931" s="161" t="s">
        <v>91</v>
      </c>
      <c r="L931" s="35" t="s">
        <v>345</v>
      </c>
      <c r="M931" s="81">
        <v>80000</v>
      </c>
      <c r="N931" s="81">
        <v>80000</v>
      </c>
      <c r="O931" s="35" t="s">
        <v>387</v>
      </c>
      <c r="P931" s="30" t="s">
        <v>302</v>
      </c>
      <c r="Q931" s="31" t="s">
        <v>294</v>
      </c>
      <c r="R931" s="30" t="s">
        <v>150</v>
      </c>
      <c r="S931" s="82">
        <v>2013</v>
      </c>
      <c r="T931" s="161" t="s">
        <v>345</v>
      </c>
      <c r="U931" s="161" t="s">
        <v>345</v>
      </c>
      <c r="V931" s="35" t="s">
        <v>345</v>
      </c>
      <c r="W931" s="83" t="s">
        <v>114</v>
      </c>
      <c r="X931" s="35" t="s">
        <v>334</v>
      </c>
      <c r="Y931" s="35" t="s">
        <v>2294</v>
      </c>
      <c r="Z931" s="35" t="s">
        <v>345</v>
      </c>
      <c r="AA931" s="35" t="s">
        <v>2291</v>
      </c>
      <c r="AE931" s="29"/>
      <c r="AF931" s="29"/>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c r="BC931" s="29"/>
      <c r="BD931" s="29"/>
      <c r="BE931" s="29"/>
      <c r="BF931" s="29"/>
      <c r="BG931" s="29"/>
      <c r="BH931" s="29"/>
      <c r="BI931" s="29"/>
      <c r="BJ931" s="29"/>
      <c r="BK931" s="29"/>
      <c r="BL931" s="29"/>
      <c r="BM931" s="29"/>
      <c r="BN931" s="29"/>
      <c r="BO931" s="29"/>
      <c r="BP931" s="29"/>
      <c r="BQ931" s="29"/>
      <c r="BR931" s="29"/>
      <c r="BS931" s="29"/>
      <c r="BT931" s="29"/>
      <c r="BU931" s="29"/>
      <c r="BV931" s="29"/>
      <c r="BW931" s="29"/>
      <c r="BX931" s="29"/>
      <c r="BY931" s="29"/>
      <c r="BZ931" s="29"/>
      <c r="CA931" s="29"/>
      <c r="CB931" s="29"/>
      <c r="CC931" s="29"/>
      <c r="CD931" s="29"/>
      <c r="CE931" s="29"/>
      <c r="CF931" s="29"/>
      <c r="CG931" s="29"/>
      <c r="CH931" s="29"/>
      <c r="CI931" s="29"/>
      <c r="CJ931" s="29"/>
      <c r="CK931" s="29"/>
      <c r="CL931" s="29"/>
      <c r="CM931" s="29"/>
      <c r="CN931" s="29"/>
      <c r="CO931" s="29"/>
      <c r="CP931" s="29"/>
      <c r="CQ931" s="29"/>
      <c r="CR931" s="29"/>
      <c r="CS931" s="29"/>
      <c r="CT931" s="29"/>
      <c r="CU931" s="29"/>
      <c r="CV931" s="29"/>
      <c r="CW931" s="29"/>
      <c r="CX931" s="29"/>
      <c r="CY931" s="29"/>
      <c r="CZ931" s="29"/>
      <c r="DA931" s="29"/>
      <c r="DB931" s="29"/>
      <c r="DC931" s="29"/>
      <c r="DD931" s="29"/>
      <c r="DE931" s="29"/>
      <c r="DF931" s="29"/>
      <c r="DG931" s="29"/>
      <c r="DH931" s="29"/>
      <c r="DI931" s="29"/>
      <c r="DJ931" s="29"/>
      <c r="DK931" s="29"/>
      <c r="DL931" s="29"/>
      <c r="DM931" s="29"/>
      <c r="DN931" s="29"/>
      <c r="DO931" s="29"/>
      <c r="DP931" s="29"/>
      <c r="DQ931" s="29"/>
      <c r="DR931" s="29"/>
      <c r="DS931" s="29"/>
      <c r="DT931" s="29"/>
      <c r="DU931" s="29"/>
      <c r="DV931" s="29"/>
      <c r="DW931" s="29"/>
      <c r="DX931" s="29"/>
      <c r="DY931" s="29"/>
      <c r="DZ931" s="29"/>
      <c r="EA931" s="29"/>
      <c r="EB931" s="29"/>
      <c r="EC931" s="29"/>
      <c r="ED931" s="29"/>
      <c r="EE931" s="29"/>
      <c r="EF931" s="29"/>
      <c r="EG931" s="29"/>
      <c r="EH931" s="29"/>
      <c r="EI931" s="29"/>
      <c r="EJ931" s="29"/>
      <c r="EK931" s="29"/>
      <c r="EL931" s="29"/>
      <c r="EM931" s="29"/>
      <c r="EN931" s="29"/>
      <c r="EO931" s="29"/>
      <c r="EP931" s="29"/>
      <c r="EQ931" s="29"/>
      <c r="ER931" s="29"/>
      <c r="ES931" s="29"/>
      <c r="ET931" s="29"/>
      <c r="EU931" s="29"/>
      <c r="EV931" s="29"/>
      <c r="EW931" s="29"/>
      <c r="EX931" s="29"/>
      <c r="EY931" s="29"/>
      <c r="EZ931" s="29"/>
      <c r="FA931" s="29"/>
      <c r="FB931" s="29"/>
      <c r="FC931" s="29"/>
      <c r="FD931" s="29"/>
      <c r="FE931" s="29"/>
      <c r="FF931" s="29"/>
      <c r="FG931" s="29"/>
      <c r="FH931" s="29"/>
      <c r="FI931" s="29"/>
      <c r="FJ931" s="29"/>
      <c r="FK931" s="29"/>
      <c r="FL931" s="29"/>
      <c r="FM931" s="29"/>
      <c r="FN931" s="29"/>
      <c r="FO931" s="29"/>
      <c r="FP931" s="29"/>
      <c r="FQ931" s="29"/>
      <c r="FR931" s="29"/>
      <c r="FS931" s="29"/>
      <c r="FT931" s="29"/>
      <c r="FU931" s="29"/>
      <c r="FV931" s="29"/>
      <c r="FW931" s="29"/>
      <c r="FX931" s="29"/>
      <c r="FY931" s="29"/>
      <c r="FZ931" s="29"/>
      <c r="GA931" s="29"/>
      <c r="GB931" s="29"/>
      <c r="GC931" s="29"/>
      <c r="GD931" s="29"/>
      <c r="GE931" s="29"/>
      <c r="GF931" s="29"/>
      <c r="GG931" s="29"/>
      <c r="GH931" s="29"/>
      <c r="GI931" s="29"/>
      <c r="GJ931" s="29"/>
      <c r="GK931" s="29"/>
      <c r="GL931" s="29"/>
      <c r="GM931" s="29"/>
      <c r="GN931" s="29"/>
      <c r="GO931" s="29"/>
      <c r="GP931" s="29"/>
      <c r="GQ931" s="29"/>
      <c r="GR931" s="29"/>
      <c r="GS931" s="29"/>
      <c r="GT931" s="29"/>
      <c r="GU931" s="29"/>
      <c r="GV931" s="29"/>
      <c r="GW931" s="29"/>
      <c r="GX931" s="29"/>
      <c r="GY931" s="29"/>
      <c r="GZ931" s="29"/>
      <c r="HA931" s="29"/>
      <c r="HB931" s="29"/>
      <c r="HC931" s="29"/>
      <c r="HD931" s="29"/>
      <c r="HE931" s="29"/>
      <c r="HF931" s="29"/>
      <c r="HG931" s="29"/>
      <c r="HH931" s="29"/>
      <c r="HI931" s="29"/>
      <c r="HJ931" s="29"/>
      <c r="HK931" s="29"/>
      <c r="HL931" s="29"/>
      <c r="HM931" s="29"/>
      <c r="HN931" s="29"/>
      <c r="HO931" s="29"/>
      <c r="HP931" s="29"/>
      <c r="HQ931" s="29"/>
      <c r="HR931" s="29"/>
      <c r="HS931" s="29"/>
      <c r="HT931" s="29"/>
      <c r="HU931" s="29"/>
      <c r="HV931" s="29"/>
      <c r="HW931" s="29"/>
      <c r="HX931" s="29"/>
      <c r="HY931" s="29"/>
      <c r="HZ931" s="29"/>
      <c r="IA931" s="29"/>
      <c r="IB931" s="29"/>
      <c r="IC931" s="29"/>
      <c r="ID931" s="29"/>
      <c r="IE931" s="29"/>
      <c r="IF931" s="29"/>
      <c r="IG931" s="29"/>
      <c r="IH931" s="29"/>
      <c r="II931" s="29"/>
      <c r="IJ931" s="29"/>
      <c r="IK931" s="29"/>
      <c r="IL931" s="29"/>
      <c r="IM931" s="29"/>
      <c r="IN931" s="29"/>
      <c r="IO931" s="29"/>
      <c r="IP931" s="29"/>
      <c r="IQ931" s="29"/>
      <c r="IR931" s="29"/>
      <c r="IS931" s="29"/>
      <c r="IT931" s="29"/>
      <c r="IU931" s="29"/>
      <c r="IV931" s="29"/>
      <c r="IW931" s="29"/>
      <c r="IX931" s="29"/>
      <c r="IY931" s="29"/>
      <c r="IZ931" s="29"/>
      <c r="JA931" s="29"/>
      <c r="JB931" s="29"/>
      <c r="JC931" s="29"/>
      <c r="JD931" s="29"/>
      <c r="JE931" s="29"/>
      <c r="JF931" s="29"/>
      <c r="JG931" s="29"/>
      <c r="JH931" s="29"/>
      <c r="JI931" s="29"/>
      <c r="JJ931" s="29"/>
      <c r="JK931" s="29"/>
      <c r="JL931" s="29"/>
    </row>
    <row r="932" spans="1:272" ht="34.5" customHeight="1">
      <c r="A932" s="35" t="s">
        <v>142</v>
      </c>
      <c r="B932" s="35" t="s">
        <v>64</v>
      </c>
      <c r="C932" s="35" t="s">
        <v>39</v>
      </c>
      <c r="D932" s="35" t="s">
        <v>2295</v>
      </c>
      <c r="E932" s="61" t="s">
        <v>164</v>
      </c>
      <c r="F932" s="35" t="s">
        <v>1231</v>
      </c>
      <c r="G932" s="35" t="s">
        <v>58</v>
      </c>
      <c r="H932" s="35">
        <v>236220</v>
      </c>
      <c r="I932" s="129" t="s">
        <v>546</v>
      </c>
      <c r="J932" s="35" t="s">
        <v>129</v>
      </c>
      <c r="K932" s="161" t="s">
        <v>91</v>
      </c>
      <c r="L932" s="35" t="s">
        <v>345</v>
      </c>
      <c r="M932" s="81">
        <v>35000</v>
      </c>
      <c r="N932" s="81">
        <v>35000</v>
      </c>
      <c r="O932" s="35" t="s">
        <v>387</v>
      </c>
      <c r="P932" s="30" t="s">
        <v>302</v>
      </c>
      <c r="Q932" s="31" t="s">
        <v>294</v>
      </c>
      <c r="R932" s="30" t="s">
        <v>150</v>
      </c>
      <c r="S932" s="82">
        <v>2013</v>
      </c>
      <c r="T932" s="161" t="s">
        <v>345</v>
      </c>
      <c r="U932" s="161" t="s">
        <v>345</v>
      </c>
      <c r="V932" s="35" t="s">
        <v>345</v>
      </c>
      <c r="W932" s="35" t="s">
        <v>114</v>
      </c>
      <c r="X932" s="35" t="s">
        <v>334</v>
      </c>
      <c r="Y932" s="35" t="s">
        <v>2294</v>
      </c>
      <c r="Z932" s="35" t="s">
        <v>345</v>
      </c>
      <c r="AA932" s="35" t="s">
        <v>2291</v>
      </c>
      <c r="AE932" s="29"/>
      <c r="AF932" s="29"/>
      <c r="AG932" s="29"/>
      <c r="AH932" s="29"/>
      <c r="AI932" s="29"/>
      <c r="AJ932" s="29"/>
      <c r="AK932" s="29"/>
      <c r="AL932" s="29"/>
      <c r="AM932" s="29"/>
      <c r="AN932" s="29"/>
      <c r="AO932" s="29"/>
      <c r="AP932" s="29"/>
      <c r="AQ932" s="29"/>
      <c r="AR932" s="29"/>
      <c r="AS932" s="29"/>
      <c r="AT932" s="29"/>
      <c r="AU932" s="29"/>
      <c r="AV932" s="29"/>
      <c r="AW932" s="29"/>
      <c r="AX932" s="29"/>
      <c r="AY932" s="29"/>
      <c r="AZ932" s="29"/>
      <c r="BA932" s="29"/>
      <c r="BB932" s="29"/>
      <c r="BC932" s="29"/>
      <c r="BD932" s="29"/>
      <c r="BE932" s="29"/>
      <c r="BF932" s="29"/>
      <c r="BG932" s="29"/>
      <c r="BH932" s="29"/>
      <c r="BI932" s="29"/>
      <c r="BJ932" s="29"/>
      <c r="BK932" s="29"/>
      <c r="BL932" s="29"/>
      <c r="BM932" s="29"/>
      <c r="BN932" s="29"/>
      <c r="BO932" s="29"/>
      <c r="BP932" s="29"/>
      <c r="BQ932" s="29"/>
      <c r="BR932" s="29"/>
      <c r="BS932" s="29"/>
      <c r="BT932" s="29"/>
      <c r="BU932" s="29"/>
      <c r="BV932" s="29"/>
      <c r="BW932" s="29"/>
      <c r="BX932" s="29"/>
      <c r="BY932" s="29"/>
      <c r="BZ932" s="29"/>
      <c r="CA932" s="29"/>
      <c r="CB932" s="29"/>
      <c r="CC932" s="29"/>
      <c r="CD932" s="29"/>
      <c r="CE932" s="29"/>
      <c r="CF932" s="29"/>
      <c r="CG932" s="29"/>
      <c r="CH932" s="29"/>
      <c r="CI932" s="29"/>
      <c r="CJ932" s="29"/>
      <c r="CK932" s="29"/>
      <c r="CL932" s="29"/>
      <c r="CM932" s="29"/>
      <c r="CN932" s="29"/>
      <c r="CO932" s="29"/>
      <c r="CP932" s="29"/>
      <c r="CQ932" s="29"/>
      <c r="CR932" s="29"/>
      <c r="CS932" s="29"/>
      <c r="CT932" s="29"/>
      <c r="CU932" s="29"/>
      <c r="CV932" s="29"/>
      <c r="CW932" s="29"/>
      <c r="CX932" s="29"/>
      <c r="CY932" s="29"/>
      <c r="CZ932" s="29"/>
      <c r="DA932" s="29"/>
      <c r="DB932" s="29"/>
      <c r="DC932" s="29"/>
      <c r="DD932" s="29"/>
      <c r="DE932" s="29"/>
      <c r="DF932" s="29"/>
      <c r="DG932" s="29"/>
      <c r="DH932" s="29"/>
      <c r="DI932" s="29"/>
      <c r="DJ932" s="29"/>
      <c r="DK932" s="29"/>
      <c r="DL932" s="29"/>
      <c r="DM932" s="29"/>
      <c r="DN932" s="29"/>
      <c r="DO932" s="29"/>
      <c r="DP932" s="29"/>
      <c r="DQ932" s="29"/>
      <c r="DR932" s="29"/>
      <c r="DS932" s="29"/>
      <c r="DT932" s="29"/>
      <c r="DU932" s="29"/>
      <c r="DV932" s="29"/>
      <c r="DW932" s="29"/>
      <c r="DX932" s="29"/>
      <c r="DY932" s="29"/>
      <c r="DZ932" s="29"/>
      <c r="EA932" s="29"/>
      <c r="EB932" s="29"/>
      <c r="EC932" s="29"/>
      <c r="ED932" s="29"/>
      <c r="EE932" s="29"/>
      <c r="EF932" s="29"/>
      <c r="EG932" s="29"/>
      <c r="EH932" s="29"/>
      <c r="EI932" s="29"/>
      <c r="EJ932" s="29"/>
      <c r="EK932" s="29"/>
      <c r="EL932" s="29"/>
      <c r="EM932" s="29"/>
      <c r="EN932" s="29"/>
      <c r="EO932" s="29"/>
      <c r="EP932" s="29"/>
      <c r="EQ932" s="29"/>
      <c r="ER932" s="29"/>
      <c r="ES932" s="29"/>
      <c r="ET932" s="29"/>
      <c r="EU932" s="29"/>
      <c r="EV932" s="29"/>
      <c r="EW932" s="29"/>
      <c r="EX932" s="29"/>
      <c r="EY932" s="29"/>
      <c r="EZ932" s="29"/>
      <c r="FA932" s="29"/>
      <c r="FB932" s="29"/>
      <c r="FC932" s="29"/>
      <c r="FD932" s="29"/>
      <c r="FE932" s="29"/>
      <c r="FF932" s="29"/>
      <c r="FG932" s="29"/>
      <c r="FH932" s="29"/>
      <c r="FI932" s="29"/>
      <c r="FJ932" s="29"/>
      <c r="FK932" s="29"/>
      <c r="FL932" s="29"/>
      <c r="FM932" s="29"/>
      <c r="FN932" s="29"/>
      <c r="FO932" s="29"/>
      <c r="FP932" s="29"/>
      <c r="FQ932" s="29"/>
      <c r="FR932" s="29"/>
      <c r="FS932" s="29"/>
      <c r="FT932" s="29"/>
      <c r="FU932" s="29"/>
      <c r="FV932" s="29"/>
      <c r="FW932" s="29"/>
      <c r="FX932" s="29"/>
      <c r="FY932" s="29"/>
      <c r="FZ932" s="29"/>
      <c r="GA932" s="29"/>
      <c r="GB932" s="29"/>
      <c r="GC932" s="29"/>
      <c r="GD932" s="29"/>
      <c r="GE932" s="29"/>
      <c r="GF932" s="29"/>
      <c r="GG932" s="29"/>
      <c r="GH932" s="29"/>
      <c r="GI932" s="29"/>
      <c r="GJ932" s="29"/>
      <c r="GK932" s="29"/>
      <c r="GL932" s="29"/>
      <c r="GM932" s="29"/>
      <c r="GN932" s="29"/>
      <c r="GO932" s="29"/>
      <c r="GP932" s="29"/>
      <c r="GQ932" s="29"/>
      <c r="GR932" s="29"/>
      <c r="GS932" s="29"/>
      <c r="GT932" s="29"/>
      <c r="GU932" s="29"/>
      <c r="GV932" s="29"/>
      <c r="GW932" s="29"/>
      <c r="GX932" s="29"/>
      <c r="GY932" s="29"/>
      <c r="GZ932" s="29"/>
      <c r="HA932" s="29"/>
      <c r="HB932" s="29"/>
      <c r="HC932" s="29"/>
      <c r="HD932" s="29"/>
      <c r="HE932" s="29"/>
      <c r="HF932" s="29"/>
      <c r="HG932" s="29"/>
      <c r="HH932" s="29"/>
      <c r="HI932" s="29"/>
      <c r="HJ932" s="29"/>
      <c r="HK932" s="29"/>
      <c r="HL932" s="29"/>
      <c r="HM932" s="29"/>
      <c r="HN932" s="29"/>
      <c r="HO932" s="29"/>
      <c r="HP932" s="29"/>
      <c r="HQ932" s="29"/>
      <c r="HR932" s="29"/>
      <c r="HS932" s="29"/>
      <c r="HT932" s="29"/>
      <c r="HU932" s="29"/>
      <c r="HV932" s="29"/>
      <c r="HW932" s="29"/>
      <c r="HX932" s="29"/>
      <c r="HY932" s="29"/>
      <c r="HZ932" s="29"/>
      <c r="IA932" s="29"/>
      <c r="IB932" s="29"/>
      <c r="IC932" s="29"/>
      <c r="ID932" s="29"/>
      <c r="IE932" s="29"/>
      <c r="IF932" s="29"/>
      <c r="IG932" s="29"/>
      <c r="IH932" s="29"/>
      <c r="II932" s="29"/>
      <c r="IJ932" s="29"/>
      <c r="IK932" s="29"/>
      <c r="IL932" s="29"/>
      <c r="IM932" s="29"/>
      <c r="IN932" s="29"/>
      <c r="IO932" s="29"/>
      <c r="IP932" s="29"/>
      <c r="IQ932" s="29"/>
      <c r="IR932" s="29"/>
      <c r="IS932" s="29"/>
      <c r="IT932" s="29"/>
      <c r="IU932" s="29"/>
      <c r="IV932" s="29"/>
      <c r="IW932" s="29"/>
      <c r="IX932" s="29"/>
      <c r="IY932" s="29"/>
      <c r="IZ932" s="29"/>
      <c r="JA932" s="29"/>
      <c r="JB932" s="29"/>
      <c r="JC932" s="29"/>
      <c r="JD932" s="29"/>
      <c r="JE932" s="29"/>
      <c r="JF932" s="29"/>
      <c r="JG932" s="29"/>
      <c r="JH932" s="29"/>
      <c r="JI932" s="29"/>
      <c r="JJ932" s="29"/>
      <c r="JK932" s="29"/>
      <c r="JL932" s="29"/>
    </row>
    <row r="933" spans="1:272" ht="34.5" customHeight="1">
      <c r="A933" s="35" t="s">
        <v>142</v>
      </c>
      <c r="B933" s="35" t="s">
        <v>64</v>
      </c>
      <c r="C933" s="35" t="s">
        <v>39</v>
      </c>
      <c r="D933" s="35" t="s">
        <v>2296</v>
      </c>
      <c r="E933" s="61" t="s">
        <v>164</v>
      </c>
      <c r="F933" s="35" t="s">
        <v>1231</v>
      </c>
      <c r="G933" s="35" t="s">
        <v>58</v>
      </c>
      <c r="H933" s="35">
        <v>236220</v>
      </c>
      <c r="I933" s="129" t="s">
        <v>546</v>
      </c>
      <c r="J933" s="35" t="s">
        <v>129</v>
      </c>
      <c r="K933" s="161" t="s">
        <v>91</v>
      </c>
      <c r="L933" s="35" t="s">
        <v>345</v>
      </c>
      <c r="M933" s="81">
        <v>30000</v>
      </c>
      <c r="N933" s="81">
        <v>30000</v>
      </c>
      <c r="O933" s="35" t="s">
        <v>387</v>
      </c>
      <c r="P933" s="30" t="s">
        <v>302</v>
      </c>
      <c r="Q933" s="31" t="s">
        <v>294</v>
      </c>
      <c r="R933" s="30" t="s">
        <v>150</v>
      </c>
      <c r="S933" s="82">
        <v>2013</v>
      </c>
      <c r="T933" s="161" t="s">
        <v>345</v>
      </c>
      <c r="U933" s="161" t="s">
        <v>345</v>
      </c>
      <c r="V933" s="35" t="s">
        <v>345</v>
      </c>
      <c r="W933" s="35" t="s">
        <v>114</v>
      </c>
      <c r="X933" s="35" t="s">
        <v>334</v>
      </c>
      <c r="Y933" s="35" t="s">
        <v>2294</v>
      </c>
      <c r="Z933" s="35" t="s">
        <v>345</v>
      </c>
      <c r="AA933" s="35" t="s">
        <v>2291</v>
      </c>
      <c r="AE933" s="29"/>
      <c r="AF933" s="29"/>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c r="BC933" s="29"/>
      <c r="BD933" s="29"/>
      <c r="BE933" s="29"/>
      <c r="BF933" s="29"/>
      <c r="BG933" s="29"/>
      <c r="BH933" s="29"/>
      <c r="BI933" s="29"/>
      <c r="BJ933" s="29"/>
      <c r="BK933" s="29"/>
      <c r="BL933" s="29"/>
      <c r="BM933" s="29"/>
      <c r="BN933" s="29"/>
      <c r="BO933" s="29"/>
      <c r="BP933" s="29"/>
      <c r="BQ933" s="29"/>
      <c r="BR933" s="29"/>
      <c r="BS933" s="29"/>
      <c r="BT933" s="29"/>
      <c r="BU933" s="29"/>
      <c r="BV933" s="29"/>
      <c r="BW933" s="29"/>
      <c r="BX933" s="29"/>
      <c r="BY933" s="29"/>
      <c r="BZ933" s="29"/>
      <c r="CA933" s="29"/>
      <c r="CB933" s="29"/>
      <c r="CC933" s="29"/>
      <c r="CD933" s="29"/>
      <c r="CE933" s="29"/>
      <c r="CF933" s="29"/>
      <c r="CG933" s="29"/>
      <c r="CH933" s="29"/>
      <c r="CI933" s="29"/>
      <c r="CJ933" s="29"/>
      <c r="CK933" s="29"/>
      <c r="CL933" s="29"/>
      <c r="CM933" s="29"/>
      <c r="CN933" s="29"/>
      <c r="CO933" s="29"/>
      <c r="CP933" s="29"/>
      <c r="CQ933" s="29"/>
      <c r="CR933" s="29"/>
      <c r="CS933" s="29"/>
      <c r="CT933" s="29"/>
      <c r="CU933" s="29"/>
      <c r="CV933" s="29"/>
      <c r="CW933" s="29"/>
      <c r="CX933" s="29"/>
      <c r="CY933" s="29"/>
      <c r="CZ933" s="29"/>
      <c r="DA933" s="29"/>
      <c r="DB933" s="29"/>
      <c r="DC933" s="29"/>
      <c r="DD933" s="29"/>
      <c r="DE933" s="29"/>
      <c r="DF933" s="29"/>
      <c r="DG933" s="29"/>
      <c r="DH933" s="29"/>
      <c r="DI933" s="29"/>
      <c r="DJ933" s="29"/>
      <c r="DK933" s="29"/>
      <c r="DL933" s="29"/>
      <c r="DM933" s="29"/>
      <c r="DN933" s="29"/>
      <c r="DO933" s="29"/>
      <c r="DP933" s="29"/>
      <c r="DQ933" s="29"/>
      <c r="DR933" s="29"/>
      <c r="DS933" s="29"/>
      <c r="DT933" s="29"/>
      <c r="DU933" s="29"/>
      <c r="DV933" s="29"/>
      <c r="DW933" s="29"/>
      <c r="DX933" s="29"/>
      <c r="DY933" s="29"/>
      <c r="DZ933" s="29"/>
      <c r="EA933" s="29"/>
      <c r="EB933" s="29"/>
      <c r="EC933" s="29"/>
      <c r="ED933" s="29"/>
      <c r="EE933" s="29"/>
      <c r="EF933" s="29"/>
      <c r="EG933" s="29"/>
      <c r="EH933" s="29"/>
      <c r="EI933" s="29"/>
      <c r="EJ933" s="29"/>
      <c r="EK933" s="29"/>
      <c r="EL933" s="29"/>
      <c r="EM933" s="29"/>
      <c r="EN933" s="29"/>
      <c r="EO933" s="29"/>
      <c r="EP933" s="29"/>
      <c r="EQ933" s="29"/>
      <c r="ER933" s="29"/>
      <c r="ES933" s="29"/>
      <c r="ET933" s="29"/>
      <c r="EU933" s="29"/>
      <c r="EV933" s="29"/>
      <c r="EW933" s="29"/>
      <c r="EX933" s="29"/>
      <c r="EY933" s="29"/>
      <c r="EZ933" s="29"/>
      <c r="FA933" s="29"/>
      <c r="FB933" s="29"/>
      <c r="FC933" s="29"/>
      <c r="FD933" s="29"/>
      <c r="FE933" s="29"/>
      <c r="FF933" s="29"/>
      <c r="FG933" s="29"/>
      <c r="FH933" s="29"/>
      <c r="FI933" s="29"/>
      <c r="FJ933" s="29"/>
      <c r="FK933" s="29"/>
      <c r="FL933" s="29"/>
      <c r="FM933" s="29"/>
      <c r="FN933" s="29"/>
      <c r="FO933" s="29"/>
      <c r="FP933" s="29"/>
      <c r="FQ933" s="29"/>
      <c r="FR933" s="29"/>
      <c r="FS933" s="29"/>
      <c r="FT933" s="29"/>
      <c r="FU933" s="29"/>
      <c r="FV933" s="29"/>
      <c r="FW933" s="29"/>
      <c r="FX933" s="29"/>
      <c r="FY933" s="29"/>
      <c r="FZ933" s="29"/>
      <c r="GA933" s="29"/>
      <c r="GB933" s="29"/>
      <c r="GC933" s="29"/>
      <c r="GD933" s="29"/>
      <c r="GE933" s="29"/>
      <c r="GF933" s="29"/>
      <c r="GG933" s="29"/>
      <c r="GH933" s="29"/>
      <c r="GI933" s="29"/>
      <c r="GJ933" s="29"/>
      <c r="GK933" s="29"/>
      <c r="GL933" s="29"/>
      <c r="GM933" s="29"/>
      <c r="GN933" s="29"/>
      <c r="GO933" s="29"/>
      <c r="GP933" s="29"/>
      <c r="GQ933" s="29"/>
      <c r="GR933" s="29"/>
      <c r="GS933" s="29"/>
      <c r="GT933" s="29"/>
      <c r="GU933" s="29"/>
      <c r="GV933" s="29"/>
      <c r="GW933" s="29"/>
      <c r="GX933" s="29"/>
      <c r="GY933" s="29"/>
      <c r="GZ933" s="29"/>
      <c r="HA933" s="29"/>
      <c r="HB933" s="29"/>
      <c r="HC933" s="29"/>
      <c r="HD933" s="29"/>
      <c r="HE933" s="29"/>
      <c r="HF933" s="29"/>
      <c r="HG933" s="29"/>
      <c r="HH933" s="29"/>
      <c r="HI933" s="29"/>
      <c r="HJ933" s="29"/>
      <c r="HK933" s="29"/>
      <c r="HL933" s="29"/>
      <c r="HM933" s="29"/>
      <c r="HN933" s="29"/>
      <c r="HO933" s="29"/>
      <c r="HP933" s="29"/>
      <c r="HQ933" s="29"/>
      <c r="HR933" s="29"/>
      <c r="HS933" s="29"/>
      <c r="HT933" s="29"/>
      <c r="HU933" s="29"/>
      <c r="HV933" s="29"/>
      <c r="HW933" s="29"/>
      <c r="HX933" s="29"/>
      <c r="HY933" s="29"/>
      <c r="HZ933" s="29"/>
      <c r="IA933" s="29"/>
      <c r="IB933" s="29"/>
      <c r="IC933" s="29"/>
      <c r="ID933" s="29"/>
      <c r="IE933" s="29"/>
      <c r="IF933" s="29"/>
      <c r="IG933" s="29"/>
      <c r="IH933" s="29"/>
      <c r="II933" s="29"/>
      <c r="IJ933" s="29"/>
      <c r="IK933" s="29"/>
      <c r="IL933" s="29"/>
      <c r="IM933" s="29"/>
      <c r="IN933" s="29"/>
      <c r="IO933" s="29"/>
      <c r="IP933" s="29"/>
      <c r="IQ933" s="29"/>
      <c r="IR933" s="29"/>
      <c r="IS933" s="29"/>
      <c r="IT933" s="29"/>
      <c r="IU933" s="29"/>
      <c r="IV933" s="29"/>
      <c r="IW933" s="29"/>
      <c r="IX933" s="29"/>
      <c r="IY933" s="29"/>
      <c r="IZ933" s="29"/>
      <c r="JA933" s="29"/>
      <c r="JB933" s="29"/>
      <c r="JC933" s="29"/>
      <c r="JD933" s="29"/>
      <c r="JE933" s="29"/>
      <c r="JF933" s="29"/>
      <c r="JG933" s="29"/>
      <c r="JH933" s="29"/>
      <c r="JI933" s="29"/>
      <c r="JJ933" s="29"/>
      <c r="JK933" s="29"/>
      <c r="JL933" s="29"/>
    </row>
    <row r="934" spans="1:272" ht="34.5" customHeight="1">
      <c r="A934" s="35" t="s">
        <v>142</v>
      </c>
      <c r="B934" s="35" t="s">
        <v>64</v>
      </c>
      <c r="C934" s="35" t="s">
        <v>39</v>
      </c>
      <c r="D934" s="35" t="s">
        <v>2297</v>
      </c>
      <c r="E934" s="30" t="s">
        <v>164</v>
      </c>
      <c r="F934" s="35" t="s">
        <v>1231</v>
      </c>
      <c r="G934" s="35" t="s">
        <v>58</v>
      </c>
      <c r="H934" s="35">
        <v>236220</v>
      </c>
      <c r="I934" s="35" t="s">
        <v>98</v>
      </c>
      <c r="J934" s="35" t="s">
        <v>129</v>
      </c>
      <c r="K934" s="161" t="s">
        <v>91</v>
      </c>
      <c r="L934" s="35" t="s">
        <v>345</v>
      </c>
      <c r="M934" s="81">
        <v>292000</v>
      </c>
      <c r="N934" s="81">
        <v>292000</v>
      </c>
      <c r="O934" s="35" t="s">
        <v>387</v>
      </c>
      <c r="P934" s="30" t="s">
        <v>302</v>
      </c>
      <c r="Q934" s="35" t="s">
        <v>294</v>
      </c>
      <c r="R934" s="35" t="s">
        <v>35</v>
      </c>
      <c r="S934" s="82">
        <v>2014</v>
      </c>
      <c r="T934" s="161" t="s">
        <v>345</v>
      </c>
      <c r="U934" s="161" t="s">
        <v>345</v>
      </c>
      <c r="V934" s="35" t="s">
        <v>345</v>
      </c>
      <c r="W934" s="35" t="s">
        <v>114</v>
      </c>
      <c r="X934" s="35" t="s">
        <v>2298</v>
      </c>
      <c r="Y934" s="35" t="s">
        <v>2299</v>
      </c>
      <c r="Z934" s="35" t="s">
        <v>345</v>
      </c>
      <c r="AA934" s="35" t="s">
        <v>2287</v>
      </c>
      <c r="AE934" s="29"/>
      <c r="AF934" s="29"/>
      <c r="AG934" s="29"/>
      <c r="AH934" s="29"/>
      <c r="AI934" s="29"/>
      <c r="AJ934" s="29"/>
      <c r="AK934" s="29"/>
      <c r="AL934" s="29"/>
      <c r="AM934" s="29"/>
      <c r="AN934" s="29"/>
      <c r="AO934" s="29"/>
      <c r="AP934" s="29"/>
      <c r="AQ934" s="29"/>
      <c r="AR934" s="29"/>
      <c r="AS934" s="29"/>
      <c r="AT934" s="29"/>
      <c r="AU934" s="29"/>
      <c r="AV934" s="29"/>
      <c r="AW934" s="29"/>
      <c r="AX934" s="29"/>
      <c r="AY934" s="29"/>
      <c r="AZ934" s="29"/>
      <c r="BA934" s="29"/>
      <c r="BB934" s="29"/>
      <c r="BC934" s="29"/>
      <c r="BD934" s="29"/>
      <c r="BE934" s="29"/>
      <c r="BF934" s="29"/>
      <c r="BG934" s="29"/>
      <c r="BH934" s="29"/>
      <c r="BI934" s="29"/>
      <c r="BJ934" s="29"/>
      <c r="BK934" s="29"/>
      <c r="BL934" s="29"/>
      <c r="BM934" s="29"/>
      <c r="BN934" s="29"/>
      <c r="BO934" s="29"/>
      <c r="BP934" s="29"/>
      <c r="BQ934" s="29"/>
      <c r="BR934" s="29"/>
      <c r="BS934" s="29"/>
      <c r="BT934" s="29"/>
      <c r="BU934" s="29"/>
      <c r="BV934" s="29"/>
      <c r="BW934" s="29"/>
      <c r="BX934" s="29"/>
      <c r="BY934" s="29"/>
      <c r="BZ934" s="29"/>
      <c r="CA934" s="29"/>
      <c r="CB934" s="29"/>
      <c r="CC934" s="29"/>
      <c r="CD934" s="29"/>
      <c r="CE934" s="29"/>
      <c r="CF934" s="29"/>
      <c r="CG934" s="29"/>
      <c r="CH934" s="29"/>
      <c r="CI934" s="29"/>
      <c r="CJ934" s="29"/>
      <c r="CK934" s="29"/>
      <c r="CL934" s="29"/>
      <c r="CM934" s="29"/>
      <c r="CN934" s="29"/>
      <c r="CO934" s="29"/>
      <c r="CP934" s="29"/>
      <c r="CQ934" s="29"/>
      <c r="CR934" s="29"/>
      <c r="CS934" s="29"/>
      <c r="CT934" s="29"/>
      <c r="CU934" s="29"/>
      <c r="CV934" s="29"/>
      <c r="CW934" s="29"/>
      <c r="CX934" s="29"/>
      <c r="CY934" s="29"/>
      <c r="CZ934" s="29"/>
      <c r="DA934" s="29"/>
      <c r="DB934" s="29"/>
      <c r="DC934" s="29"/>
      <c r="DD934" s="29"/>
      <c r="DE934" s="29"/>
      <c r="DF934" s="29"/>
      <c r="DG934" s="29"/>
      <c r="DH934" s="29"/>
      <c r="DI934" s="29"/>
      <c r="DJ934" s="29"/>
      <c r="DK934" s="29"/>
      <c r="DL934" s="29"/>
      <c r="DM934" s="29"/>
      <c r="DN934" s="29"/>
      <c r="DO934" s="29"/>
      <c r="DP934" s="29"/>
      <c r="DQ934" s="29"/>
      <c r="DR934" s="29"/>
      <c r="DS934" s="29"/>
      <c r="DT934" s="29"/>
      <c r="DU934" s="29"/>
      <c r="DV934" s="29"/>
      <c r="DW934" s="29"/>
      <c r="DX934" s="29"/>
      <c r="DY934" s="29"/>
      <c r="DZ934" s="29"/>
      <c r="EA934" s="29"/>
      <c r="EB934" s="29"/>
      <c r="EC934" s="29"/>
      <c r="ED934" s="29"/>
      <c r="EE934" s="29"/>
      <c r="EF934" s="29"/>
      <c r="EG934" s="29"/>
      <c r="EH934" s="29"/>
      <c r="EI934" s="29"/>
      <c r="EJ934" s="29"/>
      <c r="EK934" s="29"/>
      <c r="EL934" s="29"/>
      <c r="EM934" s="29"/>
      <c r="EN934" s="29"/>
      <c r="EO934" s="29"/>
      <c r="EP934" s="29"/>
      <c r="EQ934" s="29"/>
      <c r="ER934" s="29"/>
      <c r="ES934" s="29"/>
      <c r="ET934" s="29"/>
      <c r="EU934" s="29"/>
      <c r="EV934" s="29"/>
      <c r="EW934" s="29"/>
      <c r="EX934" s="29"/>
      <c r="EY934" s="29"/>
      <c r="EZ934" s="29"/>
      <c r="FA934" s="29"/>
      <c r="FB934" s="29"/>
      <c r="FC934" s="29"/>
      <c r="FD934" s="29"/>
      <c r="FE934" s="29"/>
      <c r="FF934" s="29"/>
      <c r="FG934" s="29"/>
      <c r="FH934" s="29"/>
      <c r="FI934" s="29"/>
      <c r="FJ934" s="29"/>
      <c r="FK934" s="29"/>
      <c r="FL934" s="29"/>
      <c r="FM934" s="29"/>
      <c r="FN934" s="29"/>
      <c r="FO934" s="29"/>
      <c r="FP934" s="29"/>
      <c r="FQ934" s="29"/>
      <c r="FR934" s="29"/>
      <c r="FS934" s="29"/>
      <c r="FT934" s="29"/>
      <c r="FU934" s="29"/>
      <c r="FV934" s="29"/>
      <c r="FW934" s="29"/>
      <c r="FX934" s="29"/>
      <c r="FY934" s="29"/>
      <c r="FZ934" s="29"/>
      <c r="GA934" s="29"/>
      <c r="GB934" s="29"/>
      <c r="GC934" s="29"/>
      <c r="GD934" s="29"/>
      <c r="GE934" s="29"/>
      <c r="GF934" s="29"/>
      <c r="GG934" s="29"/>
      <c r="GH934" s="29"/>
      <c r="GI934" s="29"/>
      <c r="GJ934" s="29"/>
      <c r="GK934" s="29"/>
      <c r="GL934" s="29"/>
      <c r="GM934" s="29"/>
      <c r="GN934" s="29"/>
      <c r="GO934" s="29"/>
      <c r="GP934" s="29"/>
      <c r="GQ934" s="29"/>
      <c r="GR934" s="29"/>
      <c r="GS934" s="29"/>
      <c r="GT934" s="29"/>
      <c r="GU934" s="29"/>
      <c r="GV934" s="29"/>
      <c r="GW934" s="29"/>
      <c r="GX934" s="29"/>
      <c r="GY934" s="29"/>
      <c r="GZ934" s="29"/>
      <c r="HA934" s="29"/>
      <c r="HB934" s="29"/>
      <c r="HC934" s="29"/>
      <c r="HD934" s="29"/>
      <c r="HE934" s="29"/>
      <c r="HF934" s="29"/>
      <c r="HG934" s="29"/>
      <c r="HH934" s="29"/>
      <c r="HI934" s="29"/>
      <c r="HJ934" s="29"/>
      <c r="HK934" s="29"/>
      <c r="HL934" s="29"/>
      <c r="HM934" s="29"/>
      <c r="HN934" s="29"/>
      <c r="HO934" s="29"/>
      <c r="HP934" s="29"/>
      <c r="HQ934" s="29"/>
      <c r="HR934" s="29"/>
      <c r="HS934" s="29"/>
      <c r="HT934" s="29"/>
      <c r="HU934" s="29"/>
      <c r="HV934" s="29"/>
      <c r="HW934" s="29"/>
      <c r="HX934" s="29"/>
      <c r="HY934" s="29"/>
      <c r="HZ934" s="29"/>
      <c r="IA934" s="29"/>
      <c r="IB934" s="29"/>
      <c r="IC934" s="29"/>
      <c r="ID934" s="29"/>
      <c r="IE934" s="29"/>
      <c r="IF934" s="29"/>
      <c r="IG934" s="29"/>
      <c r="IH934" s="29"/>
      <c r="II934" s="29"/>
      <c r="IJ934" s="29"/>
      <c r="IK934" s="29"/>
      <c r="IL934" s="29"/>
      <c r="IM934" s="29"/>
      <c r="IN934" s="29"/>
      <c r="IO934" s="29"/>
      <c r="IP934" s="29"/>
      <c r="IQ934" s="29"/>
      <c r="IR934" s="29"/>
      <c r="IS934" s="29"/>
      <c r="IT934" s="29"/>
      <c r="IU934" s="29"/>
      <c r="IV934" s="29"/>
      <c r="IW934" s="29"/>
      <c r="IX934" s="29"/>
      <c r="IY934" s="29"/>
      <c r="IZ934" s="29"/>
      <c r="JA934" s="29"/>
      <c r="JB934" s="29"/>
      <c r="JC934" s="29"/>
      <c r="JD934" s="29"/>
      <c r="JE934" s="29"/>
      <c r="JF934" s="29"/>
      <c r="JG934" s="29"/>
      <c r="JH934" s="29"/>
      <c r="JI934" s="29"/>
      <c r="JJ934" s="29"/>
      <c r="JK934" s="29"/>
      <c r="JL934" s="29"/>
    </row>
    <row r="935" spans="1:272" ht="34.5" customHeight="1">
      <c r="A935" s="35" t="s">
        <v>142</v>
      </c>
      <c r="B935" s="35" t="s">
        <v>64</v>
      </c>
      <c r="C935" s="35" t="s">
        <v>39</v>
      </c>
      <c r="D935" s="35" t="s">
        <v>2300</v>
      </c>
      <c r="E935" s="61" t="s">
        <v>164</v>
      </c>
      <c r="F935" s="35" t="s">
        <v>1231</v>
      </c>
      <c r="G935" s="35" t="s">
        <v>58</v>
      </c>
      <c r="H935" s="35">
        <v>236220</v>
      </c>
      <c r="I935" s="129" t="s">
        <v>546</v>
      </c>
      <c r="J935" s="35" t="s">
        <v>129</v>
      </c>
      <c r="K935" s="161" t="s">
        <v>91</v>
      </c>
      <c r="L935" s="35" t="s">
        <v>345</v>
      </c>
      <c r="M935" s="81">
        <v>45000</v>
      </c>
      <c r="N935" s="81">
        <v>45000</v>
      </c>
      <c r="O935" s="35" t="s">
        <v>387</v>
      </c>
      <c r="P935" s="30" t="s">
        <v>302</v>
      </c>
      <c r="Q935" s="35" t="s">
        <v>294</v>
      </c>
      <c r="R935" s="161" t="s">
        <v>80</v>
      </c>
      <c r="S935" s="82">
        <v>2014</v>
      </c>
      <c r="T935" s="161" t="s">
        <v>345</v>
      </c>
      <c r="U935" s="161" t="s">
        <v>345</v>
      </c>
      <c r="V935" s="35" t="s">
        <v>345</v>
      </c>
      <c r="W935" s="35" t="s">
        <v>114</v>
      </c>
      <c r="X935" s="35" t="s">
        <v>2301</v>
      </c>
      <c r="Y935" s="35" t="s">
        <v>334</v>
      </c>
      <c r="Z935" s="35" t="s">
        <v>345</v>
      </c>
      <c r="AA935" s="35" t="s">
        <v>2287</v>
      </c>
      <c r="AE935" s="29"/>
      <c r="AF935" s="29"/>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c r="BC935" s="29"/>
      <c r="BD935" s="29"/>
      <c r="BE935" s="29"/>
      <c r="BF935" s="29"/>
      <c r="BG935" s="29"/>
      <c r="BH935" s="29"/>
      <c r="BI935" s="29"/>
      <c r="BJ935" s="29"/>
      <c r="BK935" s="29"/>
      <c r="BL935" s="29"/>
      <c r="BM935" s="29"/>
      <c r="BN935" s="29"/>
      <c r="BO935" s="29"/>
      <c r="BP935" s="29"/>
      <c r="BQ935" s="29"/>
      <c r="BR935" s="29"/>
      <c r="BS935" s="29"/>
      <c r="BT935" s="29"/>
      <c r="BU935" s="29"/>
      <c r="BV935" s="29"/>
      <c r="BW935" s="29"/>
      <c r="BX935" s="29"/>
      <c r="BY935" s="29"/>
      <c r="BZ935" s="29"/>
      <c r="CA935" s="29"/>
      <c r="CB935" s="29"/>
      <c r="CC935" s="29"/>
      <c r="CD935" s="29"/>
      <c r="CE935" s="29"/>
      <c r="CF935" s="29"/>
      <c r="CG935" s="29"/>
      <c r="CH935" s="29"/>
      <c r="CI935" s="29"/>
      <c r="CJ935" s="29"/>
      <c r="CK935" s="29"/>
      <c r="CL935" s="29"/>
      <c r="CM935" s="29"/>
      <c r="CN935" s="29"/>
      <c r="CO935" s="29"/>
      <c r="CP935" s="29"/>
      <c r="CQ935" s="29"/>
      <c r="CR935" s="29"/>
      <c r="CS935" s="29"/>
      <c r="CT935" s="29"/>
      <c r="CU935" s="29"/>
      <c r="CV935" s="29"/>
      <c r="CW935" s="29"/>
      <c r="CX935" s="29"/>
      <c r="CY935" s="29"/>
      <c r="CZ935" s="29"/>
      <c r="DA935" s="29"/>
      <c r="DB935" s="29"/>
      <c r="DC935" s="29"/>
      <c r="DD935" s="29"/>
      <c r="DE935" s="29"/>
      <c r="DF935" s="29"/>
      <c r="DG935" s="29"/>
      <c r="DH935" s="29"/>
      <c r="DI935" s="29"/>
      <c r="DJ935" s="29"/>
      <c r="DK935" s="29"/>
      <c r="DL935" s="29"/>
      <c r="DM935" s="29"/>
      <c r="DN935" s="29"/>
      <c r="DO935" s="29"/>
      <c r="DP935" s="29"/>
      <c r="DQ935" s="29"/>
      <c r="DR935" s="29"/>
      <c r="DS935" s="29"/>
      <c r="DT935" s="29"/>
      <c r="DU935" s="29"/>
      <c r="DV935" s="29"/>
      <c r="DW935" s="29"/>
      <c r="DX935" s="29"/>
      <c r="DY935" s="29"/>
      <c r="DZ935" s="29"/>
      <c r="EA935" s="29"/>
      <c r="EB935" s="29"/>
      <c r="EC935" s="29"/>
      <c r="ED935" s="29"/>
      <c r="EE935" s="29"/>
      <c r="EF935" s="29"/>
      <c r="EG935" s="29"/>
      <c r="EH935" s="29"/>
      <c r="EI935" s="29"/>
      <c r="EJ935" s="29"/>
      <c r="EK935" s="29"/>
      <c r="EL935" s="29"/>
      <c r="EM935" s="29"/>
      <c r="EN935" s="29"/>
      <c r="EO935" s="29"/>
      <c r="EP935" s="29"/>
      <c r="EQ935" s="29"/>
      <c r="ER935" s="29"/>
      <c r="ES935" s="29"/>
      <c r="ET935" s="29"/>
      <c r="EU935" s="29"/>
      <c r="EV935" s="29"/>
      <c r="EW935" s="29"/>
      <c r="EX935" s="29"/>
      <c r="EY935" s="29"/>
      <c r="EZ935" s="29"/>
      <c r="FA935" s="29"/>
      <c r="FB935" s="29"/>
      <c r="FC935" s="29"/>
      <c r="FD935" s="29"/>
      <c r="FE935" s="29"/>
      <c r="FF935" s="29"/>
      <c r="FG935" s="29"/>
      <c r="FH935" s="29"/>
      <c r="FI935" s="29"/>
      <c r="FJ935" s="29"/>
      <c r="FK935" s="29"/>
      <c r="FL935" s="29"/>
      <c r="FM935" s="29"/>
      <c r="FN935" s="29"/>
      <c r="FO935" s="29"/>
      <c r="FP935" s="29"/>
      <c r="FQ935" s="29"/>
      <c r="FR935" s="29"/>
      <c r="FS935" s="29"/>
      <c r="FT935" s="29"/>
      <c r="FU935" s="29"/>
      <c r="FV935" s="29"/>
      <c r="FW935" s="29"/>
      <c r="FX935" s="29"/>
      <c r="FY935" s="29"/>
      <c r="FZ935" s="29"/>
      <c r="GA935" s="29"/>
      <c r="GB935" s="29"/>
      <c r="GC935" s="29"/>
      <c r="GD935" s="29"/>
      <c r="GE935" s="29"/>
      <c r="GF935" s="29"/>
      <c r="GG935" s="29"/>
      <c r="GH935" s="29"/>
      <c r="GI935" s="29"/>
      <c r="GJ935" s="29"/>
      <c r="GK935" s="29"/>
      <c r="GL935" s="29"/>
      <c r="GM935" s="29"/>
      <c r="GN935" s="29"/>
      <c r="GO935" s="29"/>
      <c r="GP935" s="29"/>
      <c r="GQ935" s="29"/>
      <c r="GR935" s="29"/>
      <c r="GS935" s="29"/>
      <c r="GT935" s="29"/>
      <c r="GU935" s="29"/>
      <c r="GV935" s="29"/>
      <c r="GW935" s="29"/>
      <c r="GX935" s="29"/>
      <c r="GY935" s="29"/>
      <c r="GZ935" s="29"/>
      <c r="HA935" s="29"/>
      <c r="HB935" s="29"/>
      <c r="HC935" s="29"/>
      <c r="HD935" s="29"/>
      <c r="HE935" s="29"/>
      <c r="HF935" s="29"/>
      <c r="HG935" s="29"/>
      <c r="HH935" s="29"/>
      <c r="HI935" s="29"/>
      <c r="HJ935" s="29"/>
      <c r="HK935" s="29"/>
      <c r="HL935" s="29"/>
      <c r="HM935" s="29"/>
      <c r="HN935" s="29"/>
      <c r="HO935" s="29"/>
      <c r="HP935" s="29"/>
      <c r="HQ935" s="29"/>
      <c r="HR935" s="29"/>
      <c r="HS935" s="29"/>
      <c r="HT935" s="29"/>
      <c r="HU935" s="29"/>
      <c r="HV935" s="29"/>
      <c r="HW935" s="29"/>
      <c r="HX935" s="29"/>
      <c r="HY935" s="29"/>
      <c r="HZ935" s="29"/>
      <c r="IA935" s="29"/>
      <c r="IB935" s="29"/>
      <c r="IC935" s="29"/>
      <c r="ID935" s="29"/>
      <c r="IE935" s="29"/>
      <c r="IF935" s="29"/>
      <c r="IG935" s="29"/>
      <c r="IH935" s="29"/>
      <c r="II935" s="29"/>
      <c r="IJ935" s="29"/>
      <c r="IK935" s="29"/>
      <c r="IL935" s="29"/>
      <c r="IM935" s="29"/>
      <c r="IN935" s="29"/>
      <c r="IO935" s="29"/>
      <c r="IP935" s="29"/>
      <c r="IQ935" s="29"/>
      <c r="IR935" s="29"/>
      <c r="IS935" s="29"/>
      <c r="IT935" s="29"/>
      <c r="IU935" s="29"/>
      <c r="IV935" s="29"/>
      <c r="IW935" s="29"/>
      <c r="IX935" s="29"/>
      <c r="IY935" s="29"/>
      <c r="IZ935" s="29"/>
      <c r="JA935" s="29"/>
      <c r="JB935" s="29"/>
      <c r="JC935" s="29"/>
      <c r="JD935" s="29"/>
      <c r="JE935" s="29"/>
      <c r="JF935" s="29"/>
      <c r="JG935" s="29"/>
      <c r="JH935" s="29"/>
      <c r="JI935" s="29"/>
      <c r="JJ935" s="29"/>
      <c r="JK935" s="29"/>
      <c r="JL935" s="29"/>
    </row>
    <row r="936" spans="1:272" ht="34.5" customHeight="1">
      <c r="A936" s="35" t="s">
        <v>142</v>
      </c>
      <c r="B936" s="35" t="s">
        <v>64</v>
      </c>
      <c r="C936" s="35" t="s">
        <v>39</v>
      </c>
      <c r="D936" s="35" t="s">
        <v>2302</v>
      </c>
      <c r="E936" s="61" t="s">
        <v>164</v>
      </c>
      <c r="F936" s="35" t="s">
        <v>1231</v>
      </c>
      <c r="G936" s="35" t="s">
        <v>58</v>
      </c>
      <c r="H936" s="35">
        <v>236220</v>
      </c>
      <c r="I936" s="129" t="s">
        <v>546</v>
      </c>
      <c r="J936" s="35" t="s">
        <v>129</v>
      </c>
      <c r="K936" s="161" t="s">
        <v>91</v>
      </c>
      <c r="L936" s="35" t="s">
        <v>345</v>
      </c>
      <c r="M936" s="81">
        <v>150000</v>
      </c>
      <c r="N936" s="81">
        <v>150000</v>
      </c>
      <c r="O936" s="35" t="s">
        <v>387</v>
      </c>
      <c r="P936" s="30" t="s">
        <v>302</v>
      </c>
      <c r="Q936" s="31" t="s">
        <v>294</v>
      </c>
      <c r="R936" s="30" t="s">
        <v>150</v>
      </c>
      <c r="S936" s="82">
        <v>2013</v>
      </c>
      <c r="T936" s="161" t="s">
        <v>345</v>
      </c>
      <c r="U936" s="161" t="s">
        <v>345</v>
      </c>
      <c r="V936" s="35" t="s">
        <v>345</v>
      </c>
      <c r="W936" s="35" t="s">
        <v>114</v>
      </c>
      <c r="X936" s="35" t="s">
        <v>334</v>
      </c>
      <c r="Y936" s="35" t="s">
        <v>2294</v>
      </c>
      <c r="Z936" s="30" t="s">
        <v>345</v>
      </c>
      <c r="AA936" s="35" t="s">
        <v>2291</v>
      </c>
      <c r="AE936" s="29"/>
      <c r="AF936" s="29"/>
      <c r="AG936" s="29"/>
      <c r="AH936" s="29"/>
      <c r="AI936" s="29"/>
      <c r="AJ936" s="29"/>
      <c r="AK936" s="29"/>
      <c r="AL936" s="29"/>
      <c r="AM936" s="29"/>
      <c r="AN936" s="29"/>
      <c r="AO936" s="29"/>
      <c r="AP936" s="29"/>
      <c r="AQ936" s="29"/>
      <c r="AR936" s="29"/>
      <c r="AS936" s="29"/>
      <c r="AT936" s="29"/>
      <c r="AU936" s="29"/>
      <c r="AV936" s="29"/>
      <c r="AW936" s="29"/>
      <c r="AX936" s="29"/>
      <c r="AY936" s="29"/>
      <c r="AZ936" s="29"/>
      <c r="BA936" s="29"/>
      <c r="BB936" s="29"/>
      <c r="BC936" s="29"/>
      <c r="BD936" s="29"/>
      <c r="BE936" s="29"/>
      <c r="BF936" s="29"/>
      <c r="BG936" s="29"/>
      <c r="BH936" s="29"/>
      <c r="BI936" s="29"/>
      <c r="BJ936" s="29"/>
      <c r="BK936" s="29"/>
      <c r="BL936" s="29"/>
      <c r="BM936" s="29"/>
      <c r="BN936" s="29"/>
      <c r="BO936" s="29"/>
      <c r="BP936" s="29"/>
      <c r="BQ936" s="29"/>
      <c r="BR936" s="29"/>
      <c r="BS936" s="29"/>
      <c r="BT936" s="29"/>
      <c r="BU936" s="29"/>
      <c r="BV936" s="29"/>
      <c r="BW936" s="29"/>
      <c r="BX936" s="29"/>
      <c r="BY936" s="29"/>
      <c r="BZ936" s="29"/>
      <c r="CA936" s="29"/>
      <c r="CB936" s="29"/>
      <c r="CC936" s="29"/>
      <c r="CD936" s="29"/>
      <c r="CE936" s="29"/>
      <c r="CF936" s="29"/>
      <c r="CG936" s="29"/>
      <c r="CH936" s="29"/>
      <c r="CI936" s="29"/>
      <c r="CJ936" s="29"/>
      <c r="CK936" s="29"/>
      <c r="CL936" s="29"/>
      <c r="CM936" s="29"/>
      <c r="CN936" s="29"/>
      <c r="CO936" s="29"/>
      <c r="CP936" s="29"/>
      <c r="CQ936" s="29"/>
      <c r="CR936" s="29"/>
      <c r="CS936" s="29"/>
      <c r="CT936" s="29"/>
      <c r="CU936" s="29"/>
      <c r="CV936" s="29"/>
      <c r="CW936" s="29"/>
      <c r="CX936" s="29"/>
      <c r="CY936" s="29"/>
      <c r="CZ936" s="29"/>
      <c r="DA936" s="29"/>
      <c r="DB936" s="29"/>
      <c r="DC936" s="29"/>
      <c r="DD936" s="29"/>
      <c r="DE936" s="29"/>
      <c r="DF936" s="29"/>
      <c r="DG936" s="29"/>
      <c r="DH936" s="29"/>
      <c r="DI936" s="29"/>
      <c r="DJ936" s="29"/>
      <c r="DK936" s="29"/>
      <c r="DL936" s="29"/>
      <c r="DM936" s="29"/>
      <c r="DN936" s="29"/>
      <c r="DO936" s="29"/>
      <c r="DP936" s="29"/>
      <c r="DQ936" s="29"/>
      <c r="DR936" s="29"/>
      <c r="DS936" s="29"/>
      <c r="DT936" s="29"/>
      <c r="DU936" s="29"/>
      <c r="DV936" s="29"/>
      <c r="DW936" s="29"/>
      <c r="DX936" s="29"/>
      <c r="DY936" s="29"/>
      <c r="DZ936" s="29"/>
      <c r="EA936" s="29"/>
      <c r="EB936" s="29"/>
      <c r="EC936" s="29"/>
      <c r="ED936" s="29"/>
      <c r="EE936" s="29"/>
      <c r="EF936" s="29"/>
      <c r="EG936" s="29"/>
      <c r="EH936" s="29"/>
      <c r="EI936" s="29"/>
      <c r="EJ936" s="29"/>
      <c r="EK936" s="29"/>
      <c r="EL936" s="29"/>
      <c r="EM936" s="29"/>
      <c r="EN936" s="29"/>
      <c r="EO936" s="29"/>
      <c r="EP936" s="29"/>
      <c r="EQ936" s="29"/>
      <c r="ER936" s="29"/>
      <c r="ES936" s="29"/>
      <c r="ET936" s="29"/>
      <c r="EU936" s="29"/>
      <c r="EV936" s="29"/>
      <c r="EW936" s="29"/>
      <c r="EX936" s="29"/>
      <c r="EY936" s="29"/>
      <c r="EZ936" s="29"/>
      <c r="FA936" s="29"/>
      <c r="FB936" s="29"/>
      <c r="FC936" s="29"/>
      <c r="FD936" s="29"/>
      <c r="FE936" s="29"/>
      <c r="FF936" s="29"/>
      <c r="FG936" s="29"/>
      <c r="FH936" s="29"/>
      <c r="FI936" s="29"/>
      <c r="FJ936" s="29"/>
      <c r="FK936" s="29"/>
      <c r="FL936" s="29"/>
      <c r="FM936" s="29"/>
      <c r="FN936" s="29"/>
      <c r="FO936" s="29"/>
      <c r="FP936" s="29"/>
      <c r="FQ936" s="29"/>
      <c r="FR936" s="29"/>
      <c r="FS936" s="29"/>
      <c r="FT936" s="29"/>
      <c r="FU936" s="29"/>
      <c r="FV936" s="29"/>
      <c r="FW936" s="29"/>
      <c r="FX936" s="29"/>
      <c r="FY936" s="29"/>
      <c r="FZ936" s="29"/>
      <c r="GA936" s="29"/>
      <c r="GB936" s="29"/>
      <c r="GC936" s="29"/>
      <c r="GD936" s="29"/>
      <c r="GE936" s="29"/>
      <c r="GF936" s="29"/>
      <c r="GG936" s="29"/>
      <c r="GH936" s="29"/>
      <c r="GI936" s="29"/>
      <c r="GJ936" s="29"/>
      <c r="GK936" s="29"/>
      <c r="GL936" s="29"/>
      <c r="GM936" s="29"/>
      <c r="GN936" s="29"/>
      <c r="GO936" s="29"/>
      <c r="GP936" s="29"/>
      <c r="GQ936" s="29"/>
      <c r="GR936" s="29"/>
      <c r="GS936" s="29"/>
      <c r="GT936" s="29"/>
      <c r="GU936" s="29"/>
      <c r="GV936" s="29"/>
      <c r="GW936" s="29"/>
      <c r="GX936" s="29"/>
      <c r="GY936" s="29"/>
      <c r="GZ936" s="29"/>
      <c r="HA936" s="29"/>
      <c r="HB936" s="29"/>
      <c r="HC936" s="29"/>
      <c r="HD936" s="29"/>
      <c r="HE936" s="29"/>
      <c r="HF936" s="29"/>
      <c r="HG936" s="29"/>
      <c r="HH936" s="29"/>
      <c r="HI936" s="29"/>
      <c r="HJ936" s="29"/>
      <c r="HK936" s="29"/>
      <c r="HL936" s="29"/>
      <c r="HM936" s="29"/>
      <c r="HN936" s="29"/>
      <c r="HO936" s="29"/>
      <c r="HP936" s="29"/>
      <c r="HQ936" s="29"/>
      <c r="HR936" s="29"/>
      <c r="HS936" s="29"/>
      <c r="HT936" s="29"/>
      <c r="HU936" s="29"/>
      <c r="HV936" s="29"/>
      <c r="HW936" s="29"/>
      <c r="HX936" s="29"/>
      <c r="HY936" s="29"/>
      <c r="HZ936" s="29"/>
      <c r="IA936" s="29"/>
      <c r="IB936" s="29"/>
      <c r="IC936" s="29"/>
      <c r="ID936" s="29"/>
      <c r="IE936" s="29"/>
      <c r="IF936" s="29"/>
      <c r="IG936" s="29"/>
      <c r="IH936" s="29"/>
      <c r="II936" s="29"/>
      <c r="IJ936" s="29"/>
      <c r="IK936" s="29"/>
      <c r="IL936" s="29"/>
      <c r="IM936" s="29"/>
      <c r="IN936" s="29"/>
      <c r="IO936" s="29"/>
      <c r="IP936" s="29"/>
      <c r="IQ936" s="29"/>
      <c r="IR936" s="29"/>
      <c r="IS936" s="29"/>
      <c r="IT936" s="29"/>
      <c r="IU936" s="29"/>
      <c r="IV936" s="29"/>
      <c r="IW936" s="29"/>
      <c r="IX936" s="29"/>
      <c r="IY936" s="29"/>
      <c r="IZ936" s="29"/>
      <c r="JA936" s="29"/>
      <c r="JB936" s="29"/>
      <c r="JC936" s="29"/>
      <c r="JD936" s="29"/>
      <c r="JE936" s="29"/>
      <c r="JF936" s="29"/>
      <c r="JG936" s="29"/>
      <c r="JH936" s="29"/>
      <c r="JI936" s="29"/>
      <c r="JJ936" s="29"/>
      <c r="JK936" s="29"/>
      <c r="JL936" s="29"/>
    </row>
    <row r="937" spans="1:272" ht="34.5" customHeight="1">
      <c r="A937" s="35" t="s">
        <v>142</v>
      </c>
      <c r="B937" s="35" t="s">
        <v>64</v>
      </c>
      <c r="C937" s="35" t="s">
        <v>39</v>
      </c>
      <c r="D937" s="35" t="s">
        <v>2303</v>
      </c>
      <c r="E937" s="35" t="s">
        <v>88</v>
      </c>
      <c r="F937" s="35" t="s">
        <v>1231</v>
      </c>
      <c r="G937" s="35" t="s">
        <v>58</v>
      </c>
      <c r="H937" s="35">
        <v>238210</v>
      </c>
      <c r="I937" s="30" t="s">
        <v>67</v>
      </c>
      <c r="J937" s="35" t="s">
        <v>129</v>
      </c>
      <c r="K937" s="161" t="s">
        <v>91</v>
      </c>
      <c r="L937" s="35" t="s">
        <v>345</v>
      </c>
      <c r="M937" s="81">
        <v>300000</v>
      </c>
      <c r="N937" s="81">
        <v>300000</v>
      </c>
      <c r="O937" s="35" t="s">
        <v>387</v>
      </c>
      <c r="P937" s="30" t="s">
        <v>302</v>
      </c>
      <c r="Q937" s="35" t="s">
        <v>294</v>
      </c>
      <c r="R937" s="161" t="s">
        <v>80</v>
      </c>
      <c r="S937" s="82">
        <v>2014</v>
      </c>
      <c r="T937" s="161" t="s">
        <v>345</v>
      </c>
      <c r="U937" s="161" t="s">
        <v>345</v>
      </c>
      <c r="V937" s="35" t="s">
        <v>345</v>
      </c>
      <c r="W937" s="35" t="s">
        <v>114</v>
      </c>
      <c r="X937" s="35" t="s">
        <v>334</v>
      </c>
      <c r="Y937" s="35" t="s">
        <v>2301</v>
      </c>
      <c r="Z937" s="35" t="s">
        <v>345</v>
      </c>
      <c r="AA937" s="35" t="s">
        <v>2287</v>
      </c>
      <c r="AE937" s="29"/>
      <c r="AF937" s="29"/>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c r="BC937" s="29"/>
      <c r="BD937" s="29"/>
      <c r="BE937" s="29"/>
      <c r="BF937" s="29"/>
      <c r="BG937" s="29"/>
      <c r="BH937" s="29"/>
      <c r="BI937" s="29"/>
      <c r="BJ937" s="29"/>
      <c r="BK937" s="29"/>
      <c r="BL937" s="29"/>
      <c r="BM937" s="29"/>
      <c r="BN937" s="29"/>
      <c r="BO937" s="29"/>
      <c r="BP937" s="29"/>
      <c r="BQ937" s="29"/>
      <c r="BR937" s="29"/>
      <c r="BS937" s="29"/>
      <c r="BT937" s="29"/>
      <c r="BU937" s="29"/>
      <c r="BV937" s="29"/>
      <c r="BW937" s="29"/>
      <c r="BX937" s="29"/>
      <c r="BY937" s="29"/>
      <c r="BZ937" s="29"/>
      <c r="CA937" s="29"/>
      <c r="CB937" s="29"/>
      <c r="CC937" s="29"/>
      <c r="CD937" s="29"/>
      <c r="CE937" s="29"/>
      <c r="CF937" s="29"/>
      <c r="CG937" s="29"/>
      <c r="CH937" s="29"/>
      <c r="CI937" s="29"/>
      <c r="CJ937" s="29"/>
      <c r="CK937" s="29"/>
      <c r="CL937" s="29"/>
      <c r="CM937" s="29"/>
      <c r="CN937" s="29"/>
      <c r="CO937" s="29"/>
      <c r="CP937" s="29"/>
      <c r="CQ937" s="29"/>
      <c r="CR937" s="29"/>
      <c r="CS937" s="29"/>
      <c r="CT937" s="29"/>
      <c r="CU937" s="29"/>
      <c r="CV937" s="29"/>
      <c r="CW937" s="29"/>
      <c r="CX937" s="29"/>
      <c r="CY937" s="29"/>
      <c r="CZ937" s="29"/>
      <c r="DA937" s="29"/>
      <c r="DB937" s="29"/>
      <c r="DC937" s="29"/>
      <c r="DD937" s="29"/>
      <c r="DE937" s="29"/>
      <c r="DF937" s="29"/>
      <c r="DG937" s="29"/>
      <c r="DH937" s="29"/>
      <c r="DI937" s="29"/>
      <c r="DJ937" s="29"/>
      <c r="DK937" s="29"/>
      <c r="DL937" s="29"/>
      <c r="DM937" s="29"/>
      <c r="DN937" s="29"/>
      <c r="DO937" s="29"/>
      <c r="DP937" s="29"/>
      <c r="DQ937" s="29"/>
      <c r="DR937" s="29"/>
      <c r="DS937" s="29"/>
      <c r="DT937" s="29"/>
      <c r="DU937" s="29"/>
      <c r="DV937" s="29"/>
      <c r="DW937" s="29"/>
      <c r="DX937" s="29"/>
      <c r="DY937" s="29"/>
      <c r="DZ937" s="29"/>
      <c r="EA937" s="29"/>
      <c r="EB937" s="29"/>
      <c r="EC937" s="29"/>
      <c r="ED937" s="29"/>
      <c r="EE937" s="29"/>
      <c r="EF937" s="29"/>
      <c r="EG937" s="29"/>
      <c r="EH937" s="29"/>
      <c r="EI937" s="29"/>
      <c r="EJ937" s="29"/>
      <c r="EK937" s="29"/>
      <c r="EL937" s="29"/>
      <c r="EM937" s="29"/>
      <c r="EN937" s="29"/>
      <c r="EO937" s="29"/>
      <c r="EP937" s="29"/>
      <c r="EQ937" s="29"/>
      <c r="ER937" s="29"/>
      <c r="ES937" s="29"/>
      <c r="ET937" s="29"/>
      <c r="EU937" s="29"/>
      <c r="EV937" s="29"/>
      <c r="EW937" s="29"/>
      <c r="EX937" s="29"/>
      <c r="EY937" s="29"/>
      <c r="EZ937" s="29"/>
      <c r="FA937" s="29"/>
      <c r="FB937" s="29"/>
      <c r="FC937" s="29"/>
      <c r="FD937" s="29"/>
      <c r="FE937" s="29"/>
      <c r="FF937" s="29"/>
      <c r="FG937" s="29"/>
      <c r="FH937" s="29"/>
      <c r="FI937" s="29"/>
      <c r="FJ937" s="29"/>
      <c r="FK937" s="29"/>
      <c r="FL937" s="29"/>
      <c r="FM937" s="29"/>
      <c r="FN937" s="29"/>
      <c r="FO937" s="29"/>
      <c r="FP937" s="29"/>
      <c r="FQ937" s="29"/>
      <c r="FR937" s="29"/>
      <c r="FS937" s="29"/>
      <c r="FT937" s="29"/>
      <c r="FU937" s="29"/>
      <c r="FV937" s="29"/>
      <c r="FW937" s="29"/>
      <c r="FX937" s="29"/>
      <c r="FY937" s="29"/>
      <c r="FZ937" s="29"/>
      <c r="GA937" s="29"/>
      <c r="GB937" s="29"/>
      <c r="GC937" s="29"/>
      <c r="GD937" s="29"/>
      <c r="GE937" s="29"/>
      <c r="GF937" s="29"/>
      <c r="GG937" s="29"/>
      <c r="GH937" s="29"/>
      <c r="GI937" s="29"/>
      <c r="GJ937" s="29"/>
      <c r="GK937" s="29"/>
      <c r="GL937" s="29"/>
      <c r="GM937" s="29"/>
      <c r="GN937" s="29"/>
      <c r="GO937" s="29"/>
      <c r="GP937" s="29"/>
      <c r="GQ937" s="29"/>
      <c r="GR937" s="29"/>
      <c r="GS937" s="29"/>
      <c r="GT937" s="29"/>
      <c r="GU937" s="29"/>
      <c r="GV937" s="29"/>
      <c r="GW937" s="29"/>
      <c r="GX937" s="29"/>
      <c r="GY937" s="29"/>
      <c r="GZ937" s="29"/>
      <c r="HA937" s="29"/>
      <c r="HB937" s="29"/>
      <c r="HC937" s="29"/>
      <c r="HD937" s="29"/>
      <c r="HE937" s="29"/>
      <c r="HF937" s="29"/>
      <c r="HG937" s="29"/>
      <c r="HH937" s="29"/>
      <c r="HI937" s="29"/>
      <c r="HJ937" s="29"/>
      <c r="HK937" s="29"/>
      <c r="HL937" s="29"/>
      <c r="HM937" s="29"/>
      <c r="HN937" s="29"/>
      <c r="HO937" s="29"/>
      <c r="HP937" s="29"/>
      <c r="HQ937" s="29"/>
      <c r="HR937" s="29"/>
      <c r="HS937" s="29"/>
      <c r="HT937" s="29"/>
      <c r="HU937" s="29"/>
      <c r="HV937" s="29"/>
      <c r="HW937" s="29"/>
      <c r="HX937" s="29"/>
      <c r="HY937" s="29"/>
      <c r="HZ937" s="29"/>
      <c r="IA937" s="29"/>
      <c r="IB937" s="29"/>
      <c r="IC937" s="29"/>
      <c r="ID937" s="29"/>
      <c r="IE937" s="29"/>
      <c r="IF937" s="29"/>
      <c r="IG937" s="29"/>
      <c r="IH937" s="29"/>
      <c r="II937" s="29"/>
      <c r="IJ937" s="29"/>
      <c r="IK937" s="29"/>
      <c r="IL937" s="29"/>
      <c r="IM937" s="29"/>
      <c r="IN937" s="29"/>
      <c r="IO937" s="29"/>
      <c r="IP937" s="29"/>
      <c r="IQ937" s="29"/>
      <c r="IR937" s="29"/>
      <c r="IS937" s="29"/>
      <c r="IT937" s="29"/>
      <c r="IU937" s="29"/>
      <c r="IV937" s="29"/>
      <c r="IW937" s="29"/>
      <c r="IX937" s="29"/>
      <c r="IY937" s="29"/>
      <c r="IZ937" s="29"/>
      <c r="JA937" s="29"/>
      <c r="JB937" s="29"/>
      <c r="JC937" s="29"/>
      <c r="JD937" s="29"/>
      <c r="JE937" s="29"/>
      <c r="JF937" s="29"/>
      <c r="JG937" s="29"/>
      <c r="JH937" s="29"/>
      <c r="JI937" s="29"/>
      <c r="JJ937" s="29"/>
      <c r="JK937" s="29"/>
      <c r="JL937" s="29"/>
    </row>
    <row r="938" spans="1:272" ht="34.5" customHeight="1">
      <c r="A938" s="35" t="s">
        <v>142</v>
      </c>
      <c r="B938" s="35" t="s">
        <v>64</v>
      </c>
      <c r="C938" s="35" t="s">
        <v>39</v>
      </c>
      <c r="D938" s="35" t="s">
        <v>2304</v>
      </c>
      <c r="E938" s="30" t="s">
        <v>164</v>
      </c>
      <c r="F938" s="35" t="s">
        <v>1231</v>
      </c>
      <c r="G938" s="35" t="s">
        <v>58</v>
      </c>
      <c r="H938" s="35">
        <v>236220</v>
      </c>
      <c r="I938" s="129" t="s">
        <v>546</v>
      </c>
      <c r="J938" s="35" t="s">
        <v>129</v>
      </c>
      <c r="K938" s="161" t="s">
        <v>91</v>
      </c>
      <c r="L938" s="35" t="s">
        <v>345</v>
      </c>
      <c r="M938" s="81">
        <v>125000</v>
      </c>
      <c r="N938" s="81">
        <v>125000</v>
      </c>
      <c r="O938" s="35" t="s">
        <v>387</v>
      </c>
      <c r="P938" s="30" t="s">
        <v>302</v>
      </c>
      <c r="Q938" s="35" t="s">
        <v>294</v>
      </c>
      <c r="R938" s="35" t="s">
        <v>100</v>
      </c>
      <c r="S938" s="82">
        <v>2014</v>
      </c>
      <c r="T938" s="161" t="s">
        <v>345</v>
      </c>
      <c r="U938" s="161" t="s">
        <v>345</v>
      </c>
      <c r="V938" s="35" t="s">
        <v>345</v>
      </c>
      <c r="W938" s="35" t="s">
        <v>114</v>
      </c>
      <c r="X938" s="35" t="s">
        <v>438</v>
      </c>
      <c r="Y938" s="35" t="s">
        <v>439</v>
      </c>
      <c r="Z938" s="35" t="s">
        <v>345</v>
      </c>
      <c r="AA938" s="35" t="s">
        <v>2287</v>
      </c>
      <c r="AE938" s="29"/>
      <c r="AF938" s="29"/>
      <c r="AG938" s="29"/>
      <c r="AH938" s="29"/>
      <c r="AI938" s="29"/>
      <c r="AJ938" s="29"/>
      <c r="AK938" s="29"/>
      <c r="AL938" s="29"/>
      <c r="AM938" s="29"/>
      <c r="AN938" s="29"/>
      <c r="AO938" s="29"/>
      <c r="AP938" s="29"/>
      <c r="AQ938" s="29"/>
      <c r="AR938" s="29"/>
      <c r="AS938" s="29"/>
      <c r="AT938" s="29"/>
      <c r="AU938" s="29"/>
      <c r="AV938" s="29"/>
      <c r="AW938" s="29"/>
      <c r="AX938" s="29"/>
      <c r="AY938" s="29"/>
      <c r="AZ938" s="29"/>
      <c r="BA938" s="29"/>
      <c r="BB938" s="29"/>
      <c r="BC938" s="29"/>
      <c r="BD938" s="29"/>
      <c r="BE938" s="29"/>
      <c r="BF938" s="29"/>
      <c r="BG938" s="29"/>
      <c r="BH938" s="29"/>
      <c r="BI938" s="29"/>
      <c r="BJ938" s="29"/>
      <c r="BK938" s="29"/>
      <c r="BL938" s="29"/>
      <c r="BM938" s="29"/>
      <c r="BN938" s="29"/>
      <c r="BO938" s="29"/>
      <c r="BP938" s="29"/>
      <c r="BQ938" s="29"/>
      <c r="BR938" s="29"/>
      <c r="BS938" s="29"/>
      <c r="BT938" s="29"/>
      <c r="BU938" s="29"/>
      <c r="BV938" s="29"/>
      <c r="BW938" s="29"/>
      <c r="BX938" s="29"/>
      <c r="BY938" s="29"/>
      <c r="BZ938" s="29"/>
      <c r="CA938" s="29"/>
      <c r="CB938" s="29"/>
      <c r="CC938" s="29"/>
      <c r="CD938" s="29"/>
      <c r="CE938" s="29"/>
      <c r="CF938" s="29"/>
      <c r="CG938" s="29"/>
      <c r="CH938" s="29"/>
      <c r="CI938" s="29"/>
      <c r="CJ938" s="29"/>
      <c r="CK938" s="29"/>
      <c r="CL938" s="29"/>
      <c r="CM938" s="29"/>
      <c r="CN938" s="29"/>
      <c r="CO938" s="29"/>
      <c r="CP938" s="29"/>
      <c r="CQ938" s="29"/>
      <c r="CR938" s="29"/>
      <c r="CS938" s="29"/>
      <c r="CT938" s="29"/>
      <c r="CU938" s="29"/>
      <c r="CV938" s="29"/>
      <c r="CW938" s="29"/>
      <c r="CX938" s="29"/>
      <c r="CY938" s="29"/>
      <c r="CZ938" s="29"/>
      <c r="DA938" s="29"/>
      <c r="DB938" s="29"/>
      <c r="DC938" s="29"/>
      <c r="DD938" s="29"/>
      <c r="DE938" s="29"/>
      <c r="DF938" s="29"/>
      <c r="DG938" s="29"/>
      <c r="DH938" s="29"/>
      <c r="DI938" s="29"/>
      <c r="DJ938" s="29"/>
      <c r="DK938" s="29"/>
      <c r="DL938" s="29"/>
      <c r="DM938" s="29"/>
      <c r="DN938" s="29"/>
      <c r="DO938" s="29"/>
      <c r="DP938" s="29"/>
      <c r="DQ938" s="29"/>
      <c r="DR938" s="29"/>
      <c r="DS938" s="29"/>
      <c r="DT938" s="29"/>
      <c r="DU938" s="29"/>
      <c r="DV938" s="29"/>
      <c r="DW938" s="29"/>
      <c r="DX938" s="29"/>
      <c r="DY938" s="29"/>
      <c r="DZ938" s="29"/>
      <c r="EA938" s="29"/>
      <c r="EB938" s="29"/>
      <c r="EC938" s="29"/>
      <c r="ED938" s="29"/>
      <c r="EE938" s="29"/>
      <c r="EF938" s="29"/>
      <c r="EG938" s="29"/>
      <c r="EH938" s="29"/>
      <c r="EI938" s="29"/>
      <c r="EJ938" s="29"/>
      <c r="EK938" s="29"/>
      <c r="EL938" s="29"/>
      <c r="EM938" s="29"/>
      <c r="EN938" s="29"/>
      <c r="EO938" s="29"/>
      <c r="EP938" s="29"/>
      <c r="EQ938" s="29"/>
      <c r="ER938" s="29"/>
      <c r="ES938" s="29"/>
      <c r="ET938" s="29"/>
      <c r="EU938" s="29"/>
      <c r="EV938" s="29"/>
      <c r="EW938" s="29"/>
      <c r="EX938" s="29"/>
      <c r="EY938" s="29"/>
      <c r="EZ938" s="29"/>
      <c r="FA938" s="29"/>
      <c r="FB938" s="29"/>
      <c r="FC938" s="29"/>
      <c r="FD938" s="29"/>
      <c r="FE938" s="29"/>
      <c r="FF938" s="29"/>
      <c r="FG938" s="29"/>
      <c r="FH938" s="29"/>
      <c r="FI938" s="29"/>
      <c r="FJ938" s="29"/>
      <c r="FK938" s="29"/>
      <c r="FL938" s="29"/>
      <c r="FM938" s="29"/>
      <c r="FN938" s="29"/>
      <c r="FO938" s="29"/>
      <c r="FP938" s="29"/>
      <c r="FQ938" s="29"/>
      <c r="FR938" s="29"/>
      <c r="FS938" s="29"/>
      <c r="FT938" s="29"/>
      <c r="FU938" s="29"/>
      <c r="FV938" s="29"/>
      <c r="FW938" s="29"/>
      <c r="FX938" s="29"/>
      <c r="FY938" s="29"/>
      <c r="FZ938" s="29"/>
      <c r="GA938" s="29"/>
      <c r="GB938" s="29"/>
      <c r="GC938" s="29"/>
      <c r="GD938" s="29"/>
      <c r="GE938" s="29"/>
      <c r="GF938" s="29"/>
      <c r="GG938" s="29"/>
      <c r="GH938" s="29"/>
      <c r="GI938" s="29"/>
      <c r="GJ938" s="29"/>
      <c r="GK938" s="29"/>
      <c r="GL938" s="29"/>
      <c r="GM938" s="29"/>
      <c r="GN938" s="29"/>
      <c r="GO938" s="29"/>
      <c r="GP938" s="29"/>
      <c r="GQ938" s="29"/>
      <c r="GR938" s="29"/>
      <c r="GS938" s="29"/>
      <c r="GT938" s="29"/>
      <c r="GU938" s="29"/>
      <c r="GV938" s="29"/>
      <c r="GW938" s="29"/>
      <c r="GX938" s="29"/>
      <c r="GY938" s="29"/>
      <c r="GZ938" s="29"/>
      <c r="HA938" s="29"/>
      <c r="HB938" s="29"/>
      <c r="HC938" s="29"/>
      <c r="HD938" s="29"/>
      <c r="HE938" s="29"/>
      <c r="HF938" s="29"/>
      <c r="HG938" s="29"/>
      <c r="HH938" s="29"/>
      <c r="HI938" s="29"/>
      <c r="HJ938" s="29"/>
      <c r="HK938" s="29"/>
      <c r="HL938" s="29"/>
      <c r="HM938" s="29"/>
      <c r="HN938" s="29"/>
      <c r="HO938" s="29"/>
      <c r="HP938" s="29"/>
      <c r="HQ938" s="29"/>
      <c r="HR938" s="29"/>
      <c r="HS938" s="29"/>
      <c r="HT938" s="29"/>
      <c r="HU938" s="29"/>
      <c r="HV938" s="29"/>
      <c r="HW938" s="29"/>
      <c r="HX938" s="29"/>
      <c r="HY938" s="29"/>
      <c r="HZ938" s="29"/>
      <c r="IA938" s="29"/>
      <c r="IB938" s="29"/>
      <c r="IC938" s="29"/>
      <c r="ID938" s="29"/>
      <c r="IE938" s="29"/>
      <c r="IF938" s="29"/>
      <c r="IG938" s="29"/>
      <c r="IH938" s="29"/>
      <c r="II938" s="29"/>
      <c r="IJ938" s="29"/>
      <c r="IK938" s="29"/>
      <c r="IL938" s="29"/>
      <c r="IM938" s="29"/>
      <c r="IN938" s="29"/>
      <c r="IO938" s="29"/>
      <c r="IP938" s="29"/>
      <c r="IQ938" s="29"/>
      <c r="IR938" s="29"/>
      <c r="IS938" s="29"/>
      <c r="IT938" s="29"/>
      <c r="IU938" s="29"/>
      <c r="IV938" s="29"/>
      <c r="IW938" s="29"/>
      <c r="IX938" s="29"/>
      <c r="IY938" s="29"/>
      <c r="IZ938" s="29"/>
      <c r="JA938" s="29"/>
      <c r="JB938" s="29"/>
      <c r="JC938" s="29"/>
      <c r="JD938" s="29"/>
      <c r="JE938" s="29"/>
      <c r="JF938" s="29"/>
      <c r="JG938" s="29"/>
      <c r="JH938" s="29"/>
      <c r="JI938" s="29"/>
      <c r="JJ938" s="29"/>
      <c r="JK938" s="29"/>
      <c r="JL938" s="29"/>
    </row>
    <row r="939" spans="1:272" ht="39.950000000000003" customHeight="1">
      <c r="A939" s="30" t="s">
        <v>142</v>
      </c>
      <c r="B939" s="30" t="s">
        <v>116</v>
      </c>
      <c r="C939" s="35" t="s">
        <v>2305</v>
      </c>
      <c r="D939" s="35" t="s">
        <v>2306</v>
      </c>
      <c r="E939" s="35" t="s">
        <v>152</v>
      </c>
      <c r="F939" s="129" t="s">
        <v>822</v>
      </c>
      <c r="G939" s="129" t="s">
        <v>243</v>
      </c>
      <c r="H939" s="35"/>
      <c r="I939" s="35"/>
      <c r="J939" s="35" t="s">
        <v>2307</v>
      </c>
      <c r="K939" s="35"/>
      <c r="L939" s="35"/>
      <c r="M939" s="81">
        <v>700000</v>
      </c>
      <c r="N939" s="81">
        <v>700000</v>
      </c>
      <c r="O939" s="35" t="s">
        <v>79</v>
      </c>
      <c r="P939" s="35" t="s">
        <v>2308</v>
      </c>
      <c r="Q939" s="35" t="s">
        <v>294</v>
      </c>
      <c r="R939" s="35" t="s">
        <v>2309</v>
      </c>
      <c r="S939" s="82">
        <v>2014</v>
      </c>
      <c r="T939" s="161" t="s">
        <v>2310</v>
      </c>
      <c r="U939" s="161" t="s">
        <v>2311</v>
      </c>
      <c r="V939" s="35" t="s">
        <v>2312</v>
      </c>
      <c r="W939" s="30" t="s">
        <v>81</v>
      </c>
      <c r="X939" s="35"/>
      <c r="Y939" s="35"/>
      <c r="Z939" s="35"/>
      <c r="AA939" s="30" t="s">
        <v>3354</v>
      </c>
      <c r="JB939" s="29"/>
      <c r="JC939" s="29"/>
      <c r="JD939" s="29"/>
      <c r="JE939" s="29"/>
      <c r="JF939" s="29"/>
      <c r="JG939" s="29"/>
      <c r="JH939" s="29"/>
      <c r="JI939" s="29"/>
      <c r="JJ939" s="29"/>
      <c r="JK939" s="29"/>
      <c r="JL939" s="29"/>
    </row>
    <row r="940" spans="1:272" ht="38.25" customHeight="1">
      <c r="A940" s="30" t="s">
        <v>71</v>
      </c>
      <c r="B940" s="30" t="s">
        <v>56</v>
      </c>
      <c r="C940" s="35"/>
      <c r="D940" s="30" t="s">
        <v>2313</v>
      </c>
      <c r="E940" s="30" t="s">
        <v>2314</v>
      </c>
      <c r="F940" s="30" t="s">
        <v>2315</v>
      </c>
      <c r="G940" s="35" t="s">
        <v>195</v>
      </c>
      <c r="H940" s="35">
        <v>811111</v>
      </c>
      <c r="I940" s="35"/>
      <c r="J940" s="152" t="s">
        <v>3400</v>
      </c>
      <c r="K940" s="35" t="s">
        <v>2316</v>
      </c>
      <c r="L940" s="129" t="s">
        <v>3407</v>
      </c>
      <c r="M940" s="81">
        <v>800000</v>
      </c>
      <c r="N940" s="81">
        <v>2400000</v>
      </c>
      <c r="O940" s="35" t="s">
        <v>79</v>
      </c>
      <c r="P940" s="35" t="s">
        <v>2317</v>
      </c>
      <c r="Q940" s="152" t="s">
        <v>294</v>
      </c>
      <c r="R940" s="129" t="s">
        <v>100</v>
      </c>
      <c r="S940" s="82">
        <v>2014</v>
      </c>
      <c r="T940" s="161" t="s">
        <v>2318</v>
      </c>
      <c r="U940" s="161" t="s">
        <v>2319</v>
      </c>
      <c r="V940" s="35" t="s">
        <v>2320</v>
      </c>
      <c r="W940" s="129" t="s">
        <v>92</v>
      </c>
      <c r="X940" s="35" t="s">
        <v>2047</v>
      </c>
      <c r="Y940" s="35" t="s">
        <v>2321</v>
      </c>
      <c r="Z940" s="84">
        <v>42735</v>
      </c>
      <c r="AA940" s="35"/>
      <c r="AE940" s="29"/>
      <c r="AF940" s="29"/>
      <c r="AG940" s="29"/>
      <c r="AH940" s="29"/>
      <c r="AI940" s="29"/>
      <c r="AJ940" s="29"/>
      <c r="AK940" s="29"/>
      <c r="AL940" s="29"/>
      <c r="AM940" s="29"/>
      <c r="AN940" s="29"/>
      <c r="AO940" s="29"/>
      <c r="AP940" s="29"/>
      <c r="AQ940" s="29"/>
      <c r="AR940" s="29"/>
      <c r="AS940" s="29"/>
      <c r="AT940" s="29"/>
      <c r="AU940" s="29"/>
      <c r="AV940" s="29"/>
      <c r="AW940" s="29"/>
      <c r="AX940" s="29"/>
      <c r="AY940" s="29"/>
      <c r="AZ940" s="29"/>
      <c r="BA940" s="29"/>
      <c r="BB940" s="29"/>
      <c r="BC940" s="29"/>
      <c r="BD940" s="29"/>
      <c r="BE940" s="29"/>
      <c r="BF940" s="29"/>
      <c r="BG940" s="29"/>
      <c r="BH940" s="29"/>
      <c r="BI940" s="29"/>
      <c r="BJ940" s="29"/>
      <c r="BK940" s="29"/>
      <c r="BL940" s="29"/>
      <c r="BM940" s="29"/>
      <c r="BN940" s="29"/>
      <c r="BO940" s="29"/>
      <c r="BP940" s="29"/>
      <c r="BQ940" s="29"/>
      <c r="BR940" s="29"/>
      <c r="BS940" s="29"/>
      <c r="BT940" s="29"/>
      <c r="BU940" s="29"/>
      <c r="BV940" s="29"/>
      <c r="BW940" s="29"/>
      <c r="BX940" s="29"/>
      <c r="BY940" s="29"/>
      <c r="BZ940" s="29"/>
      <c r="CA940" s="29"/>
      <c r="CB940" s="29"/>
      <c r="CC940" s="29"/>
      <c r="CD940" s="29"/>
      <c r="CE940" s="29"/>
      <c r="CF940" s="29"/>
      <c r="CG940" s="29"/>
      <c r="CH940" s="29"/>
      <c r="CI940" s="29"/>
      <c r="CJ940" s="29"/>
      <c r="CK940" s="29"/>
      <c r="CL940" s="29"/>
      <c r="CM940" s="29"/>
      <c r="CN940" s="29"/>
      <c r="CO940" s="29"/>
      <c r="CP940" s="29"/>
      <c r="CQ940" s="29"/>
      <c r="CR940" s="29"/>
      <c r="CS940" s="29"/>
      <c r="CT940" s="29"/>
      <c r="CU940" s="29"/>
      <c r="CV940" s="29"/>
      <c r="CW940" s="29"/>
      <c r="CX940" s="29"/>
      <c r="CY940" s="29"/>
      <c r="CZ940" s="29"/>
      <c r="DA940" s="29"/>
      <c r="DB940" s="29"/>
      <c r="DC940" s="29"/>
      <c r="DD940" s="29"/>
      <c r="DE940" s="29"/>
      <c r="DF940" s="29"/>
      <c r="DG940" s="29"/>
      <c r="DH940" s="29"/>
      <c r="DI940" s="29"/>
      <c r="DJ940" s="29"/>
      <c r="DK940" s="29"/>
      <c r="DL940" s="29"/>
      <c r="DM940" s="29"/>
      <c r="DN940" s="29"/>
      <c r="DO940" s="29"/>
      <c r="DP940" s="29"/>
      <c r="DQ940" s="29"/>
      <c r="DR940" s="29"/>
      <c r="DS940" s="29"/>
      <c r="DT940" s="29"/>
      <c r="DU940" s="29"/>
      <c r="DV940" s="29"/>
      <c r="DW940" s="29"/>
      <c r="DX940" s="29"/>
      <c r="DY940" s="29"/>
      <c r="DZ940" s="29"/>
      <c r="EA940" s="29"/>
      <c r="EB940" s="29"/>
      <c r="EC940" s="29"/>
      <c r="ED940" s="29"/>
      <c r="EE940" s="29"/>
      <c r="EF940" s="29"/>
      <c r="EG940" s="29"/>
      <c r="EH940" s="29"/>
      <c r="EI940" s="29"/>
      <c r="EJ940" s="29"/>
      <c r="EK940" s="29"/>
      <c r="EL940" s="29"/>
      <c r="EM940" s="29"/>
      <c r="EN940" s="29"/>
      <c r="EO940" s="29"/>
      <c r="EP940" s="29"/>
      <c r="EQ940" s="29"/>
      <c r="ER940" s="29"/>
      <c r="ES940" s="29"/>
      <c r="ET940" s="29"/>
      <c r="EU940" s="29"/>
      <c r="EV940" s="29"/>
      <c r="EW940" s="29"/>
      <c r="EX940" s="29"/>
      <c r="EY940" s="29"/>
      <c r="EZ940" s="29"/>
      <c r="FA940" s="29"/>
      <c r="FB940" s="29"/>
      <c r="FC940" s="29"/>
      <c r="FD940" s="29"/>
      <c r="FE940" s="29"/>
      <c r="FF940" s="29"/>
      <c r="FG940" s="29"/>
      <c r="FH940" s="29"/>
      <c r="FI940" s="29"/>
      <c r="FJ940" s="29"/>
      <c r="FK940" s="29"/>
      <c r="FL940" s="29"/>
      <c r="FM940" s="29"/>
      <c r="FN940" s="29"/>
      <c r="FO940" s="29"/>
      <c r="FP940" s="29"/>
      <c r="FQ940" s="29"/>
      <c r="FR940" s="29"/>
      <c r="FS940" s="29"/>
      <c r="FT940" s="29"/>
      <c r="FU940" s="29"/>
      <c r="FV940" s="29"/>
      <c r="FW940" s="29"/>
      <c r="FX940" s="29"/>
      <c r="FY940" s="29"/>
      <c r="FZ940" s="29"/>
      <c r="GA940" s="29"/>
      <c r="GB940" s="29"/>
      <c r="GC940" s="29"/>
      <c r="GD940" s="29"/>
      <c r="GE940" s="29"/>
      <c r="GF940" s="29"/>
      <c r="GG940" s="29"/>
      <c r="GH940" s="29"/>
      <c r="GI940" s="29"/>
      <c r="GJ940" s="29"/>
      <c r="GK940" s="29"/>
      <c r="GL940" s="29"/>
      <c r="GM940" s="29"/>
      <c r="GN940" s="29"/>
      <c r="GO940" s="29"/>
      <c r="GP940" s="29"/>
      <c r="GQ940" s="29"/>
      <c r="GR940" s="29"/>
      <c r="GS940" s="29"/>
      <c r="GT940" s="29"/>
      <c r="GU940" s="29"/>
      <c r="GV940" s="29"/>
      <c r="GW940" s="29"/>
      <c r="GX940" s="29"/>
      <c r="GY940" s="29"/>
      <c r="GZ940" s="29"/>
      <c r="HA940" s="29"/>
      <c r="HB940" s="29"/>
      <c r="HC940" s="29"/>
      <c r="HD940" s="29"/>
      <c r="HE940" s="29"/>
      <c r="HF940" s="29"/>
      <c r="HG940" s="29"/>
      <c r="HH940" s="29"/>
      <c r="HI940" s="29"/>
      <c r="HJ940" s="29"/>
      <c r="HK940" s="29"/>
      <c r="HL940" s="29"/>
      <c r="HM940" s="29"/>
      <c r="HN940" s="29"/>
      <c r="HO940" s="29"/>
      <c r="HP940" s="29"/>
      <c r="HQ940" s="29"/>
      <c r="HR940" s="29"/>
      <c r="HS940" s="29"/>
      <c r="HT940" s="29"/>
      <c r="HU940" s="29"/>
      <c r="HV940" s="29"/>
      <c r="HW940" s="29"/>
      <c r="HX940" s="29"/>
      <c r="HY940" s="29"/>
      <c r="HZ940" s="29"/>
      <c r="IA940" s="29"/>
      <c r="IB940" s="29"/>
      <c r="IC940" s="29"/>
      <c r="ID940" s="29"/>
      <c r="IE940" s="29"/>
      <c r="IF940" s="29"/>
      <c r="IG940" s="29"/>
      <c r="IH940" s="29"/>
      <c r="II940" s="29"/>
      <c r="IJ940" s="29"/>
      <c r="IK940" s="29"/>
      <c r="IL940" s="29"/>
      <c r="IM940" s="29"/>
      <c r="IN940" s="29"/>
      <c r="IO940" s="29"/>
      <c r="IP940" s="29"/>
      <c r="IQ940" s="29"/>
      <c r="IR940" s="29"/>
      <c r="IS940" s="29"/>
      <c r="IT940" s="29"/>
      <c r="IU940" s="29"/>
      <c r="IV940" s="29"/>
      <c r="IW940" s="29"/>
      <c r="IX940" s="29"/>
      <c r="IY940" s="29"/>
      <c r="IZ940" s="29"/>
      <c r="JA940" s="29"/>
      <c r="JB940" s="29"/>
      <c r="JC940" s="29"/>
      <c r="JD940" s="29"/>
      <c r="JE940" s="29"/>
      <c r="JF940" s="29"/>
      <c r="JG940" s="29"/>
      <c r="JH940" s="29"/>
      <c r="JI940" s="29"/>
      <c r="JJ940" s="29"/>
      <c r="JK940" s="29"/>
      <c r="JL940" s="29"/>
    </row>
    <row r="941" spans="1:272" ht="38.25" customHeight="1">
      <c r="A941" s="30" t="s">
        <v>71</v>
      </c>
      <c r="B941" s="30" t="s">
        <v>56</v>
      </c>
      <c r="C941" s="35" t="s">
        <v>2322</v>
      </c>
      <c r="D941" s="35" t="s">
        <v>2323</v>
      </c>
      <c r="E941" s="35" t="s">
        <v>2324</v>
      </c>
      <c r="F941" s="35" t="s">
        <v>883</v>
      </c>
      <c r="G941" s="35" t="s">
        <v>225</v>
      </c>
      <c r="H941" s="35"/>
      <c r="I941" s="129" t="s">
        <v>59</v>
      </c>
      <c r="J941" s="35" t="s">
        <v>2325</v>
      </c>
      <c r="K941" s="35" t="s">
        <v>1989</v>
      </c>
      <c r="L941" s="30" t="s">
        <v>2326</v>
      </c>
      <c r="M941" s="81">
        <v>375565</v>
      </c>
      <c r="N941" s="81">
        <v>1500000</v>
      </c>
      <c r="O941" s="35" t="s">
        <v>79</v>
      </c>
      <c r="P941" s="35" t="s">
        <v>2327</v>
      </c>
      <c r="Q941" s="30" t="s">
        <v>2328</v>
      </c>
      <c r="R941" s="35"/>
      <c r="S941" s="82"/>
      <c r="T941" s="161" t="s">
        <v>2329</v>
      </c>
      <c r="U941" s="161" t="s">
        <v>2330</v>
      </c>
      <c r="V941" s="35" t="s">
        <v>2331</v>
      </c>
      <c r="W941" s="129" t="s">
        <v>92</v>
      </c>
      <c r="X941" s="35" t="s">
        <v>302</v>
      </c>
      <c r="Y941" s="35" t="s">
        <v>302</v>
      </c>
      <c r="Z941" s="35" t="s">
        <v>144</v>
      </c>
      <c r="AA941" s="35"/>
    </row>
    <row r="942" spans="1:272" ht="34.5" customHeight="1">
      <c r="A942" s="30" t="s">
        <v>71</v>
      </c>
      <c r="B942" s="30" t="s">
        <v>56</v>
      </c>
      <c r="C942" s="35" t="s">
        <v>2322</v>
      </c>
      <c r="D942" s="35" t="s">
        <v>2332</v>
      </c>
      <c r="E942" s="30" t="s">
        <v>2333</v>
      </c>
      <c r="F942" s="35" t="s">
        <v>883</v>
      </c>
      <c r="G942" s="35" t="s">
        <v>225</v>
      </c>
      <c r="H942" s="35">
        <v>541611</v>
      </c>
      <c r="I942" s="129" t="s">
        <v>59</v>
      </c>
      <c r="J942" s="129" t="s">
        <v>3402</v>
      </c>
      <c r="K942" s="35" t="s">
        <v>1989</v>
      </c>
      <c r="L942" s="30" t="s">
        <v>2326</v>
      </c>
      <c r="M942" s="81">
        <v>639360</v>
      </c>
      <c r="N942" s="81">
        <v>3360685</v>
      </c>
      <c r="O942" s="35" t="s">
        <v>79</v>
      </c>
      <c r="P942" s="35" t="s">
        <v>2334</v>
      </c>
      <c r="Q942" s="35" t="s">
        <v>2335</v>
      </c>
      <c r="R942" s="129" t="s">
        <v>150</v>
      </c>
      <c r="S942" s="82">
        <v>2014</v>
      </c>
      <c r="T942" s="161" t="s">
        <v>2336</v>
      </c>
      <c r="U942" s="161" t="s">
        <v>2337</v>
      </c>
      <c r="V942" s="35" t="s">
        <v>2338</v>
      </c>
      <c r="W942" s="129" t="s">
        <v>92</v>
      </c>
      <c r="X942" s="152" t="s">
        <v>3449</v>
      </c>
      <c r="Y942" s="35" t="s">
        <v>2339</v>
      </c>
      <c r="Z942" s="30" t="s">
        <v>2340</v>
      </c>
      <c r="AA942" s="30" t="s">
        <v>2341</v>
      </c>
    </row>
    <row r="943" spans="1:272" ht="38.25" customHeight="1">
      <c r="A943" s="30" t="s">
        <v>71</v>
      </c>
      <c r="B943" s="30" t="s">
        <v>56</v>
      </c>
      <c r="C943" s="30"/>
      <c r="D943" s="30" t="s">
        <v>2342</v>
      </c>
      <c r="E943" s="30" t="s">
        <v>2333</v>
      </c>
      <c r="F943" s="129" t="s">
        <v>822</v>
      </c>
      <c r="G943" s="129" t="s">
        <v>243</v>
      </c>
      <c r="H943" s="30" t="s">
        <v>822</v>
      </c>
      <c r="I943" s="129" t="s">
        <v>3393</v>
      </c>
      <c r="J943" s="30" t="s">
        <v>2343</v>
      </c>
      <c r="K943" s="30" t="s">
        <v>2316</v>
      </c>
      <c r="L943" s="30" t="s">
        <v>822</v>
      </c>
      <c r="M943" s="39">
        <v>25000</v>
      </c>
      <c r="N943" s="39"/>
      <c r="O943" s="30" t="s">
        <v>79</v>
      </c>
      <c r="P943" s="30" t="s">
        <v>2344</v>
      </c>
      <c r="Q943" s="30" t="s">
        <v>2345</v>
      </c>
      <c r="R943" s="129" t="s">
        <v>302</v>
      </c>
      <c r="S943" s="41" t="s">
        <v>2346</v>
      </c>
      <c r="T943" s="31" t="s">
        <v>2347</v>
      </c>
      <c r="U943" s="31" t="s">
        <v>2348</v>
      </c>
      <c r="V943" s="30" t="s">
        <v>2338</v>
      </c>
      <c r="W943" s="129" t="s">
        <v>92</v>
      </c>
      <c r="X943" s="30" t="s">
        <v>2349</v>
      </c>
      <c r="Y943" s="129" t="s">
        <v>3452</v>
      </c>
      <c r="Z943" s="129" t="s">
        <v>3452</v>
      </c>
      <c r="AA943" s="30" t="s">
        <v>2350</v>
      </c>
    </row>
    <row r="944" spans="1:272" ht="38.25" customHeight="1">
      <c r="A944" s="30" t="s">
        <v>71</v>
      </c>
      <c r="B944" s="30" t="s">
        <v>56</v>
      </c>
      <c r="C944" s="30"/>
      <c r="D944" s="30" t="s">
        <v>2351</v>
      </c>
      <c r="E944" s="30" t="s">
        <v>2333</v>
      </c>
      <c r="F944" s="30" t="s">
        <v>822</v>
      </c>
      <c r="G944" s="129" t="s">
        <v>243</v>
      </c>
      <c r="H944" s="30" t="s">
        <v>822</v>
      </c>
      <c r="I944" s="129" t="s">
        <v>3393</v>
      </c>
      <c r="J944" s="30" t="s">
        <v>2343</v>
      </c>
      <c r="K944" s="30" t="s">
        <v>2316</v>
      </c>
      <c r="L944" s="30" t="s">
        <v>822</v>
      </c>
      <c r="M944" s="39">
        <v>25000</v>
      </c>
      <c r="N944" s="39"/>
      <c r="O944" s="30" t="s">
        <v>79</v>
      </c>
      <c r="P944" s="30" t="s">
        <v>2344</v>
      </c>
      <c r="Q944" s="30" t="s">
        <v>2345</v>
      </c>
      <c r="R944" s="129" t="s">
        <v>302</v>
      </c>
      <c r="S944" s="41" t="s">
        <v>2346</v>
      </c>
      <c r="T944" s="31" t="s">
        <v>2347</v>
      </c>
      <c r="U944" s="31" t="s">
        <v>2348</v>
      </c>
      <c r="V944" s="30" t="s">
        <v>2338</v>
      </c>
      <c r="W944" s="129" t="s">
        <v>92</v>
      </c>
      <c r="X944" s="30" t="s">
        <v>2349</v>
      </c>
      <c r="Y944" s="129" t="s">
        <v>3452</v>
      </c>
      <c r="Z944" s="129" t="s">
        <v>3452</v>
      </c>
      <c r="AA944" s="30" t="s">
        <v>2350</v>
      </c>
    </row>
    <row r="945" spans="1:272" ht="38.25" customHeight="1">
      <c r="A945" s="30" t="s">
        <v>71</v>
      </c>
      <c r="B945" s="30" t="s">
        <v>56</v>
      </c>
      <c r="C945" s="30"/>
      <c r="D945" s="30" t="s">
        <v>2352</v>
      </c>
      <c r="E945" s="30" t="s">
        <v>2333</v>
      </c>
      <c r="F945" s="30" t="s">
        <v>822</v>
      </c>
      <c r="G945" s="129" t="s">
        <v>243</v>
      </c>
      <c r="H945" s="30" t="s">
        <v>822</v>
      </c>
      <c r="I945" s="129" t="s">
        <v>3393</v>
      </c>
      <c r="J945" s="30" t="s">
        <v>2343</v>
      </c>
      <c r="K945" s="30" t="s">
        <v>2316</v>
      </c>
      <c r="L945" s="30" t="s">
        <v>822</v>
      </c>
      <c r="M945" s="39">
        <v>25000</v>
      </c>
      <c r="N945" s="39"/>
      <c r="O945" s="30" t="s">
        <v>79</v>
      </c>
      <c r="P945" s="30" t="s">
        <v>2344</v>
      </c>
      <c r="Q945" s="30" t="s">
        <v>2345</v>
      </c>
      <c r="R945" s="129" t="s">
        <v>302</v>
      </c>
      <c r="S945" s="41" t="s">
        <v>2346</v>
      </c>
      <c r="T945" s="31" t="s">
        <v>2347</v>
      </c>
      <c r="U945" s="31" t="s">
        <v>2348</v>
      </c>
      <c r="V945" s="30" t="s">
        <v>2338</v>
      </c>
      <c r="W945" s="129" t="s">
        <v>92</v>
      </c>
      <c r="X945" s="30" t="s">
        <v>2349</v>
      </c>
      <c r="Y945" s="129" t="s">
        <v>3452</v>
      </c>
      <c r="Z945" s="129" t="s">
        <v>3452</v>
      </c>
      <c r="AA945" s="30" t="s">
        <v>2350</v>
      </c>
    </row>
    <row r="946" spans="1:272" ht="38.25" customHeight="1">
      <c r="A946" s="30" t="s">
        <v>71</v>
      </c>
      <c r="B946" s="30" t="s">
        <v>56</v>
      </c>
      <c r="C946" s="30"/>
      <c r="D946" s="30" t="s">
        <v>2353</v>
      </c>
      <c r="E946" s="30" t="s">
        <v>2333</v>
      </c>
      <c r="F946" s="30" t="s">
        <v>822</v>
      </c>
      <c r="G946" s="129" t="s">
        <v>243</v>
      </c>
      <c r="H946" s="30" t="s">
        <v>822</v>
      </c>
      <c r="I946" s="129" t="s">
        <v>3393</v>
      </c>
      <c r="J946" s="30" t="s">
        <v>2343</v>
      </c>
      <c r="K946" s="30" t="s">
        <v>2316</v>
      </c>
      <c r="L946" s="30" t="s">
        <v>822</v>
      </c>
      <c r="M946" s="39">
        <v>25000</v>
      </c>
      <c r="N946" s="39"/>
      <c r="O946" s="30" t="s">
        <v>79</v>
      </c>
      <c r="P946" s="30" t="s">
        <v>2344</v>
      </c>
      <c r="Q946" s="30" t="s">
        <v>2345</v>
      </c>
      <c r="R946" s="129" t="s">
        <v>302</v>
      </c>
      <c r="S946" s="41" t="s">
        <v>2346</v>
      </c>
      <c r="T946" s="31" t="s">
        <v>2347</v>
      </c>
      <c r="U946" s="31" t="s">
        <v>2348</v>
      </c>
      <c r="V946" s="30" t="s">
        <v>2338</v>
      </c>
      <c r="W946" s="129" t="s">
        <v>92</v>
      </c>
      <c r="X946" s="30" t="s">
        <v>2349</v>
      </c>
      <c r="Y946" s="129" t="s">
        <v>3452</v>
      </c>
      <c r="Z946" s="129" t="s">
        <v>3452</v>
      </c>
      <c r="AA946" s="30" t="s">
        <v>2350</v>
      </c>
    </row>
    <row r="947" spans="1:272" ht="38.25" customHeight="1">
      <c r="A947" s="30" t="s">
        <v>71</v>
      </c>
      <c r="B947" s="30" t="s">
        <v>56</v>
      </c>
      <c r="C947" s="30"/>
      <c r="D947" s="30" t="s">
        <v>2354</v>
      </c>
      <c r="E947" s="30" t="s">
        <v>2333</v>
      </c>
      <c r="F947" s="30" t="s">
        <v>822</v>
      </c>
      <c r="G947" s="129" t="s">
        <v>243</v>
      </c>
      <c r="H947" s="30" t="s">
        <v>822</v>
      </c>
      <c r="I947" s="129" t="s">
        <v>3393</v>
      </c>
      <c r="J947" s="30" t="s">
        <v>2343</v>
      </c>
      <c r="K947" s="30" t="s">
        <v>2316</v>
      </c>
      <c r="L947" s="30" t="s">
        <v>822</v>
      </c>
      <c r="M947" s="39">
        <v>25000</v>
      </c>
      <c r="N947" s="39"/>
      <c r="O947" s="30" t="s">
        <v>79</v>
      </c>
      <c r="P947" s="30" t="s">
        <v>2344</v>
      </c>
      <c r="Q947" s="30" t="s">
        <v>2345</v>
      </c>
      <c r="R947" s="129" t="s">
        <v>302</v>
      </c>
      <c r="S947" s="41" t="s">
        <v>2346</v>
      </c>
      <c r="T947" s="31" t="s">
        <v>2347</v>
      </c>
      <c r="U947" s="31" t="s">
        <v>2348</v>
      </c>
      <c r="V947" s="30" t="s">
        <v>2338</v>
      </c>
      <c r="W947" s="129" t="s">
        <v>92</v>
      </c>
      <c r="X947" s="30" t="s">
        <v>2349</v>
      </c>
      <c r="Y947" s="129" t="s">
        <v>3452</v>
      </c>
      <c r="Z947" s="129" t="s">
        <v>3452</v>
      </c>
      <c r="AA947" s="30" t="s">
        <v>2350</v>
      </c>
    </row>
    <row r="948" spans="1:272" ht="38.25" customHeight="1">
      <c r="A948" s="35" t="s">
        <v>142</v>
      </c>
      <c r="B948" s="30" t="s">
        <v>116</v>
      </c>
      <c r="C948" s="30"/>
      <c r="D948" s="30" t="s">
        <v>2355</v>
      </c>
      <c r="E948" s="30"/>
      <c r="F948" s="30" t="s">
        <v>822</v>
      </c>
      <c r="G948" s="129" t="s">
        <v>243</v>
      </c>
      <c r="H948" s="30"/>
      <c r="I948" s="30"/>
      <c r="J948" s="30" t="s">
        <v>77</v>
      </c>
      <c r="K948" s="30" t="s">
        <v>2356</v>
      </c>
      <c r="L948" s="30"/>
      <c r="M948" s="39">
        <v>500000</v>
      </c>
      <c r="N948" s="39">
        <v>1000000</v>
      </c>
      <c r="O948" s="30" t="s">
        <v>79</v>
      </c>
      <c r="P948" s="30" t="s">
        <v>2357</v>
      </c>
      <c r="Q948" s="30" t="s">
        <v>294</v>
      </c>
      <c r="R948" s="155" t="s">
        <v>80</v>
      </c>
      <c r="S948" s="41">
        <v>2014</v>
      </c>
      <c r="T948" s="31" t="s">
        <v>2358</v>
      </c>
      <c r="U948" s="31" t="s">
        <v>2359</v>
      </c>
      <c r="V948" s="30" t="s">
        <v>2360</v>
      </c>
      <c r="W948" s="129" t="s">
        <v>81</v>
      </c>
      <c r="X948" s="30"/>
      <c r="Y948" s="30" t="s">
        <v>2047</v>
      </c>
      <c r="Z948" s="129" t="s">
        <v>3452</v>
      </c>
      <c r="AA948" s="30" t="s">
        <v>2361</v>
      </c>
      <c r="JB948" s="29"/>
      <c r="JC948" s="29"/>
      <c r="JD948" s="29"/>
      <c r="JE948" s="29"/>
      <c r="JF948" s="29"/>
      <c r="JG948" s="29"/>
      <c r="JH948" s="29"/>
      <c r="JI948" s="29"/>
      <c r="JJ948" s="29"/>
      <c r="JK948" s="29"/>
      <c r="JL948" s="29"/>
    </row>
    <row r="949" spans="1:272" ht="38.25" customHeight="1">
      <c r="A949" s="35" t="s">
        <v>142</v>
      </c>
      <c r="B949" s="30" t="s">
        <v>116</v>
      </c>
      <c r="C949" s="30"/>
      <c r="D949" s="30" t="s">
        <v>2362</v>
      </c>
      <c r="E949" s="30"/>
      <c r="F949" s="30" t="s">
        <v>822</v>
      </c>
      <c r="G949" s="129" t="s">
        <v>243</v>
      </c>
      <c r="H949" s="30"/>
      <c r="I949" s="30"/>
      <c r="J949" s="30" t="s">
        <v>2363</v>
      </c>
      <c r="K949" s="30" t="s">
        <v>2364</v>
      </c>
      <c r="L949" s="30"/>
      <c r="M949" s="39">
        <v>50058</v>
      </c>
      <c r="N949" s="39">
        <v>50058</v>
      </c>
      <c r="O949" s="30" t="s">
        <v>79</v>
      </c>
      <c r="P949" s="30" t="s">
        <v>2365</v>
      </c>
      <c r="Q949" s="30" t="s">
        <v>867</v>
      </c>
      <c r="R949" s="129" t="s">
        <v>100</v>
      </c>
      <c r="S949" s="41">
        <v>2014</v>
      </c>
      <c r="T949" s="31" t="s">
        <v>2358</v>
      </c>
      <c r="U949" s="31" t="s">
        <v>2359</v>
      </c>
      <c r="V949" s="30" t="s">
        <v>2360</v>
      </c>
      <c r="W949" s="129" t="s">
        <v>81</v>
      </c>
      <c r="X949" s="30"/>
      <c r="Y949" s="30"/>
      <c r="Z949" s="30"/>
      <c r="AA949" s="30"/>
      <c r="JB949" s="29"/>
      <c r="JC949" s="29"/>
      <c r="JD949" s="29"/>
      <c r="JE949" s="29"/>
      <c r="JF949" s="29"/>
      <c r="JG949" s="29"/>
      <c r="JH949" s="29"/>
      <c r="JI949" s="29"/>
      <c r="JJ949" s="29"/>
      <c r="JK949" s="29"/>
      <c r="JL949" s="29"/>
    </row>
    <row r="950" spans="1:272" ht="34.5" customHeight="1">
      <c r="A950" s="35" t="s">
        <v>142</v>
      </c>
      <c r="B950" s="30" t="s">
        <v>116</v>
      </c>
      <c r="C950" s="30"/>
      <c r="D950" s="30" t="s">
        <v>2366</v>
      </c>
      <c r="E950" s="30"/>
      <c r="F950" s="30" t="s">
        <v>2367</v>
      </c>
      <c r="G950" s="30" t="s">
        <v>50</v>
      </c>
      <c r="H950" s="30"/>
      <c r="I950" s="30" t="s">
        <v>98</v>
      </c>
      <c r="J950" s="30" t="s">
        <v>2363</v>
      </c>
      <c r="K950" s="30" t="s">
        <v>2368</v>
      </c>
      <c r="L950" s="30"/>
      <c r="M950" s="39">
        <v>269814.8</v>
      </c>
      <c r="N950" s="39"/>
      <c r="O950" s="30"/>
      <c r="P950" s="30" t="s">
        <v>2369</v>
      </c>
      <c r="Q950" s="30" t="s">
        <v>867</v>
      </c>
      <c r="R950" s="129" t="s">
        <v>35</v>
      </c>
      <c r="S950" s="41">
        <v>2014</v>
      </c>
      <c r="T950" s="31" t="s">
        <v>2358</v>
      </c>
      <c r="U950" s="31" t="s">
        <v>2359</v>
      </c>
      <c r="V950" s="30" t="s">
        <v>2360</v>
      </c>
      <c r="W950" s="129" t="s">
        <v>81</v>
      </c>
      <c r="X950" s="30"/>
      <c r="Y950" s="30" t="s">
        <v>2370</v>
      </c>
      <c r="Z950" s="30" t="s">
        <v>2371</v>
      </c>
      <c r="AA950" s="30"/>
      <c r="JB950" s="29"/>
      <c r="JC950" s="29"/>
      <c r="JD950" s="29"/>
      <c r="JE950" s="29"/>
      <c r="JF950" s="29"/>
      <c r="JG950" s="29"/>
      <c r="JH950" s="29"/>
      <c r="JI950" s="29"/>
      <c r="JJ950" s="29"/>
      <c r="JK950" s="29"/>
      <c r="JL950" s="29"/>
    </row>
    <row r="951" spans="1:272" ht="38.25" customHeight="1">
      <c r="A951" s="35" t="s">
        <v>142</v>
      </c>
      <c r="B951" s="30" t="s">
        <v>116</v>
      </c>
      <c r="C951" s="30"/>
      <c r="D951" s="30" t="s">
        <v>2372</v>
      </c>
      <c r="E951" s="30"/>
      <c r="F951" s="30" t="s">
        <v>822</v>
      </c>
      <c r="G951" s="129" t="s">
        <v>243</v>
      </c>
      <c r="H951" s="30"/>
      <c r="I951" s="30"/>
      <c r="J951" s="30" t="s">
        <v>2363</v>
      </c>
      <c r="K951" s="30"/>
      <c r="L951" s="30"/>
      <c r="M951" s="39">
        <v>150000</v>
      </c>
      <c r="N951" s="39"/>
      <c r="O951" s="30"/>
      <c r="P951" s="30" t="s">
        <v>2373</v>
      </c>
      <c r="Q951" s="30" t="s">
        <v>294</v>
      </c>
      <c r="R951" s="129" t="s">
        <v>35</v>
      </c>
      <c r="S951" s="41">
        <v>2014</v>
      </c>
      <c r="T951" s="31" t="s">
        <v>2358</v>
      </c>
      <c r="U951" s="31" t="s">
        <v>2359</v>
      </c>
      <c r="V951" s="30" t="s">
        <v>2360</v>
      </c>
      <c r="W951" s="129" t="s">
        <v>81</v>
      </c>
      <c r="X951" s="30"/>
      <c r="Y951" s="30"/>
      <c r="Z951" s="30"/>
      <c r="AA951" s="30"/>
      <c r="JB951" s="29"/>
      <c r="JC951" s="29"/>
      <c r="JD951" s="29"/>
      <c r="JE951" s="29"/>
      <c r="JF951" s="29"/>
      <c r="JG951" s="29"/>
      <c r="JH951" s="29"/>
      <c r="JI951" s="29"/>
      <c r="JJ951" s="29"/>
      <c r="JK951" s="29"/>
      <c r="JL951" s="29"/>
    </row>
    <row r="952" spans="1:272" ht="34.5" customHeight="1">
      <c r="A952" s="30" t="s">
        <v>71</v>
      </c>
      <c r="B952" s="30" t="s">
        <v>116</v>
      </c>
      <c r="C952" s="30" t="s">
        <v>2212</v>
      </c>
      <c r="D952" s="30" t="s">
        <v>2374</v>
      </c>
      <c r="E952" s="30" t="s">
        <v>74</v>
      </c>
      <c r="F952" s="30" t="s">
        <v>1969</v>
      </c>
      <c r="G952" s="30" t="s">
        <v>233</v>
      </c>
      <c r="H952" s="30">
        <v>522110</v>
      </c>
      <c r="I952" s="30" t="s">
        <v>45</v>
      </c>
      <c r="J952" s="30" t="s">
        <v>129</v>
      </c>
      <c r="K952" s="30"/>
      <c r="L952" s="30"/>
      <c r="M952" s="39"/>
      <c r="N952" s="39"/>
      <c r="O952" s="30"/>
      <c r="P952" s="30"/>
      <c r="Q952" s="30" t="s">
        <v>2375</v>
      </c>
      <c r="R952" s="30" t="s">
        <v>100</v>
      </c>
      <c r="S952" s="41">
        <v>2014</v>
      </c>
      <c r="T952" s="31" t="s">
        <v>2376</v>
      </c>
      <c r="U952" s="31" t="s">
        <v>2377</v>
      </c>
      <c r="V952" s="30" t="s">
        <v>2378</v>
      </c>
      <c r="W952" s="30" t="s">
        <v>151</v>
      </c>
      <c r="X952" s="44">
        <v>41408</v>
      </c>
      <c r="Y952" s="44">
        <v>41439</v>
      </c>
      <c r="Z952" s="30"/>
      <c r="AA952" s="30"/>
      <c r="AE952" s="29"/>
      <c r="AF952" s="29"/>
      <c r="AG952" s="29"/>
      <c r="AH952" s="29"/>
      <c r="AI952" s="29"/>
      <c r="AJ952" s="29"/>
      <c r="AK952" s="29"/>
      <c r="AL952" s="29"/>
      <c r="AM952" s="29"/>
      <c r="AN952" s="29"/>
      <c r="AO952" s="29"/>
      <c r="AP952" s="29"/>
      <c r="AQ952" s="29"/>
      <c r="AR952" s="29"/>
      <c r="AS952" s="29"/>
      <c r="AT952" s="29"/>
      <c r="AU952" s="29"/>
      <c r="AV952" s="29"/>
      <c r="AW952" s="29"/>
      <c r="AX952" s="29"/>
      <c r="AY952" s="29"/>
      <c r="AZ952" s="29"/>
      <c r="BA952" s="29"/>
      <c r="BB952" s="29"/>
      <c r="BC952" s="29"/>
      <c r="BD952" s="29"/>
      <c r="BE952" s="29"/>
      <c r="BF952" s="29"/>
      <c r="BG952" s="29"/>
      <c r="BH952" s="29"/>
      <c r="BI952" s="29"/>
      <c r="BJ952" s="29"/>
      <c r="BK952" s="29"/>
      <c r="BL952" s="29"/>
      <c r="BM952" s="29"/>
      <c r="BN952" s="29"/>
      <c r="BO952" s="29"/>
      <c r="BP952" s="29"/>
      <c r="BQ952" s="29"/>
      <c r="BR952" s="29"/>
      <c r="BS952" s="29"/>
      <c r="BT952" s="29"/>
      <c r="BU952" s="29"/>
      <c r="BV952" s="29"/>
      <c r="BW952" s="29"/>
      <c r="BX952" s="29"/>
      <c r="BY952" s="29"/>
      <c r="BZ952" s="29"/>
      <c r="CA952" s="29"/>
      <c r="CB952" s="29"/>
      <c r="CC952" s="29"/>
      <c r="CD952" s="29"/>
      <c r="CE952" s="29"/>
      <c r="CF952" s="29"/>
      <c r="CG952" s="29"/>
      <c r="CH952" s="29"/>
      <c r="CI952" s="29"/>
      <c r="CJ952" s="29"/>
      <c r="CK952" s="29"/>
      <c r="CL952" s="29"/>
      <c r="CM952" s="29"/>
      <c r="CN952" s="29"/>
      <c r="CO952" s="29"/>
      <c r="CP952" s="29"/>
      <c r="CQ952" s="29"/>
      <c r="CR952" s="29"/>
      <c r="CS952" s="29"/>
      <c r="CT952" s="29"/>
      <c r="CU952" s="29"/>
      <c r="CV952" s="29"/>
      <c r="CW952" s="29"/>
      <c r="CX952" s="29"/>
      <c r="CY952" s="29"/>
      <c r="CZ952" s="29"/>
      <c r="DA952" s="29"/>
      <c r="DB952" s="29"/>
      <c r="DC952" s="29"/>
      <c r="DD952" s="29"/>
      <c r="DE952" s="29"/>
      <c r="DF952" s="29"/>
      <c r="DG952" s="29"/>
      <c r="DH952" s="29"/>
      <c r="DI952" s="29"/>
      <c r="DJ952" s="29"/>
      <c r="DK952" s="29"/>
      <c r="DL952" s="29"/>
      <c r="DM952" s="29"/>
      <c r="DN952" s="29"/>
      <c r="DO952" s="29"/>
      <c r="DP952" s="29"/>
      <c r="DQ952" s="29"/>
      <c r="DR952" s="29"/>
      <c r="DS952" s="29"/>
      <c r="DT952" s="29"/>
      <c r="DU952" s="29"/>
      <c r="DV952" s="29"/>
      <c r="DW952" s="29"/>
      <c r="DX952" s="29"/>
      <c r="DY952" s="29"/>
      <c r="DZ952" s="29"/>
      <c r="EA952" s="29"/>
      <c r="EB952" s="29"/>
      <c r="EC952" s="29"/>
      <c r="ED952" s="29"/>
      <c r="EE952" s="29"/>
      <c r="EF952" s="29"/>
      <c r="EG952" s="29"/>
      <c r="EH952" s="29"/>
      <c r="EI952" s="29"/>
      <c r="EJ952" s="29"/>
      <c r="EK952" s="29"/>
      <c r="EL952" s="29"/>
      <c r="EM952" s="29"/>
      <c r="EN952" s="29"/>
      <c r="EO952" s="29"/>
      <c r="EP952" s="29"/>
      <c r="EQ952" s="29"/>
      <c r="ER952" s="29"/>
      <c r="ES952" s="29"/>
      <c r="ET952" s="29"/>
      <c r="EU952" s="29"/>
      <c r="EV952" s="29"/>
      <c r="EW952" s="29"/>
      <c r="EX952" s="29"/>
      <c r="EY952" s="29"/>
      <c r="EZ952" s="29"/>
      <c r="FA952" s="29"/>
      <c r="FB952" s="29"/>
      <c r="FC952" s="29"/>
      <c r="FD952" s="29"/>
      <c r="FE952" s="29"/>
      <c r="FF952" s="29"/>
      <c r="FG952" s="29"/>
      <c r="FH952" s="29"/>
      <c r="FI952" s="29"/>
      <c r="FJ952" s="29"/>
      <c r="FK952" s="29"/>
      <c r="FL952" s="29"/>
      <c r="FM952" s="29"/>
      <c r="FN952" s="29"/>
      <c r="FO952" s="29"/>
      <c r="FP952" s="29"/>
      <c r="FQ952" s="29"/>
      <c r="FR952" s="29"/>
      <c r="FS952" s="29"/>
      <c r="FT952" s="29"/>
      <c r="FU952" s="29"/>
      <c r="FV952" s="29"/>
      <c r="FW952" s="29"/>
      <c r="FX952" s="29"/>
      <c r="FY952" s="29"/>
      <c r="FZ952" s="29"/>
      <c r="GA952" s="29"/>
      <c r="GB952" s="29"/>
      <c r="GC952" s="29"/>
      <c r="GD952" s="29"/>
      <c r="GE952" s="29"/>
      <c r="GF952" s="29"/>
      <c r="GG952" s="29"/>
      <c r="GH952" s="29"/>
      <c r="GI952" s="29"/>
      <c r="GJ952" s="29"/>
      <c r="GK952" s="29"/>
      <c r="GL952" s="29"/>
      <c r="GM952" s="29"/>
      <c r="GN952" s="29"/>
      <c r="GO952" s="29"/>
      <c r="GP952" s="29"/>
      <c r="GQ952" s="29"/>
      <c r="GR952" s="29"/>
      <c r="GS952" s="29"/>
      <c r="GT952" s="29"/>
      <c r="GU952" s="29"/>
      <c r="GV952" s="29"/>
      <c r="GW952" s="29"/>
      <c r="GX952" s="29"/>
      <c r="GY952" s="29"/>
      <c r="GZ952" s="29"/>
      <c r="HA952" s="29"/>
      <c r="HB952" s="29"/>
      <c r="HC952" s="29"/>
      <c r="HD952" s="29"/>
      <c r="HE952" s="29"/>
      <c r="HF952" s="29"/>
      <c r="HG952" s="29"/>
      <c r="HH952" s="29"/>
      <c r="HI952" s="29"/>
      <c r="HJ952" s="29"/>
      <c r="HK952" s="29"/>
      <c r="HL952" s="29"/>
      <c r="HM952" s="29"/>
      <c r="HN952" s="29"/>
      <c r="HO952" s="29"/>
      <c r="HP952" s="29"/>
      <c r="HQ952" s="29"/>
      <c r="HR952" s="29"/>
      <c r="HS952" s="29"/>
      <c r="HT952" s="29"/>
      <c r="HU952" s="29"/>
      <c r="HV952" s="29"/>
      <c r="HW952" s="29"/>
      <c r="HX952" s="29"/>
      <c r="HY952" s="29"/>
      <c r="HZ952" s="29"/>
      <c r="IA952" s="29"/>
      <c r="IB952" s="29"/>
      <c r="IC952" s="29"/>
      <c r="ID952" s="29"/>
      <c r="IE952" s="29"/>
      <c r="IF952" s="29"/>
      <c r="IG952" s="29"/>
      <c r="IH952" s="29"/>
      <c r="II952" s="29"/>
      <c r="IJ952" s="29"/>
      <c r="IK952" s="29"/>
      <c r="IL952" s="29"/>
      <c r="IM952" s="29"/>
      <c r="IN952" s="29"/>
      <c r="IO952" s="29"/>
      <c r="IP952" s="29"/>
      <c r="IQ952" s="29"/>
      <c r="IR952" s="29"/>
      <c r="IS952" s="29"/>
      <c r="IT952" s="29"/>
      <c r="IU952" s="29"/>
      <c r="IV952" s="29"/>
      <c r="IW952" s="29"/>
      <c r="IX952" s="29"/>
      <c r="IY952" s="29"/>
      <c r="IZ952" s="29"/>
      <c r="JA952" s="29"/>
      <c r="JB952" s="29"/>
      <c r="JC952" s="29"/>
      <c r="JD952" s="29"/>
      <c r="JE952" s="29"/>
      <c r="JF952" s="29"/>
      <c r="JG952" s="29"/>
      <c r="JH952" s="29"/>
      <c r="JI952" s="29"/>
      <c r="JJ952" s="29"/>
      <c r="JK952" s="29"/>
      <c r="JL952" s="29"/>
    </row>
    <row r="953" spans="1:272" ht="34.5" customHeight="1">
      <c r="A953" s="30" t="s">
        <v>71</v>
      </c>
      <c r="B953" s="30" t="s">
        <v>116</v>
      </c>
      <c r="C953" s="30" t="s">
        <v>144</v>
      </c>
      <c r="D953" s="30" t="s">
        <v>2379</v>
      </c>
      <c r="E953" s="30" t="s">
        <v>285</v>
      </c>
      <c r="F953" s="30" t="s">
        <v>1969</v>
      </c>
      <c r="G953" s="30"/>
      <c r="H953" s="30">
        <v>541490</v>
      </c>
      <c r="I953" s="30" t="s">
        <v>67</v>
      </c>
      <c r="J953" s="30" t="s">
        <v>129</v>
      </c>
      <c r="K953" s="30" t="s">
        <v>61</v>
      </c>
      <c r="L953" s="30" t="s">
        <v>2380</v>
      </c>
      <c r="M953" s="39">
        <v>4900</v>
      </c>
      <c r="N953" s="39">
        <v>24800</v>
      </c>
      <c r="O953" s="39" t="s">
        <v>590</v>
      </c>
      <c r="P953" s="30" t="s">
        <v>2381</v>
      </c>
      <c r="Q953" s="31" t="s">
        <v>867</v>
      </c>
      <c r="R953" s="30" t="s">
        <v>150</v>
      </c>
      <c r="S953" s="41">
        <v>2013</v>
      </c>
      <c r="T953" s="31" t="s">
        <v>2376</v>
      </c>
      <c r="U953" s="31" t="s">
        <v>2377</v>
      </c>
      <c r="V953" s="30" t="s">
        <v>2378</v>
      </c>
      <c r="W953" s="30" t="s">
        <v>151</v>
      </c>
      <c r="X953" s="30"/>
      <c r="Y953" s="30"/>
      <c r="Z953" s="30"/>
      <c r="AA953" s="30"/>
      <c r="AE953" s="29"/>
      <c r="AF953" s="29"/>
      <c r="AG953" s="29"/>
      <c r="AH953" s="29"/>
      <c r="AI953" s="29"/>
      <c r="AJ953" s="29"/>
      <c r="AK953" s="29"/>
      <c r="AL953" s="29"/>
      <c r="AM953" s="29"/>
      <c r="AN953" s="29"/>
      <c r="AO953" s="29"/>
      <c r="AP953" s="29"/>
      <c r="AQ953" s="29"/>
      <c r="AR953" s="29"/>
      <c r="AS953" s="29"/>
      <c r="AT953" s="29"/>
      <c r="AU953" s="29"/>
      <c r="AV953" s="29"/>
      <c r="AW953" s="29"/>
      <c r="AX953" s="29"/>
      <c r="AY953" s="29"/>
      <c r="AZ953" s="29"/>
      <c r="BA953" s="29"/>
      <c r="BB953" s="29"/>
      <c r="BC953" s="29"/>
      <c r="BD953" s="29"/>
      <c r="BE953" s="29"/>
      <c r="BF953" s="29"/>
      <c r="BG953" s="29"/>
      <c r="BH953" s="29"/>
      <c r="BI953" s="29"/>
      <c r="BJ953" s="29"/>
      <c r="BK953" s="29"/>
      <c r="BL953" s="29"/>
      <c r="BM953" s="29"/>
      <c r="BN953" s="29"/>
      <c r="BO953" s="29"/>
      <c r="BP953" s="29"/>
      <c r="BQ953" s="29"/>
      <c r="BR953" s="29"/>
      <c r="BS953" s="29"/>
      <c r="BT953" s="29"/>
      <c r="BU953" s="29"/>
      <c r="BV953" s="29"/>
      <c r="BW953" s="29"/>
      <c r="BX953" s="29"/>
      <c r="BY953" s="29"/>
      <c r="BZ953" s="29"/>
      <c r="CA953" s="29"/>
      <c r="CB953" s="29"/>
      <c r="CC953" s="29"/>
      <c r="CD953" s="29"/>
      <c r="CE953" s="29"/>
      <c r="CF953" s="29"/>
      <c r="CG953" s="29"/>
      <c r="CH953" s="29"/>
      <c r="CI953" s="29"/>
      <c r="CJ953" s="29"/>
      <c r="CK953" s="29"/>
      <c r="CL953" s="29"/>
      <c r="CM953" s="29"/>
      <c r="CN953" s="29"/>
      <c r="CO953" s="29"/>
      <c r="CP953" s="29"/>
      <c r="CQ953" s="29"/>
      <c r="CR953" s="29"/>
      <c r="CS953" s="29"/>
      <c r="CT953" s="29"/>
      <c r="CU953" s="29"/>
      <c r="CV953" s="29"/>
      <c r="CW953" s="29"/>
      <c r="CX953" s="29"/>
      <c r="CY953" s="29"/>
      <c r="CZ953" s="29"/>
      <c r="DA953" s="29"/>
      <c r="DB953" s="29"/>
      <c r="DC953" s="29"/>
      <c r="DD953" s="29"/>
      <c r="DE953" s="29"/>
      <c r="DF953" s="29"/>
      <c r="DG953" s="29"/>
      <c r="DH953" s="29"/>
      <c r="DI953" s="29"/>
      <c r="DJ953" s="29"/>
      <c r="DK953" s="29"/>
      <c r="DL953" s="29"/>
      <c r="DM953" s="29"/>
      <c r="DN953" s="29"/>
      <c r="DO953" s="29"/>
      <c r="DP953" s="29"/>
      <c r="DQ953" s="29"/>
      <c r="DR953" s="29"/>
      <c r="DS953" s="29"/>
      <c r="DT953" s="29"/>
      <c r="DU953" s="29"/>
      <c r="DV953" s="29"/>
      <c r="DW953" s="29"/>
      <c r="DX953" s="29"/>
      <c r="DY953" s="29"/>
      <c r="DZ953" s="29"/>
      <c r="EA953" s="29"/>
      <c r="EB953" s="29"/>
      <c r="EC953" s="29"/>
      <c r="ED953" s="29"/>
      <c r="EE953" s="29"/>
      <c r="EF953" s="29"/>
      <c r="EG953" s="29"/>
      <c r="EH953" s="29"/>
      <c r="EI953" s="29"/>
      <c r="EJ953" s="29"/>
      <c r="EK953" s="29"/>
      <c r="EL953" s="29"/>
      <c r="EM953" s="29"/>
      <c r="EN953" s="29"/>
      <c r="EO953" s="29"/>
      <c r="EP953" s="29"/>
      <c r="EQ953" s="29"/>
      <c r="ER953" s="29"/>
      <c r="ES953" s="29"/>
      <c r="ET953" s="29"/>
      <c r="EU953" s="29"/>
      <c r="EV953" s="29"/>
      <c r="EW953" s="29"/>
      <c r="EX953" s="29"/>
      <c r="EY953" s="29"/>
      <c r="EZ953" s="29"/>
      <c r="FA953" s="29"/>
      <c r="FB953" s="29"/>
      <c r="FC953" s="29"/>
      <c r="FD953" s="29"/>
      <c r="FE953" s="29"/>
      <c r="FF953" s="29"/>
      <c r="FG953" s="29"/>
      <c r="FH953" s="29"/>
      <c r="FI953" s="29"/>
      <c r="FJ953" s="29"/>
      <c r="FK953" s="29"/>
      <c r="FL953" s="29"/>
      <c r="FM953" s="29"/>
      <c r="FN953" s="29"/>
      <c r="FO953" s="29"/>
      <c r="FP953" s="29"/>
      <c r="FQ953" s="29"/>
      <c r="FR953" s="29"/>
      <c r="FS953" s="29"/>
      <c r="FT953" s="29"/>
      <c r="FU953" s="29"/>
      <c r="FV953" s="29"/>
      <c r="FW953" s="29"/>
      <c r="FX953" s="29"/>
      <c r="FY953" s="29"/>
      <c r="FZ953" s="29"/>
      <c r="GA953" s="29"/>
      <c r="GB953" s="29"/>
      <c r="GC953" s="29"/>
      <c r="GD953" s="29"/>
      <c r="GE953" s="29"/>
      <c r="GF953" s="29"/>
      <c r="GG953" s="29"/>
      <c r="GH953" s="29"/>
      <c r="GI953" s="29"/>
      <c r="GJ953" s="29"/>
      <c r="GK953" s="29"/>
      <c r="GL953" s="29"/>
      <c r="GM953" s="29"/>
      <c r="GN953" s="29"/>
      <c r="GO953" s="29"/>
      <c r="GP953" s="29"/>
      <c r="GQ953" s="29"/>
      <c r="GR953" s="29"/>
      <c r="GS953" s="29"/>
      <c r="GT953" s="29"/>
      <c r="GU953" s="29"/>
      <c r="GV953" s="29"/>
      <c r="GW953" s="29"/>
      <c r="GX953" s="29"/>
      <c r="GY953" s="29"/>
      <c r="GZ953" s="29"/>
      <c r="HA953" s="29"/>
      <c r="HB953" s="29"/>
      <c r="HC953" s="29"/>
      <c r="HD953" s="29"/>
      <c r="HE953" s="29"/>
      <c r="HF953" s="29"/>
      <c r="HG953" s="29"/>
      <c r="HH953" s="29"/>
      <c r="HI953" s="29"/>
      <c r="HJ953" s="29"/>
      <c r="HK953" s="29"/>
      <c r="HL953" s="29"/>
      <c r="HM953" s="29"/>
      <c r="HN953" s="29"/>
      <c r="HO953" s="29"/>
      <c r="HP953" s="29"/>
      <c r="HQ953" s="29"/>
      <c r="HR953" s="29"/>
      <c r="HS953" s="29"/>
      <c r="HT953" s="29"/>
      <c r="HU953" s="29"/>
      <c r="HV953" s="29"/>
      <c r="HW953" s="29"/>
      <c r="HX953" s="29"/>
      <c r="HY953" s="29"/>
      <c r="HZ953" s="29"/>
      <c r="IA953" s="29"/>
      <c r="IB953" s="29"/>
      <c r="IC953" s="29"/>
      <c r="ID953" s="29"/>
      <c r="IE953" s="29"/>
      <c r="IF953" s="29"/>
      <c r="IG953" s="29"/>
      <c r="IH953" s="29"/>
      <c r="II953" s="29"/>
      <c r="IJ953" s="29"/>
      <c r="IK953" s="29"/>
      <c r="IL953" s="29"/>
      <c r="IM953" s="29"/>
      <c r="IN953" s="29"/>
      <c r="IO953" s="29"/>
      <c r="IP953" s="29"/>
      <c r="IQ953" s="29"/>
      <c r="IR953" s="29"/>
      <c r="IS953" s="29"/>
      <c r="IT953" s="29"/>
      <c r="IU953" s="29"/>
      <c r="IV953" s="29"/>
      <c r="IW953" s="29"/>
      <c r="IX953" s="29"/>
      <c r="IY953" s="29"/>
      <c r="IZ953" s="29"/>
      <c r="JA953" s="29"/>
      <c r="JB953" s="29"/>
      <c r="JC953" s="29"/>
      <c r="JD953" s="29"/>
      <c r="JE953" s="29"/>
      <c r="JF953" s="29"/>
      <c r="JG953" s="29"/>
      <c r="JH953" s="29"/>
      <c r="JI953" s="29"/>
      <c r="JJ953" s="29"/>
      <c r="JK953" s="29"/>
      <c r="JL953" s="29"/>
    </row>
    <row r="954" spans="1:272" ht="38.25" customHeight="1">
      <c r="A954" s="30" t="s">
        <v>71</v>
      </c>
      <c r="B954" s="30" t="s">
        <v>116</v>
      </c>
      <c r="C954" s="30" t="s">
        <v>144</v>
      </c>
      <c r="D954" s="30" t="s">
        <v>2382</v>
      </c>
      <c r="E954" s="30" t="s">
        <v>30</v>
      </c>
      <c r="F954" s="30" t="s">
        <v>1969</v>
      </c>
      <c r="G954" s="30"/>
      <c r="H954" s="30">
        <v>541430</v>
      </c>
      <c r="I954" s="129" t="s">
        <v>32</v>
      </c>
      <c r="J954" s="30" t="s">
        <v>129</v>
      </c>
      <c r="K954" s="31" t="s">
        <v>69</v>
      </c>
      <c r="L954" s="129" t="s">
        <v>3414</v>
      </c>
      <c r="M954" s="39">
        <v>106000</v>
      </c>
      <c r="N954" s="39">
        <v>267860</v>
      </c>
      <c r="O954" s="39" t="s">
        <v>79</v>
      </c>
      <c r="P954" s="30" t="s">
        <v>2383</v>
      </c>
      <c r="Q954" s="31" t="s">
        <v>867</v>
      </c>
      <c r="R954" s="30" t="s">
        <v>150</v>
      </c>
      <c r="S954" s="41">
        <v>2013</v>
      </c>
      <c r="T954" s="31" t="s">
        <v>2376</v>
      </c>
      <c r="U954" s="31" t="s">
        <v>2377</v>
      </c>
      <c r="V954" s="30" t="s">
        <v>2378</v>
      </c>
      <c r="W954" s="30" t="s">
        <v>151</v>
      </c>
      <c r="X954" s="30"/>
      <c r="Y954" s="30"/>
      <c r="Z954" s="30"/>
      <c r="AA954" s="30"/>
      <c r="AE954" s="29"/>
      <c r="AF954" s="29"/>
      <c r="AG954" s="29"/>
      <c r="AH954" s="29"/>
      <c r="AI954" s="29"/>
      <c r="AJ954" s="29"/>
      <c r="AK954" s="29"/>
      <c r="AL954" s="29"/>
      <c r="AM954" s="29"/>
      <c r="AN954" s="29"/>
      <c r="AO954" s="29"/>
      <c r="AP954" s="29"/>
      <c r="AQ954" s="29"/>
      <c r="AR954" s="29"/>
      <c r="AS954" s="29"/>
      <c r="AT954" s="29"/>
      <c r="AU954" s="29"/>
      <c r="AV954" s="29"/>
      <c r="AW954" s="29"/>
      <c r="AX954" s="29"/>
      <c r="AY954" s="29"/>
      <c r="AZ954" s="29"/>
      <c r="BA954" s="29"/>
      <c r="BB954" s="29"/>
      <c r="BC954" s="29"/>
      <c r="BD954" s="29"/>
      <c r="BE954" s="29"/>
      <c r="BF954" s="29"/>
      <c r="BG954" s="29"/>
      <c r="BH954" s="29"/>
      <c r="BI954" s="29"/>
      <c r="BJ954" s="29"/>
      <c r="BK954" s="29"/>
      <c r="BL954" s="29"/>
      <c r="BM954" s="29"/>
      <c r="BN954" s="29"/>
      <c r="BO954" s="29"/>
      <c r="BP954" s="29"/>
      <c r="BQ954" s="29"/>
      <c r="BR954" s="29"/>
      <c r="BS954" s="29"/>
      <c r="BT954" s="29"/>
      <c r="BU954" s="29"/>
      <c r="BV954" s="29"/>
      <c r="BW954" s="29"/>
      <c r="BX954" s="29"/>
      <c r="BY954" s="29"/>
      <c r="BZ954" s="29"/>
      <c r="CA954" s="29"/>
      <c r="CB954" s="29"/>
      <c r="CC954" s="29"/>
      <c r="CD954" s="29"/>
      <c r="CE954" s="29"/>
      <c r="CF954" s="29"/>
      <c r="CG954" s="29"/>
      <c r="CH954" s="29"/>
      <c r="CI954" s="29"/>
      <c r="CJ954" s="29"/>
      <c r="CK954" s="29"/>
      <c r="CL954" s="29"/>
      <c r="CM954" s="29"/>
      <c r="CN954" s="29"/>
      <c r="CO954" s="29"/>
      <c r="CP954" s="29"/>
      <c r="CQ954" s="29"/>
      <c r="CR954" s="29"/>
      <c r="CS954" s="29"/>
      <c r="CT954" s="29"/>
      <c r="CU954" s="29"/>
      <c r="CV954" s="29"/>
      <c r="CW954" s="29"/>
      <c r="CX954" s="29"/>
      <c r="CY954" s="29"/>
      <c r="CZ954" s="29"/>
      <c r="DA954" s="29"/>
      <c r="DB954" s="29"/>
      <c r="DC954" s="29"/>
      <c r="DD954" s="29"/>
      <c r="DE954" s="29"/>
      <c r="DF954" s="29"/>
      <c r="DG954" s="29"/>
      <c r="DH954" s="29"/>
      <c r="DI954" s="29"/>
      <c r="DJ954" s="29"/>
      <c r="DK954" s="29"/>
      <c r="DL954" s="29"/>
      <c r="DM954" s="29"/>
      <c r="DN954" s="29"/>
      <c r="DO954" s="29"/>
      <c r="DP954" s="29"/>
      <c r="DQ954" s="29"/>
      <c r="DR954" s="29"/>
      <c r="DS954" s="29"/>
      <c r="DT954" s="29"/>
      <c r="DU954" s="29"/>
      <c r="DV954" s="29"/>
      <c r="DW954" s="29"/>
      <c r="DX954" s="29"/>
      <c r="DY954" s="29"/>
      <c r="DZ954" s="29"/>
      <c r="EA954" s="29"/>
      <c r="EB954" s="29"/>
      <c r="EC954" s="29"/>
      <c r="ED954" s="29"/>
      <c r="EE954" s="29"/>
      <c r="EF954" s="29"/>
      <c r="EG954" s="29"/>
      <c r="EH954" s="29"/>
      <c r="EI954" s="29"/>
      <c r="EJ954" s="29"/>
      <c r="EK954" s="29"/>
      <c r="EL954" s="29"/>
      <c r="EM954" s="29"/>
      <c r="EN954" s="29"/>
      <c r="EO954" s="29"/>
      <c r="EP954" s="29"/>
      <c r="EQ954" s="29"/>
      <c r="ER954" s="29"/>
      <c r="ES954" s="29"/>
      <c r="ET954" s="29"/>
      <c r="EU954" s="29"/>
      <c r="EV954" s="29"/>
      <c r="EW954" s="29"/>
      <c r="EX954" s="29"/>
      <c r="EY954" s="29"/>
      <c r="EZ954" s="29"/>
      <c r="FA954" s="29"/>
      <c r="FB954" s="29"/>
      <c r="FC954" s="29"/>
      <c r="FD954" s="29"/>
      <c r="FE954" s="29"/>
      <c r="FF954" s="29"/>
      <c r="FG954" s="29"/>
      <c r="FH954" s="29"/>
      <c r="FI954" s="29"/>
      <c r="FJ954" s="29"/>
      <c r="FK954" s="29"/>
      <c r="FL954" s="29"/>
      <c r="FM954" s="29"/>
      <c r="FN954" s="29"/>
      <c r="FO954" s="29"/>
      <c r="FP954" s="29"/>
      <c r="FQ954" s="29"/>
      <c r="FR954" s="29"/>
      <c r="FS954" s="29"/>
      <c r="FT954" s="29"/>
      <c r="FU954" s="29"/>
      <c r="FV954" s="29"/>
      <c r="FW954" s="29"/>
      <c r="FX954" s="29"/>
      <c r="FY954" s="29"/>
      <c r="FZ954" s="29"/>
      <c r="GA954" s="29"/>
      <c r="GB954" s="29"/>
      <c r="GC954" s="29"/>
      <c r="GD954" s="29"/>
      <c r="GE954" s="29"/>
      <c r="GF954" s="29"/>
      <c r="GG954" s="29"/>
      <c r="GH954" s="29"/>
      <c r="GI954" s="29"/>
      <c r="GJ954" s="29"/>
      <c r="GK954" s="29"/>
      <c r="GL954" s="29"/>
      <c r="GM954" s="29"/>
      <c r="GN954" s="29"/>
      <c r="GO954" s="29"/>
      <c r="GP954" s="29"/>
      <c r="GQ954" s="29"/>
      <c r="GR954" s="29"/>
      <c r="GS954" s="29"/>
      <c r="GT954" s="29"/>
      <c r="GU954" s="29"/>
      <c r="GV954" s="29"/>
      <c r="GW954" s="29"/>
      <c r="GX954" s="29"/>
      <c r="GY954" s="29"/>
      <c r="GZ954" s="29"/>
      <c r="HA954" s="29"/>
      <c r="HB954" s="29"/>
      <c r="HC954" s="29"/>
      <c r="HD954" s="29"/>
      <c r="HE954" s="29"/>
      <c r="HF954" s="29"/>
      <c r="HG954" s="29"/>
      <c r="HH954" s="29"/>
      <c r="HI954" s="29"/>
      <c r="HJ954" s="29"/>
      <c r="HK954" s="29"/>
      <c r="HL954" s="29"/>
      <c r="HM954" s="29"/>
      <c r="HN954" s="29"/>
      <c r="HO954" s="29"/>
      <c r="HP954" s="29"/>
      <c r="HQ954" s="29"/>
      <c r="HR954" s="29"/>
      <c r="HS954" s="29"/>
      <c r="HT954" s="29"/>
      <c r="HU954" s="29"/>
      <c r="HV954" s="29"/>
      <c r="HW954" s="29"/>
      <c r="HX954" s="29"/>
      <c r="HY954" s="29"/>
      <c r="HZ954" s="29"/>
      <c r="IA954" s="29"/>
      <c r="IB954" s="29"/>
      <c r="IC954" s="29"/>
      <c r="ID954" s="29"/>
      <c r="IE954" s="29"/>
      <c r="IF954" s="29"/>
      <c r="IG954" s="29"/>
      <c r="IH954" s="29"/>
      <c r="II954" s="29"/>
      <c r="IJ954" s="29"/>
      <c r="IK954" s="29"/>
      <c r="IL954" s="29"/>
      <c r="IM954" s="29"/>
      <c r="IN954" s="29"/>
      <c r="IO954" s="29"/>
      <c r="IP954" s="29"/>
      <c r="IQ954" s="29"/>
      <c r="IR954" s="29"/>
      <c r="IS954" s="29"/>
      <c r="IT954" s="29"/>
      <c r="IU954" s="29"/>
      <c r="IV954" s="29"/>
      <c r="IW954" s="29"/>
      <c r="IX954" s="29"/>
      <c r="IY954" s="29"/>
      <c r="IZ954" s="29"/>
      <c r="JA954" s="29"/>
      <c r="JB954" s="29"/>
      <c r="JC954" s="29"/>
      <c r="JD954" s="29"/>
      <c r="JE954" s="29"/>
      <c r="JF954" s="29"/>
      <c r="JG954" s="29"/>
      <c r="JH954" s="29"/>
      <c r="JI954" s="29"/>
      <c r="JJ954" s="29"/>
      <c r="JK954" s="29"/>
      <c r="JL954" s="29"/>
    </row>
    <row r="955" spans="1:272" ht="34.5" customHeight="1">
      <c r="A955" s="30" t="s">
        <v>71</v>
      </c>
      <c r="B955" s="30" t="s">
        <v>116</v>
      </c>
      <c r="C955" s="30" t="s">
        <v>144</v>
      </c>
      <c r="D955" s="30" t="s">
        <v>2384</v>
      </c>
      <c r="E955" s="30" t="s">
        <v>74</v>
      </c>
      <c r="F955" s="30" t="s">
        <v>1969</v>
      </c>
      <c r="G955" s="30"/>
      <c r="H955" s="30">
        <v>541519</v>
      </c>
      <c r="I955" s="30" t="s">
        <v>98</v>
      </c>
      <c r="J955" s="30" t="s">
        <v>129</v>
      </c>
      <c r="K955" s="30" t="s">
        <v>61</v>
      </c>
      <c r="L955" s="30" t="s">
        <v>2385</v>
      </c>
      <c r="M955" s="39">
        <v>496292</v>
      </c>
      <c r="N955" s="39">
        <v>2162696</v>
      </c>
      <c r="O955" s="39" t="s">
        <v>79</v>
      </c>
      <c r="P955" s="30" t="s">
        <v>2386</v>
      </c>
      <c r="Q955" s="31" t="s">
        <v>867</v>
      </c>
      <c r="R955" s="30" t="s">
        <v>150</v>
      </c>
      <c r="S955" s="41">
        <v>2013</v>
      </c>
      <c r="T955" s="31" t="s">
        <v>2376</v>
      </c>
      <c r="U955" s="31" t="s">
        <v>2377</v>
      </c>
      <c r="V955" s="30" t="s">
        <v>2378</v>
      </c>
      <c r="W955" s="30" t="s">
        <v>151</v>
      </c>
      <c r="X955" s="30"/>
      <c r="Y955" s="30"/>
      <c r="Z955" s="30"/>
      <c r="AA955" s="30"/>
      <c r="AE955" s="29"/>
      <c r="AF955" s="29"/>
      <c r="AG955" s="29"/>
      <c r="AH955" s="29"/>
      <c r="AI955" s="29"/>
      <c r="AJ955" s="29"/>
      <c r="AK955" s="29"/>
      <c r="AL955" s="29"/>
      <c r="AM955" s="29"/>
      <c r="AN955" s="29"/>
      <c r="AO955" s="29"/>
      <c r="AP955" s="29"/>
      <c r="AQ955" s="29"/>
      <c r="AR955" s="29"/>
      <c r="AS955" s="29"/>
      <c r="AT955" s="29"/>
      <c r="AU955" s="29"/>
      <c r="AV955" s="29"/>
      <c r="AW955" s="29"/>
      <c r="AX955" s="29"/>
      <c r="AY955" s="29"/>
      <c r="AZ955" s="29"/>
      <c r="BA955" s="29"/>
      <c r="BB955" s="29"/>
      <c r="BC955" s="29"/>
      <c r="BD955" s="29"/>
      <c r="BE955" s="29"/>
      <c r="BF955" s="29"/>
      <c r="BG955" s="29"/>
      <c r="BH955" s="29"/>
      <c r="BI955" s="29"/>
      <c r="BJ955" s="29"/>
      <c r="BK955" s="29"/>
      <c r="BL955" s="29"/>
      <c r="BM955" s="29"/>
      <c r="BN955" s="29"/>
      <c r="BO955" s="29"/>
      <c r="BP955" s="29"/>
      <c r="BQ955" s="29"/>
      <c r="BR955" s="29"/>
      <c r="BS955" s="29"/>
      <c r="BT955" s="29"/>
      <c r="BU955" s="29"/>
      <c r="BV955" s="29"/>
      <c r="BW955" s="29"/>
      <c r="BX955" s="29"/>
      <c r="BY955" s="29"/>
      <c r="BZ955" s="29"/>
      <c r="CA955" s="29"/>
      <c r="CB955" s="29"/>
      <c r="CC955" s="29"/>
      <c r="CD955" s="29"/>
      <c r="CE955" s="29"/>
      <c r="CF955" s="29"/>
      <c r="CG955" s="29"/>
      <c r="CH955" s="29"/>
      <c r="CI955" s="29"/>
      <c r="CJ955" s="29"/>
      <c r="CK955" s="29"/>
      <c r="CL955" s="29"/>
      <c r="CM955" s="29"/>
      <c r="CN955" s="29"/>
      <c r="CO955" s="29"/>
      <c r="CP955" s="29"/>
      <c r="CQ955" s="29"/>
      <c r="CR955" s="29"/>
      <c r="CS955" s="29"/>
      <c r="CT955" s="29"/>
      <c r="CU955" s="29"/>
      <c r="CV955" s="29"/>
      <c r="CW955" s="29"/>
      <c r="CX955" s="29"/>
      <c r="CY955" s="29"/>
      <c r="CZ955" s="29"/>
      <c r="DA955" s="29"/>
      <c r="DB955" s="29"/>
      <c r="DC955" s="29"/>
      <c r="DD955" s="29"/>
      <c r="DE955" s="29"/>
      <c r="DF955" s="29"/>
      <c r="DG955" s="29"/>
      <c r="DH955" s="29"/>
      <c r="DI955" s="29"/>
      <c r="DJ955" s="29"/>
      <c r="DK955" s="29"/>
      <c r="DL955" s="29"/>
      <c r="DM955" s="29"/>
      <c r="DN955" s="29"/>
      <c r="DO955" s="29"/>
      <c r="DP955" s="29"/>
      <c r="DQ955" s="29"/>
      <c r="DR955" s="29"/>
      <c r="DS955" s="29"/>
      <c r="DT955" s="29"/>
      <c r="DU955" s="29"/>
      <c r="DV955" s="29"/>
      <c r="DW955" s="29"/>
      <c r="DX955" s="29"/>
      <c r="DY955" s="29"/>
      <c r="DZ955" s="29"/>
      <c r="EA955" s="29"/>
      <c r="EB955" s="29"/>
      <c r="EC955" s="29"/>
      <c r="ED955" s="29"/>
      <c r="EE955" s="29"/>
      <c r="EF955" s="29"/>
      <c r="EG955" s="29"/>
      <c r="EH955" s="29"/>
      <c r="EI955" s="29"/>
      <c r="EJ955" s="29"/>
      <c r="EK955" s="29"/>
      <c r="EL955" s="29"/>
      <c r="EM955" s="29"/>
      <c r="EN955" s="29"/>
      <c r="EO955" s="29"/>
      <c r="EP955" s="29"/>
      <c r="EQ955" s="29"/>
      <c r="ER955" s="29"/>
      <c r="ES955" s="29"/>
      <c r="ET955" s="29"/>
      <c r="EU955" s="29"/>
      <c r="EV955" s="29"/>
      <c r="EW955" s="29"/>
      <c r="EX955" s="29"/>
      <c r="EY955" s="29"/>
      <c r="EZ955" s="29"/>
      <c r="FA955" s="29"/>
      <c r="FB955" s="29"/>
      <c r="FC955" s="29"/>
      <c r="FD955" s="29"/>
      <c r="FE955" s="29"/>
      <c r="FF955" s="29"/>
      <c r="FG955" s="29"/>
      <c r="FH955" s="29"/>
      <c r="FI955" s="29"/>
      <c r="FJ955" s="29"/>
      <c r="FK955" s="29"/>
      <c r="FL955" s="29"/>
      <c r="FM955" s="29"/>
      <c r="FN955" s="29"/>
      <c r="FO955" s="29"/>
      <c r="FP955" s="29"/>
      <c r="FQ955" s="29"/>
      <c r="FR955" s="29"/>
      <c r="FS955" s="29"/>
      <c r="FT955" s="29"/>
      <c r="FU955" s="29"/>
      <c r="FV955" s="29"/>
      <c r="FW955" s="29"/>
      <c r="FX955" s="29"/>
      <c r="FY955" s="29"/>
      <c r="FZ955" s="29"/>
      <c r="GA955" s="29"/>
      <c r="GB955" s="29"/>
      <c r="GC955" s="29"/>
      <c r="GD955" s="29"/>
      <c r="GE955" s="29"/>
      <c r="GF955" s="29"/>
      <c r="GG955" s="29"/>
      <c r="GH955" s="29"/>
      <c r="GI955" s="29"/>
      <c r="GJ955" s="29"/>
      <c r="GK955" s="29"/>
      <c r="GL955" s="29"/>
      <c r="GM955" s="29"/>
      <c r="GN955" s="29"/>
      <c r="GO955" s="29"/>
      <c r="GP955" s="29"/>
      <c r="GQ955" s="29"/>
      <c r="GR955" s="29"/>
      <c r="GS955" s="29"/>
      <c r="GT955" s="29"/>
      <c r="GU955" s="29"/>
      <c r="GV955" s="29"/>
      <c r="GW955" s="29"/>
      <c r="GX955" s="29"/>
      <c r="GY955" s="29"/>
      <c r="GZ955" s="29"/>
      <c r="HA955" s="29"/>
      <c r="HB955" s="29"/>
      <c r="HC955" s="29"/>
      <c r="HD955" s="29"/>
      <c r="HE955" s="29"/>
      <c r="HF955" s="29"/>
      <c r="HG955" s="29"/>
      <c r="HH955" s="29"/>
      <c r="HI955" s="29"/>
      <c r="HJ955" s="29"/>
      <c r="HK955" s="29"/>
      <c r="HL955" s="29"/>
      <c r="HM955" s="29"/>
      <c r="HN955" s="29"/>
      <c r="HO955" s="29"/>
      <c r="HP955" s="29"/>
      <c r="HQ955" s="29"/>
      <c r="HR955" s="29"/>
      <c r="HS955" s="29"/>
      <c r="HT955" s="29"/>
      <c r="HU955" s="29"/>
      <c r="HV955" s="29"/>
      <c r="HW955" s="29"/>
      <c r="HX955" s="29"/>
      <c r="HY955" s="29"/>
      <c r="HZ955" s="29"/>
      <c r="IA955" s="29"/>
      <c r="IB955" s="29"/>
      <c r="IC955" s="29"/>
      <c r="ID955" s="29"/>
      <c r="IE955" s="29"/>
      <c r="IF955" s="29"/>
      <c r="IG955" s="29"/>
      <c r="IH955" s="29"/>
      <c r="II955" s="29"/>
      <c r="IJ955" s="29"/>
      <c r="IK955" s="29"/>
      <c r="IL955" s="29"/>
      <c r="IM955" s="29"/>
      <c r="IN955" s="29"/>
      <c r="IO955" s="29"/>
      <c r="IP955" s="29"/>
      <c r="IQ955" s="29"/>
      <c r="IR955" s="29"/>
      <c r="IS955" s="29"/>
      <c r="IT955" s="29"/>
      <c r="IU955" s="29"/>
      <c r="IV955" s="29"/>
      <c r="IW955" s="29"/>
      <c r="IX955" s="29"/>
      <c r="IY955" s="29"/>
      <c r="IZ955" s="29"/>
      <c r="JA955" s="29"/>
      <c r="JB955" s="29"/>
      <c r="JC955" s="29"/>
      <c r="JD955" s="29"/>
      <c r="JE955" s="29"/>
      <c r="JF955" s="29"/>
      <c r="JG955" s="29"/>
      <c r="JH955" s="29"/>
      <c r="JI955" s="29"/>
      <c r="JJ955" s="29"/>
      <c r="JK955" s="29"/>
      <c r="JL955" s="29"/>
    </row>
    <row r="956" spans="1:272" ht="34.5" customHeight="1">
      <c r="A956" s="30" t="s">
        <v>71</v>
      </c>
      <c r="B956" s="30" t="s">
        <v>116</v>
      </c>
      <c r="C956" s="30" t="s">
        <v>144</v>
      </c>
      <c r="D956" s="30" t="s">
        <v>2387</v>
      </c>
      <c r="E956" s="30" t="s">
        <v>74</v>
      </c>
      <c r="F956" s="30" t="s">
        <v>1969</v>
      </c>
      <c r="G956" s="30"/>
      <c r="H956" s="30">
        <v>541620</v>
      </c>
      <c r="I956" s="30" t="s">
        <v>67</v>
      </c>
      <c r="J956" s="30" t="s">
        <v>169</v>
      </c>
      <c r="K956" s="30" t="s">
        <v>44</v>
      </c>
      <c r="L956" s="30" t="s">
        <v>2388</v>
      </c>
      <c r="M956" s="39">
        <v>347000</v>
      </c>
      <c r="N956" s="39">
        <v>898000</v>
      </c>
      <c r="O956" s="39" t="s">
        <v>79</v>
      </c>
      <c r="P956" s="30" t="s">
        <v>2389</v>
      </c>
      <c r="Q956" s="31" t="s">
        <v>867</v>
      </c>
      <c r="R956" s="30" t="s">
        <v>150</v>
      </c>
      <c r="S956" s="41">
        <v>2013</v>
      </c>
      <c r="T956" s="31" t="s">
        <v>2376</v>
      </c>
      <c r="U956" s="31" t="s">
        <v>2377</v>
      </c>
      <c r="V956" s="30" t="s">
        <v>2378</v>
      </c>
      <c r="W956" s="30" t="s">
        <v>151</v>
      </c>
      <c r="X956" s="30"/>
      <c r="Y956" s="30"/>
      <c r="Z956" s="30"/>
      <c r="AA956" s="30"/>
      <c r="AE956" s="29"/>
      <c r="AF956" s="29"/>
      <c r="AG956" s="29"/>
      <c r="AH956" s="29"/>
      <c r="AI956" s="29"/>
      <c r="AJ956" s="29"/>
      <c r="AK956" s="29"/>
      <c r="AL956" s="29"/>
      <c r="AM956" s="29"/>
      <c r="AN956" s="29"/>
      <c r="AO956" s="29"/>
      <c r="AP956" s="29"/>
      <c r="AQ956" s="29"/>
      <c r="AR956" s="29"/>
      <c r="AS956" s="29"/>
      <c r="AT956" s="29"/>
      <c r="AU956" s="29"/>
      <c r="AV956" s="29"/>
      <c r="AW956" s="29"/>
      <c r="AX956" s="29"/>
      <c r="AY956" s="29"/>
      <c r="AZ956" s="29"/>
      <c r="BA956" s="29"/>
      <c r="BB956" s="29"/>
      <c r="BC956" s="29"/>
      <c r="BD956" s="29"/>
      <c r="BE956" s="29"/>
      <c r="BF956" s="29"/>
      <c r="BG956" s="29"/>
      <c r="BH956" s="29"/>
      <c r="BI956" s="29"/>
      <c r="BJ956" s="29"/>
      <c r="BK956" s="29"/>
      <c r="BL956" s="29"/>
      <c r="BM956" s="29"/>
      <c r="BN956" s="29"/>
      <c r="BO956" s="29"/>
      <c r="BP956" s="29"/>
      <c r="BQ956" s="29"/>
      <c r="BR956" s="29"/>
      <c r="BS956" s="29"/>
      <c r="BT956" s="29"/>
      <c r="BU956" s="29"/>
      <c r="BV956" s="29"/>
      <c r="BW956" s="29"/>
      <c r="BX956" s="29"/>
      <c r="BY956" s="29"/>
      <c r="BZ956" s="29"/>
      <c r="CA956" s="29"/>
      <c r="CB956" s="29"/>
      <c r="CC956" s="29"/>
      <c r="CD956" s="29"/>
      <c r="CE956" s="29"/>
      <c r="CF956" s="29"/>
      <c r="CG956" s="29"/>
      <c r="CH956" s="29"/>
      <c r="CI956" s="29"/>
      <c r="CJ956" s="29"/>
      <c r="CK956" s="29"/>
      <c r="CL956" s="29"/>
      <c r="CM956" s="29"/>
      <c r="CN956" s="29"/>
      <c r="CO956" s="29"/>
      <c r="CP956" s="29"/>
      <c r="CQ956" s="29"/>
      <c r="CR956" s="29"/>
      <c r="CS956" s="29"/>
      <c r="CT956" s="29"/>
      <c r="CU956" s="29"/>
      <c r="CV956" s="29"/>
      <c r="CW956" s="29"/>
      <c r="CX956" s="29"/>
      <c r="CY956" s="29"/>
      <c r="CZ956" s="29"/>
      <c r="DA956" s="29"/>
      <c r="DB956" s="29"/>
      <c r="DC956" s="29"/>
      <c r="DD956" s="29"/>
      <c r="DE956" s="29"/>
      <c r="DF956" s="29"/>
      <c r="DG956" s="29"/>
      <c r="DH956" s="29"/>
      <c r="DI956" s="29"/>
      <c r="DJ956" s="29"/>
      <c r="DK956" s="29"/>
      <c r="DL956" s="29"/>
      <c r="DM956" s="29"/>
      <c r="DN956" s="29"/>
      <c r="DO956" s="29"/>
      <c r="DP956" s="29"/>
      <c r="DQ956" s="29"/>
      <c r="DR956" s="29"/>
      <c r="DS956" s="29"/>
      <c r="DT956" s="29"/>
      <c r="DU956" s="29"/>
      <c r="DV956" s="29"/>
      <c r="DW956" s="29"/>
      <c r="DX956" s="29"/>
      <c r="DY956" s="29"/>
      <c r="DZ956" s="29"/>
      <c r="EA956" s="29"/>
      <c r="EB956" s="29"/>
      <c r="EC956" s="29"/>
      <c r="ED956" s="29"/>
      <c r="EE956" s="29"/>
      <c r="EF956" s="29"/>
      <c r="EG956" s="29"/>
      <c r="EH956" s="29"/>
      <c r="EI956" s="29"/>
      <c r="EJ956" s="29"/>
      <c r="EK956" s="29"/>
      <c r="EL956" s="29"/>
      <c r="EM956" s="29"/>
      <c r="EN956" s="29"/>
      <c r="EO956" s="29"/>
      <c r="EP956" s="29"/>
      <c r="EQ956" s="29"/>
      <c r="ER956" s="29"/>
      <c r="ES956" s="29"/>
      <c r="ET956" s="29"/>
      <c r="EU956" s="29"/>
      <c r="EV956" s="29"/>
      <c r="EW956" s="29"/>
      <c r="EX956" s="29"/>
      <c r="EY956" s="29"/>
      <c r="EZ956" s="29"/>
      <c r="FA956" s="29"/>
      <c r="FB956" s="29"/>
      <c r="FC956" s="29"/>
      <c r="FD956" s="29"/>
      <c r="FE956" s="29"/>
      <c r="FF956" s="29"/>
      <c r="FG956" s="29"/>
      <c r="FH956" s="29"/>
      <c r="FI956" s="29"/>
      <c r="FJ956" s="29"/>
      <c r="FK956" s="29"/>
      <c r="FL956" s="29"/>
      <c r="FM956" s="29"/>
      <c r="FN956" s="29"/>
      <c r="FO956" s="29"/>
      <c r="FP956" s="29"/>
      <c r="FQ956" s="29"/>
      <c r="FR956" s="29"/>
      <c r="FS956" s="29"/>
      <c r="FT956" s="29"/>
      <c r="FU956" s="29"/>
      <c r="FV956" s="29"/>
      <c r="FW956" s="29"/>
      <c r="FX956" s="29"/>
      <c r="FY956" s="29"/>
      <c r="FZ956" s="29"/>
      <c r="GA956" s="29"/>
      <c r="GB956" s="29"/>
      <c r="GC956" s="29"/>
      <c r="GD956" s="29"/>
      <c r="GE956" s="29"/>
      <c r="GF956" s="29"/>
      <c r="GG956" s="29"/>
      <c r="GH956" s="29"/>
      <c r="GI956" s="29"/>
      <c r="GJ956" s="29"/>
      <c r="GK956" s="29"/>
      <c r="GL956" s="29"/>
      <c r="GM956" s="29"/>
      <c r="GN956" s="29"/>
      <c r="GO956" s="29"/>
      <c r="GP956" s="29"/>
      <c r="GQ956" s="29"/>
      <c r="GR956" s="29"/>
      <c r="GS956" s="29"/>
      <c r="GT956" s="29"/>
      <c r="GU956" s="29"/>
      <c r="GV956" s="29"/>
      <c r="GW956" s="29"/>
      <c r="GX956" s="29"/>
      <c r="GY956" s="29"/>
      <c r="GZ956" s="29"/>
      <c r="HA956" s="29"/>
      <c r="HB956" s="29"/>
      <c r="HC956" s="29"/>
      <c r="HD956" s="29"/>
      <c r="HE956" s="29"/>
      <c r="HF956" s="29"/>
      <c r="HG956" s="29"/>
      <c r="HH956" s="29"/>
      <c r="HI956" s="29"/>
      <c r="HJ956" s="29"/>
      <c r="HK956" s="29"/>
      <c r="HL956" s="29"/>
      <c r="HM956" s="29"/>
      <c r="HN956" s="29"/>
      <c r="HO956" s="29"/>
      <c r="HP956" s="29"/>
      <c r="HQ956" s="29"/>
      <c r="HR956" s="29"/>
      <c r="HS956" s="29"/>
      <c r="HT956" s="29"/>
      <c r="HU956" s="29"/>
      <c r="HV956" s="29"/>
      <c r="HW956" s="29"/>
      <c r="HX956" s="29"/>
      <c r="HY956" s="29"/>
      <c r="HZ956" s="29"/>
      <c r="IA956" s="29"/>
      <c r="IB956" s="29"/>
      <c r="IC956" s="29"/>
      <c r="ID956" s="29"/>
      <c r="IE956" s="29"/>
      <c r="IF956" s="29"/>
      <c r="IG956" s="29"/>
      <c r="IH956" s="29"/>
      <c r="II956" s="29"/>
      <c r="IJ956" s="29"/>
      <c r="IK956" s="29"/>
      <c r="IL956" s="29"/>
      <c r="IM956" s="29"/>
      <c r="IN956" s="29"/>
      <c r="IO956" s="29"/>
      <c r="IP956" s="29"/>
      <c r="IQ956" s="29"/>
      <c r="IR956" s="29"/>
      <c r="IS956" s="29"/>
      <c r="IT956" s="29"/>
      <c r="IU956" s="29"/>
      <c r="IV956" s="29"/>
      <c r="IW956" s="29"/>
      <c r="IX956" s="29"/>
      <c r="IY956" s="29"/>
      <c r="IZ956" s="29"/>
      <c r="JA956" s="29"/>
      <c r="JB956" s="29"/>
      <c r="JC956" s="29"/>
      <c r="JD956" s="29"/>
      <c r="JE956" s="29"/>
      <c r="JF956" s="29"/>
      <c r="JG956" s="29"/>
      <c r="JH956" s="29"/>
      <c r="JI956" s="29"/>
      <c r="JJ956" s="29"/>
      <c r="JK956" s="29"/>
      <c r="JL956" s="29"/>
    </row>
    <row r="957" spans="1:272" ht="34.5" customHeight="1">
      <c r="A957" s="30" t="s">
        <v>71</v>
      </c>
      <c r="B957" s="30" t="s">
        <v>116</v>
      </c>
      <c r="C957" s="30" t="s">
        <v>144</v>
      </c>
      <c r="D957" s="30" t="s">
        <v>2390</v>
      </c>
      <c r="E957" s="30" t="s">
        <v>30</v>
      </c>
      <c r="F957" s="30" t="s">
        <v>1969</v>
      </c>
      <c r="G957" s="30"/>
      <c r="H957" s="30">
        <v>541430</v>
      </c>
      <c r="I957" s="30" t="s">
        <v>42</v>
      </c>
      <c r="J957" s="30" t="s">
        <v>61</v>
      </c>
      <c r="K957" s="30" t="s">
        <v>61</v>
      </c>
      <c r="L957" s="30" t="s">
        <v>2391</v>
      </c>
      <c r="M957" s="39">
        <v>9600</v>
      </c>
      <c r="N957" s="39">
        <v>32000</v>
      </c>
      <c r="O957" s="39" t="s">
        <v>79</v>
      </c>
      <c r="P957" s="30" t="s">
        <v>2392</v>
      </c>
      <c r="Q957" s="31" t="s">
        <v>867</v>
      </c>
      <c r="R957" s="30" t="s">
        <v>150</v>
      </c>
      <c r="S957" s="41">
        <v>2013</v>
      </c>
      <c r="T957" s="31" t="s">
        <v>2376</v>
      </c>
      <c r="U957" s="31" t="s">
        <v>2377</v>
      </c>
      <c r="V957" s="30" t="s">
        <v>2378</v>
      </c>
      <c r="W957" s="30" t="s">
        <v>151</v>
      </c>
      <c r="X957" s="30"/>
      <c r="Y957" s="30"/>
      <c r="Z957" s="30"/>
      <c r="AA957" s="30"/>
      <c r="AE957" s="29"/>
      <c r="AF957" s="29"/>
      <c r="AG957" s="29"/>
      <c r="AH957" s="29"/>
      <c r="AI957" s="29"/>
      <c r="AJ957" s="29"/>
      <c r="AK957" s="29"/>
      <c r="AL957" s="29"/>
      <c r="AM957" s="29"/>
      <c r="AN957" s="29"/>
      <c r="AO957" s="29"/>
      <c r="AP957" s="29"/>
      <c r="AQ957" s="29"/>
      <c r="AR957" s="29"/>
      <c r="AS957" s="29"/>
      <c r="AT957" s="29"/>
      <c r="AU957" s="29"/>
      <c r="AV957" s="29"/>
      <c r="AW957" s="29"/>
      <c r="AX957" s="29"/>
      <c r="AY957" s="29"/>
      <c r="AZ957" s="29"/>
      <c r="BA957" s="29"/>
      <c r="BB957" s="29"/>
      <c r="BC957" s="29"/>
      <c r="BD957" s="29"/>
      <c r="BE957" s="29"/>
      <c r="BF957" s="29"/>
      <c r="BG957" s="29"/>
      <c r="BH957" s="29"/>
      <c r="BI957" s="29"/>
      <c r="BJ957" s="29"/>
      <c r="BK957" s="29"/>
      <c r="BL957" s="29"/>
      <c r="BM957" s="29"/>
      <c r="BN957" s="29"/>
      <c r="BO957" s="29"/>
      <c r="BP957" s="29"/>
      <c r="BQ957" s="29"/>
      <c r="BR957" s="29"/>
      <c r="BS957" s="29"/>
      <c r="BT957" s="29"/>
      <c r="BU957" s="29"/>
      <c r="BV957" s="29"/>
      <c r="BW957" s="29"/>
      <c r="BX957" s="29"/>
      <c r="BY957" s="29"/>
      <c r="BZ957" s="29"/>
      <c r="CA957" s="29"/>
      <c r="CB957" s="29"/>
      <c r="CC957" s="29"/>
      <c r="CD957" s="29"/>
      <c r="CE957" s="29"/>
      <c r="CF957" s="29"/>
      <c r="CG957" s="29"/>
      <c r="CH957" s="29"/>
      <c r="CI957" s="29"/>
      <c r="CJ957" s="29"/>
      <c r="CK957" s="29"/>
      <c r="CL957" s="29"/>
      <c r="CM957" s="29"/>
      <c r="CN957" s="29"/>
      <c r="CO957" s="29"/>
      <c r="CP957" s="29"/>
      <c r="CQ957" s="29"/>
      <c r="CR957" s="29"/>
      <c r="CS957" s="29"/>
      <c r="CT957" s="29"/>
      <c r="CU957" s="29"/>
      <c r="CV957" s="29"/>
      <c r="CW957" s="29"/>
      <c r="CX957" s="29"/>
      <c r="CY957" s="29"/>
      <c r="CZ957" s="29"/>
      <c r="DA957" s="29"/>
      <c r="DB957" s="29"/>
      <c r="DC957" s="29"/>
      <c r="DD957" s="29"/>
      <c r="DE957" s="29"/>
      <c r="DF957" s="29"/>
      <c r="DG957" s="29"/>
      <c r="DH957" s="29"/>
      <c r="DI957" s="29"/>
      <c r="DJ957" s="29"/>
      <c r="DK957" s="29"/>
      <c r="DL957" s="29"/>
      <c r="DM957" s="29"/>
      <c r="DN957" s="29"/>
      <c r="DO957" s="29"/>
      <c r="DP957" s="29"/>
      <c r="DQ957" s="29"/>
      <c r="DR957" s="29"/>
      <c r="DS957" s="29"/>
      <c r="DT957" s="29"/>
      <c r="DU957" s="29"/>
      <c r="DV957" s="29"/>
      <c r="DW957" s="29"/>
      <c r="DX957" s="29"/>
      <c r="DY957" s="29"/>
      <c r="DZ957" s="29"/>
      <c r="EA957" s="29"/>
      <c r="EB957" s="29"/>
      <c r="EC957" s="29"/>
      <c r="ED957" s="29"/>
      <c r="EE957" s="29"/>
      <c r="EF957" s="29"/>
      <c r="EG957" s="29"/>
      <c r="EH957" s="29"/>
      <c r="EI957" s="29"/>
      <c r="EJ957" s="29"/>
      <c r="EK957" s="29"/>
      <c r="EL957" s="29"/>
      <c r="EM957" s="29"/>
      <c r="EN957" s="29"/>
      <c r="EO957" s="29"/>
      <c r="EP957" s="29"/>
      <c r="EQ957" s="29"/>
      <c r="ER957" s="29"/>
      <c r="ES957" s="29"/>
      <c r="ET957" s="29"/>
      <c r="EU957" s="29"/>
      <c r="EV957" s="29"/>
      <c r="EW957" s="29"/>
      <c r="EX957" s="29"/>
      <c r="EY957" s="29"/>
      <c r="EZ957" s="29"/>
      <c r="FA957" s="29"/>
      <c r="FB957" s="29"/>
      <c r="FC957" s="29"/>
      <c r="FD957" s="29"/>
      <c r="FE957" s="29"/>
      <c r="FF957" s="29"/>
      <c r="FG957" s="29"/>
      <c r="FH957" s="29"/>
      <c r="FI957" s="29"/>
      <c r="FJ957" s="29"/>
      <c r="FK957" s="29"/>
      <c r="FL957" s="29"/>
      <c r="FM957" s="29"/>
      <c r="FN957" s="29"/>
      <c r="FO957" s="29"/>
      <c r="FP957" s="29"/>
      <c r="FQ957" s="29"/>
      <c r="FR957" s="29"/>
      <c r="FS957" s="29"/>
      <c r="FT957" s="29"/>
      <c r="FU957" s="29"/>
      <c r="FV957" s="29"/>
      <c r="FW957" s="29"/>
      <c r="FX957" s="29"/>
      <c r="FY957" s="29"/>
      <c r="FZ957" s="29"/>
      <c r="GA957" s="29"/>
      <c r="GB957" s="29"/>
      <c r="GC957" s="29"/>
      <c r="GD957" s="29"/>
      <c r="GE957" s="29"/>
      <c r="GF957" s="29"/>
      <c r="GG957" s="29"/>
      <c r="GH957" s="29"/>
      <c r="GI957" s="29"/>
      <c r="GJ957" s="29"/>
      <c r="GK957" s="29"/>
      <c r="GL957" s="29"/>
      <c r="GM957" s="29"/>
      <c r="GN957" s="29"/>
      <c r="GO957" s="29"/>
      <c r="GP957" s="29"/>
      <c r="GQ957" s="29"/>
      <c r="GR957" s="29"/>
      <c r="GS957" s="29"/>
      <c r="GT957" s="29"/>
      <c r="GU957" s="29"/>
      <c r="GV957" s="29"/>
      <c r="GW957" s="29"/>
      <c r="GX957" s="29"/>
      <c r="GY957" s="29"/>
      <c r="GZ957" s="29"/>
      <c r="HA957" s="29"/>
      <c r="HB957" s="29"/>
      <c r="HC957" s="29"/>
      <c r="HD957" s="29"/>
      <c r="HE957" s="29"/>
      <c r="HF957" s="29"/>
      <c r="HG957" s="29"/>
      <c r="HH957" s="29"/>
      <c r="HI957" s="29"/>
      <c r="HJ957" s="29"/>
      <c r="HK957" s="29"/>
      <c r="HL957" s="29"/>
      <c r="HM957" s="29"/>
      <c r="HN957" s="29"/>
      <c r="HO957" s="29"/>
      <c r="HP957" s="29"/>
      <c r="HQ957" s="29"/>
      <c r="HR957" s="29"/>
      <c r="HS957" s="29"/>
      <c r="HT957" s="29"/>
      <c r="HU957" s="29"/>
      <c r="HV957" s="29"/>
      <c r="HW957" s="29"/>
      <c r="HX957" s="29"/>
      <c r="HY957" s="29"/>
      <c r="HZ957" s="29"/>
      <c r="IA957" s="29"/>
      <c r="IB957" s="29"/>
      <c r="IC957" s="29"/>
      <c r="ID957" s="29"/>
      <c r="IE957" s="29"/>
      <c r="IF957" s="29"/>
      <c r="IG957" s="29"/>
      <c r="IH957" s="29"/>
      <c r="II957" s="29"/>
      <c r="IJ957" s="29"/>
      <c r="IK957" s="29"/>
      <c r="IL957" s="29"/>
      <c r="IM957" s="29"/>
      <c r="IN957" s="29"/>
      <c r="IO957" s="29"/>
      <c r="IP957" s="29"/>
      <c r="IQ957" s="29"/>
      <c r="IR957" s="29"/>
      <c r="IS957" s="29"/>
      <c r="IT957" s="29"/>
      <c r="IU957" s="29"/>
      <c r="IV957" s="29"/>
      <c r="IW957" s="29"/>
      <c r="IX957" s="29"/>
      <c r="IY957" s="29"/>
      <c r="IZ957" s="29"/>
      <c r="JA957" s="29"/>
      <c r="JB957" s="29"/>
      <c r="JC957" s="29"/>
      <c r="JD957" s="29"/>
      <c r="JE957" s="29"/>
      <c r="JF957" s="29"/>
      <c r="JG957" s="29"/>
      <c r="JH957" s="29"/>
      <c r="JI957" s="29"/>
      <c r="JJ957" s="29"/>
      <c r="JK957" s="29"/>
      <c r="JL957" s="29"/>
    </row>
    <row r="958" spans="1:272" ht="34.5" customHeight="1">
      <c r="A958" s="30" t="s">
        <v>71</v>
      </c>
      <c r="B958" s="30" t="s">
        <v>116</v>
      </c>
      <c r="C958" s="30" t="s">
        <v>144</v>
      </c>
      <c r="D958" s="30" t="s">
        <v>2393</v>
      </c>
      <c r="E958" s="30" t="s">
        <v>285</v>
      </c>
      <c r="F958" s="30" t="s">
        <v>1969</v>
      </c>
      <c r="G958" s="30"/>
      <c r="H958" s="30">
        <v>561110</v>
      </c>
      <c r="I958" s="129" t="s">
        <v>546</v>
      </c>
      <c r="J958" s="30" t="s">
        <v>129</v>
      </c>
      <c r="K958" s="31" t="s">
        <v>69</v>
      </c>
      <c r="L958" s="30" t="s">
        <v>2391</v>
      </c>
      <c r="M958" s="39">
        <v>63321</v>
      </c>
      <c r="N958" s="39">
        <v>336182</v>
      </c>
      <c r="O958" s="39" t="s">
        <v>79</v>
      </c>
      <c r="P958" s="30" t="s">
        <v>2394</v>
      </c>
      <c r="Q958" s="31" t="s">
        <v>867</v>
      </c>
      <c r="R958" s="30" t="s">
        <v>150</v>
      </c>
      <c r="S958" s="41">
        <v>2013</v>
      </c>
      <c r="T958" s="31" t="s">
        <v>2376</v>
      </c>
      <c r="U958" s="31" t="s">
        <v>2377</v>
      </c>
      <c r="V958" s="30" t="s">
        <v>2378</v>
      </c>
      <c r="W958" s="30" t="s">
        <v>151</v>
      </c>
      <c r="X958" s="30"/>
      <c r="Y958" s="30"/>
      <c r="Z958" s="30"/>
      <c r="AA958" s="30"/>
      <c r="AE958" s="29"/>
      <c r="AF958" s="29"/>
      <c r="AG958" s="29"/>
      <c r="AH958" s="29"/>
      <c r="AI958" s="29"/>
      <c r="AJ958" s="29"/>
      <c r="AK958" s="29"/>
      <c r="AL958" s="29"/>
      <c r="AM958" s="29"/>
      <c r="AN958" s="29"/>
      <c r="AO958" s="29"/>
      <c r="AP958" s="29"/>
      <c r="AQ958" s="29"/>
      <c r="AR958" s="29"/>
      <c r="AS958" s="29"/>
      <c r="AT958" s="29"/>
      <c r="AU958" s="29"/>
      <c r="AV958" s="29"/>
      <c r="AW958" s="29"/>
      <c r="AX958" s="29"/>
      <c r="AY958" s="29"/>
      <c r="AZ958" s="29"/>
      <c r="BA958" s="29"/>
      <c r="BB958" s="29"/>
      <c r="BC958" s="29"/>
      <c r="BD958" s="29"/>
      <c r="BE958" s="29"/>
      <c r="BF958" s="29"/>
      <c r="BG958" s="29"/>
      <c r="BH958" s="29"/>
      <c r="BI958" s="29"/>
      <c r="BJ958" s="29"/>
      <c r="BK958" s="29"/>
      <c r="BL958" s="29"/>
      <c r="BM958" s="29"/>
      <c r="BN958" s="29"/>
      <c r="BO958" s="29"/>
      <c r="BP958" s="29"/>
      <c r="BQ958" s="29"/>
      <c r="BR958" s="29"/>
      <c r="BS958" s="29"/>
      <c r="BT958" s="29"/>
      <c r="BU958" s="29"/>
      <c r="BV958" s="29"/>
      <c r="BW958" s="29"/>
      <c r="BX958" s="29"/>
      <c r="BY958" s="29"/>
      <c r="BZ958" s="29"/>
      <c r="CA958" s="29"/>
      <c r="CB958" s="29"/>
      <c r="CC958" s="29"/>
      <c r="CD958" s="29"/>
      <c r="CE958" s="29"/>
      <c r="CF958" s="29"/>
      <c r="CG958" s="29"/>
      <c r="CH958" s="29"/>
      <c r="CI958" s="29"/>
      <c r="CJ958" s="29"/>
      <c r="CK958" s="29"/>
      <c r="CL958" s="29"/>
      <c r="CM958" s="29"/>
      <c r="CN958" s="29"/>
      <c r="CO958" s="29"/>
      <c r="CP958" s="29"/>
      <c r="CQ958" s="29"/>
      <c r="CR958" s="29"/>
      <c r="CS958" s="29"/>
      <c r="CT958" s="29"/>
      <c r="CU958" s="29"/>
      <c r="CV958" s="29"/>
      <c r="CW958" s="29"/>
      <c r="CX958" s="29"/>
      <c r="CY958" s="29"/>
      <c r="CZ958" s="29"/>
      <c r="DA958" s="29"/>
      <c r="DB958" s="29"/>
      <c r="DC958" s="29"/>
      <c r="DD958" s="29"/>
      <c r="DE958" s="29"/>
      <c r="DF958" s="29"/>
      <c r="DG958" s="29"/>
      <c r="DH958" s="29"/>
      <c r="DI958" s="29"/>
      <c r="DJ958" s="29"/>
      <c r="DK958" s="29"/>
      <c r="DL958" s="29"/>
      <c r="DM958" s="29"/>
      <c r="DN958" s="29"/>
      <c r="DO958" s="29"/>
      <c r="DP958" s="29"/>
      <c r="DQ958" s="29"/>
      <c r="DR958" s="29"/>
      <c r="DS958" s="29"/>
      <c r="DT958" s="29"/>
      <c r="DU958" s="29"/>
      <c r="DV958" s="29"/>
      <c r="DW958" s="29"/>
      <c r="DX958" s="29"/>
      <c r="DY958" s="29"/>
      <c r="DZ958" s="29"/>
      <c r="EA958" s="29"/>
      <c r="EB958" s="29"/>
      <c r="EC958" s="29"/>
      <c r="ED958" s="29"/>
      <c r="EE958" s="29"/>
      <c r="EF958" s="29"/>
      <c r="EG958" s="29"/>
      <c r="EH958" s="29"/>
      <c r="EI958" s="29"/>
      <c r="EJ958" s="29"/>
      <c r="EK958" s="29"/>
      <c r="EL958" s="29"/>
      <c r="EM958" s="29"/>
      <c r="EN958" s="29"/>
      <c r="EO958" s="29"/>
      <c r="EP958" s="29"/>
      <c r="EQ958" s="29"/>
      <c r="ER958" s="29"/>
      <c r="ES958" s="29"/>
      <c r="ET958" s="29"/>
      <c r="EU958" s="29"/>
      <c r="EV958" s="29"/>
      <c r="EW958" s="29"/>
      <c r="EX958" s="29"/>
      <c r="EY958" s="29"/>
      <c r="EZ958" s="29"/>
      <c r="FA958" s="29"/>
      <c r="FB958" s="29"/>
      <c r="FC958" s="29"/>
      <c r="FD958" s="29"/>
      <c r="FE958" s="29"/>
      <c r="FF958" s="29"/>
      <c r="FG958" s="29"/>
      <c r="FH958" s="29"/>
      <c r="FI958" s="29"/>
      <c r="FJ958" s="29"/>
      <c r="FK958" s="29"/>
      <c r="FL958" s="29"/>
      <c r="FM958" s="29"/>
      <c r="FN958" s="29"/>
      <c r="FO958" s="29"/>
      <c r="FP958" s="29"/>
      <c r="FQ958" s="29"/>
      <c r="FR958" s="29"/>
      <c r="FS958" s="29"/>
      <c r="FT958" s="29"/>
      <c r="FU958" s="29"/>
      <c r="FV958" s="29"/>
      <c r="FW958" s="29"/>
      <c r="FX958" s="29"/>
      <c r="FY958" s="29"/>
      <c r="FZ958" s="29"/>
      <c r="GA958" s="29"/>
      <c r="GB958" s="29"/>
      <c r="GC958" s="29"/>
      <c r="GD958" s="29"/>
      <c r="GE958" s="29"/>
      <c r="GF958" s="29"/>
      <c r="GG958" s="29"/>
      <c r="GH958" s="29"/>
      <c r="GI958" s="29"/>
      <c r="GJ958" s="29"/>
      <c r="GK958" s="29"/>
      <c r="GL958" s="29"/>
      <c r="GM958" s="29"/>
      <c r="GN958" s="29"/>
      <c r="GO958" s="29"/>
      <c r="GP958" s="29"/>
      <c r="GQ958" s="29"/>
      <c r="GR958" s="29"/>
      <c r="GS958" s="29"/>
      <c r="GT958" s="29"/>
      <c r="GU958" s="29"/>
      <c r="GV958" s="29"/>
      <c r="GW958" s="29"/>
      <c r="GX958" s="29"/>
      <c r="GY958" s="29"/>
      <c r="GZ958" s="29"/>
      <c r="HA958" s="29"/>
      <c r="HB958" s="29"/>
      <c r="HC958" s="29"/>
      <c r="HD958" s="29"/>
      <c r="HE958" s="29"/>
      <c r="HF958" s="29"/>
      <c r="HG958" s="29"/>
      <c r="HH958" s="29"/>
      <c r="HI958" s="29"/>
      <c r="HJ958" s="29"/>
      <c r="HK958" s="29"/>
      <c r="HL958" s="29"/>
      <c r="HM958" s="29"/>
      <c r="HN958" s="29"/>
      <c r="HO958" s="29"/>
      <c r="HP958" s="29"/>
      <c r="HQ958" s="29"/>
      <c r="HR958" s="29"/>
      <c r="HS958" s="29"/>
      <c r="HT958" s="29"/>
      <c r="HU958" s="29"/>
      <c r="HV958" s="29"/>
      <c r="HW958" s="29"/>
      <c r="HX958" s="29"/>
      <c r="HY958" s="29"/>
      <c r="HZ958" s="29"/>
      <c r="IA958" s="29"/>
      <c r="IB958" s="29"/>
      <c r="IC958" s="29"/>
      <c r="ID958" s="29"/>
      <c r="IE958" s="29"/>
      <c r="IF958" s="29"/>
      <c r="IG958" s="29"/>
      <c r="IH958" s="29"/>
      <c r="II958" s="29"/>
      <c r="IJ958" s="29"/>
      <c r="IK958" s="29"/>
      <c r="IL958" s="29"/>
      <c r="IM958" s="29"/>
      <c r="IN958" s="29"/>
      <c r="IO958" s="29"/>
      <c r="IP958" s="29"/>
      <c r="IQ958" s="29"/>
      <c r="IR958" s="29"/>
      <c r="IS958" s="29"/>
      <c r="IT958" s="29"/>
      <c r="IU958" s="29"/>
      <c r="IV958" s="29"/>
      <c r="IW958" s="29"/>
      <c r="IX958" s="29"/>
      <c r="IY958" s="29"/>
      <c r="IZ958" s="29"/>
      <c r="JA958" s="29"/>
      <c r="JB958" s="29"/>
      <c r="JC958" s="29"/>
      <c r="JD958" s="29"/>
      <c r="JE958" s="29"/>
      <c r="JF958" s="29"/>
      <c r="JG958" s="29"/>
      <c r="JH958" s="29"/>
      <c r="JI958" s="29"/>
      <c r="JJ958" s="29"/>
      <c r="JK958" s="29"/>
      <c r="JL958" s="29"/>
    </row>
    <row r="959" spans="1:272" ht="38.25" customHeight="1">
      <c r="A959" s="30" t="s">
        <v>71</v>
      </c>
      <c r="B959" s="30" t="s">
        <v>116</v>
      </c>
      <c r="C959" s="30" t="s">
        <v>144</v>
      </c>
      <c r="D959" s="30" t="s">
        <v>2395</v>
      </c>
      <c r="E959" s="129" t="s">
        <v>30</v>
      </c>
      <c r="F959" s="30" t="s">
        <v>1969</v>
      </c>
      <c r="G959" s="30"/>
      <c r="H959" s="30">
        <v>611710</v>
      </c>
      <c r="I959" s="30" t="s">
        <v>98</v>
      </c>
      <c r="J959" s="30" t="s">
        <v>169</v>
      </c>
      <c r="K959" s="30" t="s">
        <v>61</v>
      </c>
      <c r="L959" s="30" t="s">
        <v>2391</v>
      </c>
      <c r="M959" s="39">
        <v>351000</v>
      </c>
      <c r="N959" s="39">
        <v>846114</v>
      </c>
      <c r="O959" s="39" t="s">
        <v>79</v>
      </c>
      <c r="P959" s="30" t="s">
        <v>2396</v>
      </c>
      <c r="Q959" s="31" t="s">
        <v>867</v>
      </c>
      <c r="R959" s="30" t="s">
        <v>150</v>
      </c>
      <c r="S959" s="41">
        <v>2013</v>
      </c>
      <c r="T959" s="31" t="s">
        <v>2376</v>
      </c>
      <c r="U959" s="31" t="s">
        <v>2377</v>
      </c>
      <c r="V959" s="30" t="s">
        <v>2378</v>
      </c>
      <c r="W959" s="30" t="s">
        <v>151</v>
      </c>
      <c r="X959" s="30"/>
      <c r="Y959" s="30"/>
      <c r="Z959" s="30"/>
      <c r="AA959" s="30"/>
      <c r="AE959" s="29"/>
      <c r="AF959" s="29"/>
      <c r="AG959" s="29"/>
      <c r="AH959" s="29"/>
      <c r="AI959" s="29"/>
      <c r="AJ959" s="29"/>
      <c r="AK959" s="29"/>
      <c r="AL959" s="29"/>
      <c r="AM959" s="29"/>
      <c r="AN959" s="29"/>
      <c r="AO959" s="29"/>
      <c r="AP959" s="29"/>
      <c r="AQ959" s="29"/>
      <c r="AR959" s="29"/>
      <c r="AS959" s="29"/>
      <c r="AT959" s="29"/>
      <c r="AU959" s="29"/>
      <c r="AV959" s="29"/>
      <c r="AW959" s="29"/>
      <c r="AX959" s="29"/>
      <c r="AY959" s="29"/>
      <c r="AZ959" s="29"/>
      <c r="BA959" s="29"/>
      <c r="BB959" s="29"/>
      <c r="BC959" s="29"/>
      <c r="BD959" s="29"/>
      <c r="BE959" s="29"/>
      <c r="BF959" s="29"/>
      <c r="BG959" s="29"/>
      <c r="BH959" s="29"/>
      <c r="BI959" s="29"/>
      <c r="BJ959" s="29"/>
      <c r="BK959" s="29"/>
      <c r="BL959" s="29"/>
      <c r="BM959" s="29"/>
      <c r="BN959" s="29"/>
      <c r="BO959" s="29"/>
      <c r="BP959" s="29"/>
      <c r="BQ959" s="29"/>
      <c r="BR959" s="29"/>
      <c r="BS959" s="29"/>
      <c r="BT959" s="29"/>
      <c r="BU959" s="29"/>
      <c r="BV959" s="29"/>
      <c r="BW959" s="29"/>
      <c r="BX959" s="29"/>
      <c r="BY959" s="29"/>
      <c r="BZ959" s="29"/>
      <c r="CA959" s="29"/>
      <c r="CB959" s="29"/>
      <c r="CC959" s="29"/>
      <c r="CD959" s="29"/>
      <c r="CE959" s="29"/>
      <c r="CF959" s="29"/>
      <c r="CG959" s="29"/>
      <c r="CH959" s="29"/>
      <c r="CI959" s="29"/>
      <c r="CJ959" s="29"/>
      <c r="CK959" s="29"/>
      <c r="CL959" s="29"/>
      <c r="CM959" s="29"/>
      <c r="CN959" s="29"/>
      <c r="CO959" s="29"/>
      <c r="CP959" s="29"/>
      <c r="CQ959" s="29"/>
      <c r="CR959" s="29"/>
      <c r="CS959" s="29"/>
      <c r="CT959" s="29"/>
      <c r="CU959" s="29"/>
      <c r="CV959" s="29"/>
      <c r="CW959" s="29"/>
      <c r="CX959" s="29"/>
      <c r="CY959" s="29"/>
      <c r="CZ959" s="29"/>
      <c r="DA959" s="29"/>
      <c r="DB959" s="29"/>
      <c r="DC959" s="29"/>
      <c r="DD959" s="29"/>
      <c r="DE959" s="29"/>
      <c r="DF959" s="29"/>
      <c r="DG959" s="29"/>
      <c r="DH959" s="29"/>
      <c r="DI959" s="29"/>
      <c r="DJ959" s="29"/>
      <c r="DK959" s="29"/>
      <c r="DL959" s="29"/>
      <c r="DM959" s="29"/>
      <c r="DN959" s="29"/>
      <c r="DO959" s="29"/>
      <c r="DP959" s="29"/>
      <c r="DQ959" s="29"/>
      <c r="DR959" s="29"/>
      <c r="DS959" s="29"/>
      <c r="DT959" s="29"/>
      <c r="DU959" s="29"/>
      <c r="DV959" s="29"/>
      <c r="DW959" s="29"/>
      <c r="DX959" s="29"/>
      <c r="DY959" s="29"/>
      <c r="DZ959" s="29"/>
      <c r="EA959" s="29"/>
      <c r="EB959" s="29"/>
      <c r="EC959" s="29"/>
      <c r="ED959" s="29"/>
      <c r="EE959" s="29"/>
      <c r="EF959" s="29"/>
      <c r="EG959" s="29"/>
      <c r="EH959" s="29"/>
      <c r="EI959" s="29"/>
      <c r="EJ959" s="29"/>
      <c r="EK959" s="29"/>
      <c r="EL959" s="29"/>
      <c r="EM959" s="29"/>
      <c r="EN959" s="29"/>
      <c r="EO959" s="29"/>
      <c r="EP959" s="29"/>
      <c r="EQ959" s="29"/>
      <c r="ER959" s="29"/>
      <c r="ES959" s="29"/>
      <c r="ET959" s="29"/>
      <c r="EU959" s="29"/>
      <c r="EV959" s="29"/>
      <c r="EW959" s="29"/>
      <c r="EX959" s="29"/>
      <c r="EY959" s="29"/>
      <c r="EZ959" s="29"/>
      <c r="FA959" s="29"/>
      <c r="FB959" s="29"/>
      <c r="FC959" s="29"/>
      <c r="FD959" s="29"/>
      <c r="FE959" s="29"/>
      <c r="FF959" s="29"/>
      <c r="FG959" s="29"/>
      <c r="FH959" s="29"/>
      <c r="FI959" s="29"/>
      <c r="FJ959" s="29"/>
      <c r="FK959" s="29"/>
      <c r="FL959" s="29"/>
      <c r="FM959" s="29"/>
      <c r="FN959" s="29"/>
      <c r="FO959" s="29"/>
      <c r="FP959" s="29"/>
      <c r="FQ959" s="29"/>
      <c r="FR959" s="29"/>
      <c r="FS959" s="29"/>
      <c r="FT959" s="29"/>
      <c r="FU959" s="29"/>
      <c r="FV959" s="29"/>
      <c r="FW959" s="29"/>
      <c r="FX959" s="29"/>
      <c r="FY959" s="29"/>
      <c r="FZ959" s="29"/>
      <c r="GA959" s="29"/>
      <c r="GB959" s="29"/>
      <c r="GC959" s="29"/>
      <c r="GD959" s="29"/>
      <c r="GE959" s="29"/>
      <c r="GF959" s="29"/>
      <c r="GG959" s="29"/>
      <c r="GH959" s="29"/>
      <c r="GI959" s="29"/>
      <c r="GJ959" s="29"/>
      <c r="GK959" s="29"/>
      <c r="GL959" s="29"/>
      <c r="GM959" s="29"/>
      <c r="GN959" s="29"/>
      <c r="GO959" s="29"/>
      <c r="GP959" s="29"/>
      <c r="GQ959" s="29"/>
      <c r="GR959" s="29"/>
      <c r="GS959" s="29"/>
      <c r="GT959" s="29"/>
      <c r="GU959" s="29"/>
      <c r="GV959" s="29"/>
      <c r="GW959" s="29"/>
      <c r="GX959" s="29"/>
      <c r="GY959" s="29"/>
      <c r="GZ959" s="29"/>
      <c r="HA959" s="29"/>
      <c r="HB959" s="29"/>
      <c r="HC959" s="29"/>
      <c r="HD959" s="29"/>
      <c r="HE959" s="29"/>
      <c r="HF959" s="29"/>
      <c r="HG959" s="29"/>
      <c r="HH959" s="29"/>
      <c r="HI959" s="29"/>
      <c r="HJ959" s="29"/>
      <c r="HK959" s="29"/>
      <c r="HL959" s="29"/>
      <c r="HM959" s="29"/>
      <c r="HN959" s="29"/>
      <c r="HO959" s="29"/>
      <c r="HP959" s="29"/>
      <c r="HQ959" s="29"/>
      <c r="HR959" s="29"/>
      <c r="HS959" s="29"/>
      <c r="HT959" s="29"/>
      <c r="HU959" s="29"/>
      <c r="HV959" s="29"/>
      <c r="HW959" s="29"/>
      <c r="HX959" s="29"/>
      <c r="HY959" s="29"/>
      <c r="HZ959" s="29"/>
      <c r="IA959" s="29"/>
      <c r="IB959" s="29"/>
      <c r="IC959" s="29"/>
      <c r="ID959" s="29"/>
      <c r="IE959" s="29"/>
      <c r="IF959" s="29"/>
      <c r="IG959" s="29"/>
      <c r="IH959" s="29"/>
      <c r="II959" s="29"/>
      <c r="IJ959" s="29"/>
      <c r="IK959" s="29"/>
      <c r="IL959" s="29"/>
      <c r="IM959" s="29"/>
      <c r="IN959" s="29"/>
      <c r="IO959" s="29"/>
      <c r="IP959" s="29"/>
      <c r="IQ959" s="29"/>
      <c r="IR959" s="29"/>
      <c r="IS959" s="29"/>
      <c r="IT959" s="29"/>
      <c r="IU959" s="29"/>
      <c r="IV959" s="29"/>
      <c r="IW959" s="29"/>
      <c r="IX959" s="29"/>
      <c r="IY959" s="29"/>
      <c r="IZ959" s="29"/>
      <c r="JA959" s="29"/>
      <c r="JB959" s="29"/>
      <c r="JC959" s="29"/>
      <c r="JD959" s="29"/>
      <c r="JE959" s="29"/>
      <c r="JF959" s="29"/>
      <c r="JG959" s="29"/>
      <c r="JH959" s="29"/>
      <c r="JI959" s="29"/>
      <c r="JJ959" s="29"/>
      <c r="JK959" s="29"/>
      <c r="JL959" s="29"/>
    </row>
    <row r="960" spans="1:272" ht="38.25" customHeight="1">
      <c r="A960" s="30" t="s">
        <v>71</v>
      </c>
      <c r="B960" s="30" t="s">
        <v>116</v>
      </c>
      <c r="C960" s="30" t="s">
        <v>144</v>
      </c>
      <c r="D960" s="30" t="s">
        <v>2397</v>
      </c>
      <c r="E960" s="129" t="s">
        <v>30</v>
      </c>
      <c r="F960" s="30" t="s">
        <v>1969</v>
      </c>
      <c r="G960" s="30"/>
      <c r="H960" s="30">
        <v>611710</v>
      </c>
      <c r="I960" s="30" t="s">
        <v>98</v>
      </c>
      <c r="J960" s="30" t="s">
        <v>169</v>
      </c>
      <c r="K960" s="31" t="s">
        <v>69</v>
      </c>
      <c r="L960" s="30" t="s">
        <v>2391</v>
      </c>
      <c r="M960" s="39">
        <v>291243</v>
      </c>
      <c r="N960" s="39">
        <v>515220</v>
      </c>
      <c r="O960" s="39" t="s">
        <v>79</v>
      </c>
      <c r="P960" s="30" t="s">
        <v>2398</v>
      </c>
      <c r="Q960" s="31" t="s">
        <v>867</v>
      </c>
      <c r="R960" s="30" t="s">
        <v>150</v>
      </c>
      <c r="S960" s="41">
        <v>2013</v>
      </c>
      <c r="T960" s="31" t="s">
        <v>2376</v>
      </c>
      <c r="U960" s="31" t="s">
        <v>2377</v>
      </c>
      <c r="V960" s="30" t="s">
        <v>2378</v>
      </c>
      <c r="W960" s="30" t="s">
        <v>151</v>
      </c>
      <c r="X960" s="30"/>
      <c r="Y960" s="30"/>
      <c r="Z960" s="30"/>
      <c r="AA960" s="30"/>
      <c r="AE960" s="29"/>
      <c r="AF960" s="29"/>
      <c r="AG960" s="29"/>
      <c r="AH960" s="29"/>
      <c r="AI960" s="29"/>
      <c r="AJ960" s="29"/>
      <c r="AK960" s="29"/>
      <c r="AL960" s="29"/>
      <c r="AM960" s="29"/>
      <c r="AN960" s="29"/>
      <c r="AO960" s="29"/>
      <c r="AP960" s="29"/>
      <c r="AQ960" s="29"/>
      <c r="AR960" s="29"/>
      <c r="AS960" s="29"/>
      <c r="AT960" s="29"/>
      <c r="AU960" s="29"/>
      <c r="AV960" s="29"/>
      <c r="AW960" s="29"/>
      <c r="AX960" s="29"/>
      <c r="AY960" s="29"/>
      <c r="AZ960" s="29"/>
      <c r="BA960" s="29"/>
      <c r="BB960" s="29"/>
      <c r="BC960" s="29"/>
      <c r="BD960" s="29"/>
      <c r="BE960" s="29"/>
      <c r="BF960" s="29"/>
      <c r="BG960" s="29"/>
      <c r="BH960" s="29"/>
      <c r="BI960" s="29"/>
      <c r="BJ960" s="29"/>
      <c r="BK960" s="29"/>
      <c r="BL960" s="29"/>
      <c r="BM960" s="29"/>
      <c r="BN960" s="29"/>
      <c r="BO960" s="29"/>
      <c r="BP960" s="29"/>
      <c r="BQ960" s="29"/>
      <c r="BR960" s="29"/>
      <c r="BS960" s="29"/>
      <c r="BT960" s="29"/>
      <c r="BU960" s="29"/>
      <c r="BV960" s="29"/>
      <c r="BW960" s="29"/>
      <c r="BX960" s="29"/>
      <c r="BY960" s="29"/>
      <c r="BZ960" s="29"/>
      <c r="CA960" s="29"/>
      <c r="CB960" s="29"/>
      <c r="CC960" s="29"/>
      <c r="CD960" s="29"/>
      <c r="CE960" s="29"/>
      <c r="CF960" s="29"/>
      <c r="CG960" s="29"/>
      <c r="CH960" s="29"/>
      <c r="CI960" s="29"/>
      <c r="CJ960" s="29"/>
      <c r="CK960" s="29"/>
      <c r="CL960" s="29"/>
      <c r="CM960" s="29"/>
      <c r="CN960" s="29"/>
      <c r="CO960" s="29"/>
      <c r="CP960" s="29"/>
      <c r="CQ960" s="29"/>
      <c r="CR960" s="29"/>
      <c r="CS960" s="29"/>
      <c r="CT960" s="29"/>
      <c r="CU960" s="29"/>
      <c r="CV960" s="29"/>
      <c r="CW960" s="29"/>
      <c r="CX960" s="29"/>
      <c r="CY960" s="29"/>
      <c r="CZ960" s="29"/>
      <c r="DA960" s="29"/>
      <c r="DB960" s="29"/>
      <c r="DC960" s="29"/>
      <c r="DD960" s="29"/>
      <c r="DE960" s="29"/>
      <c r="DF960" s="29"/>
      <c r="DG960" s="29"/>
      <c r="DH960" s="29"/>
      <c r="DI960" s="29"/>
      <c r="DJ960" s="29"/>
      <c r="DK960" s="29"/>
      <c r="DL960" s="29"/>
      <c r="DM960" s="29"/>
      <c r="DN960" s="29"/>
      <c r="DO960" s="29"/>
      <c r="DP960" s="29"/>
      <c r="DQ960" s="29"/>
      <c r="DR960" s="29"/>
      <c r="DS960" s="29"/>
      <c r="DT960" s="29"/>
      <c r="DU960" s="29"/>
      <c r="DV960" s="29"/>
      <c r="DW960" s="29"/>
      <c r="DX960" s="29"/>
      <c r="DY960" s="29"/>
      <c r="DZ960" s="29"/>
      <c r="EA960" s="29"/>
      <c r="EB960" s="29"/>
      <c r="EC960" s="29"/>
      <c r="ED960" s="29"/>
      <c r="EE960" s="29"/>
      <c r="EF960" s="29"/>
      <c r="EG960" s="29"/>
      <c r="EH960" s="29"/>
      <c r="EI960" s="29"/>
      <c r="EJ960" s="29"/>
      <c r="EK960" s="29"/>
      <c r="EL960" s="29"/>
      <c r="EM960" s="29"/>
      <c r="EN960" s="29"/>
      <c r="EO960" s="29"/>
      <c r="EP960" s="29"/>
      <c r="EQ960" s="29"/>
      <c r="ER960" s="29"/>
      <c r="ES960" s="29"/>
      <c r="ET960" s="29"/>
      <c r="EU960" s="29"/>
      <c r="EV960" s="29"/>
      <c r="EW960" s="29"/>
      <c r="EX960" s="29"/>
      <c r="EY960" s="29"/>
      <c r="EZ960" s="29"/>
      <c r="FA960" s="29"/>
      <c r="FB960" s="29"/>
      <c r="FC960" s="29"/>
      <c r="FD960" s="29"/>
      <c r="FE960" s="29"/>
      <c r="FF960" s="29"/>
      <c r="FG960" s="29"/>
      <c r="FH960" s="29"/>
      <c r="FI960" s="29"/>
      <c r="FJ960" s="29"/>
      <c r="FK960" s="29"/>
      <c r="FL960" s="29"/>
      <c r="FM960" s="29"/>
      <c r="FN960" s="29"/>
      <c r="FO960" s="29"/>
      <c r="FP960" s="29"/>
      <c r="FQ960" s="29"/>
      <c r="FR960" s="29"/>
      <c r="FS960" s="29"/>
      <c r="FT960" s="29"/>
      <c r="FU960" s="29"/>
      <c r="FV960" s="29"/>
      <c r="FW960" s="29"/>
      <c r="FX960" s="29"/>
      <c r="FY960" s="29"/>
      <c r="FZ960" s="29"/>
      <c r="GA960" s="29"/>
      <c r="GB960" s="29"/>
      <c r="GC960" s="29"/>
      <c r="GD960" s="29"/>
      <c r="GE960" s="29"/>
      <c r="GF960" s="29"/>
      <c r="GG960" s="29"/>
      <c r="GH960" s="29"/>
      <c r="GI960" s="29"/>
      <c r="GJ960" s="29"/>
      <c r="GK960" s="29"/>
      <c r="GL960" s="29"/>
      <c r="GM960" s="29"/>
      <c r="GN960" s="29"/>
      <c r="GO960" s="29"/>
      <c r="GP960" s="29"/>
      <c r="GQ960" s="29"/>
      <c r="GR960" s="29"/>
      <c r="GS960" s="29"/>
      <c r="GT960" s="29"/>
      <c r="GU960" s="29"/>
      <c r="GV960" s="29"/>
      <c r="GW960" s="29"/>
      <c r="GX960" s="29"/>
      <c r="GY960" s="29"/>
      <c r="GZ960" s="29"/>
      <c r="HA960" s="29"/>
      <c r="HB960" s="29"/>
      <c r="HC960" s="29"/>
      <c r="HD960" s="29"/>
      <c r="HE960" s="29"/>
      <c r="HF960" s="29"/>
      <c r="HG960" s="29"/>
      <c r="HH960" s="29"/>
      <c r="HI960" s="29"/>
      <c r="HJ960" s="29"/>
      <c r="HK960" s="29"/>
      <c r="HL960" s="29"/>
      <c r="HM960" s="29"/>
      <c r="HN960" s="29"/>
      <c r="HO960" s="29"/>
      <c r="HP960" s="29"/>
      <c r="HQ960" s="29"/>
      <c r="HR960" s="29"/>
      <c r="HS960" s="29"/>
      <c r="HT960" s="29"/>
      <c r="HU960" s="29"/>
      <c r="HV960" s="29"/>
      <c r="HW960" s="29"/>
      <c r="HX960" s="29"/>
      <c r="HY960" s="29"/>
      <c r="HZ960" s="29"/>
      <c r="IA960" s="29"/>
      <c r="IB960" s="29"/>
      <c r="IC960" s="29"/>
      <c r="ID960" s="29"/>
      <c r="IE960" s="29"/>
      <c r="IF960" s="29"/>
      <c r="IG960" s="29"/>
      <c r="IH960" s="29"/>
      <c r="II960" s="29"/>
      <c r="IJ960" s="29"/>
      <c r="IK960" s="29"/>
      <c r="IL960" s="29"/>
      <c r="IM960" s="29"/>
      <c r="IN960" s="29"/>
      <c r="IO960" s="29"/>
      <c r="IP960" s="29"/>
      <c r="IQ960" s="29"/>
      <c r="IR960" s="29"/>
      <c r="IS960" s="29"/>
      <c r="IT960" s="29"/>
      <c r="IU960" s="29"/>
      <c r="IV960" s="29"/>
      <c r="IW960" s="29"/>
      <c r="IX960" s="29"/>
      <c r="IY960" s="29"/>
      <c r="IZ960" s="29"/>
      <c r="JA960" s="29"/>
      <c r="JB960" s="29"/>
      <c r="JC960" s="29"/>
      <c r="JD960" s="29"/>
      <c r="JE960" s="29"/>
      <c r="JF960" s="29"/>
      <c r="JG960" s="29"/>
      <c r="JH960" s="29"/>
      <c r="JI960" s="29"/>
      <c r="JJ960" s="29"/>
      <c r="JK960" s="29"/>
      <c r="JL960" s="29"/>
    </row>
    <row r="961" spans="1:27" s="29" customFormat="1" ht="38.25" customHeight="1">
      <c r="A961" s="30" t="s">
        <v>71</v>
      </c>
      <c r="B961" s="30" t="s">
        <v>116</v>
      </c>
      <c r="C961" s="30" t="s">
        <v>144</v>
      </c>
      <c r="D961" s="30" t="s">
        <v>2399</v>
      </c>
      <c r="E961" s="129" t="s">
        <v>30</v>
      </c>
      <c r="F961" s="30" t="s">
        <v>1969</v>
      </c>
      <c r="G961" s="30"/>
      <c r="H961" s="30">
        <v>611710</v>
      </c>
      <c r="I961" s="30" t="s">
        <v>98</v>
      </c>
      <c r="J961" s="30" t="s">
        <v>129</v>
      </c>
      <c r="K961" s="30" t="s">
        <v>61</v>
      </c>
      <c r="L961" s="30" t="s">
        <v>2400</v>
      </c>
      <c r="M961" s="39">
        <v>104000</v>
      </c>
      <c r="N961" s="39">
        <v>527800</v>
      </c>
      <c r="O961" s="39" t="s">
        <v>79</v>
      </c>
      <c r="P961" s="30" t="s">
        <v>2401</v>
      </c>
      <c r="Q961" s="31" t="s">
        <v>867</v>
      </c>
      <c r="R961" s="30" t="s">
        <v>150</v>
      </c>
      <c r="S961" s="41">
        <v>2013</v>
      </c>
      <c r="T961" s="31" t="s">
        <v>2376</v>
      </c>
      <c r="U961" s="31" t="s">
        <v>2377</v>
      </c>
      <c r="V961" s="30" t="s">
        <v>2378</v>
      </c>
      <c r="W961" s="30" t="s">
        <v>151</v>
      </c>
      <c r="X961" s="30"/>
      <c r="Y961" s="30"/>
      <c r="Z961" s="30"/>
      <c r="AA961" s="30"/>
    </row>
    <row r="962" spans="1:27" s="29" customFormat="1" ht="34.5" customHeight="1">
      <c r="A962" s="30" t="s">
        <v>71</v>
      </c>
      <c r="B962" s="30" t="s">
        <v>116</v>
      </c>
      <c r="C962" s="30" t="s">
        <v>144</v>
      </c>
      <c r="D962" s="30" t="s">
        <v>2402</v>
      </c>
      <c r="E962" s="30" t="s">
        <v>285</v>
      </c>
      <c r="F962" s="30" t="s">
        <v>1969</v>
      </c>
      <c r="G962" s="30"/>
      <c r="H962" s="30">
        <v>561110</v>
      </c>
      <c r="I962" s="30" t="s">
        <v>67</v>
      </c>
      <c r="J962" s="30" t="s">
        <v>129</v>
      </c>
      <c r="K962" s="30" t="s">
        <v>61</v>
      </c>
      <c r="L962" s="30" t="s">
        <v>2403</v>
      </c>
      <c r="M962" s="39">
        <v>139000</v>
      </c>
      <c r="N962" s="39">
        <v>800000</v>
      </c>
      <c r="O962" s="39" t="s">
        <v>79</v>
      </c>
      <c r="P962" s="30" t="s">
        <v>2404</v>
      </c>
      <c r="Q962" s="31" t="s">
        <v>867</v>
      </c>
      <c r="R962" s="30" t="s">
        <v>150</v>
      </c>
      <c r="S962" s="41">
        <v>2013</v>
      </c>
      <c r="T962" s="31" t="s">
        <v>2376</v>
      </c>
      <c r="U962" s="31" t="s">
        <v>2377</v>
      </c>
      <c r="V962" s="30" t="s">
        <v>2378</v>
      </c>
      <c r="W962" s="30" t="s">
        <v>151</v>
      </c>
      <c r="X962" s="30"/>
      <c r="Y962" s="30"/>
      <c r="Z962" s="30"/>
      <c r="AA962" s="30"/>
    </row>
    <row r="963" spans="1:27" s="29" customFormat="1" ht="34.5" customHeight="1">
      <c r="A963" s="30" t="s">
        <v>71</v>
      </c>
      <c r="B963" s="30" t="s">
        <v>116</v>
      </c>
      <c r="C963" s="30" t="s">
        <v>144</v>
      </c>
      <c r="D963" s="30" t="s">
        <v>2405</v>
      </c>
      <c r="E963" s="30" t="s">
        <v>74</v>
      </c>
      <c r="F963" s="30" t="s">
        <v>1969</v>
      </c>
      <c r="G963" s="30"/>
      <c r="H963" s="30">
        <v>541490</v>
      </c>
      <c r="I963" s="30" t="s">
        <v>42</v>
      </c>
      <c r="J963" s="30" t="s">
        <v>129</v>
      </c>
      <c r="K963" s="31" t="s">
        <v>69</v>
      </c>
      <c r="L963" s="30" t="s">
        <v>2406</v>
      </c>
      <c r="M963" s="39">
        <v>219532</v>
      </c>
      <c r="N963" s="39">
        <v>550000</v>
      </c>
      <c r="O963" s="39" t="s">
        <v>79</v>
      </c>
      <c r="P963" s="30" t="s">
        <v>2407</v>
      </c>
      <c r="Q963" s="31" t="s">
        <v>294</v>
      </c>
      <c r="R963" s="30" t="s">
        <v>80</v>
      </c>
      <c r="S963" s="41">
        <v>2013</v>
      </c>
      <c r="T963" s="31" t="s">
        <v>2376</v>
      </c>
      <c r="U963" s="31" t="s">
        <v>2377</v>
      </c>
      <c r="V963" s="30" t="s">
        <v>2378</v>
      </c>
      <c r="W963" s="30" t="s">
        <v>151</v>
      </c>
      <c r="X963" s="30"/>
      <c r="Y963" s="30"/>
      <c r="Z963" s="30"/>
      <c r="AA963" s="30"/>
    </row>
    <row r="964" spans="1:27" s="29" customFormat="1" ht="34.5" customHeight="1">
      <c r="A964" s="30" t="s">
        <v>71</v>
      </c>
      <c r="B964" s="30" t="s">
        <v>116</v>
      </c>
      <c r="C964" s="30" t="s">
        <v>144</v>
      </c>
      <c r="D964" s="30" t="s">
        <v>2408</v>
      </c>
      <c r="E964" s="30" t="s">
        <v>74</v>
      </c>
      <c r="F964" s="30" t="s">
        <v>1969</v>
      </c>
      <c r="G964" s="30"/>
      <c r="H964" s="30">
        <v>541490</v>
      </c>
      <c r="I964" s="30" t="s">
        <v>98</v>
      </c>
      <c r="J964" s="30" t="s">
        <v>129</v>
      </c>
      <c r="K964" s="31" t="s">
        <v>69</v>
      </c>
      <c r="L964" s="139" t="s">
        <v>290</v>
      </c>
      <c r="M964" s="39">
        <v>244090</v>
      </c>
      <c r="N964" s="39">
        <v>1823760</v>
      </c>
      <c r="O964" s="39" t="s">
        <v>79</v>
      </c>
      <c r="P964" s="30" t="s">
        <v>2398</v>
      </c>
      <c r="Q964" s="31" t="s">
        <v>294</v>
      </c>
      <c r="R964" s="30" t="s">
        <v>80</v>
      </c>
      <c r="S964" s="41">
        <v>2013</v>
      </c>
      <c r="T964" s="31" t="s">
        <v>2376</v>
      </c>
      <c r="U964" s="31" t="s">
        <v>2377</v>
      </c>
      <c r="V964" s="30" t="s">
        <v>2378</v>
      </c>
      <c r="W964" s="30" t="s">
        <v>151</v>
      </c>
      <c r="X964" s="30"/>
      <c r="Y964" s="30"/>
      <c r="Z964" s="30"/>
      <c r="AA964" s="30"/>
    </row>
    <row r="965" spans="1:27" s="29" customFormat="1" ht="38.25" customHeight="1">
      <c r="A965" s="30" t="s">
        <v>71</v>
      </c>
      <c r="B965" s="30" t="s">
        <v>116</v>
      </c>
      <c r="C965" s="30" t="s">
        <v>144</v>
      </c>
      <c r="D965" s="30" t="s">
        <v>2409</v>
      </c>
      <c r="E965" s="30" t="s">
        <v>74</v>
      </c>
      <c r="F965" s="30" t="s">
        <v>1969</v>
      </c>
      <c r="G965" s="30"/>
      <c r="H965" s="30">
        <v>541620</v>
      </c>
      <c r="I965" s="30" t="s">
        <v>98</v>
      </c>
      <c r="J965" s="30" t="s">
        <v>129</v>
      </c>
      <c r="K965" s="31" t="s">
        <v>69</v>
      </c>
      <c r="L965" s="30" t="s">
        <v>78</v>
      </c>
      <c r="M965" s="39">
        <v>169496</v>
      </c>
      <c r="N965" s="39">
        <v>199496</v>
      </c>
      <c r="O965" s="39" t="s">
        <v>590</v>
      </c>
      <c r="P965" s="30" t="s">
        <v>2410</v>
      </c>
      <c r="Q965" s="31" t="s">
        <v>294</v>
      </c>
      <c r="R965" s="30" t="s">
        <v>80</v>
      </c>
      <c r="S965" s="41">
        <v>2013</v>
      </c>
      <c r="T965" s="31" t="s">
        <v>2376</v>
      </c>
      <c r="U965" s="31" t="s">
        <v>2377</v>
      </c>
      <c r="V965" s="30" t="s">
        <v>2378</v>
      </c>
      <c r="W965" s="30" t="s">
        <v>151</v>
      </c>
      <c r="X965" s="30"/>
      <c r="Y965" s="30"/>
      <c r="Z965" s="30"/>
      <c r="AA965" s="30"/>
    </row>
    <row r="966" spans="1:27" s="29" customFormat="1" ht="34.5" customHeight="1">
      <c r="A966" s="30" t="s">
        <v>71</v>
      </c>
      <c r="B966" s="30" t="s">
        <v>116</v>
      </c>
      <c r="C966" s="30" t="s">
        <v>144</v>
      </c>
      <c r="D966" s="30" t="s">
        <v>2411</v>
      </c>
      <c r="E966" s="30" t="s">
        <v>74</v>
      </c>
      <c r="F966" s="30" t="s">
        <v>1969</v>
      </c>
      <c r="G966" s="30"/>
      <c r="H966" s="30">
        <v>522110</v>
      </c>
      <c r="I966" s="30" t="s">
        <v>67</v>
      </c>
      <c r="J966" s="30" t="s">
        <v>129</v>
      </c>
      <c r="K966" s="30" t="s">
        <v>61</v>
      </c>
      <c r="L966" s="30" t="s">
        <v>2412</v>
      </c>
      <c r="M966" s="39">
        <v>231558</v>
      </c>
      <c r="N966" s="39">
        <v>231558</v>
      </c>
      <c r="O966" s="39" t="s">
        <v>590</v>
      </c>
      <c r="P966" s="30" t="s">
        <v>2413</v>
      </c>
      <c r="Q966" s="31" t="s">
        <v>294</v>
      </c>
      <c r="R966" s="30" t="s">
        <v>80</v>
      </c>
      <c r="S966" s="41">
        <v>2013</v>
      </c>
      <c r="T966" s="31" t="s">
        <v>2376</v>
      </c>
      <c r="U966" s="31" t="s">
        <v>2377</v>
      </c>
      <c r="V966" s="30" t="s">
        <v>2378</v>
      </c>
      <c r="W966" s="30" t="s">
        <v>151</v>
      </c>
      <c r="X966" s="30"/>
      <c r="Y966" s="30"/>
      <c r="Z966" s="30"/>
      <c r="AA966" s="30"/>
    </row>
    <row r="967" spans="1:27" s="29" customFormat="1" ht="34.5" customHeight="1">
      <c r="A967" s="30" t="s">
        <v>71</v>
      </c>
      <c r="B967" s="30" t="s">
        <v>116</v>
      </c>
      <c r="C967" s="30" t="s">
        <v>2212</v>
      </c>
      <c r="D967" s="30" t="s">
        <v>2414</v>
      </c>
      <c r="E967" s="30" t="s">
        <v>74</v>
      </c>
      <c r="F967" s="30" t="s">
        <v>1969</v>
      </c>
      <c r="G967" s="30"/>
      <c r="H967" s="30">
        <v>541613</v>
      </c>
      <c r="I967" s="30" t="s">
        <v>45</v>
      </c>
      <c r="J967" s="30" t="s">
        <v>129</v>
      </c>
      <c r="K967" s="30" t="s">
        <v>61</v>
      </c>
      <c r="L967" s="30"/>
      <c r="M967" s="39">
        <v>50000</v>
      </c>
      <c r="N967" s="39">
        <v>50000</v>
      </c>
      <c r="O967" s="39" t="s">
        <v>590</v>
      </c>
      <c r="P967" s="30"/>
      <c r="Q967" s="31" t="s">
        <v>294</v>
      </c>
      <c r="R967" s="30" t="s">
        <v>100</v>
      </c>
      <c r="S967" s="41">
        <v>2013</v>
      </c>
      <c r="T967" s="31" t="s">
        <v>2376</v>
      </c>
      <c r="U967" s="31" t="s">
        <v>2377</v>
      </c>
      <c r="V967" s="30" t="s">
        <v>2378</v>
      </c>
      <c r="W967" s="30" t="s">
        <v>151</v>
      </c>
      <c r="X967" s="30"/>
      <c r="Y967" s="30"/>
      <c r="Z967" s="30"/>
      <c r="AA967" s="30"/>
    </row>
    <row r="968" spans="1:27" s="29" customFormat="1" ht="30" customHeight="1">
      <c r="A968" s="30" t="s">
        <v>71</v>
      </c>
      <c r="B968" s="30" t="s">
        <v>116</v>
      </c>
      <c r="C968" s="30" t="s">
        <v>2212</v>
      </c>
      <c r="D968" s="30" t="s">
        <v>2414</v>
      </c>
      <c r="E968" s="30" t="s">
        <v>74</v>
      </c>
      <c r="F968" s="30" t="s">
        <v>1969</v>
      </c>
      <c r="G968" s="30"/>
      <c r="H968" s="30">
        <v>541613</v>
      </c>
      <c r="I968" s="30" t="s">
        <v>45</v>
      </c>
      <c r="J968" s="30" t="s">
        <v>129</v>
      </c>
      <c r="K968" s="30" t="s">
        <v>61</v>
      </c>
      <c r="L968" s="30"/>
      <c r="M968" s="39">
        <v>50000</v>
      </c>
      <c r="N968" s="39">
        <v>50000</v>
      </c>
      <c r="O968" s="39" t="s">
        <v>590</v>
      </c>
      <c r="P968" s="30"/>
      <c r="Q968" s="31" t="s">
        <v>294</v>
      </c>
      <c r="R968" s="30" t="s">
        <v>100</v>
      </c>
      <c r="S968" s="41">
        <v>2013</v>
      </c>
      <c r="T968" s="31" t="s">
        <v>2376</v>
      </c>
      <c r="U968" s="31" t="s">
        <v>2377</v>
      </c>
      <c r="V968" s="30" t="s">
        <v>2378</v>
      </c>
      <c r="W968" s="30" t="s">
        <v>151</v>
      </c>
      <c r="X968" s="30"/>
      <c r="Y968" s="30"/>
      <c r="Z968" s="30"/>
      <c r="AA968" s="30"/>
    </row>
    <row r="969" spans="1:27" s="29" customFormat="1" ht="38.25">
      <c r="A969" s="35" t="s">
        <v>71</v>
      </c>
      <c r="B969" s="131" t="s">
        <v>116</v>
      </c>
      <c r="C969" s="30" t="s">
        <v>2212</v>
      </c>
      <c r="D969" s="30" t="s">
        <v>2416</v>
      </c>
      <c r="E969" s="30" t="s">
        <v>30</v>
      </c>
      <c r="F969" s="30" t="s">
        <v>2417</v>
      </c>
      <c r="G969" s="30" t="s">
        <v>233</v>
      </c>
      <c r="H969" s="30">
        <v>423430</v>
      </c>
      <c r="I969" s="30" t="s">
        <v>98</v>
      </c>
      <c r="J969" s="30" t="s">
        <v>129</v>
      </c>
      <c r="K969" s="30" t="s">
        <v>2418</v>
      </c>
      <c r="L969" s="30" t="s">
        <v>345</v>
      </c>
      <c r="M969" s="39">
        <v>80000</v>
      </c>
      <c r="N969" s="39">
        <v>50000</v>
      </c>
      <c r="O969" s="30" t="s">
        <v>79</v>
      </c>
      <c r="P969" s="30" t="s">
        <v>2419</v>
      </c>
      <c r="Q969" s="30" t="s">
        <v>2420</v>
      </c>
      <c r="R969" s="31" t="s">
        <v>80</v>
      </c>
      <c r="S969" s="41">
        <v>2014</v>
      </c>
      <c r="T969" s="31" t="s">
        <v>2421</v>
      </c>
      <c r="U969" s="31" t="s">
        <v>2422</v>
      </c>
      <c r="V969" s="30" t="str">
        <f t="shared" ref="V969:V984" si="1">HYPERLINK("mailto:priscilla.owens@gsa.gov","priscilla.owens@gsa.gov")</f>
        <v>priscilla.owens@gsa.gov</v>
      </c>
      <c r="W969" s="30" t="s">
        <v>151</v>
      </c>
      <c r="X969" s="44">
        <v>41609</v>
      </c>
      <c r="Y969" s="44">
        <v>41699</v>
      </c>
      <c r="Z969" s="44">
        <v>42612</v>
      </c>
      <c r="AA969" s="30" t="s">
        <v>2415</v>
      </c>
    </row>
    <row r="970" spans="1:27" s="29" customFormat="1" ht="38.25" customHeight="1">
      <c r="A970" s="35" t="s">
        <v>71</v>
      </c>
      <c r="B970" s="131" t="s">
        <v>116</v>
      </c>
      <c r="C970" s="30" t="s">
        <v>2212</v>
      </c>
      <c r="D970" s="30" t="s">
        <v>2423</v>
      </c>
      <c r="E970" s="30" t="s">
        <v>30</v>
      </c>
      <c r="F970" s="30" t="s">
        <v>2417</v>
      </c>
      <c r="G970" s="30" t="s">
        <v>233</v>
      </c>
      <c r="H970" s="30">
        <v>423430</v>
      </c>
      <c r="I970" s="30" t="s">
        <v>98</v>
      </c>
      <c r="J970" s="30" t="s">
        <v>129</v>
      </c>
      <c r="K970" s="30" t="s">
        <v>61</v>
      </c>
      <c r="L970" s="30" t="s">
        <v>345</v>
      </c>
      <c r="M970" s="39">
        <v>5000</v>
      </c>
      <c r="N970" s="39">
        <v>5000</v>
      </c>
      <c r="O970" s="30" t="s">
        <v>149</v>
      </c>
      <c r="P970" s="30" t="s">
        <v>2424</v>
      </c>
      <c r="Q970" s="30" t="s">
        <v>2420</v>
      </c>
      <c r="R970" s="30" t="s">
        <v>35</v>
      </c>
      <c r="S970" s="41">
        <v>2014</v>
      </c>
      <c r="T970" s="31" t="s">
        <v>2421</v>
      </c>
      <c r="U970" s="31" t="s">
        <v>2422</v>
      </c>
      <c r="V970" s="30" t="str">
        <f t="shared" si="1"/>
        <v>priscilla.owens@gsa.gov</v>
      </c>
      <c r="W970" s="30" t="s">
        <v>151</v>
      </c>
      <c r="X970" s="44">
        <v>41704</v>
      </c>
      <c r="Y970" s="44">
        <v>41888</v>
      </c>
      <c r="Z970" s="44">
        <v>42619</v>
      </c>
      <c r="AA970" s="30" t="s">
        <v>2415</v>
      </c>
    </row>
    <row r="971" spans="1:27" s="29" customFormat="1" ht="38.25" customHeight="1">
      <c r="A971" s="35" t="s">
        <v>71</v>
      </c>
      <c r="B971" s="131" t="s">
        <v>116</v>
      </c>
      <c r="C971" s="30" t="s">
        <v>2212</v>
      </c>
      <c r="D971" s="30" t="s">
        <v>2425</v>
      </c>
      <c r="E971" s="30" t="s">
        <v>30</v>
      </c>
      <c r="F971" s="30" t="s">
        <v>2417</v>
      </c>
      <c r="G971" s="30" t="s">
        <v>233</v>
      </c>
      <c r="H971" s="30">
        <v>423430</v>
      </c>
      <c r="I971" s="30" t="s">
        <v>98</v>
      </c>
      <c r="J971" s="30" t="s">
        <v>129</v>
      </c>
      <c r="K971" s="30" t="s">
        <v>61</v>
      </c>
      <c r="L971" s="30" t="s">
        <v>345</v>
      </c>
      <c r="M971" s="39">
        <v>15000</v>
      </c>
      <c r="N971" s="39">
        <v>15000</v>
      </c>
      <c r="O971" s="30" t="s">
        <v>149</v>
      </c>
      <c r="P971" s="30" t="s">
        <v>2426</v>
      </c>
      <c r="Q971" s="30" t="s">
        <v>2420</v>
      </c>
      <c r="R971" s="30" t="s">
        <v>35</v>
      </c>
      <c r="S971" s="41">
        <v>2014</v>
      </c>
      <c r="T971" s="31" t="s">
        <v>2421</v>
      </c>
      <c r="U971" s="31" t="s">
        <v>2422</v>
      </c>
      <c r="V971" s="30" t="str">
        <f t="shared" si="1"/>
        <v>priscilla.owens@gsa.gov</v>
      </c>
      <c r="W971" s="30" t="s">
        <v>151</v>
      </c>
      <c r="X971" s="44">
        <v>41704</v>
      </c>
      <c r="Y971" s="44">
        <v>41888</v>
      </c>
      <c r="Z971" s="44">
        <v>42619</v>
      </c>
      <c r="AA971" s="30" t="s">
        <v>2415</v>
      </c>
    </row>
    <row r="972" spans="1:27" s="29" customFormat="1" ht="38.25" customHeight="1">
      <c r="A972" s="30" t="s">
        <v>71</v>
      </c>
      <c r="B972" s="131" t="s">
        <v>116</v>
      </c>
      <c r="C972" s="30" t="s">
        <v>2212</v>
      </c>
      <c r="D972" s="30" t="s">
        <v>2427</v>
      </c>
      <c r="E972" s="30" t="s">
        <v>30</v>
      </c>
      <c r="F972" s="30" t="s">
        <v>2417</v>
      </c>
      <c r="G972" s="30" t="s">
        <v>233</v>
      </c>
      <c r="H972" s="30">
        <v>423430</v>
      </c>
      <c r="I972" s="30" t="s">
        <v>98</v>
      </c>
      <c r="J972" s="30" t="s">
        <v>129</v>
      </c>
      <c r="K972" s="30" t="s">
        <v>61</v>
      </c>
      <c r="L972" s="30" t="s">
        <v>345</v>
      </c>
      <c r="M972" s="45">
        <v>100000</v>
      </c>
      <c r="N972" s="45">
        <v>100000</v>
      </c>
      <c r="O972" s="30" t="s">
        <v>79</v>
      </c>
      <c r="P972" s="41"/>
      <c r="Q972" s="30" t="s">
        <v>2420</v>
      </c>
      <c r="R972" s="41" t="s">
        <v>35</v>
      </c>
      <c r="S972" s="41">
        <v>2014</v>
      </c>
      <c r="T972" s="31" t="s">
        <v>2421</v>
      </c>
      <c r="U972" s="31" t="s">
        <v>2422</v>
      </c>
      <c r="V972" s="85" t="str">
        <f t="shared" si="1"/>
        <v>priscilla.owens@gsa.gov</v>
      </c>
      <c r="W972" s="30" t="s">
        <v>151</v>
      </c>
      <c r="X972" s="196">
        <v>41728</v>
      </c>
      <c r="Y972" s="196">
        <v>41912</v>
      </c>
      <c r="Z972" s="44">
        <v>42643</v>
      </c>
      <c r="AA972" s="30" t="s">
        <v>2415</v>
      </c>
    </row>
    <row r="973" spans="1:27" s="29" customFormat="1" ht="38.25" customHeight="1">
      <c r="A973" s="30" t="s">
        <v>71</v>
      </c>
      <c r="B973" s="131" t="s">
        <v>116</v>
      </c>
      <c r="C973" s="30" t="s">
        <v>2212</v>
      </c>
      <c r="D973" s="30" t="s">
        <v>2428</v>
      </c>
      <c r="E973" s="30" t="s">
        <v>30</v>
      </c>
      <c r="F973" s="30" t="s">
        <v>2417</v>
      </c>
      <c r="G973" s="30" t="s">
        <v>233</v>
      </c>
      <c r="H973" s="30">
        <v>423430</v>
      </c>
      <c r="I973" s="30" t="s">
        <v>98</v>
      </c>
      <c r="J973" s="30" t="s">
        <v>129</v>
      </c>
      <c r="K973" s="30" t="s">
        <v>2418</v>
      </c>
      <c r="L973" s="30" t="s">
        <v>345</v>
      </c>
      <c r="M973" s="45">
        <v>120000</v>
      </c>
      <c r="N973" s="45">
        <v>120000</v>
      </c>
      <c r="O973" s="30" t="s">
        <v>79</v>
      </c>
      <c r="P973" s="41" t="s">
        <v>2419</v>
      </c>
      <c r="Q973" s="30" t="s">
        <v>2420</v>
      </c>
      <c r="R973" s="41" t="s">
        <v>35</v>
      </c>
      <c r="S973" s="41">
        <v>2014</v>
      </c>
      <c r="T973" s="31" t="s">
        <v>2421</v>
      </c>
      <c r="U973" s="31" t="s">
        <v>2422</v>
      </c>
      <c r="V973" s="49" t="str">
        <f t="shared" si="1"/>
        <v>priscilla.owens@gsa.gov</v>
      </c>
      <c r="W973" s="30" t="s">
        <v>151</v>
      </c>
      <c r="X973" s="44">
        <v>41664</v>
      </c>
      <c r="Y973" s="44">
        <v>41845</v>
      </c>
      <c r="Z973" s="44">
        <v>42576</v>
      </c>
      <c r="AA973" s="30" t="s">
        <v>2415</v>
      </c>
    </row>
    <row r="974" spans="1:27" s="29" customFormat="1" ht="38.25" customHeight="1">
      <c r="A974" s="30" t="s">
        <v>71</v>
      </c>
      <c r="B974" s="131" t="s">
        <v>116</v>
      </c>
      <c r="C974" s="30" t="s">
        <v>2212</v>
      </c>
      <c r="D974" s="30" t="s">
        <v>2429</v>
      </c>
      <c r="E974" s="30" t="s">
        <v>30</v>
      </c>
      <c r="F974" s="30" t="s">
        <v>2417</v>
      </c>
      <c r="G974" s="30" t="s">
        <v>233</v>
      </c>
      <c r="H974" s="30">
        <v>423430</v>
      </c>
      <c r="I974" s="30" t="s">
        <v>98</v>
      </c>
      <c r="J974" s="30" t="s">
        <v>129</v>
      </c>
      <c r="K974" s="30" t="s">
        <v>61</v>
      </c>
      <c r="L974" s="30" t="s">
        <v>345</v>
      </c>
      <c r="M974" s="45">
        <v>40000</v>
      </c>
      <c r="N974" s="45">
        <v>40000</v>
      </c>
      <c r="O974" s="30" t="s">
        <v>79</v>
      </c>
      <c r="P974" s="41" t="s">
        <v>2419</v>
      </c>
      <c r="Q974" s="30" t="s">
        <v>2420</v>
      </c>
      <c r="R974" s="41" t="s">
        <v>35</v>
      </c>
      <c r="S974" s="41">
        <v>2014</v>
      </c>
      <c r="T974" s="31" t="s">
        <v>2421</v>
      </c>
      <c r="U974" s="31" t="s">
        <v>2422</v>
      </c>
      <c r="V974" s="49" t="str">
        <f t="shared" si="1"/>
        <v>priscilla.owens@gsa.gov</v>
      </c>
      <c r="W974" s="30" t="s">
        <v>151</v>
      </c>
      <c r="X974" s="44">
        <v>41664</v>
      </c>
      <c r="Y974" s="44">
        <v>41845</v>
      </c>
      <c r="Z974" s="44">
        <v>42576</v>
      </c>
      <c r="AA974" s="30" t="s">
        <v>2415</v>
      </c>
    </row>
    <row r="975" spans="1:27" s="29" customFormat="1" ht="38.25" customHeight="1">
      <c r="A975" s="30" t="s">
        <v>71</v>
      </c>
      <c r="B975" s="131" t="s">
        <v>116</v>
      </c>
      <c r="C975" s="30" t="s">
        <v>2212</v>
      </c>
      <c r="D975" s="30" t="s">
        <v>2430</v>
      </c>
      <c r="E975" s="30" t="s">
        <v>30</v>
      </c>
      <c r="F975" s="30" t="s">
        <v>2417</v>
      </c>
      <c r="G975" s="30" t="s">
        <v>233</v>
      </c>
      <c r="H975" s="30">
        <v>541519</v>
      </c>
      <c r="I975" s="30" t="s">
        <v>98</v>
      </c>
      <c r="J975" s="30" t="s">
        <v>129</v>
      </c>
      <c r="K975" s="30" t="s">
        <v>61</v>
      </c>
      <c r="L975" s="30" t="s">
        <v>345</v>
      </c>
      <c r="M975" s="45">
        <v>5000</v>
      </c>
      <c r="N975" s="45">
        <v>5000</v>
      </c>
      <c r="O975" s="30" t="s">
        <v>149</v>
      </c>
      <c r="P975" s="41" t="s">
        <v>2431</v>
      </c>
      <c r="Q975" s="30" t="s">
        <v>2420</v>
      </c>
      <c r="R975" s="155" t="s">
        <v>80</v>
      </c>
      <c r="S975" s="41">
        <v>2014</v>
      </c>
      <c r="T975" s="31" t="s">
        <v>2421</v>
      </c>
      <c r="U975" s="31" t="s">
        <v>2422</v>
      </c>
      <c r="V975" s="49" t="str">
        <f t="shared" si="1"/>
        <v>priscilla.owens@gsa.gov</v>
      </c>
      <c r="W975" s="30" t="s">
        <v>151</v>
      </c>
      <c r="X975" s="44">
        <v>41606</v>
      </c>
      <c r="Y975" s="44">
        <v>41698</v>
      </c>
      <c r="Z975" s="44">
        <v>42428</v>
      </c>
      <c r="AA975" s="30" t="s">
        <v>2415</v>
      </c>
    </row>
    <row r="976" spans="1:27" s="29" customFormat="1" ht="38.25" customHeight="1">
      <c r="A976" s="30" t="s">
        <v>71</v>
      </c>
      <c r="B976" s="131" t="s">
        <v>116</v>
      </c>
      <c r="C976" s="30" t="s">
        <v>2212</v>
      </c>
      <c r="D976" s="30" t="s">
        <v>2432</v>
      </c>
      <c r="E976" s="30" t="s">
        <v>30</v>
      </c>
      <c r="F976" s="30" t="s">
        <v>2417</v>
      </c>
      <c r="G976" s="30" t="s">
        <v>233</v>
      </c>
      <c r="H976" s="30">
        <v>541519</v>
      </c>
      <c r="I976" s="30" t="s">
        <v>98</v>
      </c>
      <c r="J976" s="30" t="s">
        <v>129</v>
      </c>
      <c r="K976" s="30" t="s">
        <v>61</v>
      </c>
      <c r="L976" s="30" t="s">
        <v>345</v>
      </c>
      <c r="M976" s="45">
        <v>320000</v>
      </c>
      <c r="N976" s="45">
        <v>320000</v>
      </c>
      <c r="O976" s="30" t="s">
        <v>79</v>
      </c>
      <c r="P976" s="41" t="s">
        <v>2433</v>
      </c>
      <c r="Q976" s="30" t="s">
        <v>2420</v>
      </c>
      <c r="R976" s="41" t="s">
        <v>35</v>
      </c>
      <c r="S976" s="41">
        <v>2014</v>
      </c>
      <c r="T976" s="31" t="s">
        <v>2421</v>
      </c>
      <c r="U976" s="31" t="s">
        <v>2422</v>
      </c>
      <c r="V976" s="85" t="str">
        <f t="shared" si="1"/>
        <v>priscilla.owens@gsa.gov</v>
      </c>
      <c r="W976" s="30" t="s">
        <v>151</v>
      </c>
      <c r="X976" s="44">
        <v>41725</v>
      </c>
      <c r="Y976" s="44">
        <v>41909</v>
      </c>
      <c r="Z976" s="44">
        <v>42640</v>
      </c>
      <c r="AA976" s="30" t="s">
        <v>2415</v>
      </c>
    </row>
    <row r="977" spans="1:27" s="29" customFormat="1" ht="38.25" customHeight="1">
      <c r="A977" s="30" t="s">
        <v>71</v>
      </c>
      <c r="B977" s="131" t="s">
        <v>116</v>
      </c>
      <c r="C977" s="30" t="s">
        <v>2212</v>
      </c>
      <c r="D977" s="30" t="s">
        <v>2434</v>
      </c>
      <c r="E977" s="30" t="s">
        <v>30</v>
      </c>
      <c r="F977" s="30" t="s">
        <v>2417</v>
      </c>
      <c r="G977" s="30" t="s">
        <v>233</v>
      </c>
      <c r="H977" s="30">
        <v>541519</v>
      </c>
      <c r="I977" s="30" t="s">
        <v>98</v>
      </c>
      <c r="J977" s="30" t="s">
        <v>129</v>
      </c>
      <c r="K977" s="30" t="s">
        <v>61</v>
      </c>
      <c r="L977" s="30" t="s">
        <v>345</v>
      </c>
      <c r="M977" s="45">
        <v>75000</v>
      </c>
      <c r="N977" s="45">
        <v>75000</v>
      </c>
      <c r="O977" s="30" t="s">
        <v>79</v>
      </c>
      <c r="P977" s="41"/>
      <c r="Q977" s="30" t="s">
        <v>2420</v>
      </c>
      <c r="R977" s="41" t="s">
        <v>35</v>
      </c>
      <c r="S977" s="41">
        <v>2014</v>
      </c>
      <c r="T977" s="31" t="s">
        <v>2421</v>
      </c>
      <c r="U977" s="31" t="s">
        <v>2422</v>
      </c>
      <c r="V977" s="49" t="str">
        <f t="shared" si="1"/>
        <v>priscilla.owens@gsa.gov</v>
      </c>
      <c r="W977" s="30" t="s">
        <v>151</v>
      </c>
      <c r="X977" s="44">
        <v>41728</v>
      </c>
      <c r="Y977" s="44">
        <v>41912</v>
      </c>
      <c r="Z977" s="44">
        <v>42643</v>
      </c>
      <c r="AA977" s="30" t="s">
        <v>2415</v>
      </c>
    </row>
    <row r="978" spans="1:27" s="29" customFormat="1" ht="38.25" customHeight="1">
      <c r="A978" s="30" t="s">
        <v>71</v>
      </c>
      <c r="B978" s="131" t="s">
        <v>116</v>
      </c>
      <c r="C978" s="30" t="s">
        <v>2212</v>
      </c>
      <c r="D978" s="30" t="s">
        <v>2435</v>
      </c>
      <c r="E978" s="30" t="s">
        <v>30</v>
      </c>
      <c r="F978" s="30" t="s">
        <v>2417</v>
      </c>
      <c r="G978" s="30" t="s">
        <v>233</v>
      </c>
      <c r="H978" s="30">
        <v>541519</v>
      </c>
      <c r="I978" s="30" t="s">
        <v>98</v>
      </c>
      <c r="J978" s="30" t="s">
        <v>129</v>
      </c>
      <c r="K978" s="30" t="s">
        <v>61</v>
      </c>
      <c r="L978" s="30" t="s">
        <v>345</v>
      </c>
      <c r="M978" s="45">
        <v>40000</v>
      </c>
      <c r="N978" s="45">
        <v>40000</v>
      </c>
      <c r="O978" s="30" t="s">
        <v>79</v>
      </c>
      <c r="P978" s="41" t="s">
        <v>2424</v>
      </c>
      <c r="Q978" s="30" t="s">
        <v>2420</v>
      </c>
      <c r="R978" s="41" t="s">
        <v>35</v>
      </c>
      <c r="S978" s="41">
        <v>2014</v>
      </c>
      <c r="T978" s="31" t="s">
        <v>2421</v>
      </c>
      <c r="U978" s="31" t="s">
        <v>2422</v>
      </c>
      <c r="V978" s="49" t="str">
        <f t="shared" si="1"/>
        <v>priscilla.owens@gsa.gov</v>
      </c>
      <c r="W978" s="30" t="s">
        <v>151</v>
      </c>
      <c r="X978" s="196">
        <v>41704</v>
      </c>
      <c r="Y978" s="196">
        <v>41888</v>
      </c>
      <c r="Z978" s="44">
        <v>42619</v>
      </c>
      <c r="AA978" s="30" t="s">
        <v>2415</v>
      </c>
    </row>
    <row r="979" spans="1:27" s="29" customFormat="1" ht="38.25" customHeight="1">
      <c r="A979" s="30" t="s">
        <v>71</v>
      </c>
      <c r="B979" s="131" t="s">
        <v>116</v>
      </c>
      <c r="C979" s="30" t="s">
        <v>2212</v>
      </c>
      <c r="D979" s="30" t="s">
        <v>2436</v>
      </c>
      <c r="E979" s="30" t="s">
        <v>30</v>
      </c>
      <c r="F979" s="30" t="s">
        <v>2417</v>
      </c>
      <c r="G979" s="30" t="s">
        <v>233</v>
      </c>
      <c r="H979" s="30">
        <v>541519</v>
      </c>
      <c r="I979" s="30" t="s">
        <v>67</v>
      </c>
      <c r="J979" s="30" t="s">
        <v>129</v>
      </c>
      <c r="K979" s="30" t="s">
        <v>2437</v>
      </c>
      <c r="L979" s="30" t="s">
        <v>345</v>
      </c>
      <c r="M979" s="45">
        <v>10000</v>
      </c>
      <c r="N979" s="45">
        <v>10000</v>
      </c>
      <c r="O979" s="30" t="s">
        <v>149</v>
      </c>
      <c r="P979" s="41"/>
      <c r="Q979" s="30" t="s">
        <v>2420</v>
      </c>
      <c r="R979" s="41" t="s">
        <v>35</v>
      </c>
      <c r="S979" s="41">
        <v>2014</v>
      </c>
      <c r="T979" s="31" t="s">
        <v>2421</v>
      </c>
      <c r="U979" s="31" t="s">
        <v>2422</v>
      </c>
      <c r="V979" s="49" t="str">
        <f t="shared" si="1"/>
        <v>priscilla.owens@gsa.gov</v>
      </c>
      <c r="W979" s="129" t="s">
        <v>151</v>
      </c>
      <c r="X979" s="44">
        <v>41704</v>
      </c>
      <c r="Y979" s="44">
        <v>41888</v>
      </c>
      <c r="Z979" s="44">
        <v>42619</v>
      </c>
      <c r="AA979" s="30" t="s">
        <v>2415</v>
      </c>
    </row>
    <row r="980" spans="1:27" s="29" customFormat="1" ht="38.25" customHeight="1">
      <c r="A980" s="30" t="s">
        <v>71</v>
      </c>
      <c r="B980" s="131" t="s">
        <v>116</v>
      </c>
      <c r="C980" s="30" t="s">
        <v>2212</v>
      </c>
      <c r="D980" s="30" t="s">
        <v>2438</v>
      </c>
      <c r="E980" s="30" t="s">
        <v>30</v>
      </c>
      <c r="F980" s="30" t="s">
        <v>2417</v>
      </c>
      <c r="G980" s="30" t="s">
        <v>233</v>
      </c>
      <c r="H980" s="30">
        <v>541519</v>
      </c>
      <c r="I980" s="30" t="s">
        <v>98</v>
      </c>
      <c r="J980" s="30" t="s">
        <v>129</v>
      </c>
      <c r="K980" s="30" t="s">
        <v>61</v>
      </c>
      <c r="L980" s="30" t="s">
        <v>345</v>
      </c>
      <c r="M980" s="45">
        <v>20000</v>
      </c>
      <c r="N980" s="45">
        <v>20000</v>
      </c>
      <c r="O980" s="30" t="s">
        <v>149</v>
      </c>
      <c r="P980" s="41" t="s">
        <v>2426</v>
      </c>
      <c r="Q980" s="30" t="s">
        <v>2420</v>
      </c>
      <c r="R980" s="41" t="s">
        <v>35</v>
      </c>
      <c r="S980" s="41">
        <v>2014</v>
      </c>
      <c r="T980" s="31" t="s">
        <v>2421</v>
      </c>
      <c r="U980" s="31" t="s">
        <v>2422</v>
      </c>
      <c r="V980" s="49" t="str">
        <f t="shared" si="1"/>
        <v>priscilla.owens@gsa.gov</v>
      </c>
      <c r="W980" s="30" t="s">
        <v>151</v>
      </c>
      <c r="X980" s="44">
        <v>41728</v>
      </c>
      <c r="Y980" s="44">
        <v>41912</v>
      </c>
      <c r="Z980" s="44">
        <v>42643</v>
      </c>
      <c r="AA980" s="30" t="s">
        <v>2415</v>
      </c>
    </row>
    <row r="981" spans="1:27" s="29" customFormat="1" ht="38.25" customHeight="1">
      <c r="A981" s="30" t="s">
        <v>71</v>
      </c>
      <c r="B981" s="131" t="s">
        <v>116</v>
      </c>
      <c r="C981" s="30" t="s">
        <v>2212</v>
      </c>
      <c r="D981" s="30" t="s">
        <v>2439</v>
      </c>
      <c r="E981" s="30" t="s">
        <v>30</v>
      </c>
      <c r="F981" s="30" t="s">
        <v>2417</v>
      </c>
      <c r="G981" s="30" t="s">
        <v>233</v>
      </c>
      <c r="H981" s="30">
        <v>541519</v>
      </c>
      <c r="I981" s="30" t="s">
        <v>98</v>
      </c>
      <c r="J981" s="30" t="s">
        <v>129</v>
      </c>
      <c r="K981" s="30" t="s">
        <v>61</v>
      </c>
      <c r="L981" s="30" t="s">
        <v>345</v>
      </c>
      <c r="M981" s="45">
        <v>10000</v>
      </c>
      <c r="N981" s="45">
        <v>10000</v>
      </c>
      <c r="O981" s="30" t="s">
        <v>149</v>
      </c>
      <c r="P981" s="41" t="s">
        <v>2426</v>
      </c>
      <c r="Q981" s="30" t="s">
        <v>2420</v>
      </c>
      <c r="R981" s="41" t="s">
        <v>35</v>
      </c>
      <c r="S981" s="41">
        <v>2014</v>
      </c>
      <c r="T981" s="31" t="s">
        <v>2421</v>
      </c>
      <c r="U981" s="31" t="s">
        <v>2422</v>
      </c>
      <c r="V981" s="49" t="str">
        <f t="shared" si="1"/>
        <v>priscilla.owens@gsa.gov</v>
      </c>
      <c r="W981" s="30" t="s">
        <v>151</v>
      </c>
      <c r="X981" s="44">
        <v>41728</v>
      </c>
      <c r="Y981" s="44">
        <v>41912</v>
      </c>
      <c r="Z981" s="44">
        <v>42643</v>
      </c>
      <c r="AA981" s="30" t="s">
        <v>2415</v>
      </c>
    </row>
    <row r="982" spans="1:27" s="59" customFormat="1" ht="38.25" customHeight="1">
      <c r="A982" s="52" t="s">
        <v>71</v>
      </c>
      <c r="B982" s="131" t="s">
        <v>116</v>
      </c>
      <c r="C982" s="52" t="s">
        <v>2212</v>
      </c>
      <c r="D982" s="52" t="s">
        <v>2440</v>
      </c>
      <c r="E982" s="52" t="s">
        <v>30</v>
      </c>
      <c r="F982" s="52" t="s">
        <v>2417</v>
      </c>
      <c r="G982" s="52" t="s">
        <v>233</v>
      </c>
      <c r="H982" s="52">
        <v>541519</v>
      </c>
      <c r="I982" s="52" t="s">
        <v>98</v>
      </c>
      <c r="J982" s="30" t="s">
        <v>129</v>
      </c>
      <c r="K982" s="52" t="s">
        <v>61</v>
      </c>
      <c r="L982" s="52" t="s">
        <v>345</v>
      </c>
      <c r="M982" s="55">
        <v>80000</v>
      </c>
      <c r="N982" s="55">
        <v>80000</v>
      </c>
      <c r="O982" s="52" t="s">
        <v>79</v>
      </c>
      <c r="P982" s="56" t="s">
        <v>2426</v>
      </c>
      <c r="Q982" s="52" t="s">
        <v>2420</v>
      </c>
      <c r="R982" s="56" t="s">
        <v>35</v>
      </c>
      <c r="S982" s="56">
        <v>2014</v>
      </c>
      <c r="T982" s="54" t="s">
        <v>2421</v>
      </c>
      <c r="U982" s="54" t="s">
        <v>2422</v>
      </c>
      <c r="V982" s="57" t="str">
        <f t="shared" si="1"/>
        <v>priscilla.owens@gsa.gov</v>
      </c>
      <c r="W982" s="52" t="s">
        <v>151</v>
      </c>
      <c r="X982" s="58">
        <v>41704</v>
      </c>
      <c r="Y982" s="58">
        <v>41888</v>
      </c>
      <c r="Z982" s="58">
        <v>42619</v>
      </c>
      <c r="AA982" s="52" t="s">
        <v>2415</v>
      </c>
    </row>
    <row r="983" spans="1:27" s="29" customFormat="1" ht="38.25" customHeight="1">
      <c r="A983" s="30" t="s">
        <v>71</v>
      </c>
      <c r="B983" s="131" t="s">
        <v>116</v>
      </c>
      <c r="C983" s="30" t="s">
        <v>2212</v>
      </c>
      <c r="D983" s="30" t="s">
        <v>2441</v>
      </c>
      <c r="E983" s="30" t="s">
        <v>30</v>
      </c>
      <c r="F983" s="30" t="s">
        <v>2417</v>
      </c>
      <c r="G983" s="30" t="s">
        <v>233</v>
      </c>
      <c r="H983" s="30">
        <v>541519</v>
      </c>
      <c r="I983" s="30" t="s">
        <v>98</v>
      </c>
      <c r="J983" s="30" t="s">
        <v>129</v>
      </c>
      <c r="K983" s="30" t="s">
        <v>61</v>
      </c>
      <c r="L983" s="30" t="s">
        <v>345</v>
      </c>
      <c r="M983" s="45">
        <v>25000</v>
      </c>
      <c r="N983" s="45">
        <v>25000</v>
      </c>
      <c r="O983" s="30" t="s">
        <v>79</v>
      </c>
      <c r="P983" s="41" t="s">
        <v>2426</v>
      </c>
      <c r="Q983" s="30" t="s">
        <v>2420</v>
      </c>
      <c r="R983" s="41" t="s">
        <v>35</v>
      </c>
      <c r="S983" s="41">
        <v>2014</v>
      </c>
      <c r="T983" s="31" t="s">
        <v>2421</v>
      </c>
      <c r="U983" s="31" t="s">
        <v>2422</v>
      </c>
      <c r="V983" s="49" t="str">
        <f t="shared" si="1"/>
        <v>priscilla.owens@gsa.gov</v>
      </c>
      <c r="W983" s="30" t="s">
        <v>151</v>
      </c>
      <c r="X983" s="44">
        <v>41698</v>
      </c>
      <c r="Y983" s="44">
        <v>41881</v>
      </c>
      <c r="Z983" s="44">
        <v>42612</v>
      </c>
      <c r="AA983" s="30" t="s">
        <v>2415</v>
      </c>
    </row>
    <row r="984" spans="1:27" s="29" customFormat="1" ht="38.25" customHeight="1">
      <c r="A984" s="30" t="s">
        <v>71</v>
      </c>
      <c r="B984" s="131" t="s">
        <v>116</v>
      </c>
      <c r="C984" s="30" t="s">
        <v>2212</v>
      </c>
      <c r="D984" s="30" t="s">
        <v>2442</v>
      </c>
      <c r="E984" s="30" t="s">
        <v>30</v>
      </c>
      <c r="F984" s="30" t="s">
        <v>2417</v>
      </c>
      <c r="G984" s="30" t="s">
        <v>233</v>
      </c>
      <c r="H984" s="30">
        <v>541519</v>
      </c>
      <c r="I984" s="30" t="s">
        <v>98</v>
      </c>
      <c r="J984" s="30" t="s">
        <v>129</v>
      </c>
      <c r="K984" s="30" t="s">
        <v>61</v>
      </c>
      <c r="L984" s="30" t="s">
        <v>345</v>
      </c>
      <c r="M984" s="45">
        <v>15000</v>
      </c>
      <c r="N984" s="45">
        <v>15000</v>
      </c>
      <c r="O984" s="30" t="s">
        <v>149</v>
      </c>
      <c r="P984" s="41" t="s">
        <v>2426</v>
      </c>
      <c r="Q984" s="30" t="s">
        <v>2420</v>
      </c>
      <c r="R984" s="41" t="s">
        <v>35</v>
      </c>
      <c r="S984" s="41">
        <v>2014</v>
      </c>
      <c r="T984" s="31" t="s">
        <v>2421</v>
      </c>
      <c r="U984" s="31" t="s">
        <v>2422</v>
      </c>
      <c r="V984" s="49" t="str">
        <f t="shared" si="1"/>
        <v>priscilla.owens@gsa.gov</v>
      </c>
      <c r="W984" s="30" t="s">
        <v>151</v>
      </c>
      <c r="X984" s="44">
        <v>41704</v>
      </c>
      <c r="Y984" s="44">
        <v>41888</v>
      </c>
      <c r="Z984" s="44">
        <v>42619</v>
      </c>
      <c r="AA984" s="30" t="s">
        <v>2415</v>
      </c>
    </row>
    <row r="985" spans="1:27" s="29" customFormat="1" ht="38.25" customHeight="1">
      <c r="A985" s="30" t="s">
        <v>71</v>
      </c>
      <c r="B985" s="131" t="s">
        <v>116</v>
      </c>
      <c r="C985" s="30" t="s">
        <v>2212</v>
      </c>
      <c r="D985" s="30" t="s">
        <v>2443</v>
      </c>
      <c r="E985" s="30" t="s">
        <v>30</v>
      </c>
      <c r="F985" s="30" t="s">
        <v>2417</v>
      </c>
      <c r="G985" s="30" t="s">
        <v>233</v>
      </c>
      <c r="H985" s="30">
        <v>541519</v>
      </c>
      <c r="I985" s="30" t="s">
        <v>98</v>
      </c>
      <c r="J985" s="30" t="s">
        <v>129</v>
      </c>
      <c r="K985" s="30" t="s">
        <v>61</v>
      </c>
      <c r="L985" s="30" t="s">
        <v>345</v>
      </c>
      <c r="M985" s="45">
        <v>100000</v>
      </c>
      <c r="N985" s="45">
        <v>100000</v>
      </c>
      <c r="O985" s="30" t="s">
        <v>79</v>
      </c>
      <c r="P985" s="41" t="s">
        <v>2433</v>
      </c>
      <c r="Q985" s="30" t="s">
        <v>2420</v>
      </c>
      <c r="R985" s="41" t="s">
        <v>35</v>
      </c>
      <c r="S985" s="41">
        <v>2014</v>
      </c>
      <c r="T985" s="31" t="s">
        <v>2421</v>
      </c>
      <c r="U985" s="31" t="s">
        <v>2422</v>
      </c>
      <c r="V985" s="49" t="s">
        <v>2444</v>
      </c>
      <c r="W985" s="30" t="s">
        <v>151</v>
      </c>
      <c r="X985" s="44">
        <v>41725</v>
      </c>
      <c r="Y985" s="44">
        <v>41909</v>
      </c>
      <c r="Z985" s="44">
        <v>42640</v>
      </c>
      <c r="AA985" s="30" t="s">
        <v>2415</v>
      </c>
    </row>
    <row r="986" spans="1:27" s="29" customFormat="1" ht="38.25" customHeight="1">
      <c r="A986" s="30" t="s">
        <v>71</v>
      </c>
      <c r="B986" s="131" t="s">
        <v>116</v>
      </c>
      <c r="C986" s="30" t="s">
        <v>2212</v>
      </c>
      <c r="D986" s="30" t="s">
        <v>2445</v>
      </c>
      <c r="E986" s="30" t="s">
        <v>30</v>
      </c>
      <c r="F986" s="30" t="s">
        <v>2417</v>
      </c>
      <c r="G986" s="30" t="s">
        <v>233</v>
      </c>
      <c r="H986" s="30">
        <v>541519</v>
      </c>
      <c r="I986" s="30" t="s">
        <v>98</v>
      </c>
      <c r="J986" s="30" t="s">
        <v>129</v>
      </c>
      <c r="K986" s="30" t="s">
        <v>61</v>
      </c>
      <c r="L986" s="30" t="s">
        <v>345</v>
      </c>
      <c r="M986" s="45">
        <v>15000</v>
      </c>
      <c r="N986" s="45">
        <v>15000</v>
      </c>
      <c r="O986" s="30" t="s">
        <v>149</v>
      </c>
      <c r="P986" s="41" t="s">
        <v>2426</v>
      </c>
      <c r="Q986" s="30" t="s">
        <v>2420</v>
      </c>
      <c r="R986" s="41" t="s">
        <v>35</v>
      </c>
      <c r="S986" s="41">
        <v>2014</v>
      </c>
      <c r="T986" s="31" t="s">
        <v>2421</v>
      </c>
      <c r="U986" s="31" t="s">
        <v>2422</v>
      </c>
      <c r="V986" s="49" t="str">
        <f t="shared" ref="V986:V995" si="2">HYPERLINK("mailto:priscilla.owens@gsa.gov","priscilla.owens@gsa.gov")</f>
        <v>priscilla.owens@gsa.gov</v>
      </c>
      <c r="W986" s="30" t="s">
        <v>151</v>
      </c>
      <c r="X986" s="44">
        <v>41712</v>
      </c>
      <c r="Y986" s="44">
        <v>41896</v>
      </c>
      <c r="Z986" s="44">
        <v>42627</v>
      </c>
      <c r="AA986" s="30" t="s">
        <v>2415</v>
      </c>
    </row>
    <row r="987" spans="1:27" s="29" customFormat="1" ht="38.25" customHeight="1">
      <c r="A987" s="30" t="s">
        <v>71</v>
      </c>
      <c r="B987" s="131" t="s">
        <v>116</v>
      </c>
      <c r="C987" s="30" t="s">
        <v>2212</v>
      </c>
      <c r="D987" s="30" t="s">
        <v>2446</v>
      </c>
      <c r="E987" s="30" t="s">
        <v>30</v>
      </c>
      <c r="F987" s="30" t="s">
        <v>2417</v>
      </c>
      <c r="G987" s="30" t="s">
        <v>233</v>
      </c>
      <c r="H987" s="30">
        <v>541519</v>
      </c>
      <c r="I987" s="30" t="s">
        <v>98</v>
      </c>
      <c r="J987" s="30" t="s">
        <v>129</v>
      </c>
      <c r="K987" s="30" t="s">
        <v>61</v>
      </c>
      <c r="L987" s="30" t="s">
        <v>345</v>
      </c>
      <c r="M987" s="45">
        <v>50000</v>
      </c>
      <c r="N987" s="45">
        <v>50000</v>
      </c>
      <c r="O987" s="30" t="s">
        <v>79</v>
      </c>
      <c r="P987" s="41" t="s">
        <v>2426</v>
      </c>
      <c r="Q987" s="30" t="s">
        <v>2420</v>
      </c>
      <c r="R987" s="41" t="s">
        <v>35</v>
      </c>
      <c r="S987" s="41">
        <v>2014</v>
      </c>
      <c r="T987" s="31" t="s">
        <v>2421</v>
      </c>
      <c r="U987" s="31" t="s">
        <v>2422</v>
      </c>
      <c r="V987" s="49" t="str">
        <f t="shared" si="2"/>
        <v>priscilla.owens@gsa.gov</v>
      </c>
      <c r="W987" s="30" t="s">
        <v>151</v>
      </c>
      <c r="X987" s="44">
        <v>41698</v>
      </c>
      <c r="Y987" s="44">
        <v>41882</v>
      </c>
      <c r="Z987" s="44">
        <v>42613</v>
      </c>
      <c r="AA987" s="30" t="s">
        <v>2415</v>
      </c>
    </row>
    <row r="988" spans="1:27" s="29" customFormat="1" ht="38.25" customHeight="1">
      <c r="A988" s="30" t="s">
        <v>71</v>
      </c>
      <c r="B988" s="131" t="s">
        <v>116</v>
      </c>
      <c r="C988" s="30" t="s">
        <v>2212</v>
      </c>
      <c r="D988" s="30" t="s">
        <v>2447</v>
      </c>
      <c r="E988" s="30" t="s">
        <v>30</v>
      </c>
      <c r="F988" s="30" t="s">
        <v>2417</v>
      </c>
      <c r="G988" s="30" t="s">
        <v>233</v>
      </c>
      <c r="H988" s="30">
        <v>541519</v>
      </c>
      <c r="I988" s="30" t="s">
        <v>98</v>
      </c>
      <c r="J988" s="30" t="s">
        <v>129</v>
      </c>
      <c r="K988" s="30" t="s">
        <v>61</v>
      </c>
      <c r="L988" s="30" t="s">
        <v>345</v>
      </c>
      <c r="M988" s="45">
        <v>15000</v>
      </c>
      <c r="N988" s="45">
        <v>15000</v>
      </c>
      <c r="O988" s="30" t="s">
        <v>149</v>
      </c>
      <c r="P988" s="41" t="s">
        <v>2426</v>
      </c>
      <c r="Q988" s="30" t="s">
        <v>2420</v>
      </c>
      <c r="R988" s="41" t="s">
        <v>35</v>
      </c>
      <c r="S988" s="41">
        <v>2014</v>
      </c>
      <c r="T988" s="31" t="s">
        <v>2421</v>
      </c>
      <c r="U988" s="31" t="s">
        <v>2422</v>
      </c>
      <c r="V988" s="49" t="str">
        <f t="shared" si="2"/>
        <v>priscilla.owens@gsa.gov</v>
      </c>
      <c r="W988" s="30" t="s">
        <v>151</v>
      </c>
      <c r="X988" s="44">
        <v>41699</v>
      </c>
      <c r="Y988" s="44">
        <v>41883</v>
      </c>
      <c r="Z988" s="44">
        <v>42614</v>
      </c>
      <c r="AA988" s="30" t="s">
        <v>2415</v>
      </c>
    </row>
    <row r="989" spans="1:27" s="29" customFormat="1" ht="38.25" customHeight="1">
      <c r="A989" s="30" t="s">
        <v>71</v>
      </c>
      <c r="B989" s="131" t="s">
        <v>116</v>
      </c>
      <c r="C989" s="30" t="s">
        <v>2212</v>
      </c>
      <c r="D989" s="30" t="s">
        <v>2448</v>
      </c>
      <c r="E989" s="30" t="s">
        <v>30</v>
      </c>
      <c r="F989" s="30" t="s">
        <v>2417</v>
      </c>
      <c r="G989" s="30" t="s">
        <v>233</v>
      </c>
      <c r="H989" s="30">
        <v>541519</v>
      </c>
      <c r="I989" s="30" t="s">
        <v>98</v>
      </c>
      <c r="J989" s="30" t="s">
        <v>129</v>
      </c>
      <c r="K989" s="30" t="s">
        <v>61</v>
      </c>
      <c r="L989" s="30" t="s">
        <v>345</v>
      </c>
      <c r="M989" s="45">
        <v>10000</v>
      </c>
      <c r="N989" s="45">
        <v>10000</v>
      </c>
      <c r="O989" s="30" t="s">
        <v>149</v>
      </c>
      <c r="P989" s="41" t="s">
        <v>2426</v>
      </c>
      <c r="Q989" s="30" t="s">
        <v>2420</v>
      </c>
      <c r="R989" s="41" t="s">
        <v>35</v>
      </c>
      <c r="S989" s="41">
        <v>2014</v>
      </c>
      <c r="T989" s="31" t="s">
        <v>2421</v>
      </c>
      <c r="U989" s="31" t="s">
        <v>2422</v>
      </c>
      <c r="V989" s="49" t="str">
        <f t="shared" si="2"/>
        <v>priscilla.owens@gsa.gov</v>
      </c>
      <c r="W989" s="30" t="s">
        <v>151</v>
      </c>
      <c r="X989" s="44">
        <v>41698</v>
      </c>
      <c r="Y989" s="44">
        <v>41881</v>
      </c>
      <c r="Z989" s="44">
        <v>42612</v>
      </c>
      <c r="AA989" s="30" t="s">
        <v>2415</v>
      </c>
    </row>
    <row r="990" spans="1:27" s="29" customFormat="1" ht="38.25" customHeight="1">
      <c r="A990" s="30" t="s">
        <v>71</v>
      </c>
      <c r="B990" s="131" t="s">
        <v>116</v>
      </c>
      <c r="C990" s="30" t="s">
        <v>2212</v>
      </c>
      <c r="D990" s="30" t="s">
        <v>2449</v>
      </c>
      <c r="E990" s="30" t="s">
        <v>30</v>
      </c>
      <c r="F990" s="30" t="s">
        <v>2417</v>
      </c>
      <c r="G990" s="30" t="s">
        <v>233</v>
      </c>
      <c r="H990" s="30">
        <v>541519</v>
      </c>
      <c r="I990" s="30" t="s">
        <v>98</v>
      </c>
      <c r="J990" s="30" t="s">
        <v>129</v>
      </c>
      <c r="K990" s="30" t="s">
        <v>61</v>
      </c>
      <c r="L990" s="30" t="s">
        <v>345</v>
      </c>
      <c r="M990" s="45">
        <v>5000</v>
      </c>
      <c r="N990" s="45">
        <v>5000</v>
      </c>
      <c r="O990" s="30" t="s">
        <v>149</v>
      </c>
      <c r="P990" s="41" t="s">
        <v>2426</v>
      </c>
      <c r="Q990" s="30" t="s">
        <v>2420</v>
      </c>
      <c r="R990" s="41" t="s">
        <v>35</v>
      </c>
      <c r="S990" s="41">
        <v>2014</v>
      </c>
      <c r="T990" s="31" t="s">
        <v>2421</v>
      </c>
      <c r="U990" s="31" t="s">
        <v>2422</v>
      </c>
      <c r="V990" s="49" t="str">
        <f t="shared" si="2"/>
        <v>priscilla.owens@gsa.gov</v>
      </c>
      <c r="W990" s="30" t="s">
        <v>151</v>
      </c>
      <c r="X990" s="44">
        <v>41703</v>
      </c>
      <c r="Y990" s="44">
        <v>41887</v>
      </c>
      <c r="Z990" s="44">
        <v>42618</v>
      </c>
      <c r="AA990" s="30" t="s">
        <v>2415</v>
      </c>
    </row>
    <row r="991" spans="1:27" s="29" customFormat="1" ht="38.25" customHeight="1">
      <c r="A991" s="30" t="s">
        <v>71</v>
      </c>
      <c r="B991" s="131" t="s">
        <v>116</v>
      </c>
      <c r="C991" s="30" t="s">
        <v>2212</v>
      </c>
      <c r="D991" s="30" t="s">
        <v>2450</v>
      </c>
      <c r="E991" s="30" t="s">
        <v>30</v>
      </c>
      <c r="F991" s="30" t="s">
        <v>2417</v>
      </c>
      <c r="G991" s="30" t="s">
        <v>233</v>
      </c>
      <c r="H991" s="30">
        <v>541519</v>
      </c>
      <c r="I991" s="30" t="s">
        <v>98</v>
      </c>
      <c r="J991" s="30" t="s">
        <v>129</v>
      </c>
      <c r="K991" s="30" t="s">
        <v>61</v>
      </c>
      <c r="L991" s="30" t="s">
        <v>345</v>
      </c>
      <c r="M991" s="45">
        <v>110000</v>
      </c>
      <c r="N991" s="45">
        <v>110000</v>
      </c>
      <c r="O991" s="30" t="s">
        <v>79</v>
      </c>
      <c r="P991" s="41"/>
      <c r="Q991" s="30" t="s">
        <v>2420</v>
      </c>
      <c r="R991" s="41" t="s">
        <v>150</v>
      </c>
      <c r="S991" s="41">
        <v>2014</v>
      </c>
      <c r="T991" s="31" t="s">
        <v>2421</v>
      </c>
      <c r="U991" s="31" t="s">
        <v>2422</v>
      </c>
      <c r="V991" s="49" t="str">
        <f t="shared" si="2"/>
        <v>priscilla.owens@gsa.gov</v>
      </c>
      <c r="W991" s="30" t="s">
        <v>151</v>
      </c>
      <c r="X991" s="44">
        <v>41623</v>
      </c>
      <c r="Y991" s="44">
        <v>41639</v>
      </c>
      <c r="Z991" s="44">
        <v>42369</v>
      </c>
      <c r="AA991" s="30" t="s">
        <v>2415</v>
      </c>
    </row>
    <row r="992" spans="1:27" s="29" customFormat="1" ht="38.25" customHeight="1">
      <c r="A992" s="30" t="s">
        <v>71</v>
      </c>
      <c r="B992" s="131" t="s">
        <v>116</v>
      </c>
      <c r="C992" s="30" t="s">
        <v>2212</v>
      </c>
      <c r="D992" s="30" t="s">
        <v>2451</v>
      </c>
      <c r="E992" s="30" t="s">
        <v>30</v>
      </c>
      <c r="F992" s="30" t="s">
        <v>2417</v>
      </c>
      <c r="G992" s="30" t="s">
        <v>233</v>
      </c>
      <c r="H992" s="30">
        <v>541511</v>
      </c>
      <c r="I992" s="30" t="s">
        <v>98</v>
      </c>
      <c r="J992" s="30" t="s">
        <v>129</v>
      </c>
      <c r="K992" s="30" t="s">
        <v>61</v>
      </c>
      <c r="L992" s="30" t="s">
        <v>345</v>
      </c>
      <c r="M992" s="45">
        <v>3425000</v>
      </c>
      <c r="N992" s="45">
        <v>3425000</v>
      </c>
      <c r="O992" s="30" t="s">
        <v>79</v>
      </c>
      <c r="P992" s="41"/>
      <c r="Q992" s="30" t="s">
        <v>2420</v>
      </c>
      <c r="R992" s="41" t="s">
        <v>35</v>
      </c>
      <c r="S992" s="41">
        <v>2014</v>
      </c>
      <c r="T992" s="31" t="s">
        <v>2421</v>
      </c>
      <c r="U992" s="31" t="s">
        <v>2422</v>
      </c>
      <c r="V992" s="49" t="str">
        <f t="shared" si="2"/>
        <v>priscilla.owens@gsa.gov</v>
      </c>
      <c r="W992" s="30" t="s">
        <v>151</v>
      </c>
      <c r="X992" s="129" t="s">
        <v>80</v>
      </c>
      <c r="Y992" s="30" t="s">
        <v>2452</v>
      </c>
      <c r="Z992" s="30" t="s">
        <v>2453</v>
      </c>
      <c r="AA992" s="30" t="s">
        <v>2415</v>
      </c>
    </row>
    <row r="993" spans="1:272" ht="38.25" customHeight="1">
      <c r="A993" s="30" t="s">
        <v>71</v>
      </c>
      <c r="B993" s="131" t="s">
        <v>116</v>
      </c>
      <c r="C993" s="30" t="s">
        <v>2212</v>
      </c>
      <c r="D993" s="30" t="s">
        <v>2454</v>
      </c>
      <c r="E993" s="30" t="s">
        <v>30</v>
      </c>
      <c r="F993" s="30" t="s">
        <v>2417</v>
      </c>
      <c r="G993" s="30" t="s">
        <v>233</v>
      </c>
      <c r="H993" s="30">
        <v>541511</v>
      </c>
      <c r="I993" s="30" t="s">
        <v>98</v>
      </c>
      <c r="J993" s="30" t="s">
        <v>129</v>
      </c>
      <c r="K993" s="30" t="s">
        <v>61</v>
      </c>
      <c r="L993" s="30" t="s">
        <v>345</v>
      </c>
      <c r="M993" s="45">
        <v>2225000</v>
      </c>
      <c r="N993" s="45">
        <v>2225000</v>
      </c>
      <c r="O993" s="30" t="s">
        <v>79</v>
      </c>
      <c r="P993" s="41"/>
      <c r="Q993" s="30" t="s">
        <v>2420</v>
      </c>
      <c r="R993" s="41" t="s">
        <v>35</v>
      </c>
      <c r="S993" s="41">
        <v>2014</v>
      </c>
      <c r="T993" s="31" t="s">
        <v>2421</v>
      </c>
      <c r="U993" s="31" t="s">
        <v>2422</v>
      </c>
      <c r="V993" s="49" t="str">
        <f t="shared" si="2"/>
        <v>priscilla.owens@gsa.gov</v>
      </c>
      <c r="W993" s="30" t="s">
        <v>151</v>
      </c>
      <c r="X993" s="129" t="s">
        <v>80</v>
      </c>
      <c r="Y993" s="30" t="s">
        <v>2452</v>
      </c>
      <c r="Z993" s="30" t="s">
        <v>2453</v>
      </c>
      <c r="AA993" s="30" t="s">
        <v>2415</v>
      </c>
      <c r="AE993" s="29"/>
      <c r="AF993" s="29"/>
      <c r="AG993" s="29"/>
      <c r="AH993" s="29"/>
      <c r="AI993" s="29"/>
      <c r="AJ993" s="29"/>
      <c r="AK993" s="29"/>
      <c r="AL993" s="29"/>
      <c r="AM993" s="29"/>
      <c r="AN993" s="29"/>
      <c r="AO993" s="29"/>
      <c r="AP993" s="29"/>
      <c r="AQ993" s="29"/>
      <c r="AR993" s="29"/>
      <c r="AS993" s="29"/>
      <c r="AT993" s="29"/>
      <c r="AU993" s="29"/>
      <c r="AV993" s="29"/>
      <c r="AW993" s="29"/>
      <c r="AX993" s="29"/>
      <c r="AY993" s="29"/>
      <c r="AZ993" s="29"/>
      <c r="BA993" s="29"/>
      <c r="BB993" s="29"/>
      <c r="BC993" s="29"/>
      <c r="BD993" s="29"/>
      <c r="BE993" s="29"/>
      <c r="BF993" s="29"/>
      <c r="BG993" s="29"/>
      <c r="BH993" s="29"/>
      <c r="BI993" s="29"/>
      <c r="BJ993" s="29"/>
      <c r="BK993" s="29"/>
      <c r="BL993" s="29"/>
      <c r="BM993" s="29"/>
      <c r="BN993" s="29"/>
      <c r="BO993" s="29"/>
      <c r="BP993" s="29"/>
      <c r="BQ993" s="29"/>
      <c r="BR993" s="29"/>
      <c r="BS993" s="29"/>
      <c r="BT993" s="29"/>
      <c r="BU993" s="29"/>
      <c r="BV993" s="29"/>
      <c r="BW993" s="29"/>
      <c r="BX993" s="29"/>
      <c r="BY993" s="29"/>
      <c r="BZ993" s="29"/>
      <c r="CA993" s="29"/>
      <c r="CB993" s="29"/>
      <c r="CC993" s="29"/>
      <c r="CD993" s="29"/>
      <c r="CE993" s="29"/>
      <c r="CF993" s="29"/>
      <c r="CG993" s="29"/>
      <c r="CH993" s="29"/>
      <c r="CI993" s="29"/>
      <c r="CJ993" s="29"/>
      <c r="CK993" s="29"/>
      <c r="CL993" s="29"/>
      <c r="CM993" s="29"/>
      <c r="CN993" s="29"/>
      <c r="CO993" s="29"/>
      <c r="CP993" s="29"/>
      <c r="CQ993" s="29"/>
      <c r="CR993" s="29"/>
      <c r="CS993" s="29"/>
      <c r="CT993" s="29"/>
      <c r="CU993" s="29"/>
      <c r="CV993" s="29"/>
      <c r="CW993" s="29"/>
      <c r="CX993" s="29"/>
      <c r="CY993" s="29"/>
      <c r="CZ993" s="29"/>
      <c r="DA993" s="29"/>
      <c r="DB993" s="29"/>
      <c r="DC993" s="29"/>
      <c r="DD993" s="29"/>
      <c r="DE993" s="29"/>
      <c r="DF993" s="29"/>
      <c r="DG993" s="29"/>
      <c r="DH993" s="29"/>
      <c r="DI993" s="29"/>
      <c r="DJ993" s="29"/>
      <c r="DK993" s="29"/>
      <c r="DL993" s="29"/>
      <c r="DM993" s="29"/>
      <c r="DN993" s="29"/>
      <c r="DO993" s="29"/>
      <c r="DP993" s="29"/>
      <c r="DQ993" s="29"/>
      <c r="DR993" s="29"/>
      <c r="DS993" s="29"/>
      <c r="DT993" s="29"/>
      <c r="DU993" s="29"/>
      <c r="DV993" s="29"/>
      <c r="DW993" s="29"/>
      <c r="DX993" s="29"/>
      <c r="DY993" s="29"/>
      <c r="DZ993" s="29"/>
      <c r="EA993" s="29"/>
      <c r="EB993" s="29"/>
      <c r="EC993" s="29"/>
      <c r="ED993" s="29"/>
      <c r="EE993" s="29"/>
      <c r="EF993" s="29"/>
      <c r="EG993" s="29"/>
      <c r="EH993" s="29"/>
      <c r="EI993" s="29"/>
      <c r="EJ993" s="29"/>
      <c r="EK993" s="29"/>
      <c r="EL993" s="29"/>
      <c r="EM993" s="29"/>
      <c r="EN993" s="29"/>
      <c r="EO993" s="29"/>
      <c r="EP993" s="29"/>
      <c r="EQ993" s="29"/>
      <c r="ER993" s="29"/>
      <c r="ES993" s="29"/>
      <c r="ET993" s="29"/>
      <c r="EU993" s="29"/>
      <c r="EV993" s="29"/>
      <c r="EW993" s="29"/>
      <c r="EX993" s="29"/>
      <c r="EY993" s="29"/>
      <c r="EZ993" s="29"/>
      <c r="FA993" s="29"/>
      <c r="FB993" s="29"/>
      <c r="FC993" s="29"/>
      <c r="FD993" s="29"/>
      <c r="FE993" s="29"/>
      <c r="FF993" s="29"/>
      <c r="FG993" s="29"/>
      <c r="FH993" s="29"/>
      <c r="FI993" s="29"/>
      <c r="FJ993" s="29"/>
      <c r="FK993" s="29"/>
      <c r="FL993" s="29"/>
      <c r="FM993" s="29"/>
      <c r="FN993" s="29"/>
      <c r="FO993" s="29"/>
      <c r="FP993" s="29"/>
      <c r="FQ993" s="29"/>
      <c r="FR993" s="29"/>
      <c r="FS993" s="29"/>
      <c r="FT993" s="29"/>
      <c r="FU993" s="29"/>
      <c r="FV993" s="29"/>
      <c r="FW993" s="29"/>
      <c r="FX993" s="29"/>
      <c r="FY993" s="29"/>
      <c r="FZ993" s="29"/>
      <c r="GA993" s="29"/>
      <c r="GB993" s="29"/>
      <c r="GC993" s="29"/>
      <c r="GD993" s="29"/>
      <c r="GE993" s="29"/>
      <c r="GF993" s="29"/>
      <c r="GG993" s="29"/>
      <c r="GH993" s="29"/>
      <c r="GI993" s="29"/>
      <c r="GJ993" s="29"/>
      <c r="GK993" s="29"/>
      <c r="GL993" s="29"/>
      <c r="GM993" s="29"/>
      <c r="GN993" s="29"/>
      <c r="GO993" s="29"/>
      <c r="GP993" s="29"/>
      <c r="GQ993" s="29"/>
      <c r="GR993" s="29"/>
      <c r="GS993" s="29"/>
      <c r="GT993" s="29"/>
      <c r="GU993" s="29"/>
      <c r="GV993" s="29"/>
      <c r="GW993" s="29"/>
      <c r="GX993" s="29"/>
      <c r="GY993" s="29"/>
      <c r="GZ993" s="29"/>
      <c r="HA993" s="29"/>
      <c r="HB993" s="29"/>
      <c r="HC993" s="29"/>
      <c r="HD993" s="29"/>
      <c r="HE993" s="29"/>
      <c r="HF993" s="29"/>
      <c r="HG993" s="29"/>
      <c r="HH993" s="29"/>
      <c r="HI993" s="29"/>
      <c r="HJ993" s="29"/>
      <c r="HK993" s="29"/>
      <c r="HL993" s="29"/>
      <c r="HM993" s="29"/>
      <c r="HN993" s="29"/>
      <c r="HO993" s="29"/>
      <c r="HP993" s="29"/>
      <c r="HQ993" s="29"/>
      <c r="HR993" s="29"/>
      <c r="HS993" s="29"/>
      <c r="HT993" s="29"/>
      <c r="HU993" s="29"/>
      <c r="HV993" s="29"/>
      <c r="HW993" s="29"/>
      <c r="HX993" s="29"/>
      <c r="HY993" s="29"/>
      <c r="HZ993" s="29"/>
      <c r="IA993" s="29"/>
      <c r="IB993" s="29"/>
      <c r="IC993" s="29"/>
      <c r="ID993" s="29"/>
      <c r="IE993" s="29"/>
      <c r="IF993" s="29"/>
      <c r="IG993" s="29"/>
      <c r="IH993" s="29"/>
      <c r="II993" s="29"/>
      <c r="IJ993" s="29"/>
      <c r="IK993" s="29"/>
      <c r="IL993" s="29"/>
      <c r="IM993" s="29"/>
      <c r="IN993" s="29"/>
      <c r="IO993" s="29"/>
      <c r="IP993" s="29"/>
      <c r="IQ993" s="29"/>
      <c r="IR993" s="29"/>
      <c r="IS993" s="29"/>
      <c r="IT993" s="29"/>
      <c r="IU993" s="29"/>
      <c r="IV993" s="29"/>
      <c r="IW993" s="29"/>
      <c r="IX993" s="29"/>
      <c r="IY993" s="29"/>
      <c r="IZ993" s="29"/>
      <c r="JA993" s="29"/>
      <c r="JB993" s="29"/>
      <c r="JC993" s="29"/>
      <c r="JD993" s="29"/>
      <c r="JE993" s="29"/>
      <c r="JF993" s="29"/>
      <c r="JG993" s="29"/>
      <c r="JH993" s="29"/>
      <c r="JI993" s="29"/>
      <c r="JJ993" s="29"/>
      <c r="JK993" s="29"/>
      <c r="JL993" s="29"/>
    </row>
    <row r="994" spans="1:272" ht="38.25" customHeight="1">
      <c r="A994" s="30" t="s">
        <v>71</v>
      </c>
      <c r="B994" s="131" t="s">
        <v>116</v>
      </c>
      <c r="C994" s="30" t="s">
        <v>2212</v>
      </c>
      <c r="D994" s="30" t="s">
        <v>2455</v>
      </c>
      <c r="E994" s="30" t="s">
        <v>30</v>
      </c>
      <c r="F994" s="30" t="s">
        <v>2417</v>
      </c>
      <c r="G994" s="30" t="s">
        <v>233</v>
      </c>
      <c r="H994" s="30">
        <v>541519</v>
      </c>
      <c r="I994" s="30" t="s">
        <v>98</v>
      </c>
      <c r="J994" s="30" t="s">
        <v>129</v>
      </c>
      <c r="K994" s="30" t="s">
        <v>61</v>
      </c>
      <c r="L994" s="30" t="s">
        <v>345</v>
      </c>
      <c r="M994" s="45">
        <v>100000</v>
      </c>
      <c r="N994" s="45">
        <v>100000</v>
      </c>
      <c r="O994" s="30" t="s">
        <v>79</v>
      </c>
      <c r="P994" s="41"/>
      <c r="Q994" s="30" t="s">
        <v>2420</v>
      </c>
      <c r="R994" s="41" t="s">
        <v>35</v>
      </c>
      <c r="S994" s="41">
        <v>2014</v>
      </c>
      <c r="T994" s="31" t="s">
        <v>2421</v>
      </c>
      <c r="U994" s="31" t="s">
        <v>2422</v>
      </c>
      <c r="V994" s="49" t="str">
        <f t="shared" si="2"/>
        <v>priscilla.owens@gsa.gov</v>
      </c>
      <c r="W994" s="30" t="s">
        <v>151</v>
      </c>
      <c r="X994" s="30" t="s">
        <v>1027</v>
      </c>
      <c r="Y994" s="44">
        <v>41881</v>
      </c>
      <c r="Z994" s="44">
        <v>42977</v>
      </c>
      <c r="AA994" s="30" t="s">
        <v>2415</v>
      </c>
      <c r="AE994" s="29"/>
      <c r="AF994" s="29"/>
      <c r="AG994" s="29"/>
      <c r="AH994" s="29"/>
      <c r="AI994" s="29"/>
      <c r="AJ994" s="29"/>
      <c r="AK994" s="29"/>
      <c r="AL994" s="29"/>
      <c r="AM994" s="29"/>
      <c r="AN994" s="29"/>
      <c r="AO994" s="29"/>
      <c r="AP994" s="29"/>
      <c r="AQ994" s="29"/>
      <c r="AR994" s="29"/>
      <c r="AS994" s="29"/>
      <c r="AT994" s="29"/>
      <c r="AU994" s="29"/>
      <c r="AV994" s="29"/>
      <c r="AW994" s="29"/>
      <c r="AX994" s="29"/>
      <c r="AY994" s="29"/>
      <c r="AZ994" s="29"/>
      <c r="BA994" s="29"/>
      <c r="BB994" s="29"/>
      <c r="BC994" s="29"/>
      <c r="BD994" s="29"/>
      <c r="BE994" s="29"/>
      <c r="BF994" s="29"/>
      <c r="BG994" s="29"/>
      <c r="BH994" s="29"/>
      <c r="BI994" s="29"/>
      <c r="BJ994" s="29"/>
      <c r="BK994" s="29"/>
      <c r="BL994" s="29"/>
      <c r="BM994" s="29"/>
      <c r="BN994" s="29"/>
      <c r="BO994" s="29"/>
      <c r="BP994" s="29"/>
      <c r="BQ994" s="29"/>
      <c r="BR994" s="29"/>
      <c r="BS994" s="29"/>
      <c r="BT994" s="29"/>
      <c r="BU994" s="29"/>
      <c r="BV994" s="29"/>
      <c r="BW994" s="29"/>
      <c r="BX994" s="29"/>
      <c r="BY994" s="29"/>
      <c r="BZ994" s="29"/>
      <c r="CA994" s="29"/>
      <c r="CB994" s="29"/>
      <c r="CC994" s="29"/>
      <c r="CD994" s="29"/>
      <c r="CE994" s="29"/>
      <c r="CF994" s="29"/>
      <c r="CG994" s="29"/>
      <c r="CH994" s="29"/>
      <c r="CI994" s="29"/>
      <c r="CJ994" s="29"/>
      <c r="CK994" s="29"/>
      <c r="CL994" s="29"/>
      <c r="CM994" s="29"/>
      <c r="CN994" s="29"/>
      <c r="CO994" s="29"/>
      <c r="CP994" s="29"/>
      <c r="CQ994" s="29"/>
      <c r="CR994" s="29"/>
      <c r="CS994" s="29"/>
      <c r="CT994" s="29"/>
      <c r="CU994" s="29"/>
      <c r="CV994" s="29"/>
      <c r="CW994" s="29"/>
      <c r="CX994" s="29"/>
      <c r="CY994" s="29"/>
      <c r="CZ994" s="29"/>
      <c r="DA994" s="29"/>
      <c r="DB994" s="29"/>
      <c r="DC994" s="29"/>
      <c r="DD994" s="29"/>
      <c r="DE994" s="29"/>
      <c r="DF994" s="29"/>
      <c r="DG994" s="29"/>
      <c r="DH994" s="29"/>
      <c r="DI994" s="29"/>
      <c r="DJ994" s="29"/>
      <c r="DK994" s="29"/>
      <c r="DL994" s="29"/>
      <c r="DM994" s="29"/>
      <c r="DN994" s="29"/>
      <c r="DO994" s="29"/>
      <c r="DP994" s="29"/>
      <c r="DQ994" s="29"/>
      <c r="DR994" s="29"/>
      <c r="DS994" s="29"/>
      <c r="DT994" s="29"/>
      <c r="DU994" s="29"/>
      <c r="DV994" s="29"/>
      <c r="DW994" s="29"/>
      <c r="DX994" s="29"/>
      <c r="DY994" s="29"/>
      <c r="DZ994" s="29"/>
      <c r="EA994" s="29"/>
      <c r="EB994" s="29"/>
      <c r="EC994" s="29"/>
      <c r="ED994" s="29"/>
      <c r="EE994" s="29"/>
      <c r="EF994" s="29"/>
      <c r="EG994" s="29"/>
      <c r="EH994" s="29"/>
      <c r="EI994" s="29"/>
      <c r="EJ994" s="29"/>
      <c r="EK994" s="29"/>
      <c r="EL994" s="29"/>
      <c r="EM994" s="29"/>
      <c r="EN994" s="29"/>
      <c r="EO994" s="29"/>
      <c r="EP994" s="29"/>
      <c r="EQ994" s="29"/>
      <c r="ER994" s="29"/>
      <c r="ES994" s="29"/>
      <c r="ET994" s="29"/>
      <c r="EU994" s="29"/>
      <c r="EV994" s="29"/>
      <c r="EW994" s="29"/>
      <c r="EX994" s="29"/>
      <c r="EY994" s="29"/>
      <c r="EZ994" s="29"/>
      <c r="FA994" s="29"/>
      <c r="FB994" s="29"/>
      <c r="FC994" s="29"/>
      <c r="FD994" s="29"/>
      <c r="FE994" s="29"/>
      <c r="FF994" s="29"/>
      <c r="FG994" s="29"/>
      <c r="FH994" s="29"/>
      <c r="FI994" s="29"/>
      <c r="FJ994" s="29"/>
      <c r="FK994" s="29"/>
      <c r="FL994" s="29"/>
      <c r="FM994" s="29"/>
      <c r="FN994" s="29"/>
      <c r="FO994" s="29"/>
      <c r="FP994" s="29"/>
      <c r="FQ994" s="29"/>
      <c r="FR994" s="29"/>
      <c r="FS994" s="29"/>
      <c r="FT994" s="29"/>
      <c r="FU994" s="29"/>
      <c r="FV994" s="29"/>
      <c r="FW994" s="29"/>
      <c r="FX994" s="29"/>
      <c r="FY994" s="29"/>
      <c r="FZ994" s="29"/>
      <c r="GA994" s="29"/>
      <c r="GB994" s="29"/>
      <c r="GC994" s="29"/>
      <c r="GD994" s="29"/>
      <c r="GE994" s="29"/>
      <c r="GF994" s="29"/>
      <c r="GG994" s="29"/>
      <c r="GH994" s="29"/>
      <c r="GI994" s="29"/>
      <c r="GJ994" s="29"/>
      <c r="GK994" s="29"/>
      <c r="GL994" s="29"/>
      <c r="GM994" s="29"/>
      <c r="GN994" s="29"/>
      <c r="GO994" s="29"/>
      <c r="GP994" s="29"/>
      <c r="GQ994" s="29"/>
      <c r="GR994" s="29"/>
      <c r="GS994" s="29"/>
      <c r="GT994" s="29"/>
      <c r="GU994" s="29"/>
      <c r="GV994" s="29"/>
      <c r="GW994" s="29"/>
      <c r="GX994" s="29"/>
      <c r="GY994" s="29"/>
      <c r="GZ994" s="29"/>
      <c r="HA994" s="29"/>
      <c r="HB994" s="29"/>
      <c r="HC994" s="29"/>
      <c r="HD994" s="29"/>
      <c r="HE994" s="29"/>
      <c r="HF994" s="29"/>
      <c r="HG994" s="29"/>
      <c r="HH994" s="29"/>
      <c r="HI994" s="29"/>
      <c r="HJ994" s="29"/>
      <c r="HK994" s="29"/>
      <c r="HL994" s="29"/>
      <c r="HM994" s="29"/>
      <c r="HN994" s="29"/>
      <c r="HO994" s="29"/>
      <c r="HP994" s="29"/>
      <c r="HQ994" s="29"/>
      <c r="HR994" s="29"/>
      <c r="HS994" s="29"/>
      <c r="HT994" s="29"/>
      <c r="HU994" s="29"/>
      <c r="HV994" s="29"/>
      <c r="HW994" s="29"/>
      <c r="HX994" s="29"/>
      <c r="HY994" s="29"/>
      <c r="HZ994" s="29"/>
      <c r="IA994" s="29"/>
      <c r="IB994" s="29"/>
      <c r="IC994" s="29"/>
      <c r="ID994" s="29"/>
      <c r="IE994" s="29"/>
      <c r="IF994" s="29"/>
      <c r="IG994" s="29"/>
      <c r="IH994" s="29"/>
      <c r="II994" s="29"/>
      <c r="IJ994" s="29"/>
      <c r="IK994" s="29"/>
      <c r="IL994" s="29"/>
      <c r="IM994" s="29"/>
      <c r="IN994" s="29"/>
      <c r="IO994" s="29"/>
      <c r="IP994" s="29"/>
      <c r="IQ994" s="29"/>
      <c r="IR994" s="29"/>
      <c r="IS994" s="29"/>
      <c r="IT994" s="29"/>
      <c r="IU994" s="29"/>
      <c r="IV994" s="29"/>
      <c r="IW994" s="29"/>
      <c r="IX994" s="29"/>
      <c r="IY994" s="29"/>
      <c r="IZ994" s="29"/>
      <c r="JA994" s="29"/>
      <c r="JB994" s="29"/>
      <c r="JC994" s="29"/>
      <c r="JD994" s="29"/>
      <c r="JE994" s="29"/>
      <c r="JF994" s="29"/>
      <c r="JG994" s="29"/>
      <c r="JH994" s="29"/>
      <c r="JI994" s="29"/>
      <c r="JJ994" s="29"/>
      <c r="JK994" s="29"/>
      <c r="JL994" s="29"/>
    </row>
    <row r="995" spans="1:272" ht="38.25" customHeight="1">
      <c r="A995" s="30" t="s">
        <v>71</v>
      </c>
      <c r="B995" s="131" t="s">
        <v>116</v>
      </c>
      <c r="C995" s="30" t="s">
        <v>2212</v>
      </c>
      <c r="D995" s="30" t="s">
        <v>2456</v>
      </c>
      <c r="E995" s="30" t="s">
        <v>30</v>
      </c>
      <c r="F995" s="30" t="s">
        <v>289</v>
      </c>
      <c r="G995" s="30" t="s">
        <v>111</v>
      </c>
      <c r="H995" s="30">
        <v>541519</v>
      </c>
      <c r="I995" s="30" t="s">
        <v>98</v>
      </c>
      <c r="J995" s="30" t="s">
        <v>129</v>
      </c>
      <c r="K995" s="161" t="s">
        <v>91</v>
      </c>
      <c r="L995" s="30" t="s">
        <v>345</v>
      </c>
      <c r="M995" s="45">
        <v>800</v>
      </c>
      <c r="N995" s="45">
        <v>1000</v>
      </c>
      <c r="O995" s="30" t="s">
        <v>149</v>
      </c>
      <c r="P995" s="30"/>
      <c r="Q995" s="30" t="s">
        <v>2420</v>
      </c>
      <c r="R995" s="30" t="s">
        <v>150</v>
      </c>
      <c r="S995" s="41">
        <v>2014</v>
      </c>
      <c r="T995" s="31" t="s">
        <v>2421</v>
      </c>
      <c r="U995" s="31" t="s">
        <v>2422</v>
      </c>
      <c r="V995" s="49" t="str">
        <f t="shared" si="2"/>
        <v>priscilla.owens@gsa.gov</v>
      </c>
      <c r="W995" s="30" t="s">
        <v>151</v>
      </c>
      <c r="X995" s="198" t="s">
        <v>150</v>
      </c>
      <c r="Y995" s="198" t="s">
        <v>150</v>
      </c>
      <c r="Z995" s="86" t="s">
        <v>2457</v>
      </c>
      <c r="AA995" s="30" t="s">
        <v>2415</v>
      </c>
      <c r="AE995" s="29"/>
      <c r="AF995" s="29"/>
      <c r="AG995" s="29"/>
      <c r="AH995" s="29"/>
      <c r="AI995" s="29"/>
      <c r="AJ995" s="29"/>
      <c r="AK995" s="29"/>
      <c r="AL995" s="29"/>
      <c r="AM995" s="29"/>
      <c r="AN995" s="29"/>
      <c r="AO995" s="29"/>
      <c r="AP995" s="29"/>
      <c r="AQ995" s="29"/>
      <c r="AR995" s="29"/>
      <c r="AS995" s="29"/>
      <c r="AT995" s="29"/>
      <c r="AU995" s="29"/>
      <c r="AV995" s="29"/>
      <c r="AW995" s="29"/>
      <c r="AX995" s="29"/>
      <c r="AY995" s="29"/>
      <c r="AZ995" s="29"/>
      <c r="BA995" s="29"/>
      <c r="BB995" s="29"/>
      <c r="BC995" s="29"/>
      <c r="BD995" s="29"/>
      <c r="BE995" s="29"/>
      <c r="BF995" s="29"/>
      <c r="BG995" s="29"/>
      <c r="BH995" s="29"/>
      <c r="BI995" s="29"/>
      <c r="BJ995" s="29"/>
      <c r="BK995" s="29"/>
      <c r="BL995" s="29"/>
      <c r="BM995" s="29"/>
      <c r="BN995" s="29"/>
      <c r="BO995" s="29"/>
      <c r="BP995" s="29"/>
      <c r="BQ995" s="29"/>
      <c r="BR995" s="29"/>
      <c r="BS995" s="29"/>
      <c r="BT995" s="29"/>
      <c r="BU995" s="29"/>
      <c r="BV995" s="29"/>
      <c r="BW995" s="29"/>
      <c r="BX995" s="29"/>
      <c r="BY995" s="29"/>
      <c r="BZ995" s="29"/>
      <c r="CA995" s="29"/>
      <c r="CB995" s="29"/>
      <c r="CC995" s="29"/>
      <c r="CD995" s="29"/>
      <c r="CE995" s="29"/>
      <c r="CF995" s="29"/>
      <c r="CG995" s="29"/>
      <c r="CH995" s="29"/>
      <c r="CI995" s="29"/>
      <c r="CJ995" s="29"/>
      <c r="CK995" s="29"/>
      <c r="CL995" s="29"/>
      <c r="CM995" s="29"/>
      <c r="CN995" s="29"/>
      <c r="CO995" s="29"/>
      <c r="CP995" s="29"/>
      <c r="CQ995" s="29"/>
      <c r="CR995" s="29"/>
      <c r="CS995" s="29"/>
      <c r="CT995" s="29"/>
      <c r="CU995" s="29"/>
      <c r="CV995" s="29"/>
      <c r="CW995" s="29"/>
      <c r="CX995" s="29"/>
      <c r="CY995" s="29"/>
      <c r="CZ995" s="29"/>
      <c r="DA995" s="29"/>
      <c r="DB995" s="29"/>
      <c r="DC995" s="29"/>
      <c r="DD995" s="29"/>
      <c r="DE995" s="29"/>
      <c r="DF995" s="29"/>
      <c r="DG995" s="29"/>
      <c r="DH995" s="29"/>
      <c r="DI995" s="29"/>
      <c r="DJ995" s="29"/>
      <c r="DK995" s="29"/>
      <c r="DL995" s="29"/>
      <c r="DM995" s="29"/>
      <c r="DN995" s="29"/>
      <c r="DO995" s="29"/>
      <c r="DP995" s="29"/>
      <c r="DQ995" s="29"/>
      <c r="DR995" s="29"/>
      <c r="DS995" s="29"/>
      <c r="DT995" s="29"/>
      <c r="DU995" s="29"/>
      <c r="DV995" s="29"/>
      <c r="DW995" s="29"/>
      <c r="DX995" s="29"/>
      <c r="DY995" s="29"/>
      <c r="DZ995" s="29"/>
      <c r="EA995" s="29"/>
      <c r="EB995" s="29"/>
      <c r="EC995" s="29"/>
      <c r="ED995" s="29"/>
      <c r="EE995" s="29"/>
      <c r="EF995" s="29"/>
      <c r="EG995" s="29"/>
      <c r="EH995" s="29"/>
      <c r="EI995" s="29"/>
      <c r="EJ995" s="29"/>
      <c r="EK995" s="29"/>
      <c r="EL995" s="29"/>
      <c r="EM995" s="29"/>
      <c r="EN995" s="29"/>
      <c r="EO995" s="29"/>
      <c r="EP995" s="29"/>
      <c r="EQ995" s="29"/>
      <c r="ER995" s="29"/>
      <c r="ES995" s="29"/>
      <c r="ET995" s="29"/>
      <c r="EU995" s="29"/>
      <c r="EV995" s="29"/>
      <c r="EW995" s="29"/>
      <c r="EX995" s="29"/>
      <c r="EY995" s="29"/>
      <c r="EZ995" s="29"/>
      <c r="FA995" s="29"/>
      <c r="FB995" s="29"/>
      <c r="FC995" s="29"/>
      <c r="FD995" s="29"/>
      <c r="FE995" s="29"/>
      <c r="FF995" s="29"/>
      <c r="FG995" s="29"/>
      <c r="FH995" s="29"/>
      <c r="FI995" s="29"/>
      <c r="FJ995" s="29"/>
      <c r="FK995" s="29"/>
      <c r="FL995" s="29"/>
      <c r="FM995" s="29"/>
      <c r="FN995" s="29"/>
      <c r="FO995" s="29"/>
      <c r="FP995" s="29"/>
      <c r="FQ995" s="29"/>
      <c r="FR995" s="29"/>
      <c r="FS995" s="29"/>
      <c r="FT995" s="29"/>
      <c r="FU995" s="29"/>
      <c r="FV995" s="29"/>
      <c r="FW995" s="29"/>
      <c r="FX995" s="29"/>
      <c r="FY995" s="29"/>
      <c r="FZ995" s="29"/>
      <c r="GA995" s="29"/>
      <c r="GB995" s="29"/>
      <c r="GC995" s="29"/>
      <c r="GD995" s="29"/>
      <c r="GE995" s="29"/>
      <c r="GF995" s="29"/>
      <c r="GG995" s="29"/>
      <c r="GH995" s="29"/>
      <c r="GI995" s="29"/>
      <c r="GJ995" s="29"/>
      <c r="GK995" s="29"/>
      <c r="GL995" s="29"/>
      <c r="GM995" s="29"/>
      <c r="GN995" s="29"/>
      <c r="GO995" s="29"/>
      <c r="GP995" s="29"/>
      <c r="GQ995" s="29"/>
      <c r="GR995" s="29"/>
      <c r="GS995" s="29"/>
      <c r="GT995" s="29"/>
      <c r="GU995" s="29"/>
      <c r="GV995" s="29"/>
      <c r="GW995" s="29"/>
      <c r="GX995" s="29"/>
      <c r="GY995" s="29"/>
      <c r="GZ995" s="29"/>
      <c r="HA995" s="29"/>
      <c r="HB995" s="29"/>
      <c r="HC995" s="29"/>
      <c r="HD995" s="29"/>
      <c r="HE995" s="29"/>
      <c r="HF995" s="29"/>
      <c r="HG995" s="29"/>
      <c r="HH995" s="29"/>
      <c r="HI995" s="29"/>
      <c r="HJ995" s="29"/>
      <c r="HK995" s="29"/>
      <c r="HL995" s="29"/>
      <c r="HM995" s="29"/>
      <c r="HN995" s="29"/>
      <c r="HO995" s="29"/>
      <c r="HP995" s="29"/>
      <c r="HQ995" s="29"/>
      <c r="HR995" s="29"/>
      <c r="HS995" s="29"/>
      <c r="HT995" s="29"/>
      <c r="HU995" s="29"/>
      <c r="HV995" s="29"/>
      <c r="HW995" s="29"/>
      <c r="HX995" s="29"/>
      <c r="HY995" s="29"/>
      <c r="HZ995" s="29"/>
      <c r="IA995" s="29"/>
      <c r="IB995" s="29"/>
      <c r="IC995" s="29"/>
      <c r="ID995" s="29"/>
      <c r="IE995" s="29"/>
      <c r="IF995" s="29"/>
      <c r="IG995" s="29"/>
      <c r="IH995" s="29"/>
      <c r="II995" s="29"/>
      <c r="IJ995" s="29"/>
      <c r="IK995" s="29"/>
      <c r="IL995" s="29"/>
      <c r="IM995" s="29"/>
      <c r="IN995" s="29"/>
      <c r="IO995" s="29"/>
      <c r="IP995" s="29"/>
      <c r="IQ995" s="29"/>
      <c r="IR995" s="29"/>
      <c r="IS995" s="29"/>
      <c r="IT995" s="29"/>
      <c r="IU995" s="29"/>
      <c r="IV995" s="29"/>
      <c r="IW995" s="29"/>
      <c r="IX995" s="29"/>
      <c r="IY995" s="29"/>
      <c r="IZ995" s="29"/>
      <c r="JA995" s="29"/>
      <c r="JB995" s="29"/>
      <c r="JC995" s="29"/>
      <c r="JD995" s="29"/>
      <c r="JE995" s="29"/>
      <c r="JF995" s="29"/>
      <c r="JG995" s="29"/>
      <c r="JH995" s="29"/>
      <c r="JI995" s="29"/>
      <c r="JJ995" s="29"/>
      <c r="JK995" s="29"/>
      <c r="JL995" s="29"/>
    </row>
    <row r="996" spans="1:272" ht="38.25" customHeight="1">
      <c r="A996" s="30" t="s">
        <v>71</v>
      </c>
      <c r="B996" s="30" t="s">
        <v>116</v>
      </c>
      <c r="C996" s="30" t="s">
        <v>144</v>
      </c>
      <c r="D996" s="30" t="s">
        <v>2458</v>
      </c>
      <c r="E996" s="30" t="s">
        <v>288</v>
      </c>
      <c r="F996" s="30" t="s">
        <v>2459</v>
      </c>
      <c r="G996" s="30" t="s">
        <v>111</v>
      </c>
      <c r="H996" s="30">
        <v>561320</v>
      </c>
      <c r="I996" s="30" t="s">
        <v>98</v>
      </c>
      <c r="J996" s="129" t="s">
        <v>3403</v>
      </c>
      <c r="K996" s="30" t="s">
        <v>61</v>
      </c>
      <c r="L996" s="30" t="s">
        <v>2460</v>
      </c>
      <c r="M996" s="45">
        <v>42632</v>
      </c>
      <c r="N996" s="45">
        <v>42632</v>
      </c>
      <c r="O996" s="30"/>
      <c r="P996" s="30" t="s">
        <v>2461</v>
      </c>
      <c r="Q996" s="129" t="s">
        <v>3424</v>
      </c>
      <c r="R996" s="30"/>
      <c r="S996" s="41">
        <v>2014</v>
      </c>
      <c r="T996" s="31" t="s">
        <v>2462</v>
      </c>
      <c r="U996" s="31" t="s">
        <v>2463</v>
      </c>
      <c r="V996" s="49" t="s">
        <v>2464</v>
      </c>
      <c r="W996" s="129" t="s">
        <v>151</v>
      </c>
      <c r="X996" s="87">
        <v>41730</v>
      </c>
      <c r="Y996" s="87">
        <v>41852</v>
      </c>
      <c r="Z996" s="87">
        <v>41912</v>
      </c>
      <c r="AA996" s="30"/>
      <c r="AE996" s="29"/>
      <c r="AF996" s="29"/>
      <c r="AG996" s="29"/>
      <c r="AH996" s="29"/>
      <c r="AI996" s="29"/>
      <c r="AJ996" s="29"/>
      <c r="AK996" s="29"/>
      <c r="AL996" s="29"/>
      <c r="AM996" s="29"/>
      <c r="AN996" s="29"/>
      <c r="AO996" s="29"/>
      <c r="AP996" s="29"/>
      <c r="AQ996" s="29"/>
      <c r="AR996" s="29"/>
      <c r="AS996" s="29"/>
      <c r="AT996" s="29"/>
      <c r="AU996" s="29"/>
      <c r="AV996" s="29"/>
      <c r="AW996" s="29"/>
      <c r="AX996" s="29"/>
      <c r="AY996" s="29"/>
      <c r="AZ996" s="29"/>
      <c r="BA996" s="29"/>
      <c r="BB996" s="29"/>
      <c r="BC996" s="29"/>
      <c r="BD996" s="29"/>
      <c r="BE996" s="29"/>
      <c r="BF996" s="29"/>
      <c r="BG996" s="29"/>
      <c r="BH996" s="29"/>
      <c r="BI996" s="29"/>
      <c r="BJ996" s="29"/>
      <c r="BK996" s="29"/>
      <c r="BL996" s="29"/>
      <c r="BM996" s="29"/>
      <c r="BN996" s="29"/>
      <c r="BO996" s="29"/>
      <c r="BP996" s="29"/>
      <c r="BQ996" s="29"/>
      <c r="BR996" s="29"/>
      <c r="BS996" s="29"/>
      <c r="BT996" s="29"/>
      <c r="BU996" s="29"/>
      <c r="BV996" s="29"/>
      <c r="BW996" s="29"/>
      <c r="BX996" s="29"/>
      <c r="BY996" s="29"/>
      <c r="BZ996" s="29"/>
      <c r="CA996" s="29"/>
      <c r="CB996" s="29"/>
      <c r="CC996" s="29"/>
      <c r="CD996" s="29"/>
      <c r="CE996" s="29"/>
      <c r="CF996" s="29"/>
      <c r="CG996" s="29"/>
      <c r="CH996" s="29"/>
      <c r="CI996" s="29"/>
      <c r="CJ996" s="29"/>
      <c r="CK996" s="29"/>
      <c r="CL996" s="29"/>
      <c r="CM996" s="29"/>
      <c r="CN996" s="29"/>
      <c r="CO996" s="29"/>
      <c r="CP996" s="29"/>
      <c r="CQ996" s="29"/>
      <c r="CR996" s="29"/>
      <c r="CS996" s="29"/>
      <c r="CT996" s="29"/>
      <c r="CU996" s="29"/>
      <c r="CV996" s="29"/>
      <c r="CW996" s="29"/>
      <c r="CX996" s="29"/>
      <c r="CY996" s="29"/>
      <c r="CZ996" s="29"/>
      <c r="DA996" s="29"/>
      <c r="DB996" s="29"/>
      <c r="DC996" s="29"/>
      <c r="DD996" s="29"/>
      <c r="DE996" s="29"/>
      <c r="DF996" s="29"/>
      <c r="DG996" s="29"/>
      <c r="DH996" s="29"/>
      <c r="DI996" s="29"/>
      <c r="DJ996" s="29"/>
      <c r="DK996" s="29"/>
      <c r="DL996" s="29"/>
      <c r="DM996" s="29"/>
      <c r="DN996" s="29"/>
      <c r="DO996" s="29"/>
      <c r="DP996" s="29"/>
      <c r="DQ996" s="29"/>
      <c r="DR996" s="29"/>
      <c r="DS996" s="29"/>
      <c r="DT996" s="29"/>
      <c r="DU996" s="29"/>
      <c r="DV996" s="29"/>
      <c r="DW996" s="29"/>
      <c r="DX996" s="29"/>
      <c r="DY996" s="29"/>
      <c r="DZ996" s="29"/>
      <c r="EA996" s="29"/>
      <c r="EB996" s="29"/>
      <c r="EC996" s="29"/>
      <c r="ED996" s="29"/>
      <c r="EE996" s="29"/>
      <c r="EF996" s="29"/>
      <c r="EG996" s="29"/>
      <c r="EH996" s="29"/>
      <c r="EI996" s="29"/>
      <c r="EJ996" s="29"/>
      <c r="EK996" s="29"/>
      <c r="EL996" s="29"/>
      <c r="EM996" s="29"/>
      <c r="EN996" s="29"/>
      <c r="EO996" s="29"/>
      <c r="EP996" s="29"/>
      <c r="EQ996" s="29"/>
      <c r="ER996" s="29"/>
      <c r="ES996" s="29"/>
      <c r="ET996" s="29"/>
      <c r="EU996" s="29"/>
      <c r="EV996" s="29"/>
      <c r="EW996" s="29"/>
      <c r="EX996" s="29"/>
      <c r="EY996" s="29"/>
      <c r="EZ996" s="29"/>
      <c r="FA996" s="29"/>
      <c r="FB996" s="29"/>
      <c r="FC996" s="29"/>
      <c r="FD996" s="29"/>
      <c r="FE996" s="29"/>
      <c r="FF996" s="29"/>
      <c r="FG996" s="29"/>
      <c r="FH996" s="29"/>
      <c r="FI996" s="29"/>
      <c r="FJ996" s="29"/>
      <c r="FK996" s="29"/>
      <c r="FL996" s="29"/>
      <c r="FM996" s="29"/>
      <c r="FN996" s="29"/>
      <c r="FO996" s="29"/>
      <c r="FP996" s="29"/>
      <c r="FQ996" s="29"/>
      <c r="FR996" s="29"/>
      <c r="FS996" s="29"/>
      <c r="FT996" s="29"/>
      <c r="FU996" s="29"/>
      <c r="FV996" s="29"/>
      <c r="FW996" s="29"/>
      <c r="FX996" s="29"/>
      <c r="FY996" s="29"/>
      <c r="FZ996" s="29"/>
      <c r="GA996" s="29"/>
      <c r="GB996" s="29"/>
      <c r="GC996" s="29"/>
      <c r="GD996" s="29"/>
      <c r="GE996" s="29"/>
      <c r="GF996" s="29"/>
      <c r="GG996" s="29"/>
      <c r="GH996" s="29"/>
      <c r="GI996" s="29"/>
      <c r="GJ996" s="29"/>
      <c r="GK996" s="29"/>
      <c r="GL996" s="29"/>
      <c r="GM996" s="29"/>
      <c r="GN996" s="29"/>
      <c r="GO996" s="29"/>
      <c r="GP996" s="29"/>
      <c r="GQ996" s="29"/>
      <c r="GR996" s="29"/>
      <c r="GS996" s="29"/>
      <c r="GT996" s="29"/>
      <c r="GU996" s="29"/>
      <c r="GV996" s="29"/>
      <c r="GW996" s="29"/>
      <c r="GX996" s="29"/>
      <c r="GY996" s="29"/>
      <c r="GZ996" s="29"/>
      <c r="HA996" s="29"/>
      <c r="HB996" s="29"/>
      <c r="HC996" s="29"/>
      <c r="HD996" s="29"/>
      <c r="HE996" s="29"/>
      <c r="HF996" s="29"/>
      <c r="HG996" s="29"/>
      <c r="HH996" s="29"/>
      <c r="HI996" s="29"/>
      <c r="HJ996" s="29"/>
      <c r="HK996" s="29"/>
      <c r="HL996" s="29"/>
      <c r="HM996" s="29"/>
      <c r="HN996" s="29"/>
      <c r="HO996" s="29"/>
      <c r="HP996" s="29"/>
      <c r="HQ996" s="29"/>
      <c r="HR996" s="29"/>
      <c r="HS996" s="29"/>
      <c r="HT996" s="29"/>
      <c r="HU996" s="29"/>
      <c r="HV996" s="29"/>
      <c r="HW996" s="29"/>
      <c r="HX996" s="29"/>
      <c r="HY996" s="29"/>
      <c r="HZ996" s="29"/>
      <c r="IA996" s="29"/>
      <c r="IB996" s="29"/>
      <c r="IC996" s="29"/>
      <c r="ID996" s="29"/>
      <c r="IE996" s="29"/>
      <c r="IF996" s="29"/>
      <c r="IG996" s="29"/>
      <c r="IH996" s="29"/>
      <c r="II996" s="29"/>
      <c r="IJ996" s="29"/>
      <c r="IK996" s="29"/>
      <c r="IL996" s="29"/>
      <c r="IM996" s="29"/>
      <c r="IN996" s="29"/>
      <c r="IO996" s="29"/>
      <c r="IP996" s="29"/>
      <c r="IQ996" s="29"/>
      <c r="IR996" s="29"/>
      <c r="IS996" s="29"/>
      <c r="IT996" s="29"/>
      <c r="IU996" s="29"/>
      <c r="IV996" s="29"/>
      <c r="IW996" s="29"/>
      <c r="IX996" s="29"/>
      <c r="IY996" s="29"/>
      <c r="IZ996" s="29"/>
      <c r="JA996" s="29"/>
      <c r="JB996" s="29"/>
      <c r="JC996" s="29"/>
      <c r="JD996" s="29"/>
      <c r="JE996" s="29"/>
      <c r="JF996" s="29"/>
      <c r="JG996" s="29"/>
      <c r="JH996" s="29"/>
      <c r="JI996" s="29"/>
      <c r="JJ996" s="29"/>
      <c r="JK996" s="29"/>
      <c r="JL996" s="29"/>
    </row>
    <row r="997" spans="1:272" ht="38.25" customHeight="1">
      <c r="A997" s="30" t="s">
        <v>71</v>
      </c>
      <c r="B997" s="30" t="s">
        <v>116</v>
      </c>
      <c r="C997" s="30" t="s">
        <v>144</v>
      </c>
      <c r="D997" s="30" t="s">
        <v>2465</v>
      </c>
      <c r="E997" s="30" t="s">
        <v>288</v>
      </c>
      <c r="F997" s="30" t="s">
        <v>1696</v>
      </c>
      <c r="G997" s="30" t="s">
        <v>225</v>
      </c>
      <c r="H997" s="30">
        <v>541611</v>
      </c>
      <c r="I997" s="30" t="s">
        <v>98</v>
      </c>
      <c r="J997" s="30" t="s">
        <v>129</v>
      </c>
      <c r="K997" s="30" t="s">
        <v>2466</v>
      </c>
      <c r="L997" s="30"/>
      <c r="M997" s="45">
        <v>171000</v>
      </c>
      <c r="N997" s="45">
        <v>171000</v>
      </c>
      <c r="O997" s="30"/>
      <c r="P997" s="30" t="s">
        <v>2327</v>
      </c>
      <c r="Q997" s="129" t="s">
        <v>867</v>
      </c>
      <c r="R997" s="30"/>
      <c r="S997" s="41"/>
      <c r="T997" s="31" t="s">
        <v>2467</v>
      </c>
      <c r="U997" s="31" t="s">
        <v>2468</v>
      </c>
      <c r="V997" s="49" t="s">
        <v>2469</v>
      </c>
      <c r="W997" s="129" t="s">
        <v>151</v>
      </c>
      <c r="X997" s="30"/>
      <c r="Y997" s="30"/>
      <c r="Z997" s="30"/>
      <c r="AA997" s="30"/>
      <c r="AE997" s="29"/>
      <c r="AF997" s="29"/>
      <c r="AG997" s="29"/>
      <c r="AH997" s="29"/>
      <c r="AI997" s="29"/>
      <c r="AJ997" s="29"/>
      <c r="AK997" s="29"/>
      <c r="AL997" s="29"/>
      <c r="AM997" s="29"/>
      <c r="AN997" s="29"/>
      <c r="AO997" s="29"/>
      <c r="AP997" s="29"/>
      <c r="AQ997" s="29"/>
      <c r="AR997" s="29"/>
      <c r="AS997" s="29"/>
      <c r="AT997" s="29"/>
      <c r="AU997" s="29"/>
      <c r="AV997" s="29"/>
      <c r="AW997" s="29"/>
      <c r="AX997" s="29"/>
      <c r="AY997" s="29"/>
      <c r="AZ997" s="29"/>
      <c r="BA997" s="29"/>
      <c r="BB997" s="29"/>
      <c r="BC997" s="29"/>
      <c r="BD997" s="29"/>
      <c r="BE997" s="29"/>
      <c r="BF997" s="29"/>
      <c r="BG997" s="29"/>
      <c r="BH997" s="29"/>
      <c r="BI997" s="29"/>
      <c r="BJ997" s="29"/>
      <c r="BK997" s="29"/>
      <c r="BL997" s="29"/>
      <c r="BM997" s="29"/>
      <c r="BN997" s="29"/>
      <c r="BO997" s="29"/>
      <c r="BP997" s="29"/>
      <c r="BQ997" s="29"/>
      <c r="BR997" s="29"/>
      <c r="BS997" s="29"/>
      <c r="BT997" s="29"/>
      <c r="BU997" s="29"/>
      <c r="BV997" s="29"/>
      <c r="BW997" s="29"/>
      <c r="BX997" s="29"/>
      <c r="BY997" s="29"/>
      <c r="BZ997" s="29"/>
      <c r="CA997" s="29"/>
      <c r="CB997" s="29"/>
      <c r="CC997" s="29"/>
      <c r="CD997" s="29"/>
      <c r="CE997" s="29"/>
      <c r="CF997" s="29"/>
      <c r="CG997" s="29"/>
      <c r="CH997" s="29"/>
      <c r="CI997" s="29"/>
      <c r="CJ997" s="29"/>
      <c r="CK997" s="29"/>
      <c r="CL997" s="29"/>
      <c r="CM997" s="29"/>
      <c r="CN997" s="29"/>
      <c r="CO997" s="29"/>
      <c r="CP997" s="29"/>
      <c r="CQ997" s="29"/>
      <c r="CR997" s="29"/>
      <c r="CS997" s="29"/>
      <c r="CT997" s="29"/>
      <c r="CU997" s="29"/>
      <c r="CV997" s="29"/>
      <c r="CW997" s="29"/>
      <c r="CX997" s="29"/>
      <c r="CY997" s="29"/>
      <c r="CZ997" s="29"/>
      <c r="DA997" s="29"/>
      <c r="DB997" s="29"/>
      <c r="DC997" s="29"/>
      <c r="DD997" s="29"/>
      <c r="DE997" s="29"/>
      <c r="DF997" s="29"/>
      <c r="DG997" s="29"/>
      <c r="DH997" s="29"/>
      <c r="DI997" s="29"/>
      <c r="DJ997" s="29"/>
      <c r="DK997" s="29"/>
      <c r="DL997" s="29"/>
      <c r="DM997" s="29"/>
      <c r="DN997" s="29"/>
      <c r="DO997" s="29"/>
      <c r="DP997" s="29"/>
      <c r="DQ997" s="29"/>
      <c r="DR997" s="29"/>
      <c r="DS997" s="29"/>
      <c r="DT997" s="29"/>
      <c r="DU997" s="29"/>
      <c r="DV997" s="29"/>
      <c r="DW997" s="29"/>
      <c r="DX997" s="29"/>
      <c r="DY997" s="29"/>
      <c r="DZ997" s="29"/>
      <c r="EA997" s="29"/>
      <c r="EB997" s="29"/>
      <c r="EC997" s="29"/>
      <c r="ED997" s="29"/>
      <c r="EE997" s="29"/>
      <c r="EF997" s="29"/>
      <c r="EG997" s="29"/>
      <c r="EH997" s="29"/>
      <c r="EI997" s="29"/>
      <c r="EJ997" s="29"/>
      <c r="EK997" s="29"/>
      <c r="EL997" s="29"/>
      <c r="EM997" s="29"/>
      <c r="EN997" s="29"/>
      <c r="EO997" s="29"/>
      <c r="EP997" s="29"/>
      <c r="EQ997" s="29"/>
      <c r="ER997" s="29"/>
      <c r="ES997" s="29"/>
      <c r="ET997" s="29"/>
      <c r="EU997" s="29"/>
      <c r="EV997" s="29"/>
      <c r="EW997" s="29"/>
      <c r="EX997" s="29"/>
      <c r="EY997" s="29"/>
      <c r="EZ997" s="29"/>
      <c r="FA997" s="29"/>
      <c r="FB997" s="29"/>
      <c r="FC997" s="29"/>
      <c r="FD997" s="29"/>
      <c r="FE997" s="29"/>
      <c r="FF997" s="29"/>
      <c r="FG997" s="29"/>
      <c r="FH997" s="29"/>
      <c r="FI997" s="29"/>
      <c r="FJ997" s="29"/>
      <c r="FK997" s="29"/>
      <c r="FL997" s="29"/>
      <c r="FM997" s="29"/>
      <c r="FN997" s="29"/>
      <c r="FO997" s="29"/>
      <c r="FP997" s="29"/>
      <c r="FQ997" s="29"/>
      <c r="FR997" s="29"/>
      <c r="FS997" s="29"/>
      <c r="FT997" s="29"/>
      <c r="FU997" s="29"/>
      <c r="FV997" s="29"/>
      <c r="FW997" s="29"/>
      <c r="FX997" s="29"/>
      <c r="FY997" s="29"/>
      <c r="FZ997" s="29"/>
      <c r="GA997" s="29"/>
      <c r="GB997" s="29"/>
      <c r="GC997" s="29"/>
      <c r="GD997" s="29"/>
      <c r="GE997" s="29"/>
      <c r="GF997" s="29"/>
      <c r="GG997" s="29"/>
      <c r="GH997" s="29"/>
      <c r="GI997" s="29"/>
      <c r="GJ997" s="29"/>
      <c r="GK997" s="29"/>
      <c r="GL997" s="29"/>
      <c r="GM997" s="29"/>
      <c r="GN997" s="29"/>
      <c r="GO997" s="29"/>
      <c r="GP997" s="29"/>
      <c r="GQ997" s="29"/>
      <c r="GR997" s="29"/>
      <c r="GS997" s="29"/>
      <c r="GT997" s="29"/>
      <c r="GU997" s="29"/>
      <c r="GV997" s="29"/>
      <c r="GW997" s="29"/>
      <c r="GX997" s="29"/>
      <c r="GY997" s="29"/>
      <c r="GZ997" s="29"/>
      <c r="HA997" s="29"/>
      <c r="HB997" s="29"/>
      <c r="HC997" s="29"/>
      <c r="HD997" s="29"/>
      <c r="HE997" s="29"/>
      <c r="HF997" s="29"/>
      <c r="HG997" s="29"/>
      <c r="HH997" s="29"/>
      <c r="HI997" s="29"/>
      <c r="HJ997" s="29"/>
      <c r="HK997" s="29"/>
      <c r="HL997" s="29"/>
      <c r="HM997" s="29"/>
      <c r="HN997" s="29"/>
      <c r="HO997" s="29"/>
      <c r="HP997" s="29"/>
      <c r="HQ997" s="29"/>
      <c r="HR997" s="29"/>
      <c r="HS997" s="29"/>
      <c r="HT997" s="29"/>
      <c r="HU997" s="29"/>
      <c r="HV997" s="29"/>
      <c r="HW997" s="29"/>
      <c r="HX997" s="29"/>
      <c r="HY997" s="29"/>
      <c r="HZ997" s="29"/>
      <c r="IA997" s="29"/>
      <c r="IB997" s="29"/>
      <c r="IC997" s="29"/>
      <c r="ID997" s="29"/>
      <c r="IE997" s="29"/>
      <c r="IF997" s="29"/>
      <c r="IG997" s="29"/>
      <c r="IH997" s="29"/>
      <c r="II997" s="29"/>
      <c r="IJ997" s="29"/>
      <c r="IK997" s="29"/>
      <c r="IL997" s="29"/>
      <c r="IM997" s="29"/>
      <c r="IN997" s="29"/>
      <c r="IO997" s="29"/>
      <c r="IP997" s="29"/>
      <c r="IQ997" s="29"/>
      <c r="IR997" s="29"/>
      <c r="IS997" s="29"/>
      <c r="IT997" s="29"/>
      <c r="IU997" s="29"/>
      <c r="IV997" s="29"/>
      <c r="IW997" s="29"/>
      <c r="IX997" s="29"/>
      <c r="IY997" s="29"/>
      <c r="IZ997" s="29"/>
      <c r="JA997" s="29"/>
      <c r="JB997" s="29"/>
      <c r="JC997" s="29"/>
      <c r="JD997" s="29"/>
      <c r="JE997" s="29"/>
      <c r="JF997" s="29"/>
      <c r="JG997" s="29"/>
      <c r="JH997" s="29"/>
      <c r="JI997" s="29"/>
      <c r="JJ997" s="29"/>
      <c r="JK997" s="29"/>
      <c r="JL997" s="29"/>
    </row>
    <row r="998" spans="1:272" ht="38.25" customHeight="1">
      <c r="A998" s="30" t="s">
        <v>71</v>
      </c>
      <c r="B998" s="30" t="s">
        <v>116</v>
      </c>
      <c r="C998" s="30" t="s">
        <v>144</v>
      </c>
      <c r="D998" s="30" t="s">
        <v>2470</v>
      </c>
      <c r="E998" s="30" t="s">
        <v>288</v>
      </c>
      <c r="F998" s="30" t="s">
        <v>2459</v>
      </c>
      <c r="G998" s="30" t="s">
        <v>111</v>
      </c>
      <c r="H998" s="30">
        <v>541611</v>
      </c>
      <c r="I998" s="30" t="s">
        <v>98</v>
      </c>
      <c r="J998" s="30" t="s">
        <v>2471</v>
      </c>
      <c r="K998" s="30" t="s">
        <v>61</v>
      </c>
      <c r="L998" s="30"/>
      <c r="M998" s="45">
        <v>405336</v>
      </c>
      <c r="N998" s="45">
        <v>405336</v>
      </c>
      <c r="O998" s="30"/>
      <c r="P998" s="30" t="s">
        <v>2472</v>
      </c>
      <c r="Q998" s="129" t="s">
        <v>867</v>
      </c>
      <c r="R998" s="30"/>
      <c r="S998" s="41"/>
      <c r="T998" s="31" t="s">
        <v>2473</v>
      </c>
      <c r="U998" s="31" t="s">
        <v>2474</v>
      </c>
      <c r="V998" s="49" t="s">
        <v>2475</v>
      </c>
      <c r="W998" s="129" t="s">
        <v>151</v>
      </c>
      <c r="X998" s="88"/>
      <c r="Y998" s="88"/>
      <c r="Z998" s="88"/>
      <c r="AA998" s="30"/>
      <c r="AE998" s="29"/>
      <c r="AF998" s="29"/>
      <c r="AG998" s="29"/>
      <c r="AH998" s="29"/>
      <c r="AI998" s="29"/>
      <c r="AJ998" s="29"/>
      <c r="AK998" s="29"/>
      <c r="AL998" s="29"/>
      <c r="AM998" s="29"/>
      <c r="AN998" s="29"/>
      <c r="AO998" s="29"/>
      <c r="AP998" s="29"/>
      <c r="AQ998" s="29"/>
      <c r="AR998" s="29"/>
      <c r="AS998" s="29"/>
      <c r="AT998" s="29"/>
      <c r="AU998" s="29"/>
      <c r="AV998" s="29"/>
      <c r="AW998" s="29"/>
      <c r="AX998" s="29"/>
      <c r="AY998" s="29"/>
      <c r="AZ998" s="29"/>
      <c r="BA998" s="29"/>
      <c r="BB998" s="29"/>
      <c r="BC998" s="29"/>
      <c r="BD998" s="29"/>
      <c r="BE998" s="29"/>
      <c r="BF998" s="29"/>
      <c r="BG998" s="29"/>
      <c r="BH998" s="29"/>
      <c r="BI998" s="29"/>
      <c r="BJ998" s="29"/>
      <c r="BK998" s="29"/>
      <c r="BL998" s="29"/>
      <c r="BM998" s="29"/>
      <c r="BN998" s="29"/>
      <c r="BO998" s="29"/>
      <c r="BP998" s="29"/>
      <c r="BQ998" s="29"/>
      <c r="BR998" s="29"/>
      <c r="BS998" s="29"/>
      <c r="BT998" s="29"/>
      <c r="BU998" s="29"/>
      <c r="BV998" s="29"/>
      <c r="BW998" s="29"/>
      <c r="BX998" s="29"/>
      <c r="BY998" s="29"/>
      <c r="BZ998" s="29"/>
      <c r="CA998" s="29"/>
      <c r="CB998" s="29"/>
      <c r="CC998" s="29"/>
      <c r="CD998" s="29"/>
      <c r="CE998" s="29"/>
      <c r="CF998" s="29"/>
      <c r="CG998" s="29"/>
      <c r="CH998" s="29"/>
      <c r="CI998" s="29"/>
      <c r="CJ998" s="29"/>
      <c r="CK998" s="29"/>
      <c r="CL998" s="29"/>
      <c r="CM998" s="29"/>
      <c r="CN998" s="29"/>
      <c r="CO998" s="29"/>
      <c r="CP998" s="29"/>
      <c r="CQ998" s="29"/>
      <c r="CR998" s="29"/>
      <c r="CS998" s="29"/>
      <c r="CT998" s="29"/>
      <c r="CU998" s="29"/>
      <c r="CV998" s="29"/>
      <c r="CW998" s="29"/>
      <c r="CX998" s="29"/>
      <c r="CY998" s="29"/>
      <c r="CZ998" s="29"/>
      <c r="DA998" s="29"/>
      <c r="DB998" s="29"/>
      <c r="DC998" s="29"/>
      <c r="DD998" s="29"/>
      <c r="DE998" s="29"/>
      <c r="DF998" s="29"/>
      <c r="DG998" s="29"/>
      <c r="DH998" s="29"/>
      <c r="DI998" s="29"/>
      <c r="DJ998" s="29"/>
      <c r="DK998" s="29"/>
      <c r="DL998" s="29"/>
      <c r="DM998" s="29"/>
      <c r="DN998" s="29"/>
      <c r="DO998" s="29"/>
      <c r="DP998" s="29"/>
      <c r="DQ998" s="29"/>
      <c r="DR998" s="29"/>
      <c r="DS998" s="29"/>
      <c r="DT998" s="29"/>
      <c r="DU998" s="29"/>
      <c r="DV998" s="29"/>
      <c r="DW998" s="29"/>
      <c r="DX998" s="29"/>
      <c r="DY998" s="29"/>
      <c r="DZ998" s="29"/>
      <c r="EA998" s="29"/>
      <c r="EB998" s="29"/>
      <c r="EC998" s="29"/>
      <c r="ED998" s="29"/>
      <c r="EE998" s="29"/>
      <c r="EF998" s="29"/>
      <c r="EG998" s="29"/>
      <c r="EH998" s="29"/>
      <c r="EI998" s="29"/>
      <c r="EJ998" s="29"/>
      <c r="EK998" s="29"/>
      <c r="EL998" s="29"/>
      <c r="EM998" s="29"/>
      <c r="EN998" s="29"/>
      <c r="EO998" s="29"/>
      <c r="EP998" s="29"/>
      <c r="EQ998" s="29"/>
      <c r="ER998" s="29"/>
      <c r="ES998" s="29"/>
      <c r="ET998" s="29"/>
      <c r="EU998" s="29"/>
      <c r="EV998" s="29"/>
      <c r="EW998" s="29"/>
      <c r="EX998" s="29"/>
      <c r="EY998" s="29"/>
      <c r="EZ998" s="29"/>
      <c r="FA998" s="29"/>
      <c r="FB998" s="29"/>
      <c r="FC998" s="29"/>
      <c r="FD998" s="29"/>
      <c r="FE998" s="29"/>
      <c r="FF998" s="29"/>
      <c r="FG998" s="29"/>
      <c r="FH998" s="29"/>
      <c r="FI998" s="29"/>
      <c r="FJ998" s="29"/>
      <c r="FK998" s="29"/>
      <c r="FL998" s="29"/>
      <c r="FM998" s="29"/>
      <c r="FN998" s="29"/>
      <c r="FO998" s="29"/>
      <c r="FP998" s="29"/>
      <c r="FQ998" s="29"/>
      <c r="FR998" s="29"/>
      <c r="FS998" s="29"/>
      <c r="FT998" s="29"/>
      <c r="FU998" s="29"/>
      <c r="FV998" s="29"/>
      <c r="FW998" s="29"/>
      <c r="FX998" s="29"/>
      <c r="FY998" s="29"/>
      <c r="FZ998" s="29"/>
      <c r="GA998" s="29"/>
      <c r="GB998" s="29"/>
      <c r="GC998" s="29"/>
      <c r="GD998" s="29"/>
      <c r="GE998" s="29"/>
      <c r="GF998" s="29"/>
      <c r="GG998" s="29"/>
      <c r="GH998" s="29"/>
      <c r="GI998" s="29"/>
      <c r="GJ998" s="29"/>
      <c r="GK998" s="29"/>
      <c r="GL998" s="29"/>
      <c r="GM998" s="29"/>
      <c r="GN998" s="29"/>
      <c r="GO998" s="29"/>
      <c r="GP998" s="29"/>
      <c r="GQ998" s="29"/>
      <c r="GR998" s="29"/>
      <c r="GS998" s="29"/>
      <c r="GT998" s="29"/>
      <c r="GU998" s="29"/>
      <c r="GV998" s="29"/>
      <c r="GW998" s="29"/>
      <c r="GX998" s="29"/>
      <c r="GY998" s="29"/>
      <c r="GZ998" s="29"/>
      <c r="HA998" s="29"/>
      <c r="HB998" s="29"/>
      <c r="HC998" s="29"/>
      <c r="HD998" s="29"/>
      <c r="HE998" s="29"/>
      <c r="HF998" s="29"/>
      <c r="HG998" s="29"/>
      <c r="HH998" s="29"/>
      <c r="HI998" s="29"/>
      <c r="HJ998" s="29"/>
      <c r="HK998" s="29"/>
      <c r="HL998" s="29"/>
      <c r="HM998" s="29"/>
      <c r="HN998" s="29"/>
      <c r="HO998" s="29"/>
      <c r="HP998" s="29"/>
      <c r="HQ998" s="29"/>
      <c r="HR998" s="29"/>
      <c r="HS998" s="29"/>
      <c r="HT998" s="29"/>
      <c r="HU998" s="29"/>
      <c r="HV998" s="29"/>
      <c r="HW998" s="29"/>
      <c r="HX998" s="29"/>
      <c r="HY998" s="29"/>
      <c r="HZ998" s="29"/>
      <c r="IA998" s="29"/>
      <c r="IB998" s="29"/>
      <c r="IC998" s="29"/>
      <c r="ID998" s="29"/>
      <c r="IE998" s="29"/>
      <c r="IF998" s="29"/>
      <c r="IG998" s="29"/>
      <c r="IH998" s="29"/>
      <c r="II998" s="29"/>
      <c r="IJ998" s="29"/>
      <c r="IK998" s="29"/>
      <c r="IL998" s="29"/>
      <c r="IM998" s="29"/>
      <c r="IN998" s="29"/>
      <c r="IO998" s="29"/>
      <c r="IP998" s="29"/>
      <c r="IQ998" s="29"/>
      <c r="IR998" s="29"/>
      <c r="IS998" s="29"/>
      <c r="IT998" s="29"/>
      <c r="IU998" s="29"/>
      <c r="IV998" s="29"/>
      <c r="IW998" s="29"/>
      <c r="IX998" s="29"/>
      <c r="IY998" s="29"/>
      <c r="IZ998" s="29"/>
      <c r="JA998" s="29"/>
      <c r="JB998" s="29"/>
      <c r="JC998" s="29"/>
      <c r="JD998" s="29"/>
      <c r="JE998" s="29"/>
      <c r="JF998" s="29"/>
      <c r="JG998" s="29"/>
      <c r="JH998" s="29"/>
      <c r="JI998" s="29"/>
      <c r="JJ998" s="29"/>
      <c r="JK998" s="29"/>
      <c r="JL998" s="29"/>
    </row>
    <row r="999" spans="1:272" ht="38.25" customHeight="1">
      <c r="A999" s="30" t="s">
        <v>71</v>
      </c>
      <c r="B999" s="30" t="s">
        <v>116</v>
      </c>
      <c r="C999" s="30" t="s">
        <v>144</v>
      </c>
      <c r="D999" s="30" t="s">
        <v>2476</v>
      </c>
      <c r="E999" s="30" t="s">
        <v>288</v>
      </c>
      <c r="F999" s="129" t="s">
        <v>3374</v>
      </c>
      <c r="G999" s="30" t="s">
        <v>2477</v>
      </c>
      <c r="H999" s="30">
        <v>561499</v>
      </c>
      <c r="I999" s="30" t="s">
        <v>1158</v>
      </c>
      <c r="J999" s="30" t="s">
        <v>2471</v>
      </c>
      <c r="K999" s="30" t="s">
        <v>61</v>
      </c>
      <c r="L999" s="30"/>
      <c r="M999" s="39">
        <v>300000</v>
      </c>
      <c r="N999" s="39">
        <v>350000</v>
      </c>
      <c r="O999" s="30"/>
      <c r="P999" s="30" t="s">
        <v>2478</v>
      </c>
      <c r="Q999" s="152" t="s">
        <v>294</v>
      </c>
      <c r="R999" s="30"/>
      <c r="S999" s="30"/>
      <c r="T999" s="184" t="s">
        <v>2479</v>
      </c>
      <c r="U999" s="180" t="s">
        <v>3441</v>
      </c>
      <c r="V999" s="192" t="s">
        <v>3445</v>
      </c>
      <c r="W999" s="129" t="s">
        <v>151</v>
      </c>
      <c r="X999" s="30"/>
      <c r="Y999" s="30"/>
      <c r="Z999" s="30"/>
      <c r="AA999" s="30"/>
      <c r="AE999" s="29"/>
      <c r="AF999" s="29"/>
      <c r="AG999" s="29"/>
      <c r="AH999" s="29"/>
      <c r="AI999" s="29"/>
      <c r="AJ999" s="29"/>
      <c r="AK999" s="29"/>
      <c r="AL999" s="29"/>
      <c r="AM999" s="29"/>
      <c r="AN999" s="29"/>
      <c r="AO999" s="29"/>
      <c r="AP999" s="29"/>
      <c r="AQ999" s="29"/>
      <c r="AR999" s="29"/>
      <c r="AS999" s="29"/>
      <c r="AT999" s="29"/>
      <c r="AU999" s="29"/>
      <c r="AV999" s="29"/>
      <c r="AW999" s="29"/>
      <c r="AX999" s="29"/>
      <c r="AY999" s="29"/>
      <c r="AZ999" s="29"/>
      <c r="BA999" s="29"/>
      <c r="BB999" s="29"/>
      <c r="BC999" s="29"/>
      <c r="BD999" s="29"/>
      <c r="BE999" s="29"/>
      <c r="BF999" s="29"/>
      <c r="BG999" s="29"/>
      <c r="BH999" s="29"/>
      <c r="BI999" s="29"/>
      <c r="BJ999" s="29"/>
      <c r="BK999" s="29"/>
      <c r="BL999" s="29"/>
      <c r="BM999" s="29"/>
      <c r="BN999" s="29"/>
      <c r="BO999" s="29"/>
      <c r="BP999" s="29"/>
      <c r="BQ999" s="29"/>
      <c r="BR999" s="29"/>
      <c r="BS999" s="29"/>
      <c r="BT999" s="29"/>
      <c r="BU999" s="29"/>
      <c r="BV999" s="29"/>
      <c r="BW999" s="29"/>
      <c r="BX999" s="29"/>
      <c r="BY999" s="29"/>
      <c r="BZ999" s="29"/>
      <c r="CA999" s="29"/>
      <c r="CB999" s="29"/>
      <c r="CC999" s="29"/>
      <c r="CD999" s="29"/>
      <c r="CE999" s="29"/>
      <c r="CF999" s="29"/>
      <c r="CG999" s="29"/>
      <c r="CH999" s="29"/>
      <c r="CI999" s="29"/>
      <c r="CJ999" s="29"/>
      <c r="CK999" s="29"/>
      <c r="CL999" s="29"/>
      <c r="CM999" s="29"/>
      <c r="CN999" s="29"/>
      <c r="CO999" s="29"/>
      <c r="CP999" s="29"/>
      <c r="CQ999" s="29"/>
      <c r="CR999" s="29"/>
      <c r="CS999" s="29"/>
      <c r="CT999" s="29"/>
      <c r="CU999" s="29"/>
      <c r="CV999" s="29"/>
      <c r="CW999" s="29"/>
      <c r="CX999" s="29"/>
      <c r="CY999" s="29"/>
      <c r="CZ999" s="29"/>
      <c r="DA999" s="29"/>
      <c r="DB999" s="29"/>
      <c r="DC999" s="29"/>
      <c r="DD999" s="29"/>
      <c r="DE999" s="29"/>
      <c r="DF999" s="29"/>
      <c r="DG999" s="29"/>
      <c r="DH999" s="29"/>
      <c r="DI999" s="29"/>
      <c r="DJ999" s="29"/>
      <c r="DK999" s="29"/>
      <c r="DL999" s="29"/>
      <c r="DM999" s="29"/>
      <c r="DN999" s="29"/>
      <c r="DO999" s="29"/>
      <c r="DP999" s="29"/>
      <c r="DQ999" s="29"/>
      <c r="DR999" s="29"/>
      <c r="DS999" s="29"/>
      <c r="DT999" s="29"/>
      <c r="DU999" s="29"/>
      <c r="DV999" s="29"/>
      <c r="DW999" s="29"/>
      <c r="DX999" s="29"/>
      <c r="DY999" s="29"/>
      <c r="DZ999" s="29"/>
      <c r="EA999" s="29"/>
      <c r="EB999" s="29"/>
      <c r="EC999" s="29"/>
      <c r="ED999" s="29"/>
      <c r="EE999" s="29"/>
      <c r="EF999" s="29"/>
      <c r="EG999" s="29"/>
      <c r="EH999" s="29"/>
      <c r="EI999" s="29"/>
      <c r="EJ999" s="29"/>
      <c r="EK999" s="29"/>
      <c r="EL999" s="29"/>
      <c r="EM999" s="29"/>
      <c r="EN999" s="29"/>
      <c r="EO999" s="29"/>
      <c r="EP999" s="29"/>
      <c r="EQ999" s="29"/>
      <c r="ER999" s="29"/>
      <c r="ES999" s="29"/>
      <c r="ET999" s="29"/>
      <c r="EU999" s="29"/>
      <c r="EV999" s="29"/>
      <c r="EW999" s="29"/>
      <c r="EX999" s="29"/>
      <c r="EY999" s="29"/>
      <c r="EZ999" s="29"/>
      <c r="FA999" s="29"/>
      <c r="FB999" s="29"/>
      <c r="FC999" s="29"/>
      <c r="FD999" s="29"/>
      <c r="FE999" s="29"/>
      <c r="FF999" s="29"/>
      <c r="FG999" s="29"/>
      <c r="FH999" s="29"/>
      <c r="FI999" s="29"/>
      <c r="FJ999" s="29"/>
      <c r="FK999" s="29"/>
      <c r="FL999" s="29"/>
      <c r="FM999" s="29"/>
      <c r="FN999" s="29"/>
      <c r="FO999" s="29"/>
      <c r="FP999" s="29"/>
      <c r="FQ999" s="29"/>
      <c r="FR999" s="29"/>
      <c r="FS999" s="29"/>
      <c r="FT999" s="29"/>
      <c r="FU999" s="29"/>
      <c r="FV999" s="29"/>
      <c r="FW999" s="29"/>
      <c r="FX999" s="29"/>
      <c r="FY999" s="29"/>
      <c r="FZ999" s="29"/>
      <c r="GA999" s="29"/>
      <c r="GB999" s="29"/>
      <c r="GC999" s="29"/>
      <c r="GD999" s="29"/>
      <c r="GE999" s="29"/>
      <c r="GF999" s="29"/>
      <c r="GG999" s="29"/>
      <c r="GH999" s="29"/>
      <c r="GI999" s="29"/>
      <c r="GJ999" s="29"/>
      <c r="GK999" s="29"/>
      <c r="GL999" s="29"/>
      <c r="GM999" s="29"/>
      <c r="GN999" s="29"/>
      <c r="GO999" s="29"/>
      <c r="GP999" s="29"/>
      <c r="GQ999" s="29"/>
      <c r="GR999" s="29"/>
      <c r="GS999" s="29"/>
      <c r="GT999" s="29"/>
      <c r="GU999" s="29"/>
      <c r="GV999" s="29"/>
      <c r="GW999" s="29"/>
      <c r="GX999" s="29"/>
      <c r="GY999" s="29"/>
      <c r="GZ999" s="29"/>
      <c r="HA999" s="29"/>
      <c r="HB999" s="29"/>
      <c r="HC999" s="29"/>
      <c r="HD999" s="29"/>
      <c r="HE999" s="29"/>
      <c r="HF999" s="29"/>
      <c r="HG999" s="29"/>
      <c r="HH999" s="29"/>
      <c r="HI999" s="29"/>
      <c r="HJ999" s="29"/>
      <c r="HK999" s="29"/>
      <c r="HL999" s="29"/>
      <c r="HM999" s="29"/>
      <c r="HN999" s="29"/>
      <c r="HO999" s="29"/>
      <c r="HP999" s="29"/>
      <c r="HQ999" s="29"/>
      <c r="HR999" s="29"/>
      <c r="HS999" s="29"/>
      <c r="HT999" s="29"/>
      <c r="HU999" s="29"/>
      <c r="HV999" s="29"/>
      <c r="HW999" s="29"/>
      <c r="HX999" s="29"/>
      <c r="HY999" s="29"/>
      <c r="HZ999" s="29"/>
      <c r="IA999" s="29"/>
      <c r="IB999" s="29"/>
      <c r="IC999" s="29"/>
      <c r="ID999" s="29"/>
      <c r="IE999" s="29"/>
      <c r="IF999" s="29"/>
      <c r="IG999" s="29"/>
      <c r="IH999" s="29"/>
      <c r="II999" s="29"/>
      <c r="IJ999" s="29"/>
      <c r="IK999" s="29"/>
      <c r="IL999" s="29"/>
      <c r="IM999" s="29"/>
      <c r="IN999" s="29"/>
      <c r="IO999" s="29"/>
      <c r="IP999" s="29"/>
      <c r="IQ999" s="29"/>
      <c r="IR999" s="29"/>
      <c r="IS999" s="29"/>
      <c r="IT999" s="29"/>
      <c r="IU999" s="29"/>
      <c r="IV999" s="29"/>
      <c r="IW999" s="29"/>
      <c r="IX999" s="29"/>
      <c r="IY999" s="29"/>
      <c r="IZ999" s="29"/>
      <c r="JA999" s="29"/>
      <c r="JB999" s="29"/>
      <c r="JC999" s="29"/>
      <c r="JD999" s="29"/>
      <c r="JE999" s="29"/>
      <c r="JF999" s="29"/>
      <c r="JG999" s="29"/>
      <c r="JH999" s="29"/>
      <c r="JI999" s="29"/>
      <c r="JJ999" s="29"/>
      <c r="JK999" s="29"/>
      <c r="JL999" s="29"/>
    </row>
    <row r="1000" spans="1:272" ht="38.25" customHeight="1">
      <c r="A1000" s="30" t="s">
        <v>71</v>
      </c>
      <c r="B1000" s="30" t="s">
        <v>116</v>
      </c>
      <c r="C1000" s="30" t="s">
        <v>144</v>
      </c>
      <c r="D1000" s="30" t="s">
        <v>2480</v>
      </c>
      <c r="E1000" s="30" t="s">
        <v>288</v>
      </c>
      <c r="F1000" s="30" t="s">
        <v>2459</v>
      </c>
      <c r="G1000" s="30" t="s">
        <v>111</v>
      </c>
      <c r="H1000" s="30">
        <v>333298</v>
      </c>
      <c r="I1000" s="30" t="s">
        <v>98</v>
      </c>
      <c r="J1000" s="30" t="s">
        <v>2471</v>
      </c>
      <c r="K1000" s="30" t="s">
        <v>61</v>
      </c>
      <c r="L1000" s="30"/>
      <c r="M1000" s="39">
        <v>58686.99</v>
      </c>
      <c r="N1000" s="39"/>
      <c r="O1000" s="30"/>
      <c r="P1000" s="30" t="s">
        <v>2481</v>
      </c>
      <c r="Q1000" s="129" t="s">
        <v>3425</v>
      </c>
      <c r="R1000" s="30"/>
      <c r="S1000" s="30"/>
      <c r="T1000" s="184" t="s">
        <v>2482</v>
      </c>
      <c r="U1000" s="180" t="s">
        <v>3442</v>
      </c>
      <c r="V1000" s="192" t="s">
        <v>3446</v>
      </c>
      <c r="W1000" s="129" t="s">
        <v>151</v>
      </c>
      <c r="X1000" s="30"/>
      <c r="Y1000" s="30"/>
      <c r="Z1000" s="30"/>
      <c r="AA1000" s="30"/>
      <c r="AE1000" s="29"/>
      <c r="AF1000" s="29"/>
      <c r="AG1000" s="29"/>
      <c r="AH1000" s="29"/>
      <c r="AI1000" s="29"/>
      <c r="AJ1000" s="29"/>
      <c r="AK1000" s="29"/>
      <c r="AL1000" s="29"/>
      <c r="AM1000" s="29"/>
      <c r="AN1000" s="29"/>
      <c r="AO1000" s="29"/>
      <c r="AP1000" s="29"/>
      <c r="AQ1000" s="29"/>
      <c r="AR1000" s="29"/>
      <c r="AS1000" s="29"/>
      <c r="AT1000" s="29"/>
      <c r="AU1000" s="29"/>
      <c r="AV1000" s="29"/>
      <c r="AW1000" s="29"/>
      <c r="AX1000" s="29"/>
      <c r="AY1000" s="29"/>
      <c r="AZ1000" s="29"/>
      <c r="BA1000" s="29"/>
      <c r="BB1000" s="29"/>
      <c r="BC1000" s="29"/>
      <c r="BD1000" s="29"/>
      <c r="BE1000" s="29"/>
      <c r="BF1000" s="29"/>
      <c r="BG1000" s="29"/>
      <c r="BH1000" s="29"/>
      <c r="BI1000" s="29"/>
      <c r="BJ1000" s="29"/>
      <c r="BK1000" s="29"/>
      <c r="BL1000" s="29"/>
      <c r="BM1000" s="29"/>
      <c r="BN1000" s="29"/>
      <c r="BO1000" s="29"/>
      <c r="BP1000" s="29"/>
      <c r="BQ1000" s="29"/>
      <c r="BR1000" s="29"/>
      <c r="BS1000" s="29"/>
      <c r="BT1000" s="29"/>
      <c r="BU1000" s="29"/>
      <c r="BV1000" s="29"/>
      <c r="BW1000" s="29"/>
      <c r="BX1000" s="29"/>
      <c r="BY1000" s="29"/>
      <c r="BZ1000" s="29"/>
      <c r="CA1000" s="29"/>
      <c r="CB1000" s="29"/>
      <c r="CC1000" s="29"/>
      <c r="CD1000" s="29"/>
      <c r="CE1000" s="29"/>
      <c r="CF1000" s="29"/>
      <c r="CG1000" s="29"/>
      <c r="CH1000" s="29"/>
      <c r="CI1000" s="29"/>
      <c r="CJ1000" s="29"/>
      <c r="CK1000" s="29"/>
      <c r="CL1000" s="29"/>
      <c r="CM1000" s="29"/>
      <c r="CN1000" s="29"/>
      <c r="CO1000" s="29"/>
      <c r="CP1000" s="29"/>
      <c r="CQ1000" s="29"/>
      <c r="CR1000" s="29"/>
      <c r="CS1000" s="29"/>
      <c r="CT1000" s="29"/>
      <c r="CU1000" s="29"/>
      <c r="CV1000" s="29"/>
      <c r="CW1000" s="29"/>
      <c r="CX1000" s="29"/>
      <c r="CY1000" s="29"/>
      <c r="CZ1000" s="29"/>
      <c r="DA1000" s="29"/>
      <c r="DB1000" s="29"/>
      <c r="DC1000" s="29"/>
      <c r="DD1000" s="29"/>
      <c r="DE1000" s="29"/>
      <c r="DF1000" s="29"/>
      <c r="DG1000" s="29"/>
      <c r="DH1000" s="29"/>
      <c r="DI1000" s="29"/>
      <c r="DJ1000" s="29"/>
      <c r="DK1000" s="29"/>
      <c r="DL1000" s="29"/>
      <c r="DM1000" s="29"/>
      <c r="DN1000" s="29"/>
      <c r="DO1000" s="29"/>
      <c r="DP1000" s="29"/>
      <c r="DQ1000" s="29"/>
      <c r="DR1000" s="29"/>
      <c r="DS1000" s="29"/>
      <c r="DT1000" s="29"/>
      <c r="DU1000" s="29"/>
      <c r="DV1000" s="29"/>
      <c r="DW1000" s="29"/>
      <c r="DX1000" s="29"/>
      <c r="DY1000" s="29"/>
      <c r="DZ1000" s="29"/>
      <c r="EA1000" s="29"/>
      <c r="EB1000" s="29"/>
      <c r="EC1000" s="29"/>
      <c r="ED1000" s="29"/>
      <c r="EE1000" s="29"/>
      <c r="EF1000" s="29"/>
      <c r="EG1000" s="29"/>
      <c r="EH1000" s="29"/>
      <c r="EI1000" s="29"/>
      <c r="EJ1000" s="29"/>
      <c r="EK1000" s="29"/>
      <c r="EL1000" s="29"/>
      <c r="EM1000" s="29"/>
      <c r="EN1000" s="29"/>
      <c r="EO1000" s="29"/>
      <c r="EP1000" s="29"/>
      <c r="EQ1000" s="29"/>
      <c r="ER1000" s="29"/>
      <c r="ES1000" s="29"/>
      <c r="ET1000" s="29"/>
      <c r="EU1000" s="29"/>
      <c r="EV1000" s="29"/>
      <c r="EW1000" s="29"/>
      <c r="EX1000" s="29"/>
      <c r="EY1000" s="29"/>
      <c r="EZ1000" s="29"/>
      <c r="FA1000" s="29"/>
      <c r="FB1000" s="29"/>
      <c r="FC1000" s="29"/>
      <c r="FD1000" s="29"/>
      <c r="FE1000" s="29"/>
      <c r="FF1000" s="29"/>
      <c r="FG1000" s="29"/>
      <c r="FH1000" s="29"/>
      <c r="FI1000" s="29"/>
      <c r="FJ1000" s="29"/>
      <c r="FK1000" s="29"/>
      <c r="FL1000" s="29"/>
      <c r="FM1000" s="29"/>
      <c r="FN1000" s="29"/>
      <c r="FO1000" s="29"/>
      <c r="FP1000" s="29"/>
      <c r="FQ1000" s="29"/>
      <c r="FR1000" s="29"/>
      <c r="FS1000" s="29"/>
      <c r="FT1000" s="29"/>
      <c r="FU1000" s="29"/>
      <c r="FV1000" s="29"/>
      <c r="FW1000" s="29"/>
      <c r="FX1000" s="29"/>
      <c r="FY1000" s="29"/>
      <c r="FZ1000" s="29"/>
      <c r="GA1000" s="29"/>
      <c r="GB1000" s="29"/>
      <c r="GC1000" s="29"/>
      <c r="GD1000" s="29"/>
      <c r="GE1000" s="29"/>
      <c r="GF1000" s="29"/>
      <c r="GG1000" s="29"/>
      <c r="GH1000" s="29"/>
      <c r="GI1000" s="29"/>
      <c r="GJ1000" s="29"/>
      <c r="GK1000" s="29"/>
      <c r="GL1000" s="29"/>
      <c r="GM1000" s="29"/>
      <c r="GN1000" s="29"/>
      <c r="GO1000" s="29"/>
      <c r="GP1000" s="29"/>
      <c r="GQ1000" s="29"/>
      <c r="GR1000" s="29"/>
      <c r="GS1000" s="29"/>
      <c r="GT1000" s="29"/>
      <c r="GU1000" s="29"/>
      <c r="GV1000" s="29"/>
      <c r="GW1000" s="29"/>
      <c r="GX1000" s="29"/>
      <c r="GY1000" s="29"/>
      <c r="GZ1000" s="29"/>
      <c r="HA1000" s="29"/>
      <c r="HB1000" s="29"/>
      <c r="HC1000" s="29"/>
      <c r="HD1000" s="29"/>
      <c r="HE1000" s="29"/>
      <c r="HF1000" s="29"/>
      <c r="HG1000" s="29"/>
      <c r="HH1000" s="29"/>
      <c r="HI1000" s="29"/>
      <c r="HJ1000" s="29"/>
      <c r="HK1000" s="29"/>
      <c r="HL1000" s="29"/>
      <c r="HM1000" s="29"/>
      <c r="HN1000" s="29"/>
      <c r="HO1000" s="29"/>
      <c r="HP1000" s="29"/>
      <c r="HQ1000" s="29"/>
      <c r="HR1000" s="29"/>
      <c r="HS1000" s="29"/>
      <c r="HT1000" s="29"/>
      <c r="HU1000" s="29"/>
      <c r="HV1000" s="29"/>
      <c r="HW1000" s="29"/>
      <c r="HX1000" s="29"/>
      <c r="HY1000" s="29"/>
      <c r="HZ1000" s="29"/>
      <c r="IA1000" s="29"/>
      <c r="IB1000" s="29"/>
      <c r="IC1000" s="29"/>
      <c r="ID1000" s="29"/>
      <c r="IE1000" s="29"/>
      <c r="IF1000" s="29"/>
      <c r="IG1000" s="29"/>
      <c r="IH1000" s="29"/>
      <c r="II1000" s="29"/>
      <c r="IJ1000" s="29"/>
      <c r="IK1000" s="29"/>
      <c r="IL1000" s="29"/>
      <c r="IM1000" s="29"/>
      <c r="IN1000" s="29"/>
      <c r="IO1000" s="29"/>
      <c r="IP1000" s="29"/>
      <c r="IQ1000" s="29"/>
      <c r="IR1000" s="29"/>
      <c r="IS1000" s="29"/>
      <c r="IT1000" s="29"/>
      <c r="IU1000" s="29"/>
      <c r="IV1000" s="29"/>
      <c r="IW1000" s="29"/>
      <c r="IX1000" s="29"/>
      <c r="IY1000" s="29"/>
      <c r="IZ1000" s="29"/>
      <c r="JA1000" s="29"/>
      <c r="JB1000" s="29"/>
      <c r="JC1000" s="29"/>
      <c r="JD1000" s="29"/>
      <c r="JE1000" s="29"/>
      <c r="JF1000" s="29"/>
      <c r="JG1000" s="29"/>
      <c r="JH1000" s="29"/>
      <c r="JI1000" s="29"/>
      <c r="JJ1000" s="29"/>
      <c r="JK1000" s="29"/>
      <c r="JL1000" s="29"/>
    </row>
    <row r="1001" spans="1:272" ht="38.25" customHeight="1">
      <c r="A1001" s="30" t="s">
        <v>71</v>
      </c>
      <c r="B1001" s="30" t="s">
        <v>116</v>
      </c>
      <c r="C1001" s="30" t="s">
        <v>144</v>
      </c>
      <c r="D1001" s="30" t="s">
        <v>2483</v>
      </c>
      <c r="E1001" s="30" t="s">
        <v>288</v>
      </c>
      <c r="F1001" s="30" t="s">
        <v>2459</v>
      </c>
      <c r="G1001" s="30" t="s">
        <v>111</v>
      </c>
      <c r="H1001" s="30">
        <v>561320</v>
      </c>
      <c r="I1001" s="129" t="s">
        <v>42</v>
      </c>
      <c r="J1001" s="30" t="s">
        <v>2471</v>
      </c>
      <c r="K1001" s="30" t="s">
        <v>61</v>
      </c>
      <c r="L1001" s="30"/>
      <c r="M1001" s="39">
        <v>300000</v>
      </c>
      <c r="N1001" s="39">
        <v>300000</v>
      </c>
      <c r="O1001" s="30"/>
      <c r="P1001" s="30" t="s">
        <v>2484</v>
      </c>
      <c r="Q1001" s="129" t="s">
        <v>3426</v>
      </c>
      <c r="R1001" s="30"/>
      <c r="S1001" s="30"/>
      <c r="T1001" s="31" t="s">
        <v>2482</v>
      </c>
      <c r="U1001" s="180" t="s">
        <v>3442</v>
      </c>
      <c r="V1001" s="192" t="s">
        <v>3446</v>
      </c>
      <c r="W1001" s="129" t="s">
        <v>151</v>
      </c>
      <c r="X1001" s="30"/>
      <c r="Y1001" s="30"/>
      <c r="Z1001" s="30"/>
      <c r="AA1001" s="30"/>
      <c r="AE1001" s="29"/>
      <c r="AF1001" s="29"/>
      <c r="AG1001" s="29"/>
      <c r="AH1001" s="29"/>
      <c r="AI1001" s="29"/>
      <c r="AJ1001" s="29"/>
      <c r="AK1001" s="29"/>
      <c r="AL1001" s="29"/>
      <c r="AM1001" s="29"/>
      <c r="AN1001" s="29"/>
      <c r="AO1001" s="29"/>
      <c r="AP1001" s="29"/>
      <c r="AQ1001" s="29"/>
      <c r="AR1001" s="29"/>
      <c r="AS1001" s="29"/>
      <c r="AT1001" s="29"/>
      <c r="AU1001" s="29"/>
      <c r="AV1001" s="29"/>
      <c r="AW1001" s="29"/>
      <c r="AX1001" s="29"/>
      <c r="AY1001" s="29"/>
      <c r="AZ1001" s="29"/>
      <c r="BA1001" s="29"/>
      <c r="BB1001" s="29"/>
      <c r="BC1001" s="29"/>
      <c r="BD1001" s="29"/>
      <c r="BE1001" s="29"/>
      <c r="BF1001" s="29"/>
      <c r="BG1001" s="29"/>
      <c r="BH1001" s="29"/>
      <c r="BI1001" s="29"/>
      <c r="BJ1001" s="29"/>
      <c r="BK1001" s="29"/>
      <c r="BL1001" s="29"/>
      <c r="BM1001" s="29"/>
      <c r="BN1001" s="29"/>
      <c r="BO1001" s="29"/>
      <c r="BP1001" s="29"/>
      <c r="BQ1001" s="29"/>
      <c r="BR1001" s="29"/>
      <c r="BS1001" s="29"/>
      <c r="BT1001" s="29"/>
      <c r="BU1001" s="29"/>
      <c r="BV1001" s="29"/>
      <c r="BW1001" s="29"/>
      <c r="BX1001" s="29"/>
      <c r="BY1001" s="29"/>
      <c r="BZ1001" s="29"/>
      <c r="CA1001" s="29"/>
      <c r="CB1001" s="29"/>
      <c r="CC1001" s="29"/>
      <c r="CD1001" s="29"/>
      <c r="CE1001" s="29"/>
      <c r="CF1001" s="29"/>
      <c r="CG1001" s="29"/>
      <c r="CH1001" s="29"/>
      <c r="CI1001" s="29"/>
      <c r="CJ1001" s="29"/>
      <c r="CK1001" s="29"/>
      <c r="CL1001" s="29"/>
      <c r="CM1001" s="29"/>
      <c r="CN1001" s="29"/>
      <c r="CO1001" s="29"/>
      <c r="CP1001" s="29"/>
      <c r="CQ1001" s="29"/>
      <c r="CR1001" s="29"/>
      <c r="CS1001" s="29"/>
      <c r="CT1001" s="29"/>
      <c r="CU1001" s="29"/>
      <c r="CV1001" s="29"/>
      <c r="CW1001" s="29"/>
      <c r="CX1001" s="29"/>
      <c r="CY1001" s="29"/>
      <c r="CZ1001" s="29"/>
      <c r="DA1001" s="29"/>
      <c r="DB1001" s="29"/>
      <c r="DC1001" s="29"/>
      <c r="DD1001" s="29"/>
      <c r="DE1001" s="29"/>
      <c r="DF1001" s="29"/>
      <c r="DG1001" s="29"/>
      <c r="DH1001" s="29"/>
      <c r="DI1001" s="29"/>
      <c r="DJ1001" s="29"/>
      <c r="DK1001" s="29"/>
      <c r="DL1001" s="29"/>
      <c r="DM1001" s="29"/>
      <c r="DN1001" s="29"/>
      <c r="DO1001" s="29"/>
      <c r="DP1001" s="29"/>
      <c r="DQ1001" s="29"/>
      <c r="DR1001" s="29"/>
      <c r="DS1001" s="29"/>
      <c r="DT1001" s="29"/>
      <c r="DU1001" s="29"/>
      <c r="DV1001" s="29"/>
      <c r="DW1001" s="29"/>
      <c r="DX1001" s="29"/>
      <c r="DY1001" s="29"/>
      <c r="DZ1001" s="29"/>
      <c r="EA1001" s="29"/>
      <c r="EB1001" s="29"/>
      <c r="EC1001" s="29"/>
      <c r="ED1001" s="29"/>
      <c r="EE1001" s="29"/>
      <c r="EF1001" s="29"/>
      <c r="EG1001" s="29"/>
      <c r="EH1001" s="29"/>
      <c r="EI1001" s="29"/>
      <c r="EJ1001" s="29"/>
      <c r="EK1001" s="29"/>
      <c r="EL1001" s="29"/>
      <c r="EM1001" s="29"/>
      <c r="EN1001" s="29"/>
      <c r="EO1001" s="29"/>
      <c r="EP1001" s="29"/>
      <c r="EQ1001" s="29"/>
      <c r="ER1001" s="29"/>
      <c r="ES1001" s="29"/>
      <c r="ET1001" s="29"/>
      <c r="EU1001" s="29"/>
      <c r="EV1001" s="29"/>
      <c r="EW1001" s="29"/>
      <c r="EX1001" s="29"/>
      <c r="EY1001" s="29"/>
      <c r="EZ1001" s="29"/>
      <c r="FA1001" s="29"/>
      <c r="FB1001" s="29"/>
      <c r="FC1001" s="29"/>
      <c r="FD1001" s="29"/>
      <c r="FE1001" s="29"/>
      <c r="FF1001" s="29"/>
      <c r="FG1001" s="29"/>
      <c r="FH1001" s="29"/>
      <c r="FI1001" s="29"/>
      <c r="FJ1001" s="29"/>
      <c r="FK1001" s="29"/>
      <c r="FL1001" s="29"/>
      <c r="FM1001" s="29"/>
      <c r="FN1001" s="29"/>
      <c r="FO1001" s="29"/>
      <c r="FP1001" s="29"/>
      <c r="FQ1001" s="29"/>
      <c r="FR1001" s="29"/>
      <c r="FS1001" s="29"/>
      <c r="FT1001" s="29"/>
      <c r="FU1001" s="29"/>
      <c r="FV1001" s="29"/>
      <c r="FW1001" s="29"/>
      <c r="FX1001" s="29"/>
      <c r="FY1001" s="29"/>
      <c r="FZ1001" s="29"/>
      <c r="GA1001" s="29"/>
      <c r="GB1001" s="29"/>
      <c r="GC1001" s="29"/>
      <c r="GD1001" s="29"/>
      <c r="GE1001" s="29"/>
      <c r="GF1001" s="29"/>
      <c r="GG1001" s="29"/>
      <c r="GH1001" s="29"/>
      <c r="GI1001" s="29"/>
      <c r="GJ1001" s="29"/>
      <c r="GK1001" s="29"/>
      <c r="GL1001" s="29"/>
      <c r="GM1001" s="29"/>
      <c r="GN1001" s="29"/>
      <c r="GO1001" s="29"/>
      <c r="GP1001" s="29"/>
      <c r="GQ1001" s="29"/>
      <c r="GR1001" s="29"/>
      <c r="GS1001" s="29"/>
      <c r="GT1001" s="29"/>
      <c r="GU1001" s="29"/>
      <c r="GV1001" s="29"/>
      <c r="GW1001" s="29"/>
      <c r="GX1001" s="29"/>
      <c r="GY1001" s="29"/>
      <c r="GZ1001" s="29"/>
      <c r="HA1001" s="29"/>
      <c r="HB1001" s="29"/>
      <c r="HC1001" s="29"/>
      <c r="HD1001" s="29"/>
      <c r="HE1001" s="29"/>
      <c r="HF1001" s="29"/>
      <c r="HG1001" s="29"/>
      <c r="HH1001" s="29"/>
      <c r="HI1001" s="29"/>
      <c r="HJ1001" s="29"/>
      <c r="HK1001" s="29"/>
      <c r="HL1001" s="29"/>
      <c r="HM1001" s="29"/>
      <c r="HN1001" s="29"/>
      <c r="HO1001" s="29"/>
      <c r="HP1001" s="29"/>
      <c r="HQ1001" s="29"/>
      <c r="HR1001" s="29"/>
      <c r="HS1001" s="29"/>
      <c r="HT1001" s="29"/>
      <c r="HU1001" s="29"/>
      <c r="HV1001" s="29"/>
      <c r="HW1001" s="29"/>
      <c r="HX1001" s="29"/>
      <c r="HY1001" s="29"/>
      <c r="HZ1001" s="29"/>
      <c r="IA1001" s="29"/>
      <c r="IB1001" s="29"/>
      <c r="IC1001" s="29"/>
      <c r="ID1001" s="29"/>
      <c r="IE1001" s="29"/>
      <c r="IF1001" s="29"/>
      <c r="IG1001" s="29"/>
      <c r="IH1001" s="29"/>
      <c r="II1001" s="29"/>
      <c r="IJ1001" s="29"/>
      <c r="IK1001" s="29"/>
      <c r="IL1001" s="29"/>
      <c r="IM1001" s="29"/>
      <c r="IN1001" s="29"/>
      <c r="IO1001" s="29"/>
      <c r="IP1001" s="29"/>
      <c r="IQ1001" s="29"/>
      <c r="IR1001" s="29"/>
      <c r="IS1001" s="29"/>
      <c r="IT1001" s="29"/>
      <c r="IU1001" s="29"/>
      <c r="IV1001" s="29"/>
      <c r="IW1001" s="29"/>
      <c r="IX1001" s="29"/>
      <c r="IY1001" s="29"/>
      <c r="IZ1001" s="29"/>
      <c r="JA1001" s="29"/>
      <c r="JB1001" s="29"/>
      <c r="JC1001" s="29"/>
      <c r="JD1001" s="29"/>
      <c r="JE1001" s="29"/>
      <c r="JF1001" s="29"/>
      <c r="JG1001" s="29"/>
      <c r="JH1001" s="29"/>
      <c r="JI1001" s="29"/>
      <c r="JJ1001" s="29"/>
      <c r="JK1001" s="29"/>
      <c r="JL1001" s="29"/>
    </row>
    <row r="1002" spans="1:272" ht="38.25" customHeight="1">
      <c r="A1002" s="30" t="s">
        <v>71</v>
      </c>
      <c r="B1002" s="30" t="s">
        <v>116</v>
      </c>
      <c r="C1002" s="30" t="s">
        <v>2212</v>
      </c>
      <c r="D1002" s="30" t="s">
        <v>2465</v>
      </c>
      <c r="E1002" s="30" t="s">
        <v>288</v>
      </c>
      <c r="F1002" s="30" t="s">
        <v>2459</v>
      </c>
      <c r="G1002" s="30" t="s">
        <v>111</v>
      </c>
      <c r="H1002" s="30">
        <v>541611</v>
      </c>
      <c r="I1002" s="30" t="s">
        <v>98</v>
      </c>
      <c r="J1002" s="30" t="s">
        <v>129</v>
      </c>
      <c r="K1002" s="30" t="s">
        <v>2466</v>
      </c>
      <c r="L1002" s="30"/>
      <c r="M1002" s="39"/>
      <c r="N1002" s="39">
        <v>585000</v>
      </c>
      <c r="O1002" s="30"/>
      <c r="P1002" s="30" t="s">
        <v>345</v>
      </c>
      <c r="Q1002" s="152" t="s">
        <v>294</v>
      </c>
      <c r="R1002" s="30"/>
      <c r="S1002" s="30"/>
      <c r="T1002" s="31" t="s">
        <v>2473</v>
      </c>
      <c r="U1002" s="31" t="s">
        <v>2474</v>
      </c>
      <c r="V1002" s="30" t="s">
        <v>2475</v>
      </c>
      <c r="W1002" s="129" t="s">
        <v>151</v>
      </c>
      <c r="X1002" s="30"/>
      <c r="Y1002" s="30"/>
      <c r="Z1002" s="30"/>
      <c r="AA1002" s="30"/>
      <c r="AE1002" s="29"/>
      <c r="AF1002" s="29"/>
      <c r="AG1002" s="29"/>
      <c r="AH1002" s="29"/>
      <c r="AI1002" s="29"/>
      <c r="AJ1002" s="29"/>
      <c r="AK1002" s="29"/>
      <c r="AL1002" s="29"/>
      <c r="AM1002" s="29"/>
      <c r="AN1002" s="29"/>
      <c r="AO1002" s="29"/>
      <c r="AP1002" s="29"/>
      <c r="AQ1002" s="29"/>
      <c r="AR1002" s="29"/>
      <c r="AS1002" s="29"/>
      <c r="AT1002" s="29"/>
      <c r="AU1002" s="29"/>
      <c r="AV1002" s="29"/>
      <c r="AW1002" s="29"/>
      <c r="AX1002" s="29"/>
      <c r="AY1002" s="29"/>
      <c r="AZ1002" s="29"/>
      <c r="BA1002" s="29"/>
      <c r="BB1002" s="29"/>
      <c r="BC1002" s="29"/>
      <c r="BD1002" s="29"/>
      <c r="BE1002" s="29"/>
      <c r="BF1002" s="29"/>
      <c r="BG1002" s="29"/>
      <c r="BH1002" s="29"/>
      <c r="BI1002" s="29"/>
      <c r="BJ1002" s="29"/>
      <c r="BK1002" s="29"/>
      <c r="BL1002" s="29"/>
      <c r="BM1002" s="29"/>
      <c r="BN1002" s="29"/>
      <c r="BO1002" s="29"/>
      <c r="BP1002" s="29"/>
      <c r="BQ1002" s="29"/>
      <c r="BR1002" s="29"/>
      <c r="BS1002" s="29"/>
      <c r="BT1002" s="29"/>
      <c r="BU1002" s="29"/>
      <c r="BV1002" s="29"/>
      <c r="BW1002" s="29"/>
      <c r="BX1002" s="29"/>
      <c r="BY1002" s="29"/>
      <c r="BZ1002" s="29"/>
      <c r="CA1002" s="29"/>
      <c r="CB1002" s="29"/>
      <c r="CC1002" s="29"/>
      <c r="CD1002" s="29"/>
      <c r="CE1002" s="29"/>
      <c r="CF1002" s="29"/>
      <c r="CG1002" s="29"/>
      <c r="CH1002" s="29"/>
      <c r="CI1002" s="29"/>
      <c r="CJ1002" s="29"/>
      <c r="CK1002" s="29"/>
      <c r="CL1002" s="29"/>
      <c r="CM1002" s="29"/>
      <c r="CN1002" s="29"/>
      <c r="CO1002" s="29"/>
      <c r="CP1002" s="29"/>
      <c r="CQ1002" s="29"/>
      <c r="CR1002" s="29"/>
      <c r="CS1002" s="29"/>
      <c r="CT1002" s="29"/>
      <c r="CU1002" s="29"/>
      <c r="CV1002" s="29"/>
      <c r="CW1002" s="29"/>
      <c r="CX1002" s="29"/>
      <c r="CY1002" s="29"/>
      <c r="CZ1002" s="29"/>
      <c r="DA1002" s="29"/>
      <c r="DB1002" s="29"/>
      <c r="DC1002" s="29"/>
      <c r="DD1002" s="29"/>
      <c r="DE1002" s="29"/>
      <c r="DF1002" s="29"/>
      <c r="DG1002" s="29"/>
      <c r="DH1002" s="29"/>
      <c r="DI1002" s="29"/>
      <c r="DJ1002" s="29"/>
      <c r="DK1002" s="29"/>
      <c r="DL1002" s="29"/>
      <c r="DM1002" s="29"/>
      <c r="DN1002" s="29"/>
      <c r="DO1002" s="29"/>
      <c r="DP1002" s="29"/>
      <c r="DQ1002" s="29"/>
      <c r="DR1002" s="29"/>
      <c r="DS1002" s="29"/>
      <c r="DT1002" s="29"/>
      <c r="DU1002" s="29"/>
      <c r="DV1002" s="29"/>
      <c r="DW1002" s="29"/>
      <c r="DX1002" s="29"/>
      <c r="DY1002" s="29"/>
      <c r="DZ1002" s="29"/>
      <c r="EA1002" s="29"/>
      <c r="EB1002" s="29"/>
      <c r="EC1002" s="29"/>
      <c r="ED1002" s="29"/>
      <c r="EE1002" s="29"/>
      <c r="EF1002" s="29"/>
      <c r="EG1002" s="29"/>
      <c r="EH1002" s="29"/>
      <c r="EI1002" s="29"/>
      <c r="EJ1002" s="29"/>
      <c r="EK1002" s="29"/>
      <c r="EL1002" s="29"/>
      <c r="EM1002" s="29"/>
      <c r="EN1002" s="29"/>
      <c r="EO1002" s="29"/>
      <c r="EP1002" s="29"/>
      <c r="EQ1002" s="29"/>
      <c r="ER1002" s="29"/>
      <c r="ES1002" s="29"/>
      <c r="ET1002" s="29"/>
      <c r="EU1002" s="29"/>
      <c r="EV1002" s="29"/>
      <c r="EW1002" s="29"/>
      <c r="EX1002" s="29"/>
      <c r="EY1002" s="29"/>
      <c r="EZ1002" s="29"/>
      <c r="FA1002" s="29"/>
      <c r="FB1002" s="29"/>
      <c r="FC1002" s="29"/>
      <c r="FD1002" s="29"/>
      <c r="FE1002" s="29"/>
      <c r="FF1002" s="29"/>
      <c r="FG1002" s="29"/>
      <c r="FH1002" s="29"/>
      <c r="FI1002" s="29"/>
      <c r="FJ1002" s="29"/>
      <c r="FK1002" s="29"/>
      <c r="FL1002" s="29"/>
      <c r="FM1002" s="29"/>
      <c r="FN1002" s="29"/>
      <c r="FO1002" s="29"/>
      <c r="FP1002" s="29"/>
      <c r="FQ1002" s="29"/>
      <c r="FR1002" s="29"/>
      <c r="FS1002" s="29"/>
      <c r="FT1002" s="29"/>
      <c r="FU1002" s="29"/>
      <c r="FV1002" s="29"/>
      <c r="FW1002" s="29"/>
      <c r="FX1002" s="29"/>
      <c r="FY1002" s="29"/>
      <c r="FZ1002" s="29"/>
      <c r="GA1002" s="29"/>
      <c r="GB1002" s="29"/>
      <c r="GC1002" s="29"/>
      <c r="GD1002" s="29"/>
      <c r="GE1002" s="29"/>
      <c r="GF1002" s="29"/>
      <c r="GG1002" s="29"/>
      <c r="GH1002" s="29"/>
      <c r="GI1002" s="29"/>
      <c r="GJ1002" s="29"/>
      <c r="GK1002" s="29"/>
      <c r="GL1002" s="29"/>
      <c r="GM1002" s="29"/>
      <c r="GN1002" s="29"/>
      <c r="GO1002" s="29"/>
      <c r="GP1002" s="29"/>
      <c r="GQ1002" s="29"/>
      <c r="GR1002" s="29"/>
      <c r="GS1002" s="29"/>
      <c r="GT1002" s="29"/>
      <c r="GU1002" s="29"/>
      <c r="GV1002" s="29"/>
      <c r="GW1002" s="29"/>
      <c r="GX1002" s="29"/>
      <c r="GY1002" s="29"/>
      <c r="GZ1002" s="29"/>
      <c r="HA1002" s="29"/>
      <c r="HB1002" s="29"/>
      <c r="HC1002" s="29"/>
      <c r="HD1002" s="29"/>
      <c r="HE1002" s="29"/>
      <c r="HF1002" s="29"/>
      <c r="HG1002" s="29"/>
      <c r="HH1002" s="29"/>
      <c r="HI1002" s="29"/>
      <c r="HJ1002" s="29"/>
      <c r="HK1002" s="29"/>
      <c r="HL1002" s="29"/>
      <c r="HM1002" s="29"/>
      <c r="HN1002" s="29"/>
      <c r="HO1002" s="29"/>
      <c r="HP1002" s="29"/>
      <c r="HQ1002" s="29"/>
      <c r="HR1002" s="29"/>
      <c r="HS1002" s="29"/>
      <c r="HT1002" s="29"/>
      <c r="HU1002" s="29"/>
      <c r="HV1002" s="29"/>
      <c r="HW1002" s="29"/>
      <c r="HX1002" s="29"/>
      <c r="HY1002" s="29"/>
      <c r="HZ1002" s="29"/>
      <c r="IA1002" s="29"/>
      <c r="IB1002" s="29"/>
      <c r="IC1002" s="29"/>
      <c r="ID1002" s="29"/>
      <c r="IE1002" s="29"/>
      <c r="IF1002" s="29"/>
      <c r="IG1002" s="29"/>
      <c r="IH1002" s="29"/>
      <c r="II1002" s="29"/>
      <c r="IJ1002" s="29"/>
      <c r="IK1002" s="29"/>
      <c r="IL1002" s="29"/>
      <c r="IM1002" s="29"/>
      <c r="IN1002" s="29"/>
      <c r="IO1002" s="29"/>
      <c r="IP1002" s="29"/>
      <c r="IQ1002" s="29"/>
      <c r="IR1002" s="29"/>
      <c r="IS1002" s="29"/>
      <c r="IT1002" s="29"/>
      <c r="IU1002" s="29"/>
      <c r="IV1002" s="29"/>
      <c r="IW1002" s="29"/>
      <c r="IX1002" s="29"/>
      <c r="IY1002" s="29"/>
      <c r="IZ1002" s="29"/>
      <c r="JA1002" s="29"/>
      <c r="JB1002" s="29"/>
      <c r="JC1002" s="29"/>
      <c r="JD1002" s="29"/>
      <c r="JE1002" s="29"/>
      <c r="JF1002" s="29"/>
      <c r="JG1002" s="29"/>
      <c r="JH1002" s="29"/>
      <c r="JI1002" s="29"/>
      <c r="JJ1002" s="29"/>
      <c r="JK1002" s="29"/>
      <c r="JL1002" s="29"/>
    </row>
    <row r="1003" spans="1:272" ht="38.25" customHeight="1">
      <c r="A1003" s="30" t="s">
        <v>71</v>
      </c>
      <c r="B1003" s="30" t="s">
        <v>2485</v>
      </c>
      <c r="C1003" s="30" t="s">
        <v>2212</v>
      </c>
      <c r="D1003" s="30" t="s">
        <v>2486</v>
      </c>
      <c r="E1003" s="30" t="s">
        <v>135</v>
      </c>
      <c r="F1003" s="30" t="s">
        <v>791</v>
      </c>
      <c r="G1003" s="30" t="s">
        <v>183</v>
      </c>
      <c r="H1003" s="30" t="s">
        <v>345</v>
      </c>
      <c r="I1003" s="129" t="s">
        <v>546</v>
      </c>
      <c r="J1003" s="30" t="s">
        <v>129</v>
      </c>
      <c r="K1003" s="30" t="s">
        <v>290</v>
      </c>
      <c r="L1003" s="30" t="s">
        <v>2487</v>
      </c>
      <c r="M1003" s="39">
        <v>120000</v>
      </c>
      <c r="N1003" s="39">
        <v>650000</v>
      </c>
      <c r="O1003" s="129" t="s">
        <v>79</v>
      </c>
      <c r="P1003" s="30" t="s">
        <v>2488</v>
      </c>
      <c r="Q1003" s="30" t="s">
        <v>2489</v>
      </c>
      <c r="R1003" s="30" t="s">
        <v>345</v>
      </c>
      <c r="S1003" s="41">
        <v>2014</v>
      </c>
      <c r="T1003" s="31" t="s">
        <v>2490</v>
      </c>
      <c r="U1003" s="31" t="s">
        <v>2491</v>
      </c>
      <c r="V1003" s="30" t="s">
        <v>2492</v>
      </c>
      <c r="W1003" s="129" t="s">
        <v>70</v>
      </c>
      <c r="X1003" s="30" t="s">
        <v>345</v>
      </c>
      <c r="Y1003" s="30" t="s">
        <v>345</v>
      </c>
      <c r="Z1003" s="30" t="s">
        <v>345</v>
      </c>
      <c r="AA1003" s="30"/>
    </row>
    <row r="1004" spans="1:272" ht="38.25" customHeight="1">
      <c r="A1004" s="35" t="s">
        <v>71</v>
      </c>
      <c r="B1004" s="30" t="s">
        <v>116</v>
      </c>
      <c r="C1004" s="30" t="s">
        <v>144</v>
      </c>
      <c r="D1004" s="30" t="s">
        <v>2493</v>
      </c>
      <c r="E1004" s="30" t="s">
        <v>30</v>
      </c>
      <c r="F1004" s="30" t="s">
        <v>2494</v>
      </c>
      <c r="G1004" s="30" t="s">
        <v>233</v>
      </c>
      <c r="H1004" s="30">
        <v>541611</v>
      </c>
      <c r="I1004" s="30" t="s">
        <v>67</v>
      </c>
      <c r="J1004" s="30" t="s">
        <v>169</v>
      </c>
      <c r="K1004" s="30" t="s">
        <v>61</v>
      </c>
      <c r="L1004" s="30" t="s">
        <v>2495</v>
      </c>
      <c r="M1004" s="39">
        <v>0</v>
      </c>
      <c r="N1004" s="39">
        <v>4017816</v>
      </c>
      <c r="O1004" s="30" t="s">
        <v>79</v>
      </c>
      <c r="P1004" s="30" t="s">
        <v>2413</v>
      </c>
      <c r="Q1004" s="30" t="s">
        <v>867</v>
      </c>
      <c r="R1004" s="30" t="s">
        <v>150</v>
      </c>
      <c r="S1004" s="41">
        <v>2012</v>
      </c>
      <c r="T1004" s="31" t="s">
        <v>2496</v>
      </c>
      <c r="U1004" s="31" t="s">
        <v>2497</v>
      </c>
      <c r="V1004" s="30" t="s">
        <v>2498</v>
      </c>
      <c r="W1004" s="30" t="s">
        <v>151</v>
      </c>
      <c r="X1004" s="44">
        <v>40823</v>
      </c>
      <c r="Y1004" s="44">
        <v>40872</v>
      </c>
      <c r="Z1004" s="44">
        <v>42643</v>
      </c>
      <c r="AA1004" s="30"/>
      <c r="AE1004" s="29"/>
      <c r="AF1004" s="29"/>
      <c r="AG1004" s="29"/>
      <c r="AH1004" s="29"/>
      <c r="AI1004" s="29"/>
      <c r="AJ1004" s="29"/>
      <c r="AK1004" s="29"/>
      <c r="AL1004" s="29"/>
      <c r="AM1004" s="29"/>
      <c r="AN1004" s="29"/>
      <c r="AO1004" s="29"/>
      <c r="AP1004" s="29"/>
      <c r="AQ1004" s="29"/>
      <c r="AR1004" s="29"/>
      <c r="AS1004" s="29"/>
      <c r="AT1004" s="29"/>
      <c r="AU1004" s="29"/>
      <c r="AV1004" s="29"/>
      <c r="AW1004" s="29"/>
      <c r="AX1004" s="29"/>
      <c r="AY1004" s="29"/>
      <c r="AZ1004" s="29"/>
      <c r="BA1004" s="29"/>
      <c r="BB1004" s="29"/>
      <c r="BC1004" s="29"/>
      <c r="BD1004" s="29"/>
      <c r="BE1004" s="29"/>
      <c r="BF1004" s="29"/>
      <c r="BG1004" s="29"/>
      <c r="BH1004" s="29"/>
      <c r="BI1004" s="29"/>
      <c r="BJ1004" s="29"/>
      <c r="BK1004" s="29"/>
      <c r="BL1004" s="29"/>
      <c r="BM1004" s="29"/>
      <c r="BN1004" s="29"/>
      <c r="BO1004" s="29"/>
      <c r="BP1004" s="29"/>
      <c r="BQ1004" s="29"/>
      <c r="BR1004" s="29"/>
      <c r="BS1004" s="29"/>
      <c r="BT1004" s="29"/>
      <c r="BU1004" s="29"/>
      <c r="BV1004" s="29"/>
      <c r="BW1004" s="29"/>
      <c r="BX1004" s="29"/>
      <c r="BY1004" s="29"/>
      <c r="BZ1004" s="29"/>
      <c r="CA1004" s="29"/>
      <c r="CB1004" s="29"/>
      <c r="CC1004" s="29"/>
      <c r="CD1004" s="29"/>
      <c r="CE1004" s="29"/>
      <c r="CF1004" s="29"/>
      <c r="CG1004" s="29"/>
      <c r="CH1004" s="29"/>
      <c r="CI1004" s="29"/>
      <c r="CJ1004" s="29"/>
      <c r="CK1004" s="29"/>
      <c r="CL1004" s="29"/>
      <c r="CM1004" s="29"/>
      <c r="CN1004" s="29"/>
      <c r="CO1004" s="29"/>
      <c r="CP1004" s="29"/>
      <c r="CQ1004" s="29"/>
      <c r="CR1004" s="29"/>
      <c r="CS1004" s="29"/>
      <c r="CT1004" s="29"/>
      <c r="CU1004" s="29"/>
      <c r="CV1004" s="29"/>
      <c r="CW1004" s="29"/>
      <c r="CX1004" s="29"/>
      <c r="CY1004" s="29"/>
      <c r="CZ1004" s="29"/>
      <c r="DA1004" s="29"/>
      <c r="DB1004" s="29"/>
      <c r="DC1004" s="29"/>
      <c r="DD1004" s="29"/>
      <c r="DE1004" s="29"/>
      <c r="DF1004" s="29"/>
      <c r="DG1004" s="29"/>
      <c r="DH1004" s="29"/>
      <c r="DI1004" s="29"/>
      <c r="DJ1004" s="29"/>
      <c r="DK1004" s="29"/>
      <c r="DL1004" s="29"/>
      <c r="DM1004" s="29"/>
      <c r="DN1004" s="29"/>
      <c r="DO1004" s="29"/>
      <c r="DP1004" s="29"/>
      <c r="DQ1004" s="29"/>
      <c r="DR1004" s="29"/>
      <c r="DS1004" s="29"/>
      <c r="DT1004" s="29"/>
      <c r="DU1004" s="29"/>
      <c r="DV1004" s="29"/>
      <c r="DW1004" s="29"/>
      <c r="DX1004" s="29"/>
      <c r="DY1004" s="29"/>
      <c r="DZ1004" s="29"/>
      <c r="EA1004" s="29"/>
      <c r="EB1004" s="29"/>
      <c r="EC1004" s="29"/>
      <c r="ED1004" s="29"/>
      <c r="EE1004" s="29"/>
      <c r="EF1004" s="29"/>
      <c r="EG1004" s="29"/>
      <c r="EH1004" s="29"/>
      <c r="EI1004" s="29"/>
      <c r="EJ1004" s="29"/>
      <c r="EK1004" s="29"/>
      <c r="EL1004" s="29"/>
      <c r="EM1004" s="29"/>
      <c r="EN1004" s="29"/>
      <c r="EO1004" s="29"/>
      <c r="EP1004" s="29"/>
      <c r="EQ1004" s="29"/>
      <c r="ER1004" s="29"/>
      <c r="ES1004" s="29"/>
      <c r="ET1004" s="29"/>
      <c r="EU1004" s="29"/>
      <c r="EV1004" s="29"/>
      <c r="EW1004" s="29"/>
      <c r="EX1004" s="29"/>
      <c r="EY1004" s="29"/>
      <c r="EZ1004" s="29"/>
      <c r="FA1004" s="29"/>
      <c r="FB1004" s="29"/>
      <c r="FC1004" s="29"/>
      <c r="FD1004" s="29"/>
      <c r="FE1004" s="29"/>
      <c r="FF1004" s="29"/>
      <c r="FG1004" s="29"/>
      <c r="FH1004" s="29"/>
      <c r="FI1004" s="29"/>
      <c r="FJ1004" s="29"/>
      <c r="FK1004" s="29"/>
      <c r="FL1004" s="29"/>
      <c r="FM1004" s="29"/>
      <c r="FN1004" s="29"/>
      <c r="FO1004" s="29"/>
      <c r="FP1004" s="29"/>
      <c r="FQ1004" s="29"/>
      <c r="FR1004" s="29"/>
      <c r="FS1004" s="29"/>
      <c r="FT1004" s="29"/>
      <c r="FU1004" s="29"/>
      <c r="FV1004" s="29"/>
      <c r="FW1004" s="29"/>
      <c r="FX1004" s="29"/>
      <c r="FY1004" s="29"/>
      <c r="FZ1004" s="29"/>
      <c r="GA1004" s="29"/>
      <c r="GB1004" s="29"/>
      <c r="GC1004" s="29"/>
      <c r="GD1004" s="29"/>
      <c r="GE1004" s="29"/>
      <c r="GF1004" s="29"/>
      <c r="GG1004" s="29"/>
      <c r="GH1004" s="29"/>
      <c r="GI1004" s="29"/>
      <c r="GJ1004" s="29"/>
      <c r="GK1004" s="29"/>
      <c r="GL1004" s="29"/>
      <c r="GM1004" s="29"/>
      <c r="GN1004" s="29"/>
      <c r="GO1004" s="29"/>
      <c r="GP1004" s="29"/>
      <c r="GQ1004" s="29"/>
      <c r="GR1004" s="29"/>
      <c r="GS1004" s="29"/>
      <c r="GT1004" s="29"/>
      <c r="GU1004" s="29"/>
      <c r="GV1004" s="29"/>
      <c r="GW1004" s="29"/>
      <c r="GX1004" s="29"/>
      <c r="GY1004" s="29"/>
      <c r="GZ1004" s="29"/>
      <c r="HA1004" s="29"/>
      <c r="HB1004" s="29"/>
      <c r="HC1004" s="29"/>
      <c r="HD1004" s="29"/>
      <c r="HE1004" s="29"/>
      <c r="HF1004" s="29"/>
      <c r="HG1004" s="29"/>
      <c r="HH1004" s="29"/>
      <c r="HI1004" s="29"/>
      <c r="HJ1004" s="29"/>
      <c r="HK1004" s="29"/>
      <c r="HL1004" s="29"/>
      <c r="HM1004" s="29"/>
      <c r="HN1004" s="29"/>
      <c r="HO1004" s="29"/>
      <c r="HP1004" s="29"/>
      <c r="HQ1004" s="29"/>
      <c r="HR1004" s="29"/>
      <c r="HS1004" s="29"/>
      <c r="HT1004" s="29"/>
      <c r="HU1004" s="29"/>
      <c r="HV1004" s="29"/>
      <c r="HW1004" s="29"/>
      <c r="HX1004" s="29"/>
      <c r="HY1004" s="29"/>
      <c r="HZ1004" s="29"/>
      <c r="IA1004" s="29"/>
      <c r="IB1004" s="29"/>
      <c r="IC1004" s="29"/>
      <c r="ID1004" s="29"/>
      <c r="IE1004" s="29"/>
      <c r="IF1004" s="29"/>
      <c r="IG1004" s="29"/>
      <c r="IH1004" s="29"/>
      <c r="II1004" s="29"/>
      <c r="IJ1004" s="29"/>
      <c r="IK1004" s="29"/>
      <c r="IL1004" s="29"/>
      <c r="IM1004" s="29"/>
      <c r="IN1004" s="29"/>
      <c r="IO1004" s="29"/>
      <c r="IP1004" s="29"/>
      <c r="IQ1004" s="29"/>
      <c r="IR1004" s="29"/>
      <c r="IS1004" s="29"/>
      <c r="IT1004" s="29"/>
      <c r="IU1004" s="29"/>
      <c r="IV1004" s="29"/>
      <c r="IW1004" s="29"/>
      <c r="IX1004" s="29"/>
      <c r="IY1004" s="29"/>
      <c r="IZ1004" s="29"/>
      <c r="JA1004" s="29"/>
      <c r="JB1004" s="29"/>
      <c r="JC1004" s="29"/>
      <c r="JD1004" s="29"/>
      <c r="JE1004" s="29"/>
      <c r="JF1004" s="29"/>
      <c r="JG1004" s="29"/>
      <c r="JH1004" s="29"/>
      <c r="JI1004" s="29"/>
      <c r="JJ1004" s="29"/>
      <c r="JK1004" s="29"/>
      <c r="JL1004" s="29"/>
    </row>
    <row r="1005" spans="1:272" ht="38.25" customHeight="1">
      <c r="A1005" s="35" t="s">
        <v>71</v>
      </c>
      <c r="B1005" s="30" t="s">
        <v>116</v>
      </c>
      <c r="C1005" s="30" t="s">
        <v>144</v>
      </c>
      <c r="D1005" s="30" t="s">
        <v>2499</v>
      </c>
      <c r="E1005" s="30" t="s">
        <v>30</v>
      </c>
      <c r="F1005" s="30" t="s">
        <v>2494</v>
      </c>
      <c r="G1005" s="30" t="s">
        <v>233</v>
      </c>
      <c r="H1005" s="30">
        <v>541611</v>
      </c>
      <c r="I1005" s="30" t="s">
        <v>67</v>
      </c>
      <c r="J1005" s="30" t="s">
        <v>169</v>
      </c>
      <c r="K1005" s="30" t="s">
        <v>61</v>
      </c>
      <c r="L1005" s="30" t="s">
        <v>2495</v>
      </c>
      <c r="M1005" s="39">
        <v>0</v>
      </c>
      <c r="N1005" s="39">
        <v>615126.72</v>
      </c>
      <c r="O1005" s="30" t="s">
        <v>79</v>
      </c>
      <c r="P1005" s="30" t="s">
        <v>2413</v>
      </c>
      <c r="Q1005" s="30" t="s">
        <v>867</v>
      </c>
      <c r="R1005" s="30" t="s">
        <v>150</v>
      </c>
      <c r="S1005" s="41">
        <v>2012</v>
      </c>
      <c r="T1005" s="31" t="s">
        <v>2500</v>
      </c>
      <c r="U1005" s="31" t="s">
        <v>2501</v>
      </c>
      <c r="V1005" s="30" t="s">
        <v>2502</v>
      </c>
      <c r="W1005" s="30" t="s">
        <v>151</v>
      </c>
      <c r="X1005" s="44">
        <v>40823</v>
      </c>
      <c r="Y1005" s="44">
        <v>40878</v>
      </c>
      <c r="Z1005" s="44">
        <v>42277</v>
      </c>
      <c r="AA1005" s="30"/>
      <c r="AE1005" s="29"/>
      <c r="AF1005" s="29"/>
      <c r="AG1005" s="29"/>
      <c r="AH1005" s="29"/>
      <c r="AI1005" s="29"/>
      <c r="AJ1005" s="29"/>
      <c r="AK1005" s="29"/>
      <c r="AL1005" s="29"/>
      <c r="AM1005" s="29"/>
      <c r="AN1005" s="29"/>
      <c r="AO1005" s="29"/>
      <c r="AP1005" s="29"/>
      <c r="AQ1005" s="29"/>
      <c r="AR1005" s="29"/>
      <c r="AS1005" s="29"/>
      <c r="AT1005" s="29"/>
      <c r="AU1005" s="29"/>
      <c r="AV1005" s="29"/>
      <c r="AW1005" s="29"/>
      <c r="AX1005" s="29"/>
      <c r="AY1005" s="29"/>
      <c r="AZ1005" s="29"/>
      <c r="BA1005" s="29"/>
      <c r="BB1005" s="29"/>
      <c r="BC1005" s="29"/>
      <c r="BD1005" s="29"/>
      <c r="BE1005" s="29"/>
      <c r="BF1005" s="29"/>
      <c r="BG1005" s="29"/>
      <c r="BH1005" s="29"/>
      <c r="BI1005" s="29"/>
      <c r="BJ1005" s="29"/>
      <c r="BK1005" s="29"/>
      <c r="BL1005" s="29"/>
      <c r="BM1005" s="29"/>
      <c r="BN1005" s="29"/>
      <c r="BO1005" s="29"/>
      <c r="BP1005" s="29"/>
      <c r="BQ1005" s="29"/>
      <c r="BR1005" s="29"/>
      <c r="BS1005" s="29"/>
      <c r="BT1005" s="29"/>
      <c r="BU1005" s="29"/>
      <c r="BV1005" s="29"/>
      <c r="BW1005" s="29"/>
      <c r="BX1005" s="29"/>
      <c r="BY1005" s="29"/>
      <c r="BZ1005" s="29"/>
      <c r="CA1005" s="29"/>
      <c r="CB1005" s="29"/>
      <c r="CC1005" s="29"/>
      <c r="CD1005" s="29"/>
      <c r="CE1005" s="29"/>
      <c r="CF1005" s="29"/>
      <c r="CG1005" s="29"/>
      <c r="CH1005" s="29"/>
      <c r="CI1005" s="29"/>
      <c r="CJ1005" s="29"/>
      <c r="CK1005" s="29"/>
      <c r="CL1005" s="29"/>
      <c r="CM1005" s="29"/>
      <c r="CN1005" s="29"/>
      <c r="CO1005" s="29"/>
      <c r="CP1005" s="29"/>
      <c r="CQ1005" s="29"/>
      <c r="CR1005" s="29"/>
      <c r="CS1005" s="29"/>
      <c r="CT1005" s="29"/>
      <c r="CU1005" s="29"/>
      <c r="CV1005" s="29"/>
      <c r="CW1005" s="29"/>
      <c r="CX1005" s="29"/>
      <c r="CY1005" s="29"/>
      <c r="CZ1005" s="29"/>
      <c r="DA1005" s="29"/>
      <c r="DB1005" s="29"/>
      <c r="DC1005" s="29"/>
      <c r="DD1005" s="29"/>
      <c r="DE1005" s="29"/>
      <c r="DF1005" s="29"/>
      <c r="DG1005" s="29"/>
      <c r="DH1005" s="29"/>
      <c r="DI1005" s="29"/>
      <c r="DJ1005" s="29"/>
      <c r="DK1005" s="29"/>
      <c r="DL1005" s="29"/>
      <c r="DM1005" s="29"/>
      <c r="DN1005" s="29"/>
      <c r="DO1005" s="29"/>
      <c r="DP1005" s="29"/>
      <c r="DQ1005" s="29"/>
      <c r="DR1005" s="29"/>
      <c r="DS1005" s="29"/>
      <c r="DT1005" s="29"/>
      <c r="DU1005" s="29"/>
      <c r="DV1005" s="29"/>
      <c r="DW1005" s="29"/>
      <c r="DX1005" s="29"/>
      <c r="DY1005" s="29"/>
      <c r="DZ1005" s="29"/>
      <c r="EA1005" s="29"/>
      <c r="EB1005" s="29"/>
      <c r="EC1005" s="29"/>
      <c r="ED1005" s="29"/>
      <c r="EE1005" s="29"/>
      <c r="EF1005" s="29"/>
      <c r="EG1005" s="29"/>
      <c r="EH1005" s="29"/>
      <c r="EI1005" s="29"/>
      <c r="EJ1005" s="29"/>
      <c r="EK1005" s="29"/>
      <c r="EL1005" s="29"/>
      <c r="EM1005" s="29"/>
      <c r="EN1005" s="29"/>
      <c r="EO1005" s="29"/>
      <c r="EP1005" s="29"/>
      <c r="EQ1005" s="29"/>
      <c r="ER1005" s="29"/>
      <c r="ES1005" s="29"/>
      <c r="ET1005" s="29"/>
      <c r="EU1005" s="29"/>
      <c r="EV1005" s="29"/>
      <c r="EW1005" s="29"/>
      <c r="EX1005" s="29"/>
      <c r="EY1005" s="29"/>
      <c r="EZ1005" s="29"/>
      <c r="FA1005" s="29"/>
      <c r="FB1005" s="29"/>
      <c r="FC1005" s="29"/>
      <c r="FD1005" s="29"/>
      <c r="FE1005" s="29"/>
      <c r="FF1005" s="29"/>
      <c r="FG1005" s="29"/>
      <c r="FH1005" s="29"/>
      <c r="FI1005" s="29"/>
      <c r="FJ1005" s="29"/>
      <c r="FK1005" s="29"/>
      <c r="FL1005" s="29"/>
      <c r="FM1005" s="29"/>
      <c r="FN1005" s="29"/>
      <c r="FO1005" s="29"/>
      <c r="FP1005" s="29"/>
      <c r="FQ1005" s="29"/>
      <c r="FR1005" s="29"/>
      <c r="FS1005" s="29"/>
      <c r="FT1005" s="29"/>
      <c r="FU1005" s="29"/>
      <c r="FV1005" s="29"/>
      <c r="FW1005" s="29"/>
      <c r="FX1005" s="29"/>
      <c r="FY1005" s="29"/>
      <c r="FZ1005" s="29"/>
      <c r="GA1005" s="29"/>
      <c r="GB1005" s="29"/>
      <c r="GC1005" s="29"/>
      <c r="GD1005" s="29"/>
      <c r="GE1005" s="29"/>
      <c r="GF1005" s="29"/>
      <c r="GG1005" s="29"/>
      <c r="GH1005" s="29"/>
      <c r="GI1005" s="29"/>
      <c r="GJ1005" s="29"/>
      <c r="GK1005" s="29"/>
      <c r="GL1005" s="29"/>
      <c r="GM1005" s="29"/>
      <c r="GN1005" s="29"/>
      <c r="GO1005" s="29"/>
      <c r="GP1005" s="29"/>
      <c r="GQ1005" s="29"/>
      <c r="GR1005" s="29"/>
      <c r="GS1005" s="29"/>
      <c r="GT1005" s="29"/>
      <c r="GU1005" s="29"/>
      <c r="GV1005" s="29"/>
      <c r="GW1005" s="29"/>
      <c r="GX1005" s="29"/>
      <c r="GY1005" s="29"/>
      <c r="GZ1005" s="29"/>
      <c r="HA1005" s="29"/>
      <c r="HB1005" s="29"/>
      <c r="HC1005" s="29"/>
      <c r="HD1005" s="29"/>
      <c r="HE1005" s="29"/>
      <c r="HF1005" s="29"/>
      <c r="HG1005" s="29"/>
      <c r="HH1005" s="29"/>
      <c r="HI1005" s="29"/>
      <c r="HJ1005" s="29"/>
      <c r="HK1005" s="29"/>
      <c r="HL1005" s="29"/>
      <c r="HM1005" s="29"/>
      <c r="HN1005" s="29"/>
      <c r="HO1005" s="29"/>
      <c r="HP1005" s="29"/>
      <c r="HQ1005" s="29"/>
      <c r="HR1005" s="29"/>
      <c r="HS1005" s="29"/>
      <c r="HT1005" s="29"/>
      <c r="HU1005" s="29"/>
      <c r="HV1005" s="29"/>
      <c r="HW1005" s="29"/>
      <c r="HX1005" s="29"/>
      <c r="HY1005" s="29"/>
      <c r="HZ1005" s="29"/>
      <c r="IA1005" s="29"/>
      <c r="IB1005" s="29"/>
      <c r="IC1005" s="29"/>
      <c r="ID1005" s="29"/>
      <c r="IE1005" s="29"/>
      <c r="IF1005" s="29"/>
      <c r="IG1005" s="29"/>
      <c r="IH1005" s="29"/>
      <c r="II1005" s="29"/>
      <c r="IJ1005" s="29"/>
      <c r="IK1005" s="29"/>
      <c r="IL1005" s="29"/>
      <c r="IM1005" s="29"/>
      <c r="IN1005" s="29"/>
      <c r="IO1005" s="29"/>
      <c r="IP1005" s="29"/>
      <c r="IQ1005" s="29"/>
      <c r="IR1005" s="29"/>
      <c r="IS1005" s="29"/>
      <c r="IT1005" s="29"/>
      <c r="IU1005" s="29"/>
      <c r="IV1005" s="29"/>
      <c r="IW1005" s="29"/>
      <c r="IX1005" s="29"/>
      <c r="IY1005" s="29"/>
      <c r="IZ1005" s="29"/>
      <c r="JA1005" s="29"/>
      <c r="JB1005" s="29"/>
      <c r="JC1005" s="29"/>
      <c r="JD1005" s="29"/>
      <c r="JE1005" s="29"/>
      <c r="JF1005" s="29"/>
      <c r="JG1005" s="29"/>
      <c r="JH1005" s="29"/>
      <c r="JI1005" s="29"/>
      <c r="JJ1005" s="29"/>
      <c r="JK1005" s="29"/>
      <c r="JL1005" s="29"/>
    </row>
    <row r="1006" spans="1:272" ht="38.25" customHeight="1">
      <c r="A1006" s="35" t="s">
        <v>71</v>
      </c>
      <c r="B1006" s="30" t="s">
        <v>116</v>
      </c>
      <c r="C1006" s="30" t="s">
        <v>144</v>
      </c>
      <c r="D1006" s="30" t="s">
        <v>2503</v>
      </c>
      <c r="E1006" s="30" t="s">
        <v>30</v>
      </c>
      <c r="F1006" s="30" t="s">
        <v>2494</v>
      </c>
      <c r="G1006" s="30" t="s">
        <v>233</v>
      </c>
      <c r="H1006" s="30">
        <v>541611</v>
      </c>
      <c r="I1006" s="30" t="s">
        <v>67</v>
      </c>
      <c r="J1006" s="30" t="s">
        <v>169</v>
      </c>
      <c r="K1006" s="30" t="s">
        <v>61</v>
      </c>
      <c r="L1006" s="30" t="s">
        <v>2495</v>
      </c>
      <c r="M1006" s="39">
        <v>0</v>
      </c>
      <c r="N1006" s="39">
        <v>684635.12</v>
      </c>
      <c r="O1006" s="30" t="s">
        <v>79</v>
      </c>
      <c r="P1006" s="30" t="s">
        <v>2413</v>
      </c>
      <c r="Q1006" s="30" t="s">
        <v>867</v>
      </c>
      <c r="R1006" s="30" t="s">
        <v>150</v>
      </c>
      <c r="S1006" s="41">
        <v>2012</v>
      </c>
      <c r="T1006" s="31" t="s">
        <v>2500</v>
      </c>
      <c r="U1006" s="31" t="s">
        <v>2501</v>
      </c>
      <c r="V1006" s="30" t="s">
        <v>2502</v>
      </c>
      <c r="W1006" s="30" t="s">
        <v>151</v>
      </c>
      <c r="X1006" s="44">
        <v>40823</v>
      </c>
      <c r="Y1006" s="44">
        <v>40878</v>
      </c>
      <c r="Z1006" s="44">
        <v>42277</v>
      </c>
      <c r="AA1006" s="30"/>
      <c r="AE1006" s="29"/>
      <c r="AF1006" s="29"/>
      <c r="AG1006" s="29"/>
      <c r="AH1006" s="29"/>
      <c r="AI1006" s="29"/>
      <c r="AJ1006" s="29"/>
      <c r="AK1006" s="29"/>
      <c r="AL1006" s="29"/>
      <c r="AM1006" s="29"/>
      <c r="AN1006" s="29"/>
      <c r="AO1006" s="29"/>
      <c r="AP1006" s="29"/>
      <c r="AQ1006" s="29"/>
      <c r="AR1006" s="29"/>
      <c r="AS1006" s="29"/>
      <c r="AT1006" s="29"/>
      <c r="AU1006" s="29"/>
      <c r="AV1006" s="29"/>
      <c r="AW1006" s="29"/>
      <c r="AX1006" s="29"/>
      <c r="AY1006" s="29"/>
      <c r="AZ1006" s="29"/>
      <c r="BA1006" s="29"/>
      <c r="BB1006" s="29"/>
      <c r="BC1006" s="29"/>
      <c r="BD1006" s="29"/>
      <c r="BE1006" s="29"/>
      <c r="BF1006" s="29"/>
      <c r="BG1006" s="29"/>
      <c r="BH1006" s="29"/>
      <c r="BI1006" s="29"/>
      <c r="BJ1006" s="29"/>
      <c r="BK1006" s="29"/>
      <c r="BL1006" s="29"/>
      <c r="BM1006" s="29"/>
      <c r="BN1006" s="29"/>
      <c r="BO1006" s="29"/>
      <c r="BP1006" s="29"/>
      <c r="BQ1006" s="29"/>
      <c r="BR1006" s="29"/>
      <c r="BS1006" s="29"/>
      <c r="BT1006" s="29"/>
      <c r="BU1006" s="29"/>
      <c r="BV1006" s="29"/>
      <c r="BW1006" s="29"/>
      <c r="BX1006" s="29"/>
      <c r="BY1006" s="29"/>
      <c r="BZ1006" s="29"/>
      <c r="CA1006" s="29"/>
      <c r="CB1006" s="29"/>
      <c r="CC1006" s="29"/>
      <c r="CD1006" s="29"/>
      <c r="CE1006" s="29"/>
      <c r="CF1006" s="29"/>
      <c r="CG1006" s="29"/>
      <c r="CH1006" s="29"/>
      <c r="CI1006" s="29"/>
      <c r="CJ1006" s="29"/>
      <c r="CK1006" s="29"/>
      <c r="CL1006" s="29"/>
      <c r="CM1006" s="29"/>
      <c r="CN1006" s="29"/>
      <c r="CO1006" s="29"/>
      <c r="CP1006" s="29"/>
      <c r="CQ1006" s="29"/>
      <c r="CR1006" s="29"/>
      <c r="CS1006" s="29"/>
      <c r="CT1006" s="29"/>
      <c r="CU1006" s="29"/>
      <c r="CV1006" s="29"/>
      <c r="CW1006" s="29"/>
      <c r="CX1006" s="29"/>
      <c r="CY1006" s="29"/>
      <c r="CZ1006" s="29"/>
      <c r="DA1006" s="29"/>
      <c r="DB1006" s="29"/>
      <c r="DC1006" s="29"/>
      <c r="DD1006" s="29"/>
      <c r="DE1006" s="29"/>
      <c r="DF1006" s="29"/>
      <c r="DG1006" s="29"/>
      <c r="DH1006" s="29"/>
      <c r="DI1006" s="29"/>
      <c r="DJ1006" s="29"/>
      <c r="DK1006" s="29"/>
      <c r="DL1006" s="29"/>
      <c r="DM1006" s="29"/>
      <c r="DN1006" s="29"/>
      <c r="DO1006" s="29"/>
      <c r="DP1006" s="29"/>
      <c r="DQ1006" s="29"/>
      <c r="DR1006" s="29"/>
      <c r="DS1006" s="29"/>
      <c r="DT1006" s="29"/>
      <c r="DU1006" s="29"/>
      <c r="DV1006" s="29"/>
      <c r="DW1006" s="29"/>
      <c r="DX1006" s="29"/>
      <c r="DY1006" s="29"/>
      <c r="DZ1006" s="29"/>
      <c r="EA1006" s="29"/>
      <c r="EB1006" s="29"/>
      <c r="EC1006" s="29"/>
      <c r="ED1006" s="29"/>
      <c r="EE1006" s="29"/>
      <c r="EF1006" s="29"/>
      <c r="EG1006" s="29"/>
      <c r="EH1006" s="29"/>
      <c r="EI1006" s="29"/>
      <c r="EJ1006" s="29"/>
      <c r="EK1006" s="29"/>
      <c r="EL1006" s="29"/>
      <c r="EM1006" s="29"/>
      <c r="EN1006" s="29"/>
      <c r="EO1006" s="29"/>
      <c r="EP1006" s="29"/>
      <c r="EQ1006" s="29"/>
      <c r="ER1006" s="29"/>
      <c r="ES1006" s="29"/>
      <c r="ET1006" s="29"/>
      <c r="EU1006" s="29"/>
      <c r="EV1006" s="29"/>
      <c r="EW1006" s="29"/>
      <c r="EX1006" s="29"/>
      <c r="EY1006" s="29"/>
      <c r="EZ1006" s="29"/>
      <c r="FA1006" s="29"/>
      <c r="FB1006" s="29"/>
      <c r="FC1006" s="29"/>
      <c r="FD1006" s="29"/>
      <c r="FE1006" s="29"/>
      <c r="FF1006" s="29"/>
      <c r="FG1006" s="29"/>
      <c r="FH1006" s="29"/>
      <c r="FI1006" s="29"/>
      <c r="FJ1006" s="29"/>
      <c r="FK1006" s="29"/>
      <c r="FL1006" s="29"/>
      <c r="FM1006" s="29"/>
      <c r="FN1006" s="29"/>
      <c r="FO1006" s="29"/>
      <c r="FP1006" s="29"/>
      <c r="FQ1006" s="29"/>
      <c r="FR1006" s="29"/>
      <c r="FS1006" s="29"/>
      <c r="FT1006" s="29"/>
      <c r="FU1006" s="29"/>
      <c r="FV1006" s="29"/>
      <c r="FW1006" s="29"/>
      <c r="FX1006" s="29"/>
      <c r="FY1006" s="29"/>
      <c r="FZ1006" s="29"/>
      <c r="GA1006" s="29"/>
      <c r="GB1006" s="29"/>
      <c r="GC1006" s="29"/>
      <c r="GD1006" s="29"/>
      <c r="GE1006" s="29"/>
      <c r="GF1006" s="29"/>
      <c r="GG1006" s="29"/>
      <c r="GH1006" s="29"/>
      <c r="GI1006" s="29"/>
      <c r="GJ1006" s="29"/>
      <c r="GK1006" s="29"/>
      <c r="GL1006" s="29"/>
      <c r="GM1006" s="29"/>
      <c r="GN1006" s="29"/>
      <c r="GO1006" s="29"/>
      <c r="GP1006" s="29"/>
      <c r="GQ1006" s="29"/>
      <c r="GR1006" s="29"/>
      <c r="GS1006" s="29"/>
      <c r="GT1006" s="29"/>
      <c r="GU1006" s="29"/>
      <c r="GV1006" s="29"/>
      <c r="GW1006" s="29"/>
      <c r="GX1006" s="29"/>
      <c r="GY1006" s="29"/>
      <c r="GZ1006" s="29"/>
      <c r="HA1006" s="29"/>
      <c r="HB1006" s="29"/>
      <c r="HC1006" s="29"/>
      <c r="HD1006" s="29"/>
      <c r="HE1006" s="29"/>
      <c r="HF1006" s="29"/>
      <c r="HG1006" s="29"/>
      <c r="HH1006" s="29"/>
      <c r="HI1006" s="29"/>
      <c r="HJ1006" s="29"/>
      <c r="HK1006" s="29"/>
      <c r="HL1006" s="29"/>
      <c r="HM1006" s="29"/>
      <c r="HN1006" s="29"/>
      <c r="HO1006" s="29"/>
      <c r="HP1006" s="29"/>
      <c r="HQ1006" s="29"/>
      <c r="HR1006" s="29"/>
      <c r="HS1006" s="29"/>
      <c r="HT1006" s="29"/>
      <c r="HU1006" s="29"/>
      <c r="HV1006" s="29"/>
      <c r="HW1006" s="29"/>
      <c r="HX1006" s="29"/>
      <c r="HY1006" s="29"/>
      <c r="HZ1006" s="29"/>
      <c r="IA1006" s="29"/>
      <c r="IB1006" s="29"/>
      <c r="IC1006" s="29"/>
      <c r="ID1006" s="29"/>
      <c r="IE1006" s="29"/>
      <c r="IF1006" s="29"/>
      <c r="IG1006" s="29"/>
      <c r="IH1006" s="29"/>
      <c r="II1006" s="29"/>
      <c r="IJ1006" s="29"/>
      <c r="IK1006" s="29"/>
      <c r="IL1006" s="29"/>
      <c r="IM1006" s="29"/>
      <c r="IN1006" s="29"/>
      <c r="IO1006" s="29"/>
      <c r="IP1006" s="29"/>
      <c r="IQ1006" s="29"/>
      <c r="IR1006" s="29"/>
      <c r="IS1006" s="29"/>
      <c r="IT1006" s="29"/>
      <c r="IU1006" s="29"/>
      <c r="IV1006" s="29"/>
      <c r="IW1006" s="29"/>
      <c r="IX1006" s="29"/>
      <c r="IY1006" s="29"/>
      <c r="IZ1006" s="29"/>
      <c r="JA1006" s="29"/>
      <c r="JB1006" s="29"/>
      <c r="JC1006" s="29"/>
      <c r="JD1006" s="29"/>
      <c r="JE1006" s="29"/>
      <c r="JF1006" s="29"/>
      <c r="JG1006" s="29"/>
      <c r="JH1006" s="29"/>
      <c r="JI1006" s="29"/>
      <c r="JJ1006" s="29"/>
      <c r="JK1006" s="29"/>
      <c r="JL1006" s="29"/>
    </row>
    <row r="1007" spans="1:272" ht="38.25" customHeight="1">
      <c r="A1007" s="137" t="s">
        <v>71</v>
      </c>
      <c r="B1007" s="30" t="s">
        <v>116</v>
      </c>
      <c r="C1007" s="51" t="s">
        <v>144</v>
      </c>
      <c r="D1007" s="137" t="s">
        <v>2504</v>
      </c>
      <c r="E1007" s="137" t="s">
        <v>30</v>
      </c>
      <c r="F1007" s="51" t="s">
        <v>2494</v>
      </c>
      <c r="G1007" s="137" t="s">
        <v>233</v>
      </c>
      <c r="H1007" s="31">
        <v>541611</v>
      </c>
      <c r="I1007" s="31" t="s">
        <v>67</v>
      </c>
      <c r="J1007" s="51" t="s">
        <v>169</v>
      </c>
      <c r="K1007" s="51" t="s">
        <v>61</v>
      </c>
      <c r="L1007" s="51" t="s">
        <v>2495</v>
      </c>
      <c r="M1007" s="39">
        <v>0</v>
      </c>
      <c r="N1007" s="89">
        <v>2744836</v>
      </c>
      <c r="O1007" s="51" t="s">
        <v>79</v>
      </c>
      <c r="P1007" s="51" t="s">
        <v>2404</v>
      </c>
      <c r="Q1007" s="140" t="s">
        <v>867</v>
      </c>
      <c r="R1007" s="140" t="s">
        <v>100</v>
      </c>
      <c r="S1007" s="138">
        <v>2012</v>
      </c>
      <c r="T1007" s="140" t="s">
        <v>2496</v>
      </c>
      <c r="U1007" s="140" t="s">
        <v>2497</v>
      </c>
      <c r="V1007" s="32" t="s">
        <v>2498</v>
      </c>
      <c r="W1007" s="31" t="s">
        <v>151</v>
      </c>
      <c r="X1007" s="90">
        <v>41052</v>
      </c>
      <c r="Y1007" s="90">
        <v>41093</v>
      </c>
      <c r="Z1007" s="90">
        <v>41912</v>
      </c>
      <c r="AA1007" s="32"/>
      <c r="AE1007" s="29"/>
      <c r="AF1007" s="29"/>
      <c r="AG1007" s="29"/>
      <c r="AH1007" s="29"/>
      <c r="AI1007" s="29"/>
      <c r="AJ1007" s="29"/>
      <c r="AK1007" s="29"/>
      <c r="AL1007" s="29"/>
      <c r="AM1007" s="29"/>
      <c r="AN1007" s="29"/>
      <c r="AO1007" s="29"/>
      <c r="AP1007" s="29"/>
      <c r="AQ1007" s="29"/>
      <c r="AR1007" s="29"/>
      <c r="AS1007" s="29"/>
      <c r="AT1007" s="29"/>
      <c r="AU1007" s="29"/>
      <c r="AV1007" s="29"/>
      <c r="AW1007" s="29"/>
      <c r="AX1007" s="29"/>
      <c r="AY1007" s="29"/>
      <c r="AZ1007" s="29"/>
      <c r="BA1007" s="29"/>
      <c r="BB1007" s="29"/>
      <c r="BC1007" s="29"/>
      <c r="BD1007" s="29"/>
      <c r="BE1007" s="29"/>
      <c r="BF1007" s="29"/>
      <c r="BG1007" s="29"/>
      <c r="BH1007" s="29"/>
      <c r="BI1007" s="29"/>
      <c r="BJ1007" s="29"/>
      <c r="BK1007" s="29"/>
      <c r="BL1007" s="29"/>
      <c r="BM1007" s="29"/>
      <c r="BN1007" s="29"/>
      <c r="BO1007" s="29"/>
      <c r="BP1007" s="29"/>
      <c r="BQ1007" s="29"/>
      <c r="BR1007" s="29"/>
      <c r="BS1007" s="29"/>
      <c r="BT1007" s="29"/>
      <c r="BU1007" s="29"/>
      <c r="BV1007" s="29"/>
      <c r="BW1007" s="29"/>
      <c r="BX1007" s="29"/>
      <c r="BY1007" s="29"/>
      <c r="BZ1007" s="29"/>
      <c r="CA1007" s="29"/>
      <c r="CB1007" s="29"/>
      <c r="CC1007" s="29"/>
      <c r="CD1007" s="29"/>
      <c r="CE1007" s="29"/>
      <c r="CF1007" s="29"/>
      <c r="CG1007" s="29"/>
      <c r="CH1007" s="29"/>
      <c r="CI1007" s="29"/>
      <c r="CJ1007" s="29"/>
      <c r="CK1007" s="29"/>
      <c r="CL1007" s="29"/>
      <c r="CM1007" s="29"/>
      <c r="CN1007" s="29"/>
      <c r="CO1007" s="29"/>
      <c r="CP1007" s="29"/>
      <c r="CQ1007" s="29"/>
      <c r="CR1007" s="29"/>
      <c r="CS1007" s="29"/>
      <c r="CT1007" s="29"/>
      <c r="CU1007" s="29"/>
      <c r="CV1007" s="29"/>
      <c r="CW1007" s="29"/>
      <c r="CX1007" s="29"/>
      <c r="CY1007" s="29"/>
      <c r="CZ1007" s="29"/>
      <c r="DA1007" s="29"/>
      <c r="DB1007" s="29"/>
      <c r="DC1007" s="29"/>
      <c r="DD1007" s="29"/>
      <c r="DE1007" s="29"/>
      <c r="DF1007" s="29"/>
      <c r="DG1007" s="29"/>
      <c r="DH1007" s="29"/>
      <c r="DI1007" s="29"/>
      <c r="DJ1007" s="29"/>
      <c r="DK1007" s="29"/>
      <c r="DL1007" s="29"/>
      <c r="DM1007" s="29"/>
      <c r="DN1007" s="29"/>
      <c r="DO1007" s="29"/>
      <c r="DP1007" s="29"/>
      <c r="DQ1007" s="29"/>
      <c r="DR1007" s="29"/>
      <c r="DS1007" s="29"/>
      <c r="DT1007" s="29"/>
      <c r="DU1007" s="29"/>
      <c r="DV1007" s="29"/>
      <c r="DW1007" s="29"/>
      <c r="DX1007" s="29"/>
      <c r="DY1007" s="29"/>
      <c r="DZ1007" s="29"/>
      <c r="EA1007" s="29"/>
      <c r="EB1007" s="29"/>
      <c r="EC1007" s="29"/>
      <c r="ED1007" s="29"/>
      <c r="EE1007" s="29"/>
      <c r="EF1007" s="29"/>
      <c r="EG1007" s="29"/>
      <c r="EH1007" s="29"/>
      <c r="EI1007" s="29"/>
      <c r="EJ1007" s="29"/>
      <c r="EK1007" s="29"/>
      <c r="EL1007" s="29"/>
      <c r="EM1007" s="29"/>
      <c r="EN1007" s="29"/>
      <c r="EO1007" s="29"/>
      <c r="EP1007" s="29"/>
      <c r="EQ1007" s="29"/>
      <c r="ER1007" s="29"/>
      <c r="ES1007" s="29"/>
      <c r="ET1007" s="29"/>
      <c r="EU1007" s="29"/>
      <c r="EV1007" s="29"/>
      <c r="EW1007" s="29"/>
      <c r="EX1007" s="29"/>
      <c r="EY1007" s="29"/>
      <c r="EZ1007" s="29"/>
      <c r="FA1007" s="29"/>
      <c r="FB1007" s="29"/>
      <c r="FC1007" s="29"/>
      <c r="FD1007" s="29"/>
      <c r="FE1007" s="29"/>
      <c r="FF1007" s="29"/>
      <c r="FG1007" s="29"/>
      <c r="FH1007" s="29"/>
      <c r="FI1007" s="29"/>
      <c r="FJ1007" s="29"/>
      <c r="FK1007" s="29"/>
      <c r="FL1007" s="29"/>
      <c r="FM1007" s="29"/>
      <c r="FN1007" s="29"/>
      <c r="FO1007" s="29"/>
      <c r="FP1007" s="29"/>
      <c r="FQ1007" s="29"/>
      <c r="FR1007" s="29"/>
      <c r="FS1007" s="29"/>
      <c r="FT1007" s="29"/>
      <c r="FU1007" s="29"/>
      <c r="FV1007" s="29"/>
      <c r="FW1007" s="29"/>
      <c r="FX1007" s="29"/>
      <c r="FY1007" s="29"/>
      <c r="FZ1007" s="29"/>
      <c r="GA1007" s="29"/>
      <c r="GB1007" s="29"/>
      <c r="GC1007" s="29"/>
      <c r="GD1007" s="29"/>
      <c r="GE1007" s="29"/>
      <c r="GF1007" s="29"/>
      <c r="GG1007" s="29"/>
      <c r="GH1007" s="29"/>
      <c r="GI1007" s="29"/>
      <c r="GJ1007" s="29"/>
      <c r="GK1007" s="29"/>
      <c r="GL1007" s="29"/>
      <c r="GM1007" s="29"/>
      <c r="GN1007" s="29"/>
      <c r="GO1007" s="29"/>
      <c r="GP1007" s="29"/>
      <c r="GQ1007" s="29"/>
      <c r="GR1007" s="29"/>
      <c r="GS1007" s="29"/>
      <c r="GT1007" s="29"/>
      <c r="GU1007" s="29"/>
      <c r="GV1007" s="29"/>
      <c r="GW1007" s="29"/>
      <c r="GX1007" s="29"/>
      <c r="GY1007" s="29"/>
      <c r="GZ1007" s="29"/>
      <c r="HA1007" s="29"/>
      <c r="HB1007" s="29"/>
      <c r="HC1007" s="29"/>
      <c r="HD1007" s="29"/>
      <c r="HE1007" s="29"/>
      <c r="HF1007" s="29"/>
      <c r="HG1007" s="29"/>
      <c r="HH1007" s="29"/>
      <c r="HI1007" s="29"/>
      <c r="HJ1007" s="29"/>
      <c r="HK1007" s="29"/>
      <c r="HL1007" s="29"/>
      <c r="HM1007" s="29"/>
      <c r="HN1007" s="29"/>
      <c r="HO1007" s="29"/>
      <c r="HP1007" s="29"/>
      <c r="HQ1007" s="29"/>
      <c r="HR1007" s="29"/>
      <c r="HS1007" s="29"/>
      <c r="HT1007" s="29"/>
      <c r="HU1007" s="29"/>
      <c r="HV1007" s="29"/>
      <c r="HW1007" s="29"/>
      <c r="HX1007" s="29"/>
      <c r="HY1007" s="29"/>
      <c r="HZ1007" s="29"/>
      <c r="IA1007" s="29"/>
      <c r="IB1007" s="29"/>
      <c r="IC1007" s="29"/>
      <c r="ID1007" s="29"/>
      <c r="IE1007" s="29"/>
      <c r="IF1007" s="29"/>
      <c r="IG1007" s="29"/>
      <c r="IH1007" s="29"/>
      <c r="II1007" s="29"/>
      <c r="IJ1007" s="29"/>
      <c r="IK1007" s="29"/>
      <c r="IL1007" s="29"/>
      <c r="IM1007" s="29"/>
      <c r="IN1007" s="29"/>
      <c r="IO1007" s="29"/>
      <c r="IP1007" s="29"/>
      <c r="IQ1007" s="29"/>
      <c r="IR1007" s="29"/>
      <c r="IS1007" s="29"/>
      <c r="IT1007" s="29"/>
      <c r="IU1007" s="29"/>
      <c r="IV1007" s="29"/>
      <c r="IW1007" s="29"/>
      <c r="IX1007" s="29"/>
      <c r="IY1007" s="29"/>
      <c r="IZ1007" s="29"/>
      <c r="JA1007" s="29"/>
      <c r="JB1007" s="29"/>
      <c r="JC1007" s="29"/>
      <c r="JD1007" s="29"/>
      <c r="JE1007" s="29"/>
      <c r="JF1007" s="29"/>
      <c r="JG1007" s="29"/>
      <c r="JH1007" s="29"/>
      <c r="JI1007" s="29"/>
      <c r="JJ1007" s="29"/>
      <c r="JK1007" s="29"/>
      <c r="JL1007" s="29"/>
    </row>
    <row r="1008" spans="1:272" ht="38.25" customHeight="1">
      <c r="A1008" s="137" t="s">
        <v>71</v>
      </c>
      <c r="B1008" s="129" t="s">
        <v>116</v>
      </c>
      <c r="C1008" s="137" t="s">
        <v>144</v>
      </c>
      <c r="D1008" s="137" t="s">
        <v>2505</v>
      </c>
      <c r="E1008" s="137" t="s">
        <v>30</v>
      </c>
      <c r="F1008" s="31" t="s">
        <v>2506</v>
      </c>
      <c r="G1008" s="31" t="s">
        <v>233</v>
      </c>
      <c r="H1008" s="31">
        <v>517110</v>
      </c>
      <c r="I1008" s="31" t="s">
        <v>67</v>
      </c>
      <c r="J1008" s="31" t="s">
        <v>129</v>
      </c>
      <c r="K1008" s="31" t="s">
        <v>2507</v>
      </c>
      <c r="L1008" s="31" t="s">
        <v>2508</v>
      </c>
      <c r="M1008" s="39">
        <v>140870.39999999999</v>
      </c>
      <c r="N1008" s="89">
        <v>140870.39999999999</v>
      </c>
      <c r="O1008" s="41" t="s">
        <v>79</v>
      </c>
      <c r="P1008" s="41" t="s">
        <v>2509</v>
      </c>
      <c r="Q1008" s="140" t="s">
        <v>867</v>
      </c>
      <c r="R1008" s="129" t="s">
        <v>80</v>
      </c>
      <c r="S1008" s="138">
        <v>2013</v>
      </c>
      <c r="T1008" s="140" t="s">
        <v>2510</v>
      </c>
      <c r="U1008" s="140" t="s">
        <v>2511</v>
      </c>
      <c r="V1008" s="138" t="s">
        <v>2512</v>
      </c>
      <c r="W1008" s="31" t="s">
        <v>151</v>
      </c>
      <c r="X1008" s="75">
        <v>41512</v>
      </c>
      <c r="Y1008" s="75">
        <v>41513</v>
      </c>
      <c r="Z1008" s="75">
        <v>43008</v>
      </c>
      <c r="AA1008" s="138"/>
      <c r="AE1008" s="29"/>
      <c r="AF1008" s="29"/>
      <c r="AG1008" s="29"/>
      <c r="AH1008" s="29"/>
      <c r="AI1008" s="29"/>
      <c r="AJ1008" s="29"/>
      <c r="AK1008" s="29"/>
      <c r="AL1008" s="29"/>
      <c r="AM1008" s="29"/>
      <c r="AN1008" s="29"/>
      <c r="AO1008" s="29"/>
      <c r="AP1008" s="29"/>
      <c r="AQ1008" s="29"/>
      <c r="AR1008" s="29"/>
      <c r="AS1008" s="29"/>
      <c r="AT1008" s="29"/>
      <c r="AU1008" s="29"/>
      <c r="AV1008" s="29"/>
      <c r="AW1008" s="29"/>
      <c r="AX1008" s="29"/>
      <c r="AY1008" s="29"/>
      <c r="AZ1008" s="29"/>
      <c r="BA1008" s="29"/>
      <c r="BB1008" s="29"/>
      <c r="BC1008" s="29"/>
      <c r="BD1008" s="29"/>
      <c r="BE1008" s="29"/>
      <c r="BF1008" s="29"/>
      <c r="BG1008" s="29"/>
      <c r="BH1008" s="29"/>
      <c r="BI1008" s="29"/>
      <c r="BJ1008" s="29"/>
      <c r="BK1008" s="29"/>
      <c r="BL1008" s="29"/>
      <c r="BM1008" s="29"/>
      <c r="BN1008" s="29"/>
      <c r="BO1008" s="29"/>
      <c r="BP1008" s="29"/>
      <c r="BQ1008" s="29"/>
      <c r="BR1008" s="29"/>
      <c r="BS1008" s="29"/>
      <c r="BT1008" s="29"/>
      <c r="BU1008" s="29"/>
      <c r="BV1008" s="29"/>
      <c r="BW1008" s="29"/>
      <c r="BX1008" s="29"/>
      <c r="BY1008" s="29"/>
      <c r="BZ1008" s="29"/>
      <c r="CA1008" s="29"/>
      <c r="CB1008" s="29"/>
      <c r="CC1008" s="29"/>
      <c r="CD1008" s="29"/>
      <c r="CE1008" s="29"/>
      <c r="CF1008" s="29"/>
      <c r="CG1008" s="29"/>
      <c r="CH1008" s="29"/>
      <c r="CI1008" s="29"/>
      <c r="CJ1008" s="29"/>
      <c r="CK1008" s="29"/>
      <c r="CL1008" s="29"/>
      <c r="CM1008" s="29"/>
      <c r="CN1008" s="29"/>
      <c r="CO1008" s="29"/>
      <c r="CP1008" s="29"/>
      <c r="CQ1008" s="29"/>
      <c r="CR1008" s="29"/>
      <c r="CS1008" s="29"/>
      <c r="CT1008" s="29"/>
      <c r="CU1008" s="29"/>
      <c r="CV1008" s="29"/>
      <c r="CW1008" s="29"/>
      <c r="CX1008" s="29"/>
      <c r="CY1008" s="29"/>
      <c r="CZ1008" s="29"/>
      <c r="DA1008" s="29"/>
      <c r="DB1008" s="29"/>
      <c r="DC1008" s="29"/>
      <c r="DD1008" s="29"/>
      <c r="DE1008" s="29"/>
      <c r="DF1008" s="29"/>
      <c r="DG1008" s="29"/>
      <c r="DH1008" s="29"/>
      <c r="DI1008" s="29"/>
      <c r="DJ1008" s="29"/>
      <c r="DK1008" s="29"/>
      <c r="DL1008" s="29"/>
      <c r="DM1008" s="29"/>
      <c r="DN1008" s="29"/>
      <c r="DO1008" s="29"/>
      <c r="DP1008" s="29"/>
      <c r="DQ1008" s="29"/>
      <c r="DR1008" s="29"/>
      <c r="DS1008" s="29"/>
      <c r="DT1008" s="29"/>
      <c r="DU1008" s="29"/>
      <c r="DV1008" s="29"/>
      <c r="DW1008" s="29"/>
      <c r="DX1008" s="29"/>
      <c r="DY1008" s="29"/>
      <c r="DZ1008" s="29"/>
      <c r="EA1008" s="29"/>
      <c r="EB1008" s="29"/>
      <c r="EC1008" s="29"/>
      <c r="ED1008" s="29"/>
      <c r="EE1008" s="29"/>
      <c r="EF1008" s="29"/>
      <c r="EG1008" s="29"/>
      <c r="EH1008" s="29"/>
      <c r="EI1008" s="29"/>
      <c r="EJ1008" s="29"/>
      <c r="EK1008" s="29"/>
      <c r="EL1008" s="29"/>
      <c r="EM1008" s="29"/>
      <c r="EN1008" s="29"/>
      <c r="EO1008" s="29"/>
      <c r="EP1008" s="29"/>
      <c r="EQ1008" s="29"/>
      <c r="ER1008" s="29"/>
      <c r="ES1008" s="29"/>
      <c r="ET1008" s="29"/>
      <c r="EU1008" s="29"/>
      <c r="EV1008" s="29"/>
      <c r="EW1008" s="29"/>
      <c r="EX1008" s="29"/>
      <c r="EY1008" s="29"/>
      <c r="EZ1008" s="29"/>
      <c r="FA1008" s="29"/>
      <c r="FB1008" s="29"/>
      <c r="FC1008" s="29"/>
      <c r="FD1008" s="29"/>
      <c r="FE1008" s="29"/>
      <c r="FF1008" s="29"/>
      <c r="FG1008" s="29"/>
      <c r="FH1008" s="29"/>
      <c r="FI1008" s="29"/>
      <c r="FJ1008" s="29"/>
      <c r="FK1008" s="29"/>
      <c r="FL1008" s="29"/>
      <c r="FM1008" s="29"/>
      <c r="FN1008" s="29"/>
      <c r="FO1008" s="29"/>
      <c r="FP1008" s="29"/>
      <c r="FQ1008" s="29"/>
      <c r="FR1008" s="29"/>
      <c r="FS1008" s="29"/>
      <c r="FT1008" s="29"/>
      <c r="FU1008" s="29"/>
      <c r="FV1008" s="29"/>
      <c r="FW1008" s="29"/>
      <c r="FX1008" s="29"/>
      <c r="FY1008" s="29"/>
      <c r="FZ1008" s="29"/>
      <c r="GA1008" s="29"/>
      <c r="GB1008" s="29"/>
      <c r="GC1008" s="29"/>
      <c r="GD1008" s="29"/>
      <c r="GE1008" s="29"/>
      <c r="GF1008" s="29"/>
      <c r="GG1008" s="29"/>
      <c r="GH1008" s="29"/>
      <c r="GI1008" s="29"/>
      <c r="GJ1008" s="29"/>
      <c r="GK1008" s="29"/>
      <c r="GL1008" s="29"/>
      <c r="GM1008" s="29"/>
      <c r="GN1008" s="29"/>
      <c r="GO1008" s="29"/>
      <c r="GP1008" s="29"/>
      <c r="GQ1008" s="29"/>
      <c r="GR1008" s="29"/>
      <c r="GS1008" s="29"/>
      <c r="GT1008" s="29"/>
      <c r="GU1008" s="29"/>
      <c r="GV1008" s="29"/>
      <c r="GW1008" s="29"/>
      <c r="GX1008" s="29"/>
      <c r="GY1008" s="29"/>
      <c r="GZ1008" s="29"/>
      <c r="HA1008" s="29"/>
      <c r="HB1008" s="29"/>
      <c r="HC1008" s="29"/>
      <c r="HD1008" s="29"/>
      <c r="HE1008" s="29"/>
      <c r="HF1008" s="29"/>
      <c r="HG1008" s="29"/>
      <c r="HH1008" s="29"/>
      <c r="HI1008" s="29"/>
      <c r="HJ1008" s="29"/>
      <c r="HK1008" s="29"/>
      <c r="HL1008" s="29"/>
      <c r="HM1008" s="29"/>
      <c r="HN1008" s="29"/>
      <c r="HO1008" s="29"/>
      <c r="HP1008" s="29"/>
      <c r="HQ1008" s="29"/>
      <c r="HR1008" s="29"/>
      <c r="HS1008" s="29"/>
      <c r="HT1008" s="29"/>
      <c r="HU1008" s="29"/>
      <c r="HV1008" s="29"/>
      <c r="HW1008" s="29"/>
      <c r="HX1008" s="29"/>
      <c r="HY1008" s="29"/>
      <c r="HZ1008" s="29"/>
      <c r="IA1008" s="29"/>
      <c r="IB1008" s="29"/>
      <c r="IC1008" s="29"/>
      <c r="ID1008" s="29"/>
      <c r="IE1008" s="29"/>
      <c r="IF1008" s="29"/>
      <c r="IG1008" s="29"/>
      <c r="IH1008" s="29"/>
      <c r="II1008" s="29"/>
      <c r="IJ1008" s="29"/>
      <c r="IK1008" s="29"/>
      <c r="IL1008" s="29"/>
      <c r="IM1008" s="29"/>
      <c r="IN1008" s="29"/>
      <c r="IO1008" s="29"/>
      <c r="IP1008" s="29"/>
      <c r="IQ1008" s="29"/>
      <c r="IR1008" s="29"/>
      <c r="IS1008" s="29"/>
      <c r="IT1008" s="29"/>
      <c r="IU1008" s="29"/>
      <c r="IV1008" s="29"/>
      <c r="IW1008" s="29"/>
      <c r="IX1008" s="29"/>
      <c r="IY1008" s="29"/>
      <c r="IZ1008" s="29"/>
      <c r="JA1008" s="29"/>
      <c r="JB1008" s="29"/>
      <c r="JC1008" s="29"/>
      <c r="JD1008" s="29"/>
      <c r="JE1008" s="29"/>
      <c r="JF1008" s="29"/>
      <c r="JG1008" s="29"/>
      <c r="JH1008" s="29"/>
      <c r="JI1008" s="29"/>
      <c r="JJ1008" s="29"/>
      <c r="JK1008" s="29"/>
      <c r="JL1008" s="29"/>
    </row>
    <row r="1009" spans="1:27" s="29" customFormat="1" ht="38.25" customHeight="1">
      <c r="A1009" s="137" t="s">
        <v>71</v>
      </c>
      <c r="B1009" s="129" t="s">
        <v>116</v>
      </c>
      <c r="C1009" s="137" t="s">
        <v>144</v>
      </c>
      <c r="D1009" s="137" t="s">
        <v>2505</v>
      </c>
      <c r="E1009" s="137" t="s">
        <v>30</v>
      </c>
      <c r="F1009" s="31" t="s">
        <v>2506</v>
      </c>
      <c r="G1009" s="31" t="s">
        <v>233</v>
      </c>
      <c r="H1009" s="31">
        <v>517110</v>
      </c>
      <c r="I1009" s="31" t="s">
        <v>67</v>
      </c>
      <c r="J1009" s="31" t="s">
        <v>129</v>
      </c>
      <c r="K1009" s="31" t="s">
        <v>2507</v>
      </c>
      <c r="L1009" s="31" t="s">
        <v>2513</v>
      </c>
      <c r="M1009" s="39">
        <v>140870.39999999999</v>
      </c>
      <c r="N1009" s="89">
        <v>140870.39999999999</v>
      </c>
      <c r="O1009" s="41" t="s">
        <v>79</v>
      </c>
      <c r="P1009" s="41" t="s">
        <v>2509</v>
      </c>
      <c r="Q1009" s="140" t="s">
        <v>867</v>
      </c>
      <c r="R1009" s="129" t="s">
        <v>80</v>
      </c>
      <c r="S1009" s="138">
        <v>2013</v>
      </c>
      <c r="T1009" s="140" t="s">
        <v>2510</v>
      </c>
      <c r="U1009" s="140" t="s">
        <v>2511</v>
      </c>
      <c r="V1009" s="138" t="s">
        <v>2512</v>
      </c>
      <c r="W1009" s="31" t="s">
        <v>151</v>
      </c>
      <c r="X1009" s="75">
        <v>41512</v>
      </c>
      <c r="Y1009" s="75">
        <v>41513</v>
      </c>
      <c r="Z1009" s="75">
        <v>43008</v>
      </c>
      <c r="AA1009" s="138"/>
    </row>
    <row r="1010" spans="1:27" s="29" customFormat="1" ht="38.25" customHeight="1">
      <c r="A1010" s="137" t="s">
        <v>71</v>
      </c>
      <c r="B1010" s="30" t="s">
        <v>116</v>
      </c>
      <c r="C1010" s="51" t="s">
        <v>144</v>
      </c>
      <c r="D1010" s="137" t="s">
        <v>2514</v>
      </c>
      <c r="E1010" s="137" t="s">
        <v>30</v>
      </c>
      <c r="F1010" s="51" t="s">
        <v>289</v>
      </c>
      <c r="G1010" s="31" t="s">
        <v>111</v>
      </c>
      <c r="H1010" s="31">
        <v>541611</v>
      </c>
      <c r="I1010" s="31" t="s">
        <v>67</v>
      </c>
      <c r="J1010" s="51" t="s">
        <v>169</v>
      </c>
      <c r="K1010" s="51" t="s">
        <v>61</v>
      </c>
      <c r="L1010" s="51" t="s">
        <v>2515</v>
      </c>
      <c r="M1010" s="39">
        <v>0</v>
      </c>
      <c r="N1010" s="89">
        <v>528119</v>
      </c>
      <c r="O1010" s="51" t="s">
        <v>79</v>
      </c>
      <c r="P1010" s="51" t="s">
        <v>2516</v>
      </c>
      <c r="Q1010" s="140" t="s">
        <v>867</v>
      </c>
      <c r="R1010" s="203" t="s">
        <v>150</v>
      </c>
      <c r="S1010" s="138">
        <v>2013</v>
      </c>
      <c r="T1010" s="140" t="s">
        <v>2496</v>
      </c>
      <c r="U1010" s="140" t="s">
        <v>2497</v>
      </c>
      <c r="V1010" s="32" t="s">
        <v>2498</v>
      </c>
      <c r="W1010" s="31" t="s">
        <v>151</v>
      </c>
      <c r="X1010" s="90">
        <v>41311</v>
      </c>
      <c r="Y1010" s="90">
        <v>41365</v>
      </c>
      <c r="Z1010" s="90">
        <v>41639</v>
      </c>
      <c r="AA1010" s="32"/>
    </row>
    <row r="1011" spans="1:27" s="29" customFormat="1" ht="38.25" customHeight="1">
      <c r="A1011" s="34" t="s">
        <v>71</v>
      </c>
      <c r="B1011" s="30" t="s">
        <v>116</v>
      </c>
      <c r="C1011" s="32" t="s">
        <v>144</v>
      </c>
      <c r="D1011" s="34" t="s">
        <v>2517</v>
      </c>
      <c r="E1011" s="34" t="s">
        <v>30</v>
      </c>
      <c r="F1011" s="32" t="s">
        <v>289</v>
      </c>
      <c r="G1011" s="140" t="s">
        <v>111</v>
      </c>
      <c r="H1011" s="140">
        <v>541611</v>
      </c>
      <c r="I1011" s="140" t="s">
        <v>67</v>
      </c>
      <c r="J1011" s="34" t="s">
        <v>166</v>
      </c>
      <c r="K1011" s="32" t="s">
        <v>61</v>
      </c>
      <c r="L1011" s="32" t="s">
        <v>2518</v>
      </c>
      <c r="M1011" s="89">
        <v>0</v>
      </c>
      <c r="N1011" s="89">
        <v>533546</v>
      </c>
      <c r="O1011" s="32" t="s">
        <v>79</v>
      </c>
      <c r="P1011" s="32" t="s">
        <v>2519</v>
      </c>
      <c r="Q1011" s="140" t="s">
        <v>867</v>
      </c>
      <c r="R1011" s="155" t="s">
        <v>80</v>
      </c>
      <c r="S1011" s="32">
        <v>2011</v>
      </c>
      <c r="T1011" s="140" t="s">
        <v>2496</v>
      </c>
      <c r="U1011" s="140" t="s">
        <v>2497</v>
      </c>
      <c r="V1011" s="32" t="s">
        <v>2498</v>
      </c>
      <c r="W1011" s="140" t="s">
        <v>151</v>
      </c>
      <c r="X1011" s="91">
        <v>40577</v>
      </c>
      <c r="Y1011" s="91">
        <v>40604</v>
      </c>
      <c r="Z1011" s="91">
        <v>42277</v>
      </c>
      <c r="AA1011" s="32"/>
    </row>
    <row r="1012" spans="1:27" s="29" customFormat="1" ht="38.25" customHeight="1">
      <c r="A1012" s="34" t="s">
        <v>71</v>
      </c>
      <c r="B1012" s="30" t="s">
        <v>116</v>
      </c>
      <c r="C1012" s="32" t="s">
        <v>144</v>
      </c>
      <c r="D1012" s="34" t="s">
        <v>2520</v>
      </c>
      <c r="E1012" s="34" t="s">
        <v>30</v>
      </c>
      <c r="F1012" s="32" t="s">
        <v>289</v>
      </c>
      <c r="G1012" s="140" t="s">
        <v>111</v>
      </c>
      <c r="H1012" s="140">
        <v>512110</v>
      </c>
      <c r="I1012" s="140" t="s">
        <v>98</v>
      </c>
      <c r="J1012" s="140" t="s">
        <v>129</v>
      </c>
      <c r="K1012" s="32" t="s">
        <v>148</v>
      </c>
      <c r="L1012" s="32" t="s">
        <v>2521</v>
      </c>
      <c r="M1012" s="89">
        <v>12000</v>
      </c>
      <c r="N1012" s="89">
        <v>60000</v>
      </c>
      <c r="O1012" s="32" t="s">
        <v>79</v>
      </c>
      <c r="P1012" s="32" t="s">
        <v>2522</v>
      </c>
      <c r="Q1012" s="142" t="s">
        <v>867</v>
      </c>
      <c r="R1012" s="129" t="s">
        <v>80</v>
      </c>
      <c r="S1012" s="138">
        <v>2013</v>
      </c>
      <c r="T1012" s="140" t="s">
        <v>2523</v>
      </c>
      <c r="U1012" s="140" t="s">
        <v>2524</v>
      </c>
      <c r="V1012" s="32" t="s">
        <v>2525</v>
      </c>
      <c r="W1012" s="140" t="s">
        <v>151</v>
      </c>
      <c r="X1012" s="32" t="s">
        <v>2526</v>
      </c>
      <c r="Y1012" s="32" t="s">
        <v>2527</v>
      </c>
      <c r="Z1012" s="32" t="s">
        <v>2528</v>
      </c>
      <c r="AA1012" s="32"/>
    </row>
    <row r="1013" spans="1:27" s="29" customFormat="1" ht="38.25" customHeight="1">
      <c r="A1013" s="34" t="s">
        <v>71</v>
      </c>
      <c r="B1013" s="30" t="s">
        <v>116</v>
      </c>
      <c r="C1013" s="32" t="s">
        <v>2212</v>
      </c>
      <c r="D1013" s="34" t="s">
        <v>2529</v>
      </c>
      <c r="E1013" s="34" t="s">
        <v>30</v>
      </c>
      <c r="F1013" s="32" t="s">
        <v>289</v>
      </c>
      <c r="G1013" s="140" t="s">
        <v>111</v>
      </c>
      <c r="H1013" s="140">
        <v>541611</v>
      </c>
      <c r="I1013" s="140" t="s">
        <v>98</v>
      </c>
      <c r="J1013" s="32" t="s">
        <v>2471</v>
      </c>
      <c r="K1013" s="32" t="s">
        <v>2530</v>
      </c>
      <c r="L1013" s="32" t="s">
        <v>2531</v>
      </c>
      <c r="M1013" s="89">
        <v>500000</v>
      </c>
      <c r="N1013" s="89">
        <v>500000</v>
      </c>
      <c r="O1013" s="32" t="s">
        <v>79</v>
      </c>
      <c r="P1013" s="32" t="s">
        <v>2532</v>
      </c>
      <c r="Q1013" s="32" t="s">
        <v>294</v>
      </c>
      <c r="R1013" s="32" t="s">
        <v>150</v>
      </c>
      <c r="S1013" s="138">
        <v>2014</v>
      </c>
      <c r="T1013" s="140" t="s">
        <v>2533</v>
      </c>
      <c r="U1013" s="140" t="s">
        <v>2534</v>
      </c>
      <c r="V1013" s="32" t="s">
        <v>2535</v>
      </c>
      <c r="W1013" s="140" t="s">
        <v>151</v>
      </c>
      <c r="X1013" s="91">
        <v>41518</v>
      </c>
      <c r="Y1013" s="91">
        <v>41547</v>
      </c>
      <c r="Z1013" s="32" t="s">
        <v>345</v>
      </c>
      <c r="AA1013" s="32"/>
    </row>
    <row r="1014" spans="1:27" s="29" customFormat="1" ht="38.25" customHeight="1">
      <c r="A1014" s="140" t="s">
        <v>71</v>
      </c>
      <c r="B1014" s="30" t="s">
        <v>116</v>
      </c>
      <c r="C1014" s="140" t="s">
        <v>2212</v>
      </c>
      <c r="D1014" s="140" t="s">
        <v>2529</v>
      </c>
      <c r="E1014" s="140" t="s">
        <v>30</v>
      </c>
      <c r="F1014" s="140" t="s">
        <v>289</v>
      </c>
      <c r="G1014" s="140" t="s">
        <v>111</v>
      </c>
      <c r="H1014" s="140">
        <v>541611</v>
      </c>
      <c r="I1014" s="30"/>
      <c r="J1014" s="140" t="s">
        <v>2536</v>
      </c>
      <c r="K1014" s="140" t="s">
        <v>2356</v>
      </c>
      <c r="L1014" s="140" t="s">
        <v>2356</v>
      </c>
      <c r="M1014" s="89">
        <v>500000</v>
      </c>
      <c r="N1014" s="89">
        <v>500000</v>
      </c>
      <c r="O1014" s="138" t="s">
        <v>79</v>
      </c>
      <c r="P1014" s="138" t="s">
        <v>2537</v>
      </c>
      <c r="Q1014" s="138" t="s">
        <v>294</v>
      </c>
      <c r="R1014" s="138" t="s">
        <v>150</v>
      </c>
      <c r="S1014" s="138">
        <v>2014</v>
      </c>
      <c r="T1014" s="140" t="s">
        <v>2533</v>
      </c>
      <c r="U1014" s="140" t="s">
        <v>2534</v>
      </c>
      <c r="V1014" s="138" t="s">
        <v>2535</v>
      </c>
      <c r="W1014" s="140" t="s">
        <v>151</v>
      </c>
      <c r="X1014" s="157">
        <v>41518</v>
      </c>
      <c r="Y1014" s="157">
        <v>41547</v>
      </c>
      <c r="Z1014" s="138" t="s">
        <v>345</v>
      </c>
      <c r="AA1014" s="138"/>
    </row>
    <row r="1015" spans="1:27" s="29" customFormat="1" ht="38.25" customHeight="1">
      <c r="A1015" s="34" t="s">
        <v>71</v>
      </c>
      <c r="B1015" s="30" t="s">
        <v>116</v>
      </c>
      <c r="C1015" s="32" t="s">
        <v>2212</v>
      </c>
      <c r="D1015" s="34" t="s">
        <v>2538</v>
      </c>
      <c r="E1015" s="34" t="s">
        <v>30</v>
      </c>
      <c r="F1015" s="32" t="s">
        <v>289</v>
      </c>
      <c r="G1015" s="140" t="s">
        <v>111</v>
      </c>
      <c r="H1015" s="140">
        <v>517110</v>
      </c>
      <c r="I1015" s="142" t="s">
        <v>345</v>
      </c>
      <c r="J1015" s="32" t="s">
        <v>2539</v>
      </c>
      <c r="K1015" s="32" t="s">
        <v>61</v>
      </c>
      <c r="L1015" s="32" t="s">
        <v>345</v>
      </c>
      <c r="M1015" s="89">
        <v>35000000</v>
      </c>
      <c r="N1015" s="89">
        <v>35000000</v>
      </c>
      <c r="O1015" s="32" t="s">
        <v>79</v>
      </c>
      <c r="P1015" s="32" t="s">
        <v>345</v>
      </c>
      <c r="Q1015" s="32" t="s">
        <v>294</v>
      </c>
      <c r="R1015" s="32" t="s">
        <v>35</v>
      </c>
      <c r="S1015" s="138">
        <v>2014</v>
      </c>
      <c r="T1015" s="140" t="s">
        <v>2500</v>
      </c>
      <c r="U1015" s="140" t="s">
        <v>2501</v>
      </c>
      <c r="V1015" s="32" t="s">
        <v>2502</v>
      </c>
      <c r="W1015" s="140" t="s">
        <v>151</v>
      </c>
      <c r="X1015" s="32" t="s">
        <v>345</v>
      </c>
      <c r="Y1015" s="91">
        <v>42003</v>
      </c>
      <c r="Z1015" s="32" t="s">
        <v>345</v>
      </c>
      <c r="AA1015" s="32"/>
    </row>
    <row r="1016" spans="1:27" s="29" customFormat="1" ht="38.25" customHeight="1">
      <c r="A1016" s="34" t="s">
        <v>71</v>
      </c>
      <c r="B1016" s="30" t="s">
        <v>116</v>
      </c>
      <c r="C1016" s="32" t="s">
        <v>2212</v>
      </c>
      <c r="D1016" s="34" t="s">
        <v>2540</v>
      </c>
      <c r="E1016" s="34" t="s">
        <v>30</v>
      </c>
      <c r="F1016" s="32" t="s">
        <v>2494</v>
      </c>
      <c r="G1016" s="140" t="s">
        <v>233</v>
      </c>
      <c r="H1016" s="140">
        <v>517410</v>
      </c>
      <c r="I1016" s="140" t="s">
        <v>67</v>
      </c>
      <c r="J1016" s="31" t="s">
        <v>129</v>
      </c>
      <c r="K1016" s="32" t="s">
        <v>2507</v>
      </c>
      <c r="L1016" s="51" t="s">
        <v>2541</v>
      </c>
      <c r="M1016" s="89">
        <v>16000000</v>
      </c>
      <c r="N1016" s="89">
        <v>16000000</v>
      </c>
      <c r="O1016" s="32" t="s">
        <v>387</v>
      </c>
      <c r="P1016" s="32" t="s">
        <v>2542</v>
      </c>
      <c r="Q1016" s="32" t="s">
        <v>294</v>
      </c>
      <c r="R1016" s="155" t="s">
        <v>80</v>
      </c>
      <c r="S1016" s="138">
        <v>2014</v>
      </c>
      <c r="T1016" s="140" t="s">
        <v>2543</v>
      </c>
      <c r="U1016" s="140" t="s">
        <v>2544</v>
      </c>
      <c r="V1016" s="32" t="s">
        <v>2545</v>
      </c>
      <c r="W1016" s="140" t="s">
        <v>151</v>
      </c>
      <c r="X1016" s="91">
        <v>41470</v>
      </c>
      <c r="Y1016" s="91">
        <v>42003</v>
      </c>
      <c r="Z1016" s="91">
        <v>42975</v>
      </c>
      <c r="AA1016" s="32"/>
    </row>
    <row r="1017" spans="1:27" s="29" customFormat="1" ht="38.25" customHeight="1">
      <c r="A1017" s="30" t="s">
        <v>71</v>
      </c>
      <c r="B1017" s="30" t="s">
        <v>116</v>
      </c>
      <c r="C1017" s="32" t="s">
        <v>2212</v>
      </c>
      <c r="D1017" s="34" t="s">
        <v>2546</v>
      </c>
      <c r="E1017" s="34" t="s">
        <v>30</v>
      </c>
      <c r="F1017" s="32" t="s">
        <v>289</v>
      </c>
      <c r="G1017" s="140" t="s">
        <v>111</v>
      </c>
      <c r="H1017" s="140"/>
      <c r="I1017" s="140" t="s">
        <v>98</v>
      </c>
      <c r="J1017" s="34" t="s">
        <v>166</v>
      </c>
      <c r="K1017" s="32" t="s">
        <v>61</v>
      </c>
      <c r="L1017" s="32" t="s">
        <v>2547</v>
      </c>
      <c r="M1017" s="89">
        <v>19500000</v>
      </c>
      <c r="N1017" s="89">
        <v>19500000</v>
      </c>
      <c r="O1017" s="32" t="s">
        <v>387</v>
      </c>
      <c r="P1017" s="30" t="s">
        <v>302</v>
      </c>
      <c r="Q1017" s="32" t="s">
        <v>294</v>
      </c>
      <c r="R1017" s="32" t="s">
        <v>100</v>
      </c>
      <c r="S1017" s="138">
        <v>2014</v>
      </c>
      <c r="T1017" s="140" t="s">
        <v>2548</v>
      </c>
      <c r="U1017" s="140" t="s">
        <v>2549</v>
      </c>
      <c r="V1017" s="32" t="s">
        <v>2550</v>
      </c>
      <c r="W1017" s="140" t="s">
        <v>151</v>
      </c>
      <c r="X1017" s="32" t="s">
        <v>335</v>
      </c>
      <c r="Y1017" s="32" t="s">
        <v>448</v>
      </c>
      <c r="Z1017" s="91">
        <v>43008</v>
      </c>
      <c r="AA1017" s="32"/>
    </row>
    <row r="1018" spans="1:27" s="29" customFormat="1" ht="38.25" customHeight="1">
      <c r="A1018" s="30" t="s">
        <v>71</v>
      </c>
      <c r="B1018" s="30" t="s">
        <v>116</v>
      </c>
      <c r="C1018" s="32" t="s">
        <v>144</v>
      </c>
      <c r="D1018" s="34" t="s">
        <v>2551</v>
      </c>
      <c r="E1018" s="34" t="s">
        <v>30</v>
      </c>
      <c r="F1018" s="32" t="s">
        <v>289</v>
      </c>
      <c r="G1018" s="140" t="s">
        <v>111</v>
      </c>
      <c r="H1018" s="140"/>
      <c r="I1018" s="140" t="s">
        <v>67</v>
      </c>
      <c r="J1018" s="32" t="s">
        <v>169</v>
      </c>
      <c r="K1018" s="32" t="s">
        <v>2552</v>
      </c>
      <c r="L1018" s="32" t="s">
        <v>464</v>
      </c>
      <c r="M1018" s="89" t="s">
        <v>343</v>
      </c>
      <c r="N1018" s="89">
        <v>3956590</v>
      </c>
      <c r="O1018" s="32" t="s">
        <v>387</v>
      </c>
      <c r="P1018" s="32"/>
      <c r="Q1018" s="32" t="s">
        <v>867</v>
      </c>
      <c r="R1018" s="32" t="s">
        <v>150</v>
      </c>
      <c r="S1018" s="138">
        <v>2014</v>
      </c>
      <c r="T1018" s="140" t="s">
        <v>2548</v>
      </c>
      <c r="U1018" s="140" t="s">
        <v>2549</v>
      </c>
      <c r="V1018" s="32" t="s">
        <v>2550</v>
      </c>
      <c r="W1018" s="140" t="s">
        <v>151</v>
      </c>
      <c r="X1018" s="32" t="s">
        <v>343</v>
      </c>
      <c r="Y1018" s="32" t="s">
        <v>343</v>
      </c>
      <c r="Z1018" s="91">
        <v>42643</v>
      </c>
      <c r="AA1018" s="32"/>
    </row>
    <row r="1019" spans="1:27" s="29" customFormat="1" ht="38.25" customHeight="1">
      <c r="A1019" s="30" t="s">
        <v>71</v>
      </c>
      <c r="B1019" s="30" t="s">
        <v>116</v>
      </c>
      <c r="C1019" s="32" t="s">
        <v>144</v>
      </c>
      <c r="D1019" s="34" t="s">
        <v>2553</v>
      </c>
      <c r="E1019" s="34" t="s">
        <v>30</v>
      </c>
      <c r="F1019" s="32" t="s">
        <v>289</v>
      </c>
      <c r="G1019" s="140" t="s">
        <v>111</v>
      </c>
      <c r="H1019" s="140"/>
      <c r="I1019" s="140" t="s">
        <v>67</v>
      </c>
      <c r="J1019" s="32" t="s">
        <v>169</v>
      </c>
      <c r="K1019" s="32" t="s">
        <v>2552</v>
      </c>
      <c r="L1019" s="32" t="s">
        <v>464</v>
      </c>
      <c r="M1019" s="89" t="s">
        <v>343</v>
      </c>
      <c r="N1019" s="89">
        <v>2240200</v>
      </c>
      <c r="O1019" s="32" t="s">
        <v>387</v>
      </c>
      <c r="P1019" s="32"/>
      <c r="Q1019" s="32" t="s">
        <v>867</v>
      </c>
      <c r="R1019" s="32" t="s">
        <v>150</v>
      </c>
      <c r="S1019" s="138">
        <v>2014</v>
      </c>
      <c r="T1019" s="140" t="s">
        <v>2548</v>
      </c>
      <c r="U1019" s="140" t="s">
        <v>2549</v>
      </c>
      <c r="V1019" s="32" t="s">
        <v>2550</v>
      </c>
      <c r="W1019" s="140" t="s">
        <v>151</v>
      </c>
      <c r="X1019" s="32" t="s">
        <v>343</v>
      </c>
      <c r="Y1019" s="32" t="s">
        <v>343</v>
      </c>
      <c r="Z1019" s="91">
        <v>42277</v>
      </c>
      <c r="AA1019" s="32" t="s">
        <v>343</v>
      </c>
    </row>
    <row r="1020" spans="1:27" s="29" customFormat="1" ht="38.25" customHeight="1">
      <c r="A1020" s="30" t="s">
        <v>71</v>
      </c>
      <c r="B1020" s="30" t="s">
        <v>116</v>
      </c>
      <c r="C1020" s="32" t="s">
        <v>144</v>
      </c>
      <c r="D1020" s="34" t="s">
        <v>2554</v>
      </c>
      <c r="E1020" s="34" t="s">
        <v>30</v>
      </c>
      <c r="F1020" s="32" t="s">
        <v>289</v>
      </c>
      <c r="G1020" s="140" t="s">
        <v>111</v>
      </c>
      <c r="H1020" s="140"/>
      <c r="I1020" s="140" t="s">
        <v>67</v>
      </c>
      <c r="J1020" s="32" t="s">
        <v>169</v>
      </c>
      <c r="K1020" s="32" t="s">
        <v>2552</v>
      </c>
      <c r="L1020" s="32" t="s">
        <v>464</v>
      </c>
      <c r="M1020" s="92" t="s">
        <v>343</v>
      </c>
      <c r="N1020" s="92">
        <v>1422788</v>
      </c>
      <c r="O1020" s="32" t="s">
        <v>387</v>
      </c>
      <c r="P1020" s="32"/>
      <c r="Q1020" s="32" t="s">
        <v>867</v>
      </c>
      <c r="R1020" s="32" t="s">
        <v>150</v>
      </c>
      <c r="S1020" s="138">
        <v>2014</v>
      </c>
      <c r="T1020" s="140" t="s">
        <v>2548</v>
      </c>
      <c r="U1020" s="140" t="s">
        <v>2549</v>
      </c>
      <c r="V1020" s="32" t="s">
        <v>2550</v>
      </c>
      <c r="W1020" s="140" t="s">
        <v>151</v>
      </c>
      <c r="X1020" s="32" t="s">
        <v>343</v>
      </c>
      <c r="Y1020" s="32" t="s">
        <v>343</v>
      </c>
      <c r="Z1020" s="91">
        <v>43008</v>
      </c>
      <c r="AA1020" s="32" t="s">
        <v>343</v>
      </c>
    </row>
    <row r="1021" spans="1:27" s="29" customFormat="1" ht="38.25" customHeight="1">
      <c r="A1021" s="30" t="s">
        <v>71</v>
      </c>
      <c r="B1021" s="30" t="s">
        <v>116</v>
      </c>
      <c r="C1021" s="32" t="s">
        <v>144</v>
      </c>
      <c r="D1021" s="34" t="s">
        <v>2555</v>
      </c>
      <c r="E1021" s="34" t="s">
        <v>30</v>
      </c>
      <c r="F1021" s="32" t="s">
        <v>289</v>
      </c>
      <c r="G1021" s="140" t="s">
        <v>111</v>
      </c>
      <c r="H1021" s="140"/>
      <c r="I1021" s="140" t="s">
        <v>67</v>
      </c>
      <c r="J1021" s="32" t="s">
        <v>169</v>
      </c>
      <c r="K1021" s="32" t="s">
        <v>2552</v>
      </c>
      <c r="L1021" s="32" t="s">
        <v>464</v>
      </c>
      <c r="M1021" s="92" t="s">
        <v>343</v>
      </c>
      <c r="N1021" s="92">
        <v>3990782.88</v>
      </c>
      <c r="O1021" s="32" t="s">
        <v>387</v>
      </c>
      <c r="P1021" s="32"/>
      <c r="Q1021" s="32" t="s">
        <v>867</v>
      </c>
      <c r="R1021" s="32" t="s">
        <v>150</v>
      </c>
      <c r="S1021" s="138">
        <v>2014</v>
      </c>
      <c r="T1021" s="140" t="s">
        <v>2548</v>
      </c>
      <c r="U1021" s="140" t="s">
        <v>2549</v>
      </c>
      <c r="V1021" s="32" t="s">
        <v>2550</v>
      </c>
      <c r="W1021" s="140" t="s">
        <v>151</v>
      </c>
      <c r="X1021" s="32" t="s">
        <v>343</v>
      </c>
      <c r="Y1021" s="32" t="s">
        <v>343</v>
      </c>
      <c r="Z1021" s="91">
        <v>42643</v>
      </c>
      <c r="AA1021" s="32" t="s">
        <v>343</v>
      </c>
    </row>
    <row r="1022" spans="1:27" s="29" customFormat="1" ht="38.25" customHeight="1">
      <c r="A1022" s="30" t="s">
        <v>71</v>
      </c>
      <c r="B1022" s="30" t="s">
        <v>116</v>
      </c>
      <c r="C1022" s="32" t="s">
        <v>144</v>
      </c>
      <c r="D1022" s="34" t="s">
        <v>2556</v>
      </c>
      <c r="E1022" s="34" t="s">
        <v>30</v>
      </c>
      <c r="F1022" s="32" t="s">
        <v>289</v>
      </c>
      <c r="G1022" s="140" t="s">
        <v>111</v>
      </c>
      <c r="H1022" s="140"/>
      <c r="I1022" s="140" t="s">
        <v>67</v>
      </c>
      <c r="J1022" s="32" t="s">
        <v>2539</v>
      </c>
      <c r="K1022" s="32" t="s">
        <v>148</v>
      </c>
      <c r="L1022" s="32" t="s">
        <v>464</v>
      </c>
      <c r="M1022" s="92" t="s">
        <v>343</v>
      </c>
      <c r="N1022" s="92">
        <v>35764654.100000001</v>
      </c>
      <c r="O1022" s="32" t="s">
        <v>387</v>
      </c>
      <c r="P1022" s="32"/>
      <c r="Q1022" s="32" t="s">
        <v>867</v>
      </c>
      <c r="R1022" s="32" t="s">
        <v>150</v>
      </c>
      <c r="S1022" s="138">
        <v>2014</v>
      </c>
      <c r="T1022" s="140" t="s">
        <v>2548</v>
      </c>
      <c r="U1022" s="140" t="s">
        <v>2549</v>
      </c>
      <c r="V1022" s="32" t="s">
        <v>2550</v>
      </c>
      <c r="W1022" s="140" t="s">
        <v>151</v>
      </c>
      <c r="X1022" s="32" t="s">
        <v>343</v>
      </c>
      <c r="Y1022" s="32" t="s">
        <v>343</v>
      </c>
      <c r="Z1022" s="91">
        <v>42369</v>
      </c>
      <c r="AA1022" s="32" t="s">
        <v>343</v>
      </c>
    </row>
    <row r="1023" spans="1:27" s="29" customFormat="1" ht="38.25" customHeight="1">
      <c r="A1023" s="30" t="s">
        <v>71</v>
      </c>
      <c r="B1023" s="30" t="s">
        <v>116</v>
      </c>
      <c r="C1023" s="32" t="s">
        <v>144</v>
      </c>
      <c r="D1023" s="34" t="s">
        <v>2557</v>
      </c>
      <c r="E1023" s="34" t="s">
        <v>288</v>
      </c>
      <c r="F1023" s="32" t="s">
        <v>289</v>
      </c>
      <c r="G1023" s="140" t="s">
        <v>111</v>
      </c>
      <c r="H1023" s="140">
        <v>541611</v>
      </c>
      <c r="I1023" s="140" t="s">
        <v>67</v>
      </c>
      <c r="J1023" s="32" t="s">
        <v>2558</v>
      </c>
      <c r="K1023" s="32" t="s">
        <v>2559</v>
      </c>
      <c r="L1023" s="32" t="s">
        <v>464</v>
      </c>
      <c r="M1023" s="92"/>
      <c r="N1023" s="92">
        <v>51693.96</v>
      </c>
      <c r="O1023" s="32" t="s">
        <v>387</v>
      </c>
      <c r="P1023" s="32" t="s">
        <v>2560</v>
      </c>
      <c r="Q1023" s="32" t="s">
        <v>294</v>
      </c>
      <c r="R1023" s="32" t="s">
        <v>150</v>
      </c>
      <c r="S1023" s="138">
        <v>2014</v>
      </c>
      <c r="T1023" s="140" t="s">
        <v>2561</v>
      </c>
      <c r="U1023" s="140" t="s">
        <v>2562</v>
      </c>
      <c r="V1023" s="32" t="s">
        <v>2563</v>
      </c>
      <c r="W1023" s="140" t="s">
        <v>151</v>
      </c>
      <c r="X1023" s="32"/>
      <c r="Y1023" s="32"/>
      <c r="Z1023" s="91">
        <v>41600</v>
      </c>
      <c r="AA1023" s="32"/>
    </row>
    <row r="1024" spans="1:27" s="29" customFormat="1" ht="38.25" customHeight="1">
      <c r="A1024" s="30" t="s">
        <v>71</v>
      </c>
      <c r="B1024" s="30" t="s">
        <v>116</v>
      </c>
      <c r="C1024" s="32" t="s">
        <v>144</v>
      </c>
      <c r="D1024" s="34" t="s">
        <v>2564</v>
      </c>
      <c r="E1024" s="34" t="s">
        <v>288</v>
      </c>
      <c r="F1024" s="32" t="s">
        <v>289</v>
      </c>
      <c r="G1024" s="140" t="s">
        <v>111</v>
      </c>
      <c r="H1024" s="140">
        <v>541611</v>
      </c>
      <c r="I1024" s="140" t="s">
        <v>98</v>
      </c>
      <c r="J1024" s="32" t="s">
        <v>2558</v>
      </c>
      <c r="K1024" s="32" t="s">
        <v>2565</v>
      </c>
      <c r="L1024" s="32" t="s">
        <v>464</v>
      </c>
      <c r="M1024" s="92"/>
      <c r="N1024" s="92">
        <v>182803</v>
      </c>
      <c r="O1024" s="32" t="s">
        <v>387</v>
      </c>
      <c r="P1024" s="32" t="s">
        <v>2566</v>
      </c>
      <c r="Q1024" s="32" t="s">
        <v>294</v>
      </c>
      <c r="R1024" s="32" t="s">
        <v>150</v>
      </c>
      <c r="S1024" s="138">
        <v>2014</v>
      </c>
      <c r="T1024" s="140" t="s">
        <v>2561</v>
      </c>
      <c r="U1024" s="140" t="s">
        <v>2562</v>
      </c>
      <c r="V1024" s="32" t="s">
        <v>2563</v>
      </c>
      <c r="W1024" s="140" t="s">
        <v>151</v>
      </c>
      <c r="X1024" s="32"/>
      <c r="Y1024" s="32"/>
      <c r="Z1024" s="91">
        <v>41912</v>
      </c>
      <c r="AA1024" s="32"/>
    </row>
    <row r="1025" spans="1:27" s="29" customFormat="1" ht="38.25" customHeight="1">
      <c r="A1025" s="30" t="s">
        <v>71</v>
      </c>
      <c r="B1025" s="30" t="s">
        <v>116</v>
      </c>
      <c r="C1025" s="32" t="s">
        <v>144</v>
      </c>
      <c r="D1025" s="34" t="s">
        <v>2567</v>
      </c>
      <c r="E1025" s="34" t="s">
        <v>288</v>
      </c>
      <c r="F1025" s="32" t="s">
        <v>289</v>
      </c>
      <c r="G1025" s="140" t="s">
        <v>111</v>
      </c>
      <c r="H1025" s="140">
        <v>541611</v>
      </c>
      <c r="I1025" s="140" t="s">
        <v>98</v>
      </c>
      <c r="J1025" s="32" t="s">
        <v>2558</v>
      </c>
      <c r="K1025" s="32" t="s">
        <v>2568</v>
      </c>
      <c r="L1025" s="32" t="s">
        <v>464</v>
      </c>
      <c r="M1025" s="92"/>
      <c r="N1025" s="92">
        <v>296349.76</v>
      </c>
      <c r="O1025" s="32" t="s">
        <v>387</v>
      </c>
      <c r="P1025" s="32" t="s">
        <v>2566</v>
      </c>
      <c r="Q1025" s="32" t="s">
        <v>294</v>
      </c>
      <c r="R1025" s="32" t="s">
        <v>150</v>
      </c>
      <c r="S1025" s="138">
        <v>2014</v>
      </c>
      <c r="T1025" s="140" t="s">
        <v>2561</v>
      </c>
      <c r="U1025" s="140" t="s">
        <v>2562</v>
      </c>
      <c r="V1025" s="32" t="s">
        <v>2563</v>
      </c>
      <c r="W1025" s="140" t="s">
        <v>151</v>
      </c>
      <c r="X1025" s="32"/>
      <c r="Y1025" s="32"/>
      <c r="Z1025" s="91">
        <v>41912</v>
      </c>
      <c r="AA1025" s="32"/>
    </row>
    <row r="1026" spans="1:27" s="29" customFormat="1" ht="38.25" customHeight="1">
      <c r="A1026" s="31" t="s">
        <v>71</v>
      </c>
      <c r="B1026" s="31" t="s">
        <v>116</v>
      </c>
      <c r="C1026" s="140" t="s">
        <v>144</v>
      </c>
      <c r="D1026" s="140" t="s">
        <v>2569</v>
      </c>
      <c r="E1026" s="129" t="s">
        <v>268</v>
      </c>
      <c r="F1026" s="140" t="s">
        <v>289</v>
      </c>
      <c r="G1026" s="140" t="s">
        <v>111</v>
      </c>
      <c r="H1026" s="140">
        <v>511120</v>
      </c>
      <c r="I1026" s="140" t="s">
        <v>67</v>
      </c>
      <c r="J1026" s="138" t="s">
        <v>2558</v>
      </c>
      <c r="K1026" s="138" t="s">
        <v>2570</v>
      </c>
      <c r="L1026" s="138" t="s">
        <v>464</v>
      </c>
      <c r="M1026" s="92"/>
      <c r="N1026" s="92">
        <v>148835</v>
      </c>
      <c r="O1026" s="138" t="s">
        <v>387</v>
      </c>
      <c r="P1026" s="138" t="s">
        <v>2571</v>
      </c>
      <c r="Q1026" s="138" t="s">
        <v>294</v>
      </c>
      <c r="R1026" s="138" t="s">
        <v>150</v>
      </c>
      <c r="S1026" s="138">
        <v>2014</v>
      </c>
      <c r="T1026" s="140" t="s">
        <v>2561</v>
      </c>
      <c r="U1026" s="140" t="s">
        <v>2562</v>
      </c>
      <c r="V1026" s="140" t="s">
        <v>2563</v>
      </c>
      <c r="W1026" s="140" t="s">
        <v>151</v>
      </c>
      <c r="X1026" s="34"/>
      <c r="Y1026" s="32"/>
      <c r="Z1026" s="91">
        <v>41911</v>
      </c>
      <c r="AA1026" s="142" t="s">
        <v>3366</v>
      </c>
    </row>
    <row r="1027" spans="1:27" s="29" customFormat="1" ht="38.25" customHeight="1">
      <c r="A1027" s="30" t="s">
        <v>71</v>
      </c>
      <c r="B1027" s="30" t="s">
        <v>116</v>
      </c>
      <c r="C1027" s="32" t="s">
        <v>144</v>
      </c>
      <c r="D1027" s="34" t="s">
        <v>2572</v>
      </c>
      <c r="E1027" s="34" t="s">
        <v>288</v>
      </c>
      <c r="F1027" s="32" t="s">
        <v>289</v>
      </c>
      <c r="G1027" s="140" t="s">
        <v>111</v>
      </c>
      <c r="H1027" s="140">
        <v>541611</v>
      </c>
      <c r="I1027" s="140" t="s">
        <v>67</v>
      </c>
      <c r="J1027" s="32" t="s">
        <v>2558</v>
      </c>
      <c r="K1027" s="32" t="s">
        <v>2573</v>
      </c>
      <c r="L1027" s="32" t="s">
        <v>464</v>
      </c>
      <c r="M1027" s="92"/>
      <c r="N1027" s="92">
        <v>140000</v>
      </c>
      <c r="O1027" s="32" t="s">
        <v>387</v>
      </c>
      <c r="P1027" s="32" t="s">
        <v>2574</v>
      </c>
      <c r="Q1027" s="32" t="s">
        <v>294</v>
      </c>
      <c r="R1027" s="32" t="s">
        <v>150</v>
      </c>
      <c r="S1027" s="138">
        <v>2014</v>
      </c>
      <c r="T1027" s="140" t="s">
        <v>2561</v>
      </c>
      <c r="U1027" s="140" t="s">
        <v>2562</v>
      </c>
      <c r="V1027" s="32" t="s">
        <v>2563</v>
      </c>
      <c r="W1027" s="140" t="s">
        <v>151</v>
      </c>
      <c r="X1027" s="32"/>
      <c r="Y1027" s="32"/>
      <c r="Z1027" s="91">
        <v>41816</v>
      </c>
      <c r="AA1027" s="32"/>
    </row>
    <row r="1028" spans="1:27" s="29" customFormat="1" ht="38.25" customHeight="1">
      <c r="A1028" s="30" t="s">
        <v>71</v>
      </c>
      <c r="B1028" s="30" t="s">
        <v>116</v>
      </c>
      <c r="C1028" s="32" t="s">
        <v>144</v>
      </c>
      <c r="D1028" s="34" t="s">
        <v>2575</v>
      </c>
      <c r="E1028" s="34" t="s">
        <v>288</v>
      </c>
      <c r="F1028" s="32" t="s">
        <v>289</v>
      </c>
      <c r="G1028" s="140" t="s">
        <v>111</v>
      </c>
      <c r="H1028" s="140">
        <v>541611</v>
      </c>
      <c r="I1028" s="140" t="s">
        <v>67</v>
      </c>
      <c r="J1028" s="32" t="s">
        <v>2558</v>
      </c>
      <c r="K1028" s="32" t="s">
        <v>2576</v>
      </c>
      <c r="L1028" s="32" t="s">
        <v>464</v>
      </c>
      <c r="M1028" s="92"/>
      <c r="N1028" s="92">
        <v>601069</v>
      </c>
      <c r="O1028" s="32" t="s">
        <v>387</v>
      </c>
      <c r="P1028" s="32" t="s">
        <v>2574</v>
      </c>
      <c r="Q1028" s="32" t="s">
        <v>294</v>
      </c>
      <c r="R1028" s="32" t="s">
        <v>150</v>
      </c>
      <c r="S1028" s="138">
        <v>2014</v>
      </c>
      <c r="T1028" s="140" t="s">
        <v>2561</v>
      </c>
      <c r="U1028" s="140" t="s">
        <v>2562</v>
      </c>
      <c r="V1028" s="32" t="s">
        <v>2563</v>
      </c>
      <c r="W1028" s="140" t="s">
        <v>151</v>
      </c>
      <c r="X1028" s="32"/>
      <c r="Y1028" s="32"/>
      <c r="Z1028" s="91">
        <v>41816</v>
      </c>
      <c r="AA1028" s="32"/>
    </row>
    <row r="1029" spans="1:27" s="29" customFormat="1" ht="38.25" customHeight="1">
      <c r="A1029" s="30" t="s">
        <v>71</v>
      </c>
      <c r="B1029" s="30" t="s">
        <v>116</v>
      </c>
      <c r="C1029" s="32" t="s">
        <v>144</v>
      </c>
      <c r="D1029" s="34" t="s">
        <v>2577</v>
      </c>
      <c r="E1029" s="34" t="s">
        <v>288</v>
      </c>
      <c r="F1029" s="32" t="s">
        <v>289</v>
      </c>
      <c r="G1029" s="140" t="s">
        <v>111</v>
      </c>
      <c r="H1029" s="140">
        <v>541611</v>
      </c>
      <c r="I1029" s="140" t="s">
        <v>67</v>
      </c>
      <c r="J1029" s="32" t="s">
        <v>2558</v>
      </c>
      <c r="K1029" s="32" t="s">
        <v>2578</v>
      </c>
      <c r="L1029" s="32" t="s">
        <v>464</v>
      </c>
      <c r="M1029" s="92"/>
      <c r="N1029" s="92">
        <v>259104</v>
      </c>
      <c r="O1029" s="32" t="s">
        <v>387</v>
      </c>
      <c r="P1029" s="32" t="s">
        <v>2574</v>
      </c>
      <c r="Q1029" s="32" t="s">
        <v>294</v>
      </c>
      <c r="R1029" s="32" t="s">
        <v>150</v>
      </c>
      <c r="S1029" s="138">
        <v>2014</v>
      </c>
      <c r="T1029" s="140" t="s">
        <v>2561</v>
      </c>
      <c r="U1029" s="140" t="s">
        <v>2562</v>
      </c>
      <c r="V1029" s="32" t="s">
        <v>2563</v>
      </c>
      <c r="W1029" s="140" t="s">
        <v>151</v>
      </c>
      <c r="X1029" s="32"/>
      <c r="Y1029" s="32"/>
      <c r="Z1029" s="91">
        <v>41816</v>
      </c>
      <c r="AA1029" s="32"/>
    </row>
    <row r="1030" spans="1:27" s="29" customFormat="1" ht="38.25" customHeight="1">
      <c r="A1030" s="30" t="s">
        <v>71</v>
      </c>
      <c r="B1030" s="30" t="s">
        <v>116</v>
      </c>
      <c r="C1030" s="32" t="s">
        <v>2212</v>
      </c>
      <c r="D1030" s="34" t="s">
        <v>2579</v>
      </c>
      <c r="E1030" s="34" t="s">
        <v>288</v>
      </c>
      <c r="F1030" s="32" t="s">
        <v>289</v>
      </c>
      <c r="G1030" s="140" t="s">
        <v>111</v>
      </c>
      <c r="H1030" s="140">
        <v>541512</v>
      </c>
      <c r="I1030" s="140" t="s">
        <v>98</v>
      </c>
      <c r="J1030" s="32" t="s">
        <v>2580</v>
      </c>
      <c r="K1030" s="32" t="s">
        <v>2581</v>
      </c>
      <c r="L1030" s="32"/>
      <c r="M1030" s="92"/>
      <c r="N1030" s="92">
        <v>108000000</v>
      </c>
      <c r="O1030" s="32" t="s">
        <v>590</v>
      </c>
      <c r="P1030" s="30" t="s">
        <v>302</v>
      </c>
      <c r="Q1030" s="32" t="s">
        <v>294</v>
      </c>
      <c r="R1030" s="32" t="s">
        <v>100</v>
      </c>
      <c r="S1030" s="138">
        <v>2014</v>
      </c>
      <c r="T1030" s="140" t="s">
        <v>2582</v>
      </c>
      <c r="U1030" s="140" t="s">
        <v>2583</v>
      </c>
      <c r="V1030" s="34" t="s">
        <v>2584</v>
      </c>
      <c r="W1030" s="140" t="s">
        <v>151</v>
      </c>
      <c r="X1030" s="34" t="s">
        <v>335</v>
      </c>
      <c r="Y1030" s="34" t="s">
        <v>2585</v>
      </c>
      <c r="Z1030" s="34" t="s">
        <v>2586</v>
      </c>
      <c r="AA1030" s="34" t="s">
        <v>3346</v>
      </c>
    </row>
    <row r="1031" spans="1:27" s="29" customFormat="1" ht="38.25" customHeight="1">
      <c r="A1031" s="30" t="s">
        <v>71</v>
      </c>
      <c r="B1031" s="30" t="s">
        <v>116</v>
      </c>
      <c r="C1031" s="32" t="s">
        <v>2212</v>
      </c>
      <c r="D1031" s="34" t="s">
        <v>2588</v>
      </c>
      <c r="E1031" s="34" t="s">
        <v>30</v>
      </c>
      <c r="F1031" s="32" t="s">
        <v>289</v>
      </c>
      <c r="G1031" s="140" t="s">
        <v>111</v>
      </c>
      <c r="H1031" s="140">
        <v>541512</v>
      </c>
      <c r="I1031" s="140" t="s">
        <v>98</v>
      </c>
      <c r="J1031" s="32" t="s">
        <v>2580</v>
      </c>
      <c r="K1031" s="32" t="s">
        <v>2581</v>
      </c>
      <c r="L1031" s="32" t="s">
        <v>2589</v>
      </c>
      <c r="M1031" s="92">
        <v>30000000</v>
      </c>
      <c r="N1031" s="92">
        <v>40000000</v>
      </c>
      <c r="O1031" s="32" t="s">
        <v>590</v>
      </c>
      <c r="P1031" s="32" t="s">
        <v>2590</v>
      </c>
      <c r="Q1031" s="32" t="s">
        <v>294</v>
      </c>
      <c r="R1031" s="155" t="s">
        <v>80</v>
      </c>
      <c r="S1031" s="138">
        <v>2014</v>
      </c>
      <c r="T1031" s="140" t="s">
        <v>2582</v>
      </c>
      <c r="U1031" s="140" t="s">
        <v>2583</v>
      </c>
      <c r="V1031" s="34" t="s">
        <v>2584</v>
      </c>
      <c r="W1031" s="140" t="s">
        <v>151</v>
      </c>
      <c r="X1031" s="34" t="s">
        <v>447</v>
      </c>
      <c r="Y1031" s="34" t="s">
        <v>2591</v>
      </c>
      <c r="Z1031" s="34" t="s">
        <v>2592</v>
      </c>
      <c r="AA1031" s="34" t="s">
        <v>2587</v>
      </c>
    </row>
    <row r="1032" spans="1:27" s="29" customFormat="1" ht="38.25" customHeight="1">
      <c r="A1032" s="30" t="s">
        <v>71</v>
      </c>
      <c r="B1032" s="30" t="s">
        <v>116</v>
      </c>
      <c r="C1032" s="32" t="s">
        <v>2212</v>
      </c>
      <c r="D1032" s="34" t="s">
        <v>2593</v>
      </c>
      <c r="E1032" s="34" t="s">
        <v>30</v>
      </c>
      <c r="F1032" s="32" t="s">
        <v>2594</v>
      </c>
      <c r="G1032" s="140" t="s">
        <v>111</v>
      </c>
      <c r="H1032" s="140">
        <v>541512</v>
      </c>
      <c r="I1032" s="140" t="s">
        <v>98</v>
      </c>
      <c r="J1032" s="32" t="s">
        <v>2580</v>
      </c>
      <c r="K1032" s="32" t="s">
        <v>2581</v>
      </c>
      <c r="L1032" s="32" t="s">
        <v>302</v>
      </c>
      <c r="M1032" s="92"/>
      <c r="N1032" s="92"/>
      <c r="O1032" s="32" t="s">
        <v>590</v>
      </c>
      <c r="P1032" s="32" t="s">
        <v>2595</v>
      </c>
      <c r="Q1032" s="32" t="s">
        <v>294</v>
      </c>
      <c r="R1032" s="32" t="s">
        <v>35</v>
      </c>
      <c r="S1032" s="138">
        <v>2014</v>
      </c>
      <c r="T1032" s="140" t="s">
        <v>2582</v>
      </c>
      <c r="U1032" s="140" t="s">
        <v>2583</v>
      </c>
      <c r="V1032" s="34" t="s">
        <v>2584</v>
      </c>
      <c r="W1032" s="140" t="s">
        <v>151</v>
      </c>
      <c r="X1032" s="32"/>
      <c r="Y1032" s="32"/>
      <c r="Z1032" s="32"/>
      <c r="AA1032" s="34" t="s">
        <v>3348</v>
      </c>
    </row>
    <row r="1033" spans="1:27" s="29" customFormat="1" ht="38.25" customHeight="1">
      <c r="A1033" s="30" t="s">
        <v>71</v>
      </c>
      <c r="B1033" s="30" t="s">
        <v>116</v>
      </c>
      <c r="C1033" s="32" t="s">
        <v>144</v>
      </c>
      <c r="D1033" s="34" t="s">
        <v>2596</v>
      </c>
      <c r="E1033" s="34" t="s">
        <v>30</v>
      </c>
      <c r="F1033" s="32" t="s">
        <v>289</v>
      </c>
      <c r="G1033" s="140" t="s">
        <v>111</v>
      </c>
      <c r="H1033" s="140">
        <v>541512</v>
      </c>
      <c r="I1033" s="140" t="s">
        <v>98</v>
      </c>
      <c r="J1033" s="129" t="s">
        <v>3401</v>
      </c>
      <c r="K1033" s="32" t="s">
        <v>2597</v>
      </c>
      <c r="L1033" s="32" t="s">
        <v>302</v>
      </c>
      <c r="M1033" s="92"/>
      <c r="N1033" s="92">
        <v>14446774</v>
      </c>
      <c r="O1033" s="32" t="s">
        <v>590</v>
      </c>
      <c r="P1033" s="32" t="s">
        <v>2598</v>
      </c>
      <c r="Q1033" s="32" t="s">
        <v>867</v>
      </c>
      <c r="R1033" s="32" t="s">
        <v>150</v>
      </c>
      <c r="S1033" s="138">
        <v>2014</v>
      </c>
      <c r="T1033" s="140" t="s">
        <v>2582</v>
      </c>
      <c r="U1033" s="140" t="s">
        <v>2583</v>
      </c>
      <c r="V1033" s="34" t="s">
        <v>2584</v>
      </c>
      <c r="W1033" s="140" t="s">
        <v>151</v>
      </c>
      <c r="X1033" s="32"/>
      <c r="Y1033" s="32"/>
      <c r="Z1033" s="32"/>
      <c r="AA1033" s="34" t="s">
        <v>3347</v>
      </c>
    </row>
    <row r="1034" spans="1:27" s="29" customFormat="1" ht="38.25" customHeight="1">
      <c r="A1034" s="30" t="s">
        <v>71</v>
      </c>
      <c r="B1034" s="30" t="s">
        <v>116</v>
      </c>
      <c r="C1034" s="32" t="s">
        <v>2212</v>
      </c>
      <c r="D1034" s="34" t="s">
        <v>2599</v>
      </c>
      <c r="E1034" s="34" t="s">
        <v>30</v>
      </c>
      <c r="F1034" s="32" t="s">
        <v>289</v>
      </c>
      <c r="G1034" s="140" t="s">
        <v>111</v>
      </c>
      <c r="H1034" s="140">
        <v>541512</v>
      </c>
      <c r="I1034" s="140" t="s">
        <v>98</v>
      </c>
      <c r="J1034" s="129" t="s">
        <v>3401</v>
      </c>
      <c r="K1034" s="32" t="s">
        <v>2600</v>
      </c>
      <c r="L1034" s="32" t="s">
        <v>302</v>
      </c>
      <c r="M1034" s="92"/>
      <c r="N1034" s="92">
        <v>6075000</v>
      </c>
      <c r="O1034" s="32" t="s">
        <v>590</v>
      </c>
      <c r="P1034" s="32" t="s">
        <v>2601</v>
      </c>
      <c r="Q1034" s="32" t="s">
        <v>294</v>
      </c>
      <c r="R1034" s="155" t="s">
        <v>80</v>
      </c>
      <c r="S1034" s="138">
        <v>2014</v>
      </c>
      <c r="T1034" s="140" t="s">
        <v>2582</v>
      </c>
      <c r="U1034" s="140" t="s">
        <v>2583</v>
      </c>
      <c r="V1034" s="34" t="s">
        <v>2584</v>
      </c>
      <c r="W1034" s="140" t="s">
        <v>151</v>
      </c>
      <c r="X1034" s="32"/>
      <c r="Y1034" s="32"/>
      <c r="Z1034" s="32"/>
      <c r="AA1034" s="34" t="s">
        <v>3347</v>
      </c>
    </row>
    <row r="1035" spans="1:27" s="29" customFormat="1" ht="38.25" customHeight="1">
      <c r="A1035" s="30" t="s">
        <v>71</v>
      </c>
      <c r="B1035" s="30" t="s">
        <v>116</v>
      </c>
      <c r="C1035" s="32" t="s">
        <v>144</v>
      </c>
      <c r="D1035" s="34" t="s">
        <v>2602</v>
      </c>
      <c r="E1035" s="34" t="s">
        <v>30</v>
      </c>
      <c r="F1035" s="32" t="s">
        <v>2594</v>
      </c>
      <c r="G1035" s="140" t="s">
        <v>111</v>
      </c>
      <c r="H1035" s="140">
        <v>541512</v>
      </c>
      <c r="I1035" s="54" t="s">
        <v>67</v>
      </c>
      <c r="J1035" s="129" t="s">
        <v>3401</v>
      </c>
      <c r="K1035" s="32" t="s">
        <v>2603</v>
      </c>
      <c r="L1035" s="32" t="s">
        <v>2604</v>
      </c>
      <c r="M1035" s="93"/>
      <c r="N1035" s="39">
        <v>353866</v>
      </c>
      <c r="O1035" s="32" t="s">
        <v>590</v>
      </c>
      <c r="P1035" s="32" t="s">
        <v>2605</v>
      </c>
      <c r="Q1035" s="32" t="s">
        <v>294</v>
      </c>
      <c r="R1035" s="32" t="s">
        <v>150</v>
      </c>
      <c r="S1035" s="138">
        <v>2014</v>
      </c>
      <c r="T1035" s="140" t="s">
        <v>2582</v>
      </c>
      <c r="U1035" s="140" t="s">
        <v>2583</v>
      </c>
      <c r="V1035" s="34" t="s">
        <v>2584</v>
      </c>
      <c r="W1035" s="140" t="s">
        <v>151</v>
      </c>
      <c r="X1035" s="32"/>
      <c r="Y1035" s="32"/>
      <c r="Z1035" s="32"/>
      <c r="AA1035" s="34" t="s">
        <v>3347</v>
      </c>
    </row>
    <row r="1036" spans="1:27" s="29" customFormat="1" ht="38.25" customHeight="1">
      <c r="A1036" s="30" t="s">
        <v>71</v>
      </c>
      <c r="B1036" s="30" t="s">
        <v>116</v>
      </c>
      <c r="C1036" s="32" t="s">
        <v>2212</v>
      </c>
      <c r="D1036" s="34" t="s">
        <v>2606</v>
      </c>
      <c r="E1036" s="34" t="s">
        <v>30</v>
      </c>
      <c r="F1036" s="32" t="s">
        <v>2594</v>
      </c>
      <c r="G1036" s="140" t="s">
        <v>111</v>
      </c>
      <c r="H1036" s="140">
        <v>541512</v>
      </c>
      <c r="I1036" s="129" t="s">
        <v>546</v>
      </c>
      <c r="J1036" s="129" t="s">
        <v>3401</v>
      </c>
      <c r="K1036" s="32" t="s">
        <v>2607</v>
      </c>
      <c r="L1036" s="32" t="s">
        <v>302</v>
      </c>
      <c r="M1036" s="93"/>
      <c r="N1036" s="92">
        <v>3960000</v>
      </c>
      <c r="O1036" s="32" t="s">
        <v>590</v>
      </c>
      <c r="P1036" s="32" t="s">
        <v>2605</v>
      </c>
      <c r="Q1036" s="32" t="s">
        <v>294</v>
      </c>
      <c r="R1036" s="155" t="s">
        <v>80</v>
      </c>
      <c r="S1036" s="138">
        <v>2014</v>
      </c>
      <c r="T1036" s="140" t="s">
        <v>2582</v>
      </c>
      <c r="U1036" s="140" t="s">
        <v>2583</v>
      </c>
      <c r="V1036" s="34" t="s">
        <v>2584</v>
      </c>
      <c r="W1036" s="140" t="s">
        <v>151</v>
      </c>
      <c r="X1036" s="32"/>
      <c r="Y1036" s="32"/>
      <c r="Z1036" s="32"/>
      <c r="AA1036" s="34" t="s">
        <v>3347</v>
      </c>
    </row>
    <row r="1037" spans="1:27" s="29" customFormat="1" ht="38.25" customHeight="1">
      <c r="A1037" s="30" t="s">
        <v>71</v>
      </c>
      <c r="B1037" s="30" t="s">
        <v>116</v>
      </c>
      <c r="C1037" s="32" t="s">
        <v>144</v>
      </c>
      <c r="D1037" s="34" t="s">
        <v>2608</v>
      </c>
      <c r="E1037" s="34" t="s">
        <v>30</v>
      </c>
      <c r="F1037" s="32" t="s">
        <v>2594</v>
      </c>
      <c r="G1037" s="140" t="s">
        <v>111</v>
      </c>
      <c r="H1037" s="140">
        <v>541512</v>
      </c>
      <c r="I1037" s="129" t="s">
        <v>546</v>
      </c>
      <c r="J1037" s="129" t="s">
        <v>3401</v>
      </c>
      <c r="K1037" s="142" t="s">
        <v>3406</v>
      </c>
      <c r="L1037" s="32" t="s">
        <v>464</v>
      </c>
      <c r="M1037" s="93"/>
      <c r="N1037" s="92">
        <v>3463243</v>
      </c>
      <c r="O1037" s="32" t="s">
        <v>590</v>
      </c>
      <c r="P1037" s="32" t="s">
        <v>2609</v>
      </c>
      <c r="Q1037" s="32" t="s">
        <v>867</v>
      </c>
      <c r="R1037" s="32" t="s">
        <v>150</v>
      </c>
      <c r="S1037" s="138">
        <v>2014</v>
      </c>
      <c r="T1037" s="140" t="s">
        <v>2582</v>
      </c>
      <c r="U1037" s="140" t="s">
        <v>2583</v>
      </c>
      <c r="V1037" s="34" t="s">
        <v>2584</v>
      </c>
      <c r="W1037" s="140" t="s">
        <v>151</v>
      </c>
      <c r="X1037" s="32"/>
      <c r="Y1037" s="32"/>
      <c r="Z1037" s="32"/>
      <c r="AA1037" s="34" t="s">
        <v>3347</v>
      </c>
    </row>
    <row r="1038" spans="1:27" s="29" customFormat="1" ht="38.25" customHeight="1">
      <c r="A1038" s="30" t="s">
        <v>71</v>
      </c>
      <c r="B1038" s="30" t="s">
        <v>116</v>
      </c>
      <c r="C1038" s="32" t="s">
        <v>2212</v>
      </c>
      <c r="D1038" s="34" t="s">
        <v>2608</v>
      </c>
      <c r="E1038" s="34" t="s">
        <v>30</v>
      </c>
      <c r="F1038" s="32" t="s">
        <v>2594</v>
      </c>
      <c r="G1038" s="140" t="s">
        <v>111</v>
      </c>
      <c r="H1038" s="140">
        <v>541512</v>
      </c>
      <c r="I1038" s="129" t="s">
        <v>546</v>
      </c>
      <c r="J1038" s="129" t="s">
        <v>3401</v>
      </c>
      <c r="K1038" s="140" t="s">
        <v>2610</v>
      </c>
      <c r="L1038" s="139" t="s">
        <v>290</v>
      </c>
      <c r="M1038" s="149"/>
      <c r="N1038" s="149" t="s">
        <v>345</v>
      </c>
      <c r="O1038" s="32" t="s">
        <v>590</v>
      </c>
      <c r="P1038" s="32" t="s">
        <v>2609</v>
      </c>
      <c r="Q1038" s="32" t="s">
        <v>294</v>
      </c>
      <c r="R1038" s="32" t="s">
        <v>100</v>
      </c>
      <c r="S1038" s="138">
        <v>2014</v>
      </c>
      <c r="T1038" s="140" t="s">
        <v>2582</v>
      </c>
      <c r="U1038" s="140" t="s">
        <v>2583</v>
      </c>
      <c r="V1038" s="34" t="s">
        <v>2584</v>
      </c>
      <c r="W1038" s="140" t="s">
        <v>151</v>
      </c>
      <c r="X1038" s="32"/>
      <c r="Y1038" s="32"/>
      <c r="Z1038" s="32"/>
      <c r="AA1038" s="34" t="s">
        <v>3347</v>
      </c>
    </row>
    <row r="1039" spans="1:27" s="29" customFormat="1" ht="38.25" customHeight="1">
      <c r="A1039" s="30" t="s">
        <v>71</v>
      </c>
      <c r="B1039" s="32" t="s">
        <v>2611</v>
      </c>
      <c r="C1039" s="32" t="s">
        <v>144</v>
      </c>
      <c r="D1039" s="34" t="s">
        <v>2612</v>
      </c>
      <c r="E1039" s="32"/>
      <c r="F1039" s="32"/>
      <c r="G1039" s="140"/>
      <c r="H1039" s="140"/>
      <c r="I1039" s="129" t="s">
        <v>59</v>
      </c>
      <c r="J1039" s="32" t="s">
        <v>2613</v>
      </c>
      <c r="K1039" s="30" t="s">
        <v>69</v>
      </c>
      <c r="L1039" s="32"/>
      <c r="M1039" s="92">
        <v>21218.25</v>
      </c>
      <c r="N1039" s="92">
        <v>58000</v>
      </c>
      <c r="O1039" s="30" t="s">
        <v>79</v>
      </c>
      <c r="P1039" s="32" t="s">
        <v>2614</v>
      </c>
      <c r="Q1039" s="152" t="s">
        <v>294</v>
      </c>
      <c r="R1039" s="32" t="s">
        <v>150</v>
      </c>
      <c r="S1039" s="41">
        <v>2014</v>
      </c>
      <c r="T1039" s="140" t="s">
        <v>2615</v>
      </c>
      <c r="U1039" s="140" t="s">
        <v>2616</v>
      </c>
      <c r="V1039" s="32" t="s">
        <v>2617</v>
      </c>
      <c r="W1039" s="155" t="s">
        <v>151</v>
      </c>
      <c r="X1039" s="32"/>
      <c r="Y1039" s="32"/>
      <c r="Z1039" s="91">
        <v>41912</v>
      </c>
      <c r="AA1039" s="32"/>
    </row>
    <row r="1040" spans="1:27" s="29" customFormat="1" ht="38.25" customHeight="1">
      <c r="A1040" s="30" t="s">
        <v>71</v>
      </c>
      <c r="B1040" s="32" t="s">
        <v>2611</v>
      </c>
      <c r="C1040" s="32" t="s">
        <v>144</v>
      </c>
      <c r="D1040" s="34" t="s">
        <v>2618</v>
      </c>
      <c r="E1040" s="32"/>
      <c r="F1040" s="32"/>
      <c r="G1040" s="140"/>
      <c r="H1040" s="140"/>
      <c r="I1040" s="129" t="s">
        <v>42</v>
      </c>
      <c r="J1040" s="32" t="s">
        <v>2613</v>
      </c>
      <c r="K1040" s="32" t="s">
        <v>78</v>
      </c>
      <c r="L1040" s="32"/>
      <c r="M1040" s="92">
        <v>177677.4</v>
      </c>
      <c r="N1040" s="92">
        <v>177677.4</v>
      </c>
      <c r="O1040" s="30" t="s">
        <v>79</v>
      </c>
      <c r="P1040" s="32" t="s">
        <v>2614</v>
      </c>
      <c r="Q1040" s="152" t="s">
        <v>294</v>
      </c>
      <c r="R1040" s="32" t="s">
        <v>150</v>
      </c>
      <c r="S1040" s="41">
        <v>2014</v>
      </c>
      <c r="T1040" s="140" t="s">
        <v>2615</v>
      </c>
      <c r="U1040" s="140" t="s">
        <v>2616</v>
      </c>
      <c r="V1040" s="32" t="s">
        <v>2617</v>
      </c>
      <c r="W1040" s="155" t="s">
        <v>151</v>
      </c>
      <c r="X1040" s="32"/>
      <c r="Y1040" s="32"/>
      <c r="Z1040" s="91">
        <v>41705</v>
      </c>
      <c r="AA1040" s="32"/>
    </row>
    <row r="1041" spans="1:272" ht="38.25" customHeight="1">
      <c r="A1041" s="30" t="s">
        <v>71</v>
      </c>
      <c r="B1041" s="32" t="s">
        <v>2611</v>
      </c>
      <c r="C1041" s="32" t="s">
        <v>144</v>
      </c>
      <c r="D1041" s="34" t="s">
        <v>2619</v>
      </c>
      <c r="E1041" s="32"/>
      <c r="F1041" s="32"/>
      <c r="G1041" s="140"/>
      <c r="H1041" s="140"/>
      <c r="I1041" s="129" t="s">
        <v>42</v>
      </c>
      <c r="J1041" s="32" t="s">
        <v>2613</v>
      </c>
      <c r="K1041" s="32" t="s">
        <v>78</v>
      </c>
      <c r="L1041" s="32"/>
      <c r="M1041" s="92">
        <v>246684.88</v>
      </c>
      <c r="N1041" s="92">
        <v>246684.88</v>
      </c>
      <c r="O1041" s="30" t="s">
        <v>79</v>
      </c>
      <c r="P1041" s="32" t="s">
        <v>2614</v>
      </c>
      <c r="Q1041" s="152" t="s">
        <v>294</v>
      </c>
      <c r="R1041" s="32" t="s">
        <v>150</v>
      </c>
      <c r="S1041" s="41">
        <v>2014</v>
      </c>
      <c r="T1041" s="140" t="s">
        <v>2615</v>
      </c>
      <c r="U1041" s="140" t="s">
        <v>2616</v>
      </c>
      <c r="V1041" s="32" t="s">
        <v>2617</v>
      </c>
      <c r="W1041" s="155" t="s">
        <v>151</v>
      </c>
      <c r="X1041" s="32"/>
      <c r="Y1041" s="32"/>
      <c r="Z1041" s="91">
        <v>41705</v>
      </c>
      <c r="AA1041" s="32"/>
      <c r="AE1041" s="29"/>
      <c r="AF1041" s="29"/>
      <c r="AG1041" s="29"/>
      <c r="AH1041" s="29"/>
      <c r="AI1041" s="29"/>
      <c r="AJ1041" s="29"/>
      <c r="AK1041" s="29"/>
      <c r="AL1041" s="29"/>
      <c r="AM1041" s="29"/>
      <c r="AN1041" s="29"/>
      <c r="AO1041" s="29"/>
      <c r="AP1041" s="29"/>
      <c r="AQ1041" s="29"/>
      <c r="AR1041" s="29"/>
      <c r="AS1041" s="29"/>
      <c r="AT1041" s="29"/>
      <c r="AU1041" s="29"/>
      <c r="AV1041" s="29"/>
      <c r="AW1041" s="29"/>
      <c r="AX1041" s="29"/>
      <c r="AY1041" s="29"/>
      <c r="AZ1041" s="29"/>
      <c r="BA1041" s="29"/>
      <c r="BB1041" s="29"/>
      <c r="BC1041" s="29"/>
      <c r="BD1041" s="29"/>
      <c r="BE1041" s="29"/>
      <c r="BF1041" s="29"/>
      <c r="BG1041" s="29"/>
      <c r="BH1041" s="29"/>
      <c r="BI1041" s="29"/>
      <c r="BJ1041" s="29"/>
      <c r="BK1041" s="29"/>
      <c r="BL1041" s="29"/>
      <c r="BM1041" s="29"/>
      <c r="BN1041" s="29"/>
      <c r="BO1041" s="29"/>
      <c r="BP1041" s="29"/>
      <c r="BQ1041" s="29"/>
      <c r="BR1041" s="29"/>
      <c r="BS1041" s="29"/>
      <c r="BT1041" s="29"/>
      <c r="BU1041" s="29"/>
      <c r="BV1041" s="29"/>
      <c r="BW1041" s="29"/>
      <c r="BX1041" s="29"/>
      <c r="BY1041" s="29"/>
      <c r="BZ1041" s="29"/>
      <c r="CA1041" s="29"/>
      <c r="CB1041" s="29"/>
      <c r="CC1041" s="29"/>
      <c r="CD1041" s="29"/>
      <c r="CE1041" s="29"/>
      <c r="CF1041" s="29"/>
      <c r="CG1041" s="29"/>
      <c r="CH1041" s="29"/>
      <c r="CI1041" s="29"/>
      <c r="CJ1041" s="29"/>
      <c r="CK1041" s="29"/>
      <c r="CL1041" s="29"/>
      <c r="CM1041" s="29"/>
      <c r="CN1041" s="29"/>
      <c r="CO1041" s="29"/>
      <c r="CP1041" s="29"/>
      <c r="CQ1041" s="29"/>
      <c r="CR1041" s="29"/>
      <c r="CS1041" s="29"/>
      <c r="CT1041" s="29"/>
      <c r="CU1041" s="29"/>
      <c r="CV1041" s="29"/>
      <c r="CW1041" s="29"/>
      <c r="CX1041" s="29"/>
      <c r="CY1041" s="29"/>
      <c r="CZ1041" s="29"/>
      <c r="DA1041" s="29"/>
      <c r="DB1041" s="29"/>
      <c r="DC1041" s="29"/>
      <c r="DD1041" s="29"/>
      <c r="DE1041" s="29"/>
      <c r="DF1041" s="29"/>
      <c r="DG1041" s="29"/>
      <c r="DH1041" s="29"/>
      <c r="DI1041" s="29"/>
      <c r="DJ1041" s="29"/>
      <c r="DK1041" s="29"/>
      <c r="DL1041" s="29"/>
      <c r="DM1041" s="29"/>
      <c r="DN1041" s="29"/>
      <c r="DO1041" s="29"/>
      <c r="DP1041" s="29"/>
      <c r="DQ1041" s="29"/>
      <c r="DR1041" s="29"/>
      <c r="DS1041" s="29"/>
      <c r="DT1041" s="29"/>
      <c r="DU1041" s="29"/>
      <c r="DV1041" s="29"/>
      <c r="DW1041" s="29"/>
      <c r="DX1041" s="29"/>
      <c r="DY1041" s="29"/>
      <c r="DZ1041" s="29"/>
      <c r="EA1041" s="29"/>
      <c r="EB1041" s="29"/>
      <c r="EC1041" s="29"/>
      <c r="ED1041" s="29"/>
      <c r="EE1041" s="29"/>
      <c r="EF1041" s="29"/>
      <c r="EG1041" s="29"/>
      <c r="EH1041" s="29"/>
      <c r="EI1041" s="29"/>
      <c r="EJ1041" s="29"/>
      <c r="EK1041" s="29"/>
      <c r="EL1041" s="29"/>
      <c r="EM1041" s="29"/>
      <c r="EN1041" s="29"/>
      <c r="EO1041" s="29"/>
      <c r="EP1041" s="29"/>
      <c r="EQ1041" s="29"/>
      <c r="ER1041" s="29"/>
      <c r="ES1041" s="29"/>
      <c r="ET1041" s="29"/>
      <c r="EU1041" s="29"/>
      <c r="EV1041" s="29"/>
      <c r="EW1041" s="29"/>
      <c r="EX1041" s="29"/>
      <c r="EY1041" s="29"/>
      <c r="EZ1041" s="29"/>
      <c r="FA1041" s="29"/>
      <c r="FB1041" s="29"/>
      <c r="FC1041" s="29"/>
      <c r="FD1041" s="29"/>
      <c r="FE1041" s="29"/>
      <c r="FF1041" s="29"/>
      <c r="FG1041" s="29"/>
      <c r="FH1041" s="29"/>
      <c r="FI1041" s="29"/>
      <c r="FJ1041" s="29"/>
      <c r="FK1041" s="29"/>
      <c r="FL1041" s="29"/>
      <c r="FM1041" s="29"/>
      <c r="FN1041" s="29"/>
      <c r="FO1041" s="29"/>
      <c r="FP1041" s="29"/>
      <c r="FQ1041" s="29"/>
      <c r="FR1041" s="29"/>
      <c r="FS1041" s="29"/>
      <c r="FT1041" s="29"/>
      <c r="FU1041" s="29"/>
      <c r="FV1041" s="29"/>
      <c r="FW1041" s="29"/>
      <c r="FX1041" s="29"/>
      <c r="FY1041" s="29"/>
      <c r="FZ1041" s="29"/>
      <c r="GA1041" s="29"/>
      <c r="GB1041" s="29"/>
      <c r="GC1041" s="29"/>
      <c r="GD1041" s="29"/>
      <c r="GE1041" s="29"/>
      <c r="GF1041" s="29"/>
      <c r="GG1041" s="29"/>
      <c r="GH1041" s="29"/>
      <c r="GI1041" s="29"/>
      <c r="GJ1041" s="29"/>
      <c r="GK1041" s="29"/>
      <c r="GL1041" s="29"/>
      <c r="GM1041" s="29"/>
      <c r="GN1041" s="29"/>
      <c r="GO1041" s="29"/>
      <c r="GP1041" s="29"/>
      <c r="GQ1041" s="29"/>
      <c r="GR1041" s="29"/>
      <c r="GS1041" s="29"/>
      <c r="GT1041" s="29"/>
      <c r="GU1041" s="29"/>
      <c r="GV1041" s="29"/>
      <c r="GW1041" s="29"/>
      <c r="GX1041" s="29"/>
      <c r="GY1041" s="29"/>
      <c r="GZ1041" s="29"/>
      <c r="HA1041" s="29"/>
      <c r="HB1041" s="29"/>
      <c r="HC1041" s="29"/>
      <c r="HD1041" s="29"/>
      <c r="HE1041" s="29"/>
      <c r="HF1041" s="29"/>
      <c r="HG1041" s="29"/>
      <c r="HH1041" s="29"/>
      <c r="HI1041" s="29"/>
      <c r="HJ1041" s="29"/>
      <c r="HK1041" s="29"/>
      <c r="HL1041" s="29"/>
      <c r="HM1041" s="29"/>
      <c r="HN1041" s="29"/>
      <c r="HO1041" s="29"/>
      <c r="HP1041" s="29"/>
      <c r="HQ1041" s="29"/>
      <c r="HR1041" s="29"/>
      <c r="HS1041" s="29"/>
      <c r="HT1041" s="29"/>
      <c r="HU1041" s="29"/>
      <c r="HV1041" s="29"/>
      <c r="HW1041" s="29"/>
      <c r="HX1041" s="29"/>
      <c r="HY1041" s="29"/>
      <c r="HZ1041" s="29"/>
      <c r="IA1041" s="29"/>
      <c r="IB1041" s="29"/>
      <c r="IC1041" s="29"/>
      <c r="ID1041" s="29"/>
      <c r="IE1041" s="29"/>
      <c r="IF1041" s="29"/>
      <c r="IG1041" s="29"/>
      <c r="IH1041" s="29"/>
      <c r="II1041" s="29"/>
      <c r="IJ1041" s="29"/>
      <c r="IK1041" s="29"/>
      <c r="IL1041" s="29"/>
      <c r="IM1041" s="29"/>
      <c r="IN1041" s="29"/>
      <c r="IO1041" s="29"/>
      <c r="IP1041" s="29"/>
      <c r="IQ1041" s="29"/>
      <c r="IR1041" s="29"/>
      <c r="IS1041" s="29"/>
      <c r="IT1041" s="29"/>
      <c r="IU1041" s="29"/>
      <c r="IV1041" s="29"/>
      <c r="IW1041" s="29"/>
      <c r="IX1041" s="29"/>
      <c r="IY1041" s="29"/>
      <c r="IZ1041" s="29"/>
      <c r="JA1041" s="29"/>
      <c r="JB1041" s="29"/>
      <c r="JC1041" s="29"/>
      <c r="JD1041" s="29"/>
      <c r="JE1041" s="29"/>
      <c r="JF1041" s="29"/>
      <c r="JG1041" s="29"/>
      <c r="JH1041" s="29"/>
      <c r="JI1041" s="29"/>
      <c r="JJ1041" s="29"/>
      <c r="JK1041" s="29"/>
      <c r="JL1041" s="29"/>
    </row>
    <row r="1042" spans="1:272" ht="38.25" customHeight="1">
      <c r="A1042" s="30" t="s">
        <v>71</v>
      </c>
      <c r="B1042" s="32" t="s">
        <v>2611</v>
      </c>
      <c r="C1042" s="32" t="s">
        <v>1080</v>
      </c>
      <c r="D1042" s="34" t="s">
        <v>2618</v>
      </c>
      <c r="E1042" s="30"/>
      <c r="F1042" s="30"/>
      <c r="G1042" s="31"/>
      <c r="H1042" s="31"/>
      <c r="I1042" s="140" t="s">
        <v>98</v>
      </c>
      <c r="J1042" s="32" t="s">
        <v>2613</v>
      </c>
      <c r="K1042" s="140" t="s">
        <v>78</v>
      </c>
      <c r="L1042" s="32"/>
      <c r="M1042" s="98" t="s">
        <v>345</v>
      </c>
      <c r="N1042" s="98" t="s">
        <v>345</v>
      </c>
      <c r="O1042" s="30" t="s">
        <v>79</v>
      </c>
      <c r="P1042" s="32" t="s">
        <v>2614</v>
      </c>
      <c r="Q1042" s="152" t="s">
        <v>294</v>
      </c>
      <c r="R1042" s="94" t="s">
        <v>100</v>
      </c>
      <c r="S1042" s="41">
        <v>2014</v>
      </c>
      <c r="T1042" s="140" t="s">
        <v>2615</v>
      </c>
      <c r="U1042" s="140" t="s">
        <v>2616</v>
      </c>
      <c r="V1042" s="32" t="s">
        <v>2617</v>
      </c>
      <c r="W1042" s="155" t="s">
        <v>151</v>
      </c>
      <c r="X1042" s="96">
        <v>41288</v>
      </c>
      <c r="Y1042" s="96">
        <v>41706</v>
      </c>
      <c r="Z1042" s="96">
        <v>41547</v>
      </c>
      <c r="AA1042" s="95"/>
      <c r="AB1042" s="97"/>
      <c r="AE1042" s="29"/>
      <c r="AF1042" s="29"/>
      <c r="AG1042" s="29"/>
      <c r="AH1042" s="29"/>
      <c r="AI1042" s="29"/>
      <c r="AJ1042" s="29"/>
      <c r="AK1042" s="29"/>
      <c r="AL1042" s="29"/>
      <c r="AM1042" s="29"/>
      <c r="AN1042" s="29"/>
      <c r="AO1042" s="29"/>
      <c r="AP1042" s="29"/>
      <c r="AQ1042" s="29"/>
      <c r="AR1042" s="29"/>
      <c r="AS1042" s="29"/>
      <c r="AT1042" s="29"/>
      <c r="AU1042" s="29"/>
      <c r="AV1042" s="29"/>
      <c r="AW1042" s="29"/>
      <c r="AX1042" s="29"/>
      <c r="AY1042" s="29"/>
      <c r="AZ1042" s="29"/>
      <c r="BA1042" s="29"/>
      <c r="BB1042" s="29"/>
      <c r="BC1042" s="29"/>
      <c r="BD1042" s="29"/>
      <c r="BE1042" s="29"/>
      <c r="BF1042" s="29"/>
      <c r="BG1042" s="29"/>
      <c r="BH1042" s="29"/>
      <c r="BI1042" s="29"/>
      <c r="BJ1042" s="29"/>
      <c r="BK1042" s="29"/>
      <c r="BL1042" s="29"/>
      <c r="BM1042" s="29"/>
      <c r="BN1042" s="29"/>
      <c r="BO1042" s="29"/>
      <c r="BP1042" s="29"/>
      <c r="BQ1042" s="29"/>
      <c r="BR1042" s="29"/>
      <c r="BS1042" s="29"/>
      <c r="BT1042" s="29"/>
      <c r="BU1042" s="29"/>
      <c r="BV1042" s="29"/>
      <c r="BW1042" s="29"/>
      <c r="BX1042" s="29"/>
      <c r="BY1042" s="29"/>
      <c r="BZ1042" s="29"/>
      <c r="CA1042" s="29"/>
      <c r="CB1042" s="29"/>
      <c r="CC1042" s="29"/>
      <c r="CD1042" s="29"/>
      <c r="CE1042" s="29"/>
      <c r="CF1042" s="29"/>
      <c r="CG1042" s="29"/>
      <c r="CH1042" s="29"/>
      <c r="CI1042" s="29"/>
      <c r="CJ1042" s="29"/>
      <c r="CK1042" s="29"/>
      <c r="CL1042" s="29"/>
      <c r="CM1042" s="29"/>
      <c r="CN1042" s="29"/>
      <c r="CO1042" s="29"/>
      <c r="CP1042" s="29"/>
      <c r="CQ1042" s="29"/>
      <c r="CR1042" s="29"/>
      <c r="CS1042" s="29"/>
      <c r="CT1042" s="29"/>
      <c r="CU1042" s="29"/>
      <c r="CV1042" s="29"/>
      <c r="CW1042" s="29"/>
      <c r="CX1042" s="29"/>
      <c r="CY1042" s="29"/>
      <c r="CZ1042" s="29"/>
      <c r="DA1042" s="29"/>
      <c r="DB1042" s="29"/>
      <c r="DC1042" s="29"/>
      <c r="DD1042" s="29"/>
      <c r="DE1042" s="29"/>
      <c r="DF1042" s="29"/>
      <c r="DG1042" s="29"/>
      <c r="DH1042" s="29"/>
      <c r="DI1042" s="29"/>
      <c r="DJ1042" s="29"/>
      <c r="DK1042" s="29"/>
      <c r="DL1042" s="29"/>
      <c r="DM1042" s="29"/>
      <c r="DN1042" s="29"/>
      <c r="DO1042" s="29"/>
      <c r="DP1042" s="29"/>
      <c r="DQ1042" s="29"/>
      <c r="DR1042" s="29"/>
      <c r="DS1042" s="29"/>
      <c r="DT1042" s="29"/>
      <c r="DU1042" s="29"/>
      <c r="DV1042" s="29"/>
      <c r="DW1042" s="29"/>
      <c r="DX1042" s="29"/>
      <c r="DY1042" s="29"/>
      <c r="DZ1042" s="29"/>
      <c r="EA1042" s="29"/>
      <c r="EB1042" s="29"/>
      <c r="EC1042" s="29"/>
      <c r="ED1042" s="29"/>
      <c r="EE1042" s="29"/>
      <c r="EF1042" s="29"/>
      <c r="EG1042" s="29"/>
      <c r="EH1042" s="29"/>
      <c r="EI1042" s="29"/>
      <c r="EJ1042" s="29"/>
      <c r="EK1042" s="29"/>
      <c r="EL1042" s="29"/>
      <c r="EM1042" s="29"/>
      <c r="EN1042" s="29"/>
      <c r="EO1042" s="29"/>
      <c r="EP1042" s="29"/>
      <c r="EQ1042" s="29"/>
      <c r="ER1042" s="29"/>
      <c r="ES1042" s="29"/>
      <c r="ET1042" s="29"/>
      <c r="EU1042" s="29"/>
      <c r="EV1042" s="29"/>
      <c r="EW1042" s="29"/>
      <c r="EX1042" s="29"/>
      <c r="EY1042" s="29"/>
      <c r="EZ1042" s="29"/>
      <c r="FA1042" s="29"/>
      <c r="FB1042" s="29"/>
      <c r="FC1042" s="29"/>
      <c r="FD1042" s="29"/>
      <c r="FE1042" s="29"/>
      <c r="FF1042" s="29"/>
      <c r="FG1042" s="29"/>
      <c r="FH1042" s="29"/>
      <c r="FI1042" s="29"/>
      <c r="FJ1042" s="29"/>
      <c r="FK1042" s="29"/>
      <c r="FL1042" s="29"/>
      <c r="FM1042" s="29"/>
      <c r="FN1042" s="29"/>
      <c r="FO1042" s="29"/>
      <c r="FP1042" s="29"/>
      <c r="FQ1042" s="29"/>
      <c r="FR1042" s="29"/>
      <c r="FS1042" s="29"/>
      <c r="FT1042" s="29"/>
      <c r="FU1042" s="29"/>
      <c r="FV1042" s="29"/>
      <c r="FW1042" s="29"/>
      <c r="FX1042" s="29"/>
      <c r="FY1042" s="29"/>
      <c r="FZ1042" s="29"/>
      <c r="GA1042" s="29"/>
      <c r="GB1042" s="29"/>
      <c r="GC1042" s="29"/>
      <c r="GD1042" s="29"/>
      <c r="GE1042" s="29"/>
      <c r="GF1042" s="29"/>
      <c r="GG1042" s="29"/>
      <c r="GH1042" s="29"/>
      <c r="GI1042" s="29"/>
      <c r="GJ1042" s="29"/>
      <c r="GK1042" s="29"/>
      <c r="GL1042" s="29"/>
      <c r="GM1042" s="29"/>
      <c r="GN1042" s="29"/>
      <c r="GO1042" s="29"/>
      <c r="GP1042" s="29"/>
      <c r="GQ1042" s="29"/>
      <c r="GR1042" s="29"/>
      <c r="GS1042" s="29"/>
      <c r="GT1042" s="29"/>
      <c r="GU1042" s="29"/>
      <c r="GV1042" s="29"/>
      <c r="GW1042" s="29"/>
      <c r="GX1042" s="29"/>
      <c r="GY1042" s="29"/>
      <c r="GZ1042" s="29"/>
      <c r="HA1042" s="29"/>
      <c r="HB1042" s="29"/>
      <c r="HC1042" s="29"/>
      <c r="HD1042" s="29"/>
      <c r="HE1042" s="29"/>
      <c r="HF1042" s="29"/>
      <c r="HG1042" s="29"/>
      <c r="HH1042" s="29"/>
      <c r="HI1042" s="29"/>
      <c r="HJ1042" s="29"/>
      <c r="HK1042" s="29"/>
      <c r="HL1042" s="29"/>
      <c r="HM1042" s="29"/>
      <c r="HN1042" s="29"/>
      <c r="HO1042" s="29"/>
      <c r="HP1042" s="29"/>
      <c r="HQ1042" s="29"/>
      <c r="HR1042" s="29"/>
      <c r="HS1042" s="29"/>
      <c r="HT1042" s="29"/>
      <c r="HU1042" s="29"/>
      <c r="HV1042" s="29"/>
      <c r="HW1042" s="29"/>
      <c r="HX1042" s="29"/>
      <c r="HY1042" s="29"/>
      <c r="HZ1042" s="29"/>
      <c r="IA1042" s="29"/>
      <c r="IB1042" s="29"/>
      <c r="IC1042" s="29"/>
      <c r="ID1042" s="29"/>
      <c r="IE1042" s="29"/>
      <c r="IF1042" s="29"/>
      <c r="IG1042" s="29"/>
      <c r="IH1042" s="29"/>
      <c r="II1042" s="29"/>
      <c r="IJ1042" s="29"/>
      <c r="IK1042" s="29"/>
      <c r="IL1042" s="29"/>
      <c r="IM1042" s="29"/>
      <c r="IN1042" s="29"/>
      <c r="IO1042" s="29"/>
      <c r="IP1042" s="29"/>
      <c r="IQ1042" s="29"/>
      <c r="IR1042" s="29"/>
      <c r="IS1042" s="29"/>
      <c r="IT1042" s="29"/>
      <c r="IU1042" s="29"/>
      <c r="IV1042" s="29"/>
      <c r="IW1042" s="29"/>
      <c r="IX1042" s="29"/>
      <c r="IY1042" s="29"/>
      <c r="IZ1042" s="29"/>
      <c r="JA1042" s="29"/>
      <c r="JB1042" s="29"/>
      <c r="JC1042" s="29"/>
      <c r="JD1042" s="29"/>
      <c r="JE1042" s="29"/>
      <c r="JF1042" s="29"/>
      <c r="JG1042" s="29"/>
      <c r="JH1042" s="29"/>
      <c r="JI1042" s="29"/>
      <c r="JJ1042" s="29"/>
      <c r="JK1042" s="29"/>
      <c r="JL1042" s="29"/>
    </row>
    <row r="1043" spans="1:272" ht="34.5" customHeight="1">
      <c r="A1043" s="30" t="s">
        <v>71</v>
      </c>
      <c r="B1043" s="32" t="s">
        <v>2611</v>
      </c>
      <c r="C1043" s="32" t="s">
        <v>1080</v>
      </c>
      <c r="D1043" s="34" t="s">
        <v>2619</v>
      </c>
      <c r="E1043" s="30"/>
      <c r="F1043" s="30"/>
      <c r="G1043" s="31"/>
      <c r="H1043" s="31"/>
      <c r="I1043" s="140" t="s">
        <v>98</v>
      </c>
      <c r="J1043" s="32" t="s">
        <v>2613</v>
      </c>
      <c r="K1043" s="140" t="s">
        <v>78</v>
      </c>
      <c r="L1043" s="32"/>
      <c r="M1043" s="98" t="s">
        <v>345</v>
      </c>
      <c r="N1043" s="98" t="s">
        <v>345</v>
      </c>
      <c r="O1043" s="30" t="s">
        <v>79</v>
      </c>
      <c r="P1043" s="32" t="s">
        <v>2614</v>
      </c>
      <c r="Q1043" s="152" t="s">
        <v>294</v>
      </c>
      <c r="R1043" s="94" t="s">
        <v>100</v>
      </c>
      <c r="S1043" s="41">
        <v>2014</v>
      </c>
      <c r="T1043" s="140" t="s">
        <v>2615</v>
      </c>
      <c r="U1043" s="140" t="s">
        <v>2616</v>
      </c>
      <c r="V1043" s="32" t="s">
        <v>2617</v>
      </c>
      <c r="W1043" s="155" t="s">
        <v>151</v>
      </c>
      <c r="X1043" s="96">
        <v>41288</v>
      </c>
      <c r="Y1043" s="96">
        <v>41706</v>
      </c>
      <c r="Z1043" s="96">
        <v>41547</v>
      </c>
      <c r="AA1043" s="95"/>
      <c r="AB1043" s="97"/>
      <c r="AE1043" s="29"/>
      <c r="AF1043" s="29"/>
      <c r="AG1043" s="29"/>
      <c r="AH1043" s="29"/>
      <c r="AI1043" s="29"/>
      <c r="AJ1043" s="29"/>
      <c r="AK1043" s="29"/>
      <c r="AL1043" s="29"/>
      <c r="AM1043" s="29"/>
      <c r="AN1043" s="29"/>
      <c r="AO1043" s="29"/>
      <c r="AP1043" s="29"/>
      <c r="AQ1043" s="29"/>
      <c r="AR1043" s="29"/>
      <c r="AS1043" s="29"/>
      <c r="AT1043" s="29"/>
      <c r="AU1043" s="29"/>
      <c r="AV1043" s="29"/>
      <c r="AW1043" s="29"/>
      <c r="AX1043" s="29"/>
      <c r="AY1043" s="29"/>
      <c r="AZ1043" s="29"/>
      <c r="BA1043" s="29"/>
      <c r="BB1043" s="29"/>
      <c r="BC1043" s="29"/>
      <c r="BD1043" s="29"/>
      <c r="BE1043" s="29"/>
      <c r="BF1043" s="29"/>
      <c r="BG1043" s="29"/>
      <c r="BH1043" s="29"/>
      <c r="BI1043" s="29"/>
      <c r="BJ1043" s="29"/>
      <c r="BK1043" s="29"/>
      <c r="BL1043" s="29"/>
      <c r="BM1043" s="29"/>
      <c r="BN1043" s="29"/>
      <c r="BO1043" s="29"/>
      <c r="BP1043" s="29"/>
      <c r="BQ1043" s="29"/>
      <c r="BR1043" s="29"/>
      <c r="BS1043" s="29"/>
      <c r="BT1043" s="29"/>
      <c r="BU1043" s="29"/>
      <c r="BV1043" s="29"/>
      <c r="BW1043" s="29"/>
      <c r="BX1043" s="29"/>
      <c r="BY1043" s="29"/>
      <c r="BZ1043" s="29"/>
      <c r="CA1043" s="29"/>
      <c r="CB1043" s="29"/>
      <c r="CC1043" s="29"/>
      <c r="CD1043" s="29"/>
      <c r="CE1043" s="29"/>
      <c r="CF1043" s="29"/>
      <c r="CG1043" s="29"/>
      <c r="CH1043" s="29"/>
      <c r="CI1043" s="29"/>
      <c r="CJ1043" s="29"/>
      <c r="CK1043" s="29"/>
      <c r="CL1043" s="29"/>
      <c r="CM1043" s="29"/>
      <c r="CN1043" s="29"/>
      <c r="CO1043" s="29"/>
      <c r="CP1043" s="29"/>
      <c r="CQ1043" s="29"/>
      <c r="CR1043" s="29"/>
      <c r="CS1043" s="29"/>
      <c r="CT1043" s="29"/>
      <c r="CU1043" s="29"/>
      <c r="CV1043" s="29"/>
      <c r="CW1043" s="29"/>
      <c r="CX1043" s="29"/>
      <c r="CY1043" s="29"/>
      <c r="CZ1043" s="29"/>
      <c r="DA1043" s="29"/>
      <c r="DB1043" s="29"/>
      <c r="DC1043" s="29"/>
      <c r="DD1043" s="29"/>
      <c r="DE1043" s="29"/>
      <c r="DF1043" s="29"/>
      <c r="DG1043" s="29"/>
      <c r="DH1043" s="29"/>
      <c r="DI1043" s="29"/>
      <c r="DJ1043" s="29"/>
      <c r="DK1043" s="29"/>
      <c r="DL1043" s="29"/>
      <c r="DM1043" s="29"/>
      <c r="DN1043" s="29"/>
      <c r="DO1043" s="29"/>
      <c r="DP1043" s="29"/>
      <c r="DQ1043" s="29"/>
      <c r="DR1043" s="29"/>
      <c r="DS1043" s="29"/>
      <c r="DT1043" s="29"/>
      <c r="DU1043" s="29"/>
      <c r="DV1043" s="29"/>
      <c r="DW1043" s="29"/>
      <c r="DX1043" s="29"/>
      <c r="DY1043" s="29"/>
      <c r="DZ1043" s="29"/>
      <c r="EA1043" s="29"/>
      <c r="EB1043" s="29"/>
      <c r="EC1043" s="29"/>
      <c r="ED1043" s="29"/>
      <c r="EE1043" s="29"/>
      <c r="EF1043" s="29"/>
      <c r="EG1043" s="29"/>
      <c r="EH1043" s="29"/>
      <c r="EI1043" s="29"/>
      <c r="EJ1043" s="29"/>
      <c r="EK1043" s="29"/>
      <c r="EL1043" s="29"/>
      <c r="EM1043" s="29"/>
      <c r="EN1043" s="29"/>
      <c r="EO1043" s="29"/>
      <c r="EP1043" s="29"/>
      <c r="EQ1043" s="29"/>
      <c r="ER1043" s="29"/>
      <c r="ES1043" s="29"/>
      <c r="ET1043" s="29"/>
      <c r="EU1043" s="29"/>
      <c r="EV1043" s="29"/>
      <c r="EW1043" s="29"/>
      <c r="EX1043" s="29"/>
      <c r="EY1043" s="29"/>
      <c r="EZ1043" s="29"/>
      <c r="FA1043" s="29"/>
      <c r="FB1043" s="29"/>
      <c r="FC1043" s="29"/>
      <c r="FD1043" s="29"/>
      <c r="FE1043" s="29"/>
      <c r="FF1043" s="29"/>
      <c r="FG1043" s="29"/>
      <c r="FH1043" s="29"/>
      <c r="FI1043" s="29"/>
      <c r="FJ1043" s="29"/>
      <c r="FK1043" s="29"/>
      <c r="FL1043" s="29"/>
      <c r="FM1043" s="29"/>
      <c r="FN1043" s="29"/>
      <c r="FO1043" s="29"/>
      <c r="FP1043" s="29"/>
      <c r="FQ1043" s="29"/>
      <c r="FR1043" s="29"/>
      <c r="FS1043" s="29"/>
      <c r="FT1043" s="29"/>
      <c r="FU1043" s="29"/>
      <c r="FV1043" s="29"/>
      <c r="FW1043" s="29"/>
      <c r="FX1043" s="29"/>
      <c r="FY1043" s="29"/>
      <c r="FZ1043" s="29"/>
      <c r="GA1043" s="29"/>
      <c r="GB1043" s="29"/>
      <c r="GC1043" s="29"/>
      <c r="GD1043" s="29"/>
      <c r="GE1043" s="29"/>
      <c r="GF1043" s="29"/>
      <c r="GG1043" s="29"/>
      <c r="GH1043" s="29"/>
      <c r="GI1043" s="29"/>
      <c r="GJ1043" s="29"/>
      <c r="GK1043" s="29"/>
      <c r="GL1043" s="29"/>
      <c r="GM1043" s="29"/>
      <c r="GN1043" s="29"/>
      <c r="GO1043" s="29"/>
      <c r="GP1043" s="29"/>
      <c r="GQ1043" s="29"/>
      <c r="GR1043" s="29"/>
      <c r="GS1043" s="29"/>
      <c r="GT1043" s="29"/>
      <c r="GU1043" s="29"/>
      <c r="GV1043" s="29"/>
      <c r="GW1043" s="29"/>
      <c r="GX1043" s="29"/>
      <c r="GY1043" s="29"/>
      <c r="GZ1043" s="29"/>
      <c r="HA1043" s="29"/>
      <c r="HB1043" s="29"/>
      <c r="HC1043" s="29"/>
      <c r="HD1043" s="29"/>
      <c r="HE1043" s="29"/>
      <c r="HF1043" s="29"/>
      <c r="HG1043" s="29"/>
      <c r="HH1043" s="29"/>
      <c r="HI1043" s="29"/>
      <c r="HJ1043" s="29"/>
      <c r="HK1043" s="29"/>
      <c r="HL1043" s="29"/>
      <c r="HM1043" s="29"/>
      <c r="HN1043" s="29"/>
      <c r="HO1043" s="29"/>
      <c r="HP1043" s="29"/>
      <c r="HQ1043" s="29"/>
      <c r="HR1043" s="29"/>
      <c r="HS1043" s="29"/>
      <c r="HT1043" s="29"/>
      <c r="HU1043" s="29"/>
      <c r="HV1043" s="29"/>
      <c r="HW1043" s="29"/>
      <c r="HX1043" s="29"/>
      <c r="HY1043" s="29"/>
      <c r="HZ1043" s="29"/>
      <c r="IA1043" s="29"/>
      <c r="IB1043" s="29"/>
      <c r="IC1043" s="29"/>
      <c r="ID1043" s="29"/>
      <c r="IE1043" s="29"/>
      <c r="IF1043" s="29"/>
      <c r="IG1043" s="29"/>
      <c r="IH1043" s="29"/>
      <c r="II1043" s="29"/>
      <c r="IJ1043" s="29"/>
      <c r="IK1043" s="29"/>
      <c r="IL1043" s="29"/>
      <c r="IM1043" s="29"/>
      <c r="IN1043" s="29"/>
      <c r="IO1043" s="29"/>
      <c r="IP1043" s="29"/>
      <c r="IQ1043" s="29"/>
      <c r="IR1043" s="29"/>
      <c r="IS1043" s="29"/>
      <c r="IT1043" s="29"/>
      <c r="IU1043" s="29"/>
      <c r="IV1043" s="29"/>
      <c r="IW1043" s="29"/>
      <c r="IX1043" s="29"/>
      <c r="IY1043" s="29"/>
      <c r="IZ1043" s="29"/>
      <c r="JA1043" s="29"/>
      <c r="JB1043" s="29"/>
      <c r="JC1043" s="29"/>
      <c r="JD1043" s="29"/>
      <c r="JE1043" s="29"/>
      <c r="JF1043" s="29"/>
      <c r="JG1043" s="29"/>
      <c r="JH1043" s="29"/>
      <c r="JI1043" s="29"/>
      <c r="JJ1043" s="29"/>
      <c r="JK1043" s="29"/>
      <c r="JL1043" s="29"/>
    </row>
    <row r="1044" spans="1:272" ht="38.25" customHeight="1">
      <c r="A1044" s="30" t="s">
        <v>71</v>
      </c>
      <c r="B1044" s="32" t="s">
        <v>2620</v>
      </c>
      <c r="C1044" s="32"/>
      <c r="D1044" s="34" t="s">
        <v>2621</v>
      </c>
      <c r="E1044" s="30"/>
      <c r="F1044" s="30"/>
      <c r="G1044" s="31"/>
      <c r="H1044" s="31"/>
      <c r="I1044" s="142" t="s">
        <v>3395</v>
      </c>
      <c r="J1044" s="32" t="s">
        <v>2622</v>
      </c>
      <c r="K1044" s="32" t="s">
        <v>2623</v>
      </c>
      <c r="L1044" s="32"/>
      <c r="M1044" s="98">
        <v>0</v>
      </c>
      <c r="N1044" s="98">
        <v>1535573.41</v>
      </c>
      <c r="O1044" s="30" t="s">
        <v>79</v>
      </c>
      <c r="P1044" s="140" t="s">
        <v>2624</v>
      </c>
      <c r="Q1044" s="178" t="s">
        <v>3427</v>
      </c>
      <c r="R1044" s="94"/>
      <c r="S1044" s="41">
        <v>2014</v>
      </c>
      <c r="T1044" s="140" t="s">
        <v>2625</v>
      </c>
      <c r="U1044" s="140" t="s">
        <v>2626</v>
      </c>
      <c r="V1044" s="32" t="s">
        <v>2627</v>
      </c>
      <c r="W1044" s="155" t="s">
        <v>151</v>
      </c>
      <c r="X1044" s="95"/>
      <c r="Y1044" s="96">
        <v>41653</v>
      </c>
      <c r="Z1044" s="96">
        <v>42383</v>
      </c>
      <c r="AA1044" s="95"/>
      <c r="AB1044" s="97"/>
      <c r="AE1044" s="29"/>
      <c r="AF1044" s="29"/>
      <c r="AG1044" s="29"/>
      <c r="AH1044" s="29"/>
      <c r="AI1044" s="29"/>
      <c r="AJ1044" s="29"/>
      <c r="AK1044" s="29"/>
      <c r="AL1044" s="29"/>
      <c r="AM1044" s="29"/>
      <c r="AN1044" s="29"/>
      <c r="AO1044" s="29"/>
      <c r="AP1044" s="29"/>
      <c r="AQ1044" s="29"/>
      <c r="AR1044" s="29"/>
      <c r="AS1044" s="29"/>
      <c r="AT1044" s="29"/>
      <c r="AU1044" s="29"/>
      <c r="AV1044" s="29"/>
      <c r="AW1044" s="29"/>
      <c r="AX1044" s="29"/>
      <c r="AY1044" s="29"/>
      <c r="AZ1044" s="29"/>
      <c r="BA1044" s="29"/>
      <c r="BB1044" s="29"/>
      <c r="BC1044" s="29"/>
      <c r="BD1044" s="29"/>
      <c r="BE1044" s="29"/>
      <c r="BF1044" s="29"/>
      <c r="BG1044" s="29"/>
      <c r="BH1044" s="29"/>
      <c r="BI1044" s="29"/>
      <c r="BJ1044" s="29"/>
      <c r="BK1044" s="29"/>
      <c r="BL1044" s="29"/>
      <c r="BM1044" s="29"/>
      <c r="BN1044" s="29"/>
      <c r="BO1044" s="29"/>
      <c r="BP1044" s="29"/>
      <c r="BQ1044" s="29"/>
      <c r="BR1044" s="29"/>
      <c r="BS1044" s="29"/>
      <c r="BT1044" s="29"/>
      <c r="BU1044" s="29"/>
      <c r="BV1044" s="29"/>
      <c r="BW1044" s="29"/>
      <c r="BX1044" s="29"/>
      <c r="BY1044" s="29"/>
      <c r="BZ1044" s="29"/>
      <c r="CA1044" s="29"/>
      <c r="CB1044" s="29"/>
      <c r="CC1044" s="29"/>
      <c r="CD1044" s="29"/>
      <c r="CE1044" s="29"/>
      <c r="CF1044" s="29"/>
      <c r="CG1044" s="29"/>
      <c r="CH1044" s="29"/>
      <c r="CI1044" s="29"/>
      <c r="CJ1044" s="29"/>
      <c r="CK1044" s="29"/>
      <c r="CL1044" s="29"/>
      <c r="CM1044" s="29"/>
      <c r="CN1044" s="29"/>
      <c r="CO1044" s="29"/>
      <c r="CP1044" s="29"/>
      <c r="CQ1044" s="29"/>
      <c r="CR1044" s="29"/>
      <c r="CS1044" s="29"/>
      <c r="CT1044" s="29"/>
      <c r="CU1044" s="29"/>
      <c r="CV1044" s="29"/>
      <c r="CW1044" s="29"/>
      <c r="CX1044" s="29"/>
      <c r="CY1044" s="29"/>
      <c r="CZ1044" s="29"/>
      <c r="DA1044" s="29"/>
      <c r="DB1044" s="29"/>
      <c r="DC1044" s="29"/>
      <c r="DD1044" s="29"/>
      <c r="DE1044" s="29"/>
      <c r="DF1044" s="29"/>
      <c r="DG1044" s="29"/>
      <c r="DH1044" s="29"/>
      <c r="DI1044" s="29"/>
      <c r="DJ1044" s="29"/>
      <c r="DK1044" s="29"/>
      <c r="DL1044" s="29"/>
      <c r="DM1044" s="29"/>
      <c r="DN1044" s="29"/>
      <c r="DO1044" s="29"/>
      <c r="DP1044" s="29"/>
      <c r="DQ1044" s="29"/>
      <c r="DR1044" s="29"/>
      <c r="DS1044" s="29"/>
      <c r="DT1044" s="29"/>
      <c r="DU1044" s="29"/>
      <c r="DV1044" s="29"/>
      <c r="DW1044" s="29"/>
      <c r="DX1044" s="29"/>
      <c r="DY1044" s="29"/>
      <c r="DZ1044" s="29"/>
      <c r="EA1044" s="29"/>
      <c r="EB1044" s="29"/>
      <c r="EC1044" s="29"/>
      <c r="ED1044" s="29"/>
      <c r="EE1044" s="29"/>
      <c r="EF1044" s="29"/>
      <c r="EG1044" s="29"/>
      <c r="EH1044" s="29"/>
      <c r="EI1044" s="29"/>
      <c r="EJ1044" s="29"/>
      <c r="EK1044" s="29"/>
      <c r="EL1044" s="29"/>
      <c r="EM1044" s="29"/>
      <c r="EN1044" s="29"/>
      <c r="EO1044" s="29"/>
      <c r="EP1044" s="29"/>
      <c r="EQ1044" s="29"/>
      <c r="ER1044" s="29"/>
      <c r="ES1044" s="29"/>
      <c r="ET1044" s="29"/>
      <c r="EU1044" s="29"/>
      <c r="EV1044" s="29"/>
      <c r="EW1044" s="29"/>
      <c r="EX1044" s="29"/>
      <c r="EY1044" s="29"/>
      <c r="EZ1044" s="29"/>
      <c r="FA1044" s="29"/>
      <c r="FB1044" s="29"/>
      <c r="FC1044" s="29"/>
      <c r="FD1044" s="29"/>
      <c r="FE1044" s="29"/>
      <c r="FF1044" s="29"/>
      <c r="FG1044" s="29"/>
      <c r="FH1044" s="29"/>
      <c r="FI1044" s="29"/>
      <c r="FJ1044" s="29"/>
      <c r="FK1044" s="29"/>
      <c r="FL1044" s="29"/>
      <c r="FM1044" s="29"/>
      <c r="FN1044" s="29"/>
      <c r="FO1044" s="29"/>
      <c r="FP1044" s="29"/>
      <c r="FQ1044" s="29"/>
      <c r="FR1044" s="29"/>
      <c r="FS1044" s="29"/>
      <c r="FT1044" s="29"/>
      <c r="FU1044" s="29"/>
      <c r="FV1044" s="29"/>
      <c r="FW1044" s="29"/>
      <c r="FX1044" s="29"/>
      <c r="FY1044" s="29"/>
      <c r="FZ1044" s="29"/>
      <c r="GA1044" s="29"/>
      <c r="GB1044" s="29"/>
      <c r="GC1044" s="29"/>
      <c r="GD1044" s="29"/>
      <c r="GE1044" s="29"/>
      <c r="GF1044" s="29"/>
      <c r="GG1044" s="29"/>
      <c r="GH1044" s="29"/>
      <c r="GI1044" s="29"/>
      <c r="GJ1044" s="29"/>
      <c r="GK1044" s="29"/>
      <c r="GL1044" s="29"/>
      <c r="GM1044" s="29"/>
      <c r="GN1044" s="29"/>
      <c r="GO1044" s="29"/>
      <c r="GP1044" s="29"/>
      <c r="GQ1044" s="29"/>
      <c r="GR1044" s="29"/>
      <c r="GS1044" s="29"/>
      <c r="GT1044" s="29"/>
      <c r="GU1044" s="29"/>
      <c r="GV1044" s="29"/>
      <c r="GW1044" s="29"/>
      <c r="GX1044" s="29"/>
      <c r="GY1044" s="29"/>
      <c r="GZ1044" s="29"/>
      <c r="HA1044" s="29"/>
      <c r="HB1044" s="29"/>
      <c r="HC1044" s="29"/>
      <c r="HD1044" s="29"/>
      <c r="HE1044" s="29"/>
      <c r="HF1044" s="29"/>
      <c r="HG1044" s="29"/>
      <c r="HH1044" s="29"/>
      <c r="HI1044" s="29"/>
      <c r="HJ1044" s="29"/>
      <c r="HK1044" s="29"/>
      <c r="HL1044" s="29"/>
      <c r="HM1044" s="29"/>
      <c r="HN1044" s="29"/>
      <c r="HO1044" s="29"/>
      <c r="HP1044" s="29"/>
      <c r="HQ1044" s="29"/>
      <c r="HR1044" s="29"/>
      <c r="HS1044" s="29"/>
      <c r="HT1044" s="29"/>
      <c r="HU1044" s="29"/>
      <c r="HV1044" s="29"/>
      <c r="HW1044" s="29"/>
      <c r="HX1044" s="29"/>
      <c r="HY1044" s="29"/>
      <c r="HZ1044" s="29"/>
      <c r="IA1044" s="29"/>
      <c r="IB1044" s="29"/>
      <c r="IC1044" s="29"/>
      <c r="ID1044" s="29"/>
      <c r="IE1044" s="29"/>
      <c r="IF1044" s="29"/>
      <c r="IG1044" s="29"/>
      <c r="IH1044" s="29"/>
      <c r="II1044" s="29"/>
      <c r="IJ1044" s="29"/>
      <c r="IK1044" s="29"/>
      <c r="IL1044" s="29"/>
      <c r="IM1044" s="29"/>
      <c r="IN1044" s="29"/>
      <c r="IO1044" s="29"/>
      <c r="IP1044" s="29"/>
      <c r="IQ1044" s="29"/>
      <c r="IR1044" s="29"/>
      <c r="IS1044" s="29"/>
      <c r="IT1044" s="29"/>
      <c r="IU1044" s="29"/>
      <c r="IV1044" s="29"/>
      <c r="IW1044" s="29"/>
      <c r="IX1044" s="29"/>
      <c r="IY1044" s="29"/>
      <c r="IZ1044" s="29"/>
      <c r="JA1044" s="29"/>
      <c r="JB1044" s="29"/>
      <c r="JC1044" s="29"/>
      <c r="JD1044" s="29"/>
      <c r="JE1044" s="29"/>
      <c r="JF1044" s="29"/>
      <c r="JG1044" s="29"/>
      <c r="JH1044" s="29"/>
      <c r="JI1044" s="29"/>
      <c r="JJ1044" s="29"/>
      <c r="JK1044" s="29"/>
      <c r="JL1044" s="29"/>
    </row>
    <row r="1045" spans="1:272" ht="34.5" customHeight="1">
      <c r="A1045" s="30" t="s">
        <v>71</v>
      </c>
      <c r="B1045" s="32" t="s">
        <v>2628</v>
      </c>
      <c r="C1045" s="32" t="s">
        <v>144</v>
      </c>
      <c r="D1045" s="34" t="s">
        <v>2629</v>
      </c>
      <c r="E1045" s="31"/>
      <c r="F1045" s="30"/>
      <c r="G1045" s="31"/>
      <c r="H1045" s="31"/>
      <c r="I1045" s="54" t="s">
        <v>67</v>
      </c>
      <c r="J1045" s="32" t="s">
        <v>311</v>
      </c>
      <c r="K1045" s="32" t="s">
        <v>78</v>
      </c>
      <c r="L1045" s="32"/>
      <c r="M1045" s="98">
        <v>0</v>
      </c>
      <c r="N1045" s="98">
        <v>11000000</v>
      </c>
      <c r="O1045" s="30" t="s">
        <v>79</v>
      </c>
      <c r="P1045" s="32" t="s">
        <v>2630</v>
      </c>
      <c r="Q1045" s="152" t="s">
        <v>294</v>
      </c>
      <c r="R1045" s="94"/>
      <c r="S1045" s="41">
        <v>2014</v>
      </c>
      <c r="T1045" s="140" t="s">
        <v>2631</v>
      </c>
      <c r="U1045" s="140" t="s">
        <v>2632</v>
      </c>
      <c r="V1045" s="32" t="s">
        <v>2633</v>
      </c>
      <c r="W1045" s="155" t="s">
        <v>151</v>
      </c>
      <c r="X1045" s="95"/>
      <c r="Y1045" s="96">
        <v>41176</v>
      </c>
      <c r="Z1045" s="96">
        <v>42637</v>
      </c>
      <c r="AA1045" s="95"/>
      <c r="AB1045" s="97"/>
      <c r="AE1045" s="29"/>
      <c r="AF1045" s="29"/>
      <c r="AG1045" s="29"/>
      <c r="AH1045" s="29"/>
      <c r="AI1045" s="29"/>
      <c r="AJ1045" s="29"/>
      <c r="AK1045" s="29"/>
      <c r="AL1045" s="29"/>
      <c r="AM1045" s="29"/>
      <c r="AN1045" s="29"/>
      <c r="AO1045" s="29"/>
      <c r="AP1045" s="29"/>
      <c r="AQ1045" s="29"/>
      <c r="AR1045" s="29"/>
      <c r="AS1045" s="29"/>
      <c r="AT1045" s="29"/>
      <c r="AU1045" s="29"/>
      <c r="AV1045" s="29"/>
      <c r="AW1045" s="29"/>
      <c r="AX1045" s="29"/>
      <c r="AY1045" s="29"/>
      <c r="AZ1045" s="29"/>
      <c r="BA1045" s="29"/>
      <c r="BB1045" s="29"/>
      <c r="BC1045" s="29"/>
      <c r="BD1045" s="29"/>
      <c r="BE1045" s="29"/>
      <c r="BF1045" s="29"/>
      <c r="BG1045" s="29"/>
      <c r="BH1045" s="29"/>
      <c r="BI1045" s="29"/>
      <c r="BJ1045" s="29"/>
      <c r="BK1045" s="29"/>
      <c r="BL1045" s="29"/>
      <c r="BM1045" s="29"/>
      <c r="BN1045" s="29"/>
      <c r="BO1045" s="29"/>
      <c r="BP1045" s="29"/>
      <c r="BQ1045" s="29"/>
      <c r="BR1045" s="29"/>
      <c r="BS1045" s="29"/>
      <c r="BT1045" s="29"/>
      <c r="BU1045" s="29"/>
      <c r="BV1045" s="29"/>
      <c r="BW1045" s="29"/>
      <c r="BX1045" s="29"/>
      <c r="BY1045" s="29"/>
      <c r="BZ1045" s="29"/>
      <c r="CA1045" s="29"/>
      <c r="CB1045" s="29"/>
      <c r="CC1045" s="29"/>
      <c r="CD1045" s="29"/>
      <c r="CE1045" s="29"/>
      <c r="CF1045" s="29"/>
      <c r="CG1045" s="29"/>
      <c r="CH1045" s="29"/>
      <c r="CI1045" s="29"/>
      <c r="CJ1045" s="29"/>
      <c r="CK1045" s="29"/>
      <c r="CL1045" s="29"/>
      <c r="CM1045" s="29"/>
      <c r="CN1045" s="29"/>
      <c r="CO1045" s="29"/>
      <c r="CP1045" s="29"/>
      <c r="CQ1045" s="29"/>
      <c r="CR1045" s="29"/>
      <c r="CS1045" s="29"/>
      <c r="CT1045" s="29"/>
      <c r="CU1045" s="29"/>
      <c r="CV1045" s="29"/>
      <c r="CW1045" s="29"/>
      <c r="CX1045" s="29"/>
      <c r="CY1045" s="29"/>
      <c r="CZ1045" s="29"/>
      <c r="DA1045" s="29"/>
      <c r="DB1045" s="29"/>
      <c r="DC1045" s="29"/>
      <c r="DD1045" s="29"/>
      <c r="DE1045" s="29"/>
      <c r="DF1045" s="29"/>
      <c r="DG1045" s="29"/>
      <c r="DH1045" s="29"/>
      <c r="DI1045" s="29"/>
      <c r="DJ1045" s="29"/>
      <c r="DK1045" s="29"/>
      <c r="DL1045" s="29"/>
      <c r="DM1045" s="29"/>
      <c r="DN1045" s="29"/>
      <c r="DO1045" s="29"/>
      <c r="DP1045" s="29"/>
      <c r="DQ1045" s="29"/>
      <c r="DR1045" s="29"/>
      <c r="DS1045" s="29"/>
      <c r="DT1045" s="29"/>
      <c r="DU1045" s="29"/>
      <c r="DV1045" s="29"/>
      <c r="DW1045" s="29"/>
      <c r="DX1045" s="29"/>
      <c r="DY1045" s="29"/>
      <c r="DZ1045" s="29"/>
      <c r="EA1045" s="29"/>
      <c r="EB1045" s="29"/>
      <c r="EC1045" s="29"/>
      <c r="ED1045" s="29"/>
      <c r="EE1045" s="29"/>
      <c r="EF1045" s="29"/>
      <c r="EG1045" s="29"/>
      <c r="EH1045" s="29"/>
      <c r="EI1045" s="29"/>
      <c r="EJ1045" s="29"/>
      <c r="EK1045" s="29"/>
      <c r="EL1045" s="29"/>
      <c r="EM1045" s="29"/>
      <c r="EN1045" s="29"/>
      <c r="EO1045" s="29"/>
      <c r="EP1045" s="29"/>
      <c r="EQ1045" s="29"/>
      <c r="ER1045" s="29"/>
      <c r="ES1045" s="29"/>
      <c r="ET1045" s="29"/>
      <c r="EU1045" s="29"/>
      <c r="EV1045" s="29"/>
      <c r="EW1045" s="29"/>
      <c r="EX1045" s="29"/>
      <c r="EY1045" s="29"/>
      <c r="EZ1045" s="29"/>
      <c r="FA1045" s="29"/>
      <c r="FB1045" s="29"/>
      <c r="FC1045" s="29"/>
      <c r="FD1045" s="29"/>
      <c r="FE1045" s="29"/>
      <c r="FF1045" s="29"/>
      <c r="FG1045" s="29"/>
      <c r="FH1045" s="29"/>
      <c r="FI1045" s="29"/>
      <c r="FJ1045" s="29"/>
      <c r="FK1045" s="29"/>
      <c r="FL1045" s="29"/>
      <c r="FM1045" s="29"/>
      <c r="FN1045" s="29"/>
      <c r="FO1045" s="29"/>
      <c r="FP1045" s="29"/>
      <c r="FQ1045" s="29"/>
      <c r="FR1045" s="29"/>
      <c r="FS1045" s="29"/>
      <c r="FT1045" s="29"/>
      <c r="FU1045" s="29"/>
      <c r="FV1045" s="29"/>
      <c r="FW1045" s="29"/>
      <c r="FX1045" s="29"/>
      <c r="FY1045" s="29"/>
      <c r="FZ1045" s="29"/>
      <c r="GA1045" s="29"/>
      <c r="GB1045" s="29"/>
      <c r="GC1045" s="29"/>
      <c r="GD1045" s="29"/>
      <c r="GE1045" s="29"/>
      <c r="GF1045" s="29"/>
      <c r="GG1045" s="29"/>
      <c r="GH1045" s="29"/>
      <c r="GI1045" s="29"/>
      <c r="GJ1045" s="29"/>
      <c r="GK1045" s="29"/>
      <c r="GL1045" s="29"/>
      <c r="GM1045" s="29"/>
      <c r="GN1045" s="29"/>
      <c r="GO1045" s="29"/>
      <c r="GP1045" s="29"/>
      <c r="GQ1045" s="29"/>
      <c r="GR1045" s="29"/>
      <c r="GS1045" s="29"/>
      <c r="GT1045" s="29"/>
      <c r="GU1045" s="29"/>
      <c r="GV1045" s="29"/>
      <c r="GW1045" s="29"/>
      <c r="GX1045" s="29"/>
      <c r="GY1045" s="29"/>
      <c r="GZ1045" s="29"/>
      <c r="HA1045" s="29"/>
      <c r="HB1045" s="29"/>
      <c r="HC1045" s="29"/>
      <c r="HD1045" s="29"/>
      <c r="HE1045" s="29"/>
      <c r="HF1045" s="29"/>
      <c r="HG1045" s="29"/>
      <c r="HH1045" s="29"/>
      <c r="HI1045" s="29"/>
      <c r="HJ1045" s="29"/>
      <c r="HK1045" s="29"/>
      <c r="HL1045" s="29"/>
      <c r="HM1045" s="29"/>
      <c r="HN1045" s="29"/>
      <c r="HO1045" s="29"/>
      <c r="HP1045" s="29"/>
      <c r="HQ1045" s="29"/>
      <c r="HR1045" s="29"/>
      <c r="HS1045" s="29"/>
      <c r="HT1045" s="29"/>
      <c r="HU1045" s="29"/>
      <c r="HV1045" s="29"/>
      <c r="HW1045" s="29"/>
      <c r="HX1045" s="29"/>
      <c r="HY1045" s="29"/>
      <c r="HZ1045" s="29"/>
      <c r="IA1045" s="29"/>
      <c r="IB1045" s="29"/>
      <c r="IC1045" s="29"/>
      <c r="ID1045" s="29"/>
      <c r="IE1045" s="29"/>
      <c r="IF1045" s="29"/>
      <c r="IG1045" s="29"/>
      <c r="IH1045" s="29"/>
      <c r="II1045" s="29"/>
      <c r="IJ1045" s="29"/>
      <c r="IK1045" s="29"/>
      <c r="IL1045" s="29"/>
      <c r="IM1045" s="29"/>
      <c r="IN1045" s="29"/>
      <c r="IO1045" s="29"/>
      <c r="IP1045" s="29"/>
      <c r="IQ1045" s="29"/>
      <c r="IR1045" s="29"/>
      <c r="IS1045" s="29"/>
      <c r="IT1045" s="29"/>
      <c r="IU1045" s="29"/>
      <c r="IV1045" s="29"/>
      <c r="IW1045" s="29"/>
      <c r="IX1045" s="29"/>
      <c r="IY1045" s="29"/>
      <c r="IZ1045" s="29"/>
      <c r="JA1045" s="29"/>
      <c r="JB1045" s="29"/>
      <c r="JC1045" s="29"/>
      <c r="JD1045" s="29"/>
      <c r="JE1045" s="29"/>
      <c r="JF1045" s="29"/>
      <c r="JG1045" s="29"/>
      <c r="JH1045" s="29"/>
      <c r="JI1045" s="29"/>
      <c r="JJ1045" s="29"/>
      <c r="JK1045" s="29"/>
      <c r="JL1045" s="29"/>
    </row>
    <row r="1046" spans="1:272" ht="34.5" customHeight="1">
      <c r="A1046" s="30" t="s">
        <v>71</v>
      </c>
      <c r="B1046" s="32" t="s">
        <v>2628</v>
      </c>
      <c r="C1046" s="32" t="s">
        <v>144</v>
      </c>
      <c r="D1046" s="34" t="s">
        <v>2634</v>
      </c>
      <c r="E1046" s="31"/>
      <c r="F1046" s="30"/>
      <c r="G1046" s="31"/>
      <c r="H1046" s="31"/>
      <c r="I1046" s="54" t="s">
        <v>67</v>
      </c>
      <c r="J1046" s="32" t="s">
        <v>311</v>
      </c>
      <c r="K1046" s="32" t="s">
        <v>78</v>
      </c>
      <c r="L1046" s="32"/>
      <c r="M1046" s="98">
        <v>0</v>
      </c>
      <c r="N1046" s="98">
        <v>16000000</v>
      </c>
      <c r="O1046" s="30" t="s">
        <v>79</v>
      </c>
      <c r="P1046" s="32" t="s">
        <v>2635</v>
      </c>
      <c r="Q1046" s="152" t="s">
        <v>294</v>
      </c>
      <c r="R1046" s="94"/>
      <c r="S1046" s="41">
        <v>2014</v>
      </c>
      <c r="T1046" s="140" t="s">
        <v>2631</v>
      </c>
      <c r="U1046" s="140" t="s">
        <v>2632</v>
      </c>
      <c r="V1046" s="32" t="s">
        <v>2633</v>
      </c>
      <c r="W1046" s="155" t="s">
        <v>151</v>
      </c>
      <c r="X1046" s="95"/>
      <c r="Y1046" s="96">
        <v>41541</v>
      </c>
      <c r="Z1046" s="96">
        <v>42637</v>
      </c>
      <c r="AA1046" s="95"/>
      <c r="AB1046" s="97"/>
      <c r="AE1046" s="29"/>
      <c r="AF1046" s="29"/>
      <c r="AG1046" s="29"/>
      <c r="AH1046" s="29"/>
      <c r="AI1046" s="29"/>
      <c r="AJ1046" s="29"/>
      <c r="AK1046" s="29"/>
      <c r="AL1046" s="29"/>
      <c r="AM1046" s="29"/>
      <c r="AN1046" s="29"/>
      <c r="AO1046" s="29"/>
      <c r="AP1046" s="29"/>
      <c r="AQ1046" s="29"/>
      <c r="AR1046" s="29"/>
      <c r="AS1046" s="29"/>
      <c r="AT1046" s="29"/>
      <c r="AU1046" s="29"/>
      <c r="AV1046" s="29"/>
      <c r="AW1046" s="29"/>
      <c r="AX1046" s="29"/>
      <c r="AY1046" s="29"/>
      <c r="AZ1046" s="29"/>
      <c r="BA1046" s="29"/>
      <c r="BB1046" s="29"/>
      <c r="BC1046" s="29"/>
      <c r="BD1046" s="29"/>
      <c r="BE1046" s="29"/>
      <c r="BF1046" s="29"/>
      <c r="BG1046" s="29"/>
      <c r="BH1046" s="29"/>
      <c r="BI1046" s="29"/>
      <c r="BJ1046" s="29"/>
      <c r="BK1046" s="29"/>
      <c r="BL1046" s="29"/>
      <c r="BM1046" s="29"/>
      <c r="BN1046" s="29"/>
      <c r="BO1046" s="29"/>
      <c r="BP1046" s="29"/>
      <c r="BQ1046" s="29"/>
      <c r="BR1046" s="29"/>
      <c r="BS1046" s="29"/>
      <c r="BT1046" s="29"/>
      <c r="BU1046" s="29"/>
      <c r="BV1046" s="29"/>
      <c r="BW1046" s="29"/>
      <c r="BX1046" s="29"/>
      <c r="BY1046" s="29"/>
      <c r="BZ1046" s="29"/>
      <c r="CA1046" s="29"/>
      <c r="CB1046" s="29"/>
      <c r="CC1046" s="29"/>
      <c r="CD1046" s="29"/>
      <c r="CE1046" s="29"/>
      <c r="CF1046" s="29"/>
      <c r="CG1046" s="29"/>
      <c r="CH1046" s="29"/>
      <c r="CI1046" s="29"/>
      <c r="CJ1046" s="29"/>
      <c r="CK1046" s="29"/>
      <c r="CL1046" s="29"/>
      <c r="CM1046" s="29"/>
      <c r="CN1046" s="29"/>
      <c r="CO1046" s="29"/>
      <c r="CP1046" s="29"/>
      <c r="CQ1046" s="29"/>
      <c r="CR1046" s="29"/>
      <c r="CS1046" s="29"/>
      <c r="CT1046" s="29"/>
      <c r="CU1046" s="29"/>
      <c r="CV1046" s="29"/>
      <c r="CW1046" s="29"/>
      <c r="CX1046" s="29"/>
      <c r="CY1046" s="29"/>
      <c r="CZ1046" s="29"/>
      <c r="DA1046" s="29"/>
      <c r="DB1046" s="29"/>
      <c r="DC1046" s="29"/>
      <c r="DD1046" s="29"/>
      <c r="DE1046" s="29"/>
      <c r="DF1046" s="29"/>
      <c r="DG1046" s="29"/>
      <c r="DH1046" s="29"/>
      <c r="DI1046" s="29"/>
      <c r="DJ1046" s="29"/>
      <c r="DK1046" s="29"/>
      <c r="DL1046" s="29"/>
      <c r="DM1046" s="29"/>
      <c r="DN1046" s="29"/>
      <c r="DO1046" s="29"/>
      <c r="DP1046" s="29"/>
      <c r="DQ1046" s="29"/>
      <c r="DR1046" s="29"/>
      <c r="DS1046" s="29"/>
      <c r="DT1046" s="29"/>
      <c r="DU1046" s="29"/>
      <c r="DV1046" s="29"/>
      <c r="DW1046" s="29"/>
      <c r="DX1046" s="29"/>
      <c r="DY1046" s="29"/>
      <c r="DZ1046" s="29"/>
      <c r="EA1046" s="29"/>
      <c r="EB1046" s="29"/>
      <c r="EC1046" s="29"/>
      <c r="ED1046" s="29"/>
      <c r="EE1046" s="29"/>
      <c r="EF1046" s="29"/>
      <c r="EG1046" s="29"/>
      <c r="EH1046" s="29"/>
      <c r="EI1046" s="29"/>
      <c r="EJ1046" s="29"/>
      <c r="EK1046" s="29"/>
      <c r="EL1046" s="29"/>
      <c r="EM1046" s="29"/>
      <c r="EN1046" s="29"/>
      <c r="EO1046" s="29"/>
      <c r="EP1046" s="29"/>
      <c r="EQ1046" s="29"/>
      <c r="ER1046" s="29"/>
      <c r="ES1046" s="29"/>
      <c r="ET1046" s="29"/>
      <c r="EU1046" s="29"/>
      <c r="EV1046" s="29"/>
      <c r="EW1046" s="29"/>
      <c r="EX1046" s="29"/>
      <c r="EY1046" s="29"/>
      <c r="EZ1046" s="29"/>
      <c r="FA1046" s="29"/>
      <c r="FB1046" s="29"/>
      <c r="FC1046" s="29"/>
      <c r="FD1046" s="29"/>
      <c r="FE1046" s="29"/>
      <c r="FF1046" s="29"/>
      <c r="FG1046" s="29"/>
      <c r="FH1046" s="29"/>
      <c r="FI1046" s="29"/>
      <c r="FJ1046" s="29"/>
      <c r="FK1046" s="29"/>
      <c r="FL1046" s="29"/>
      <c r="FM1046" s="29"/>
      <c r="FN1046" s="29"/>
      <c r="FO1046" s="29"/>
      <c r="FP1046" s="29"/>
      <c r="FQ1046" s="29"/>
      <c r="FR1046" s="29"/>
      <c r="FS1046" s="29"/>
      <c r="FT1046" s="29"/>
      <c r="FU1046" s="29"/>
      <c r="FV1046" s="29"/>
      <c r="FW1046" s="29"/>
      <c r="FX1046" s="29"/>
      <c r="FY1046" s="29"/>
      <c r="FZ1046" s="29"/>
      <c r="GA1046" s="29"/>
      <c r="GB1046" s="29"/>
      <c r="GC1046" s="29"/>
      <c r="GD1046" s="29"/>
      <c r="GE1046" s="29"/>
      <c r="GF1046" s="29"/>
      <c r="GG1046" s="29"/>
      <c r="GH1046" s="29"/>
      <c r="GI1046" s="29"/>
      <c r="GJ1046" s="29"/>
      <c r="GK1046" s="29"/>
      <c r="GL1046" s="29"/>
      <c r="GM1046" s="29"/>
      <c r="GN1046" s="29"/>
      <c r="GO1046" s="29"/>
      <c r="GP1046" s="29"/>
      <c r="GQ1046" s="29"/>
      <c r="GR1046" s="29"/>
      <c r="GS1046" s="29"/>
      <c r="GT1046" s="29"/>
      <c r="GU1046" s="29"/>
      <c r="GV1046" s="29"/>
      <c r="GW1046" s="29"/>
      <c r="GX1046" s="29"/>
      <c r="GY1046" s="29"/>
      <c r="GZ1046" s="29"/>
      <c r="HA1046" s="29"/>
      <c r="HB1046" s="29"/>
      <c r="HC1046" s="29"/>
      <c r="HD1046" s="29"/>
      <c r="HE1046" s="29"/>
      <c r="HF1046" s="29"/>
      <c r="HG1046" s="29"/>
      <c r="HH1046" s="29"/>
      <c r="HI1046" s="29"/>
      <c r="HJ1046" s="29"/>
      <c r="HK1046" s="29"/>
      <c r="HL1046" s="29"/>
      <c r="HM1046" s="29"/>
      <c r="HN1046" s="29"/>
      <c r="HO1046" s="29"/>
      <c r="HP1046" s="29"/>
      <c r="HQ1046" s="29"/>
      <c r="HR1046" s="29"/>
      <c r="HS1046" s="29"/>
      <c r="HT1046" s="29"/>
      <c r="HU1046" s="29"/>
      <c r="HV1046" s="29"/>
      <c r="HW1046" s="29"/>
      <c r="HX1046" s="29"/>
      <c r="HY1046" s="29"/>
      <c r="HZ1046" s="29"/>
      <c r="IA1046" s="29"/>
      <c r="IB1046" s="29"/>
      <c r="IC1046" s="29"/>
      <c r="ID1046" s="29"/>
      <c r="IE1046" s="29"/>
      <c r="IF1046" s="29"/>
      <c r="IG1046" s="29"/>
      <c r="IH1046" s="29"/>
      <c r="II1046" s="29"/>
      <c r="IJ1046" s="29"/>
      <c r="IK1046" s="29"/>
      <c r="IL1046" s="29"/>
      <c r="IM1046" s="29"/>
      <c r="IN1046" s="29"/>
      <c r="IO1046" s="29"/>
      <c r="IP1046" s="29"/>
      <c r="IQ1046" s="29"/>
      <c r="IR1046" s="29"/>
      <c r="IS1046" s="29"/>
      <c r="IT1046" s="29"/>
      <c r="IU1046" s="29"/>
      <c r="IV1046" s="29"/>
      <c r="IW1046" s="29"/>
      <c r="IX1046" s="29"/>
      <c r="IY1046" s="29"/>
      <c r="IZ1046" s="29"/>
      <c r="JA1046" s="29"/>
      <c r="JB1046" s="29"/>
      <c r="JC1046" s="29"/>
      <c r="JD1046" s="29"/>
      <c r="JE1046" s="29"/>
      <c r="JF1046" s="29"/>
      <c r="JG1046" s="29"/>
      <c r="JH1046" s="29"/>
      <c r="JI1046" s="29"/>
      <c r="JJ1046" s="29"/>
      <c r="JK1046" s="29"/>
      <c r="JL1046" s="29"/>
    </row>
    <row r="1047" spans="1:272" ht="38.25" customHeight="1">
      <c r="A1047" s="30" t="s">
        <v>71</v>
      </c>
      <c r="B1047" s="32" t="s">
        <v>2628</v>
      </c>
      <c r="C1047" s="32"/>
      <c r="D1047" s="34" t="s">
        <v>2636</v>
      </c>
      <c r="E1047" s="31"/>
      <c r="F1047" s="30"/>
      <c r="G1047" s="31"/>
      <c r="H1047" s="31"/>
      <c r="I1047" s="32" t="s">
        <v>2637</v>
      </c>
      <c r="J1047" s="32" t="s">
        <v>2613</v>
      </c>
      <c r="K1047" s="32" t="s">
        <v>2638</v>
      </c>
      <c r="L1047" s="32"/>
      <c r="M1047" s="98">
        <v>0</v>
      </c>
      <c r="N1047" s="98">
        <v>446057</v>
      </c>
      <c r="O1047" s="30" t="s">
        <v>79</v>
      </c>
      <c r="P1047" s="140" t="s">
        <v>2639</v>
      </c>
      <c r="Q1047" s="178" t="s">
        <v>3428</v>
      </c>
      <c r="R1047" s="94"/>
      <c r="S1047" s="41">
        <v>2014</v>
      </c>
      <c r="T1047" s="140" t="s">
        <v>2640</v>
      </c>
      <c r="U1047" s="140" t="s">
        <v>2641</v>
      </c>
      <c r="V1047" s="32" t="s">
        <v>2642</v>
      </c>
      <c r="W1047" s="155" t="s">
        <v>151</v>
      </c>
      <c r="X1047" s="95"/>
      <c r="Y1047" s="96">
        <v>41729</v>
      </c>
      <c r="Z1047" s="95"/>
      <c r="AA1047" s="95"/>
      <c r="AB1047" s="97"/>
      <c r="AE1047" s="29"/>
      <c r="AF1047" s="29"/>
      <c r="AG1047" s="29"/>
      <c r="AH1047" s="29"/>
      <c r="AI1047" s="29"/>
      <c r="AJ1047" s="29"/>
      <c r="AK1047" s="29"/>
      <c r="AL1047" s="29"/>
      <c r="AM1047" s="29"/>
      <c r="AN1047" s="29"/>
      <c r="AO1047" s="29"/>
      <c r="AP1047" s="29"/>
      <c r="AQ1047" s="29"/>
      <c r="AR1047" s="29"/>
      <c r="AS1047" s="29"/>
      <c r="AT1047" s="29"/>
      <c r="AU1047" s="29"/>
      <c r="AV1047" s="29"/>
      <c r="AW1047" s="29"/>
      <c r="AX1047" s="29"/>
      <c r="AY1047" s="29"/>
      <c r="AZ1047" s="29"/>
      <c r="BA1047" s="29"/>
      <c r="BB1047" s="29"/>
      <c r="BC1047" s="29"/>
      <c r="BD1047" s="29"/>
      <c r="BE1047" s="29"/>
      <c r="BF1047" s="29"/>
      <c r="BG1047" s="29"/>
      <c r="BH1047" s="29"/>
      <c r="BI1047" s="29"/>
      <c r="BJ1047" s="29"/>
      <c r="BK1047" s="29"/>
      <c r="BL1047" s="29"/>
      <c r="BM1047" s="29"/>
      <c r="BN1047" s="29"/>
      <c r="BO1047" s="29"/>
      <c r="BP1047" s="29"/>
      <c r="BQ1047" s="29"/>
      <c r="BR1047" s="29"/>
      <c r="BS1047" s="29"/>
      <c r="BT1047" s="29"/>
      <c r="BU1047" s="29"/>
      <c r="BV1047" s="29"/>
      <c r="BW1047" s="29"/>
      <c r="BX1047" s="29"/>
      <c r="BY1047" s="29"/>
      <c r="BZ1047" s="29"/>
      <c r="CA1047" s="29"/>
      <c r="CB1047" s="29"/>
      <c r="CC1047" s="29"/>
      <c r="CD1047" s="29"/>
      <c r="CE1047" s="29"/>
      <c r="CF1047" s="29"/>
      <c r="CG1047" s="29"/>
      <c r="CH1047" s="29"/>
      <c r="CI1047" s="29"/>
      <c r="CJ1047" s="29"/>
      <c r="CK1047" s="29"/>
      <c r="CL1047" s="29"/>
      <c r="CM1047" s="29"/>
      <c r="CN1047" s="29"/>
      <c r="CO1047" s="29"/>
      <c r="CP1047" s="29"/>
      <c r="CQ1047" s="29"/>
      <c r="CR1047" s="29"/>
      <c r="CS1047" s="29"/>
      <c r="CT1047" s="29"/>
      <c r="CU1047" s="29"/>
      <c r="CV1047" s="29"/>
      <c r="CW1047" s="29"/>
      <c r="CX1047" s="29"/>
      <c r="CY1047" s="29"/>
      <c r="CZ1047" s="29"/>
      <c r="DA1047" s="29"/>
      <c r="DB1047" s="29"/>
      <c r="DC1047" s="29"/>
      <c r="DD1047" s="29"/>
      <c r="DE1047" s="29"/>
      <c r="DF1047" s="29"/>
      <c r="DG1047" s="29"/>
      <c r="DH1047" s="29"/>
      <c r="DI1047" s="29"/>
      <c r="DJ1047" s="29"/>
      <c r="DK1047" s="29"/>
      <c r="DL1047" s="29"/>
      <c r="DM1047" s="29"/>
      <c r="DN1047" s="29"/>
      <c r="DO1047" s="29"/>
      <c r="DP1047" s="29"/>
      <c r="DQ1047" s="29"/>
      <c r="DR1047" s="29"/>
      <c r="DS1047" s="29"/>
      <c r="DT1047" s="29"/>
      <c r="DU1047" s="29"/>
      <c r="DV1047" s="29"/>
      <c r="DW1047" s="29"/>
      <c r="DX1047" s="29"/>
      <c r="DY1047" s="29"/>
      <c r="DZ1047" s="29"/>
      <c r="EA1047" s="29"/>
      <c r="EB1047" s="29"/>
      <c r="EC1047" s="29"/>
      <c r="ED1047" s="29"/>
      <c r="EE1047" s="29"/>
      <c r="EF1047" s="29"/>
      <c r="EG1047" s="29"/>
      <c r="EH1047" s="29"/>
      <c r="EI1047" s="29"/>
      <c r="EJ1047" s="29"/>
      <c r="EK1047" s="29"/>
      <c r="EL1047" s="29"/>
      <c r="EM1047" s="29"/>
      <c r="EN1047" s="29"/>
      <c r="EO1047" s="29"/>
      <c r="EP1047" s="29"/>
      <c r="EQ1047" s="29"/>
      <c r="ER1047" s="29"/>
      <c r="ES1047" s="29"/>
      <c r="ET1047" s="29"/>
      <c r="EU1047" s="29"/>
      <c r="EV1047" s="29"/>
      <c r="EW1047" s="29"/>
      <c r="EX1047" s="29"/>
      <c r="EY1047" s="29"/>
      <c r="EZ1047" s="29"/>
      <c r="FA1047" s="29"/>
      <c r="FB1047" s="29"/>
      <c r="FC1047" s="29"/>
      <c r="FD1047" s="29"/>
      <c r="FE1047" s="29"/>
      <c r="FF1047" s="29"/>
      <c r="FG1047" s="29"/>
      <c r="FH1047" s="29"/>
      <c r="FI1047" s="29"/>
      <c r="FJ1047" s="29"/>
      <c r="FK1047" s="29"/>
      <c r="FL1047" s="29"/>
      <c r="FM1047" s="29"/>
      <c r="FN1047" s="29"/>
      <c r="FO1047" s="29"/>
      <c r="FP1047" s="29"/>
      <c r="FQ1047" s="29"/>
      <c r="FR1047" s="29"/>
      <c r="FS1047" s="29"/>
      <c r="FT1047" s="29"/>
      <c r="FU1047" s="29"/>
      <c r="FV1047" s="29"/>
      <c r="FW1047" s="29"/>
      <c r="FX1047" s="29"/>
      <c r="FY1047" s="29"/>
      <c r="FZ1047" s="29"/>
      <c r="GA1047" s="29"/>
      <c r="GB1047" s="29"/>
      <c r="GC1047" s="29"/>
      <c r="GD1047" s="29"/>
      <c r="GE1047" s="29"/>
      <c r="GF1047" s="29"/>
      <c r="GG1047" s="29"/>
      <c r="GH1047" s="29"/>
      <c r="GI1047" s="29"/>
      <c r="GJ1047" s="29"/>
      <c r="GK1047" s="29"/>
      <c r="GL1047" s="29"/>
      <c r="GM1047" s="29"/>
      <c r="GN1047" s="29"/>
      <c r="GO1047" s="29"/>
      <c r="GP1047" s="29"/>
      <c r="GQ1047" s="29"/>
      <c r="GR1047" s="29"/>
      <c r="GS1047" s="29"/>
      <c r="GT1047" s="29"/>
      <c r="GU1047" s="29"/>
      <c r="GV1047" s="29"/>
      <c r="GW1047" s="29"/>
      <c r="GX1047" s="29"/>
      <c r="GY1047" s="29"/>
      <c r="GZ1047" s="29"/>
      <c r="HA1047" s="29"/>
      <c r="HB1047" s="29"/>
      <c r="HC1047" s="29"/>
      <c r="HD1047" s="29"/>
      <c r="HE1047" s="29"/>
      <c r="HF1047" s="29"/>
      <c r="HG1047" s="29"/>
      <c r="HH1047" s="29"/>
      <c r="HI1047" s="29"/>
      <c r="HJ1047" s="29"/>
      <c r="HK1047" s="29"/>
      <c r="HL1047" s="29"/>
      <c r="HM1047" s="29"/>
      <c r="HN1047" s="29"/>
      <c r="HO1047" s="29"/>
      <c r="HP1047" s="29"/>
      <c r="HQ1047" s="29"/>
      <c r="HR1047" s="29"/>
      <c r="HS1047" s="29"/>
      <c r="HT1047" s="29"/>
      <c r="HU1047" s="29"/>
      <c r="HV1047" s="29"/>
      <c r="HW1047" s="29"/>
      <c r="HX1047" s="29"/>
      <c r="HY1047" s="29"/>
      <c r="HZ1047" s="29"/>
      <c r="IA1047" s="29"/>
      <c r="IB1047" s="29"/>
      <c r="IC1047" s="29"/>
      <c r="ID1047" s="29"/>
      <c r="IE1047" s="29"/>
      <c r="IF1047" s="29"/>
      <c r="IG1047" s="29"/>
      <c r="IH1047" s="29"/>
      <c r="II1047" s="29"/>
      <c r="IJ1047" s="29"/>
      <c r="IK1047" s="29"/>
      <c r="IL1047" s="29"/>
      <c r="IM1047" s="29"/>
      <c r="IN1047" s="29"/>
      <c r="IO1047" s="29"/>
      <c r="IP1047" s="29"/>
      <c r="IQ1047" s="29"/>
      <c r="IR1047" s="29"/>
      <c r="IS1047" s="29"/>
      <c r="IT1047" s="29"/>
      <c r="IU1047" s="29"/>
      <c r="IV1047" s="29"/>
      <c r="IW1047" s="29"/>
      <c r="IX1047" s="29"/>
      <c r="IY1047" s="29"/>
      <c r="IZ1047" s="29"/>
      <c r="JA1047" s="29"/>
      <c r="JB1047" s="29"/>
      <c r="JC1047" s="29"/>
      <c r="JD1047" s="29"/>
      <c r="JE1047" s="29"/>
      <c r="JF1047" s="29"/>
      <c r="JG1047" s="29"/>
      <c r="JH1047" s="29"/>
      <c r="JI1047" s="29"/>
      <c r="JJ1047" s="29"/>
      <c r="JK1047" s="29"/>
      <c r="JL1047" s="29"/>
    </row>
    <row r="1048" spans="1:272" ht="38.25" customHeight="1">
      <c r="A1048" s="30" t="s">
        <v>71</v>
      </c>
      <c r="B1048" s="32" t="s">
        <v>2628</v>
      </c>
      <c r="C1048" s="32" t="s">
        <v>144</v>
      </c>
      <c r="D1048" s="34" t="s">
        <v>2643</v>
      </c>
      <c r="E1048" s="31"/>
      <c r="F1048" s="30"/>
      <c r="G1048" s="31"/>
      <c r="H1048" s="31"/>
      <c r="I1048" s="54" t="s">
        <v>67</v>
      </c>
      <c r="J1048" s="32" t="s">
        <v>311</v>
      </c>
      <c r="K1048" s="32" t="s">
        <v>78</v>
      </c>
      <c r="L1048" s="32"/>
      <c r="M1048" s="98">
        <v>0</v>
      </c>
      <c r="N1048" s="98">
        <v>9876369</v>
      </c>
      <c r="O1048" s="30" t="s">
        <v>79</v>
      </c>
      <c r="P1048" s="32" t="s">
        <v>2630</v>
      </c>
      <c r="Q1048" s="152" t="s">
        <v>294</v>
      </c>
      <c r="R1048" s="129" t="s">
        <v>150</v>
      </c>
      <c r="S1048" s="41">
        <v>2014</v>
      </c>
      <c r="T1048" s="140" t="s">
        <v>2644</v>
      </c>
      <c r="U1048" s="140" t="s">
        <v>2645</v>
      </c>
      <c r="V1048" s="32" t="s">
        <v>2646</v>
      </c>
      <c r="W1048" s="155" t="s">
        <v>151</v>
      </c>
      <c r="X1048" s="95"/>
      <c r="Y1048" s="96">
        <v>41670</v>
      </c>
      <c r="Z1048" s="96">
        <v>41834</v>
      </c>
      <c r="AA1048" s="95"/>
      <c r="AB1048" s="97"/>
      <c r="AE1048" s="29"/>
      <c r="AF1048" s="29"/>
      <c r="AG1048" s="29"/>
      <c r="AH1048" s="29"/>
      <c r="AI1048" s="29"/>
      <c r="AJ1048" s="29"/>
      <c r="AK1048" s="29"/>
      <c r="AL1048" s="29"/>
      <c r="AM1048" s="29"/>
      <c r="AN1048" s="29"/>
      <c r="AO1048" s="29"/>
      <c r="AP1048" s="29"/>
      <c r="AQ1048" s="29"/>
      <c r="AR1048" s="29"/>
      <c r="AS1048" s="29"/>
      <c r="AT1048" s="29"/>
      <c r="AU1048" s="29"/>
      <c r="AV1048" s="29"/>
      <c r="AW1048" s="29"/>
      <c r="AX1048" s="29"/>
      <c r="AY1048" s="29"/>
      <c r="AZ1048" s="29"/>
      <c r="BA1048" s="29"/>
      <c r="BB1048" s="29"/>
      <c r="BC1048" s="29"/>
      <c r="BD1048" s="29"/>
      <c r="BE1048" s="29"/>
      <c r="BF1048" s="29"/>
      <c r="BG1048" s="29"/>
      <c r="BH1048" s="29"/>
      <c r="BI1048" s="29"/>
      <c r="BJ1048" s="29"/>
      <c r="BK1048" s="29"/>
      <c r="BL1048" s="29"/>
      <c r="BM1048" s="29"/>
      <c r="BN1048" s="29"/>
      <c r="BO1048" s="29"/>
      <c r="BP1048" s="29"/>
      <c r="BQ1048" s="29"/>
      <c r="BR1048" s="29"/>
      <c r="BS1048" s="29"/>
      <c r="BT1048" s="29"/>
      <c r="BU1048" s="29"/>
      <c r="BV1048" s="29"/>
      <c r="BW1048" s="29"/>
      <c r="BX1048" s="29"/>
      <c r="BY1048" s="29"/>
      <c r="BZ1048" s="29"/>
      <c r="CA1048" s="29"/>
      <c r="CB1048" s="29"/>
      <c r="CC1048" s="29"/>
      <c r="CD1048" s="29"/>
      <c r="CE1048" s="29"/>
      <c r="CF1048" s="29"/>
      <c r="CG1048" s="29"/>
      <c r="CH1048" s="29"/>
      <c r="CI1048" s="29"/>
      <c r="CJ1048" s="29"/>
      <c r="CK1048" s="29"/>
      <c r="CL1048" s="29"/>
      <c r="CM1048" s="29"/>
      <c r="CN1048" s="29"/>
      <c r="CO1048" s="29"/>
      <c r="CP1048" s="29"/>
      <c r="CQ1048" s="29"/>
      <c r="CR1048" s="29"/>
      <c r="CS1048" s="29"/>
      <c r="CT1048" s="29"/>
      <c r="CU1048" s="29"/>
      <c r="CV1048" s="29"/>
      <c r="CW1048" s="29"/>
      <c r="CX1048" s="29"/>
      <c r="CY1048" s="29"/>
      <c r="CZ1048" s="29"/>
      <c r="DA1048" s="29"/>
      <c r="DB1048" s="29"/>
      <c r="DC1048" s="29"/>
      <c r="DD1048" s="29"/>
      <c r="DE1048" s="29"/>
      <c r="DF1048" s="29"/>
      <c r="DG1048" s="29"/>
      <c r="DH1048" s="29"/>
      <c r="DI1048" s="29"/>
      <c r="DJ1048" s="29"/>
      <c r="DK1048" s="29"/>
      <c r="DL1048" s="29"/>
      <c r="DM1048" s="29"/>
      <c r="DN1048" s="29"/>
      <c r="DO1048" s="29"/>
      <c r="DP1048" s="29"/>
      <c r="DQ1048" s="29"/>
      <c r="DR1048" s="29"/>
      <c r="DS1048" s="29"/>
      <c r="DT1048" s="29"/>
      <c r="DU1048" s="29"/>
      <c r="DV1048" s="29"/>
      <c r="DW1048" s="29"/>
      <c r="DX1048" s="29"/>
      <c r="DY1048" s="29"/>
      <c r="DZ1048" s="29"/>
      <c r="EA1048" s="29"/>
      <c r="EB1048" s="29"/>
      <c r="EC1048" s="29"/>
      <c r="ED1048" s="29"/>
      <c r="EE1048" s="29"/>
      <c r="EF1048" s="29"/>
      <c r="EG1048" s="29"/>
      <c r="EH1048" s="29"/>
      <c r="EI1048" s="29"/>
      <c r="EJ1048" s="29"/>
      <c r="EK1048" s="29"/>
      <c r="EL1048" s="29"/>
      <c r="EM1048" s="29"/>
      <c r="EN1048" s="29"/>
      <c r="EO1048" s="29"/>
      <c r="EP1048" s="29"/>
      <c r="EQ1048" s="29"/>
      <c r="ER1048" s="29"/>
      <c r="ES1048" s="29"/>
      <c r="ET1048" s="29"/>
      <c r="EU1048" s="29"/>
      <c r="EV1048" s="29"/>
      <c r="EW1048" s="29"/>
      <c r="EX1048" s="29"/>
      <c r="EY1048" s="29"/>
      <c r="EZ1048" s="29"/>
      <c r="FA1048" s="29"/>
      <c r="FB1048" s="29"/>
      <c r="FC1048" s="29"/>
      <c r="FD1048" s="29"/>
      <c r="FE1048" s="29"/>
      <c r="FF1048" s="29"/>
      <c r="FG1048" s="29"/>
      <c r="FH1048" s="29"/>
      <c r="FI1048" s="29"/>
      <c r="FJ1048" s="29"/>
      <c r="FK1048" s="29"/>
      <c r="FL1048" s="29"/>
      <c r="FM1048" s="29"/>
      <c r="FN1048" s="29"/>
      <c r="FO1048" s="29"/>
      <c r="FP1048" s="29"/>
      <c r="FQ1048" s="29"/>
      <c r="FR1048" s="29"/>
      <c r="FS1048" s="29"/>
      <c r="FT1048" s="29"/>
      <c r="FU1048" s="29"/>
      <c r="FV1048" s="29"/>
      <c r="FW1048" s="29"/>
      <c r="FX1048" s="29"/>
      <c r="FY1048" s="29"/>
      <c r="FZ1048" s="29"/>
      <c r="GA1048" s="29"/>
      <c r="GB1048" s="29"/>
      <c r="GC1048" s="29"/>
      <c r="GD1048" s="29"/>
      <c r="GE1048" s="29"/>
      <c r="GF1048" s="29"/>
      <c r="GG1048" s="29"/>
      <c r="GH1048" s="29"/>
      <c r="GI1048" s="29"/>
      <c r="GJ1048" s="29"/>
      <c r="GK1048" s="29"/>
      <c r="GL1048" s="29"/>
      <c r="GM1048" s="29"/>
      <c r="GN1048" s="29"/>
      <c r="GO1048" s="29"/>
      <c r="GP1048" s="29"/>
      <c r="GQ1048" s="29"/>
      <c r="GR1048" s="29"/>
      <c r="GS1048" s="29"/>
      <c r="GT1048" s="29"/>
      <c r="GU1048" s="29"/>
      <c r="GV1048" s="29"/>
      <c r="GW1048" s="29"/>
      <c r="GX1048" s="29"/>
      <c r="GY1048" s="29"/>
      <c r="GZ1048" s="29"/>
      <c r="HA1048" s="29"/>
      <c r="HB1048" s="29"/>
      <c r="HC1048" s="29"/>
      <c r="HD1048" s="29"/>
      <c r="HE1048" s="29"/>
      <c r="HF1048" s="29"/>
      <c r="HG1048" s="29"/>
      <c r="HH1048" s="29"/>
      <c r="HI1048" s="29"/>
      <c r="HJ1048" s="29"/>
      <c r="HK1048" s="29"/>
      <c r="HL1048" s="29"/>
      <c r="HM1048" s="29"/>
      <c r="HN1048" s="29"/>
      <c r="HO1048" s="29"/>
      <c r="HP1048" s="29"/>
      <c r="HQ1048" s="29"/>
      <c r="HR1048" s="29"/>
      <c r="HS1048" s="29"/>
      <c r="HT1048" s="29"/>
      <c r="HU1048" s="29"/>
      <c r="HV1048" s="29"/>
      <c r="HW1048" s="29"/>
      <c r="HX1048" s="29"/>
      <c r="HY1048" s="29"/>
      <c r="HZ1048" s="29"/>
      <c r="IA1048" s="29"/>
      <c r="IB1048" s="29"/>
      <c r="IC1048" s="29"/>
      <c r="ID1048" s="29"/>
      <c r="IE1048" s="29"/>
      <c r="IF1048" s="29"/>
      <c r="IG1048" s="29"/>
      <c r="IH1048" s="29"/>
      <c r="II1048" s="29"/>
      <c r="IJ1048" s="29"/>
      <c r="IK1048" s="29"/>
      <c r="IL1048" s="29"/>
      <c r="IM1048" s="29"/>
      <c r="IN1048" s="29"/>
      <c r="IO1048" s="29"/>
      <c r="IP1048" s="29"/>
      <c r="IQ1048" s="29"/>
      <c r="IR1048" s="29"/>
      <c r="IS1048" s="29"/>
      <c r="IT1048" s="29"/>
      <c r="IU1048" s="29"/>
      <c r="IV1048" s="29"/>
      <c r="IW1048" s="29"/>
      <c r="IX1048" s="29"/>
      <c r="IY1048" s="29"/>
      <c r="IZ1048" s="29"/>
      <c r="JA1048" s="29"/>
      <c r="JB1048" s="29"/>
      <c r="JC1048" s="29"/>
      <c r="JD1048" s="29"/>
      <c r="JE1048" s="29"/>
      <c r="JF1048" s="29"/>
      <c r="JG1048" s="29"/>
      <c r="JH1048" s="29"/>
      <c r="JI1048" s="29"/>
      <c r="JJ1048" s="29"/>
      <c r="JK1048" s="29"/>
      <c r="JL1048" s="29"/>
    </row>
    <row r="1049" spans="1:272" ht="38.25" customHeight="1">
      <c r="A1049" s="30" t="s">
        <v>71</v>
      </c>
      <c r="B1049" s="32" t="s">
        <v>2628</v>
      </c>
      <c r="C1049" s="32" t="s">
        <v>144</v>
      </c>
      <c r="D1049" s="34" t="s">
        <v>2647</v>
      </c>
      <c r="E1049" s="31"/>
      <c r="F1049" s="30"/>
      <c r="G1049" s="31"/>
      <c r="H1049" s="31"/>
      <c r="I1049" s="54" t="s">
        <v>67</v>
      </c>
      <c r="J1049" s="32" t="s">
        <v>311</v>
      </c>
      <c r="K1049" s="32" t="s">
        <v>78</v>
      </c>
      <c r="L1049" s="32"/>
      <c r="M1049" s="98">
        <v>0</v>
      </c>
      <c r="N1049" s="98">
        <v>28850000</v>
      </c>
      <c r="O1049" s="30" t="s">
        <v>79</v>
      </c>
      <c r="P1049" s="32" t="s">
        <v>345</v>
      </c>
      <c r="Q1049" s="152" t="s">
        <v>294</v>
      </c>
      <c r="R1049" s="155" t="s">
        <v>80</v>
      </c>
      <c r="S1049" s="41">
        <v>2014</v>
      </c>
      <c r="T1049" s="140" t="s">
        <v>2644</v>
      </c>
      <c r="U1049" s="140" t="s">
        <v>2645</v>
      </c>
      <c r="V1049" s="32" t="s">
        <v>2646</v>
      </c>
      <c r="W1049" s="155" t="s">
        <v>151</v>
      </c>
      <c r="X1049" s="96">
        <v>41625</v>
      </c>
      <c r="Y1049" s="96">
        <v>41691</v>
      </c>
      <c r="Z1049" s="96">
        <v>43516</v>
      </c>
      <c r="AA1049" s="95"/>
      <c r="AB1049" s="97"/>
      <c r="AE1049" s="29"/>
      <c r="AF1049" s="29"/>
      <c r="AG1049" s="29"/>
      <c r="AH1049" s="29"/>
      <c r="AI1049" s="29"/>
      <c r="AJ1049" s="29"/>
      <c r="AK1049" s="29"/>
      <c r="AL1049" s="29"/>
      <c r="AM1049" s="29"/>
      <c r="AN1049" s="29"/>
      <c r="AO1049" s="29"/>
      <c r="AP1049" s="29"/>
      <c r="AQ1049" s="29"/>
      <c r="AR1049" s="29"/>
      <c r="AS1049" s="29"/>
      <c r="AT1049" s="29"/>
      <c r="AU1049" s="29"/>
      <c r="AV1049" s="29"/>
      <c r="AW1049" s="29"/>
      <c r="AX1049" s="29"/>
      <c r="AY1049" s="29"/>
      <c r="AZ1049" s="29"/>
      <c r="BA1049" s="29"/>
      <c r="BB1049" s="29"/>
      <c r="BC1049" s="29"/>
      <c r="BD1049" s="29"/>
      <c r="BE1049" s="29"/>
      <c r="BF1049" s="29"/>
      <c r="BG1049" s="29"/>
      <c r="BH1049" s="29"/>
      <c r="BI1049" s="29"/>
      <c r="BJ1049" s="29"/>
      <c r="BK1049" s="29"/>
      <c r="BL1049" s="29"/>
      <c r="BM1049" s="29"/>
      <c r="BN1049" s="29"/>
      <c r="BO1049" s="29"/>
      <c r="BP1049" s="29"/>
      <c r="BQ1049" s="29"/>
      <c r="BR1049" s="29"/>
      <c r="BS1049" s="29"/>
      <c r="BT1049" s="29"/>
      <c r="BU1049" s="29"/>
      <c r="BV1049" s="29"/>
      <c r="BW1049" s="29"/>
      <c r="BX1049" s="29"/>
      <c r="BY1049" s="29"/>
      <c r="BZ1049" s="29"/>
      <c r="CA1049" s="29"/>
      <c r="CB1049" s="29"/>
      <c r="CC1049" s="29"/>
      <c r="CD1049" s="29"/>
      <c r="CE1049" s="29"/>
      <c r="CF1049" s="29"/>
      <c r="CG1049" s="29"/>
      <c r="CH1049" s="29"/>
      <c r="CI1049" s="29"/>
      <c r="CJ1049" s="29"/>
      <c r="CK1049" s="29"/>
      <c r="CL1049" s="29"/>
      <c r="CM1049" s="29"/>
      <c r="CN1049" s="29"/>
      <c r="CO1049" s="29"/>
      <c r="CP1049" s="29"/>
      <c r="CQ1049" s="29"/>
      <c r="CR1049" s="29"/>
      <c r="CS1049" s="29"/>
      <c r="CT1049" s="29"/>
      <c r="CU1049" s="29"/>
      <c r="CV1049" s="29"/>
      <c r="CW1049" s="29"/>
      <c r="CX1049" s="29"/>
      <c r="CY1049" s="29"/>
      <c r="CZ1049" s="29"/>
      <c r="DA1049" s="29"/>
      <c r="DB1049" s="29"/>
      <c r="DC1049" s="29"/>
      <c r="DD1049" s="29"/>
      <c r="DE1049" s="29"/>
      <c r="DF1049" s="29"/>
      <c r="DG1049" s="29"/>
      <c r="DH1049" s="29"/>
      <c r="DI1049" s="29"/>
      <c r="DJ1049" s="29"/>
      <c r="DK1049" s="29"/>
      <c r="DL1049" s="29"/>
      <c r="DM1049" s="29"/>
      <c r="DN1049" s="29"/>
      <c r="DO1049" s="29"/>
      <c r="DP1049" s="29"/>
      <c r="DQ1049" s="29"/>
      <c r="DR1049" s="29"/>
      <c r="DS1049" s="29"/>
      <c r="DT1049" s="29"/>
      <c r="DU1049" s="29"/>
      <c r="DV1049" s="29"/>
      <c r="DW1049" s="29"/>
      <c r="DX1049" s="29"/>
      <c r="DY1049" s="29"/>
      <c r="DZ1049" s="29"/>
      <c r="EA1049" s="29"/>
      <c r="EB1049" s="29"/>
      <c r="EC1049" s="29"/>
      <c r="ED1049" s="29"/>
      <c r="EE1049" s="29"/>
      <c r="EF1049" s="29"/>
      <c r="EG1049" s="29"/>
      <c r="EH1049" s="29"/>
      <c r="EI1049" s="29"/>
      <c r="EJ1049" s="29"/>
      <c r="EK1049" s="29"/>
      <c r="EL1049" s="29"/>
      <c r="EM1049" s="29"/>
      <c r="EN1049" s="29"/>
      <c r="EO1049" s="29"/>
      <c r="EP1049" s="29"/>
      <c r="EQ1049" s="29"/>
      <c r="ER1049" s="29"/>
      <c r="ES1049" s="29"/>
      <c r="ET1049" s="29"/>
      <c r="EU1049" s="29"/>
      <c r="EV1049" s="29"/>
      <c r="EW1049" s="29"/>
      <c r="EX1049" s="29"/>
      <c r="EY1049" s="29"/>
      <c r="EZ1049" s="29"/>
      <c r="FA1049" s="29"/>
      <c r="FB1049" s="29"/>
      <c r="FC1049" s="29"/>
      <c r="FD1049" s="29"/>
      <c r="FE1049" s="29"/>
      <c r="FF1049" s="29"/>
      <c r="FG1049" s="29"/>
      <c r="FH1049" s="29"/>
      <c r="FI1049" s="29"/>
      <c r="FJ1049" s="29"/>
      <c r="FK1049" s="29"/>
      <c r="FL1049" s="29"/>
      <c r="FM1049" s="29"/>
      <c r="FN1049" s="29"/>
      <c r="FO1049" s="29"/>
      <c r="FP1049" s="29"/>
      <c r="FQ1049" s="29"/>
      <c r="FR1049" s="29"/>
      <c r="FS1049" s="29"/>
      <c r="FT1049" s="29"/>
      <c r="FU1049" s="29"/>
      <c r="FV1049" s="29"/>
      <c r="FW1049" s="29"/>
      <c r="FX1049" s="29"/>
      <c r="FY1049" s="29"/>
      <c r="FZ1049" s="29"/>
      <c r="GA1049" s="29"/>
      <c r="GB1049" s="29"/>
      <c r="GC1049" s="29"/>
      <c r="GD1049" s="29"/>
      <c r="GE1049" s="29"/>
      <c r="GF1049" s="29"/>
      <c r="GG1049" s="29"/>
      <c r="GH1049" s="29"/>
      <c r="GI1049" s="29"/>
      <c r="GJ1049" s="29"/>
      <c r="GK1049" s="29"/>
      <c r="GL1049" s="29"/>
      <c r="GM1049" s="29"/>
      <c r="GN1049" s="29"/>
      <c r="GO1049" s="29"/>
      <c r="GP1049" s="29"/>
      <c r="GQ1049" s="29"/>
      <c r="GR1049" s="29"/>
      <c r="GS1049" s="29"/>
      <c r="GT1049" s="29"/>
      <c r="GU1049" s="29"/>
      <c r="GV1049" s="29"/>
      <c r="GW1049" s="29"/>
      <c r="GX1049" s="29"/>
      <c r="GY1049" s="29"/>
      <c r="GZ1049" s="29"/>
      <c r="HA1049" s="29"/>
      <c r="HB1049" s="29"/>
      <c r="HC1049" s="29"/>
      <c r="HD1049" s="29"/>
      <c r="HE1049" s="29"/>
      <c r="HF1049" s="29"/>
      <c r="HG1049" s="29"/>
      <c r="HH1049" s="29"/>
      <c r="HI1049" s="29"/>
      <c r="HJ1049" s="29"/>
      <c r="HK1049" s="29"/>
      <c r="HL1049" s="29"/>
      <c r="HM1049" s="29"/>
      <c r="HN1049" s="29"/>
      <c r="HO1049" s="29"/>
      <c r="HP1049" s="29"/>
      <c r="HQ1049" s="29"/>
      <c r="HR1049" s="29"/>
      <c r="HS1049" s="29"/>
      <c r="HT1049" s="29"/>
      <c r="HU1049" s="29"/>
      <c r="HV1049" s="29"/>
      <c r="HW1049" s="29"/>
      <c r="HX1049" s="29"/>
      <c r="HY1049" s="29"/>
      <c r="HZ1049" s="29"/>
      <c r="IA1049" s="29"/>
      <c r="IB1049" s="29"/>
      <c r="IC1049" s="29"/>
      <c r="ID1049" s="29"/>
      <c r="IE1049" s="29"/>
      <c r="IF1049" s="29"/>
      <c r="IG1049" s="29"/>
      <c r="IH1049" s="29"/>
      <c r="II1049" s="29"/>
      <c r="IJ1049" s="29"/>
      <c r="IK1049" s="29"/>
      <c r="IL1049" s="29"/>
      <c r="IM1049" s="29"/>
      <c r="IN1049" s="29"/>
      <c r="IO1049" s="29"/>
      <c r="IP1049" s="29"/>
      <c r="IQ1049" s="29"/>
      <c r="IR1049" s="29"/>
      <c r="IS1049" s="29"/>
      <c r="IT1049" s="29"/>
      <c r="IU1049" s="29"/>
      <c r="IV1049" s="29"/>
      <c r="IW1049" s="29"/>
      <c r="IX1049" s="29"/>
      <c r="IY1049" s="29"/>
      <c r="IZ1049" s="29"/>
      <c r="JA1049" s="29"/>
      <c r="JB1049" s="29"/>
      <c r="JC1049" s="29"/>
      <c r="JD1049" s="29"/>
      <c r="JE1049" s="29"/>
      <c r="JF1049" s="29"/>
      <c r="JG1049" s="29"/>
      <c r="JH1049" s="29"/>
      <c r="JI1049" s="29"/>
      <c r="JJ1049" s="29"/>
      <c r="JK1049" s="29"/>
      <c r="JL1049" s="29"/>
    </row>
    <row r="1050" spans="1:272" ht="38.25" customHeight="1">
      <c r="A1050" s="30" t="s">
        <v>71</v>
      </c>
      <c r="B1050" s="32" t="s">
        <v>2628</v>
      </c>
      <c r="C1050" s="32" t="s">
        <v>144</v>
      </c>
      <c r="D1050" s="34" t="s">
        <v>2643</v>
      </c>
      <c r="E1050" s="31"/>
      <c r="F1050" s="30"/>
      <c r="G1050" s="31"/>
      <c r="H1050" s="31"/>
      <c r="I1050" s="54" t="s">
        <v>67</v>
      </c>
      <c r="J1050" s="32" t="s">
        <v>311</v>
      </c>
      <c r="K1050" s="32" t="s">
        <v>78</v>
      </c>
      <c r="L1050" s="32" t="s">
        <v>343</v>
      </c>
      <c r="M1050" s="98">
        <v>0</v>
      </c>
      <c r="N1050" s="98">
        <v>100000000</v>
      </c>
      <c r="O1050" s="30" t="s">
        <v>79</v>
      </c>
      <c r="P1050" s="32" t="s">
        <v>345</v>
      </c>
      <c r="Q1050" s="152" t="s">
        <v>294</v>
      </c>
      <c r="R1050" s="155" t="s">
        <v>80</v>
      </c>
      <c r="S1050" s="41">
        <v>2014</v>
      </c>
      <c r="T1050" s="140" t="s">
        <v>2644</v>
      </c>
      <c r="U1050" s="140" t="s">
        <v>2645</v>
      </c>
      <c r="V1050" s="32" t="s">
        <v>2646</v>
      </c>
      <c r="W1050" s="129" t="s">
        <v>151</v>
      </c>
      <c r="X1050" s="95"/>
      <c r="Y1050" s="96">
        <v>41652</v>
      </c>
      <c r="Z1050" s="96">
        <v>43477</v>
      </c>
      <c r="AA1050" s="95"/>
      <c r="AB1050" s="97"/>
      <c r="AE1050" s="29"/>
      <c r="AF1050" s="29"/>
      <c r="AG1050" s="29"/>
      <c r="AH1050" s="29"/>
      <c r="AI1050" s="29"/>
      <c r="AJ1050" s="29"/>
      <c r="AK1050" s="29"/>
      <c r="AL1050" s="29"/>
      <c r="AM1050" s="29"/>
      <c r="AN1050" s="29"/>
      <c r="AO1050" s="29"/>
      <c r="AP1050" s="29"/>
      <c r="AQ1050" s="29"/>
      <c r="AR1050" s="29"/>
      <c r="AS1050" s="29"/>
      <c r="AT1050" s="29"/>
      <c r="AU1050" s="29"/>
      <c r="AV1050" s="29"/>
      <c r="AW1050" s="29"/>
      <c r="AX1050" s="29"/>
      <c r="AY1050" s="29"/>
      <c r="AZ1050" s="29"/>
      <c r="BA1050" s="29"/>
      <c r="BB1050" s="29"/>
      <c r="BC1050" s="29"/>
      <c r="BD1050" s="29"/>
      <c r="BE1050" s="29"/>
      <c r="BF1050" s="29"/>
      <c r="BG1050" s="29"/>
      <c r="BH1050" s="29"/>
      <c r="BI1050" s="29"/>
      <c r="BJ1050" s="29"/>
      <c r="BK1050" s="29"/>
      <c r="BL1050" s="29"/>
      <c r="BM1050" s="29"/>
      <c r="BN1050" s="29"/>
      <c r="BO1050" s="29"/>
      <c r="BP1050" s="29"/>
      <c r="BQ1050" s="29"/>
      <c r="BR1050" s="29"/>
      <c r="BS1050" s="29"/>
      <c r="BT1050" s="29"/>
      <c r="BU1050" s="29"/>
      <c r="BV1050" s="29"/>
      <c r="BW1050" s="29"/>
      <c r="BX1050" s="29"/>
      <c r="BY1050" s="29"/>
      <c r="BZ1050" s="29"/>
      <c r="CA1050" s="29"/>
      <c r="CB1050" s="29"/>
      <c r="CC1050" s="29"/>
      <c r="CD1050" s="29"/>
      <c r="CE1050" s="29"/>
      <c r="CF1050" s="29"/>
      <c r="CG1050" s="29"/>
      <c r="CH1050" s="29"/>
      <c r="CI1050" s="29"/>
      <c r="CJ1050" s="29"/>
      <c r="CK1050" s="29"/>
      <c r="CL1050" s="29"/>
      <c r="CM1050" s="29"/>
      <c r="CN1050" s="29"/>
      <c r="CO1050" s="29"/>
      <c r="CP1050" s="29"/>
      <c r="CQ1050" s="29"/>
      <c r="CR1050" s="29"/>
      <c r="CS1050" s="29"/>
      <c r="CT1050" s="29"/>
      <c r="CU1050" s="29"/>
      <c r="CV1050" s="29"/>
      <c r="CW1050" s="29"/>
      <c r="CX1050" s="29"/>
      <c r="CY1050" s="29"/>
      <c r="CZ1050" s="29"/>
      <c r="DA1050" s="29"/>
      <c r="DB1050" s="29"/>
      <c r="DC1050" s="29"/>
      <c r="DD1050" s="29"/>
      <c r="DE1050" s="29"/>
      <c r="DF1050" s="29"/>
      <c r="DG1050" s="29"/>
      <c r="DH1050" s="29"/>
      <c r="DI1050" s="29"/>
      <c r="DJ1050" s="29"/>
      <c r="DK1050" s="29"/>
      <c r="DL1050" s="29"/>
      <c r="DM1050" s="29"/>
      <c r="DN1050" s="29"/>
      <c r="DO1050" s="29"/>
      <c r="DP1050" s="29"/>
      <c r="DQ1050" s="29"/>
      <c r="DR1050" s="29"/>
      <c r="DS1050" s="29"/>
      <c r="DT1050" s="29"/>
      <c r="DU1050" s="29"/>
      <c r="DV1050" s="29"/>
      <c r="DW1050" s="29"/>
      <c r="DX1050" s="29"/>
      <c r="DY1050" s="29"/>
      <c r="DZ1050" s="29"/>
      <c r="EA1050" s="29"/>
      <c r="EB1050" s="29"/>
      <c r="EC1050" s="29"/>
      <c r="ED1050" s="29"/>
      <c r="EE1050" s="29"/>
      <c r="EF1050" s="29"/>
      <c r="EG1050" s="29"/>
      <c r="EH1050" s="29"/>
      <c r="EI1050" s="29"/>
      <c r="EJ1050" s="29"/>
      <c r="EK1050" s="29"/>
      <c r="EL1050" s="29"/>
      <c r="EM1050" s="29"/>
      <c r="EN1050" s="29"/>
      <c r="EO1050" s="29"/>
      <c r="EP1050" s="29"/>
      <c r="EQ1050" s="29"/>
      <c r="ER1050" s="29"/>
      <c r="ES1050" s="29"/>
      <c r="ET1050" s="29"/>
      <c r="EU1050" s="29"/>
      <c r="EV1050" s="29"/>
      <c r="EW1050" s="29"/>
      <c r="EX1050" s="29"/>
      <c r="EY1050" s="29"/>
      <c r="EZ1050" s="29"/>
      <c r="FA1050" s="29"/>
      <c r="FB1050" s="29"/>
      <c r="FC1050" s="29"/>
      <c r="FD1050" s="29"/>
      <c r="FE1050" s="29"/>
      <c r="FF1050" s="29"/>
      <c r="FG1050" s="29"/>
      <c r="FH1050" s="29"/>
      <c r="FI1050" s="29"/>
      <c r="FJ1050" s="29"/>
      <c r="FK1050" s="29"/>
      <c r="FL1050" s="29"/>
      <c r="FM1050" s="29"/>
      <c r="FN1050" s="29"/>
      <c r="FO1050" s="29"/>
      <c r="FP1050" s="29"/>
      <c r="FQ1050" s="29"/>
      <c r="FR1050" s="29"/>
      <c r="FS1050" s="29"/>
      <c r="FT1050" s="29"/>
      <c r="FU1050" s="29"/>
      <c r="FV1050" s="29"/>
      <c r="FW1050" s="29"/>
      <c r="FX1050" s="29"/>
      <c r="FY1050" s="29"/>
      <c r="FZ1050" s="29"/>
      <c r="GA1050" s="29"/>
      <c r="GB1050" s="29"/>
      <c r="GC1050" s="29"/>
      <c r="GD1050" s="29"/>
      <c r="GE1050" s="29"/>
      <c r="GF1050" s="29"/>
      <c r="GG1050" s="29"/>
      <c r="GH1050" s="29"/>
      <c r="GI1050" s="29"/>
      <c r="GJ1050" s="29"/>
      <c r="GK1050" s="29"/>
      <c r="GL1050" s="29"/>
      <c r="GM1050" s="29"/>
      <c r="GN1050" s="29"/>
      <c r="GO1050" s="29"/>
      <c r="GP1050" s="29"/>
      <c r="GQ1050" s="29"/>
      <c r="GR1050" s="29"/>
      <c r="GS1050" s="29"/>
      <c r="GT1050" s="29"/>
      <c r="GU1050" s="29"/>
      <c r="GV1050" s="29"/>
      <c r="GW1050" s="29"/>
      <c r="GX1050" s="29"/>
      <c r="GY1050" s="29"/>
      <c r="GZ1050" s="29"/>
      <c r="HA1050" s="29"/>
      <c r="HB1050" s="29"/>
      <c r="HC1050" s="29"/>
      <c r="HD1050" s="29"/>
      <c r="HE1050" s="29"/>
      <c r="HF1050" s="29"/>
      <c r="HG1050" s="29"/>
      <c r="HH1050" s="29"/>
      <c r="HI1050" s="29"/>
      <c r="HJ1050" s="29"/>
      <c r="HK1050" s="29"/>
      <c r="HL1050" s="29"/>
      <c r="HM1050" s="29"/>
      <c r="HN1050" s="29"/>
      <c r="HO1050" s="29"/>
      <c r="HP1050" s="29"/>
      <c r="HQ1050" s="29"/>
      <c r="HR1050" s="29"/>
      <c r="HS1050" s="29"/>
      <c r="HT1050" s="29"/>
      <c r="HU1050" s="29"/>
      <c r="HV1050" s="29"/>
      <c r="HW1050" s="29"/>
      <c r="HX1050" s="29"/>
      <c r="HY1050" s="29"/>
      <c r="HZ1050" s="29"/>
      <c r="IA1050" s="29"/>
      <c r="IB1050" s="29"/>
      <c r="IC1050" s="29"/>
      <c r="ID1050" s="29"/>
      <c r="IE1050" s="29"/>
      <c r="IF1050" s="29"/>
      <c r="IG1050" s="29"/>
      <c r="IH1050" s="29"/>
      <c r="II1050" s="29"/>
      <c r="IJ1050" s="29"/>
      <c r="IK1050" s="29"/>
      <c r="IL1050" s="29"/>
      <c r="IM1050" s="29"/>
      <c r="IN1050" s="29"/>
      <c r="IO1050" s="29"/>
      <c r="IP1050" s="29"/>
      <c r="IQ1050" s="29"/>
      <c r="IR1050" s="29"/>
      <c r="IS1050" s="29"/>
      <c r="IT1050" s="29"/>
      <c r="IU1050" s="29"/>
      <c r="IV1050" s="29"/>
      <c r="IW1050" s="29"/>
      <c r="IX1050" s="29"/>
      <c r="IY1050" s="29"/>
      <c r="IZ1050" s="29"/>
      <c r="JA1050" s="29"/>
      <c r="JB1050" s="29"/>
      <c r="JC1050" s="29"/>
      <c r="JD1050" s="29"/>
      <c r="JE1050" s="29"/>
      <c r="JF1050" s="29"/>
      <c r="JG1050" s="29"/>
      <c r="JH1050" s="29"/>
      <c r="JI1050" s="29"/>
      <c r="JJ1050" s="29"/>
      <c r="JK1050" s="29"/>
      <c r="JL1050" s="29"/>
    </row>
    <row r="1051" spans="1:272" ht="38.25" customHeight="1">
      <c r="A1051" s="30" t="s">
        <v>71</v>
      </c>
      <c r="B1051" s="32" t="s">
        <v>2628</v>
      </c>
      <c r="C1051" s="32" t="s">
        <v>343</v>
      </c>
      <c r="D1051" s="34" t="s">
        <v>2648</v>
      </c>
      <c r="E1051" s="31"/>
      <c r="F1051" s="30"/>
      <c r="G1051" s="31"/>
      <c r="H1051" s="31"/>
      <c r="I1051" s="54" t="s">
        <v>67</v>
      </c>
      <c r="J1051" s="32" t="s">
        <v>311</v>
      </c>
      <c r="K1051" s="32" t="s">
        <v>78</v>
      </c>
      <c r="L1051" s="32"/>
      <c r="M1051" s="98">
        <v>0</v>
      </c>
      <c r="N1051" s="98">
        <v>22500000</v>
      </c>
      <c r="O1051" s="30" t="s">
        <v>79</v>
      </c>
      <c r="P1051" s="32" t="s">
        <v>345</v>
      </c>
      <c r="Q1051" s="152" t="s">
        <v>294</v>
      </c>
      <c r="R1051" s="155" t="s">
        <v>80</v>
      </c>
      <c r="S1051" s="41">
        <v>2014</v>
      </c>
      <c r="T1051" s="140" t="s">
        <v>2644</v>
      </c>
      <c r="U1051" s="140" t="s">
        <v>2645</v>
      </c>
      <c r="V1051" s="32" t="s">
        <v>2646</v>
      </c>
      <c r="W1051" s="129" t="s">
        <v>151</v>
      </c>
      <c r="X1051" s="96">
        <v>41668</v>
      </c>
      <c r="Y1051" s="96">
        <v>41729</v>
      </c>
      <c r="Z1051" s="96">
        <v>43554</v>
      </c>
      <c r="AA1051" s="95"/>
      <c r="AB1051" s="97"/>
      <c r="AE1051" s="29"/>
      <c r="AF1051" s="29"/>
      <c r="AG1051" s="29"/>
      <c r="AH1051" s="29"/>
      <c r="AI1051" s="29"/>
      <c r="AJ1051" s="29"/>
      <c r="AK1051" s="29"/>
      <c r="AL1051" s="29"/>
      <c r="AM1051" s="29"/>
      <c r="AN1051" s="29"/>
      <c r="AO1051" s="29"/>
      <c r="AP1051" s="29"/>
      <c r="AQ1051" s="29"/>
      <c r="AR1051" s="29"/>
      <c r="AS1051" s="29"/>
      <c r="AT1051" s="29"/>
      <c r="AU1051" s="29"/>
      <c r="AV1051" s="29"/>
      <c r="AW1051" s="29"/>
      <c r="AX1051" s="29"/>
      <c r="AY1051" s="29"/>
      <c r="AZ1051" s="29"/>
      <c r="BA1051" s="29"/>
      <c r="BB1051" s="29"/>
      <c r="BC1051" s="29"/>
      <c r="BD1051" s="29"/>
      <c r="BE1051" s="29"/>
      <c r="BF1051" s="29"/>
      <c r="BG1051" s="29"/>
      <c r="BH1051" s="29"/>
      <c r="BI1051" s="29"/>
      <c r="BJ1051" s="29"/>
      <c r="BK1051" s="29"/>
      <c r="BL1051" s="29"/>
      <c r="BM1051" s="29"/>
      <c r="BN1051" s="29"/>
      <c r="BO1051" s="29"/>
      <c r="BP1051" s="29"/>
      <c r="BQ1051" s="29"/>
      <c r="BR1051" s="29"/>
      <c r="BS1051" s="29"/>
      <c r="BT1051" s="29"/>
      <c r="BU1051" s="29"/>
      <c r="BV1051" s="29"/>
      <c r="BW1051" s="29"/>
      <c r="BX1051" s="29"/>
      <c r="BY1051" s="29"/>
      <c r="BZ1051" s="29"/>
      <c r="CA1051" s="29"/>
      <c r="CB1051" s="29"/>
      <c r="CC1051" s="29"/>
      <c r="CD1051" s="29"/>
      <c r="CE1051" s="29"/>
      <c r="CF1051" s="29"/>
      <c r="CG1051" s="29"/>
      <c r="CH1051" s="29"/>
      <c r="CI1051" s="29"/>
      <c r="CJ1051" s="29"/>
      <c r="CK1051" s="29"/>
      <c r="CL1051" s="29"/>
      <c r="CM1051" s="29"/>
      <c r="CN1051" s="29"/>
      <c r="CO1051" s="29"/>
      <c r="CP1051" s="29"/>
      <c r="CQ1051" s="29"/>
      <c r="CR1051" s="29"/>
      <c r="CS1051" s="29"/>
      <c r="CT1051" s="29"/>
      <c r="CU1051" s="29"/>
      <c r="CV1051" s="29"/>
      <c r="CW1051" s="29"/>
      <c r="CX1051" s="29"/>
      <c r="CY1051" s="29"/>
      <c r="CZ1051" s="29"/>
      <c r="DA1051" s="29"/>
      <c r="DB1051" s="29"/>
      <c r="DC1051" s="29"/>
      <c r="DD1051" s="29"/>
      <c r="DE1051" s="29"/>
      <c r="DF1051" s="29"/>
      <c r="DG1051" s="29"/>
      <c r="DH1051" s="29"/>
      <c r="DI1051" s="29"/>
      <c r="DJ1051" s="29"/>
      <c r="DK1051" s="29"/>
      <c r="DL1051" s="29"/>
      <c r="DM1051" s="29"/>
      <c r="DN1051" s="29"/>
      <c r="DO1051" s="29"/>
      <c r="DP1051" s="29"/>
      <c r="DQ1051" s="29"/>
      <c r="DR1051" s="29"/>
      <c r="DS1051" s="29"/>
      <c r="DT1051" s="29"/>
      <c r="DU1051" s="29"/>
      <c r="DV1051" s="29"/>
      <c r="DW1051" s="29"/>
      <c r="DX1051" s="29"/>
      <c r="DY1051" s="29"/>
      <c r="DZ1051" s="29"/>
      <c r="EA1051" s="29"/>
      <c r="EB1051" s="29"/>
      <c r="EC1051" s="29"/>
      <c r="ED1051" s="29"/>
      <c r="EE1051" s="29"/>
      <c r="EF1051" s="29"/>
      <c r="EG1051" s="29"/>
      <c r="EH1051" s="29"/>
      <c r="EI1051" s="29"/>
      <c r="EJ1051" s="29"/>
      <c r="EK1051" s="29"/>
      <c r="EL1051" s="29"/>
      <c r="EM1051" s="29"/>
      <c r="EN1051" s="29"/>
      <c r="EO1051" s="29"/>
      <c r="EP1051" s="29"/>
      <c r="EQ1051" s="29"/>
      <c r="ER1051" s="29"/>
      <c r="ES1051" s="29"/>
      <c r="ET1051" s="29"/>
      <c r="EU1051" s="29"/>
      <c r="EV1051" s="29"/>
      <c r="EW1051" s="29"/>
      <c r="EX1051" s="29"/>
      <c r="EY1051" s="29"/>
      <c r="EZ1051" s="29"/>
      <c r="FA1051" s="29"/>
      <c r="FB1051" s="29"/>
      <c r="FC1051" s="29"/>
      <c r="FD1051" s="29"/>
      <c r="FE1051" s="29"/>
      <c r="FF1051" s="29"/>
      <c r="FG1051" s="29"/>
      <c r="FH1051" s="29"/>
      <c r="FI1051" s="29"/>
      <c r="FJ1051" s="29"/>
      <c r="FK1051" s="29"/>
      <c r="FL1051" s="29"/>
      <c r="FM1051" s="29"/>
      <c r="FN1051" s="29"/>
      <c r="FO1051" s="29"/>
      <c r="FP1051" s="29"/>
      <c r="FQ1051" s="29"/>
      <c r="FR1051" s="29"/>
      <c r="FS1051" s="29"/>
      <c r="FT1051" s="29"/>
      <c r="FU1051" s="29"/>
      <c r="FV1051" s="29"/>
      <c r="FW1051" s="29"/>
      <c r="FX1051" s="29"/>
      <c r="FY1051" s="29"/>
      <c r="FZ1051" s="29"/>
      <c r="GA1051" s="29"/>
      <c r="GB1051" s="29"/>
      <c r="GC1051" s="29"/>
      <c r="GD1051" s="29"/>
      <c r="GE1051" s="29"/>
      <c r="GF1051" s="29"/>
      <c r="GG1051" s="29"/>
      <c r="GH1051" s="29"/>
      <c r="GI1051" s="29"/>
      <c r="GJ1051" s="29"/>
      <c r="GK1051" s="29"/>
      <c r="GL1051" s="29"/>
      <c r="GM1051" s="29"/>
      <c r="GN1051" s="29"/>
      <c r="GO1051" s="29"/>
      <c r="GP1051" s="29"/>
      <c r="GQ1051" s="29"/>
      <c r="GR1051" s="29"/>
      <c r="GS1051" s="29"/>
      <c r="GT1051" s="29"/>
      <c r="GU1051" s="29"/>
      <c r="GV1051" s="29"/>
      <c r="GW1051" s="29"/>
      <c r="GX1051" s="29"/>
      <c r="GY1051" s="29"/>
      <c r="GZ1051" s="29"/>
      <c r="HA1051" s="29"/>
      <c r="HB1051" s="29"/>
      <c r="HC1051" s="29"/>
      <c r="HD1051" s="29"/>
      <c r="HE1051" s="29"/>
      <c r="HF1051" s="29"/>
      <c r="HG1051" s="29"/>
      <c r="HH1051" s="29"/>
      <c r="HI1051" s="29"/>
      <c r="HJ1051" s="29"/>
      <c r="HK1051" s="29"/>
      <c r="HL1051" s="29"/>
      <c r="HM1051" s="29"/>
      <c r="HN1051" s="29"/>
      <c r="HO1051" s="29"/>
      <c r="HP1051" s="29"/>
      <c r="HQ1051" s="29"/>
      <c r="HR1051" s="29"/>
      <c r="HS1051" s="29"/>
      <c r="HT1051" s="29"/>
      <c r="HU1051" s="29"/>
      <c r="HV1051" s="29"/>
      <c r="HW1051" s="29"/>
      <c r="HX1051" s="29"/>
      <c r="HY1051" s="29"/>
      <c r="HZ1051" s="29"/>
      <c r="IA1051" s="29"/>
      <c r="IB1051" s="29"/>
      <c r="IC1051" s="29"/>
      <c r="ID1051" s="29"/>
      <c r="IE1051" s="29"/>
      <c r="IF1051" s="29"/>
      <c r="IG1051" s="29"/>
      <c r="IH1051" s="29"/>
      <c r="II1051" s="29"/>
      <c r="IJ1051" s="29"/>
      <c r="IK1051" s="29"/>
      <c r="IL1051" s="29"/>
      <c r="IM1051" s="29"/>
      <c r="IN1051" s="29"/>
      <c r="IO1051" s="29"/>
      <c r="IP1051" s="29"/>
      <c r="IQ1051" s="29"/>
      <c r="IR1051" s="29"/>
      <c r="IS1051" s="29"/>
      <c r="IT1051" s="29"/>
      <c r="IU1051" s="29"/>
      <c r="IV1051" s="29"/>
      <c r="IW1051" s="29"/>
      <c r="IX1051" s="29"/>
      <c r="IY1051" s="29"/>
      <c r="IZ1051" s="29"/>
      <c r="JA1051" s="29"/>
      <c r="JB1051" s="29"/>
      <c r="JC1051" s="29"/>
      <c r="JD1051" s="29"/>
      <c r="JE1051" s="29"/>
      <c r="JF1051" s="29"/>
      <c r="JG1051" s="29"/>
      <c r="JH1051" s="29"/>
      <c r="JI1051" s="29"/>
      <c r="JJ1051" s="29"/>
      <c r="JK1051" s="29"/>
      <c r="JL1051" s="29"/>
    </row>
    <row r="1052" spans="1:272" ht="38.25" customHeight="1">
      <c r="A1052" s="31" t="s">
        <v>71</v>
      </c>
      <c r="B1052" s="34" t="s">
        <v>2649</v>
      </c>
      <c r="C1052" s="34" t="s">
        <v>2650</v>
      </c>
      <c r="D1052" s="34" t="s">
        <v>2651</v>
      </c>
      <c r="E1052" s="31" t="s">
        <v>2652</v>
      </c>
      <c r="F1052" s="30" t="s">
        <v>2653</v>
      </c>
      <c r="G1052" s="31" t="s">
        <v>50</v>
      </c>
      <c r="H1052" s="31">
        <v>561210</v>
      </c>
      <c r="I1052" s="140" t="s">
        <v>2654</v>
      </c>
      <c r="J1052" s="138" t="s">
        <v>2613</v>
      </c>
      <c r="K1052" s="138" t="s">
        <v>78</v>
      </c>
      <c r="L1052" s="138" t="s">
        <v>302</v>
      </c>
      <c r="M1052" s="98" t="s">
        <v>302</v>
      </c>
      <c r="N1052" s="98">
        <v>3500000</v>
      </c>
      <c r="O1052" s="30" t="s">
        <v>79</v>
      </c>
      <c r="P1052" s="138" t="s">
        <v>2655</v>
      </c>
      <c r="Q1052" s="129" t="s">
        <v>867</v>
      </c>
      <c r="R1052" s="155" t="s">
        <v>80</v>
      </c>
      <c r="S1052" s="138">
        <v>2012</v>
      </c>
      <c r="T1052" s="140" t="s">
        <v>2656</v>
      </c>
      <c r="U1052" s="140" t="s">
        <v>2657</v>
      </c>
      <c r="V1052" s="140" t="s">
        <v>2658</v>
      </c>
      <c r="W1052" s="129" t="s">
        <v>151</v>
      </c>
      <c r="X1052" s="197" t="s">
        <v>302</v>
      </c>
      <c r="Y1052" s="115" t="s">
        <v>2659</v>
      </c>
      <c r="Z1052" s="141">
        <v>41531</v>
      </c>
      <c r="AA1052" s="115" t="s">
        <v>343</v>
      </c>
      <c r="AB1052" s="97"/>
    </row>
    <row r="1053" spans="1:272" ht="38.25" customHeight="1">
      <c r="A1053" s="30" t="s">
        <v>71</v>
      </c>
      <c r="B1053" s="32" t="s">
        <v>2649</v>
      </c>
      <c r="C1053" s="34" t="s">
        <v>2660</v>
      </c>
      <c r="D1053" s="34" t="s">
        <v>2661</v>
      </c>
      <c r="E1053" s="31" t="s">
        <v>2662</v>
      </c>
      <c r="F1053" s="30" t="s">
        <v>2663</v>
      </c>
      <c r="G1053" s="31" t="s">
        <v>2664</v>
      </c>
      <c r="H1053" s="31">
        <v>541614</v>
      </c>
      <c r="I1053" s="54" t="s">
        <v>67</v>
      </c>
      <c r="J1053" s="32" t="s">
        <v>2613</v>
      </c>
      <c r="K1053" s="32" t="s">
        <v>78</v>
      </c>
      <c r="L1053" s="32" t="s">
        <v>302</v>
      </c>
      <c r="M1053" s="98" t="s">
        <v>302</v>
      </c>
      <c r="N1053" s="98">
        <v>1228298</v>
      </c>
      <c r="O1053" s="30" t="s">
        <v>79</v>
      </c>
      <c r="P1053" s="32" t="s">
        <v>2665</v>
      </c>
      <c r="Q1053" s="129" t="s">
        <v>867</v>
      </c>
      <c r="R1053" s="129" t="s">
        <v>100</v>
      </c>
      <c r="S1053" s="138">
        <v>2011</v>
      </c>
      <c r="T1053" s="140" t="s">
        <v>2666</v>
      </c>
      <c r="U1053" s="140" t="s">
        <v>2667</v>
      </c>
      <c r="V1053" s="140" t="s">
        <v>2668</v>
      </c>
      <c r="W1053" s="129" t="s">
        <v>151</v>
      </c>
      <c r="X1053" s="197" t="s">
        <v>302</v>
      </c>
      <c r="Y1053" s="95" t="s">
        <v>2669</v>
      </c>
      <c r="Z1053" s="95" t="s">
        <v>2670</v>
      </c>
      <c r="AA1053" s="95"/>
      <c r="AB1053" s="97"/>
    </row>
    <row r="1054" spans="1:272" ht="34.5" customHeight="1">
      <c r="A1054" s="31" t="s">
        <v>71</v>
      </c>
      <c r="B1054" s="34" t="s">
        <v>2649</v>
      </c>
      <c r="C1054" s="34" t="s">
        <v>2650</v>
      </c>
      <c r="D1054" s="34" t="s">
        <v>2671</v>
      </c>
      <c r="E1054" s="31" t="s">
        <v>2652</v>
      </c>
      <c r="F1054" s="30" t="s">
        <v>2672</v>
      </c>
      <c r="G1054" s="31" t="s">
        <v>193</v>
      </c>
      <c r="H1054" s="31">
        <v>561210</v>
      </c>
      <c r="I1054" s="140" t="s">
        <v>2673</v>
      </c>
      <c r="J1054" s="138" t="s">
        <v>2613</v>
      </c>
      <c r="K1054" s="138" t="s">
        <v>78</v>
      </c>
      <c r="L1054" s="138" t="s">
        <v>302</v>
      </c>
      <c r="M1054" s="98" t="s">
        <v>302</v>
      </c>
      <c r="N1054" s="98">
        <v>1102119</v>
      </c>
      <c r="O1054" s="30" t="s">
        <v>79</v>
      </c>
      <c r="P1054" s="138" t="s">
        <v>2674</v>
      </c>
      <c r="Q1054" s="129" t="s">
        <v>867</v>
      </c>
      <c r="R1054" s="129" t="s">
        <v>150</v>
      </c>
      <c r="S1054" s="138">
        <v>2011</v>
      </c>
      <c r="T1054" s="140" t="s">
        <v>2656</v>
      </c>
      <c r="U1054" s="140" t="s">
        <v>2657</v>
      </c>
      <c r="V1054" s="140" t="s">
        <v>2658</v>
      </c>
      <c r="W1054" s="129" t="s">
        <v>151</v>
      </c>
      <c r="X1054" s="197" t="s">
        <v>302</v>
      </c>
      <c r="Y1054" s="141">
        <v>41621</v>
      </c>
      <c r="Z1054" s="141">
        <v>41622</v>
      </c>
      <c r="AA1054" s="115"/>
      <c r="AB1054" s="97"/>
    </row>
    <row r="1055" spans="1:272" ht="34.5" customHeight="1">
      <c r="A1055" s="31" t="s">
        <v>71</v>
      </c>
      <c r="B1055" s="34" t="s">
        <v>2649</v>
      </c>
      <c r="C1055" s="34" t="s">
        <v>2650</v>
      </c>
      <c r="D1055" s="34" t="s">
        <v>2675</v>
      </c>
      <c r="E1055" s="140" t="s">
        <v>2652</v>
      </c>
      <c r="F1055" s="140" t="s">
        <v>2672</v>
      </c>
      <c r="G1055" s="140" t="s">
        <v>193</v>
      </c>
      <c r="H1055" s="140">
        <v>561210</v>
      </c>
      <c r="I1055" s="140" t="s">
        <v>2673</v>
      </c>
      <c r="J1055" s="138" t="s">
        <v>2613</v>
      </c>
      <c r="K1055" s="138" t="s">
        <v>78</v>
      </c>
      <c r="L1055" s="138" t="s">
        <v>302</v>
      </c>
      <c r="M1055" s="149" t="s">
        <v>302</v>
      </c>
      <c r="N1055" s="92">
        <v>1102119</v>
      </c>
      <c r="O1055" s="30" t="s">
        <v>79</v>
      </c>
      <c r="P1055" s="138" t="s">
        <v>2674</v>
      </c>
      <c r="Q1055" s="129" t="s">
        <v>867</v>
      </c>
      <c r="R1055" s="129" t="s">
        <v>150</v>
      </c>
      <c r="S1055" s="138">
        <v>2011</v>
      </c>
      <c r="T1055" s="143" t="s">
        <v>2656</v>
      </c>
      <c r="U1055" s="143" t="s">
        <v>2657</v>
      </c>
      <c r="V1055" s="143" t="s">
        <v>2658</v>
      </c>
      <c r="W1055" s="129" t="s">
        <v>151</v>
      </c>
      <c r="X1055" s="197" t="s">
        <v>302</v>
      </c>
      <c r="Y1055" s="141">
        <v>41621</v>
      </c>
      <c r="Z1055" s="141">
        <v>41622</v>
      </c>
      <c r="AA1055" s="138"/>
    </row>
    <row r="1056" spans="1:272" ht="34.5" customHeight="1">
      <c r="A1056" s="31" t="s">
        <v>71</v>
      </c>
      <c r="B1056" s="34" t="s">
        <v>2649</v>
      </c>
      <c r="C1056" s="34" t="s">
        <v>2650</v>
      </c>
      <c r="D1056" s="34" t="s">
        <v>2676</v>
      </c>
      <c r="E1056" s="140" t="s">
        <v>2652</v>
      </c>
      <c r="F1056" s="140" t="s">
        <v>2672</v>
      </c>
      <c r="G1056" s="140" t="s">
        <v>193</v>
      </c>
      <c r="H1056" s="140">
        <v>561210</v>
      </c>
      <c r="I1056" s="140" t="s">
        <v>2673</v>
      </c>
      <c r="J1056" s="138" t="s">
        <v>2613</v>
      </c>
      <c r="K1056" s="138" t="s">
        <v>78</v>
      </c>
      <c r="L1056" s="138" t="s">
        <v>302</v>
      </c>
      <c r="M1056" s="149" t="s">
        <v>302</v>
      </c>
      <c r="N1056" s="92">
        <v>747743</v>
      </c>
      <c r="O1056" s="30" t="s">
        <v>79</v>
      </c>
      <c r="P1056" s="138" t="s">
        <v>2674</v>
      </c>
      <c r="Q1056" s="129" t="s">
        <v>867</v>
      </c>
      <c r="R1056" s="129" t="s">
        <v>150</v>
      </c>
      <c r="S1056" s="138">
        <v>2011</v>
      </c>
      <c r="T1056" s="143" t="s">
        <v>2656</v>
      </c>
      <c r="U1056" s="143" t="s">
        <v>2657</v>
      </c>
      <c r="V1056" s="143" t="s">
        <v>2658</v>
      </c>
      <c r="W1056" s="129" t="s">
        <v>151</v>
      </c>
      <c r="X1056" s="197" t="s">
        <v>302</v>
      </c>
      <c r="Y1056" s="141">
        <v>41621</v>
      </c>
      <c r="Z1056" s="141">
        <v>41622</v>
      </c>
      <c r="AA1056" s="138"/>
    </row>
    <row r="1057" spans="1:272" ht="34.5" customHeight="1">
      <c r="A1057" s="31" t="s">
        <v>71</v>
      </c>
      <c r="B1057" s="34" t="s">
        <v>2649</v>
      </c>
      <c r="C1057" s="34" t="s">
        <v>2650</v>
      </c>
      <c r="D1057" s="34" t="s">
        <v>2677</v>
      </c>
      <c r="E1057" s="140" t="s">
        <v>2652</v>
      </c>
      <c r="F1057" s="140" t="s">
        <v>2672</v>
      </c>
      <c r="G1057" s="140" t="s">
        <v>193</v>
      </c>
      <c r="H1057" s="140">
        <v>561210</v>
      </c>
      <c r="I1057" s="140" t="s">
        <v>2673</v>
      </c>
      <c r="J1057" s="138" t="s">
        <v>2613</v>
      </c>
      <c r="K1057" s="138" t="s">
        <v>78</v>
      </c>
      <c r="L1057" s="138" t="s">
        <v>302</v>
      </c>
      <c r="M1057" s="149" t="s">
        <v>302</v>
      </c>
      <c r="N1057" s="92">
        <v>706269</v>
      </c>
      <c r="O1057" s="30" t="s">
        <v>79</v>
      </c>
      <c r="P1057" s="138" t="s">
        <v>2674</v>
      </c>
      <c r="Q1057" s="129" t="s">
        <v>867</v>
      </c>
      <c r="R1057" s="129" t="s">
        <v>150</v>
      </c>
      <c r="S1057" s="138">
        <v>2011</v>
      </c>
      <c r="T1057" s="143" t="s">
        <v>2656</v>
      </c>
      <c r="U1057" s="143" t="s">
        <v>2657</v>
      </c>
      <c r="V1057" s="143" t="s">
        <v>2658</v>
      </c>
      <c r="W1057" s="129" t="s">
        <v>151</v>
      </c>
      <c r="X1057" s="197" t="s">
        <v>302</v>
      </c>
      <c r="Y1057" s="141">
        <v>41621</v>
      </c>
      <c r="Z1057" s="141">
        <v>41622</v>
      </c>
      <c r="AA1057" s="138"/>
    </row>
    <row r="1058" spans="1:272" ht="38.25" customHeight="1">
      <c r="A1058" s="30" t="s">
        <v>71</v>
      </c>
      <c r="B1058" s="34" t="s">
        <v>2649</v>
      </c>
      <c r="C1058" s="34" t="s">
        <v>2678</v>
      </c>
      <c r="D1058" s="34" t="s">
        <v>2679</v>
      </c>
      <c r="E1058" s="34" t="s">
        <v>2662</v>
      </c>
      <c r="F1058" s="142" t="s">
        <v>289</v>
      </c>
      <c r="G1058" s="142" t="s">
        <v>111</v>
      </c>
      <c r="H1058" s="140">
        <v>541511</v>
      </c>
      <c r="I1058" s="142" t="s">
        <v>98</v>
      </c>
      <c r="J1058" s="140" t="s">
        <v>2613</v>
      </c>
      <c r="K1058" s="140" t="s">
        <v>78</v>
      </c>
      <c r="L1058" s="140" t="s">
        <v>302</v>
      </c>
      <c r="M1058" s="149">
        <v>0</v>
      </c>
      <c r="N1058" s="149" t="s">
        <v>345</v>
      </c>
      <c r="O1058" s="140" t="s">
        <v>79</v>
      </c>
      <c r="P1058" s="140" t="s">
        <v>2680</v>
      </c>
      <c r="Q1058" s="152" t="s">
        <v>294</v>
      </c>
      <c r="R1058" s="150" t="s">
        <v>150</v>
      </c>
      <c r="S1058" s="115">
        <v>2015</v>
      </c>
      <c r="T1058" s="143" t="s">
        <v>2666</v>
      </c>
      <c r="U1058" s="143" t="s">
        <v>2667</v>
      </c>
      <c r="V1058" s="143" t="s">
        <v>2668</v>
      </c>
      <c r="W1058" s="129" t="s">
        <v>151</v>
      </c>
      <c r="X1058" s="143" t="s">
        <v>345</v>
      </c>
      <c r="Y1058" s="151">
        <v>41913</v>
      </c>
      <c r="Z1058" s="143" t="s">
        <v>345</v>
      </c>
      <c r="AA1058" s="32"/>
      <c r="AE1058" s="29"/>
      <c r="AF1058" s="29"/>
      <c r="AG1058" s="29"/>
      <c r="AH1058" s="29"/>
      <c r="AI1058" s="29"/>
      <c r="AJ1058" s="29"/>
      <c r="AK1058" s="29"/>
      <c r="AL1058" s="29"/>
      <c r="AM1058" s="29"/>
      <c r="AN1058" s="29"/>
      <c r="AO1058" s="29"/>
      <c r="AP1058" s="29"/>
      <c r="AQ1058" s="29"/>
      <c r="AR1058" s="29"/>
      <c r="AS1058" s="29"/>
      <c r="AT1058" s="29"/>
      <c r="AU1058" s="29"/>
      <c r="AV1058" s="29"/>
      <c r="AW1058" s="29"/>
      <c r="AX1058" s="29"/>
      <c r="AY1058" s="29"/>
      <c r="AZ1058" s="29"/>
      <c r="BA1058" s="29"/>
      <c r="BB1058" s="29"/>
      <c r="BC1058" s="29"/>
      <c r="BD1058" s="29"/>
      <c r="BE1058" s="29"/>
      <c r="BF1058" s="29"/>
      <c r="BG1058" s="29"/>
      <c r="BH1058" s="29"/>
      <c r="BI1058" s="29"/>
      <c r="BJ1058" s="29"/>
      <c r="BK1058" s="29"/>
      <c r="BL1058" s="29"/>
      <c r="BM1058" s="29"/>
      <c r="BN1058" s="29"/>
      <c r="BO1058" s="29"/>
      <c r="BP1058" s="29"/>
      <c r="BQ1058" s="29"/>
      <c r="BR1058" s="29"/>
      <c r="BS1058" s="29"/>
      <c r="BT1058" s="29"/>
      <c r="BU1058" s="29"/>
      <c r="BV1058" s="29"/>
      <c r="BW1058" s="29"/>
      <c r="BX1058" s="29"/>
      <c r="BY1058" s="29"/>
      <c r="BZ1058" s="29"/>
      <c r="CA1058" s="29"/>
      <c r="CB1058" s="29"/>
      <c r="CC1058" s="29"/>
      <c r="CD1058" s="29"/>
      <c r="CE1058" s="29"/>
      <c r="CF1058" s="29"/>
      <c r="CG1058" s="29"/>
      <c r="CH1058" s="29"/>
      <c r="CI1058" s="29"/>
      <c r="CJ1058" s="29"/>
      <c r="CK1058" s="29"/>
      <c r="CL1058" s="29"/>
      <c r="CM1058" s="29"/>
      <c r="CN1058" s="29"/>
      <c r="CO1058" s="29"/>
      <c r="CP1058" s="29"/>
      <c r="CQ1058" s="29"/>
      <c r="CR1058" s="29"/>
      <c r="CS1058" s="29"/>
      <c r="CT1058" s="29"/>
      <c r="CU1058" s="29"/>
      <c r="CV1058" s="29"/>
      <c r="CW1058" s="29"/>
      <c r="CX1058" s="29"/>
      <c r="CY1058" s="29"/>
      <c r="CZ1058" s="29"/>
      <c r="DA1058" s="29"/>
      <c r="DB1058" s="29"/>
      <c r="DC1058" s="29"/>
      <c r="DD1058" s="29"/>
      <c r="DE1058" s="29"/>
      <c r="DF1058" s="29"/>
      <c r="DG1058" s="29"/>
      <c r="DH1058" s="29"/>
      <c r="DI1058" s="29"/>
      <c r="DJ1058" s="29"/>
      <c r="DK1058" s="29"/>
      <c r="DL1058" s="29"/>
      <c r="DM1058" s="29"/>
      <c r="DN1058" s="29"/>
      <c r="DO1058" s="29"/>
      <c r="DP1058" s="29"/>
      <c r="DQ1058" s="29"/>
      <c r="DR1058" s="29"/>
      <c r="DS1058" s="29"/>
      <c r="DT1058" s="29"/>
      <c r="DU1058" s="29"/>
      <c r="DV1058" s="29"/>
      <c r="DW1058" s="29"/>
      <c r="DX1058" s="29"/>
      <c r="DY1058" s="29"/>
      <c r="DZ1058" s="29"/>
      <c r="EA1058" s="29"/>
      <c r="EB1058" s="29"/>
      <c r="EC1058" s="29"/>
      <c r="ED1058" s="29"/>
      <c r="EE1058" s="29"/>
      <c r="EF1058" s="29"/>
      <c r="EG1058" s="29"/>
      <c r="EH1058" s="29"/>
      <c r="EI1058" s="29"/>
      <c r="EJ1058" s="29"/>
      <c r="EK1058" s="29"/>
      <c r="EL1058" s="29"/>
      <c r="EM1058" s="29"/>
      <c r="EN1058" s="29"/>
      <c r="EO1058" s="29"/>
      <c r="EP1058" s="29"/>
      <c r="EQ1058" s="29"/>
      <c r="ER1058" s="29"/>
      <c r="ES1058" s="29"/>
      <c r="ET1058" s="29"/>
      <c r="EU1058" s="29"/>
      <c r="EV1058" s="29"/>
      <c r="EW1058" s="29"/>
      <c r="EX1058" s="29"/>
      <c r="EY1058" s="29"/>
      <c r="EZ1058" s="29"/>
      <c r="FA1058" s="29"/>
      <c r="FB1058" s="29"/>
      <c r="FC1058" s="29"/>
      <c r="FD1058" s="29"/>
      <c r="FE1058" s="29"/>
      <c r="FF1058" s="29"/>
      <c r="FG1058" s="29"/>
      <c r="FH1058" s="29"/>
      <c r="FI1058" s="29"/>
      <c r="FJ1058" s="29"/>
      <c r="FK1058" s="29"/>
      <c r="FL1058" s="29"/>
      <c r="FM1058" s="29"/>
      <c r="FN1058" s="29"/>
      <c r="FO1058" s="29"/>
      <c r="FP1058" s="29"/>
      <c r="FQ1058" s="29"/>
      <c r="FR1058" s="29"/>
      <c r="FS1058" s="29"/>
      <c r="FT1058" s="29"/>
      <c r="FU1058" s="29"/>
      <c r="FV1058" s="29"/>
      <c r="FW1058" s="29"/>
      <c r="FX1058" s="29"/>
      <c r="FY1058" s="29"/>
      <c r="FZ1058" s="29"/>
      <c r="GA1058" s="29"/>
      <c r="GB1058" s="29"/>
      <c r="GC1058" s="29"/>
      <c r="GD1058" s="29"/>
      <c r="GE1058" s="29"/>
      <c r="GF1058" s="29"/>
      <c r="GG1058" s="29"/>
      <c r="GH1058" s="29"/>
      <c r="GI1058" s="29"/>
      <c r="GJ1058" s="29"/>
      <c r="GK1058" s="29"/>
      <c r="GL1058" s="29"/>
      <c r="GM1058" s="29"/>
      <c r="GN1058" s="29"/>
      <c r="GO1058" s="29"/>
      <c r="GP1058" s="29"/>
      <c r="GQ1058" s="29"/>
      <c r="GR1058" s="29"/>
      <c r="GS1058" s="29"/>
      <c r="GT1058" s="29"/>
      <c r="GU1058" s="29"/>
      <c r="GV1058" s="29"/>
      <c r="GW1058" s="29"/>
      <c r="GX1058" s="29"/>
      <c r="GY1058" s="29"/>
      <c r="GZ1058" s="29"/>
      <c r="HA1058" s="29"/>
      <c r="HB1058" s="29"/>
      <c r="HC1058" s="29"/>
      <c r="HD1058" s="29"/>
      <c r="HE1058" s="29"/>
      <c r="HF1058" s="29"/>
      <c r="HG1058" s="29"/>
      <c r="HH1058" s="29"/>
      <c r="HI1058" s="29"/>
      <c r="HJ1058" s="29"/>
      <c r="HK1058" s="29"/>
      <c r="HL1058" s="29"/>
      <c r="HM1058" s="29"/>
      <c r="HN1058" s="29"/>
      <c r="HO1058" s="29"/>
      <c r="HP1058" s="29"/>
      <c r="HQ1058" s="29"/>
      <c r="HR1058" s="29"/>
      <c r="HS1058" s="29"/>
      <c r="HT1058" s="29"/>
      <c r="HU1058" s="29"/>
      <c r="HV1058" s="29"/>
      <c r="HW1058" s="29"/>
      <c r="HX1058" s="29"/>
      <c r="HY1058" s="29"/>
      <c r="HZ1058" s="29"/>
      <c r="IA1058" s="29"/>
      <c r="IB1058" s="29"/>
      <c r="IC1058" s="29"/>
      <c r="ID1058" s="29"/>
      <c r="IE1058" s="29"/>
      <c r="IF1058" s="29"/>
      <c r="IG1058" s="29"/>
      <c r="IH1058" s="29"/>
      <c r="II1058" s="29"/>
      <c r="IJ1058" s="29"/>
      <c r="IK1058" s="29"/>
      <c r="IL1058" s="29"/>
      <c r="IM1058" s="29"/>
      <c r="IN1058" s="29"/>
      <c r="IO1058" s="29"/>
      <c r="IP1058" s="29"/>
      <c r="IQ1058" s="29"/>
      <c r="IR1058" s="29"/>
      <c r="IS1058" s="29"/>
      <c r="IT1058" s="29"/>
      <c r="IU1058" s="29"/>
      <c r="IV1058" s="29"/>
      <c r="IW1058" s="29"/>
      <c r="IX1058" s="29"/>
      <c r="IY1058" s="29"/>
      <c r="IZ1058" s="29"/>
      <c r="JA1058" s="29"/>
      <c r="JB1058" s="29"/>
      <c r="JC1058" s="29"/>
      <c r="JD1058" s="29"/>
      <c r="JE1058" s="29"/>
      <c r="JF1058" s="29"/>
      <c r="JG1058" s="29"/>
      <c r="JH1058" s="29"/>
      <c r="JI1058" s="29"/>
      <c r="JJ1058" s="29"/>
      <c r="JK1058" s="29"/>
      <c r="JL1058" s="29"/>
    </row>
    <row r="1059" spans="1:272" s="106" customFormat="1" ht="37.5" customHeight="1">
      <c r="A1059" s="99" t="s">
        <v>115</v>
      </c>
      <c r="B1059" s="30" t="s">
        <v>116</v>
      </c>
      <c r="C1059" s="99" t="s">
        <v>2212</v>
      </c>
      <c r="D1059" s="100" t="s">
        <v>2393</v>
      </c>
      <c r="E1059" s="100" t="s">
        <v>135</v>
      </c>
      <c r="F1059" s="99" t="s">
        <v>289</v>
      </c>
      <c r="G1059" s="153" t="s">
        <v>111</v>
      </c>
      <c r="H1059" s="143">
        <v>541611</v>
      </c>
      <c r="I1059" s="129" t="s">
        <v>546</v>
      </c>
      <c r="J1059" s="100" t="s">
        <v>129</v>
      </c>
      <c r="K1059" s="99" t="s">
        <v>61</v>
      </c>
      <c r="L1059" s="100" t="s">
        <v>3258</v>
      </c>
      <c r="M1059" s="101">
        <v>89030.399999999994</v>
      </c>
      <c r="N1059" s="101">
        <v>491949.16</v>
      </c>
      <c r="O1059" s="102" t="s">
        <v>79</v>
      </c>
      <c r="P1059" s="100" t="s">
        <v>3259</v>
      </c>
      <c r="Q1059" s="129" t="s">
        <v>867</v>
      </c>
      <c r="R1059" s="99" t="s">
        <v>150</v>
      </c>
      <c r="S1059" s="103"/>
      <c r="T1059" s="143" t="s">
        <v>3260</v>
      </c>
      <c r="U1059" s="143" t="s">
        <v>3261</v>
      </c>
      <c r="V1059" s="104" t="str">
        <f>HYPERLINK("mailto:angie.lipford@gsa.gov","angie.lipford@gsa.gov")</f>
        <v>angie.lipford@gsa.gov</v>
      </c>
      <c r="W1059" s="100" t="s">
        <v>81</v>
      </c>
      <c r="X1059" s="117"/>
      <c r="Y1059" s="99"/>
      <c r="Z1059" s="100"/>
      <c r="AA1059" s="100" t="s">
        <v>3262</v>
      </c>
      <c r="AB1059" s="105"/>
      <c r="AC1059" s="105"/>
      <c r="AD1059" s="105"/>
      <c r="AE1059" s="59"/>
      <c r="AF1059" s="59"/>
      <c r="AG1059" s="59"/>
      <c r="AH1059" s="59"/>
      <c r="AI1059" s="59"/>
      <c r="AJ1059" s="59"/>
      <c r="AK1059" s="59"/>
      <c r="AL1059" s="59"/>
      <c r="AM1059" s="59"/>
      <c r="AN1059" s="59"/>
      <c r="AO1059" s="59"/>
      <c r="AP1059" s="59"/>
      <c r="AQ1059" s="59"/>
      <c r="AR1059" s="59"/>
      <c r="AS1059" s="59"/>
      <c r="AT1059" s="59"/>
      <c r="AU1059" s="59"/>
      <c r="AV1059" s="59"/>
      <c r="AW1059" s="59"/>
      <c r="AX1059" s="59"/>
      <c r="AY1059" s="59"/>
      <c r="AZ1059" s="59"/>
      <c r="BA1059" s="59"/>
      <c r="BB1059" s="59"/>
      <c r="BC1059" s="59"/>
      <c r="BD1059" s="59"/>
      <c r="BE1059" s="59"/>
      <c r="BF1059" s="59"/>
      <c r="BG1059" s="59"/>
      <c r="BH1059" s="59"/>
      <c r="BI1059" s="59"/>
      <c r="BJ1059" s="59"/>
      <c r="BK1059" s="59"/>
      <c r="BL1059" s="59"/>
      <c r="BM1059" s="59"/>
      <c r="BN1059" s="59"/>
      <c r="BO1059" s="59"/>
      <c r="BP1059" s="59"/>
      <c r="BQ1059" s="59"/>
      <c r="BR1059" s="59"/>
      <c r="BS1059" s="59"/>
      <c r="BT1059" s="59"/>
      <c r="BU1059" s="59"/>
      <c r="BV1059" s="59"/>
      <c r="BW1059" s="59"/>
      <c r="BX1059" s="59"/>
      <c r="BY1059" s="59"/>
      <c r="BZ1059" s="59"/>
      <c r="CA1059" s="59"/>
      <c r="CB1059" s="59"/>
      <c r="CC1059" s="59"/>
      <c r="CD1059" s="59"/>
      <c r="CE1059" s="59"/>
      <c r="CF1059" s="59"/>
      <c r="CG1059" s="59"/>
      <c r="CH1059" s="59"/>
      <c r="CI1059" s="59"/>
      <c r="CJ1059" s="59"/>
      <c r="CK1059" s="59"/>
      <c r="CL1059" s="59"/>
      <c r="CM1059" s="59"/>
      <c r="CN1059" s="59"/>
      <c r="CO1059" s="59"/>
      <c r="CP1059" s="59"/>
      <c r="CQ1059" s="59"/>
      <c r="CR1059" s="59"/>
      <c r="CS1059" s="59"/>
      <c r="CT1059" s="59"/>
      <c r="CU1059" s="59"/>
      <c r="CV1059" s="59"/>
      <c r="CW1059" s="59"/>
      <c r="CX1059" s="59"/>
      <c r="CY1059" s="59"/>
      <c r="CZ1059" s="59"/>
      <c r="DA1059" s="59"/>
      <c r="DB1059" s="59"/>
      <c r="DC1059" s="59"/>
      <c r="DD1059" s="59"/>
      <c r="DE1059" s="59"/>
      <c r="DF1059" s="59"/>
      <c r="DG1059" s="59"/>
      <c r="DH1059" s="59"/>
      <c r="DI1059" s="59"/>
      <c r="DJ1059" s="59"/>
      <c r="DK1059" s="59"/>
      <c r="DL1059" s="59"/>
      <c r="DM1059" s="59"/>
      <c r="DN1059" s="59"/>
      <c r="DO1059" s="59"/>
      <c r="DP1059" s="59"/>
      <c r="DQ1059" s="59"/>
      <c r="DR1059" s="59"/>
      <c r="DS1059" s="59"/>
      <c r="DT1059" s="59"/>
      <c r="DU1059" s="59"/>
      <c r="DV1059" s="59"/>
      <c r="DW1059" s="59"/>
      <c r="DX1059" s="59"/>
      <c r="DY1059" s="59"/>
      <c r="DZ1059" s="59"/>
      <c r="EA1059" s="59"/>
      <c r="EB1059" s="59"/>
      <c r="EC1059" s="59"/>
      <c r="ED1059" s="59"/>
      <c r="EE1059" s="59"/>
      <c r="EF1059" s="59"/>
      <c r="EG1059" s="59"/>
      <c r="EH1059" s="59"/>
      <c r="EI1059" s="59"/>
      <c r="EJ1059" s="59"/>
      <c r="EK1059" s="59"/>
      <c r="EL1059" s="59"/>
      <c r="EM1059" s="59"/>
      <c r="EN1059" s="59"/>
      <c r="EO1059" s="59"/>
      <c r="EP1059" s="59"/>
      <c r="EQ1059" s="59"/>
      <c r="ER1059" s="59"/>
      <c r="ES1059" s="59"/>
      <c r="ET1059" s="59"/>
      <c r="EU1059" s="59"/>
      <c r="EV1059" s="59"/>
      <c r="EW1059" s="59"/>
      <c r="EX1059" s="59"/>
      <c r="EY1059" s="59"/>
      <c r="EZ1059" s="59"/>
      <c r="FA1059" s="59"/>
      <c r="FB1059" s="59"/>
      <c r="FC1059" s="59"/>
      <c r="FD1059" s="59"/>
      <c r="FE1059" s="59"/>
      <c r="FF1059" s="59"/>
      <c r="FG1059" s="59"/>
      <c r="FH1059" s="59"/>
      <c r="FI1059" s="59"/>
      <c r="FJ1059" s="59"/>
      <c r="FK1059" s="59"/>
      <c r="FL1059" s="59"/>
      <c r="FM1059" s="59"/>
      <c r="FN1059" s="59"/>
      <c r="FO1059" s="59"/>
      <c r="FP1059" s="59"/>
      <c r="FQ1059" s="59"/>
      <c r="FR1059" s="59"/>
      <c r="FS1059" s="59"/>
      <c r="FT1059" s="59"/>
      <c r="FU1059" s="59"/>
      <c r="FV1059" s="59"/>
      <c r="FW1059" s="59"/>
      <c r="FX1059" s="59"/>
      <c r="FY1059" s="59"/>
      <c r="FZ1059" s="59"/>
      <c r="GA1059" s="59"/>
      <c r="GB1059" s="59"/>
      <c r="GC1059" s="59"/>
      <c r="GD1059" s="59"/>
      <c r="GE1059" s="59"/>
      <c r="GF1059" s="59"/>
      <c r="GG1059" s="59"/>
      <c r="GH1059" s="59"/>
      <c r="GI1059" s="59"/>
      <c r="GJ1059" s="59"/>
      <c r="GK1059" s="59"/>
      <c r="GL1059" s="59"/>
      <c r="GM1059" s="59"/>
      <c r="GN1059" s="59"/>
      <c r="GO1059" s="59"/>
      <c r="GP1059" s="59"/>
      <c r="GQ1059" s="59"/>
      <c r="GR1059" s="59"/>
      <c r="GS1059" s="59"/>
      <c r="GT1059" s="59"/>
      <c r="GU1059" s="59"/>
      <c r="GV1059" s="59"/>
      <c r="GW1059" s="59"/>
      <c r="GX1059" s="59"/>
      <c r="GY1059" s="59"/>
      <c r="GZ1059" s="59"/>
      <c r="HA1059" s="59"/>
      <c r="HB1059" s="59"/>
      <c r="HC1059" s="59"/>
      <c r="HD1059" s="59"/>
      <c r="HE1059" s="59"/>
      <c r="HF1059" s="59"/>
      <c r="HG1059" s="59"/>
      <c r="HH1059" s="59"/>
      <c r="HI1059" s="59"/>
      <c r="HJ1059" s="59"/>
      <c r="HK1059" s="59"/>
      <c r="HL1059" s="59"/>
      <c r="HM1059" s="59"/>
      <c r="HN1059" s="59"/>
      <c r="HO1059" s="59"/>
      <c r="HP1059" s="59"/>
      <c r="HQ1059" s="59"/>
      <c r="HR1059" s="59"/>
      <c r="HS1059" s="59"/>
      <c r="HT1059" s="59"/>
      <c r="HU1059" s="59"/>
      <c r="HV1059" s="59"/>
      <c r="HW1059" s="59"/>
      <c r="HX1059" s="59"/>
      <c r="HY1059" s="59"/>
      <c r="HZ1059" s="59"/>
      <c r="IA1059" s="59"/>
      <c r="IB1059" s="59"/>
      <c r="IC1059" s="59"/>
      <c r="ID1059" s="59"/>
      <c r="IE1059" s="59"/>
      <c r="IF1059" s="59"/>
      <c r="IG1059" s="59"/>
      <c r="IH1059" s="59"/>
      <c r="II1059" s="59"/>
      <c r="IJ1059" s="59"/>
      <c r="IK1059" s="59"/>
      <c r="IL1059" s="59"/>
      <c r="IM1059" s="59"/>
      <c r="IN1059" s="59"/>
      <c r="IO1059" s="59"/>
      <c r="IP1059" s="59"/>
      <c r="IQ1059" s="59"/>
      <c r="IR1059" s="59"/>
      <c r="IS1059" s="59"/>
      <c r="IT1059" s="59"/>
      <c r="IU1059" s="59"/>
      <c r="IV1059" s="194"/>
      <c r="IW1059" s="194"/>
      <c r="IX1059" s="194"/>
      <c r="IY1059" s="194"/>
      <c r="IZ1059" s="194"/>
      <c r="JA1059" s="194"/>
    </row>
    <row r="1060" spans="1:272" s="106" customFormat="1" ht="37.5" customHeight="1">
      <c r="A1060" s="99" t="s">
        <v>115</v>
      </c>
      <c r="B1060" s="30" t="s">
        <v>116</v>
      </c>
      <c r="C1060" s="99" t="s">
        <v>2212</v>
      </c>
      <c r="D1060" s="100" t="s">
        <v>2393</v>
      </c>
      <c r="E1060" s="100" t="s">
        <v>135</v>
      </c>
      <c r="F1060" s="99" t="s">
        <v>289</v>
      </c>
      <c r="G1060" s="153" t="s">
        <v>111</v>
      </c>
      <c r="H1060" s="153">
        <v>541612</v>
      </c>
      <c r="I1060" s="129" t="s">
        <v>32</v>
      </c>
      <c r="J1060" s="100" t="s">
        <v>129</v>
      </c>
      <c r="K1060" s="99" t="s">
        <v>61</v>
      </c>
      <c r="L1060" s="100" t="s">
        <v>3263</v>
      </c>
      <c r="M1060" s="101">
        <v>88000</v>
      </c>
      <c r="N1060" s="101"/>
      <c r="O1060" s="102" t="s">
        <v>79</v>
      </c>
      <c r="P1060" s="100" t="s">
        <v>3264</v>
      </c>
      <c r="Q1060" s="129" t="s">
        <v>867</v>
      </c>
      <c r="R1060" s="99" t="s">
        <v>150</v>
      </c>
      <c r="S1060" s="103"/>
      <c r="T1060" s="143" t="s">
        <v>3260</v>
      </c>
      <c r="U1060" s="143" t="s">
        <v>3261</v>
      </c>
      <c r="V1060" s="104" t="str">
        <f>HYPERLINK("mailto:angie.lipford@gsa.gov","angie.lipford@gsa.gov")</f>
        <v>angie.lipford@gsa.gov</v>
      </c>
      <c r="W1060" s="100" t="s">
        <v>81</v>
      </c>
      <c r="X1060" s="117"/>
      <c r="Y1060" s="99"/>
      <c r="Z1060" s="100"/>
      <c r="AA1060" s="100" t="s">
        <v>3265</v>
      </c>
      <c r="AB1060" s="105"/>
      <c r="AC1060" s="105"/>
      <c r="AD1060" s="105"/>
      <c r="AE1060" s="59"/>
      <c r="AF1060" s="59"/>
      <c r="AG1060" s="59"/>
      <c r="AH1060" s="59"/>
      <c r="AI1060" s="59"/>
      <c r="AJ1060" s="59"/>
      <c r="AK1060" s="59"/>
      <c r="AL1060" s="59"/>
      <c r="AM1060" s="59"/>
      <c r="AN1060" s="59"/>
      <c r="AO1060" s="59"/>
      <c r="AP1060" s="59"/>
      <c r="AQ1060" s="59"/>
      <c r="AR1060" s="59"/>
      <c r="AS1060" s="59"/>
      <c r="AT1060" s="59"/>
      <c r="AU1060" s="59"/>
      <c r="AV1060" s="59"/>
      <c r="AW1060" s="59"/>
      <c r="AX1060" s="59"/>
      <c r="AY1060" s="59"/>
      <c r="AZ1060" s="59"/>
      <c r="BA1060" s="59"/>
      <c r="BB1060" s="59"/>
      <c r="BC1060" s="59"/>
      <c r="BD1060" s="59"/>
      <c r="BE1060" s="59"/>
      <c r="BF1060" s="59"/>
      <c r="BG1060" s="59"/>
      <c r="BH1060" s="59"/>
      <c r="BI1060" s="59"/>
      <c r="BJ1060" s="59"/>
      <c r="BK1060" s="59"/>
      <c r="BL1060" s="59"/>
      <c r="BM1060" s="59"/>
      <c r="BN1060" s="59"/>
      <c r="BO1060" s="59"/>
      <c r="BP1060" s="59"/>
      <c r="BQ1060" s="59"/>
      <c r="BR1060" s="59"/>
      <c r="BS1060" s="59"/>
      <c r="BT1060" s="59"/>
      <c r="BU1060" s="59"/>
      <c r="BV1060" s="59"/>
      <c r="BW1060" s="59"/>
      <c r="BX1060" s="59"/>
      <c r="BY1060" s="59"/>
      <c r="BZ1060" s="59"/>
      <c r="CA1060" s="59"/>
      <c r="CB1060" s="59"/>
      <c r="CC1060" s="59"/>
      <c r="CD1060" s="59"/>
      <c r="CE1060" s="59"/>
      <c r="CF1060" s="59"/>
      <c r="CG1060" s="59"/>
      <c r="CH1060" s="59"/>
      <c r="CI1060" s="59"/>
      <c r="CJ1060" s="59"/>
      <c r="CK1060" s="59"/>
      <c r="CL1060" s="59"/>
      <c r="CM1060" s="59"/>
      <c r="CN1060" s="59"/>
      <c r="CO1060" s="59"/>
      <c r="CP1060" s="59"/>
      <c r="CQ1060" s="59"/>
      <c r="CR1060" s="59"/>
      <c r="CS1060" s="59"/>
      <c r="CT1060" s="59"/>
      <c r="CU1060" s="59"/>
      <c r="CV1060" s="59"/>
      <c r="CW1060" s="59"/>
      <c r="CX1060" s="59"/>
      <c r="CY1060" s="59"/>
      <c r="CZ1060" s="59"/>
      <c r="DA1060" s="59"/>
      <c r="DB1060" s="59"/>
      <c r="DC1060" s="59"/>
      <c r="DD1060" s="59"/>
      <c r="DE1060" s="59"/>
      <c r="DF1060" s="59"/>
      <c r="DG1060" s="59"/>
      <c r="DH1060" s="59"/>
      <c r="DI1060" s="59"/>
      <c r="DJ1060" s="59"/>
      <c r="DK1060" s="59"/>
      <c r="DL1060" s="59"/>
      <c r="DM1060" s="59"/>
      <c r="DN1060" s="59"/>
      <c r="DO1060" s="59"/>
      <c r="DP1060" s="59"/>
      <c r="DQ1060" s="59"/>
      <c r="DR1060" s="59"/>
      <c r="DS1060" s="59"/>
      <c r="DT1060" s="59"/>
      <c r="DU1060" s="59"/>
      <c r="DV1060" s="59"/>
      <c r="DW1060" s="59"/>
      <c r="DX1060" s="59"/>
      <c r="DY1060" s="59"/>
      <c r="DZ1060" s="59"/>
      <c r="EA1060" s="59"/>
      <c r="EB1060" s="59"/>
      <c r="EC1060" s="59"/>
      <c r="ED1060" s="59"/>
      <c r="EE1060" s="59"/>
      <c r="EF1060" s="59"/>
      <c r="EG1060" s="59"/>
      <c r="EH1060" s="59"/>
      <c r="EI1060" s="59"/>
      <c r="EJ1060" s="59"/>
      <c r="EK1060" s="59"/>
      <c r="EL1060" s="59"/>
      <c r="EM1060" s="59"/>
      <c r="EN1060" s="59"/>
      <c r="EO1060" s="59"/>
      <c r="EP1060" s="59"/>
      <c r="EQ1060" s="59"/>
      <c r="ER1060" s="59"/>
      <c r="ES1060" s="59"/>
      <c r="ET1060" s="59"/>
      <c r="EU1060" s="59"/>
      <c r="EV1060" s="59"/>
      <c r="EW1060" s="59"/>
      <c r="EX1060" s="59"/>
      <c r="EY1060" s="59"/>
      <c r="EZ1060" s="59"/>
      <c r="FA1060" s="59"/>
      <c r="FB1060" s="59"/>
      <c r="FC1060" s="59"/>
      <c r="FD1060" s="59"/>
      <c r="FE1060" s="59"/>
      <c r="FF1060" s="59"/>
      <c r="FG1060" s="59"/>
      <c r="FH1060" s="59"/>
      <c r="FI1060" s="59"/>
      <c r="FJ1060" s="59"/>
      <c r="FK1060" s="59"/>
      <c r="FL1060" s="59"/>
      <c r="FM1060" s="59"/>
      <c r="FN1060" s="59"/>
      <c r="FO1060" s="59"/>
      <c r="FP1060" s="59"/>
      <c r="FQ1060" s="59"/>
      <c r="FR1060" s="59"/>
      <c r="FS1060" s="59"/>
      <c r="FT1060" s="59"/>
      <c r="FU1060" s="59"/>
      <c r="FV1060" s="59"/>
      <c r="FW1060" s="59"/>
      <c r="FX1060" s="59"/>
      <c r="FY1060" s="59"/>
      <c r="FZ1060" s="59"/>
      <c r="GA1060" s="59"/>
      <c r="GB1060" s="59"/>
      <c r="GC1060" s="59"/>
      <c r="GD1060" s="59"/>
      <c r="GE1060" s="59"/>
      <c r="GF1060" s="59"/>
      <c r="GG1060" s="59"/>
      <c r="GH1060" s="59"/>
      <c r="GI1060" s="59"/>
      <c r="GJ1060" s="59"/>
      <c r="GK1060" s="59"/>
      <c r="GL1060" s="59"/>
      <c r="GM1060" s="59"/>
      <c r="GN1060" s="59"/>
      <c r="GO1060" s="59"/>
      <c r="GP1060" s="59"/>
      <c r="GQ1060" s="59"/>
      <c r="GR1060" s="59"/>
      <c r="GS1060" s="59"/>
      <c r="GT1060" s="59"/>
      <c r="GU1060" s="59"/>
      <c r="GV1060" s="59"/>
      <c r="GW1060" s="59"/>
      <c r="GX1060" s="59"/>
      <c r="GY1060" s="59"/>
      <c r="GZ1060" s="59"/>
      <c r="HA1060" s="59"/>
      <c r="HB1060" s="59"/>
      <c r="HC1060" s="59"/>
      <c r="HD1060" s="59"/>
      <c r="HE1060" s="59"/>
      <c r="HF1060" s="59"/>
      <c r="HG1060" s="59"/>
      <c r="HH1060" s="59"/>
      <c r="HI1060" s="59"/>
      <c r="HJ1060" s="59"/>
      <c r="HK1060" s="59"/>
      <c r="HL1060" s="59"/>
      <c r="HM1060" s="59"/>
      <c r="HN1060" s="59"/>
      <c r="HO1060" s="59"/>
      <c r="HP1060" s="59"/>
      <c r="HQ1060" s="59"/>
      <c r="HR1060" s="59"/>
      <c r="HS1060" s="59"/>
      <c r="HT1060" s="59"/>
      <c r="HU1060" s="59"/>
      <c r="HV1060" s="59"/>
      <c r="HW1060" s="59"/>
      <c r="HX1060" s="59"/>
      <c r="HY1060" s="59"/>
      <c r="HZ1060" s="59"/>
      <c r="IA1060" s="59"/>
      <c r="IB1060" s="59"/>
      <c r="IC1060" s="59"/>
      <c r="ID1060" s="59"/>
      <c r="IE1060" s="59"/>
      <c r="IF1060" s="59"/>
      <c r="IG1060" s="59"/>
      <c r="IH1060" s="59"/>
      <c r="II1060" s="59"/>
      <c r="IJ1060" s="59"/>
      <c r="IK1060" s="59"/>
      <c r="IL1060" s="59"/>
      <c r="IM1060" s="59"/>
      <c r="IN1060" s="59"/>
      <c r="IO1060" s="59"/>
      <c r="IP1060" s="59"/>
      <c r="IQ1060" s="59"/>
      <c r="IR1060" s="59"/>
      <c r="IS1060" s="59"/>
      <c r="IT1060" s="59"/>
      <c r="IU1060" s="59"/>
      <c r="IV1060" s="194"/>
      <c r="IW1060" s="194"/>
      <c r="IX1060" s="194"/>
      <c r="IY1060" s="194"/>
      <c r="IZ1060" s="194"/>
      <c r="JA1060" s="194"/>
    </row>
    <row r="1061" spans="1:272" s="108" customFormat="1" ht="37.5" customHeight="1">
      <c r="A1061" s="99" t="s">
        <v>115</v>
      </c>
      <c r="B1061" s="30" t="s">
        <v>116</v>
      </c>
      <c r="C1061" s="99" t="s">
        <v>2212</v>
      </c>
      <c r="D1061" s="100" t="s">
        <v>3266</v>
      </c>
      <c r="E1061" s="100" t="s">
        <v>30</v>
      </c>
      <c r="F1061" s="99" t="s">
        <v>289</v>
      </c>
      <c r="G1061" s="153" t="s">
        <v>111</v>
      </c>
      <c r="H1061" s="153">
        <v>541511</v>
      </c>
      <c r="I1061" s="100" t="s">
        <v>98</v>
      </c>
      <c r="J1061" s="100" t="s">
        <v>129</v>
      </c>
      <c r="K1061" s="99" t="s">
        <v>61</v>
      </c>
      <c r="L1061" s="100" t="s">
        <v>2603</v>
      </c>
      <c r="M1061" s="101">
        <v>1158574.3999999999</v>
      </c>
      <c r="N1061" s="101">
        <v>2465465.6</v>
      </c>
      <c r="O1061" s="102" t="s">
        <v>79</v>
      </c>
      <c r="P1061" s="100" t="s">
        <v>3267</v>
      </c>
      <c r="Q1061" s="129" t="s">
        <v>867</v>
      </c>
      <c r="R1061" s="99" t="s">
        <v>150</v>
      </c>
      <c r="S1061" s="103"/>
      <c r="T1061" s="143" t="s">
        <v>3268</v>
      </c>
      <c r="U1061" s="143" t="s">
        <v>3261</v>
      </c>
      <c r="V1061" s="104" t="str">
        <f>HYPERLINK("mailto:wanda.peterson-parker@gsa.ogv","wanda.peterson-parker@gsa.ogv")</f>
        <v>wanda.peterson-parker@gsa.ogv</v>
      </c>
      <c r="W1061" s="100" t="s">
        <v>81</v>
      </c>
      <c r="X1061" s="52"/>
      <c r="Y1061" s="99"/>
      <c r="Z1061" s="99"/>
      <c r="AA1061" s="100" t="s">
        <v>3269</v>
      </c>
      <c r="AB1061" s="107"/>
      <c r="AC1061" s="107"/>
      <c r="AD1061" s="107"/>
      <c r="AE1061" s="194"/>
      <c r="AF1061" s="194"/>
      <c r="AG1061" s="194"/>
      <c r="AH1061" s="194"/>
      <c r="AI1061" s="194"/>
      <c r="AJ1061" s="194"/>
      <c r="AK1061" s="194"/>
      <c r="AL1061" s="194"/>
      <c r="AM1061" s="194"/>
      <c r="AN1061" s="194"/>
      <c r="AO1061" s="194"/>
      <c r="AP1061" s="194"/>
      <c r="AQ1061" s="194"/>
      <c r="AR1061" s="194"/>
      <c r="AS1061" s="194"/>
      <c r="AT1061" s="194"/>
      <c r="AU1061" s="194"/>
      <c r="AV1061" s="194"/>
      <c r="AW1061" s="194"/>
      <c r="AX1061" s="194"/>
      <c r="AY1061" s="194"/>
      <c r="AZ1061" s="194"/>
      <c r="BA1061" s="194"/>
      <c r="BB1061" s="194"/>
      <c r="BC1061" s="194"/>
      <c r="BD1061" s="194"/>
      <c r="BE1061" s="194"/>
      <c r="BF1061" s="194"/>
      <c r="BG1061" s="194"/>
      <c r="BH1061" s="194"/>
      <c r="BI1061" s="194"/>
      <c r="BJ1061" s="194"/>
      <c r="BK1061" s="194"/>
      <c r="BL1061" s="194"/>
      <c r="BM1061" s="194"/>
      <c r="BN1061" s="194"/>
      <c r="BO1061" s="194"/>
      <c r="BP1061" s="194"/>
      <c r="BQ1061" s="194"/>
      <c r="BR1061" s="194"/>
      <c r="BS1061" s="194"/>
      <c r="BT1061" s="194"/>
      <c r="BU1061" s="194"/>
      <c r="BV1061" s="194"/>
      <c r="BW1061" s="194"/>
      <c r="BX1061" s="194"/>
      <c r="BY1061" s="194"/>
      <c r="BZ1061" s="194"/>
      <c r="CA1061" s="194"/>
      <c r="CB1061" s="194"/>
      <c r="CC1061" s="194"/>
      <c r="CD1061" s="194"/>
      <c r="CE1061" s="194"/>
      <c r="CF1061" s="194"/>
      <c r="CG1061" s="194"/>
      <c r="CH1061" s="194"/>
      <c r="CI1061" s="194"/>
      <c r="CJ1061" s="194"/>
      <c r="CK1061" s="194"/>
      <c r="CL1061" s="194"/>
      <c r="CM1061" s="194"/>
      <c r="CN1061" s="194"/>
      <c r="CO1061" s="194"/>
      <c r="CP1061" s="194"/>
      <c r="CQ1061" s="194"/>
      <c r="CR1061" s="194"/>
      <c r="CS1061" s="194"/>
      <c r="CT1061" s="194"/>
      <c r="CU1061" s="194"/>
      <c r="CV1061" s="194"/>
      <c r="CW1061" s="194"/>
      <c r="CX1061" s="194"/>
      <c r="CY1061" s="194"/>
      <c r="CZ1061" s="194"/>
      <c r="DA1061" s="194"/>
      <c r="DB1061" s="194"/>
      <c r="DC1061" s="194"/>
      <c r="DD1061" s="194"/>
      <c r="DE1061" s="194"/>
      <c r="DF1061" s="194"/>
      <c r="DG1061" s="194"/>
      <c r="DH1061" s="194"/>
      <c r="DI1061" s="194"/>
      <c r="DJ1061" s="194"/>
      <c r="DK1061" s="194"/>
      <c r="DL1061" s="194"/>
      <c r="DM1061" s="194"/>
      <c r="DN1061" s="194"/>
      <c r="DO1061" s="194"/>
      <c r="DP1061" s="194"/>
      <c r="DQ1061" s="194"/>
      <c r="DR1061" s="194"/>
      <c r="DS1061" s="194"/>
      <c r="DT1061" s="194"/>
      <c r="DU1061" s="194"/>
      <c r="DV1061" s="194"/>
      <c r="DW1061" s="194"/>
      <c r="DX1061" s="194"/>
      <c r="DY1061" s="194"/>
      <c r="DZ1061" s="194"/>
      <c r="EA1061" s="194"/>
      <c r="EB1061" s="194"/>
      <c r="EC1061" s="194"/>
      <c r="ED1061" s="194"/>
      <c r="EE1061" s="194"/>
      <c r="EF1061" s="194"/>
      <c r="EG1061" s="194"/>
      <c r="EH1061" s="194"/>
      <c r="EI1061" s="194"/>
      <c r="EJ1061" s="194"/>
      <c r="EK1061" s="194"/>
      <c r="EL1061" s="194"/>
      <c r="EM1061" s="194"/>
      <c r="EN1061" s="194"/>
      <c r="EO1061" s="194"/>
      <c r="EP1061" s="194"/>
      <c r="EQ1061" s="194"/>
      <c r="ER1061" s="194"/>
      <c r="ES1061" s="194"/>
      <c r="ET1061" s="194"/>
      <c r="EU1061" s="194"/>
      <c r="EV1061" s="194"/>
      <c r="EW1061" s="194"/>
      <c r="EX1061" s="194"/>
      <c r="EY1061" s="194"/>
      <c r="EZ1061" s="194"/>
      <c r="FA1061" s="194"/>
      <c r="FB1061" s="194"/>
      <c r="FC1061" s="194"/>
      <c r="FD1061" s="194"/>
      <c r="FE1061" s="194"/>
      <c r="FF1061" s="194"/>
      <c r="FG1061" s="194"/>
      <c r="FH1061" s="194"/>
      <c r="FI1061" s="194"/>
      <c r="FJ1061" s="194"/>
      <c r="FK1061" s="194"/>
      <c r="FL1061" s="194"/>
      <c r="FM1061" s="194"/>
      <c r="FN1061" s="194"/>
      <c r="FO1061" s="194"/>
      <c r="FP1061" s="194"/>
      <c r="FQ1061" s="194"/>
      <c r="FR1061" s="194"/>
      <c r="FS1061" s="194"/>
      <c r="FT1061" s="194"/>
      <c r="FU1061" s="194"/>
      <c r="FV1061" s="194"/>
      <c r="FW1061" s="194"/>
      <c r="FX1061" s="194"/>
      <c r="FY1061" s="194"/>
      <c r="FZ1061" s="194"/>
      <c r="GA1061" s="194"/>
      <c r="GB1061" s="194"/>
      <c r="GC1061" s="194"/>
      <c r="GD1061" s="194"/>
      <c r="GE1061" s="194"/>
      <c r="GF1061" s="194"/>
      <c r="GG1061" s="194"/>
      <c r="GH1061" s="194"/>
      <c r="GI1061" s="194"/>
      <c r="GJ1061" s="194"/>
      <c r="GK1061" s="194"/>
      <c r="GL1061" s="194"/>
      <c r="GM1061" s="194"/>
      <c r="GN1061" s="194"/>
      <c r="GO1061" s="194"/>
      <c r="GP1061" s="194"/>
      <c r="GQ1061" s="194"/>
      <c r="GR1061" s="194"/>
      <c r="GS1061" s="194"/>
      <c r="GT1061" s="194"/>
      <c r="GU1061" s="194"/>
      <c r="GV1061" s="194"/>
      <c r="GW1061" s="194"/>
      <c r="GX1061" s="194"/>
      <c r="GY1061" s="194"/>
      <c r="GZ1061" s="194"/>
      <c r="HA1061" s="194"/>
      <c r="HB1061" s="194"/>
      <c r="HC1061" s="194"/>
      <c r="HD1061" s="194"/>
      <c r="HE1061" s="194"/>
      <c r="HF1061" s="194"/>
      <c r="HG1061" s="194"/>
      <c r="HH1061" s="194"/>
      <c r="HI1061" s="194"/>
      <c r="HJ1061" s="194"/>
      <c r="HK1061" s="194"/>
      <c r="HL1061" s="194"/>
      <c r="HM1061" s="194"/>
      <c r="HN1061" s="194"/>
      <c r="HO1061" s="194"/>
      <c r="HP1061" s="194"/>
      <c r="HQ1061" s="194"/>
      <c r="HR1061" s="194"/>
      <c r="HS1061" s="194"/>
      <c r="HT1061" s="194"/>
      <c r="HU1061" s="194"/>
      <c r="HV1061" s="194"/>
      <c r="HW1061" s="194"/>
      <c r="HX1061" s="194"/>
      <c r="HY1061" s="194"/>
      <c r="HZ1061" s="194"/>
      <c r="IA1061" s="194"/>
      <c r="IB1061" s="194"/>
      <c r="IC1061" s="194"/>
      <c r="ID1061" s="194"/>
      <c r="IE1061" s="194"/>
      <c r="IF1061" s="194"/>
      <c r="IG1061" s="194"/>
      <c r="IH1061" s="194"/>
      <c r="II1061" s="194"/>
      <c r="IJ1061" s="194"/>
      <c r="IK1061" s="194"/>
      <c r="IL1061" s="194"/>
      <c r="IM1061" s="194"/>
      <c r="IN1061" s="194"/>
      <c r="IO1061" s="194"/>
      <c r="IP1061" s="194"/>
      <c r="IQ1061" s="194"/>
      <c r="IR1061" s="194"/>
      <c r="IS1061" s="194"/>
      <c r="IT1061" s="194"/>
      <c r="IU1061" s="194"/>
      <c r="IV1061" s="59"/>
      <c r="IW1061" s="59"/>
      <c r="IX1061" s="59"/>
      <c r="IY1061" s="59"/>
      <c r="IZ1061" s="59"/>
      <c r="JA1061" s="59"/>
    </row>
    <row r="1062" spans="1:272" s="113" customFormat="1" ht="38.25" customHeight="1">
      <c r="A1062" s="109" t="s">
        <v>115</v>
      </c>
      <c r="B1062" s="30" t="s">
        <v>116</v>
      </c>
      <c r="C1062" s="109" t="s">
        <v>2212</v>
      </c>
      <c r="D1062" s="100" t="s">
        <v>3270</v>
      </c>
      <c r="E1062" s="100" t="s">
        <v>135</v>
      </c>
      <c r="F1062" s="99" t="s">
        <v>289</v>
      </c>
      <c r="G1062" s="153" t="s">
        <v>111</v>
      </c>
      <c r="H1062" s="153"/>
      <c r="I1062" s="100" t="s">
        <v>45</v>
      </c>
      <c r="J1062" s="100" t="s">
        <v>129</v>
      </c>
      <c r="K1062" s="109" t="s">
        <v>61</v>
      </c>
      <c r="L1062" s="100" t="s">
        <v>3271</v>
      </c>
      <c r="M1062" s="110">
        <v>70000</v>
      </c>
      <c r="N1062" s="110">
        <v>120000</v>
      </c>
      <c r="O1062" s="111" t="s">
        <v>79</v>
      </c>
      <c r="P1062" s="100" t="s">
        <v>2566</v>
      </c>
      <c r="Q1062" s="109" t="s">
        <v>294</v>
      </c>
      <c r="R1062" s="109" t="s">
        <v>100</v>
      </c>
      <c r="S1062" s="41">
        <v>2014</v>
      </c>
      <c r="T1062" s="143" t="s">
        <v>3272</v>
      </c>
      <c r="U1062" s="143" t="s">
        <v>3273</v>
      </c>
      <c r="V1062" s="104" t="s">
        <v>3274</v>
      </c>
      <c r="W1062" s="100" t="s">
        <v>81</v>
      </c>
      <c r="X1062" s="123"/>
      <c r="Y1062" s="109"/>
      <c r="Z1062" s="100"/>
      <c r="AA1062" s="112" t="s">
        <v>3275</v>
      </c>
      <c r="AB1062" s="105"/>
      <c r="AC1062" s="105"/>
      <c r="AD1062" s="105"/>
      <c r="AE1062" s="59"/>
      <c r="AF1062" s="59"/>
      <c r="AG1062" s="59"/>
      <c r="AH1062" s="59"/>
      <c r="AI1062" s="59"/>
      <c r="AJ1062" s="59"/>
      <c r="AK1062" s="59"/>
      <c r="AL1062" s="59"/>
      <c r="AM1062" s="59"/>
      <c r="AN1062" s="59"/>
      <c r="AO1062" s="59"/>
      <c r="AP1062" s="59"/>
      <c r="AQ1062" s="59"/>
      <c r="AR1062" s="59"/>
      <c r="AS1062" s="59"/>
      <c r="AT1062" s="59"/>
      <c r="AU1062" s="59"/>
      <c r="AV1062" s="59"/>
      <c r="AW1062" s="59"/>
      <c r="AX1062" s="59"/>
      <c r="AY1062" s="59"/>
      <c r="AZ1062" s="59"/>
      <c r="BA1062" s="59"/>
      <c r="BB1062" s="59"/>
      <c r="BC1062" s="59"/>
      <c r="BD1062" s="59"/>
      <c r="BE1062" s="59"/>
      <c r="BF1062" s="59"/>
      <c r="BG1062" s="59"/>
      <c r="BH1062" s="59"/>
      <c r="BI1062" s="59"/>
      <c r="BJ1062" s="59"/>
      <c r="BK1062" s="59"/>
      <c r="BL1062" s="59"/>
      <c r="BM1062" s="59"/>
      <c r="BN1062" s="59"/>
      <c r="BO1062" s="59"/>
      <c r="BP1062" s="59"/>
      <c r="BQ1062" s="59"/>
      <c r="BR1062" s="59"/>
      <c r="BS1062" s="59"/>
      <c r="BT1062" s="59"/>
      <c r="BU1062" s="59"/>
      <c r="BV1062" s="59"/>
      <c r="BW1062" s="59"/>
      <c r="BX1062" s="59"/>
      <c r="BY1062" s="59"/>
      <c r="BZ1062" s="59"/>
      <c r="CA1062" s="59"/>
      <c r="CB1062" s="59"/>
      <c r="CC1062" s="59"/>
      <c r="CD1062" s="59"/>
      <c r="CE1062" s="59"/>
      <c r="CF1062" s="59"/>
      <c r="CG1062" s="59"/>
      <c r="CH1062" s="59"/>
      <c r="CI1062" s="59"/>
      <c r="CJ1062" s="59"/>
      <c r="CK1062" s="59"/>
      <c r="CL1062" s="59"/>
      <c r="CM1062" s="59"/>
      <c r="CN1062" s="59"/>
      <c r="CO1062" s="59"/>
      <c r="CP1062" s="59"/>
      <c r="CQ1062" s="59"/>
      <c r="CR1062" s="59"/>
      <c r="CS1062" s="59"/>
      <c r="CT1062" s="59"/>
      <c r="CU1062" s="59"/>
      <c r="CV1062" s="59"/>
      <c r="CW1062" s="59"/>
      <c r="CX1062" s="59"/>
      <c r="CY1062" s="59"/>
      <c r="CZ1062" s="59"/>
      <c r="DA1062" s="59"/>
      <c r="DB1062" s="59"/>
      <c r="DC1062" s="59"/>
      <c r="DD1062" s="59"/>
      <c r="DE1062" s="59"/>
      <c r="DF1062" s="59"/>
      <c r="DG1062" s="59"/>
      <c r="DH1062" s="59"/>
      <c r="DI1062" s="59"/>
      <c r="DJ1062" s="59"/>
      <c r="DK1062" s="59"/>
      <c r="DL1062" s="59"/>
      <c r="DM1062" s="59"/>
      <c r="DN1062" s="59"/>
      <c r="DO1062" s="59"/>
      <c r="DP1062" s="59"/>
      <c r="DQ1062" s="59"/>
      <c r="DR1062" s="59"/>
      <c r="DS1062" s="59"/>
      <c r="DT1062" s="59"/>
      <c r="DU1062" s="59"/>
      <c r="DV1062" s="59"/>
      <c r="DW1062" s="59"/>
      <c r="DX1062" s="59"/>
      <c r="DY1062" s="59"/>
      <c r="DZ1062" s="59"/>
      <c r="EA1062" s="59"/>
      <c r="EB1062" s="59"/>
      <c r="EC1062" s="59"/>
      <c r="ED1062" s="59"/>
      <c r="EE1062" s="59"/>
      <c r="EF1062" s="59"/>
      <c r="EG1062" s="59"/>
      <c r="EH1062" s="59"/>
      <c r="EI1062" s="59"/>
      <c r="EJ1062" s="59"/>
      <c r="EK1062" s="59"/>
      <c r="EL1062" s="59"/>
      <c r="EM1062" s="59"/>
      <c r="EN1062" s="59"/>
      <c r="EO1062" s="59"/>
      <c r="EP1062" s="59"/>
      <c r="EQ1062" s="59"/>
      <c r="ER1062" s="59"/>
      <c r="ES1062" s="59"/>
      <c r="ET1062" s="59"/>
      <c r="EU1062" s="59"/>
      <c r="EV1062" s="59"/>
      <c r="EW1062" s="59"/>
      <c r="EX1062" s="59"/>
      <c r="EY1062" s="59"/>
      <c r="EZ1062" s="59"/>
      <c r="FA1062" s="59"/>
      <c r="FB1062" s="59"/>
      <c r="FC1062" s="59"/>
      <c r="FD1062" s="59"/>
      <c r="FE1062" s="59"/>
      <c r="FF1062" s="59"/>
      <c r="FG1062" s="59"/>
      <c r="FH1062" s="59"/>
      <c r="FI1062" s="59"/>
      <c r="FJ1062" s="59"/>
      <c r="FK1062" s="59"/>
      <c r="FL1062" s="59"/>
      <c r="FM1062" s="59"/>
      <c r="FN1062" s="59"/>
      <c r="FO1062" s="59"/>
      <c r="FP1062" s="59"/>
      <c r="FQ1062" s="59"/>
      <c r="FR1062" s="59"/>
      <c r="FS1062" s="59"/>
      <c r="FT1062" s="59"/>
      <c r="FU1062" s="59"/>
      <c r="FV1062" s="59"/>
      <c r="FW1062" s="59"/>
      <c r="FX1062" s="59"/>
      <c r="FY1062" s="59"/>
      <c r="FZ1062" s="59"/>
      <c r="GA1062" s="59"/>
      <c r="GB1062" s="59"/>
      <c r="GC1062" s="59"/>
      <c r="GD1062" s="59"/>
      <c r="GE1062" s="59"/>
      <c r="GF1062" s="59"/>
      <c r="GG1062" s="59"/>
      <c r="GH1062" s="59"/>
      <c r="GI1062" s="59"/>
      <c r="GJ1062" s="59"/>
      <c r="GK1062" s="59"/>
      <c r="GL1062" s="59"/>
      <c r="GM1062" s="59"/>
      <c r="GN1062" s="59"/>
      <c r="GO1062" s="59"/>
      <c r="GP1062" s="59"/>
      <c r="GQ1062" s="59"/>
      <c r="GR1062" s="59"/>
      <c r="GS1062" s="59"/>
      <c r="GT1062" s="59"/>
      <c r="GU1062" s="59"/>
      <c r="GV1062" s="59"/>
      <c r="GW1062" s="59"/>
      <c r="GX1062" s="59"/>
      <c r="GY1062" s="59"/>
      <c r="GZ1062" s="59"/>
      <c r="HA1062" s="59"/>
      <c r="HB1062" s="59"/>
      <c r="HC1062" s="59"/>
      <c r="HD1062" s="59"/>
      <c r="HE1062" s="59"/>
      <c r="HF1062" s="59"/>
      <c r="HG1062" s="59"/>
      <c r="HH1062" s="59"/>
      <c r="HI1062" s="59"/>
      <c r="HJ1062" s="59"/>
      <c r="HK1062" s="59"/>
      <c r="HL1062" s="59"/>
      <c r="HM1062" s="59"/>
      <c r="HN1062" s="59"/>
      <c r="HO1062" s="59"/>
      <c r="HP1062" s="59"/>
      <c r="HQ1062" s="59"/>
      <c r="HR1062" s="59"/>
      <c r="HS1062" s="59"/>
      <c r="HT1062" s="59"/>
      <c r="HU1062" s="59"/>
      <c r="HV1062" s="59"/>
      <c r="HW1062" s="59"/>
      <c r="HX1062" s="59"/>
      <c r="HY1062" s="59"/>
      <c r="HZ1062" s="59"/>
      <c r="IA1062" s="59"/>
      <c r="IB1062" s="59"/>
      <c r="IC1062" s="59"/>
      <c r="ID1062" s="59"/>
      <c r="IE1062" s="59"/>
      <c r="IF1062" s="59"/>
      <c r="IG1062" s="59"/>
      <c r="IH1062" s="59"/>
      <c r="II1062" s="59"/>
      <c r="IJ1062" s="59"/>
      <c r="IK1062" s="59"/>
      <c r="IL1062" s="59"/>
      <c r="IM1062" s="59"/>
      <c r="IN1062" s="59"/>
      <c r="IO1062" s="59"/>
      <c r="IP1062" s="59"/>
      <c r="IQ1062" s="59"/>
      <c r="IR1062" s="59"/>
      <c r="IS1062" s="59"/>
      <c r="IT1062" s="59"/>
      <c r="IU1062" s="59"/>
      <c r="IV1062" s="195"/>
      <c r="IW1062" s="195"/>
      <c r="IX1062" s="195"/>
      <c r="IY1062" s="195"/>
      <c r="IZ1062" s="195"/>
      <c r="JA1062" s="195"/>
    </row>
    <row r="1063" spans="1:272" s="113" customFormat="1" ht="38.25" customHeight="1">
      <c r="A1063" s="109" t="s">
        <v>115</v>
      </c>
      <c r="B1063" s="30" t="s">
        <v>116</v>
      </c>
      <c r="C1063" s="109" t="s">
        <v>2212</v>
      </c>
      <c r="D1063" s="100" t="s">
        <v>3276</v>
      </c>
      <c r="E1063" s="100" t="s">
        <v>135</v>
      </c>
      <c r="F1063" s="30" t="s">
        <v>822</v>
      </c>
      <c r="G1063" s="129" t="s">
        <v>243</v>
      </c>
      <c r="H1063" s="153">
        <v>541910</v>
      </c>
      <c r="I1063" s="100" t="s">
        <v>45</v>
      </c>
      <c r="J1063" s="100" t="s">
        <v>52</v>
      </c>
      <c r="K1063" s="109" t="s">
        <v>61</v>
      </c>
      <c r="L1063" s="100" t="s">
        <v>3271</v>
      </c>
      <c r="M1063" s="110">
        <v>8000</v>
      </c>
      <c r="N1063" s="110">
        <v>100000</v>
      </c>
      <c r="O1063" s="170" t="s">
        <v>79</v>
      </c>
      <c r="P1063" s="100" t="s">
        <v>3277</v>
      </c>
      <c r="Q1063" s="109" t="s">
        <v>294</v>
      </c>
      <c r="R1063" s="109" t="s">
        <v>45</v>
      </c>
      <c r="S1063" s="103"/>
      <c r="T1063" s="143" t="s">
        <v>3278</v>
      </c>
      <c r="U1063" s="143" t="s">
        <v>3279</v>
      </c>
      <c r="V1063" s="104" t="s">
        <v>3280</v>
      </c>
      <c r="W1063" s="100" t="s">
        <v>81</v>
      </c>
      <c r="X1063" s="123"/>
      <c r="Y1063" s="109"/>
      <c r="Z1063" s="100"/>
      <c r="AA1063" s="112" t="s">
        <v>3275</v>
      </c>
      <c r="AB1063" s="105"/>
      <c r="AC1063" s="105"/>
      <c r="AD1063" s="105"/>
      <c r="AE1063" s="59"/>
      <c r="AF1063" s="59"/>
      <c r="AG1063" s="59"/>
      <c r="AH1063" s="59"/>
      <c r="AI1063" s="59"/>
      <c r="AJ1063" s="59"/>
      <c r="AK1063" s="59"/>
      <c r="AL1063" s="59"/>
      <c r="AM1063" s="59"/>
      <c r="AN1063" s="59"/>
      <c r="AO1063" s="59"/>
      <c r="AP1063" s="59"/>
      <c r="AQ1063" s="59"/>
      <c r="AR1063" s="59"/>
      <c r="AS1063" s="59"/>
      <c r="AT1063" s="59"/>
      <c r="AU1063" s="59"/>
      <c r="AV1063" s="59"/>
      <c r="AW1063" s="59"/>
      <c r="AX1063" s="59"/>
      <c r="AY1063" s="59"/>
      <c r="AZ1063" s="59"/>
      <c r="BA1063" s="59"/>
      <c r="BB1063" s="59"/>
      <c r="BC1063" s="59"/>
      <c r="BD1063" s="59"/>
      <c r="BE1063" s="59"/>
      <c r="BF1063" s="59"/>
      <c r="BG1063" s="59"/>
      <c r="BH1063" s="59"/>
      <c r="BI1063" s="59"/>
      <c r="BJ1063" s="59"/>
      <c r="BK1063" s="59"/>
      <c r="BL1063" s="59"/>
      <c r="BM1063" s="59"/>
      <c r="BN1063" s="59"/>
      <c r="BO1063" s="59"/>
      <c r="BP1063" s="59"/>
      <c r="BQ1063" s="59"/>
      <c r="BR1063" s="59"/>
      <c r="BS1063" s="59"/>
      <c r="BT1063" s="59"/>
      <c r="BU1063" s="59"/>
      <c r="BV1063" s="59"/>
      <c r="BW1063" s="59"/>
      <c r="BX1063" s="59"/>
      <c r="BY1063" s="59"/>
      <c r="BZ1063" s="59"/>
      <c r="CA1063" s="59"/>
      <c r="CB1063" s="59"/>
      <c r="CC1063" s="59"/>
      <c r="CD1063" s="59"/>
      <c r="CE1063" s="59"/>
      <c r="CF1063" s="59"/>
      <c r="CG1063" s="59"/>
      <c r="CH1063" s="59"/>
      <c r="CI1063" s="59"/>
      <c r="CJ1063" s="59"/>
      <c r="CK1063" s="59"/>
      <c r="CL1063" s="59"/>
      <c r="CM1063" s="59"/>
      <c r="CN1063" s="59"/>
      <c r="CO1063" s="59"/>
      <c r="CP1063" s="59"/>
      <c r="CQ1063" s="59"/>
      <c r="CR1063" s="59"/>
      <c r="CS1063" s="59"/>
      <c r="CT1063" s="59"/>
      <c r="CU1063" s="59"/>
      <c r="CV1063" s="59"/>
      <c r="CW1063" s="59"/>
      <c r="CX1063" s="59"/>
      <c r="CY1063" s="59"/>
      <c r="CZ1063" s="59"/>
      <c r="DA1063" s="59"/>
      <c r="DB1063" s="59"/>
      <c r="DC1063" s="59"/>
      <c r="DD1063" s="59"/>
      <c r="DE1063" s="59"/>
      <c r="DF1063" s="59"/>
      <c r="DG1063" s="59"/>
      <c r="DH1063" s="59"/>
      <c r="DI1063" s="59"/>
      <c r="DJ1063" s="59"/>
      <c r="DK1063" s="59"/>
      <c r="DL1063" s="59"/>
      <c r="DM1063" s="59"/>
      <c r="DN1063" s="59"/>
      <c r="DO1063" s="59"/>
      <c r="DP1063" s="59"/>
      <c r="DQ1063" s="59"/>
      <c r="DR1063" s="59"/>
      <c r="DS1063" s="59"/>
      <c r="DT1063" s="59"/>
      <c r="DU1063" s="59"/>
      <c r="DV1063" s="59"/>
      <c r="DW1063" s="59"/>
      <c r="DX1063" s="59"/>
      <c r="DY1063" s="59"/>
      <c r="DZ1063" s="59"/>
      <c r="EA1063" s="59"/>
      <c r="EB1063" s="59"/>
      <c r="EC1063" s="59"/>
      <c r="ED1063" s="59"/>
      <c r="EE1063" s="59"/>
      <c r="EF1063" s="59"/>
      <c r="EG1063" s="59"/>
      <c r="EH1063" s="59"/>
      <c r="EI1063" s="59"/>
      <c r="EJ1063" s="59"/>
      <c r="EK1063" s="59"/>
      <c r="EL1063" s="59"/>
      <c r="EM1063" s="59"/>
      <c r="EN1063" s="59"/>
      <c r="EO1063" s="59"/>
      <c r="EP1063" s="59"/>
      <c r="EQ1063" s="59"/>
      <c r="ER1063" s="59"/>
      <c r="ES1063" s="59"/>
      <c r="ET1063" s="59"/>
      <c r="EU1063" s="59"/>
      <c r="EV1063" s="59"/>
      <c r="EW1063" s="59"/>
      <c r="EX1063" s="59"/>
      <c r="EY1063" s="59"/>
      <c r="EZ1063" s="59"/>
      <c r="FA1063" s="59"/>
      <c r="FB1063" s="59"/>
      <c r="FC1063" s="59"/>
      <c r="FD1063" s="59"/>
      <c r="FE1063" s="59"/>
      <c r="FF1063" s="59"/>
      <c r="FG1063" s="59"/>
      <c r="FH1063" s="59"/>
      <c r="FI1063" s="59"/>
      <c r="FJ1063" s="59"/>
      <c r="FK1063" s="59"/>
      <c r="FL1063" s="59"/>
      <c r="FM1063" s="59"/>
      <c r="FN1063" s="59"/>
      <c r="FO1063" s="59"/>
      <c r="FP1063" s="59"/>
      <c r="FQ1063" s="59"/>
      <c r="FR1063" s="59"/>
      <c r="FS1063" s="59"/>
      <c r="FT1063" s="59"/>
      <c r="FU1063" s="59"/>
      <c r="FV1063" s="59"/>
      <c r="FW1063" s="59"/>
      <c r="FX1063" s="59"/>
      <c r="FY1063" s="59"/>
      <c r="FZ1063" s="59"/>
      <c r="GA1063" s="59"/>
      <c r="GB1063" s="59"/>
      <c r="GC1063" s="59"/>
      <c r="GD1063" s="59"/>
      <c r="GE1063" s="59"/>
      <c r="GF1063" s="59"/>
      <c r="GG1063" s="59"/>
      <c r="GH1063" s="59"/>
      <c r="GI1063" s="59"/>
      <c r="GJ1063" s="59"/>
      <c r="GK1063" s="59"/>
      <c r="GL1063" s="59"/>
      <c r="GM1063" s="59"/>
      <c r="GN1063" s="59"/>
      <c r="GO1063" s="59"/>
      <c r="GP1063" s="59"/>
      <c r="GQ1063" s="59"/>
      <c r="GR1063" s="59"/>
      <c r="GS1063" s="59"/>
      <c r="GT1063" s="59"/>
      <c r="GU1063" s="59"/>
      <c r="GV1063" s="59"/>
      <c r="GW1063" s="59"/>
      <c r="GX1063" s="59"/>
      <c r="GY1063" s="59"/>
      <c r="GZ1063" s="59"/>
      <c r="HA1063" s="59"/>
      <c r="HB1063" s="59"/>
      <c r="HC1063" s="59"/>
      <c r="HD1063" s="59"/>
      <c r="HE1063" s="59"/>
      <c r="HF1063" s="59"/>
      <c r="HG1063" s="59"/>
      <c r="HH1063" s="59"/>
      <c r="HI1063" s="59"/>
      <c r="HJ1063" s="59"/>
      <c r="HK1063" s="59"/>
      <c r="HL1063" s="59"/>
      <c r="HM1063" s="59"/>
      <c r="HN1063" s="59"/>
      <c r="HO1063" s="59"/>
      <c r="HP1063" s="59"/>
      <c r="HQ1063" s="59"/>
      <c r="HR1063" s="59"/>
      <c r="HS1063" s="59"/>
      <c r="HT1063" s="59"/>
      <c r="HU1063" s="59"/>
      <c r="HV1063" s="59"/>
      <c r="HW1063" s="59"/>
      <c r="HX1063" s="59"/>
      <c r="HY1063" s="59"/>
      <c r="HZ1063" s="59"/>
      <c r="IA1063" s="59"/>
      <c r="IB1063" s="59"/>
      <c r="IC1063" s="59"/>
      <c r="ID1063" s="59"/>
      <c r="IE1063" s="59"/>
      <c r="IF1063" s="59"/>
      <c r="IG1063" s="59"/>
      <c r="IH1063" s="59"/>
      <c r="II1063" s="59"/>
      <c r="IJ1063" s="59"/>
      <c r="IK1063" s="59"/>
      <c r="IL1063" s="59"/>
      <c r="IM1063" s="59"/>
      <c r="IN1063" s="59"/>
      <c r="IO1063" s="59"/>
      <c r="IP1063" s="59"/>
      <c r="IQ1063" s="59"/>
      <c r="IR1063" s="59"/>
      <c r="IS1063" s="59"/>
      <c r="IT1063" s="59"/>
      <c r="IU1063" s="59"/>
      <c r="IV1063" s="195"/>
      <c r="IW1063" s="195"/>
      <c r="IX1063" s="195"/>
      <c r="IY1063" s="195"/>
      <c r="IZ1063" s="195"/>
      <c r="JA1063" s="195"/>
    </row>
    <row r="1064" spans="1:272" s="106" customFormat="1" ht="38.25" customHeight="1">
      <c r="A1064" s="99" t="s">
        <v>115</v>
      </c>
      <c r="B1064" s="30" t="s">
        <v>116</v>
      </c>
      <c r="C1064" s="99" t="s">
        <v>2212</v>
      </c>
      <c r="D1064" s="100" t="s">
        <v>3281</v>
      </c>
      <c r="E1064" s="100" t="s">
        <v>135</v>
      </c>
      <c r="F1064" s="99" t="s">
        <v>289</v>
      </c>
      <c r="G1064" s="99" t="s">
        <v>111</v>
      </c>
      <c r="H1064" s="153">
        <v>541612</v>
      </c>
      <c r="I1064" s="129" t="s">
        <v>32</v>
      </c>
      <c r="J1064" s="100" t="s">
        <v>129</v>
      </c>
      <c r="K1064" s="99" t="s">
        <v>61</v>
      </c>
      <c r="L1064" s="100" t="s">
        <v>3263</v>
      </c>
      <c r="M1064" s="101"/>
      <c r="N1064" s="101"/>
      <c r="O1064" s="102" t="s">
        <v>79</v>
      </c>
      <c r="P1064" s="100" t="s">
        <v>3282</v>
      </c>
      <c r="Q1064" s="99" t="s">
        <v>294</v>
      </c>
      <c r="R1064" s="99" t="s">
        <v>150</v>
      </c>
      <c r="S1064" s="103"/>
      <c r="T1064" s="143" t="s">
        <v>3283</v>
      </c>
      <c r="U1064" s="143" t="s">
        <v>3284</v>
      </c>
      <c r="V1064" s="104" t="s">
        <v>3285</v>
      </c>
      <c r="W1064" s="100" t="s">
        <v>81</v>
      </c>
      <c r="X1064" s="117"/>
      <c r="Y1064" s="99"/>
      <c r="Z1064" s="100"/>
      <c r="AA1064" s="100" t="s">
        <v>3265</v>
      </c>
      <c r="AB1064" s="105"/>
      <c r="AC1064" s="105"/>
      <c r="AD1064" s="105"/>
      <c r="AE1064" s="59"/>
      <c r="AF1064" s="59"/>
      <c r="AG1064" s="59"/>
      <c r="AH1064" s="59"/>
      <c r="AI1064" s="59"/>
      <c r="AJ1064" s="59"/>
      <c r="AK1064" s="59"/>
      <c r="AL1064" s="59"/>
      <c r="AM1064" s="59"/>
      <c r="AN1064" s="59"/>
      <c r="AO1064" s="59"/>
      <c r="AP1064" s="59"/>
      <c r="AQ1064" s="59"/>
      <c r="AR1064" s="59"/>
      <c r="AS1064" s="59"/>
      <c r="AT1064" s="59"/>
      <c r="AU1064" s="59"/>
      <c r="AV1064" s="59"/>
      <c r="AW1064" s="59"/>
      <c r="AX1064" s="59"/>
      <c r="AY1064" s="59"/>
      <c r="AZ1064" s="59"/>
      <c r="BA1064" s="59"/>
      <c r="BB1064" s="59"/>
      <c r="BC1064" s="59"/>
      <c r="BD1064" s="59"/>
      <c r="BE1064" s="59"/>
      <c r="BF1064" s="59"/>
      <c r="BG1064" s="59"/>
      <c r="BH1064" s="59"/>
      <c r="BI1064" s="59"/>
      <c r="BJ1064" s="59"/>
      <c r="BK1064" s="59"/>
      <c r="BL1064" s="59"/>
      <c r="BM1064" s="59"/>
      <c r="BN1064" s="59"/>
      <c r="BO1064" s="59"/>
      <c r="BP1064" s="59"/>
      <c r="BQ1064" s="59"/>
      <c r="BR1064" s="59"/>
      <c r="BS1064" s="59"/>
      <c r="BT1064" s="59"/>
      <c r="BU1064" s="59"/>
      <c r="BV1064" s="59"/>
      <c r="BW1064" s="59"/>
      <c r="BX1064" s="59"/>
      <c r="BY1064" s="59"/>
      <c r="BZ1064" s="59"/>
      <c r="CA1064" s="59"/>
      <c r="CB1064" s="59"/>
      <c r="CC1064" s="59"/>
      <c r="CD1064" s="59"/>
      <c r="CE1064" s="59"/>
      <c r="CF1064" s="59"/>
      <c r="CG1064" s="59"/>
      <c r="CH1064" s="59"/>
      <c r="CI1064" s="59"/>
      <c r="CJ1064" s="59"/>
      <c r="CK1064" s="59"/>
      <c r="CL1064" s="59"/>
      <c r="CM1064" s="59"/>
      <c r="CN1064" s="59"/>
      <c r="CO1064" s="59"/>
      <c r="CP1064" s="59"/>
      <c r="CQ1064" s="59"/>
      <c r="CR1064" s="59"/>
      <c r="CS1064" s="59"/>
      <c r="CT1064" s="59"/>
      <c r="CU1064" s="59"/>
      <c r="CV1064" s="59"/>
      <c r="CW1064" s="59"/>
      <c r="CX1064" s="59"/>
      <c r="CY1064" s="59"/>
      <c r="CZ1064" s="59"/>
      <c r="DA1064" s="59"/>
      <c r="DB1064" s="59"/>
      <c r="DC1064" s="59"/>
      <c r="DD1064" s="59"/>
      <c r="DE1064" s="59"/>
      <c r="DF1064" s="59"/>
      <c r="DG1064" s="59"/>
      <c r="DH1064" s="59"/>
      <c r="DI1064" s="59"/>
      <c r="DJ1064" s="59"/>
      <c r="DK1064" s="59"/>
      <c r="DL1064" s="59"/>
      <c r="DM1064" s="59"/>
      <c r="DN1064" s="59"/>
      <c r="DO1064" s="59"/>
      <c r="DP1064" s="59"/>
      <c r="DQ1064" s="59"/>
      <c r="DR1064" s="59"/>
      <c r="DS1064" s="59"/>
      <c r="DT1064" s="59"/>
      <c r="DU1064" s="59"/>
      <c r="DV1064" s="59"/>
      <c r="DW1064" s="59"/>
      <c r="DX1064" s="59"/>
      <c r="DY1064" s="59"/>
      <c r="DZ1064" s="59"/>
      <c r="EA1064" s="59"/>
      <c r="EB1064" s="59"/>
      <c r="EC1064" s="59"/>
      <c r="ED1064" s="59"/>
      <c r="EE1064" s="59"/>
      <c r="EF1064" s="59"/>
      <c r="EG1064" s="59"/>
      <c r="EH1064" s="59"/>
      <c r="EI1064" s="59"/>
      <c r="EJ1064" s="59"/>
      <c r="EK1064" s="59"/>
      <c r="EL1064" s="59"/>
      <c r="EM1064" s="59"/>
      <c r="EN1064" s="59"/>
      <c r="EO1064" s="59"/>
      <c r="EP1064" s="59"/>
      <c r="EQ1064" s="59"/>
      <c r="ER1064" s="59"/>
      <c r="ES1064" s="59"/>
      <c r="ET1064" s="59"/>
      <c r="EU1064" s="59"/>
      <c r="EV1064" s="59"/>
      <c r="EW1064" s="59"/>
      <c r="EX1064" s="59"/>
      <c r="EY1064" s="59"/>
      <c r="EZ1064" s="59"/>
      <c r="FA1064" s="59"/>
      <c r="FB1064" s="59"/>
      <c r="FC1064" s="59"/>
      <c r="FD1064" s="59"/>
      <c r="FE1064" s="59"/>
      <c r="FF1064" s="59"/>
      <c r="FG1064" s="59"/>
      <c r="FH1064" s="59"/>
      <c r="FI1064" s="59"/>
      <c r="FJ1064" s="59"/>
      <c r="FK1064" s="59"/>
      <c r="FL1064" s="59"/>
      <c r="FM1064" s="59"/>
      <c r="FN1064" s="59"/>
      <c r="FO1064" s="59"/>
      <c r="FP1064" s="59"/>
      <c r="FQ1064" s="59"/>
      <c r="FR1064" s="59"/>
      <c r="FS1064" s="59"/>
      <c r="FT1064" s="59"/>
      <c r="FU1064" s="59"/>
      <c r="FV1064" s="59"/>
      <c r="FW1064" s="59"/>
      <c r="FX1064" s="59"/>
      <c r="FY1064" s="59"/>
      <c r="FZ1064" s="59"/>
      <c r="GA1064" s="59"/>
      <c r="GB1064" s="59"/>
      <c r="GC1064" s="59"/>
      <c r="GD1064" s="59"/>
      <c r="GE1064" s="59"/>
      <c r="GF1064" s="59"/>
      <c r="GG1064" s="59"/>
      <c r="GH1064" s="59"/>
      <c r="GI1064" s="59"/>
      <c r="GJ1064" s="59"/>
      <c r="GK1064" s="59"/>
      <c r="GL1064" s="59"/>
      <c r="GM1064" s="59"/>
      <c r="GN1064" s="59"/>
      <c r="GO1064" s="59"/>
      <c r="GP1064" s="59"/>
      <c r="GQ1064" s="59"/>
      <c r="GR1064" s="59"/>
      <c r="GS1064" s="59"/>
      <c r="GT1064" s="59"/>
      <c r="GU1064" s="59"/>
      <c r="GV1064" s="59"/>
      <c r="GW1064" s="59"/>
      <c r="GX1064" s="59"/>
      <c r="GY1064" s="59"/>
      <c r="GZ1064" s="59"/>
      <c r="HA1064" s="59"/>
      <c r="HB1064" s="59"/>
      <c r="HC1064" s="59"/>
      <c r="HD1064" s="59"/>
      <c r="HE1064" s="59"/>
      <c r="HF1064" s="59"/>
      <c r="HG1064" s="59"/>
      <c r="HH1064" s="59"/>
      <c r="HI1064" s="59"/>
      <c r="HJ1064" s="59"/>
      <c r="HK1064" s="59"/>
      <c r="HL1064" s="59"/>
      <c r="HM1064" s="59"/>
      <c r="HN1064" s="59"/>
      <c r="HO1064" s="59"/>
      <c r="HP1064" s="59"/>
      <c r="HQ1064" s="59"/>
      <c r="HR1064" s="59"/>
      <c r="HS1064" s="59"/>
      <c r="HT1064" s="59"/>
      <c r="HU1064" s="59"/>
      <c r="HV1064" s="59"/>
      <c r="HW1064" s="59"/>
      <c r="HX1064" s="59"/>
      <c r="HY1064" s="59"/>
      <c r="HZ1064" s="59"/>
      <c r="IA1064" s="59"/>
      <c r="IB1064" s="59"/>
      <c r="IC1064" s="59"/>
      <c r="ID1064" s="59"/>
      <c r="IE1064" s="59"/>
      <c r="IF1064" s="59"/>
      <c r="IG1064" s="59"/>
      <c r="IH1064" s="59"/>
      <c r="II1064" s="59"/>
      <c r="IJ1064" s="59"/>
      <c r="IK1064" s="59"/>
      <c r="IL1064" s="59"/>
      <c r="IM1064" s="59"/>
      <c r="IN1064" s="59"/>
      <c r="IO1064" s="59"/>
      <c r="IP1064" s="59"/>
      <c r="IQ1064" s="59"/>
      <c r="IR1064" s="59"/>
      <c r="IS1064" s="59"/>
      <c r="IT1064" s="59"/>
      <c r="IU1064" s="59"/>
      <c r="IV1064" s="194"/>
      <c r="IW1064" s="194"/>
      <c r="IX1064" s="194"/>
      <c r="IY1064" s="194"/>
      <c r="IZ1064" s="194"/>
      <c r="JA1064" s="194"/>
    </row>
    <row r="1065" spans="1:272" ht="38.25" customHeight="1">
      <c r="A1065" s="100" t="s">
        <v>115</v>
      </c>
      <c r="B1065" s="30" t="s">
        <v>116</v>
      </c>
      <c r="C1065" s="99" t="s">
        <v>2212</v>
      </c>
      <c r="D1065" s="100" t="s">
        <v>3286</v>
      </c>
      <c r="E1065" s="100" t="s">
        <v>135</v>
      </c>
      <c r="F1065" s="99" t="s">
        <v>289</v>
      </c>
      <c r="G1065" s="99" t="s">
        <v>111</v>
      </c>
      <c r="H1065" s="143"/>
      <c r="I1065" s="100"/>
      <c r="J1065" s="100" t="s">
        <v>129</v>
      </c>
      <c r="K1065" s="99" t="s">
        <v>61</v>
      </c>
      <c r="L1065" s="100"/>
      <c r="M1065" s="114"/>
      <c r="N1065" s="114"/>
      <c r="O1065" s="102" t="s">
        <v>79</v>
      </c>
      <c r="P1065" s="100"/>
      <c r="Q1065" s="99" t="s">
        <v>294</v>
      </c>
      <c r="R1065" s="155" t="s">
        <v>80</v>
      </c>
      <c r="S1065" s="103"/>
      <c r="T1065" s="143" t="s">
        <v>3287</v>
      </c>
      <c r="U1065" s="180" t="s">
        <v>3443</v>
      </c>
      <c r="V1065" s="104" t="s">
        <v>3288</v>
      </c>
      <c r="W1065" s="100" t="s">
        <v>81</v>
      </c>
      <c r="X1065" s="100"/>
      <c r="Y1065" s="100"/>
      <c r="Z1065" s="100"/>
      <c r="AA1065" s="100"/>
      <c r="AB1065" s="105"/>
      <c r="AC1065" s="105"/>
      <c r="AD1065" s="105"/>
      <c r="JB1065" s="29"/>
      <c r="JC1065" s="29"/>
      <c r="JD1065" s="29"/>
      <c r="JE1065" s="29"/>
      <c r="JF1065" s="29"/>
      <c r="JG1065" s="29"/>
      <c r="JH1065" s="29"/>
      <c r="JI1065" s="29"/>
      <c r="JJ1065" s="29"/>
      <c r="JK1065" s="29"/>
      <c r="JL1065" s="29"/>
    </row>
    <row r="1066" spans="1:272" ht="38.25" customHeight="1">
      <c r="A1066" s="100" t="s">
        <v>115</v>
      </c>
      <c r="B1066" s="30" t="s">
        <v>116</v>
      </c>
      <c r="C1066" s="100" t="s">
        <v>2212</v>
      </c>
      <c r="D1066" s="100" t="s">
        <v>3289</v>
      </c>
      <c r="E1066" s="100" t="s">
        <v>135</v>
      </c>
      <c r="F1066" s="99" t="s">
        <v>317</v>
      </c>
      <c r="G1066" s="99" t="s">
        <v>317</v>
      </c>
      <c r="H1066" s="153">
        <v>519190</v>
      </c>
      <c r="I1066" s="156" t="s">
        <v>3390</v>
      </c>
      <c r="J1066" s="99" t="s">
        <v>129</v>
      </c>
      <c r="K1066" s="99" t="s">
        <v>3291</v>
      </c>
      <c r="L1066" s="100" t="s">
        <v>3290</v>
      </c>
      <c r="M1066" s="101">
        <v>5000000</v>
      </c>
      <c r="N1066" s="101">
        <v>32000000</v>
      </c>
      <c r="O1066" s="99" t="s">
        <v>79</v>
      </c>
      <c r="P1066" s="99" t="s">
        <v>3292</v>
      </c>
      <c r="Q1066" s="100" t="s">
        <v>3293</v>
      </c>
      <c r="R1066" s="156" t="s">
        <v>100</v>
      </c>
      <c r="S1066" s="41">
        <v>2014</v>
      </c>
      <c r="T1066" s="143" t="s">
        <v>3294</v>
      </c>
      <c r="U1066" s="143" t="s">
        <v>3295</v>
      </c>
      <c r="V1066" s="100" t="s">
        <v>3296</v>
      </c>
      <c r="W1066" s="129" t="s">
        <v>81</v>
      </c>
      <c r="X1066" s="100" t="s">
        <v>298</v>
      </c>
      <c r="Y1066" s="100" t="s">
        <v>3297</v>
      </c>
      <c r="Z1066" s="100" t="s">
        <v>3298</v>
      </c>
      <c r="AA1066" s="100" t="s">
        <v>3299</v>
      </c>
      <c r="AB1066" s="105"/>
      <c r="AC1066" s="105"/>
      <c r="AD1066" s="105"/>
      <c r="JB1066" s="29"/>
      <c r="JC1066" s="29"/>
      <c r="JD1066" s="29"/>
      <c r="JE1066" s="29"/>
      <c r="JF1066" s="29"/>
      <c r="JG1066" s="29"/>
      <c r="JH1066" s="29"/>
      <c r="JI1066" s="29"/>
      <c r="JJ1066" s="29"/>
      <c r="JK1066" s="29"/>
      <c r="JL1066" s="29"/>
    </row>
    <row r="1067" spans="1:272" ht="38.25" customHeight="1">
      <c r="A1067" s="100" t="s">
        <v>115</v>
      </c>
      <c r="B1067" s="30" t="s">
        <v>116</v>
      </c>
      <c r="C1067" s="99" t="s">
        <v>2212</v>
      </c>
      <c r="D1067" s="100" t="s">
        <v>3300</v>
      </c>
      <c r="E1067" s="100" t="s">
        <v>135</v>
      </c>
      <c r="F1067" s="99" t="s">
        <v>317</v>
      </c>
      <c r="G1067" s="99" t="s">
        <v>317</v>
      </c>
      <c r="H1067" s="143"/>
      <c r="I1067" s="100"/>
      <c r="J1067" s="100"/>
      <c r="K1067" s="100"/>
      <c r="L1067" s="100"/>
      <c r="M1067" s="114"/>
      <c r="N1067" s="114"/>
      <c r="O1067" s="100"/>
      <c r="P1067" s="100"/>
      <c r="Q1067" s="100"/>
      <c r="R1067" s="100"/>
      <c r="S1067" s="115"/>
      <c r="T1067" s="143"/>
      <c r="U1067" s="189"/>
      <c r="V1067" s="100"/>
      <c r="W1067" s="129" t="s">
        <v>81</v>
      </c>
      <c r="X1067" s="100"/>
      <c r="Y1067" s="100"/>
      <c r="Z1067" s="100"/>
      <c r="AA1067" s="100"/>
      <c r="AB1067" s="105"/>
      <c r="AC1067" s="105"/>
      <c r="AD1067" s="105"/>
      <c r="JB1067" s="29"/>
      <c r="JC1067" s="29"/>
      <c r="JD1067" s="29"/>
      <c r="JE1067" s="29"/>
      <c r="JF1067" s="29"/>
      <c r="JG1067" s="29"/>
      <c r="JH1067" s="29"/>
      <c r="JI1067" s="29"/>
      <c r="JJ1067" s="29"/>
      <c r="JK1067" s="29"/>
      <c r="JL1067" s="29"/>
    </row>
    <row r="1068" spans="1:272" ht="38.25" customHeight="1">
      <c r="A1068" s="100" t="s">
        <v>115</v>
      </c>
      <c r="B1068" s="30" t="s">
        <v>116</v>
      </c>
      <c r="C1068" s="99" t="s">
        <v>2212</v>
      </c>
      <c r="D1068" s="100" t="s">
        <v>3301</v>
      </c>
      <c r="E1068" s="100" t="s">
        <v>30</v>
      </c>
      <c r="F1068" s="99" t="s">
        <v>289</v>
      </c>
      <c r="G1068" s="99" t="s">
        <v>111</v>
      </c>
      <c r="H1068" s="143">
        <v>541613</v>
      </c>
      <c r="I1068" s="100" t="s">
        <v>45</v>
      </c>
      <c r="J1068" s="100" t="s">
        <v>129</v>
      </c>
      <c r="K1068" s="100" t="s">
        <v>61</v>
      </c>
      <c r="L1068" s="100" t="s">
        <v>3302</v>
      </c>
      <c r="M1068" s="114">
        <v>300000</v>
      </c>
      <c r="N1068" s="114">
        <v>300000</v>
      </c>
      <c r="O1068" s="100" t="s">
        <v>590</v>
      </c>
      <c r="P1068" s="100" t="s">
        <v>3303</v>
      </c>
      <c r="Q1068" s="100" t="s">
        <v>294</v>
      </c>
      <c r="R1068" s="155" t="s">
        <v>80</v>
      </c>
      <c r="S1068" s="41">
        <v>2014</v>
      </c>
      <c r="T1068" s="143" t="s">
        <v>3304</v>
      </c>
      <c r="U1068" s="143" t="s">
        <v>3305</v>
      </c>
      <c r="V1068" s="100" t="s">
        <v>3306</v>
      </c>
      <c r="W1068" s="129" t="s">
        <v>81</v>
      </c>
      <c r="X1068" s="100" t="s">
        <v>298</v>
      </c>
      <c r="Y1068" s="100" t="s">
        <v>534</v>
      </c>
      <c r="Z1068" s="100"/>
      <c r="AA1068" s="100" t="s">
        <v>3307</v>
      </c>
      <c r="AB1068" s="105"/>
      <c r="AC1068" s="105"/>
      <c r="AD1068" s="105"/>
      <c r="JB1068" s="29"/>
      <c r="JC1068" s="29"/>
      <c r="JD1068" s="29"/>
      <c r="JE1068" s="29"/>
      <c r="JF1068" s="29"/>
      <c r="JG1068" s="29"/>
      <c r="JH1068" s="29"/>
      <c r="JI1068" s="29"/>
      <c r="JJ1068" s="29"/>
      <c r="JK1068" s="29"/>
      <c r="JL1068" s="29"/>
    </row>
    <row r="1069" spans="1:272" ht="38.25" customHeight="1">
      <c r="A1069" s="100" t="s">
        <v>115</v>
      </c>
      <c r="B1069" s="30" t="s">
        <v>116</v>
      </c>
      <c r="C1069" s="99" t="s">
        <v>2212</v>
      </c>
      <c r="D1069" s="100" t="s">
        <v>3308</v>
      </c>
      <c r="E1069" s="100" t="s">
        <v>135</v>
      </c>
      <c r="F1069" s="99" t="s">
        <v>289</v>
      </c>
      <c r="G1069" s="99" t="s">
        <v>111</v>
      </c>
      <c r="H1069" s="143"/>
      <c r="I1069" s="100" t="s">
        <v>45</v>
      </c>
      <c r="J1069" s="100"/>
      <c r="K1069" s="100"/>
      <c r="L1069" s="100"/>
      <c r="M1069" s="114"/>
      <c r="N1069" s="114"/>
      <c r="O1069" s="100"/>
      <c r="P1069" s="100"/>
      <c r="Q1069" s="100"/>
      <c r="R1069" s="100"/>
      <c r="S1069" s="115"/>
      <c r="T1069" s="143" t="s">
        <v>3309</v>
      </c>
      <c r="U1069" s="180" t="s">
        <v>3444</v>
      </c>
      <c r="V1069" s="100" t="s">
        <v>3310</v>
      </c>
      <c r="W1069" s="129" t="s">
        <v>81</v>
      </c>
      <c r="X1069" s="100"/>
      <c r="Y1069" s="100"/>
      <c r="Z1069" s="100"/>
      <c r="AA1069" s="100"/>
      <c r="AB1069" s="105"/>
      <c r="AC1069" s="105"/>
      <c r="AD1069" s="105"/>
      <c r="JB1069" s="29"/>
      <c r="JC1069" s="29"/>
      <c r="JD1069" s="29"/>
      <c r="JE1069" s="29"/>
      <c r="JF1069" s="29"/>
      <c r="JG1069" s="29"/>
      <c r="JH1069" s="29"/>
      <c r="JI1069" s="29"/>
      <c r="JJ1069" s="29"/>
      <c r="JK1069" s="29"/>
      <c r="JL1069" s="29"/>
    </row>
    <row r="1070" spans="1:272" ht="38.25" customHeight="1">
      <c r="A1070" s="100" t="s">
        <v>115</v>
      </c>
      <c r="B1070" s="30" t="s">
        <v>116</v>
      </c>
      <c r="C1070" s="99" t="s">
        <v>2212</v>
      </c>
      <c r="D1070" s="100" t="s">
        <v>3311</v>
      </c>
      <c r="E1070" s="100" t="s">
        <v>135</v>
      </c>
      <c r="F1070" s="99" t="s">
        <v>289</v>
      </c>
      <c r="G1070" s="99" t="s">
        <v>111</v>
      </c>
      <c r="H1070" s="143"/>
      <c r="I1070" s="100" t="s">
        <v>45</v>
      </c>
      <c r="J1070" s="100"/>
      <c r="K1070" s="100"/>
      <c r="L1070" s="100"/>
      <c r="M1070" s="114"/>
      <c r="N1070" s="114"/>
      <c r="O1070" s="100"/>
      <c r="P1070" s="100"/>
      <c r="Q1070" s="100"/>
      <c r="R1070" s="100"/>
      <c r="S1070" s="115"/>
      <c r="T1070" s="143" t="s">
        <v>3309</v>
      </c>
      <c r="U1070" s="180" t="s">
        <v>3444</v>
      </c>
      <c r="V1070" s="100" t="s">
        <v>3310</v>
      </c>
      <c r="W1070" s="129" t="s">
        <v>81</v>
      </c>
      <c r="X1070" s="100"/>
      <c r="Y1070" s="100"/>
      <c r="Z1070" s="100"/>
      <c r="AA1070" s="100"/>
      <c r="AB1070" s="105"/>
      <c r="AC1070" s="105"/>
      <c r="AD1070" s="105"/>
      <c r="JB1070" s="29"/>
      <c r="JC1070" s="29"/>
      <c r="JD1070" s="29"/>
      <c r="JE1070" s="29"/>
      <c r="JF1070" s="29"/>
      <c r="JG1070" s="29"/>
      <c r="JH1070" s="29"/>
      <c r="JI1070" s="29"/>
      <c r="JJ1070" s="29"/>
      <c r="JK1070" s="29"/>
      <c r="JL1070" s="29"/>
    </row>
    <row r="1071" spans="1:272" ht="38.25" customHeight="1">
      <c r="A1071" s="100" t="s">
        <v>115</v>
      </c>
      <c r="B1071" s="30" t="s">
        <v>116</v>
      </c>
      <c r="C1071" s="99" t="s">
        <v>2212</v>
      </c>
      <c r="D1071" s="100" t="s">
        <v>3312</v>
      </c>
      <c r="E1071" s="100" t="s">
        <v>3313</v>
      </c>
      <c r="F1071" s="99" t="s">
        <v>289</v>
      </c>
      <c r="G1071" s="99" t="s">
        <v>111</v>
      </c>
      <c r="H1071" s="143">
        <v>541511</v>
      </c>
      <c r="I1071" s="129" t="s">
        <v>59</v>
      </c>
      <c r="J1071" s="100" t="s">
        <v>129</v>
      </c>
      <c r="K1071" s="100" t="s">
        <v>61</v>
      </c>
      <c r="L1071" s="100"/>
      <c r="M1071" s="114">
        <v>44000000</v>
      </c>
      <c r="N1071" s="114">
        <v>49500000</v>
      </c>
      <c r="O1071" s="100"/>
      <c r="P1071" s="100" t="s">
        <v>3314</v>
      </c>
      <c r="Q1071" s="100"/>
      <c r="R1071" s="100"/>
      <c r="S1071" s="115"/>
      <c r="T1071" s="143" t="s">
        <v>3268</v>
      </c>
      <c r="U1071" s="143" t="s">
        <v>3315</v>
      </c>
      <c r="V1071" s="100" t="s">
        <v>3316</v>
      </c>
      <c r="W1071" s="129" t="s">
        <v>81</v>
      </c>
      <c r="X1071" s="116">
        <v>41969</v>
      </c>
      <c r="Y1071" s="116">
        <v>41698</v>
      </c>
      <c r="Z1071" s="116">
        <v>43524</v>
      </c>
      <c r="AA1071" s="100"/>
      <c r="AB1071" s="105"/>
      <c r="AC1071" s="105"/>
      <c r="AD1071" s="105"/>
      <c r="JB1071" s="29"/>
      <c r="JC1071" s="29"/>
      <c r="JD1071" s="29"/>
      <c r="JE1071" s="29"/>
      <c r="JF1071" s="29"/>
      <c r="JG1071" s="29"/>
      <c r="JH1071" s="29"/>
      <c r="JI1071" s="29"/>
      <c r="JJ1071" s="29"/>
      <c r="JK1071" s="29"/>
      <c r="JL1071" s="29"/>
    </row>
    <row r="1072" spans="1:272" ht="38.25" customHeight="1">
      <c r="A1072" s="100" t="s">
        <v>115</v>
      </c>
      <c r="B1072" s="30" t="s">
        <v>116</v>
      </c>
      <c r="C1072" s="99" t="s">
        <v>2212</v>
      </c>
      <c r="D1072" s="100" t="s">
        <v>3317</v>
      </c>
      <c r="E1072" s="100" t="s">
        <v>30</v>
      </c>
      <c r="F1072" s="99" t="s">
        <v>289</v>
      </c>
      <c r="G1072" s="99" t="s">
        <v>111</v>
      </c>
      <c r="H1072" s="143">
        <v>541519</v>
      </c>
      <c r="I1072" s="100" t="s">
        <v>98</v>
      </c>
      <c r="J1072" s="100" t="s">
        <v>129</v>
      </c>
      <c r="K1072" s="100" t="s">
        <v>61</v>
      </c>
      <c r="L1072" s="100" t="s">
        <v>2603</v>
      </c>
      <c r="M1072" s="114">
        <v>135000</v>
      </c>
      <c r="N1072" s="114">
        <v>140000</v>
      </c>
      <c r="O1072" s="100" t="s">
        <v>590</v>
      </c>
      <c r="P1072" s="100" t="s">
        <v>3318</v>
      </c>
      <c r="Q1072" s="100" t="s">
        <v>3319</v>
      </c>
      <c r="R1072" s="156" t="s">
        <v>345</v>
      </c>
      <c r="S1072" s="41">
        <v>2014</v>
      </c>
      <c r="T1072" s="143" t="s">
        <v>3304</v>
      </c>
      <c r="U1072" s="143" t="s">
        <v>3305</v>
      </c>
      <c r="V1072" s="100" t="s">
        <v>3306</v>
      </c>
      <c r="W1072" s="129" t="s">
        <v>81</v>
      </c>
      <c r="X1072" s="156" t="s">
        <v>302</v>
      </c>
      <c r="Y1072" s="116">
        <v>41905</v>
      </c>
      <c r="Z1072" s="116">
        <v>43001</v>
      </c>
      <c r="AA1072" s="100"/>
      <c r="AB1072" s="105"/>
      <c r="AC1072" s="105"/>
      <c r="AD1072" s="105"/>
    </row>
    <row r="1073" spans="1:272" s="59" customFormat="1" ht="38.25" customHeight="1">
      <c r="A1073" s="52" t="s">
        <v>93</v>
      </c>
      <c r="B1073" s="117" t="s">
        <v>116</v>
      </c>
      <c r="C1073" s="117" t="s">
        <v>2212</v>
      </c>
      <c r="D1073" s="52" t="s">
        <v>3320</v>
      </c>
      <c r="E1073" s="52" t="s">
        <v>135</v>
      </c>
      <c r="F1073" s="117" t="s">
        <v>289</v>
      </c>
      <c r="G1073" s="117" t="s">
        <v>111</v>
      </c>
      <c r="H1073" s="54">
        <v>541690</v>
      </c>
      <c r="I1073" s="52" t="s">
        <v>67</v>
      </c>
      <c r="J1073" s="52" t="s">
        <v>169</v>
      </c>
      <c r="K1073" s="52" t="s">
        <v>3321</v>
      </c>
      <c r="L1073" s="52" t="s">
        <v>3322</v>
      </c>
      <c r="M1073" s="119">
        <v>150000</v>
      </c>
      <c r="N1073" s="119">
        <v>3000000</v>
      </c>
      <c r="O1073" s="120" t="s">
        <v>79</v>
      </c>
      <c r="P1073" s="52"/>
      <c r="Q1073" s="117" t="s">
        <v>294</v>
      </c>
      <c r="R1073" s="117" t="s">
        <v>100</v>
      </c>
      <c r="S1073" s="121"/>
      <c r="T1073" s="54" t="s">
        <v>3323</v>
      </c>
      <c r="U1073" s="54" t="s">
        <v>3324</v>
      </c>
      <c r="V1073" s="57" t="s">
        <v>3325</v>
      </c>
      <c r="W1073" s="129" t="s">
        <v>81</v>
      </c>
      <c r="X1073" s="52"/>
      <c r="Y1073" s="52"/>
      <c r="Z1073" s="117"/>
      <c r="AA1073" s="52" t="s">
        <v>3326</v>
      </c>
    </row>
    <row r="1074" spans="1:272" s="59" customFormat="1" ht="38.25" customHeight="1">
      <c r="A1074" s="52" t="s">
        <v>93</v>
      </c>
      <c r="B1074" s="117" t="s">
        <v>116</v>
      </c>
      <c r="C1074" s="117" t="s">
        <v>2212</v>
      </c>
      <c r="D1074" s="52" t="s">
        <v>3327</v>
      </c>
      <c r="E1074" s="52" t="s">
        <v>135</v>
      </c>
      <c r="F1074" s="117" t="s">
        <v>289</v>
      </c>
      <c r="G1074" s="117" t="s">
        <v>111</v>
      </c>
      <c r="H1074" s="54">
        <v>611430</v>
      </c>
      <c r="I1074" s="52" t="s">
        <v>67</v>
      </c>
      <c r="J1074" s="52" t="s">
        <v>129</v>
      </c>
      <c r="K1074" s="117" t="s">
        <v>113</v>
      </c>
      <c r="L1074" s="52" t="s">
        <v>3322</v>
      </c>
      <c r="M1074" s="119">
        <v>1000</v>
      </c>
      <c r="N1074" s="119">
        <v>3000000</v>
      </c>
      <c r="O1074" s="120" t="s">
        <v>79</v>
      </c>
      <c r="P1074" s="52"/>
      <c r="Q1074" s="117" t="s">
        <v>294</v>
      </c>
      <c r="R1074" s="155" t="s">
        <v>80</v>
      </c>
      <c r="S1074" s="121">
        <v>2014</v>
      </c>
      <c r="T1074" s="54" t="s">
        <v>3323</v>
      </c>
      <c r="U1074" s="54" t="s">
        <v>3324</v>
      </c>
      <c r="V1074" s="57" t="s">
        <v>3325</v>
      </c>
      <c r="W1074" s="129" t="s">
        <v>81</v>
      </c>
      <c r="X1074" s="52"/>
      <c r="Y1074" s="58">
        <v>41636</v>
      </c>
      <c r="Z1074" s="122">
        <v>43462</v>
      </c>
      <c r="AA1074" s="52" t="s">
        <v>3328</v>
      </c>
    </row>
    <row r="1075" spans="1:272" s="59" customFormat="1" ht="38.25" customHeight="1">
      <c r="A1075" s="52" t="s">
        <v>93</v>
      </c>
      <c r="B1075" s="117" t="s">
        <v>116</v>
      </c>
      <c r="C1075" s="117" t="s">
        <v>2212</v>
      </c>
      <c r="D1075" s="52" t="s">
        <v>3329</v>
      </c>
      <c r="E1075" s="52" t="s">
        <v>135</v>
      </c>
      <c r="F1075" s="117" t="s">
        <v>289</v>
      </c>
      <c r="G1075" s="117" t="s">
        <v>111</v>
      </c>
      <c r="H1075" s="154">
        <v>541611</v>
      </c>
      <c r="I1075" s="52" t="s">
        <v>67</v>
      </c>
      <c r="J1075" s="52" t="s">
        <v>129</v>
      </c>
      <c r="K1075" s="52" t="s">
        <v>3330</v>
      </c>
      <c r="L1075" s="52" t="s">
        <v>3331</v>
      </c>
      <c r="M1075" s="119">
        <v>2300000</v>
      </c>
      <c r="N1075" s="119">
        <v>10000000</v>
      </c>
      <c r="O1075" s="120" t="s">
        <v>79</v>
      </c>
      <c r="P1075" s="52"/>
      <c r="Q1075" s="117" t="s">
        <v>3332</v>
      </c>
      <c r="R1075" s="117" t="s">
        <v>100</v>
      </c>
      <c r="S1075" s="121"/>
      <c r="T1075" s="54" t="s">
        <v>3323</v>
      </c>
      <c r="U1075" s="54" t="s">
        <v>3324</v>
      </c>
      <c r="V1075" s="57" t="s">
        <v>3325</v>
      </c>
      <c r="W1075" s="129" t="s">
        <v>81</v>
      </c>
      <c r="X1075" s="52"/>
      <c r="Y1075" s="118" t="s">
        <v>429</v>
      </c>
      <c r="Z1075" s="117"/>
      <c r="AA1075" s="117"/>
    </row>
    <row r="1076" spans="1:272" s="59" customFormat="1" ht="38.25" customHeight="1">
      <c r="A1076" s="52" t="s">
        <v>93</v>
      </c>
      <c r="B1076" s="123" t="s">
        <v>116</v>
      </c>
      <c r="C1076" s="123" t="s">
        <v>2212</v>
      </c>
      <c r="D1076" s="52" t="s">
        <v>3333</v>
      </c>
      <c r="E1076" s="52" t="s">
        <v>3334</v>
      </c>
      <c r="F1076" s="117" t="s">
        <v>289</v>
      </c>
      <c r="G1076" s="117" t="s">
        <v>111</v>
      </c>
      <c r="H1076" s="154"/>
      <c r="I1076" s="52"/>
      <c r="J1076" s="52" t="s">
        <v>129</v>
      </c>
      <c r="K1076" s="123" t="s">
        <v>61</v>
      </c>
      <c r="L1076" s="52"/>
      <c r="M1076" s="124">
        <v>14000</v>
      </c>
      <c r="N1076" s="124">
        <v>500000</v>
      </c>
      <c r="O1076" s="120" t="s">
        <v>79</v>
      </c>
      <c r="P1076" s="52" t="s">
        <v>3335</v>
      </c>
      <c r="Q1076" s="129" t="s">
        <v>867</v>
      </c>
      <c r="R1076" s="123" t="s">
        <v>100</v>
      </c>
      <c r="S1076" s="121"/>
      <c r="T1076" s="54" t="s">
        <v>3323</v>
      </c>
      <c r="U1076" s="54" t="s">
        <v>3336</v>
      </c>
      <c r="V1076" s="57" t="s">
        <v>3325</v>
      </c>
      <c r="W1076" s="129" t="s">
        <v>81</v>
      </c>
      <c r="X1076" s="52"/>
      <c r="Y1076" s="52"/>
      <c r="Z1076" s="123"/>
      <c r="AA1076" s="123"/>
    </row>
    <row r="1077" spans="1:272" s="59" customFormat="1" ht="38.25" customHeight="1">
      <c r="A1077" s="52" t="s">
        <v>93</v>
      </c>
      <c r="B1077" s="123" t="s">
        <v>116</v>
      </c>
      <c r="C1077" s="123" t="s">
        <v>2212</v>
      </c>
      <c r="D1077" s="52" t="s">
        <v>3337</v>
      </c>
      <c r="E1077" s="52" t="s">
        <v>3334</v>
      </c>
      <c r="F1077" s="117" t="s">
        <v>289</v>
      </c>
      <c r="G1077" s="117" t="s">
        <v>111</v>
      </c>
      <c r="H1077" s="154"/>
      <c r="I1077" s="52"/>
      <c r="J1077" s="52" t="s">
        <v>129</v>
      </c>
      <c r="K1077" s="123" t="s">
        <v>61</v>
      </c>
      <c r="L1077" s="52"/>
      <c r="M1077" s="124">
        <v>100000</v>
      </c>
      <c r="N1077" s="124">
        <v>500000</v>
      </c>
      <c r="O1077" s="120" t="s">
        <v>79</v>
      </c>
      <c r="P1077" s="52" t="s">
        <v>3338</v>
      </c>
      <c r="Q1077" s="129" t="s">
        <v>867</v>
      </c>
      <c r="R1077" s="187" t="s">
        <v>100</v>
      </c>
      <c r="S1077" s="121"/>
      <c r="T1077" s="54"/>
      <c r="U1077" s="190"/>
      <c r="V1077" s="57"/>
      <c r="W1077" s="129" t="s">
        <v>81</v>
      </c>
      <c r="X1077" s="52"/>
      <c r="Y1077" s="52"/>
      <c r="Z1077" s="123"/>
      <c r="AA1077" s="123"/>
    </row>
    <row r="1078" spans="1:272" s="59" customFormat="1" ht="38.25" customHeight="1">
      <c r="A1078" s="129" t="s">
        <v>138</v>
      </c>
      <c r="B1078" s="129" t="s">
        <v>116</v>
      </c>
      <c r="C1078" s="129" t="s">
        <v>39</v>
      </c>
      <c r="D1078" s="132" t="s">
        <v>3360</v>
      </c>
      <c r="E1078" s="129" t="s">
        <v>30</v>
      </c>
      <c r="F1078" s="130" t="s">
        <v>289</v>
      </c>
      <c r="G1078" s="133" t="s">
        <v>111</v>
      </c>
      <c r="H1078" s="155">
        <v>541611</v>
      </c>
      <c r="I1078" s="131" t="s">
        <v>98</v>
      </c>
      <c r="J1078" s="131" t="s">
        <v>61</v>
      </c>
      <c r="K1078" s="131" t="s">
        <v>148</v>
      </c>
      <c r="L1078" s="52"/>
      <c r="M1078" s="124">
        <v>25000</v>
      </c>
      <c r="N1078" s="124">
        <v>25000</v>
      </c>
      <c r="O1078" s="134" t="s">
        <v>149</v>
      </c>
      <c r="P1078" s="52"/>
      <c r="Q1078" s="136" t="s">
        <v>294</v>
      </c>
      <c r="R1078" s="155" t="s">
        <v>80</v>
      </c>
      <c r="S1078" s="135">
        <v>2014</v>
      </c>
      <c r="T1078" s="54"/>
      <c r="U1078" s="54"/>
      <c r="V1078" s="57"/>
      <c r="W1078" s="129" t="s">
        <v>81</v>
      </c>
      <c r="X1078" s="132" t="s">
        <v>345</v>
      </c>
      <c r="Y1078" s="132" t="s">
        <v>345</v>
      </c>
      <c r="Z1078" s="223" t="s">
        <v>345</v>
      </c>
      <c r="AA1078" s="123"/>
    </row>
    <row r="1079" spans="1:272" ht="38.25" customHeight="1">
      <c r="A1079" s="30" t="s">
        <v>63</v>
      </c>
      <c r="B1079" s="30" t="s">
        <v>116</v>
      </c>
      <c r="C1079" s="30" t="s">
        <v>286</v>
      </c>
      <c r="D1079" s="30" t="s">
        <v>287</v>
      </c>
      <c r="E1079" s="30" t="s">
        <v>288</v>
      </c>
      <c r="F1079" s="30" t="s">
        <v>289</v>
      </c>
      <c r="G1079" s="30" t="s">
        <v>111</v>
      </c>
      <c r="H1079" s="31"/>
      <c r="I1079" s="129" t="s">
        <v>546</v>
      </c>
      <c r="J1079" s="30" t="s">
        <v>291</v>
      </c>
      <c r="K1079" s="30" t="s">
        <v>292</v>
      </c>
      <c r="L1079" s="139" t="s">
        <v>290</v>
      </c>
      <c r="M1079" s="39">
        <v>2800000</v>
      </c>
      <c r="N1079" s="39">
        <v>4200000</v>
      </c>
      <c r="O1079" s="30" t="s">
        <v>79</v>
      </c>
      <c r="P1079" s="30" t="s">
        <v>293</v>
      </c>
      <c r="Q1079" s="30" t="s">
        <v>294</v>
      </c>
      <c r="R1079" s="155" t="s">
        <v>80</v>
      </c>
      <c r="S1079" s="41">
        <v>2014</v>
      </c>
      <c r="T1079" s="31" t="s">
        <v>296</v>
      </c>
      <c r="U1079" s="31" t="s">
        <v>3357</v>
      </c>
      <c r="V1079" s="30" t="s">
        <v>297</v>
      </c>
      <c r="W1079" s="129" t="s">
        <v>107</v>
      </c>
      <c r="X1079" s="30" t="s">
        <v>298</v>
      </c>
      <c r="Y1079" s="40">
        <v>41671</v>
      </c>
      <c r="Z1079" s="40">
        <v>42035</v>
      </c>
      <c r="AA1079" s="30" t="s">
        <v>299</v>
      </c>
      <c r="AE1079" s="29"/>
      <c r="AF1079" s="29"/>
      <c r="AG1079" s="29"/>
      <c r="AH1079" s="29"/>
      <c r="AI1079" s="29"/>
      <c r="AJ1079" s="29"/>
      <c r="AK1079" s="29"/>
      <c r="AL1079" s="29"/>
      <c r="AM1079" s="29"/>
      <c r="AN1079" s="29"/>
      <c r="AO1079" s="29"/>
      <c r="AP1079" s="29"/>
      <c r="AQ1079" s="29"/>
      <c r="AR1079" s="29"/>
      <c r="AS1079" s="29"/>
      <c r="AT1079" s="29"/>
      <c r="AU1079" s="29"/>
      <c r="AV1079" s="29"/>
      <c r="AW1079" s="29"/>
      <c r="AX1079" s="29"/>
      <c r="AY1079" s="29"/>
      <c r="AZ1079" s="29"/>
      <c r="BA1079" s="29"/>
      <c r="BB1079" s="29"/>
      <c r="BC1079" s="29"/>
      <c r="BD1079" s="29"/>
      <c r="BE1079" s="29"/>
      <c r="BF1079" s="29"/>
      <c r="BG1079" s="29"/>
      <c r="BH1079" s="29"/>
      <c r="BI1079" s="29"/>
      <c r="BJ1079" s="29"/>
      <c r="BK1079" s="29"/>
      <c r="BL1079" s="29"/>
      <c r="BM1079" s="29"/>
      <c r="BN1079" s="29"/>
      <c r="BO1079" s="29"/>
      <c r="BP1079" s="29"/>
      <c r="BQ1079" s="29"/>
      <c r="BR1079" s="29"/>
      <c r="BS1079" s="29"/>
      <c r="BT1079" s="29"/>
      <c r="BU1079" s="29"/>
      <c r="BV1079" s="29"/>
      <c r="BW1079" s="29"/>
      <c r="BX1079" s="29"/>
      <c r="BY1079" s="29"/>
      <c r="BZ1079" s="29"/>
      <c r="CA1079" s="29"/>
      <c r="CB1079" s="29"/>
      <c r="CC1079" s="29"/>
      <c r="CD1079" s="29"/>
      <c r="CE1079" s="29"/>
      <c r="CF1079" s="29"/>
      <c r="CG1079" s="29"/>
      <c r="CH1079" s="29"/>
      <c r="CI1079" s="29"/>
      <c r="CJ1079" s="29"/>
      <c r="CK1079" s="29"/>
      <c r="CL1079" s="29"/>
      <c r="CM1079" s="29"/>
      <c r="CN1079" s="29"/>
      <c r="CO1079" s="29"/>
      <c r="CP1079" s="29"/>
      <c r="CQ1079" s="29"/>
      <c r="CR1079" s="29"/>
      <c r="CS1079" s="29"/>
      <c r="CT1079" s="29"/>
      <c r="CU1079" s="29"/>
      <c r="CV1079" s="29"/>
      <c r="CW1079" s="29"/>
      <c r="CX1079" s="29"/>
      <c r="CY1079" s="29"/>
      <c r="CZ1079" s="29"/>
      <c r="DA1079" s="29"/>
      <c r="DB1079" s="29"/>
      <c r="DC1079" s="29"/>
      <c r="DD1079" s="29"/>
      <c r="DE1079" s="29"/>
      <c r="DF1079" s="29"/>
      <c r="DG1079" s="29"/>
      <c r="DH1079" s="29"/>
      <c r="DI1079" s="29"/>
      <c r="DJ1079" s="29"/>
      <c r="DK1079" s="29"/>
      <c r="DL1079" s="29"/>
      <c r="DM1079" s="29"/>
      <c r="DN1079" s="29"/>
      <c r="DO1079" s="29"/>
      <c r="DP1079" s="29"/>
      <c r="DQ1079" s="29"/>
      <c r="DR1079" s="29"/>
      <c r="DS1079" s="29"/>
      <c r="DT1079" s="29"/>
      <c r="DU1079" s="29"/>
      <c r="DV1079" s="29"/>
      <c r="DW1079" s="29"/>
      <c r="DX1079" s="29"/>
      <c r="DY1079" s="29"/>
      <c r="DZ1079" s="29"/>
      <c r="EA1079" s="29"/>
      <c r="EB1079" s="29"/>
      <c r="EC1079" s="29"/>
      <c r="ED1079" s="29"/>
      <c r="EE1079" s="29"/>
      <c r="EF1079" s="29"/>
      <c r="EG1079" s="29"/>
      <c r="EH1079" s="29"/>
      <c r="EI1079" s="29"/>
      <c r="EJ1079" s="29"/>
      <c r="EK1079" s="29"/>
      <c r="EL1079" s="29"/>
      <c r="EM1079" s="29"/>
      <c r="EN1079" s="29"/>
      <c r="EO1079" s="29"/>
      <c r="EP1079" s="29"/>
      <c r="EQ1079" s="29"/>
      <c r="ER1079" s="29"/>
      <c r="ES1079" s="29"/>
      <c r="ET1079" s="29"/>
      <c r="EU1079" s="29"/>
      <c r="EV1079" s="29"/>
      <c r="EW1079" s="29"/>
      <c r="EX1079" s="29"/>
      <c r="EY1079" s="29"/>
      <c r="EZ1079" s="29"/>
      <c r="FA1079" s="29"/>
      <c r="FB1079" s="29"/>
      <c r="FC1079" s="29"/>
      <c r="FD1079" s="29"/>
      <c r="FE1079" s="29"/>
      <c r="FF1079" s="29"/>
      <c r="FG1079" s="29"/>
      <c r="FH1079" s="29"/>
      <c r="FI1079" s="29"/>
      <c r="FJ1079" s="29"/>
      <c r="FK1079" s="29"/>
      <c r="FL1079" s="29"/>
      <c r="FM1079" s="29"/>
      <c r="FN1079" s="29"/>
      <c r="FO1079" s="29"/>
      <c r="FP1079" s="29"/>
      <c r="FQ1079" s="29"/>
      <c r="FR1079" s="29"/>
      <c r="FS1079" s="29"/>
      <c r="FT1079" s="29"/>
      <c r="FU1079" s="29"/>
      <c r="FV1079" s="29"/>
      <c r="FW1079" s="29"/>
      <c r="FX1079" s="29"/>
      <c r="FY1079" s="29"/>
      <c r="FZ1079" s="29"/>
      <c r="GA1079" s="29"/>
      <c r="GB1079" s="29"/>
      <c r="GC1079" s="29"/>
      <c r="GD1079" s="29"/>
      <c r="GE1079" s="29"/>
      <c r="GF1079" s="29"/>
      <c r="GG1079" s="29"/>
      <c r="GH1079" s="29"/>
      <c r="GI1079" s="29"/>
      <c r="GJ1079" s="29"/>
      <c r="GK1079" s="29"/>
      <c r="GL1079" s="29"/>
      <c r="GM1079" s="29"/>
      <c r="GN1079" s="29"/>
      <c r="GO1079" s="29"/>
      <c r="GP1079" s="29"/>
      <c r="GQ1079" s="29"/>
      <c r="GR1079" s="29"/>
      <c r="GS1079" s="29"/>
      <c r="GT1079" s="29"/>
      <c r="GU1079" s="29"/>
      <c r="GV1079" s="29"/>
      <c r="GW1079" s="29"/>
      <c r="GX1079" s="29"/>
      <c r="GY1079" s="29"/>
      <c r="GZ1079" s="29"/>
      <c r="HA1079" s="29"/>
      <c r="HB1079" s="29"/>
      <c r="HC1079" s="29"/>
      <c r="HD1079" s="29"/>
      <c r="HE1079" s="29"/>
      <c r="HF1079" s="29"/>
      <c r="HG1079" s="29"/>
      <c r="HH1079" s="29"/>
      <c r="HI1079" s="29"/>
      <c r="HJ1079" s="29"/>
      <c r="HK1079" s="29"/>
      <c r="HL1079" s="29"/>
      <c r="HM1079" s="29"/>
      <c r="HN1079" s="29"/>
      <c r="HO1079" s="29"/>
      <c r="HP1079" s="29"/>
      <c r="HQ1079" s="29"/>
      <c r="HR1079" s="29"/>
      <c r="HS1079" s="29"/>
      <c r="HT1079" s="29"/>
      <c r="HU1079" s="29"/>
      <c r="HV1079" s="29"/>
      <c r="HW1079" s="29"/>
      <c r="HX1079" s="29"/>
      <c r="HY1079" s="29"/>
      <c r="HZ1079" s="29"/>
      <c r="IA1079" s="29"/>
      <c r="IB1079" s="29"/>
      <c r="IC1079" s="29"/>
      <c r="ID1079" s="29"/>
      <c r="IE1079" s="29"/>
      <c r="IF1079" s="29"/>
      <c r="IG1079" s="29"/>
      <c r="IH1079" s="29"/>
      <c r="II1079" s="29"/>
      <c r="IJ1079" s="29"/>
      <c r="IK1079" s="29"/>
      <c r="IL1079" s="29"/>
      <c r="IM1079" s="29"/>
      <c r="IN1079" s="29"/>
      <c r="IO1079" s="29"/>
      <c r="IP1079" s="29"/>
      <c r="IQ1079" s="29"/>
      <c r="IR1079" s="29"/>
      <c r="IS1079" s="29"/>
      <c r="IT1079" s="29"/>
      <c r="IU1079" s="29"/>
      <c r="IV1079" s="29"/>
      <c r="IW1079" s="29"/>
      <c r="IX1079" s="29"/>
      <c r="IY1079" s="29"/>
      <c r="IZ1079" s="29"/>
      <c r="JA1079" s="29"/>
      <c r="JB1079" s="29"/>
      <c r="JC1079" s="29"/>
      <c r="JD1079" s="29"/>
      <c r="JE1079" s="29"/>
      <c r="JF1079" s="29"/>
      <c r="JG1079" s="29"/>
      <c r="JH1079" s="29"/>
      <c r="JI1079" s="29"/>
      <c r="JJ1079" s="29"/>
      <c r="JK1079" s="29"/>
      <c r="JL1079" s="29"/>
    </row>
    <row r="1080" spans="1:272" ht="38.25" customHeight="1">
      <c r="A1080" s="30" t="s">
        <v>55</v>
      </c>
      <c r="B1080" s="30" t="s">
        <v>116</v>
      </c>
      <c r="C1080" s="30" t="s">
        <v>286</v>
      </c>
      <c r="D1080" s="30" t="s">
        <v>316</v>
      </c>
      <c r="E1080" s="30" t="s">
        <v>317</v>
      </c>
      <c r="F1080" s="30" t="s">
        <v>289</v>
      </c>
      <c r="G1080" s="30" t="s">
        <v>111</v>
      </c>
      <c r="H1080" s="31">
        <v>334210</v>
      </c>
      <c r="I1080" s="129" t="s">
        <v>546</v>
      </c>
      <c r="J1080" s="30" t="s">
        <v>61</v>
      </c>
      <c r="K1080" s="30" t="s">
        <v>61</v>
      </c>
      <c r="L1080" s="139" t="s">
        <v>290</v>
      </c>
      <c r="M1080" s="39">
        <v>9000</v>
      </c>
      <c r="N1080" s="39">
        <v>9000</v>
      </c>
      <c r="O1080" s="30" t="s">
        <v>149</v>
      </c>
      <c r="P1080" s="30" t="s">
        <v>318</v>
      </c>
      <c r="Q1080" s="30" t="s">
        <v>294</v>
      </c>
      <c r="R1080" s="30" t="s">
        <v>150</v>
      </c>
      <c r="S1080" s="41">
        <v>2014</v>
      </c>
      <c r="T1080" s="31" t="s">
        <v>319</v>
      </c>
      <c r="U1080" s="31" t="s">
        <v>320</v>
      </c>
      <c r="V1080" s="30" t="s">
        <v>321</v>
      </c>
      <c r="W1080" s="129" t="s">
        <v>81</v>
      </c>
      <c r="X1080" s="42">
        <v>41584</v>
      </c>
      <c r="Y1080" s="42">
        <v>41586</v>
      </c>
      <c r="Z1080" s="31"/>
      <c r="AA1080" s="30"/>
      <c r="JB1080" s="29"/>
      <c r="JC1080" s="29"/>
      <c r="JD1080" s="29"/>
      <c r="JE1080" s="29"/>
      <c r="JF1080" s="29"/>
      <c r="JG1080" s="29"/>
      <c r="JH1080" s="29"/>
      <c r="JI1080" s="29"/>
      <c r="JJ1080" s="29"/>
      <c r="JK1080" s="29"/>
      <c r="JL1080" s="29"/>
    </row>
    <row r="1081" spans="1:272" ht="38.25" customHeight="1">
      <c r="A1081" s="30" t="s">
        <v>55</v>
      </c>
      <c r="B1081" s="30" t="s">
        <v>116</v>
      </c>
      <c r="C1081" s="30" t="s">
        <v>322</v>
      </c>
      <c r="D1081" s="30" t="s">
        <v>323</v>
      </c>
      <c r="E1081" s="30" t="s">
        <v>317</v>
      </c>
      <c r="F1081" s="30" t="s">
        <v>289</v>
      </c>
      <c r="G1081" s="30" t="s">
        <v>111</v>
      </c>
      <c r="H1081" s="31"/>
      <c r="I1081" s="129" t="s">
        <v>546</v>
      </c>
      <c r="J1081" s="30" t="s">
        <v>324</v>
      </c>
      <c r="K1081" s="30" t="s">
        <v>325</v>
      </c>
      <c r="L1081" s="30"/>
      <c r="M1081" s="39">
        <v>44000</v>
      </c>
      <c r="N1081" s="39"/>
      <c r="O1081" s="30" t="s">
        <v>79</v>
      </c>
      <c r="P1081" s="30"/>
      <c r="Q1081" s="30"/>
      <c r="R1081" s="155" t="s">
        <v>80</v>
      </c>
      <c r="S1081" s="41">
        <v>2014</v>
      </c>
      <c r="T1081" s="31" t="s">
        <v>326</v>
      </c>
      <c r="U1081" s="186" t="s">
        <v>3345</v>
      </c>
      <c r="V1081" s="35" t="s">
        <v>3344</v>
      </c>
      <c r="W1081" s="129" t="s">
        <v>81</v>
      </c>
      <c r="X1081" s="31"/>
      <c r="Y1081" s="31"/>
      <c r="Z1081" s="31"/>
      <c r="AA1081" s="30"/>
      <c r="JB1081" s="29"/>
      <c r="JC1081" s="29"/>
      <c r="JD1081" s="29"/>
      <c r="JE1081" s="29"/>
      <c r="JF1081" s="29"/>
      <c r="JG1081" s="29"/>
      <c r="JH1081" s="29"/>
      <c r="JI1081" s="29"/>
      <c r="JJ1081" s="29"/>
      <c r="JK1081" s="29"/>
      <c r="JL1081" s="29"/>
    </row>
    <row r="1082" spans="1:272" ht="12.75" customHeight="1">
      <c r="A1082" s="129"/>
      <c r="B1082" s="7"/>
      <c r="C1082" s="7"/>
      <c r="D1082" s="7"/>
      <c r="E1082" s="52"/>
      <c r="F1082" s="7"/>
      <c r="G1082" s="7"/>
      <c r="M1082" s="37">
        <f>SUBTOTAL(9,M107:M1081)</f>
        <v>655363823.94999981</v>
      </c>
      <c r="N1082" s="37">
        <f>SUBTOTAL(9,N107:N1081)</f>
        <v>1826341765.0200005</v>
      </c>
    </row>
  </sheetData>
  <autoFilter ref="A105:AA1081">
    <filterColumn colId="16"/>
  </autoFilter>
  <dataValidations count="55">
    <dataValidation type="list" allowBlank="1" showErrorMessage="1" sqref="E1082 E1073:E1077 E106">
      <formula1>'[1]MV FY 2014 Forecast'!E2:E102</formula1>
    </dataValidation>
    <dataValidation type="list" allowBlank="1" showErrorMessage="1" sqref="A312 A109:A112 A106 A1078:A1082 A780 A939 A251:A254 A790:A807 A1030:A1038 A952:A968">
      <formula1>'[2]GSA Forecast'!A2:A19</formula1>
    </dataValidation>
    <dataValidation type="list" errorStyle="warning" allowBlank="1" showInputMessage="1" showErrorMessage="1" prompt="validationFailed" sqref="J1081:K1081 A136 E1081 C1081">
      <formula1>'GSA Forecast'!A3:A103</formula1>
    </dataValidation>
    <dataValidation type="list" errorStyle="warning" allowBlank="1" showErrorMessage="1" sqref="G1081 S1081 O1081">
      <formula1>'GSA Forecast'!G3:G103</formula1>
    </dataValidation>
    <dataValidation type="list" errorStyle="warning" allowBlank="1" showErrorMessage="1" sqref="S427:S429 S417:S419 S386:S388 S355:S372 R146:R148 R143:R144 S128:S135 S137:S154 R122:R123 R119:R120 S118:S126 I137:I142 J419 J386:K388 I118 J118:K126 I1000 I996:I998 I950 I723:I726 I167 I165 A108 A1039:A1058 A1017:A1029 A996:A1003 J164:K164 R163:R164 J163 C162:C164 A162:A164 R128:R134 O137:O161 R125:R126 K228:K250 J137:K162 G137:G151 E137:E164 A137:C161 K225 O128:O135 I128:K135 G128:G135 E128:E135 A128:C135 A118:C126 K222:K223 I152:I162 O118:O126 I1002 G118:G126 E118:E126 A276:C276 E276 G276 I276:K276 O276 R150:R161 W276 A315:C315 E315 G315 I315:K315 O315 R315:S315 W315 A351:C372 E351:E372 G351:G372 I351:K372 O351:O353 S276 R352 W352:W372 O355:O372 S351 R354:R357 A386:C388 E386:E388 G386:G388 I121:I126 O386:O388 R372 C427:C429 A427:A429 R424:S426 O424:O426 I424:K426 G424:G429 E424:E426 I386 K210 R386:R387 O417:O419 I417:K418 G417:G419 E417:E419 A417:C426 K216">
      <formula1>'GSA Forecast'!A3:A103</formula1>
    </dataValidation>
    <dataValidation type="list" allowBlank="1" showInputMessage="1" showErrorMessage="1" prompt="validationFailed" sqref="A535:A537 A127 A375:A378 A316:A350 A381 A384 A406:A411 A390:A403">
      <formula1>'GSA Forecast'!A2:A19</formula1>
    </dataValidation>
    <dataValidation type="list" allowBlank="1" showErrorMessage="1" sqref="B390:B411 B107 B127 B375:B384 B279:B291 B316:B350">
      <formula1>'GSA Forecast'!B2:B13</formula1>
    </dataValidation>
    <dataValidation type="list" allowBlank="1" showErrorMessage="1" sqref="C409:C411 C127 C375:C380 C279:C291 C316:C334 C336:C348 C350 C382:C383 C390:C407">
      <formula1>'GSA Forecast'!C2:C8</formula1>
    </dataValidation>
    <dataValidation type="list" allowBlank="1" showErrorMessage="1" sqref="E521:E537 E127 E375:E384 E279:E291 E316:E333 E335:E350 E511:E517 E508 E499:E501 E413:E414 E390:E411">
      <formula1>'GSA Forecast'!E2:E102</formula1>
    </dataValidation>
    <dataValidation type="list" allowBlank="1" showErrorMessage="1" sqref="G390:G411 G127 G375:G384 G316:G343 G345:G347 G349:G350">
      <formula1>'GSA Forecast'!G2:G62</formula1>
    </dataValidation>
    <dataValidation type="list" allowBlank="1" showInputMessage="1" showErrorMessage="1" prompt="validationFailed" sqref="I397:I398 I127 I383:I384 I280:I285 I287:I291 I316:I321 I324 I334:I338 I340:I342 I344:I350 I409:I410 I405:I406 I401:I402">
      <formula1>'GSA Forecast'!I2:I9</formula1>
    </dataValidation>
    <dataValidation type="list" allowBlank="1" showErrorMessage="1" sqref="J413 J127 J375:J384 J279:J291 J316:J340 J343:J350 J390:J411">
      <formula1>'GSA Forecast'!J2:J27</formula1>
    </dataValidation>
    <dataValidation type="list" allowBlank="1" showErrorMessage="1" sqref="K413 K127 K375:K380 K279:K291 K316:K321 K323:K324 K334:K350 K382:K384 K390:K410">
      <formula1>'GSA Forecast'!K2:K12</formula1>
    </dataValidation>
    <dataValidation type="list" allowBlank="1" showInputMessage="1" showErrorMessage="1" prompt="validationFailed" sqref="O390:O411 O350 O335:O348 O327:O333 O375:O384 O279:O291 O316:O325 O127">
      <formula1>'GSA Forecast'!O2:O4</formula1>
    </dataValidation>
    <dataValidation type="list" allowBlank="1" showErrorMessage="1" sqref="R404 R127 R381 R279:R280 R283 R287 R289:R291 R326 R402 R400 R395">
      <formula1>'GSA Forecast'!R2:R6</formula1>
    </dataValidation>
    <dataValidation type="list" errorStyle="warning" allowBlank="1" showInputMessage="1" showErrorMessage="1" prompt="validationFailed" sqref="R511:R520 R502 R438 J427:J441 K427:K429 R162 B162:B164 R792 AA475:AA534 E427:E429 AA427:AA456 AA459:AA473 R505 K163">
      <formula1>'GSA Forecast'!B3:B103</formula1>
    </dataValidation>
    <dataValidation type="list" errorStyle="warning" allowBlank="1" showInputMessage="1" showErrorMessage="1" prompt="validationFailed" sqref="L163">
      <formula1>'GSA Forecast'!K3:K103</formula1>
    </dataValidation>
    <dataValidation type="list" allowBlank="1" showErrorMessage="1" sqref="A430:A534 A279:A291">
      <formula1>'GSA Forecast'!A2:A19</formula1>
    </dataValidation>
    <dataValidation type="list" allowBlank="1" showErrorMessage="1" sqref="I411 I382 I326:I333 I279 I322 I378:I379 I391 I286">
      <formula1>'GSA Forecast'!I2:I9</formula1>
    </dataValidation>
    <dataValidation type="list" allowBlank="1" showInputMessage="1" showErrorMessage="1" prompt="validationFailed" sqref="S390:S411 S279:S291 S316:S350 S352:S354 S375:S384">
      <formula1>'GSA Forecast'!S2:S3</formula1>
    </dataValidation>
    <dataValidation type="list" allowBlank="1" showErrorMessage="1" sqref="W279:W291 W406:W408 W316:W351 W382 W375:W380">
      <formula1>'GSA Forecast'!W2:W14</formula1>
    </dataValidation>
    <dataValidation type="list" allowBlank="1" showInputMessage="1" showErrorMessage="1" prompt="validationFailed" sqref="R397:R399 R407:R409 R390:R391 R343 R334:R340 R327:R332 R321:R323 R316 R284:R286 R288 R281 R325 R378 R346:R347 R403 R401 R393:R394 R384">
      <formula1>'GSA Forecast'!R2:R6</formula1>
    </dataValidation>
    <dataValidation type="list" allowBlank="1" showInputMessage="1" showErrorMessage="1" prompt="validationFailed" sqref="L413 K381 K322 K325:K333 K411">
      <formula1>'GSA Forecast'!K2:K12</formula1>
    </dataValidation>
    <dataValidation type="list" allowBlank="1" showInputMessage="1" showErrorMessage="1" prompt="validationFailed" sqref="E430:E498 E334 E518:E520 E509:E510 E502:E507">
      <formula1>'GSA Forecast'!E2:E102</formula1>
    </dataValidation>
    <dataValidation type="list" allowBlank="1" showInputMessage="1" showErrorMessage="1" prompt="validationFailed" sqref="C408 C381 C335 C349 C384">
      <formula1>'GSA Forecast'!C2:C8</formula1>
    </dataValidation>
    <dataValidation type="list" allowBlank="1" showErrorMessage="1" sqref="I1065">
      <formula1>'[3]OCSIT Forecast'!I2:I9</formula1>
    </dataValidation>
    <dataValidation type="list" allowBlank="1" showErrorMessage="1" sqref="O1076:O1077">
      <formula1>'[1]MV FY 2014 Forecast'!O2:O4</formula1>
    </dataValidation>
    <dataValidation type="list" allowBlank="1" showInputMessage="1" showErrorMessage="1" prompt="validationFailed" sqref="O1073:O1075">
      <formula1>'[1]MV FY 2014 Forecast'!O2:O4</formula1>
    </dataValidation>
    <dataValidation type="list" allowBlank="1" showErrorMessage="1" sqref="K1073:K1077">
      <formula1>'[1]MV FY 2014 Forecast'!K2:K11</formula1>
    </dataValidation>
    <dataValidation type="list" allowBlank="1" showErrorMessage="1" sqref="J1073:J1077">
      <formula1>'[1]MV FY 2014 Forecast'!J2:J27</formula1>
    </dataValidation>
    <dataValidation type="list" allowBlank="1" showErrorMessage="1" sqref="I1073:I1077 I1035 I1045:I1046 I1048:I1051 I1053">
      <formula1>'[1]MV FY 2014 Forecast'!I2:I9</formula1>
    </dataValidation>
    <dataValidation type="list" allowBlank="1" showErrorMessage="1" sqref="G1073:G1077">
      <formula1>'[1]MV FY 2014 Forecast'!G2:G62</formula1>
    </dataValidation>
    <dataValidation type="list" allowBlank="1" showErrorMessage="1" sqref="C1073:C1077 R1075:R1077 R1073">
      <formula1>'[1]MV FY 2014 Forecast'!C2:C6</formula1>
    </dataValidation>
    <dataValidation type="list" allowBlank="1" showErrorMessage="1" sqref="B1073:B1077">
      <formula1>'[1]MV FY 2014 Forecast'!B2:B13</formula1>
    </dataValidation>
    <dataValidation type="list" allowBlank="1" showErrorMessage="1" sqref="A1073:A1077">
      <formula1>'[1]MV FY 2014 Forecast'!A2:A18</formula1>
    </dataValidation>
    <dataValidation type="list" allowBlank="1" showInputMessage="1" showErrorMessage="1" prompt="validationFailed" sqref="A383">
      <formula1>'GSA Forecast'!A2:A18</formula1>
    </dataValidation>
    <dataValidation type="list" allowBlank="1" showErrorMessage="1" sqref="O326">
      <formula1>'GSA Forecast'!O2:O4</formula1>
    </dataValidation>
    <dataValidation type="list" allowBlank="1" showInputMessage="1" showErrorMessage="1" prompt="validationFailed" sqref="G279:G291">
      <formula1>'GSA Forecast'!G2:G62</formula1>
    </dataValidation>
    <dataValidation type="list" allowBlank="1" showInputMessage="1" showErrorMessage="1" prompt="validationFailed" sqref="J341:J342">
      <formula1>'GSA Forecast'!J2:J27</formula1>
    </dataValidation>
    <dataValidation type="list" errorStyle="warning" allowBlank="1" showErrorMessage="1" sqref="S136 O136 I136:K136 G136 E136 B136:C136 B114:B117">
      <formula1>'GSA Forecast'!B3:B103</formula1>
    </dataValidation>
    <dataValidation type="list" errorStyle="warning" allowBlank="1" showErrorMessage="1" sqref="S127">
      <formula1>'GSA Forecast'!S3:S103</formula1>
    </dataValidation>
    <dataValidation type="list" errorStyle="warning" allowBlank="1" showInputMessage="1" showErrorMessage="1" prompt="validationFailed" sqref="G152:G155 G790:G795">
      <formula1>'GSA Forecast'!G3:G103</formula1>
    </dataValidation>
    <dataValidation type="list" errorStyle="warning" allowBlank="1" showErrorMessage="1" sqref="L164 L154:L162">
      <formula1>'GSA Forecast'!K3:K103</formula1>
    </dataValidation>
    <dataValidation type="list" errorStyle="warning" allowBlank="1" showErrorMessage="1" sqref="C109 S109 G109 O109 J109:K109">
      <formula1>'GSA Forecast'!C3:C103</formula1>
    </dataValidation>
    <dataValidation type="list" allowBlank="1" showErrorMessage="1" sqref="W383:W405 W417:W534 W201:W254 W179:W198 W172 W1066:W1081 W996:W1003 W979 W808:W868 W796:W799 W779:W789 W106:W168 W381 W1039:W1058 W274:W275 W409:W413 W939:W951">
      <formula1>'[2]GSA Forecast'!W2:W14</formula1>
    </dataValidation>
    <dataValidation type="list" allowBlank="1" showErrorMessage="1" sqref="R780 R1081 R1078:R1079 R1068 R1065 R1036 R1034 R1031 R1016 R1011:R1012 R1008:R1009 R975 R948 R800:R807 R795:R798 R722:R727 R713:R718 R710 R706 R701 R695 R683:R684 R679:R680 R675:R677 R670 R665:R666 R658 R651 R646 R642:R644 R638 R635 R628 R622 R607 R605 R594 R587:R589 R584:R585 R581 R579 R576:R577 R567:R568 R565 R561 R559 R553 R549:R551 R546 R538 R535 R508:R510 R506 R503 R442:R501 R417:R420 R410 R405:R406 R396 R392 R388 R382:R383 R379:R380 R374:R377 R358:R371 R353 R348:R351 R344:R345 R341:R342 R333 R324 R317:R320 R312:R314 R309 R295:R301 R293 R282 R274:R277 R265 R258:R259 R254:R255 R251:R252 R195:R196 R184 R174 R171 R165 R149 R145 R135:R142 R124 R121 R118 R108:R114 R1048:R1052 R942 R790:R791 R521:R533 R427:R437 R227 R1074">
      <formula1>'[2]GSA Forecast'!R2:R6</formula1>
    </dataValidation>
    <dataValidation type="list" allowBlank="1" showErrorMessage="1" sqref="B427:B534 B1008:B1009 B969:B995 B1078">
      <formula1>'[2]GSA Forecast'!B2:B13</formula1>
    </dataValidation>
    <dataValidation type="list" allowBlank="1" showErrorMessage="1" sqref="C1078">
      <formula1>'[2]GSA Forecast'!C2:C8</formula1>
    </dataValidation>
    <dataValidation type="list" allowBlank="1" showErrorMessage="1" sqref="I1078 I1001 I522:I523 I497 I489 I472 I469 I219 I1064 I1060 I954 I619 I592 I180 I143:I151 I1071 I1039:I1041 I941:I942 I705 I701 I598:I599 I508:I509 I440 I381 I376 I323 I163">
      <formula1>'[2]GSA Forecast'!I2:I9</formula1>
    </dataValidation>
    <dataValidation type="list" allowBlank="1" showErrorMessage="1" sqref="K1078 K799">
      <formula1>'[2]GSA Forecast'!K2:K12</formula1>
    </dataValidation>
    <dataValidation type="list" allowBlank="1" showErrorMessage="1" sqref="J1078 J801:J807 J799">
      <formula1>'[2]GSA Forecast'!J2:J27</formula1>
    </dataValidation>
    <dataValidation type="list" allowBlank="1" showErrorMessage="1" sqref="S1078">
      <formula1>'[2]GSA Forecast'!S2:S3</formula1>
    </dataValidation>
    <dataValidation type="list" allowBlank="1" showErrorMessage="1" sqref="E1078 E1026 E226 E109:E110">
      <formula1>'[2]GSA Forecast'!E2:E102</formula1>
    </dataValidation>
    <dataValidation type="list" allowBlank="1" showErrorMessage="1" sqref="G228:G230 G246:G250 G241:G242 G236:G239 G232:G233">
      <formula1>'[2]GSA Forecast'!G2:G62</formula1>
    </dataValidation>
    <dataValidation allowBlank="1" showInputMessage="1" showErrorMessage="1" prompt="validationFailed" sqref="G344 O349 O334"/>
  </dataValidations>
  <hyperlinks>
    <hyperlink ref="V106" r:id="rId1"/>
  </hyperlinks>
  <pageMargins left="0.25" right="0.25" top="0.5" bottom="0.5" header="0.3" footer="0.3"/>
  <pageSetup paperSize="5" scale="60" orientation="landscape" r:id="rId2"/>
</worksheet>
</file>

<file path=xl/worksheets/sheet2.xml><?xml version="1.0" encoding="utf-8"?>
<worksheet xmlns="http://schemas.openxmlformats.org/spreadsheetml/2006/main" xmlns:r="http://schemas.openxmlformats.org/officeDocument/2006/relationships">
  <dimension ref="A1:P121"/>
  <sheetViews>
    <sheetView showGridLines="0" topLeftCell="G1" zoomScaleNormal="100" workbookViewId="0">
      <selection activeCell="J4" sqref="J4"/>
    </sheetView>
  </sheetViews>
  <sheetFormatPr defaultColWidth="8.85546875" defaultRowHeight="12.75"/>
  <cols>
    <col min="1" max="1" width="7.140625" style="10" bestFit="1" customWidth="1"/>
    <col min="2" max="2" width="10.7109375" style="10" bestFit="1" customWidth="1"/>
    <col min="3" max="3" width="29.28515625" style="10" bestFit="1" customWidth="1"/>
    <col min="4" max="4" width="5.5703125" style="10" bestFit="1" customWidth="1"/>
    <col min="5" max="5" width="35.5703125" style="10" bestFit="1" customWidth="1"/>
    <col min="6" max="6" width="14.28515625" style="10" bestFit="1" customWidth="1"/>
    <col min="7" max="7" width="15.7109375" style="10" bestFit="1" customWidth="1"/>
    <col min="8" max="8" width="13.28515625" style="10" bestFit="1" customWidth="1"/>
    <col min="9" max="9" width="20.5703125" style="10" bestFit="1" customWidth="1"/>
    <col min="10" max="10" width="20.5703125" style="11" bestFit="1" customWidth="1"/>
    <col min="11" max="11" width="22" style="12" bestFit="1" customWidth="1"/>
    <col min="12" max="12" width="16.140625" style="12" bestFit="1" customWidth="1"/>
    <col min="13" max="13" width="19.28515625" style="12" bestFit="1" customWidth="1"/>
    <col min="14" max="14" width="15.140625" style="10" bestFit="1" customWidth="1"/>
    <col min="15" max="15" width="43" style="10" customWidth="1"/>
    <col min="16" max="16" width="28.7109375" style="10" bestFit="1" customWidth="1"/>
    <col min="17" max="16384" width="8.85546875" style="10"/>
  </cols>
  <sheetData>
    <row r="1" spans="1:16" ht="15" customHeight="1">
      <c r="A1" s="171" t="s">
        <v>2746</v>
      </c>
      <c r="B1" s="172"/>
      <c r="C1" s="8"/>
      <c r="D1" s="8"/>
      <c r="E1" s="8"/>
      <c r="F1" s="8"/>
      <c r="G1" s="8"/>
      <c r="H1" s="9"/>
    </row>
    <row r="2" spans="1:16">
      <c r="A2" s="13"/>
      <c r="B2" s="173" t="s">
        <v>2747</v>
      </c>
      <c r="C2" s="173"/>
      <c r="D2" s="173"/>
      <c r="E2" s="173"/>
      <c r="F2" s="173"/>
      <c r="G2" s="173"/>
      <c r="H2" s="174"/>
      <c r="I2" s="14"/>
    </row>
    <row r="3" spans="1:16">
      <c r="A3" s="13"/>
      <c r="B3" s="175" t="s">
        <v>2748</v>
      </c>
      <c r="C3" s="175"/>
      <c r="D3" s="15"/>
      <c r="E3" s="15"/>
      <c r="F3" s="15"/>
      <c r="G3" s="15"/>
      <c r="H3" s="16"/>
    </row>
    <row r="4" spans="1:16">
      <c r="A4" s="17"/>
      <c r="B4" s="176" t="s">
        <v>2749</v>
      </c>
      <c r="C4" s="176"/>
      <c r="D4" s="18"/>
      <c r="E4" s="18"/>
      <c r="F4" s="18"/>
      <c r="G4" s="18"/>
      <c r="H4" s="19"/>
    </row>
    <row r="6" spans="1:16" s="23" customFormat="1" ht="50.1" customHeight="1">
      <c r="A6" s="20" t="s">
        <v>1</v>
      </c>
      <c r="B6" s="20" t="s">
        <v>2750</v>
      </c>
      <c r="C6" s="20" t="s">
        <v>2751</v>
      </c>
      <c r="D6" s="20" t="s">
        <v>2752</v>
      </c>
      <c r="E6" s="20" t="s">
        <v>2753</v>
      </c>
      <c r="F6" s="20" t="s">
        <v>2754</v>
      </c>
      <c r="G6" s="20" t="s">
        <v>2755</v>
      </c>
      <c r="H6" s="20" t="s">
        <v>2756</v>
      </c>
      <c r="I6" s="20" t="s">
        <v>2757</v>
      </c>
      <c r="J6" s="21" t="s">
        <v>2758</v>
      </c>
      <c r="K6" s="22" t="s">
        <v>2759</v>
      </c>
      <c r="L6" s="22" t="s">
        <v>2760</v>
      </c>
      <c r="M6" s="22" t="s">
        <v>2761</v>
      </c>
      <c r="N6" s="20" t="s">
        <v>2762</v>
      </c>
      <c r="O6" s="20" t="s">
        <v>2763</v>
      </c>
      <c r="P6" s="20" t="s">
        <v>2764</v>
      </c>
    </row>
    <row r="7" spans="1:16" s="23" customFormat="1">
      <c r="A7" s="24">
        <v>1</v>
      </c>
      <c r="B7" s="24" t="s">
        <v>2765</v>
      </c>
      <c r="C7" s="24" t="s">
        <v>2766</v>
      </c>
      <c r="D7" s="24" t="s">
        <v>174</v>
      </c>
      <c r="E7" s="24" t="s">
        <v>2767</v>
      </c>
      <c r="F7" s="25">
        <v>37988</v>
      </c>
      <c r="G7" s="25">
        <v>41640</v>
      </c>
      <c r="H7" s="24" t="s">
        <v>1194</v>
      </c>
      <c r="I7" s="24" t="s">
        <v>2768</v>
      </c>
      <c r="J7" s="26">
        <v>6427</v>
      </c>
      <c r="K7" s="27">
        <v>29363.06</v>
      </c>
      <c r="L7" s="27">
        <v>172638.5</v>
      </c>
      <c r="M7" s="27">
        <v>202001.56</v>
      </c>
      <c r="N7" s="24" t="s">
        <v>2769</v>
      </c>
      <c r="O7" s="24" t="s">
        <v>2770</v>
      </c>
      <c r="P7" s="24" t="s">
        <v>2771</v>
      </c>
    </row>
    <row r="8" spans="1:16" s="23" customFormat="1">
      <c r="A8" s="24">
        <v>1</v>
      </c>
      <c r="B8" s="24" t="s">
        <v>2772</v>
      </c>
      <c r="C8" s="24" t="s">
        <v>2773</v>
      </c>
      <c r="D8" s="24" t="s">
        <v>174</v>
      </c>
      <c r="E8" s="24" t="s">
        <v>2767</v>
      </c>
      <c r="F8" s="25">
        <v>36397</v>
      </c>
      <c r="G8" s="25">
        <v>41875</v>
      </c>
      <c r="H8" s="24" t="s">
        <v>1194</v>
      </c>
      <c r="I8" s="24" t="s">
        <v>2768</v>
      </c>
      <c r="J8" s="26">
        <v>49950</v>
      </c>
      <c r="K8" s="27">
        <v>61932.47</v>
      </c>
      <c r="L8" s="27">
        <v>455544</v>
      </c>
      <c r="M8" s="27">
        <v>517476.47</v>
      </c>
      <c r="N8" s="24" t="s">
        <v>2774</v>
      </c>
      <c r="O8" s="24" t="s">
        <v>2775</v>
      </c>
      <c r="P8" s="24" t="s">
        <v>2776</v>
      </c>
    </row>
    <row r="9" spans="1:16" s="23" customFormat="1">
      <c r="A9" s="24">
        <v>1</v>
      </c>
      <c r="B9" s="24" t="s">
        <v>2777</v>
      </c>
      <c r="C9" s="24" t="s">
        <v>2778</v>
      </c>
      <c r="D9" s="24" t="s">
        <v>66</v>
      </c>
      <c r="E9" s="24" t="s">
        <v>2779</v>
      </c>
      <c r="F9" s="25">
        <v>39630</v>
      </c>
      <c r="G9" s="25">
        <v>41759</v>
      </c>
      <c r="H9" s="24" t="s">
        <v>1194</v>
      </c>
      <c r="I9" s="24" t="s">
        <v>2768</v>
      </c>
      <c r="J9" s="26">
        <v>3965</v>
      </c>
      <c r="K9" s="27">
        <v>0</v>
      </c>
      <c r="L9" s="27">
        <v>165499.1</v>
      </c>
      <c r="M9" s="27">
        <v>165499.1</v>
      </c>
      <c r="N9" s="24" t="s">
        <v>2780</v>
      </c>
      <c r="O9" s="24" t="s">
        <v>2781</v>
      </c>
      <c r="P9" s="24" t="s">
        <v>2782</v>
      </c>
    </row>
    <row r="10" spans="1:16" s="23" customFormat="1">
      <c r="A10" s="24">
        <v>1</v>
      </c>
      <c r="B10" s="24" t="s">
        <v>2783</v>
      </c>
      <c r="C10" s="24" t="s">
        <v>2784</v>
      </c>
      <c r="D10" s="24" t="s">
        <v>174</v>
      </c>
      <c r="E10" s="24" t="s">
        <v>2767</v>
      </c>
      <c r="F10" s="25">
        <v>34001</v>
      </c>
      <c r="G10" s="25">
        <v>41851</v>
      </c>
      <c r="H10" s="24" t="s">
        <v>1194</v>
      </c>
      <c r="I10" s="24" t="s">
        <v>2768</v>
      </c>
      <c r="J10" s="26">
        <v>118175</v>
      </c>
      <c r="K10" s="27">
        <v>978861.05</v>
      </c>
      <c r="L10" s="27">
        <v>6938056.5700000003</v>
      </c>
      <c r="M10" s="27">
        <v>7916917.6200000001</v>
      </c>
      <c r="N10" s="24" t="s">
        <v>2774</v>
      </c>
      <c r="O10" s="24" t="s">
        <v>2775</v>
      </c>
      <c r="P10" s="24" t="s">
        <v>2776</v>
      </c>
    </row>
    <row r="11" spans="1:16" s="23" customFormat="1">
      <c r="A11" s="24">
        <v>2</v>
      </c>
      <c r="B11" s="24" t="s">
        <v>2785</v>
      </c>
      <c r="C11" s="24" t="s">
        <v>2786</v>
      </c>
      <c r="D11" s="24" t="s">
        <v>197</v>
      </c>
      <c r="E11" s="24" t="s">
        <v>2787</v>
      </c>
      <c r="F11" s="25">
        <v>37073</v>
      </c>
      <c r="G11" s="25">
        <v>41820</v>
      </c>
      <c r="H11" s="24" t="s">
        <v>1194</v>
      </c>
      <c r="I11" s="24" t="s">
        <v>2768</v>
      </c>
      <c r="J11" s="26">
        <v>11500</v>
      </c>
      <c r="K11" s="27">
        <v>119676.71</v>
      </c>
      <c r="L11" s="27">
        <v>680048.28</v>
      </c>
      <c r="M11" s="27">
        <v>799724.99</v>
      </c>
      <c r="N11" s="24" t="s">
        <v>2788</v>
      </c>
      <c r="O11" s="24" t="s">
        <v>2789</v>
      </c>
      <c r="P11" s="24" t="s">
        <v>2790</v>
      </c>
    </row>
    <row r="12" spans="1:16" s="23" customFormat="1">
      <c r="A12" s="24">
        <v>2</v>
      </c>
      <c r="B12" s="24" t="s">
        <v>2791</v>
      </c>
      <c r="C12" s="24" t="s">
        <v>2792</v>
      </c>
      <c r="D12" s="24" t="s">
        <v>197</v>
      </c>
      <c r="E12" s="24" t="s">
        <v>2793</v>
      </c>
      <c r="F12" s="25">
        <v>38200</v>
      </c>
      <c r="G12" s="25">
        <v>41851</v>
      </c>
      <c r="H12" s="24" t="s">
        <v>1194</v>
      </c>
      <c r="I12" s="24" t="s">
        <v>2768</v>
      </c>
      <c r="J12" s="26">
        <v>462</v>
      </c>
      <c r="K12" s="27">
        <v>4447.0600000000004</v>
      </c>
      <c r="L12" s="27">
        <v>38461.5</v>
      </c>
      <c r="M12" s="27">
        <v>42908.56</v>
      </c>
      <c r="N12" s="24" t="s">
        <v>2794</v>
      </c>
      <c r="O12" s="24" t="s">
        <v>2795</v>
      </c>
      <c r="P12" s="24" t="s">
        <v>2796</v>
      </c>
    </row>
    <row r="13" spans="1:16" s="23" customFormat="1">
      <c r="A13" s="24">
        <v>2</v>
      </c>
      <c r="B13" s="24" t="s">
        <v>2797</v>
      </c>
      <c r="C13" s="24" t="s">
        <v>2798</v>
      </c>
      <c r="D13" s="24" t="s">
        <v>197</v>
      </c>
      <c r="E13" s="24" t="s">
        <v>2799</v>
      </c>
      <c r="F13" s="25">
        <v>28430</v>
      </c>
      <c r="G13" s="25">
        <v>41670</v>
      </c>
      <c r="H13" s="24" t="s">
        <v>1194</v>
      </c>
      <c r="I13" s="24" t="s">
        <v>2768</v>
      </c>
      <c r="J13" s="26">
        <v>5318</v>
      </c>
      <c r="K13" s="27">
        <v>20213.23</v>
      </c>
      <c r="L13" s="27">
        <v>56734.7</v>
      </c>
      <c r="M13" s="27">
        <v>76947.929999999993</v>
      </c>
      <c r="N13" s="24" t="s">
        <v>2800</v>
      </c>
      <c r="O13" s="24" t="s">
        <v>2801</v>
      </c>
      <c r="P13" s="24" t="s">
        <v>2802</v>
      </c>
    </row>
    <row r="14" spans="1:16" s="23" customFormat="1">
      <c r="A14" s="24">
        <v>2</v>
      </c>
      <c r="B14" s="24" t="s">
        <v>2803</v>
      </c>
      <c r="C14" s="24" t="s">
        <v>2804</v>
      </c>
      <c r="D14" s="24" t="s">
        <v>197</v>
      </c>
      <c r="E14" s="24" t="s">
        <v>2787</v>
      </c>
      <c r="F14" s="25">
        <v>35521</v>
      </c>
      <c r="G14" s="25">
        <v>41578</v>
      </c>
      <c r="H14" s="24" t="s">
        <v>1194</v>
      </c>
      <c r="I14" s="24" t="s">
        <v>2768</v>
      </c>
      <c r="J14" s="26">
        <v>18650</v>
      </c>
      <c r="K14" s="27">
        <v>63241.91</v>
      </c>
      <c r="L14" s="27">
        <v>434243.89</v>
      </c>
      <c r="M14" s="27">
        <v>497485.8</v>
      </c>
      <c r="N14" s="24" t="s">
        <v>2805</v>
      </c>
      <c r="O14" s="24" t="s">
        <v>2806</v>
      </c>
      <c r="P14" s="24" t="s">
        <v>2807</v>
      </c>
    </row>
    <row r="15" spans="1:16" s="23" customFormat="1">
      <c r="A15" s="24">
        <v>2</v>
      </c>
      <c r="B15" s="24" t="s">
        <v>2808</v>
      </c>
      <c r="C15" s="24" t="s">
        <v>2809</v>
      </c>
      <c r="D15" s="24" t="s">
        <v>197</v>
      </c>
      <c r="E15" s="24" t="s">
        <v>2787</v>
      </c>
      <c r="F15" s="25">
        <v>36356</v>
      </c>
      <c r="G15" s="25">
        <v>41834</v>
      </c>
      <c r="H15" s="24" t="s">
        <v>1194</v>
      </c>
      <c r="I15" s="24" t="s">
        <v>2768</v>
      </c>
      <c r="J15" s="26">
        <v>9860</v>
      </c>
      <c r="K15" s="27">
        <v>63799.9</v>
      </c>
      <c r="L15" s="27">
        <v>184060.46</v>
      </c>
      <c r="M15" s="27">
        <v>247860.36</v>
      </c>
      <c r="N15" s="24" t="s">
        <v>2810</v>
      </c>
      <c r="O15" s="24" t="s">
        <v>2811</v>
      </c>
      <c r="P15" s="24" t="s">
        <v>606</v>
      </c>
    </row>
    <row r="16" spans="1:16" s="23" customFormat="1">
      <c r="A16" s="24">
        <v>2</v>
      </c>
      <c r="B16" s="24" t="s">
        <v>2812</v>
      </c>
      <c r="C16" s="24" t="s">
        <v>2786</v>
      </c>
      <c r="D16" s="24" t="s">
        <v>197</v>
      </c>
      <c r="E16" s="24" t="s">
        <v>2787</v>
      </c>
      <c r="F16" s="25">
        <v>37956</v>
      </c>
      <c r="G16" s="25">
        <v>41608</v>
      </c>
      <c r="H16" s="24" t="s">
        <v>1194</v>
      </c>
      <c r="I16" s="24" t="s">
        <v>2768</v>
      </c>
      <c r="J16" s="26">
        <v>56000</v>
      </c>
      <c r="K16" s="27">
        <v>426775.01</v>
      </c>
      <c r="L16" s="27">
        <v>2077371.5</v>
      </c>
      <c r="M16" s="27">
        <v>2504146.5099999998</v>
      </c>
      <c r="N16" s="24" t="s">
        <v>2813</v>
      </c>
      <c r="O16" s="24" t="s">
        <v>2814</v>
      </c>
      <c r="P16" s="24" t="s">
        <v>729</v>
      </c>
    </row>
    <row r="17" spans="1:16" s="23" customFormat="1">
      <c r="A17" s="24">
        <v>2</v>
      </c>
      <c r="B17" s="24" t="s">
        <v>2815</v>
      </c>
      <c r="C17" s="24" t="s">
        <v>2816</v>
      </c>
      <c r="D17" s="24" t="s">
        <v>197</v>
      </c>
      <c r="E17" s="24" t="s">
        <v>2817</v>
      </c>
      <c r="F17" s="25">
        <v>37437</v>
      </c>
      <c r="G17" s="25">
        <v>41819</v>
      </c>
      <c r="H17" s="24" t="s">
        <v>1194</v>
      </c>
      <c r="I17" s="24" t="s">
        <v>2768</v>
      </c>
      <c r="J17" s="26">
        <v>4206</v>
      </c>
      <c r="K17" s="27">
        <v>10183.65</v>
      </c>
      <c r="L17" s="27">
        <v>74000.28</v>
      </c>
      <c r="M17" s="27">
        <v>84183.93</v>
      </c>
      <c r="N17" s="24" t="s">
        <v>2818</v>
      </c>
      <c r="O17" s="24" t="s">
        <v>2819</v>
      </c>
      <c r="P17" s="24" t="s">
        <v>612</v>
      </c>
    </row>
    <row r="18" spans="1:16" s="23" customFormat="1">
      <c r="A18" s="24">
        <v>2</v>
      </c>
      <c r="B18" s="24" t="s">
        <v>2820</v>
      </c>
      <c r="C18" s="24" t="s">
        <v>2821</v>
      </c>
      <c r="D18" s="24" t="s">
        <v>193</v>
      </c>
      <c r="E18" s="24" t="s">
        <v>2817</v>
      </c>
      <c r="F18" s="25">
        <v>38078</v>
      </c>
      <c r="G18" s="25">
        <v>41729</v>
      </c>
      <c r="H18" s="24" t="s">
        <v>1194</v>
      </c>
      <c r="I18" s="24" t="s">
        <v>2768</v>
      </c>
      <c r="J18" s="26">
        <v>12640</v>
      </c>
      <c r="K18" s="27">
        <v>85738.54</v>
      </c>
      <c r="L18" s="27">
        <v>525697.6</v>
      </c>
      <c r="M18" s="27">
        <v>611436.14</v>
      </c>
      <c r="N18" s="24" t="s">
        <v>2822</v>
      </c>
      <c r="O18" s="24" t="s">
        <v>2823</v>
      </c>
      <c r="P18" s="24" t="s">
        <v>2824</v>
      </c>
    </row>
    <row r="19" spans="1:16" s="23" customFormat="1">
      <c r="A19" s="24">
        <v>2</v>
      </c>
      <c r="B19" s="24" t="s">
        <v>2825</v>
      </c>
      <c r="C19" s="24" t="s">
        <v>2826</v>
      </c>
      <c r="D19" s="24" t="s">
        <v>197</v>
      </c>
      <c r="E19" s="24" t="s">
        <v>2787</v>
      </c>
      <c r="F19" s="25">
        <v>36465</v>
      </c>
      <c r="G19" s="25">
        <v>41578</v>
      </c>
      <c r="H19" s="24" t="s">
        <v>1194</v>
      </c>
      <c r="I19" s="24" t="s">
        <v>2768</v>
      </c>
      <c r="J19" s="26">
        <v>26375</v>
      </c>
      <c r="K19" s="27">
        <v>111914.46</v>
      </c>
      <c r="L19" s="27">
        <v>430176.45</v>
      </c>
      <c r="M19" s="27">
        <v>542090.91</v>
      </c>
      <c r="N19" s="24" t="s">
        <v>2818</v>
      </c>
      <c r="O19" s="24" t="s">
        <v>2819</v>
      </c>
      <c r="P19" s="24" t="s">
        <v>612</v>
      </c>
    </row>
    <row r="20" spans="1:16" s="23" customFormat="1">
      <c r="A20" s="24">
        <v>2</v>
      </c>
      <c r="B20" s="24" t="s">
        <v>2827</v>
      </c>
      <c r="C20" s="24" t="s">
        <v>2786</v>
      </c>
      <c r="D20" s="24" t="s">
        <v>197</v>
      </c>
      <c r="E20" s="24" t="s">
        <v>2787</v>
      </c>
      <c r="F20" s="25">
        <v>34578</v>
      </c>
      <c r="G20" s="25">
        <v>41578</v>
      </c>
      <c r="H20" s="24" t="s">
        <v>1194</v>
      </c>
      <c r="I20" s="24" t="s">
        <v>2768</v>
      </c>
      <c r="J20" s="26">
        <v>48163</v>
      </c>
      <c r="K20" s="27">
        <v>81980.37</v>
      </c>
      <c r="L20" s="27">
        <v>1994769.85</v>
      </c>
      <c r="M20" s="27">
        <v>2076750.22</v>
      </c>
      <c r="N20" s="24" t="s">
        <v>2828</v>
      </c>
      <c r="O20" s="24" t="s">
        <v>2829</v>
      </c>
      <c r="P20" s="24" t="s">
        <v>2830</v>
      </c>
    </row>
    <row r="21" spans="1:16" s="23" customFormat="1">
      <c r="A21" s="24">
        <v>2</v>
      </c>
      <c r="B21" s="24" t="s">
        <v>2831</v>
      </c>
      <c r="C21" s="24" t="s">
        <v>2821</v>
      </c>
      <c r="D21" s="24" t="s">
        <v>193</v>
      </c>
      <c r="E21" s="24" t="s">
        <v>2817</v>
      </c>
      <c r="F21" s="25">
        <v>36404</v>
      </c>
      <c r="G21" s="25">
        <v>41882</v>
      </c>
      <c r="H21" s="24" t="s">
        <v>1194</v>
      </c>
      <c r="I21" s="24" t="s">
        <v>2768</v>
      </c>
      <c r="J21" s="26">
        <v>0</v>
      </c>
      <c r="K21" s="27">
        <v>0</v>
      </c>
      <c r="L21" s="27">
        <v>59554.559999999998</v>
      </c>
      <c r="M21" s="27">
        <v>59554.559999999998</v>
      </c>
      <c r="N21" s="24" t="s">
        <v>2832</v>
      </c>
      <c r="O21" s="24" t="s">
        <v>2833</v>
      </c>
      <c r="P21" s="24" t="s">
        <v>2834</v>
      </c>
    </row>
    <row r="22" spans="1:16" s="23" customFormat="1">
      <c r="A22" s="24">
        <v>2</v>
      </c>
      <c r="B22" s="24" t="s">
        <v>2835</v>
      </c>
      <c r="C22" s="24" t="s">
        <v>2836</v>
      </c>
      <c r="D22" s="24" t="s">
        <v>193</v>
      </c>
      <c r="E22" s="24" t="s">
        <v>2817</v>
      </c>
      <c r="F22" s="25">
        <v>37865</v>
      </c>
      <c r="G22" s="25">
        <v>41698</v>
      </c>
      <c r="H22" s="24" t="s">
        <v>1194</v>
      </c>
      <c r="I22" s="24" t="s">
        <v>2768</v>
      </c>
      <c r="J22" s="26">
        <v>17509</v>
      </c>
      <c r="K22" s="27">
        <v>109857.18</v>
      </c>
      <c r="L22" s="27">
        <v>301059.87</v>
      </c>
      <c r="M22" s="27">
        <v>410917.05</v>
      </c>
      <c r="N22" s="24" t="s">
        <v>2805</v>
      </c>
      <c r="O22" s="24" t="s">
        <v>2806</v>
      </c>
      <c r="P22" s="24" t="s">
        <v>2837</v>
      </c>
    </row>
    <row r="23" spans="1:16" s="23" customFormat="1">
      <c r="A23" s="24">
        <v>2</v>
      </c>
      <c r="B23" s="24" t="s">
        <v>2838</v>
      </c>
      <c r="C23" s="24" t="s">
        <v>2839</v>
      </c>
      <c r="D23" s="24" t="s">
        <v>193</v>
      </c>
      <c r="E23" s="24" t="s">
        <v>2817</v>
      </c>
      <c r="F23" s="25">
        <v>36278</v>
      </c>
      <c r="G23" s="25">
        <v>41756</v>
      </c>
      <c r="H23" s="24" t="s">
        <v>1194</v>
      </c>
      <c r="I23" s="24" t="s">
        <v>2768</v>
      </c>
      <c r="J23" s="26">
        <v>3074</v>
      </c>
      <c r="K23" s="27">
        <v>0</v>
      </c>
      <c r="L23" s="27">
        <v>67628</v>
      </c>
      <c r="M23" s="27">
        <v>67628</v>
      </c>
      <c r="N23" s="24" t="s">
        <v>2840</v>
      </c>
      <c r="O23" s="24" t="s">
        <v>2841</v>
      </c>
      <c r="P23" s="24" t="s">
        <v>2842</v>
      </c>
    </row>
    <row r="24" spans="1:16" s="23" customFormat="1">
      <c r="A24" s="24">
        <v>2</v>
      </c>
      <c r="B24" s="24" t="s">
        <v>2843</v>
      </c>
      <c r="C24" s="24" t="s">
        <v>2844</v>
      </c>
      <c r="D24" s="24" t="s">
        <v>197</v>
      </c>
      <c r="E24" s="24" t="s">
        <v>2799</v>
      </c>
      <c r="F24" s="25">
        <v>34397</v>
      </c>
      <c r="G24" s="25">
        <v>41701</v>
      </c>
      <c r="H24" s="24" t="s">
        <v>1194</v>
      </c>
      <c r="I24" s="24" t="s">
        <v>2768</v>
      </c>
      <c r="J24" s="26">
        <v>56465</v>
      </c>
      <c r="K24" s="27">
        <v>134112.31</v>
      </c>
      <c r="L24" s="27">
        <v>872998</v>
      </c>
      <c r="M24" s="27">
        <v>1007110.31</v>
      </c>
      <c r="N24" s="24" t="s">
        <v>2800</v>
      </c>
      <c r="O24" s="24" t="s">
        <v>2801</v>
      </c>
      <c r="P24" s="24" t="s">
        <v>2802</v>
      </c>
    </row>
    <row r="25" spans="1:16" s="23" customFormat="1">
      <c r="A25" s="24">
        <v>2</v>
      </c>
      <c r="B25" s="24" t="s">
        <v>2845</v>
      </c>
      <c r="C25" s="24" t="s">
        <v>2844</v>
      </c>
      <c r="D25" s="24" t="s">
        <v>197</v>
      </c>
      <c r="E25" s="24" t="s">
        <v>2799</v>
      </c>
      <c r="F25" s="25">
        <v>34320</v>
      </c>
      <c r="G25" s="25">
        <v>41624</v>
      </c>
      <c r="H25" s="24" t="s">
        <v>1194</v>
      </c>
      <c r="I25" s="24" t="s">
        <v>2768</v>
      </c>
      <c r="J25" s="26">
        <v>61962</v>
      </c>
      <c r="K25" s="27">
        <v>220510.06</v>
      </c>
      <c r="L25" s="27">
        <v>1044733.2</v>
      </c>
      <c r="M25" s="27">
        <v>1265243.26</v>
      </c>
      <c r="N25" s="24" t="s">
        <v>2828</v>
      </c>
      <c r="O25" s="24" t="s">
        <v>2829</v>
      </c>
      <c r="P25" s="24" t="s">
        <v>2830</v>
      </c>
    </row>
    <row r="26" spans="1:16" s="23" customFormat="1">
      <c r="A26" s="24">
        <v>2</v>
      </c>
      <c r="B26" s="24" t="s">
        <v>2846</v>
      </c>
      <c r="C26" s="24" t="s">
        <v>2786</v>
      </c>
      <c r="D26" s="24" t="s">
        <v>197</v>
      </c>
      <c r="E26" s="24" t="s">
        <v>2787</v>
      </c>
      <c r="F26" s="25">
        <v>37987</v>
      </c>
      <c r="G26" s="25">
        <v>41639</v>
      </c>
      <c r="H26" s="24" t="s">
        <v>1194</v>
      </c>
      <c r="I26" s="24" t="s">
        <v>2768</v>
      </c>
      <c r="J26" s="26">
        <v>72259</v>
      </c>
      <c r="K26" s="27">
        <v>502391.63</v>
      </c>
      <c r="L26" s="27">
        <v>2579296.7999999998</v>
      </c>
      <c r="M26" s="27">
        <v>3081688.43</v>
      </c>
      <c r="N26" s="24" t="s">
        <v>2813</v>
      </c>
      <c r="O26" s="24" t="s">
        <v>2814</v>
      </c>
      <c r="P26" s="24" t="s">
        <v>729</v>
      </c>
    </row>
    <row r="27" spans="1:16" s="23" customFormat="1">
      <c r="A27" s="24">
        <v>2</v>
      </c>
      <c r="B27" s="24" t="s">
        <v>2847</v>
      </c>
      <c r="C27" s="24" t="s">
        <v>2848</v>
      </c>
      <c r="D27" s="24" t="s">
        <v>197</v>
      </c>
      <c r="E27" s="24" t="s">
        <v>2799</v>
      </c>
      <c r="F27" s="25">
        <v>38183</v>
      </c>
      <c r="G27" s="25">
        <v>41834</v>
      </c>
      <c r="H27" s="24" t="s">
        <v>1194</v>
      </c>
      <c r="I27" s="24" t="s">
        <v>2768</v>
      </c>
      <c r="J27" s="26">
        <v>3409</v>
      </c>
      <c r="K27" s="27">
        <v>21941.62</v>
      </c>
      <c r="L27" s="27">
        <v>41884.54</v>
      </c>
      <c r="M27" s="27">
        <v>63826.16</v>
      </c>
      <c r="N27" s="24" t="s">
        <v>2849</v>
      </c>
      <c r="O27" s="24" t="s">
        <v>2850</v>
      </c>
      <c r="P27" s="24" t="s">
        <v>2851</v>
      </c>
    </row>
    <row r="28" spans="1:16" s="23" customFormat="1">
      <c r="A28" s="24">
        <v>2</v>
      </c>
      <c r="B28" s="24" t="s">
        <v>2852</v>
      </c>
      <c r="C28" s="24" t="s">
        <v>2786</v>
      </c>
      <c r="D28" s="24" t="s">
        <v>197</v>
      </c>
      <c r="E28" s="24" t="s">
        <v>2787</v>
      </c>
      <c r="F28" s="25">
        <v>37564</v>
      </c>
      <c r="G28" s="25">
        <v>41639</v>
      </c>
      <c r="H28" s="24" t="s">
        <v>1194</v>
      </c>
      <c r="I28" s="24" t="s">
        <v>2768</v>
      </c>
      <c r="J28" s="26">
        <v>199327</v>
      </c>
      <c r="K28" s="27">
        <v>823708</v>
      </c>
      <c r="L28" s="27">
        <v>10734079.4</v>
      </c>
      <c r="M28" s="27">
        <v>11557787.4</v>
      </c>
      <c r="N28" s="24" t="s">
        <v>2849</v>
      </c>
      <c r="O28" s="24" t="s">
        <v>2850</v>
      </c>
      <c r="P28" s="24" t="s">
        <v>2830</v>
      </c>
    </row>
    <row r="29" spans="1:16" s="23" customFormat="1">
      <c r="A29" s="24">
        <v>2</v>
      </c>
      <c r="B29" s="24" t="s">
        <v>2853</v>
      </c>
      <c r="C29" s="24" t="s">
        <v>2786</v>
      </c>
      <c r="D29" s="24" t="s">
        <v>197</v>
      </c>
      <c r="E29" s="24" t="s">
        <v>2787</v>
      </c>
      <c r="F29" s="25">
        <v>37517</v>
      </c>
      <c r="G29" s="25">
        <v>41899</v>
      </c>
      <c r="H29" s="24" t="s">
        <v>1194</v>
      </c>
      <c r="I29" s="24" t="s">
        <v>2768</v>
      </c>
      <c r="J29" s="26">
        <v>39721</v>
      </c>
      <c r="K29" s="27">
        <v>446482.18</v>
      </c>
      <c r="L29" s="27">
        <v>1221799.82</v>
      </c>
      <c r="M29" s="27">
        <v>1668282</v>
      </c>
      <c r="N29" s="24" t="s">
        <v>2788</v>
      </c>
      <c r="O29" s="24" t="s">
        <v>2789</v>
      </c>
      <c r="P29" s="24" t="s">
        <v>2790</v>
      </c>
    </row>
    <row r="30" spans="1:16" s="23" customFormat="1">
      <c r="A30" s="24">
        <v>2</v>
      </c>
      <c r="B30" s="24" t="s">
        <v>2854</v>
      </c>
      <c r="C30" s="24" t="s">
        <v>2786</v>
      </c>
      <c r="D30" s="24" t="s">
        <v>197</v>
      </c>
      <c r="E30" s="24" t="s">
        <v>2787</v>
      </c>
      <c r="F30" s="25">
        <v>37659</v>
      </c>
      <c r="G30" s="25">
        <v>41676</v>
      </c>
      <c r="H30" s="24" t="s">
        <v>1194</v>
      </c>
      <c r="I30" s="24" t="s">
        <v>2768</v>
      </c>
      <c r="J30" s="26">
        <v>18903</v>
      </c>
      <c r="K30" s="27">
        <v>175720.26</v>
      </c>
      <c r="L30" s="27">
        <v>769495</v>
      </c>
      <c r="M30" s="27">
        <v>945215.26</v>
      </c>
      <c r="N30" s="24" t="s">
        <v>2818</v>
      </c>
      <c r="O30" s="24" t="s">
        <v>2819</v>
      </c>
      <c r="P30" s="24" t="s">
        <v>612</v>
      </c>
    </row>
    <row r="31" spans="1:16" s="23" customFormat="1">
      <c r="A31" s="24">
        <v>2</v>
      </c>
      <c r="B31" s="24" t="s">
        <v>2855</v>
      </c>
      <c r="C31" s="24" t="s">
        <v>2856</v>
      </c>
      <c r="D31" s="24" t="s">
        <v>197</v>
      </c>
      <c r="E31" s="24" t="s">
        <v>2799</v>
      </c>
      <c r="F31" s="25">
        <v>36047</v>
      </c>
      <c r="G31" s="25">
        <v>41555</v>
      </c>
      <c r="H31" s="24" t="s">
        <v>1194</v>
      </c>
      <c r="I31" s="24" t="s">
        <v>2768</v>
      </c>
      <c r="J31" s="26">
        <v>17256</v>
      </c>
      <c r="K31" s="27">
        <v>64110.61</v>
      </c>
      <c r="L31" s="27">
        <v>283210.53000000003</v>
      </c>
      <c r="M31" s="27">
        <v>347321.14</v>
      </c>
      <c r="N31" s="24" t="s">
        <v>2857</v>
      </c>
      <c r="O31" s="24" t="s">
        <v>2829</v>
      </c>
      <c r="P31" s="24" t="s">
        <v>2858</v>
      </c>
    </row>
    <row r="32" spans="1:16" s="23" customFormat="1">
      <c r="A32" s="24">
        <v>2</v>
      </c>
      <c r="B32" s="24" t="s">
        <v>2859</v>
      </c>
      <c r="C32" s="24" t="s">
        <v>2816</v>
      </c>
      <c r="D32" s="24" t="s">
        <v>197</v>
      </c>
      <c r="E32" s="24" t="s">
        <v>2817</v>
      </c>
      <c r="F32" s="25">
        <v>35948</v>
      </c>
      <c r="G32" s="25">
        <v>41820</v>
      </c>
      <c r="H32" s="24" t="s">
        <v>1194</v>
      </c>
      <c r="I32" s="24" t="s">
        <v>2768</v>
      </c>
      <c r="J32" s="26">
        <v>6404</v>
      </c>
      <c r="K32" s="27">
        <v>16971.11</v>
      </c>
      <c r="L32" s="27">
        <v>179178.2</v>
      </c>
      <c r="M32" s="27">
        <v>196149.31</v>
      </c>
      <c r="N32" s="24" t="s">
        <v>2788</v>
      </c>
      <c r="O32" s="24" t="s">
        <v>2789</v>
      </c>
      <c r="P32" s="24" t="s">
        <v>2790</v>
      </c>
    </row>
    <row r="33" spans="1:16" s="23" customFormat="1">
      <c r="A33" s="24">
        <v>2</v>
      </c>
      <c r="B33" s="24" t="s">
        <v>2860</v>
      </c>
      <c r="C33" s="24" t="s">
        <v>2792</v>
      </c>
      <c r="D33" s="24" t="s">
        <v>197</v>
      </c>
      <c r="E33" s="24" t="s">
        <v>2793</v>
      </c>
      <c r="F33" s="25">
        <v>39631</v>
      </c>
      <c r="G33" s="25">
        <v>41820</v>
      </c>
      <c r="H33" s="24" t="s">
        <v>1194</v>
      </c>
      <c r="I33" s="24" t="s">
        <v>2768</v>
      </c>
      <c r="J33" s="26">
        <v>908</v>
      </c>
      <c r="K33" s="27">
        <v>3328.28</v>
      </c>
      <c r="L33" s="27">
        <v>44355.8</v>
      </c>
      <c r="M33" s="27">
        <v>47684.08</v>
      </c>
      <c r="N33" s="24" t="s">
        <v>2794</v>
      </c>
      <c r="O33" s="24" t="s">
        <v>2795</v>
      </c>
      <c r="P33" s="24" t="s">
        <v>606</v>
      </c>
    </row>
    <row r="34" spans="1:16" s="23" customFormat="1">
      <c r="A34" s="24">
        <v>2</v>
      </c>
      <c r="B34" s="24" t="s">
        <v>2861</v>
      </c>
      <c r="C34" s="24" t="s">
        <v>2862</v>
      </c>
      <c r="D34" s="24" t="s">
        <v>231</v>
      </c>
      <c r="E34" s="24" t="s">
        <v>2863</v>
      </c>
      <c r="F34" s="25">
        <v>32964</v>
      </c>
      <c r="G34" s="25">
        <v>41759</v>
      </c>
      <c r="H34" s="24" t="s">
        <v>1194</v>
      </c>
      <c r="I34" s="24" t="s">
        <v>2768</v>
      </c>
      <c r="J34" s="26">
        <v>5489</v>
      </c>
      <c r="K34" s="27">
        <v>31734.880000000001</v>
      </c>
      <c r="L34" s="27">
        <v>130744.13</v>
      </c>
      <c r="M34" s="27">
        <v>162479.01</v>
      </c>
      <c r="N34" s="24" t="s">
        <v>2864</v>
      </c>
      <c r="O34" s="24" t="s">
        <v>2865</v>
      </c>
      <c r="P34" s="24" t="s">
        <v>2866</v>
      </c>
    </row>
    <row r="35" spans="1:16" s="23" customFormat="1">
      <c r="A35" s="24">
        <v>2</v>
      </c>
      <c r="B35" s="24" t="s">
        <v>2867</v>
      </c>
      <c r="C35" s="24" t="s">
        <v>2868</v>
      </c>
      <c r="D35" s="24" t="s">
        <v>197</v>
      </c>
      <c r="E35" s="24" t="s">
        <v>2799</v>
      </c>
      <c r="F35" s="25">
        <v>34472</v>
      </c>
      <c r="G35" s="25">
        <v>41776</v>
      </c>
      <c r="H35" s="24" t="s">
        <v>1194</v>
      </c>
      <c r="I35" s="24" t="s">
        <v>2768</v>
      </c>
      <c r="J35" s="26">
        <v>26647</v>
      </c>
      <c r="K35" s="27">
        <v>135313.92000000001</v>
      </c>
      <c r="L35" s="27">
        <v>424486.71</v>
      </c>
      <c r="M35" s="27">
        <v>559800.63</v>
      </c>
      <c r="N35" s="24" t="s">
        <v>2869</v>
      </c>
      <c r="O35" s="24" t="s">
        <v>2870</v>
      </c>
      <c r="P35" s="24" t="s">
        <v>2871</v>
      </c>
    </row>
    <row r="36" spans="1:16" s="23" customFormat="1">
      <c r="A36" s="24">
        <v>2</v>
      </c>
      <c r="B36" s="24" t="s">
        <v>2872</v>
      </c>
      <c r="C36" s="24" t="s">
        <v>2873</v>
      </c>
      <c r="D36" s="24" t="s">
        <v>197</v>
      </c>
      <c r="E36" s="24" t="s">
        <v>2799</v>
      </c>
      <c r="F36" s="25">
        <v>34578</v>
      </c>
      <c r="G36" s="25">
        <v>41698</v>
      </c>
      <c r="H36" s="24" t="s">
        <v>1194</v>
      </c>
      <c r="I36" s="24" t="s">
        <v>2768</v>
      </c>
      <c r="J36" s="26">
        <v>7539</v>
      </c>
      <c r="K36" s="27">
        <v>25771.8</v>
      </c>
      <c r="L36" s="27">
        <v>101391.47</v>
      </c>
      <c r="M36" s="27">
        <v>127163.27</v>
      </c>
      <c r="N36" s="24" t="s">
        <v>2857</v>
      </c>
      <c r="O36" s="24" t="s">
        <v>2829</v>
      </c>
      <c r="P36" s="24" t="s">
        <v>2858</v>
      </c>
    </row>
    <row r="37" spans="1:16" s="23" customFormat="1">
      <c r="A37" s="24">
        <v>2</v>
      </c>
      <c r="B37" s="24" t="s">
        <v>2874</v>
      </c>
      <c r="C37" s="24" t="s">
        <v>2875</v>
      </c>
      <c r="D37" s="24" t="s">
        <v>215</v>
      </c>
      <c r="E37" s="24" t="s">
        <v>2863</v>
      </c>
      <c r="F37" s="25">
        <v>38047</v>
      </c>
      <c r="G37" s="25">
        <v>41698</v>
      </c>
      <c r="H37" s="24" t="s">
        <v>1194</v>
      </c>
      <c r="I37" s="24" t="s">
        <v>2768</v>
      </c>
      <c r="J37" s="26">
        <v>44929</v>
      </c>
      <c r="K37" s="27">
        <v>570124.9</v>
      </c>
      <c r="L37" s="27">
        <v>1101372</v>
      </c>
      <c r="M37" s="27">
        <v>1671496.9</v>
      </c>
      <c r="N37" s="24" t="s">
        <v>2876</v>
      </c>
      <c r="O37" s="24" t="s">
        <v>2877</v>
      </c>
      <c r="P37" s="24" t="s">
        <v>2878</v>
      </c>
    </row>
    <row r="38" spans="1:16" s="23" customFormat="1">
      <c r="A38" s="24">
        <v>2</v>
      </c>
      <c r="B38" s="24" t="s">
        <v>2879</v>
      </c>
      <c r="C38" s="24" t="s">
        <v>2880</v>
      </c>
      <c r="D38" s="24" t="s">
        <v>215</v>
      </c>
      <c r="E38" s="24" t="s">
        <v>2863</v>
      </c>
      <c r="F38" s="25">
        <v>35125</v>
      </c>
      <c r="G38" s="25">
        <v>41698</v>
      </c>
      <c r="H38" s="24" t="s">
        <v>1194</v>
      </c>
      <c r="I38" s="24" t="s">
        <v>2768</v>
      </c>
      <c r="J38" s="26">
        <v>5743</v>
      </c>
      <c r="K38" s="27">
        <v>48316.5</v>
      </c>
      <c r="L38" s="27">
        <v>143015.1</v>
      </c>
      <c r="M38" s="27">
        <v>191331.6</v>
      </c>
      <c r="N38" s="24" t="s">
        <v>2881</v>
      </c>
      <c r="O38" s="24" t="s">
        <v>2882</v>
      </c>
      <c r="P38" s="24" t="s">
        <v>2866</v>
      </c>
    </row>
    <row r="39" spans="1:16" s="23" customFormat="1">
      <c r="A39" s="24">
        <v>2</v>
      </c>
      <c r="B39" s="24" t="s">
        <v>2883</v>
      </c>
      <c r="C39" s="24" t="s">
        <v>2821</v>
      </c>
      <c r="D39" s="24" t="s">
        <v>193</v>
      </c>
      <c r="E39" s="24" t="s">
        <v>2817</v>
      </c>
      <c r="F39" s="25">
        <v>34099</v>
      </c>
      <c r="G39" s="25">
        <v>41587</v>
      </c>
      <c r="H39" s="24" t="s">
        <v>1194</v>
      </c>
      <c r="I39" s="24" t="s">
        <v>2768</v>
      </c>
      <c r="J39" s="26">
        <v>8431</v>
      </c>
      <c r="K39" s="27">
        <v>62068.41</v>
      </c>
      <c r="L39" s="27">
        <v>232393.2</v>
      </c>
      <c r="M39" s="27">
        <v>294461.61</v>
      </c>
      <c r="N39" s="24" t="s">
        <v>2884</v>
      </c>
      <c r="O39" s="24" t="s">
        <v>2885</v>
      </c>
      <c r="P39" s="24" t="s">
        <v>2886</v>
      </c>
    </row>
    <row r="40" spans="1:16" s="23" customFormat="1">
      <c r="A40" s="24">
        <v>2</v>
      </c>
      <c r="B40" s="24" t="s">
        <v>2887</v>
      </c>
      <c r="C40" s="24" t="s">
        <v>2888</v>
      </c>
      <c r="D40" s="24" t="s">
        <v>197</v>
      </c>
      <c r="E40" s="24" t="s">
        <v>2799</v>
      </c>
      <c r="F40" s="25">
        <v>37226</v>
      </c>
      <c r="G40" s="25">
        <v>41790</v>
      </c>
      <c r="H40" s="24" t="s">
        <v>1194</v>
      </c>
      <c r="I40" s="24" t="s">
        <v>2768</v>
      </c>
      <c r="J40" s="26">
        <v>7364</v>
      </c>
      <c r="K40" s="27">
        <v>34678.769999999997</v>
      </c>
      <c r="L40" s="27">
        <v>130343.09</v>
      </c>
      <c r="M40" s="27">
        <v>165021.85999999999</v>
      </c>
      <c r="N40" s="24" t="s">
        <v>2889</v>
      </c>
      <c r="O40" s="24" t="s">
        <v>2890</v>
      </c>
      <c r="P40" s="24" t="s">
        <v>2891</v>
      </c>
    </row>
    <row r="41" spans="1:16" s="23" customFormat="1">
      <c r="A41" s="24">
        <v>2</v>
      </c>
      <c r="B41" s="24" t="s">
        <v>2892</v>
      </c>
      <c r="C41" s="24" t="s">
        <v>2792</v>
      </c>
      <c r="D41" s="24" t="s">
        <v>197</v>
      </c>
      <c r="E41" s="24" t="s">
        <v>2793</v>
      </c>
      <c r="F41" s="25">
        <v>34950</v>
      </c>
      <c r="G41" s="25">
        <v>41759</v>
      </c>
      <c r="H41" s="24" t="s">
        <v>1194</v>
      </c>
      <c r="I41" s="24" t="s">
        <v>2768</v>
      </c>
      <c r="J41" s="26">
        <v>18451</v>
      </c>
      <c r="K41" s="27">
        <v>97716.06</v>
      </c>
      <c r="L41" s="27">
        <v>355809.52</v>
      </c>
      <c r="M41" s="27">
        <v>453525.58</v>
      </c>
      <c r="N41" s="24" t="s">
        <v>2893</v>
      </c>
      <c r="O41" s="24" t="s">
        <v>2894</v>
      </c>
      <c r="P41" s="24" t="s">
        <v>2895</v>
      </c>
    </row>
    <row r="42" spans="1:16" s="23" customFormat="1">
      <c r="A42" s="24">
        <v>2</v>
      </c>
      <c r="B42" s="24" t="s">
        <v>2896</v>
      </c>
      <c r="C42" s="24" t="s">
        <v>2804</v>
      </c>
      <c r="D42" s="24" t="s">
        <v>197</v>
      </c>
      <c r="E42" s="24" t="s">
        <v>2787</v>
      </c>
      <c r="F42" s="25">
        <v>37377</v>
      </c>
      <c r="G42" s="25">
        <v>41759</v>
      </c>
      <c r="H42" s="24" t="s">
        <v>1194</v>
      </c>
      <c r="I42" s="24" t="s">
        <v>2768</v>
      </c>
      <c r="J42" s="26">
        <v>11000</v>
      </c>
      <c r="K42" s="27">
        <v>57527.42</v>
      </c>
      <c r="L42" s="27">
        <v>251200</v>
      </c>
      <c r="M42" s="27">
        <v>308727.42</v>
      </c>
      <c r="N42" s="24" t="s">
        <v>2828</v>
      </c>
      <c r="O42" s="24" t="s">
        <v>2829</v>
      </c>
      <c r="P42" s="24" t="s">
        <v>2830</v>
      </c>
    </row>
    <row r="43" spans="1:16" s="23" customFormat="1">
      <c r="A43" s="24">
        <v>2</v>
      </c>
      <c r="B43" s="24" t="s">
        <v>2897</v>
      </c>
      <c r="C43" s="24" t="s">
        <v>2804</v>
      </c>
      <c r="D43" s="24" t="s">
        <v>197</v>
      </c>
      <c r="E43" s="24" t="s">
        <v>2787</v>
      </c>
      <c r="F43" s="25">
        <v>36101</v>
      </c>
      <c r="G43" s="25">
        <v>41579</v>
      </c>
      <c r="H43" s="24" t="s">
        <v>1194</v>
      </c>
      <c r="I43" s="24" t="s">
        <v>2768</v>
      </c>
      <c r="J43" s="26">
        <v>20747</v>
      </c>
      <c r="K43" s="27">
        <v>67928.460000000006</v>
      </c>
      <c r="L43" s="27">
        <v>438276.62</v>
      </c>
      <c r="M43" s="27">
        <v>506205.08</v>
      </c>
      <c r="N43" s="24" t="s">
        <v>2828</v>
      </c>
      <c r="O43" s="24" t="s">
        <v>2829</v>
      </c>
      <c r="P43" s="24" t="s">
        <v>2830</v>
      </c>
    </row>
    <row r="44" spans="1:16" s="23" customFormat="1">
      <c r="A44" s="24">
        <v>2</v>
      </c>
      <c r="B44" s="24" t="s">
        <v>2898</v>
      </c>
      <c r="C44" s="24" t="s">
        <v>2899</v>
      </c>
      <c r="D44" s="24" t="s">
        <v>197</v>
      </c>
      <c r="E44" s="24" t="s">
        <v>2799</v>
      </c>
      <c r="F44" s="25">
        <v>38200</v>
      </c>
      <c r="G44" s="25">
        <v>41851</v>
      </c>
      <c r="H44" s="24" t="s">
        <v>1194</v>
      </c>
      <c r="I44" s="24" t="s">
        <v>2768</v>
      </c>
      <c r="J44" s="26">
        <v>31976</v>
      </c>
      <c r="K44" s="27">
        <v>186872.24</v>
      </c>
      <c r="L44" s="27">
        <v>916867</v>
      </c>
      <c r="M44" s="27">
        <v>1103739.24</v>
      </c>
      <c r="N44" s="24" t="s">
        <v>2900</v>
      </c>
      <c r="O44" s="24" t="s">
        <v>1795</v>
      </c>
      <c r="P44" s="24" t="s">
        <v>2901</v>
      </c>
    </row>
    <row r="45" spans="1:16" s="23" customFormat="1">
      <c r="A45" s="24">
        <v>2</v>
      </c>
      <c r="B45" s="24" t="s">
        <v>2902</v>
      </c>
      <c r="C45" s="24" t="s">
        <v>2786</v>
      </c>
      <c r="D45" s="24" t="s">
        <v>197</v>
      </c>
      <c r="E45" s="24" t="s">
        <v>2787</v>
      </c>
      <c r="F45" s="25">
        <v>34380</v>
      </c>
      <c r="G45" s="25">
        <v>41684</v>
      </c>
      <c r="H45" s="24" t="s">
        <v>1194</v>
      </c>
      <c r="I45" s="24" t="s">
        <v>2768</v>
      </c>
      <c r="J45" s="26">
        <v>34276</v>
      </c>
      <c r="K45" s="27">
        <v>446645.36</v>
      </c>
      <c r="L45" s="27">
        <v>987141.6</v>
      </c>
      <c r="M45" s="27">
        <v>1433786.96</v>
      </c>
      <c r="N45" s="24" t="s">
        <v>2818</v>
      </c>
      <c r="O45" s="24" t="s">
        <v>2819</v>
      </c>
      <c r="P45" s="24" t="s">
        <v>612</v>
      </c>
    </row>
    <row r="46" spans="1:16" s="23" customFormat="1">
      <c r="A46" s="24">
        <v>2</v>
      </c>
      <c r="B46" s="24" t="s">
        <v>2903</v>
      </c>
      <c r="C46" s="24" t="s">
        <v>2786</v>
      </c>
      <c r="D46" s="24" t="s">
        <v>197</v>
      </c>
      <c r="E46" s="24" t="s">
        <v>2787</v>
      </c>
      <c r="F46" s="25">
        <v>27030</v>
      </c>
      <c r="G46" s="25">
        <v>41639</v>
      </c>
      <c r="H46" s="24" t="s">
        <v>1194</v>
      </c>
      <c r="I46" s="24" t="s">
        <v>2768</v>
      </c>
      <c r="J46" s="26">
        <v>0</v>
      </c>
      <c r="K46" s="27">
        <v>0</v>
      </c>
      <c r="L46" s="27">
        <v>0</v>
      </c>
      <c r="M46" s="27">
        <v>0</v>
      </c>
      <c r="N46" s="24" t="s">
        <v>2904</v>
      </c>
      <c r="O46" s="24" t="s">
        <v>2905</v>
      </c>
      <c r="P46" s="24" t="s">
        <v>740</v>
      </c>
    </row>
    <row r="47" spans="1:16" s="23" customFormat="1">
      <c r="A47" s="24">
        <v>2</v>
      </c>
      <c r="B47" s="24" t="s">
        <v>2906</v>
      </c>
      <c r="C47" s="24" t="s">
        <v>2907</v>
      </c>
      <c r="D47" s="24" t="s">
        <v>193</v>
      </c>
      <c r="E47" s="24" t="s">
        <v>2817</v>
      </c>
      <c r="F47" s="25">
        <v>33178</v>
      </c>
      <c r="G47" s="25">
        <v>41698</v>
      </c>
      <c r="H47" s="24" t="s">
        <v>1194</v>
      </c>
      <c r="I47" s="24" t="s">
        <v>2768</v>
      </c>
      <c r="J47" s="26">
        <v>9101</v>
      </c>
      <c r="K47" s="27">
        <v>0</v>
      </c>
      <c r="L47" s="27">
        <v>332664</v>
      </c>
      <c r="M47" s="27">
        <v>332664</v>
      </c>
      <c r="N47" s="24" t="s">
        <v>2840</v>
      </c>
      <c r="O47" s="24" t="s">
        <v>2841</v>
      </c>
      <c r="P47" s="24" t="s">
        <v>2842</v>
      </c>
    </row>
    <row r="48" spans="1:16" s="23" customFormat="1">
      <c r="A48" s="24">
        <v>2</v>
      </c>
      <c r="B48" s="24" t="s">
        <v>2908</v>
      </c>
      <c r="C48" s="24" t="s">
        <v>2909</v>
      </c>
      <c r="D48" s="24" t="s">
        <v>197</v>
      </c>
      <c r="E48" s="24" t="s">
        <v>2793</v>
      </c>
      <c r="F48" s="25">
        <v>36434</v>
      </c>
      <c r="G48" s="25">
        <v>41912</v>
      </c>
      <c r="H48" s="24" t="s">
        <v>1194</v>
      </c>
      <c r="I48" s="24" t="s">
        <v>2768</v>
      </c>
      <c r="J48" s="26">
        <v>12200</v>
      </c>
      <c r="K48" s="27">
        <v>84226.94</v>
      </c>
      <c r="L48" s="27">
        <v>350663.93</v>
      </c>
      <c r="M48" s="27">
        <v>434890.87</v>
      </c>
      <c r="N48" s="24" t="s">
        <v>2910</v>
      </c>
      <c r="O48" s="24" t="s">
        <v>2911</v>
      </c>
      <c r="P48" s="24" t="s">
        <v>2912</v>
      </c>
    </row>
    <row r="49" spans="1:16" s="23" customFormat="1">
      <c r="A49" s="24">
        <v>2</v>
      </c>
      <c r="B49" s="24" t="s">
        <v>2913</v>
      </c>
      <c r="C49" s="24" t="s">
        <v>2786</v>
      </c>
      <c r="D49" s="24" t="s">
        <v>197</v>
      </c>
      <c r="E49" s="24" t="s">
        <v>2787</v>
      </c>
      <c r="F49" s="25">
        <v>33390</v>
      </c>
      <c r="G49" s="25">
        <v>41820</v>
      </c>
      <c r="H49" s="24" t="s">
        <v>1194</v>
      </c>
      <c r="I49" s="24" t="s">
        <v>2768</v>
      </c>
      <c r="J49" s="26">
        <v>0</v>
      </c>
      <c r="K49" s="27">
        <v>0</v>
      </c>
      <c r="L49" s="27">
        <v>19284</v>
      </c>
      <c r="M49" s="27">
        <v>19284</v>
      </c>
      <c r="N49" s="24" t="s">
        <v>2818</v>
      </c>
      <c r="O49" s="24" t="s">
        <v>2819</v>
      </c>
      <c r="P49" s="24" t="s">
        <v>612</v>
      </c>
    </row>
    <row r="50" spans="1:16" s="23" customFormat="1">
      <c r="A50" s="24">
        <v>2</v>
      </c>
      <c r="B50" s="24" t="s">
        <v>2914</v>
      </c>
      <c r="C50" s="24" t="s">
        <v>2786</v>
      </c>
      <c r="D50" s="24" t="s">
        <v>197</v>
      </c>
      <c r="E50" s="24" t="s">
        <v>2787</v>
      </c>
      <c r="F50" s="25">
        <v>34599</v>
      </c>
      <c r="G50" s="25">
        <v>41903</v>
      </c>
      <c r="H50" s="24" t="s">
        <v>1194</v>
      </c>
      <c r="I50" s="24" t="s">
        <v>2768</v>
      </c>
      <c r="J50" s="26">
        <v>181654</v>
      </c>
      <c r="K50" s="27">
        <v>2863797</v>
      </c>
      <c r="L50" s="27">
        <v>6133363.9900000002</v>
      </c>
      <c r="M50" s="27">
        <v>8997160.9900000002</v>
      </c>
      <c r="N50" s="24" t="s">
        <v>2818</v>
      </c>
      <c r="O50" s="24" t="s">
        <v>2819</v>
      </c>
      <c r="P50" s="24" t="s">
        <v>612</v>
      </c>
    </row>
    <row r="51" spans="1:16" s="23" customFormat="1">
      <c r="A51" s="24">
        <v>2</v>
      </c>
      <c r="B51" s="24" t="s">
        <v>2915</v>
      </c>
      <c r="C51" s="24" t="s">
        <v>2916</v>
      </c>
      <c r="D51" s="24" t="s">
        <v>197</v>
      </c>
      <c r="E51" s="24" t="s">
        <v>2793</v>
      </c>
      <c r="F51" s="25">
        <v>38200</v>
      </c>
      <c r="G51" s="25">
        <v>41851</v>
      </c>
      <c r="H51" s="24" t="s">
        <v>1194</v>
      </c>
      <c r="I51" s="24" t="s">
        <v>2768</v>
      </c>
      <c r="J51" s="26">
        <v>14700</v>
      </c>
      <c r="K51" s="27">
        <v>71732.47</v>
      </c>
      <c r="L51" s="27">
        <v>441000</v>
      </c>
      <c r="M51" s="27">
        <v>512732.47</v>
      </c>
      <c r="N51" s="24" t="s">
        <v>2910</v>
      </c>
      <c r="O51" s="24" t="s">
        <v>2911</v>
      </c>
      <c r="P51" s="24" t="s">
        <v>2912</v>
      </c>
    </row>
    <row r="52" spans="1:16" s="23" customFormat="1">
      <c r="A52" s="24">
        <v>2</v>
      </c>
      <c r="B52" s="24" t="s">
        <v>2917</v>
      </c>
      <c r="C52" s="24" t="s">
        <v>2875</v>
      </c>
      <c r="D52" s="24" t="s">
        <v>215</v>
      </c>
      <c r="E52" s="24" t="s">
        <v>2863</v>
      </c>
      <c r="F52" s="25">
        <v>40087</v>
      </c>
      <c r="G52" s="25">
        <v>41578</v>
      </c>
      <c r="H52" s="24" t="s">
        <v>1194</v>
      </c>
      <c r="I52" s="24" t="s">
        <v>2768</v>
      </c>
      <c r="J52" s="26">
        <v>0</v>
      </c>
      <c r="K52" s="27">
        <v>0</v>
      </c>
      <c r="L52" s="27">
        <v>58500</v>
      </c>
      <c r="M52" s="27">
        <v>58500</v>
      </c>
      <c r="N52" s="24" t="s">
        <v>2918</v>
      </c>
      <c r="O52" s="24" t="s">
        <v>2919</v>
      </c>
      <c r="P52" s="24" t="s">
        <v>2920</v>
      </c>
    </row>
    <row r="53" spans="1:16" s="23" customFormat="1">
      <c r="A53" s="24">
        <v>2</v>
      </c>
      <c r="B53" s="24" t="s">
        <v>2921</v>
      </c>
      <c r="C53" s="24" t="s">
        <v>2922</v>
      </c>
      <c r="D53" s="24" t="s">
        <v>197</v>
      </c>
      <c r="E53" s="24" t="s">
        <v>2793</v>
      </c>
      <c r="F53" s="25">
        <v>34801</v>
      </c>
      <c r="G53" s="25">
        <v>41650</v>
      </c>
      <c r="H53" s="24" t="s">
        <v>1194</v>
      </c>
      <c r="I53" s="24" t="s">
        <v>2768</v>
      </c>
      <c r="J53" s="26">
        <v>11658</v>
      </c>
      <c r="K53" s="27">
        <v>47029.41</v>
      </c>
      <c r="L53" s="27">
        <v>304109.55</v>
      </c>
      <c r="M53" s="27">
        <v>351138.96</v>
      </c>
      <c r="N53" s="24" t="s">
        <v>2923</v>
      </c>
      <c r="O53" s="24" t="s">
        <v>2924</v>
      </c>
      <c r="P53" s="24" t="s">
        <v>2796</v>
      </c>
    </row>
    <row r="54" spans="1:16" s="23" customFormat="1">
      <c r="A54" s="24">
        <v>3</v>
      </c>
      <c r="B54" s="24" t="s">
        <v>2925</v>
      </c>
      <c r="C54" s="24" t="s">
        <v>2926</v>
      </c>
      <c r="D54" s="24" t="s">
        <v>193</v>
      </c>
      <c r="E54" s="24" t="s">
        <v>2927</v>
      </c>
      <c r="F54" s="25">
        <v>34267</v>
      </c>
      <c r="G54" s="25">
        <v>41578</v>
      </c>
      <c r="H54" s="24" t="s">
        <v>1194</v>
      </c>
      <c r="I54" s="24" t="s">
        <v>2768</v>
      </c>
      <c r="J54" s="26">
        <v>26980</v>
      </c>
      <c r="K54" s="27">
        <v>287394.64</v>
      </c>
      <c r="L54" s="27">
        <v>429521.6</v>
      </c>
      <c r="M54" s="27">
        <v>716916.24</v>
      </c>
      <c r="N54" s="24" t="s">
        <v>2928</v>
      </c>
      <c r="O54" s="24" t="s">
        <v>2929</v>
      </c>
      <c r="P54" s="24" t="s">
        <v>2930</v>
      </c>
    </row>
    <row r="55" spans="1:16" s="23" customFormat="1">
      <c r="A55" s="24">
        <v>3</v>
      </c>
      <c r="B55" s="24" t="s">
        <v>2931</v>
      </c>
      <c r="C55" s="24" t="s">
        <v>2932</v>
      </c>
      <c r="D55" s="24" t="s">
        <v>193</v>
      </c>
      <c r="E55" s="24" t="s">
        <v>2927</v>
      </c>
      <c r="F55" s="25">
        <v>36171</v>
      </c>
      <c r="G55" s="25">
        <v>41649</v>
      </c>
      <c r="H55" s="24" t="s">
        <v>1194</v>
      </c>
      <c r="I55" s="24" t="s">
        <v>2768</v>
      </c>
      <c r="J55" s="26">
        <v>5635</v>
      </c>
      <c r="K55" s="27">
        <v>31335.02</v>
      </c>
      <c r="L55" s="27">
        <v>82552.75</v>
      </c>
      <c r="M55" s="27">
        <v>113887.77</v>
      </c>
      <c r="N55" s="24" t="s">
        <v>2933</v>
      </c>
      <c r="O55" s="24" t="s">
        <v>2934</v>
      </c>
      <c r="P55" s="24" t="s">
        <v>2935</v>
      </c>
    </row>
    <row r="56" spans="1:16" s="23" customFormat="1">
      <c r="A56" s="24">
        <v>3</v>
      </c>
      <c r="B56" s="24" t="s">
        <v>2936</v>
      </c>
      <c r="C56" s="24" t="s">
        <v>2937</v>
      </c>
      <c r="D56" s="24" t="s">
        <v>193</v>
      </c>
      <c r="E56" s="24" t="s">
        <v>2927</v>
      </c>
      <c r="F56" s="25">
        <v>36125</v>
      </c>
      <c r="G56" s="25">
        <v>41603</v>
      </c>
      <c r="H56" s="24" t="s">
        <v>1194</v>
      </c>
      <c r="I56" s="24" t="s">
        <v>2768</v>
      </c>
      <c r="J56" s="26">
        <v>5382</v>
      </c>
      <c r="K56" s="27">
        <v>25792.959999999999</v>
      </c>
      <c r="L56" s="27">
        <v>154086.66</v>
      </c>
      <c r="M56" s="27">
        <v>179879.62</v>
      </c>
      <c r="N56" s="24" t="s">
        <v>2938</v>
      </c>
      <c r="O56" s="24" t="s">
        <v>2939</v>
      </c>
      <c r="P56" s="24" t="s">
        <v>2940</v>
      </c>
    </row>
    <row r="57" spans="1:16" s="23" customFormat="1">
      <c r="A57" s="24">
        <v>3</v>
      </c>
      <c r="B57" s="24" t="s">
        <v>2941</v>
      </c>
      <c r="C57" s="24" t="s">
        <v>2942</v>
      </c>
      <c r="D57" s="24" t="s">
        <v>171</v>
      </c>
      <c r="E57" s="24" t="s">
        <v>2943</v>
      </c>
      <c r="F57" s="25">
        <v>39934</v>
      </c>
      <c r="G57" s="25">
        <v>41759</v>
      </c>
      <c r="H57" s="24" t="s">
        <v>1194</v>
      </c>
      <c r="I57" s="24" t="s">
        <v>2768</v>
      </c>
      <c r="J57" s="26">
        <v>14944</v>
      </c>
      <c r="K57" s="27">
        <v>0</v>
      </c>
      <c r="L57" s="27">
        <v>178103.28</v>
      </c>
      <c r="M57" s="27">
        <v>178103.28</v>
      </c>
      <c r="N57" s="24" t="s">
        <v>2944</v>
      </c>
      <c r="O57" s="24" t="s">
        <v>2945</v>
      </c>
      <c r="P57" s="24" t="s">
        <v>2946</v>
      </c>
    </row>
    <row r="58" spans="1:16" s="23" customFormat="1">
      <c r="A58" s="24">
        <v>3</v>
      </c>
      <c r="B58" s="24" t="s">
        <v>2947</v>
      </c>
      <c r="C58" s="24" t="s">
        <v>2948</v>
      </c>
      <c r="D58" s="24" t="s">
        <v>213</v>
      </c>
      <c r="E58" s="24" t="s">
        <v>2949</v>
      </c>
      <c r="F58" s="25">
        <v>34087</v>
      </c>
      <c r="G58" s="25">
        <v>41574</v>
      </c>
      <c r="H58" s="24" t="s">
        <v>1194</v>
      </c>
      <c r="I58" s="24" t="s">
        <v>2768</v>
      </c>
      <c r="J58" s="26">
        <v>253669</v>
      </c>
      <c r="K58" s="27">
        <v>0</v>
      </c>
      <c r="L58" s="27">
        <v>2063103.45</v>
      </c>
      <c r="M58" s="27">
        <v>2063103.45</v>
      </c>
      <c r="N58" s="24" t="s">
        <v>2950</v>
      </c>
      <c r="O58" s="24" t="s">
        <v>2951</v>
      </c>
      <c r="P58" s="24" t="s">
        <v>2952</v>
      </c>
    </row>
    <row r="59" spans="1:16" s="23" customFormat="1">
      <c r="A59" s="24">
        <v>3</v>
      </c>
      <c r="B59" s="24" t="s">
        <v>2953</v>
      </c>
      <c r="C59" s="24" t="s">
        <v>2948</v>
      </c>
      <c r="D59" s="24" t="s">
        <v>213</v>
      </c>
      <c r="E59" s="24" t="s">
        <v>2949</v>
      </c>
      <c r="F59" s="25">
        <v>32143</v>
      </c>
      <c r="G59" s="25">
        <v>41639</v>
      </c>
      <c r="H59" s="24" t="s">
        <v>1194</v>
      </c>
      <c r="I59" s="24" t="s">
        <v>2768</v>
      </c>
      <c r="J59" s="26">
        <v>5750</v>
      </c>
      <c r="K59" s="27">
        <v>0</v>
      </c>
      <c r="L59" s="27">
        <v>38050</v>
      </c>
      <c r="M59" s="27">
        <v>38050</v>
      </c>
      <c r="N59" s="24" t="s">
        <v>2950</v>
      </c>
      <c r="O59" s="24" t="s">
        <v>2951</v>
      </c>
      <c r="P59" s="24" t="s">
        <v>2954</v>
      </c>
    </row>
    <row r="60" spans="1:16" s="23" customFormat="1">
      <c r="A60" s="24">
        <v>3</v>
      </c>
      <c r="B60" s="24" t="s">
        <v>2955</v>
      </c>
      <c r="C60" s="24" t="s">
        <v>2948</v>
      </c>
      <c r="D60" s="24" t="s">
        <v>213</v>
      </c>
      <c r="E60" s="24" t="s">
        <v>2949</v>
      </c>
      <c r="F60" s="25">
        <v>37956</v>
      </c>
      <c r="G60" s="25">
        <v>41608</v>
      </c>
      <c r="H60" s="24" t="s">
        <v>1194</v>
      </c>
      <c r="I60" s="24" t="s">
        <v>2768</v>
      </c>
      <c r="J60" s="26">
        <v>75986</v>
      </c>
      <c r="K60" s="27">
        <v>0</v>
      </c>
      <c r="L60" s="27">
        <v>962712.75</v>
      </c>
      <c r="M60" s="27">
        <v>962712.75</v>
      </c>
      <c r="N60" s="24" t="s">
        <v>2950</v>
      </c>
      <c r="O60" s="24" t="s">
        <v>2951</v>
      </c>
      <c r="P60" s="24" t="s">
        <v>2954</v>
      </c>
    </row>
    <row r="61" spans="1:16" s="23" customFormat="1">
      <c r="A61" s="24">
        <v>4</v>
      </c>
      <c r="B61" s="24" t="s">
        <v>2956</v>
      </c>
      <c r="C61" s="24" t="s">
        <v>2957</v>
      </c>
      <c r="D61" s="24" t="s">
        <v>219</v>
      </c>
      <c r="E61" s="24" t="s">
        <v>2958</v>
      </c>
      <c r="F61" s="25">
        <v>34526</v>
      </c>
      <c r="G61" s="25">
        <v>41830</v>
      </c>
      <c r="H61" s="24" t="s">
        <v>1194</v>
      </c>
      <c r="I61" s="24" t="s">
        <v>2768</v>
      </c>
      <c r="J61" s="26">
        <v>14653</v>
      </c>
      <c r="K61" s="27">
        <v>0</v>
      </c>
      <c r="L61" s="27">
        <v>282427.05</v>
      </c>
      <c r="M61" s="27">
        <v>282427.05</v>
      </c>
      <c r="N61" s="24" t="s">
        <v>2928</v>
      </c>
      <c r="O61" s="24" t="s">
        <v>2929</v>
      </c>
      <c r="P61" s="24" t="s">
        <v>2959</v>
      </c>
    </row>
    <row r="62" spans="1:16" s="23" customFormat="1">
      <c r="A62" s="24">
        <v>4</v>
      </c>
      <c r="B62" s="24" t="s">
        <v>2960</v>
      </c>
      <c r="C62" s="24" t="s">
        <v>2961</v>
      </c>
      <c r="D62" s="24" t="s">
        <v>223</v>
      </c>
      <c r="E62" s="24" t="s">
        <v>2962</v>
      </c>
      <c r="F62" s="25">
        <v>37543</v>
      </c>
      <c r="G62" s="25">
        <v>41578</v>
      </c>
      <c r="H62" s="24" t="s">
        <v>1194</v>
      </c>
      <c r="I62" s="24" t="s">
        <v>2768</v>
      </c>
      <c r="J62" s="26">
        <v>7508</v>
      </c>
      <c r="K62" s="27">
        <v>0</v>
      </c>
      <c r="L62" s="27">
        <v>116489.76</v>
      </c>
      <c r="M62" s="27">
        <v>116489.76</v>
      </c>
      <c r="N62" s="24" t="s">
        <v>2963</v>
      </c>
      <c r="O62" s="24" t="s">
        <v>2964</v>
      </c>
      <c r="P62" s="24" t="s">
        <v>2965</v>
      </c>
    </row>
    <row r="63" spans="1:16" s="23" customFormat="1">
      <c r="A63" s="24">
        <v>4</v>
      </c>
      <c r="B63" s="24" t="s">
        <v>2966</v>
      </c>
      <c r="C63" s="24" t="s">
        <v>2967</v>
      </c>
      <c r="D63" s="24" t="s">
        <v>159</v>
      </c>
      <c r="E63" s="24" t="s">
        <v>2968</v>
      </c>
      <c r="F63" s="25">
        <v>34304</v>
      </c>
      <c r="G63" s="25">
        <v>41608</v>
      </c>
      <c r="H63" s="24" t="s">
        <v>1194</v>
      </c>
      <c r="I63" s="24" t="s">
        <v>2768</v>
      </c>
      <c r="J63" s="26">
        <v>236744</v>
      </c>
      <c r="K63" s="27">
        <v>787343.34</v>
      </c>
      <c r="L63" s="27">
        <v>3327752.96</v>
      </c>
      <c r="M63" s="27">
        <v>4115096.3</v>
      </c>
      <c r="N63" s="24" t="s">
        <v>2969</v>
      </c>
      <c r="O63" s="24" t="s">
        <v>2970</v>
      </c>
      <c r="P63" s="24" t="s">
        <v>2971</v>
      </c>
    </row>
    <row r="64" spans="1:16" s="23" customFormat="1">
      <c r="A64" s="24">
        <v>4</v>
      </c>
      <c r="B64" s="24" t="s">
        <v>2972</v>
      </c>
      <c r="C64" s="24" t="s">
        <v>2973</v>
      </c>
      <c r="D64" s="24" t="s">
        <v>159</v>
      </c>
      <c r="E64" s="24" t="s">
        <v>2968</v>
      </c>
      <c r="F64" s="25">
        <v>40360</v>
      </c>
      <c r="G64" s="25">
        <v>41698</v>
      </c>
      <c r="H64" s="24" t="s">
        <v>1194</v>
      </c>
      <c r="I64" s="24" t="s">
        <v>2974</v>
      </c>
      <c r="J64" s="26">
        <v>6215</v>
      </c>
      <c r="K64" s="27">
        <v>11100.52</v>
      </c>
      <c r="L64" s="27">
        <v>136475.76999999999</v>
      </c>
      <c r="M64" s="27">
        <v>147576.29</v>
      </c>
      <c r="N64" s="24" t="s">
        <v>2969</v>
      </c>
      <c r="O64" s="24" t="s">
        <v>2970</v>
      </c>
      <c r="P64" s="24" t="s">
        <v>2971</v>
      </c>
    </row>
    <row r="65" spans="1:16" s="23" customFormat="1">
      <c r="A65" s="24">
        <v>5</v>
      </c>
      <c r="B65" s="24" t="s">
        <v>2975</v>
      </c>
      <c r="C65" s="24" t="s">
        <v>2976</v>
      </c>
      <c r="D65" s="24" t="s">
        <v>140</v>
      </c>
      <c r="E65" s="24" t="s">
        <v>2977</v>
      </c>
      <c r="F65" s="25">
        <v>39479</v>
      </c>
      <c r="G65" s="25">
        <v>41608</v>
      </c>
      <c r="H65" s="24" t="s">
        <v>1194</v>
      </c>
      <c r="I65" s="24" t="s">
        <v>2768</v>
      </c>
      <c r="J65" s="26">
        <v>18637</v>
      </c>
      <c r="K65" s="27">
        <v>96788.58</v>
      </c>
      <c r="L65" s="27">
        <v>416844.37</v>
      </c>
      <c r="M65" s="27">
        <v>513632.95</v>
      </c>
      <c r="N65" s="24" t="s">
        <v>2978</v>
      </c>
      <c r="O65" s="24" t="s">
        <v>2979</v>
      </c>
      <c r="P65" s="24" t="s">
        <v>2980</v>
      </c>
    </row>
    <row r="66" spans="1:16" s="23" customFormat="1">
      <c r="A66" s="24">
        <v>5</v>
      </c>
      <c r="B66" s="24" t="s">
        <v>2981</v>
      </c>
      <c r="C66" s="24" t="s">
        <v>2982</v>
      </c>
      <c r="D66" s="24" t="s">
        <v>140</v>
      </c>
      <c r="E66" s="24" t="s">
        <v>2977</v>
      </c>
      <c r="F66" s="25">
        <v>36348</v>
      </c>
      <c r="G66" s="25">
        <v>41826</v>
      </c>
      <c r="H66" s="24" t="s">
        <v>1194</v>
      </c>
      <c r="I66" s="24" t="s">
        <v>2768</v>
      </c>
      <c r="J66" s="26">
        <v>9400</v>
      </c>
      <c r="K66" s="27">
        <v>71704.070000000007</v>
      </c>
      <c r="L66" s="27">
        <v>228199.2</v>
      </c>
      <c r="M66" s="27">
        <v>299903.27</v>
      </c>
      <c r="N66" s="24" t="s">
        <v>2983</v>
      </c>
      <c r="O66" s="24" t="s">
        <v>2984</v>
      </c>
      <c r="P66" s="24" t="s">
        <v>2985</v>
      </c>
    </row>
    <row r="67" spans="1:16" s="23" customFormat="1">
      <c r="A67" s="24">
        <v>5</v>
      </c>
      <c r="B67" s="24" t="s">
        <v>2986</v>
      </c>
      <c r="C67" s="24" t="s">
        <v>2987</v>
      </c>
      <c r="D67" s="24" t="s">
        <v>140</v>
      </c>
      <c r="E67" s="24" t="s">
        <v>2977</v>
      </c>
      <c r="F67" s="25">
        <v>36039</v>
      </c>
      <c r="G67" s="25">
        <v>41882</v>
      </c>
      <c r="H67" s="24" t="s">
        <v>1194</v>
      </c>
      <c r="I67" s="24" t="s">
        <v>2768</v>
      </c>
      <c r="J67" s="26">
        <v>1300</v>
      </c>
      <c r="K67" s="27">
        <v>0</v>
      </c>
      <c r="L67" s="27">
        <v>17875</v>
      </c>
      <c r="M67" s="27">
        <v>17875</v>
      </c>
      <c r="N67" s="24" t="s">
        <v>2988</v>
      </c>
      <c r="O67" s="24" t="s">
        <v>2989</v>
      </c>
      <c r="P67" s="24" t="s">
        <v>2990</v>
      </c>
    </row>
    <row r="68" spans="1:16" s="23" customFormat="1">
      <c r="A68" s="24">
        <v>5</v>
      </c>
      <c r="B68" s="24" t="s">
        <v>2991</v>
      </c>
      <c r="C68" s="24" t="s">
        <v>2992</v>
      </c>
      <c r="D68" s="24" t="s">
        <v>140</v>
      </c>
      <c r="E68" s="24" t="s">
        <v>2977</v>
      </c>
      <c r="F68" s="25">
        <v>38974</v>
      </c>
      <c r="G68" s="25">
        <v>41729</v>
      </c>
      <c r="H68" s="24" t="s">
        <v>1194</v>
      </c>
      <c r="I68" s="24" t="s">
        <v>2768</v>
      </c>
      <c r="J68" s="26">
        <v>14413</v>
      </c>
      <c r="K68" s="27">
        <v>84526.71</v>
      </c>
      <c r="L68" s="27">
        <v>327747.92</v>
      </c>
      <c r="M68" s="27">
        <v>412274.63</v>
      </c>
      <c r="N68" s="24" t="s">
        <v>2993</v>
      </c>
      <c r="O68" s="24" t="s">
        <v>2994</v>
      </c>
      <c r="P68" s="24" t="s">
        <v>2995</v>
      </c>
    </row>
    <row r="69" spans="1:16" s="23" customFormat="1">
      <c r="A69" s="24">
        <v>5</v>
      </c>
      <c r="B69" s="24" t="s">
        <v>2996</v>
      </c>
      <c r="C69" s="24" t="s">
        <v>2992</v>
      </c>
      <c r="D69" s="24" t="s">
        <v>140</v>
      </c>
      <c r="E69" s="24" t="s">
        <v>2977</v>
      </c>
      <c r="F69" s="25">
        <v>38078</v>
      </c>
      <c r="G69" s="25">
        <v>41729</v>
      </c>
      <c r="H69" s="24" t="s">
        <v>1194</v>
      </c>
      <c r="I69" s="24" t="s">
        <v>2768</v>
      </c>
      <c r="J69" s="26">
        <v>64994</v>
      </c>
      <c r="K69" s="27">
        <v>0</v>
      </c>
      <c r="L69" s="27">
        <v>1958269.22</v>
      </c>
      <c r="M69" s="27">
        <v>1958269.22</v>
      </c>
      <c r="N69" s="24" t="s">
        <v>2993</v>
      </c>
      <c r="O69" s="24" t="s">
        <v>2994</v>
      </c>
      <c r="P69" s="24" t="s">
        <v>2995</v>
      </c>
    </row>
    <row r="70" spans="1:16" s="23" customFormat="1">
      <c r="A70" s="24">
        <v>5</v>
      </c>
      <c r="B70" s="24" t="s">
        <v>2997</v>
      </c>
      <c r="C70" s="24" t="s">
        <v>2998</v>
      </c>
      <c r="D70" s="24" t="s">
        <v>140</v>
      </c>
      <c r="E70" s="24" t="s">
        <v>2977</v>
      </c>
      <c r="F70" s="25">
        <v>38108</v>
      </c>
      <c r="G70" s="25">
        <v>41759</v>
      </c>
      <c r="H70" s="24" t="s">
        <v>1194</v>
      </c>
      <c r="I70" s="24" t="s">
        <v>2768</v>
      </c>
      <c r="J70" s="26">
        <v>12045</v>
      </c>
      <c r="K70" s="27">
        <v>109051.07</v>
      </c>
      <c r="L70" s="27">
        <v>265996.5</v>
      </c>
      <c r="M70" s="27">
        <v>375047.57</v>
      </c>
      <c r="N70" s="24" t="s">
        <v>2999</v>
      </c>
      <c r="O70" s="24" t="s">
        <v>3000</v>
      </c>
      <c r="P70" s="24" t="s">
        <v>3001</v>
      </c>
    </row>
    <row r="71" spans="1:16" s="23" customFormat="1">
      <c r="A71" s="24">
        <v>5</v>
      </c>
      <c r="B71" s="24" t="s">
        <v>3002</v>
      </c>
      <c r="C71" s="24" t="s">
        <v>3003</v>
      </c>
      <c r="D71" s="24" t="s">
        <v>84</v>
      </c>
      <c r="E71" s="24" t="s">
        <v>3004</v>
      </c>
      <c r="F71" s="25">
        <v>37725</v>
      </c>
      <c r="G71" s="25">
        <v>41729</v>
      </c>
      <c r="H71" s="24" t="s">
        <v>1194</v>
      </c>
      <c r="I71" s="24" t="s">
        <v>2768</v>
      </c>
      <c r="J71" s="26">
        <v>2601</v>
      </c>
      <c r="K71" s="27">
        <v>9428.17</v>
      </c>
      <c r="L71" s="27">
        <v>44336.1</v>
      </c>
      <c r="M71" s="27">
        <v>53764.27</v>
      </c>
      <c r="N71" s="24" t="s">
        <v>3005</v>
      </c>
      <c r="O71" s="24" t="s">
        <v>3006</v>
      </c>
      <c r="P71" s="24" t="s">
        <v>3007</v>
      </c>
    </row>
    <row r="72" spans="1:16" s="23" customFormat="1">
      <c r="A72" s="24">
        <v>5</v>
      </c>
      <c r="B72" s="24" t="s">
        <v>3008</v>
      </c>
      <c r="C72" s="24" t="s">
        <v>3009</v>
      </c>
      <c r="D72" s="24" t="s">
        <v>140</v>
      </c>
      <c r="E72" s="24" t="s">
        <v>2977</v>
      </c>
      <c r="F72" s="25">
        <v>38049</v>
      </c>
      <c r="G72" s="25">
        <v>41729</v>
      </c>
      <c r="H72" s="24" t="s">
        <v>1194</v>
      </c>
      <c r="I72" s="24" t="s">
        <v>2768</v>
      </c>
      <c r="J72" s="26">
        <v>81493</v>
      </c>
      <c r="K72" s="27">
        <v>556223.48</v>
      </c>
      <c r="L72" s="27">
        <v>1352226.4</v>
      </c>
      <c r="M72" s="27">
        <v>1908449.88</v>
      </c>
      <c r="N72" s="24" t="s">
        <v>2999</v>
      </c>
      <c r="O72" s="24" t="s">
        <v>3000</v>
      </c>
      <c r="P72" s="24" t="s">
        <v>3001</v>
      </c>
    </row>
    <row r="73" spans="1:16" s="23" customFormat="1">
      <c r="A73" s="24">
        <v>5</v>
      </c>
      <c r="B73" s="24" t="s">
        <v>3010</v>
      </c>
      <c r="C73" s="24" t="s">
        <v>3011</v>
      </c>
      <c r="D73" s="24" t="s">
        <v>205</v>
      </c>
      <c r="E73" s="24" t="s">
        <v>3012</v>
      </c>
      <c r="F73" s="25">
        <v>36495</v>
      </c>
      <c r="G73" s="25">
        <v>41882</v>
      </c>
      <c r="H73" s="24" t="s">
        <v>1194</v>
      </c>
      <c r="I73" s="24" t="s">
        <v>2768</v>
      </c>
      <c r="J73" s="26">
        <v>10230</v>
      </c>
      <c r="K73" s="27">
        <v>24040.5</v>
      </c>
      <c r="L73" s="27">
        <v>217091.37</v>
      </c>
      <c r="M73" s="27">
        <v>241131.87</v>
      </c>
      <c r="N73" s="24" t="s">
        <v>3013</v>
      </c>
      <c r="O73" s="24" t="s">
        <v>3014</v>
      </c>
      <c r="P73" s="24" t="s">
        <v>3015</v>
      </c>
    </row>
    <row r="74" spans="1:16" s="23" customFormat="1">
      <c r="A74" s="24">
        <v>5</v>
      </c>
      <c r="B74" s="24" t="s">
        <v>3016</v>
      </c>
      <c r="C74" s="24" t="s">
        <v>3017</v>
      </c>
      <c r="D74" s="24" t="s">
        <v>205</v>
      </c>
      <c r="E74" s="24" t="s">
        <v>3018</v>
      </c>
      <c r="F74" s="25">
        <v>40026</v>
      </c>
      <c r="G74" s="25">
        <v>41578</v>
      </c>
      <c r="H74" s="24" t="s">
        <v>1194</v>
      </c>
      <c r="I74" s="24" t="s">
        <v>2768</v>
      </c>
      <c r="J74" s="26">
        <v>6477</v>
      </c>
      <c r="K74" s="27">
        <v>0</v>
      </c>
      <c r="L74" s="27">
        <v>856554.24</v>
      </c>
      <c r="M74" s="27">
        <v>856554.24</v>
      </c>
      <c r="N74" s="24" t="s">
        <v>3019</v>
      </c>
      <c r="O74" s="24" t="s">
        <v>3020</v>
      </c>
      <c r="P74" s="24" t="s">
        <v>3021</v>
      </c>
    </row>
    <row r="75" spans="1:16" s="23" customFormat="1">
      <c r="A75" s="24">
        <v>5</v>
      </c>
      <c r="B75" s="24" t="s">
        <v>3022</v>
      </c>
      <c r="C75" s="24" t="s">
        <v>3023</v>
      </c>
      <c r="D75" s="24" t="s">
        <v>205</v>
      </c>
      <c r="E75" s="24" t="s">
        <v>3018</v>
      </c>
      <c r="F75" s="25">
        <v>33878</v>
      </c>
      <c r="G75" s="25">
        <v>41608</v>
      </c>
      <c r="H75" s="24" t="s">
        <v>1194</v>
      </c>
      <c r="I75" s="24" t="s">
        <v>2768</v>
      </c>
      <c r="J75" s="26">
        <v>16612</v>
      </c>
      <c r="K75" s="27">
        <v>37398.89</v>
      </c>
      <c r="L75" s="27">
        <v>248004.91</v>
      </c>
      <c r="M75" s="27">
        <v>285403.8</v>
      </c>
      <c r="N75" s="24" t="s">
        <v>3024</v>
      </c>
      <c r="O75" s="24" t="s">
        <v>3025</v>
      </c>
      <c r="P75" s="24" t="s">
        <v>3026</v>
      </c>
    </row>
    <row r="76" spans="1:16" s="23" customFormat="1">
      <c r="A76" s="24">
        <v>5</v>
      </c>
      <c r="B76" s="24" t="s">
        <v>3027</v>
      </c>
      <c r="C76" s="24" t="s">
        <v>3028</v>
      </c>
      <c r="D76" s="24" t="s">
        <v>177</v>
      </c>
      <c r="E76" s="24" t="s">
        <v>3029</v>
      </c>
      <c r="F76" s="25">
        <v>37956</v>
      </c>
      <c r="G76" s="25">
        <v>41608</v>
      </c>
      <c r="H76" s="24" t="s">
        <v>1194</v>
      </c>
      <c r="I76" s="24" t="s">
        <v>2768</v>
      </c>
      <c r="J76" s="26">
        <v>1291</v>
      </c>
      <c r="K76" s="27">
        <v>0</v>
      </c>
      <c r="L76" s="27">
        <v>14007.35</v>
      </c>
      <c r="M76" s="27">
        <v>14007.35</v>
      </c>
      <c r="N76" s="24" t="s">
        <v>3030</v>
      </c>
      <c r="O76" s="24" t="s">
        <v>3031</v>
      </c>
      <c r="P76" s="24" t="s">
        <v>3032</v>
      </c>
    </row>
    <row r="77" spans="1:16" s="23" customFormat="1">
      <c r="A77" s="24">
        <v>5</v>
      </c>
      <c r="B77" s="24" t="s">
        <v>3033</v>
      </c>
      <c r="C77" s="24" t="s">
        <v>3034</v>
      </c>
      <c r="D77" s="24" t="s">
        <v>205</v>
      </c>
      <c r="E77" s="24" t="s">
        <v>3018</v>
      </c>
      <c r="F77" s="25">
        <v>34726</v>
      </c>
      <c r="G77" s="25">
        <v>41670</v>
      </c>
      <c r="H77" s="24" t="s">
        <v>1194</v>
      </c>
      <c r="I77" s="24" t="s">
        <v>2768</v>
      </c>
      <c r="J77" s="26">
        <v>61807</v>
      </c>
      <c r="K77" s="27">
        <v>281310.59999999998</v>
      </c>
      <c r="L77" s="27">
        <v>892167</v>
      </c>
      <c r="M77" s="27">
        <v>1173477.6000000001</v>
      </c>
      <c r="N77" s="24" t="s">
        <v>3035</v>
      </c>
      <c r="O77" s="24" t="s">
        <v>3036</v>
      </c>
      <c r="P77" s="24" t="s">
        <v>3037</v>
      </c>
    </row>
    <row r="78" spans="1:16" s="23" customFormat="1">
      <c r="A78" s="24">
        <v>5</v>
      </c>
      <c r="B78" s="24" t="s">
        <v>3038</v>
      </c>
      <c r="C78" s="24" t="s">
        <v>2982</v>
      </c>
      <c r="D78" s="24" t="s">
        <v>140</v>
      </c>
      <c r="E78" s="24" t="s">
        <v>2977</v>
      </c>
      <c r="F78" s="25">
        <v>36732</v>
      </c>
      <c r="G78" s="25">
        <v>41663</v>
      </c>
      <c r="H78" s="24" t="s">
        <v>1194</v>
      </c>
      <c r="I78" s="24" t="s">
        <v>2768</v>
      </c>
      <c r="J78" s="26">
        <v>14025</v>
      </c>
      <c r="K78" s="27">
        <v>142226.04999999999</v>
      </c>
      <c r="L78" s="27">
        <v>242544.04</v>
      </c>
      <c r="M78" s="27">
        <v>384770.09</v>
      </c>
      <c r="N78" s="24" t="s">
        <v>2988</v>
      </c>
      <c r="O78" s="24" t="s">
        <v>2989</v>
      </c>
      <c r="P78" s="24" t="s">
        <v>2990</v>
      </c>
    </row>
    <row r="79" spans="1:16" s="23" customFormat="1">
      <c r="A79" s="24">
        <v>5</v>
      </c>
      <c r="B79" s="24" t="s">
        <v>3039</v>
      </c>
      <c r="C79" s="24" t="s">
        <v>2982</v>
      </c>
      <c r="D79" s="24" t="s">
        <v>140</v>
      </c>
      <c r="E79" s="24" t="s">
        <v>2977</v>
      </c>
      <c r="F79" s="25">
        <v>33890</v>
      </c>
      <c r="G79" s="25">
        <v>41759</v>
      </c>
      <c r="H79" s="24" t="s">
        <v>1194</v>
      </c>
      <c r="I79" s="24" t="s">
        <v>2768</v>
      </c>
      <c r="J79" s="26">
        <v>2402</v>
      </c>
      <c r="K79" s="27">
        <v>15866.54</v>
      </c>
      <c r="L79" s="27">
        <v>50501.08</v>
      </c>
      <c r="M79" s="27">
        <v>66367.62</v>
      </c>
      <c r="N79" s="24" t="s">
        <v>3040</v>
      </c>
      <c r="O79" s="24" t="s">
        <v>3041</v>
      </c>
      <c r="P79" s="24" t="s">
        <v>3042</v>
      </c>
    </row>
    <row r="80" spans="1:16" s="23" customFormat="1">
      <c r="A80" s="24">
        <v>5</v>
      </c>
      <c r="B80" s="24" t="s">
        <v>3043</v>
      </c>
      <c r="C80" s="24" t="s">
        <v>2982</v>
      </c>
      <c r="D80" s="24" t="s">
        <v>140</v>
      </c>
      <c r="E80" s="24" t="s">
        <v>2977</v>
      </c>
      <c r="F80" s="25">
        <v>37358</v>
      </c>
      <c r="G80" s="25">
        <v>41609</v>
      </c>
      <c r="H80" s="24" t="s">
        <v>1194</v>
      </c>
      <c r="I80" s="24" t="s">
        <v>2768</v>
      </c>
      <c r="J80" s="26">
        <v>1380</v>
      </c>
      <c r="K80" s="27">
        <v>0</v>
      </c>
      <c r="L80" s="27">
        <v>35880</v>
      </c>
      <c r="M80" s="27">
        <v>35880</v>
      </c>
      <c r="N80" s="24" t="s">
        <v>3044</v>
      </c>
      <c r="O80" s="24" t="s">
        <v>3045</v>
      </c>
      <c r="P80" s="24" t="s">
        <v>3046</v>
      </c>
    </row>
    <row r="81" spans="1:16" s="23" customFormat="1">
      <c r="A81" s="24">
        <v>5</v>
      </c>
      <c r="B81" s="24" t="s">
        <v>3047</v>
      </c>
      <c r="C81" s="24" t="s">
        <v>2982</v>
      </c>
      <c r="D81" s="24" t="s">
        <v>140</v>
      </c>
      <c r="E81" s="24" t="s">
        <v>2977</v>
      </c>
      <c r="F81" s="25">
        <v>34486</v>
      </c>
      <c r="G81" s="25">
        <v>41608</v>
      </c>
      <c r="H81" s="24" t="s">
        <v>1194</v>
      </c>
      <c r="I81" s="24" t="s">
        <v>2768</v>
      </c>
      <c r="J81" s="26">
        <v>7050</v>
      </c>
      <c r="K81" s="27">
        <v>48499.55</v>
      </c>
      <c r="L81" s="27">
        <v>110466.45</v>
      </c>
      <c r="M81" s="27">
        <v>158966</v>
      </c>
      <c r="N81" s="24" t="s">
        <v>3044</v>
      </c>
      <c r="O81" s="24" t="s">
        <v>3045</v>
      </c>
      <c r="P81" s="24" t="s">
        <v>3046</v>
      </c>
    </row>
    <row r="82" spans="1:16" s="23" customFormat="1">
      <c r="A82" s="24">
        <v>5</v>
      </c>
      <c r="B82" s="24" t="s">
        <v>3048</v>
      </c>
      <c r="C82" s="24" t="s">
        <v>2982</v>
      </c>
      <c r="D82" s="24" t="s">
        <v>140</v>
      </c>
      <c r="E82" s="24" t="s">
        <v>2977</v>
      </c>
      <c r="F82" s="25">
        <v>38231</v>
      </c>
      <c r="G82" s="25">
        <v>41882</v>
      </c>
      <c r="H82" s="24" t="s">
        <v>1194</v>
      </c>
      <c r="I82" s="24" t="s">
        <v>2768</v>
      </c>
      <c r="J82" s="26">
        <v>5537</v>
      </c>
      <c r="K82" s="27">
        <v>23037.41</v>
      </c>
      <c r="L82" s="27">
        <v>150836.51999999999</v>
      </c>
      <c r="M82" s="27">
        <v>173873.93</v>
      </c>
      <c r="N82" s="24" t="s">
        <v>3049</v>
      </c>
      <c r="O82" s="24" t="s">
        <v>3050</v>
      </c>
      <c r="P82" s="24" t="s">
        <v>3051</v>
      </c>
    </row>
    <row r="83" spans="1:16" s="23" customFormat="1">
      <c r="A83" s="24">
        <v>5</v>
      </c>
      <c r="B83" s="24" t="s">
        <v>3052</v>
      </c>
      <c r="C83" s="24" t="s">
        <v>2992</v>
      </c>
      <c r="D83" s="24" t="s">
        <v>140</v>
      </c>
      <c r="E83" s="24" t="s">
        <v>2977</v>
      </c>
      <c r="F83" s="25">
        <v>37956</v>
      </c>
      <c r="G83" s="25">
        <v>41608</v>
      </c>
      <c r="H83" s="24" t="s">
        <v>1194</v>
      </c>
      <c r="I83" s="24" t="s">
        <v>2768</v>
      </c>
      <c r="J83" s="26">
        <v>14466</v>
      </c>
      <c r="K83" s="27">
        <v>100855.6</v>
      </c>
      <c r="L83" s="27">
        <v>288136.15000000002</v>
      </c>
      <c r="M83" s="27">
        <v>388991.75</v>
      </c>
      <c r="N83" s="24" t="s">
        <v>3005</v>
      </c>
      <c r="O83" s="24" t="s">
        <v>3006</v>
      </c>
      <c r="P83" s="24" t="s">
        <v>3007</v>
      </c>
    </row>
    <row r="84" spans="1:16" s="23" customFormat="1">
      <c r="A84" s="24">
        <v>5</v>
      </c>
      <c r="B84" s="24" t="s">
        <v>3053</v>
      </c>
      <c r="C84" s="24" t="s">
        <v>3054</v>
      </c>
      <c r="D84" s="24" t="s">
        <v>140</v>
      </c>
      <c r="E84" s="24" t="s">
        <v>2977</v>
      </c>
      <c r="F84" s="25">
        <v>37133</v>
      </c>
      <c r="G84" s="25">
        <v>41608</v>
      </c>
      <c r="H84" s="24" t="s">
        <v>1194</v>
      </c>
      <c r="I84" s="24" t="s">
        <v>2768</v>
      </c>
      <c r="J84" s="26">
        <v>19067</v>
      </c>
      <c r="K84" s="27">
        <v>150743.38</v>
      </c>
      <c r="L84" s="27">
        <v>715821.02</v>
      </c>
      <c r="M84" s="27">
        <v>866564.4</v>
      </c>
      <c r="N84" s="24" t="s">
        <v>2983</v>
      </c>
      <c r="O84" s="24" t="s">
        <v>2984</v>
      </c>
      <c r="P84" s="24" t="s">
        <v>2985</v>
      </c>
    </row>
    <row r="85" spans="1:16" s="23" customFormat="1">
      <c r="A85" s="24">
        <v>5</v>
      </c>
      <c r="B85" s="24" t="s">
        <v>3055</v>
      </c>
      <c r="C85" s="24" t="s">
        <v>3056</v>
      </c>
      <c r="D85" s="24" t="s">
        <v>140</v>
      </c>
      <c r="E85" s="24" t="s">
        <v>3057</v>
      </c>
      <c r="F85" s="25">
        <v>40169</v>
      </c>
      <c r="G85" s="25">
        <v>41729</v>
      </c>
      <c r="H85" s="24" t="s">
        <v>1194</v>
      </c>
      <c r="I85" s="24" t="s">
        <v>2974</v>
      </c>
      <c r="J85" s="26">
        <v>6057</v>
      </c>
      <c r="K85" s="27">
        <v>0</v>
      </c>
      <c r="L85" s="27">
        <v>71730</v>
      </c>
      <c r="M85" s="27">
        <v>71730</v>
      </c>
      <c r="N85" s="24" t="s">
        <v>3035</v>
      </c>
      <c r="O85" s="24" t="s">
        <v>3036</v>
      </c>
      <c r="P85" s="24" t="s">
        <v>3037</v>
      </c>
    </row>
    <row r="86" spans="1:16" s="23" customFormat="1">
      <c r="A86" s="24">
        <v>5</v>
      </c>
      <c r="B86" s="24" t="s">
        <v>3058</v>
      </c>
      <c r="C86" s="24" t="s">
        <v>2982</v>
      </c>
      <c r="D86" s="24" t="s">
        <v>140</v>
      </c>
      <c r="E86" s="24" t="s">
        <v>2977</v>
      </c>
      <c r="F86" s="25">
        <v>37956</v>
      </c>
      <c r="G86" s="25">
        <v>41608</v>
      </c>
      <c r="H86" s="24" t="s">
        <v>1194</v>
      </c>
      <c r="I86" s="24" t="s">
        <v>2768</v>
      </c>
      <c r="J86" s="26">
        <v>14460</v>
      </c>
      <c r="K86" s="27">
        <v>93641.98</v>
      </c>
      <c r="L86" s="27">
        <v>277632</v>
      </c>
      <c r="M86" s="27">
        <v>371273.98</v>
      </c>
      <c r="N86" s="24" t="s">
        <v>3024</v>
      </c>
      <c r="O86" s="24" t="s">
        <v>3025</v>
      </c>
      <c r="P86" s="24" t="s">
        <v>3026</v>
      </c>
    </row>
    <row r="87" spans="1:16" s="23" customFormat="1">
      <c r="A87" s="24">
        <v>5</v>
      </c>
      <c r="B87" s="24" t="s">
        <v>3059</v>
      </c>
      <c r="C87" s="24" t="s">
        <v>2982</v>
      </c>
      <c r="D87" s="24" t="s">
        <v>140</v>
      </c>
      <c r="E87" s="24" t="s">
        <v>2977</v>
      </c>
      <c r="F87" s="25">
        <v>38108</v>
      </c>
      <c r="G87" s="25">
        <v>41759</v>
      </c>
      <c r="H87" s="24" t="s">
        <v>1194</v>
      </c>
      <c r="I87" s="24" t="s">
        <v>2768</v>
      </c>
      <c r="J87" s="26">
        <v>6729</v>
      </c>
      <c r="K87" s="27">
        <v>36336.6</v>
      </c>
      <c r="L87" s="27">
        <v>154698.54999999999</v>
      </c>
      <c r="M87" s="27">
        <v>191035.15</v>
      </c>
      <c r="N87" s="24" t="s">
        <v>3049</v>
      </c>
      <c r="O87" s="24" t="s">
        <v>3050</v>
      </c>
      <c r="P87" s="24" t="s">
        <v>3051</v>
      </c>
    </row>
    <row r="88" spans="1:16" s="23" customFormat="1">
      <c r="A88" s="24">
        <v>5</v>
      </c>
      <c r="B88" s="24" t="s">
        <v>3060</v>
      </c>
      <c r="C88" s="24" t="s">
        <v>3054</v>
      </c>
      <c r="D88" s="24" t="s">
        <v>140</v>
      </c>
      <c r="E88" s="24" t="s">
        <v>2977</v>
      </c>
      <c r="F88" s="25">
        <v>34486</v>
      </c>
      <c r="G88" s="25">
        <v>41653</v>
      </c>
      <c r="H88" s="24" t="s">
        <v>1194</v>
      </c>
      <c r="I88" s="24" t="s">
        <v>2768</v>
      </c>
      <c r="J88" s="26">
        <v>6137</v>
      </c>
      <c r="K88" s="27">
        <v>74026.37</v>
      </c>
      <c r="L88" s="27">
        <v>120161.26</v>
      </c>
      <c r="M88" s="27">
        <v>194187.63</v>
      </c>
      <c r="N88" s="24" t="s">
        <v>3044</v>
      </c>
      <c r="O88" s="24" t="s">
        <v>3045</v>
      </c>
      <c r="P88" s="24" t="s">
        <v>3046</v>
      </c>
    </row>
    <row r="89" spans="1:16" s="23" customFormat="1">
      <c r="A89" s="24">
        <v>6</v>
      </c>
      <c r="B89" s="24" t="s">
        <v>3061</v>
      </c>
      <c r="C89" s="24" t="s">
        <v>3062</v>
      </c>
      <c r="D89" s="24" t="s">
        <v>183</v>
      </c>
      <c r="E89" s="24" t="s">
        <v>3063</v>
      </c>
      <c r="F89" s="25">
        <v>29860</v>
      </c>
      <c r="G89" s="25">
        <v>41912</v>
      </c>
      <c r="H89" s="24" t="s">
        <v>1194</v>
      </c>
      <c r="I89" s="24" t="s">
        <v>2768</v>
      </c>
      <c r="J89" s="26">
        <v>95289</v>
      </c>
      <c r="K89" s="27">
        <v>109058.65</v>
      </c>
      <c r="L89" s="27">
        <v>540247.19999999995</v>
      </c>
      <c r="M89" s="27">
        <v>649305.85</v>
      </c>
      <c r="N89" s="24" t="s">
        <v>3064</v>
      </c>
      <c r="O89" s="24" t="s">
        <v>3065</v>
      </c>
      <c r="P89" s="24" t="s">
        <v>3066</v>
      </c>
    </row>
    <row r="90" spans="1:16" s="23" customFormat="1">
      <c r="A90" s="24">
        <v>6</v>
      </c>
      <c r="B90" s="24" t="s">
        <v>3067</v>
      </c>
      <c r="C90" s="24" t="s">
        <v>3068</v>
      </c>
      <c r="D90" s="24" t="s">
        <v>183</v>
      </c>
      <c r="E90" s="24" t="s">
        <v>3069</v>
      </c>
      <c r="F90" s="25">
        <v>34389</v>
      </c>
      <c r="G90" s="25">
        <v>41732</v>
      </c>
      <c r="H90" s="24" t="s">
        <v>1194</v>
      </c>
      <c r="I90" s="24" t="s">
        <v>2768</v>
      </c>
      <c r="J90" s="26">
        <v>131675</v>
      </c>
      <c r="K90" s="27">
        <v>337938.66</v>
      </c>
      <c r="L90" s="27">
        <v>1611564.99</v>
      </c>
      <c r="M90" s="27">
        <v>1949503.65</v>
      </c>
      <c r="N90" s="24" t="s">
        <v>3070</v>
      </c>
      <c r="O90" s="24" t="s">
        <v>3071</v>
      </c>
      <c r="P90" s="24" t="s">
        <v>3072</v>
      </c>
    </row>
    <row r="91" spans="1:16" s="23" customFormat="1">
      <c r="A91" s="24">
        <v>7</v>
      </c>
      <c r="B91" s="24" t="s">
        <v>3073</v>
      </c>
      <c r="C91" s="24" t="s">
        <v>3074</v>
      </c>
      <c r="D91" s="24" t="s">
        <v>225</v>
      </c>
      <c r="E91" s="24" t="s">
        <v>3075</v>
      </c>
      <c r="F91" s="25">
        <v>30069</v>
      </c>
      <c r="G91" s="25">
        <v>41639</v>
      </c>
      <c r="H91" s="24" t="s">
        <v>1194</v>
      </c>
      <c r="I91" s="24" t="s">
        <v>2768</v>
      </c>
      <c r="J91" s="26">
        <v>74401</v>
      </c>
      <c r="K91" s="27">
        <v>425839.27</v>
      </c>
      <c r="L91" s="27">
        <v>500524.35</v>
      </c>
      <c r="M91" s="27">
        <v>926363.62</v>
      </c>
      <c r="N91" s="24" t="s">
        <v>3076</v>
      </c>
      <c r="O91" s="24" t="s">
        <v>3077</v>
      </c>
      <c r="P91" s="24" t="s">
        <v>3078</v>
      </c>
    </row>
    <row r="92" spans="1:16" s="23" customFormat="1">
      <c r="A92" s="24">
        <v>7</v>
      </c>
      <c r="B92" s="24" t="s">
        <v>3079</v>
      </c>
      <c r="C92" s="24" t="s">
        <v>3080</v>
      </c>
      <c r="D92" s="24" t="s">
        <v>225</v>
      </c>
      <c r="E92" s="24" t="s">
        <v>3075</v>
      </c>
      <c r="F92" s="25">
        <v>36410</v>
      </c>
      <c r="G92" s="25">
        <v>41875</v>
      </c>
      <c r="H92" s="24" t="s">
        <v>1194</v>
      </c>
      <c r="I92" s="24" t="s">
        <v>2768</v>
      </c>
      <c r="J92" s="26">
        <v>8698</v>
      </c>
      <c r="K92" s="27">
        <v>93285.81</v>
      </c>
      <c r="L92" s="27">
        <v>257968.04</v>
      </c>
      <c r="M92" s="27">
        <v>351253.85</v>
      </c>
      <c r="N92" s="24" t="s">
        <v>3081</v>
      </c>
      <c r="O92" s="24" t="s">
        <v>3082</v>
      </c>
      <c r="P92" s="24" t="s">
        <v>3078</v>
      </c>
    </row>
    <row r="93" spans="1:16" s="23" customFormat="1" ht="25.5">
      <c r="A93" s="24">
        <v>7</v>
      </c>
      <c r="B93" s="24" t="s">
        <v>3083</v>
      </c>
      <c r="C93" s="24" t="s">
        <v>3084</v>
      </c>
      <c r="D93" s="24" t="s">
        <v>225</v>
      </c>
      <c r="E93" s="24" t="s">
        <v>3085</v>
      </c>
      <c r="F93" s="25">
        <v>38108</v>
      </c>
      <c r="G93" s="25">
        <v>41759</v>
      </c>
      <c r="H93" s="24" t="s">
        <v>1194</v>
      </c>
      <c r="I93" s="24" t="s">
        <v>2768</v>
      </c>
      <c r="J93" s="26">
        <v>31419</v>
      </c>
      <c r="K93" s="27">
        <v>0</v>
      </c>
      <c r="L93" s="27">
        <v>188514</v>
      </c>
      <c r="M93" s="27">
        <v>188514</v>
      </c>
      <c r="N93" s="24" t="s">
        <v>3086</v>
      </c>
      <c r="O93" s="24" t="s">
        <v>3087</v>
      </c>
      <c r="P93" s="24" t="s">
        <v>3088</v>
      </c>
    </row>
    <row r="94" spans="1:16" s="23" customFormat="1">
      <c r="A94" s="24">
        <v>8</v>
      </c>
      <c r="B94" s="24" t="s">
        <v>3089</v>
      </c>
      <c r="C94" s="24" t="s">
        <v>3090</v>
      </c>
      <c r="D94" s="24" t="s">
        <v>58</v>
      </c>
      <c r="E94" s="24" t="s">
        <v>3091</v>
      </c>
      <c r="F94" s="25">
        <v>41159</v>
      </c>
      <c r="G94" s="25">
        <v>41888</v>
      </c>
      <c r="H94" s="24" t="s">
        <v>1194</v>
      </c>
      <c r="I94" s="24" t="s">
        <v>2768</v>
      </c>
      <c r="J94" s="26">
        <v>7615</v>
      </c>
      <c r="K94" s="27">
        <v>55589.5</v>
      </c>
      <c r="L94" s="27">
        <v>150015.5</v>
      </c>
      <c r="M94" s="27">
        <v>205605</v>
      </c>
      <c r="N94" s="24" t="s">
        <v>3092</v>
      </c>
      <c r="O94" s="24" t="s">
        <v>3093</v>
      </c>
      <c r="P94" s="24" t="s">
        <v>3094</v>
      </c>
    </row>
    <row r="95" spans="1:16" s="23" customFormat="1">
      <c r="A95" s="24">
        <v>8</v>
      </c>
      <c r="B95" s="24" t="s">
        <v>3095</v>
      </c>
      <c r="C95" s="24" t="s">
        <v>3096</v>
      </c>
      <c r="D95" s="24" t="s">
        <v>185</v>
      </c>
      <c r="E95" s="24" t="s">
        <v>3097</v>
      </c>
      <c r="F95" s="25">
        <v>40148</v>
      </c>
      <c r="G95" s="25">
        <v>41820</v>
      </c>
      <c r="H95" s="24" t="s">
        <v>1194</v>
      </c>
      <c r="I95" s="24" t="s">
        <v>2974</v>
      </c>
      <c r="J95" s="26">
        <v>0</v>
      </c>
      <c r="K95" s="27">
        <v>0</v>
      </c>
      <c r="L95" s="27">
        <v>3360</v>
      </c>
      <c r="M95" s="27">
        <v>3360</v>
      </c>
      <c r="N95" s="24" t="s">
        <v>3098</v>
      </c>
      <c r="O95" s="24" t="s">
        <v>3099</v>
      </c>
      <c r="P95" s="24" t="s">
        <v>3100</v>
      </c>
    </row>
    <row r="96" spans="1:16" s="23" customFormat="1">
      <c r="A96" s="24">
        <v>9</v>
      </c>
      <c r="B96" s="24" t="s">
        <v>3101</v>
      </c>
      <c r="C96" s="24" t="s">
        <v>3102</v>
      </c>
      <c r="D96" s="24" t="s">
        <v>50</v>
      </c>
      <c r="E96" s="24" t="s">
        <v>3103</v>
      </c>
      <c r="F96" s="25">
        <v>34339</v>
      </c>
      <c r="G96" s="25">
        <v>41670</v>
      </c>
      <c r="H96" s="24" t="s">
        <v>1194</v>
      </c>
      <c r="I96" s="24" t="s">
        <v>2768</v>
      </c>
      <c r="J96" s="26">
        <v>63595</v>
      </c>
      <c r="K96" s="27">
        <v>302484.76</v>
      </c>
      <c r="L96" s="27">
        <v>538158.23</v>
      </c>
      <c r="M96" s="27">
        <v>840642.99</v>
      </c>
      <c r="N96" s="24" t="s">
        <v>2805</v>
      </c>
      <c r="O96" s="24" t="s">
        <v>3104</v>
      </c>
      <c r="P96" s="24" t="s">
        <v>3105</v>
      </c>
    </row>
    <row r="97" spans="1:16" s="23" customFormat="1">
      <c r="A97" s="24">
        <v>9</v>
      </c>
      <c r="B97" s="24" t="s">
        <v>3106</v>
      </c>
      <c r="C97" s="24" t="s">
        <v>3107</v>
      </c>
      <c r="D97" s="24" t="s">
        <v>50</v>
      </c>
      <c r="E97" s="24" t="s">
        <v>3108</v>
      </c>
      <c r="F97" s="25">
        <v>37579</v>
      </c>
      <c r="G97" s="25">
        <v>41820</v>
      </c>
      <c r="H97" s="24" t="s">
        <v>1194</v>
      </c>
      <c r="I97" s="24" t="s">
        <v>2768</v>
      </c>
      <c r="J97" s="26">
        <v>4708</v>
      </c>
      <c r="K97" s="27">
        <v>0</v>
      </c>
      <c r="L97" s="27">
        <v>1185945.2</v>
      </c>
      <c r="M97" s="27">
        <v>1185945.2</v>
      </c>
      <c r="N97" s="24" t="s">
        <v>3109</v>
      </c>
      <c r="O97" s="24" t="s">
        <v>3110</v>
      </c>
      <c r="P97" s="24" t="s">
        <v>3111</v>
      </c>
    </row>
    <row r="98" spans="1:16" s="23" customFormat="1">
      <c r="A98" s="24">
        <v>9</v>
      </c>
      <c r="B98" s="24" t="s">
        <v>3112</v>
      </c>
      <c r="C98" s="24" t="s">
        <v>3113</v>
      </c>
      <c r="D98" s="24" t="s">
        <v>50</v>
      </c>
      <c r="E98" s="24" t="s">
        <v>3114</v>
      </c>
      <c r="F98" s="25">
        <v>37135</v>
      </c>
      <c r="G98" s="25">
        <v>41730</v>
      </c>
      <c r="H98" s="24" t="s">
        <v>1194</v>
      </c>
      <c r="I98" s="24" t="s">
        <v>2768</v>
      </c>
      <c r="J98" s="26">
        <v>17256</v>
      </c>
      <c r="K98" s="27">
        <v>47783.66</v>
      </c>
      <c r="L98" s="27">
        <v>343966.8</v>
      </c>
      <c r="M98" s="27">
        <v>391750.46</v>
      </c>
      <c r="N98" s="24" t="s">
        <v>3115</v>
      </c>
      <c r="O98" s="24" t="s">
        <v>3116</v>
      </c>
      <c r="P98" s="24" t="s">
        <v>3117</v>
      </c>
    </row>
    <row r="99" spans="1:16" s="23" customFormat="1">
      <c r="A99" s="24">
        <v>9</v>
      </c>
      <c r="B99" s="24" t="s">
        <v>3118</v>
      </c>
      <c r="C99" s="24" t="s">
        <v>3119</v>
      </c>
      <c r="D99" s="24" t="s">
        <v>132</v>
      </c>
      <c r="E99" s="24" t="s">
        <v>3120</v>
      </c>
      <c r="F99" s="25">
        <v>37637</v>
      </c>
      <c r="G99" s="25">
        <v>41654</v>
      </c>
      <c r="H99" s="24" t="s">
        <v>1194</v>
      </c>
      <c r="I99" s="24" t="s">
        <v>2768</v>
      </c>
      <c r="J99" s="26">
        <v>717</v>
      </c>
      <c r="K99" s="27">
        <v>0</v>
      </c>
      <c r="L99" s="27">
        <v>19056</v>
      </c>
      <c r="M99" s="27">
        <v>19056</v>
      </c>
      <c r="N99" s="24" t="s">
        <v>3121</v>
      </c>
      <c r="O99" s="24" t="s">
        <v>3122</v>
      </c>
      <c r="P99" s="24" t="s">
        <v>3123</v>
      </c>
    </row>
    <row r="100" spans="1:16" s="23" customFormat="1">
      <c r="A100" s="24">
        <v>9</v>
      </c>
      <c r="B100" s="24" t="s">
        <v>3124</v>
      </c>
      <c r="C100" s="24" t="s">
        <v>3125</v>
      </c>
      <c r="D100" s="24" t="s">
        <v>31</v>
      </c>
      <c r="E100" s="24" t="s">
        <v>3126</v>
      </c>
      <c r="F100" s="25">
        <v>36220</v>
      </c>
      <c r="G100" s="25">
        <v>41578</v>
      </c>
      <c r="H100" s="24" t="s">
        <v>1194</v>
      </c>
      <c r="I100" s="24" t="s">
        <v>2768</v>
      </c>
      <c r="J100" s="26">
        <v>22400</v>
      </c>
      <c r="K100" s="27">
        <v>139524.42000000001</v>
      </c>
      <c r="L100" s="27">
        <v>475328</v>
      </c>
      <c r="M100" s="27">
        <v>614852.42000000004</v>
      </c>
      <c r="N100" s="24" t="s">
        <v>2893</v>
      </c>
      <c r="O100" s="24" t="s">
        <v>3127</v>
      </c>
      <c r="P100" s="24" t="s">
        <v>3128</v>
      </c>
    </row>
    <row r="101" spans="1:16" s="23" customFormat="1">
      <c r="A101" s="24">
        <v>10</v>
      </c>
      <c r="B101" s="24" t="s">
        <v>3129</v>
      </c>
      <c r="C101" s="24" t="s">
        <v>3130</v>
      </c>
      <c r="D101" s="24" t="s">
        <v>75</v>
      </c>
      <c r="E101" s="24" t="s">
        <v>3131</v>
      </c>
      <c r="F101" s="25">
        <v>38899</v>
      </c>
      <c r="G101" s="25">
        <v>41820</v>
      </c>
      <c r="H101" s="24" t="s">
        <v>1194</v>
      </c>
      <c r="I101" s="24" t="s">
        <v>2768</v>
      </c>
      <c r="J101" s="26">
        <v>1155</v>
      </c>
      <c r="K101" s="27">
        <v>0</v>
      </c>
      <c r="L101" s="27">
        <v>78690.149999999994</v>
      </c>
      <c r="M101" s="27">
        <v>78690.149999999994</v>
      </c>
      <c r="N101" s="24" t="s">
        <v>3132</v>
      </c>
      <c r="O101" s="24" t="s">
        <v>3133</v>
      </c>
      <c r="P101" s="24" t="s">
        <v>3134</v>
      </c>
    </row>
    <row r="102" spans="1:16" s="23" customFormat="1">
      <c r="A102" s="24">
        <v>10</v>
      </c>
      <c r="B102" s="24" t="s">
        <v>3135</v>
      </c>
      <c r="C102" s="24" t="s">
        <v>3136</v>
      </c>
      <c r="D102" s="24" t="s">
        <v>235</v>
      </c>
      <c r="E102" s="24" t="s">
        <v>3137</v>
      </c>
      <c r="F102" s="25">
        <v>40388</v>
      </c>
      <c r="G102" s="25">
        <v>41578</v>
      </c>
      <c r="H102" s="24" t="s">
        <v>1194</v>
      </c>
      <c r="I102" s="24" t="s">
        <v>2768</v>
      </c>
      <c r="J102" s="26">
        <v>30920</v>
      </c>
      <c r="K102" s="27">
        <v>182047.78</v>
      </c>
      <c r="L102" s="27">
        <v>817803.16</v>
      </c>
      <c r="M102" s="27">
        <v>999850.94</v>
      </c>
      <c r="N102" s="24" t="s">
        <v>3138</v>
      </c>
      <c r="O102" s="24" t="s">
        <v>3139</v>
      </c>
      <c r="P102" s="24" t="s">
        <v>3140</v>
      </c>
    </row>
    <row r="103" spans="1:16" s="23" customFormat="1">
      <c r="A103" s="24">
        <v>11</v>
      </c>
      <c r="B103" s="24" t="s">
        <v>3141</v>
      </c>
      <c r="C103" s="24" t="s">
        <v>3142</v>
      </c>
      <c r="D103" s="24" t="s">
        <v>171</v>
      </c>
      <c r="E103" s="24" t="s">
        <v>3143</v>
      </c>
      <c r="F103" s="25">
        <v>34266</v>
      </c>
      <c r="G103" s="25">
        <v>41570</v>
      </c>
      <c r="H103" s="24" t="s">
        <v>1194</v>
      </c>
      <c r="I103" s="24" t="s">
        <v>2768</v>
      </c>
      <c r="J103" s="26">
        <v>48316</v>
      </c>
      <c r="K103" s="27">
        <v>139571.48000000001</v>
      </c>
      <c r="L103" s="27">
        <v>504234.46</v>
      </c>
      <c r="M103" s="27">
        <v>643805.93999999994</v>
      </c>
      <c r="N103" s="24" t="s">
        <v>3144</v>
      </c>
      <c r="O103" s="24" t="s">
        <v>3145</v>
      </c>
      <c r="P103" s="24" t="s">
        <v>3146</v>
      </c>
    </row>
    <row r="104" spans="1:16" s="23" customFormat="1">
      <c r="A104" s="24">
        <v>11</v>
      </c>
      <c r="B104" s="24" t="s">
        <v>3147</v>
      </c>
      <c r="C104" s="24" t="s">
        <v>3148</v>
      </c>
      <c r="D104" s="24" t="s">
        <v>171</v>
      </c>
      <c r="E104" s="24" t="s">
        <v>3143</v>
      </c>
      <c r="F104" s="25">
        <v>38252</v>
      </c>
      <c r="G104" s="25">
        <v>41903</v>
      </c>
      <c r="H104" s="24" t="s">
        <v>1194</v>
      </c>
      <c r="I104" s="24" t="s">
        <v>2768</v>
      </c>
      <c r="J104" s="26">
        <v>64</v>
      </c>
      <c r="K104" s="27">
        <v>0</v>
      </c>
      <c r="L104" s="27">
        <v>19894</v>
      </c>
      <c r="M104" s="27">
        <v>19894</v>
      </c>
      <c r="N104" s="24" t="s">
        <v>2794</v>
      </c>
      <c r="O104" s="24" t="s">
        <v>3149</v>
      </c>
      <c r="P104" s="24" t="s">
        <v>3150</v>
      </c>
    </row>
    <row r="105" spans="1:16" s="23" customFormat="1">
      <c r="A105" s="24">
        <v>11</v>
      </c>
      <c r="B105" s="24" t="s">
        <v>3151</v>
      </c>
      <c r="C105" s="24" t="s">
        <v>3148</v>
      </c>
      <c r="D105" s="24" t="s">
        <v>171</v>
      </c>
      <c r="E105" s="24" t="s">
        <v>3152</v>
      </c>
      <c r="F105" s="25">
        <v>40848</v>
      </c>
      <c r="G105" s="25">
        <v>41639</v>
      </c>
      <c r="H105" s="24" t="s">
        <v>1194</v>
      </c>
      <c r="I105" s="24" t="s">
        <v>2974</v>
      </c>
      <c r="J105" s="26">
        <v>1040</v>
      </c>
      <c r="K105" s="27">
        <v>4586.3999999999996</v>
      </c>
      <c r="L105" s="27">
        <v>26197.599999999999</v>
      </c>
      <c r="M105" s="27">
        <v>30784</v>
      </c>
      <c r="N105" s="24" t="s">
        <v>3153</v>
      </c>
      <c r="O105" s="24" t="s">
        <v>3154</v>
      </c>
      <c r="P105" s="24" t="s">
        <v>3155</v>
      </c>
    </row>
    <row r="106" spans="1:16" s="23" customFormat="1">
      <c r="A106" s="24">
        <v>11</v>
      </c>
      <c r="B106" s="24" t="s">
        <v>3156</v>
      </c>
      <c r="C106" s="24" t="s">
        <v>3148</v>
      </c>
      <c r="D106" s="24" t="s">
        <v>171</v>
      </c>
      <c r="E106" s="24" t="s">
        <v>3152</v>
      </c>
      <c r="F106" s="25">
        <v>34147</v>
      </c>
      <c r="G106" s="25">
        <v>41639</v>
      </c>
      <c r="H106" s="24" t="s">
        <v>1194</v>
      </c>
      <c r="I106" s="24" t="s">
        <v>2768</v>
      </c>
      <c r="J106" s="26">
        <v>493095</v>
      </c>
      <c r="K106" s="27">
        <v>1788615.2</v>
      </c>
      <c r="L106" s="27">
        <v>10658163.4</v>
      </c>
      <c r="M106" s="27">
        <v>12446778.6</v>
      </c>
      <c r="N106" s="24" t="s">
        <v>3153</v>
      </c>
      <c r="O106" s="24" t="s">
        <v>3154</v>
      </c>
      <c r="P106" s="24" t="s">
        <v>3155</v>
      </c>
    </row>
    <row r="107" spans="1:16" s="23" customFormat="1">
      <c r="A107" s="24">
        <v>11</v>
      </c>
      <c r="B107" s="24" t="s">
        <v>3157</v>
      </c>
      <c r="C107" s="24" t="s">
        <v>3158</v>
      </c>
      <c r="D107" s="24" t="s">
        <v>171</v>
      </c>
      <c r="E107" s="24" t="s">
        <v>3143</v>
      </c>
      <c r="F107" s="25">
        <v>34385</v>
      </c>
      <c r="G107" s="25">
        <v>41698</v>
      </c>
      <c r="H107" s="24" t="s">
        <v>1194</v>
      </c>
      <c r="I107" s="24" t="s">
        <v>2768</v>
      </c>
      <c r="J107" s="26">
        <v>150000</v>
      </c>
      <c r="K107" s="27">
        <v>340828.61</v>
      </c>
      <c r="L107" s="27">
        <v>801845</v>
      </c>
      <c r="M107" s="27">
        <v>1142673.6100000001</v>
      </c>
      <c r="N107" s="24" t="s">
        <v>3159</v>
      </c>
      <c r="O107" s="24" t="s">
        <v>3160</v>
      </c>
      <c r="P107" s="24" t="s">
        <v>3161</v>
      </c>
    </row>
    <row r="108" spans="1:16" s="23" customFormat="1">
      <c r="A108" s="24">
        <v>11</v>
      </c>
      <c r="B108" s="24" t="s">
        <v>3162</v>
      </c>
      <c r="C108" s="24" t="s">
        <v>3148</v>
      </c>
      <c r="D108" s="24" t="s">
        <v>171</v>
      </c>
      <c r="E108" s="24" t="s">
        <v>3152</v>
      </c>
      <c r="F108" s="25">
        <v>32903</v>
      </c>
      <c r="G108" s="25">
        <v>41639</v>
      </c>
      <c r="H108" s="24" t="s">
        <v>1194</v>
      </c>
      <c r="I108" s="24" t="s">
        <v>2768</v>
      </c>
      <c r="J108" s="26">
        <v>281748</v>
      </c>
      <c r="K108" s="27">
        <v>1036428.21</v>
      </c>
      <c r="L108" s="27">
        <v>6512329.29</v>
      </c>
      <c r="M108" s="27">
        <v>7548757.5</v>
      </c>
      <c r="N108" s="24" t="s">
        <v>2933</v>
      </c>
      <c r="O108" s="24" t="s">
        <v>3163</v>
      </c>
      <c r="P108" s="24" t="s">
        <v>3155</v>
      </c>
    </row>
    <row r="109" spans="1:16" s="23" customFormat="1">
      <c r="A109" s="24">
        <v>11</v>
      </c>
      <c r="B109" s="24" t="s">
        <v>3164</v>
      </c>
      <c r="C109" s="24" t="s">
        <v>3165</v>
      </c>
      <c r="D109" s="24" t="s">
        <v>233</v>
      </c>
      <c r="E109" s="24" t="s">
        <v>3166</v>
      </c>
      <c r="F109" s="25">
        <v>39867</v>
      </c>
      <c r="G109" s="25">
        <v>41692</v>
      </c>
      <c r="H109" s="24" t="s">
        <v>1194</v>
      </c>
      <c r="I109" s="24" t="s">
        <v>2768</v>
      </c>
      <c r="J109" s="26">
        <v>33785</v>
      </c>
      <c r="K109" s="27">
        <v>41795.050000000003</v>
      </c>
      <c r="L109" s="27">
        <v>417806.09</v>
      </c>
      <c r="M109" s="27">
        <v>459601.14</v>
      </c>
      <c r="N109" s="24" t="s">
        <v>3132</v>
      </c>
      <c r="O109" s="24" t="s">
        <v>3167</v>
      </c>
      <c r="P109" s="24" t="s">
        <v>3168</v>
      </c>
    </row>
    <row r="110" spans="1:16" s="23" customFormat="1">
      <c r="A110" s="24">
        <v>11</v>
      </c>
      <c r="B110" s="24" t="s">
        <v>3169</v>
      </c>
      <c r="C110" s="24" t="s">
        <v>3170</v>
      </c>
      <c r="D110" s="24" t="s">
        <v>171</v>
      </c>
      <c r="E110" s="24" t="s">
        <v>3166</v>
      </c>
      <c r="F110" s="25">
        <v>33695</v>
      </c>
      <c r="G110" s="25">
        <v>41729</v>
      </c>
      <c r="H110" s="24" t="s">
        <v>1194</v>
      </c>
      <c r="I110" s="24" t="s">
        <v>2768</v>
      </c>
      <c r="J110" s="26">
        <v>34000</v>
      </c>
      <c r="K110" s="27">
        <v>22764.91</v>
      </c>
      <c r="L110" s="27">
        <v>297418.2</v>
      </c>
      <c r="M110" s="27">
        <v>320183.11</v>
      </c>
      <c r="N110" s="24" t="s">
        <v>3171</v>
      </c>
      <c r="O110" s="24" t="s">
        <v>3172</v>
      </c>
      <c r="P110" s="24" t="s">
        <v>3173</v>
      </c>
    </row>
    <row r="111" spans="1:16" s="23" customFormat="1">
      <c r="A111" s="24">
        <v>11</v>
      </c>
      <c r="B111" s="24" t="s">
        <v>3174</v>
      </c>
      <c r="C111" s="24" t="s">
        <v>3175</v>
      </c>
      <c r="D111" s="24" t="s">
        <v>171</v>
      </c>
      <c r="E111" s="24" t="s">
        <v>3152</v>
      </c>
      <c r="F111" s="25">
        <v>37956</v>
      </c>
      <c r="G111" s="25">
        <v>41670</v>
      </c>
      <c r="H111" s="24" t="s">
        <v>1194</v>
      </c>
      <c r="I111" s="24" t="s">
        <v>2768</v>
      </c>
      <c r="J111" s="26">
        <v>141486</v>
      </c>
      <c r="K111" s="27">
        <v>171960.51</v>
      </c>
      <c r="L111" s="27">
        <v>818276.31</v>
      </c>
      <c r="M111" s="27">
        <v>990236.82</v>
      </c>
      <c r="N111" s="24" t="s">
        <v>3176</v>
      </c>
      <c r="O111" s="24" t="s">
        <v>3177</v>
      </c>
      <c r="P111" s="24" t="s">
        <v>3155</v>
      </c>
    </row>
    <row r="112" spans="1:16" s="23" customFormat="1">
      <c r="A112" s="24">
        <v>11</v>
      </c>
      <c r="B112" s="24" t="s">
        <v>3178</v>
      </c>
      <c r="C112" s="24" t="s">
        <v>3165</v>
      </c>
      <c r="D112" s="24" t="s">
        <v>233</v>
      </c>
      <c r="E112" s="24" t="s">
        <v>3166</v>
      </c>
      <c r="F112" s="25">
        <v>40026</v>
      </c>
      <c r="G112" s="25">
        <v>41851</v>
      </c>
      <c r="H112" s="24" t="s">
        <v>1194</v>
      </c>
      <c r="I112" s="24" t="s">
        <v>2768</v>
      </c>
      <c r="J112" s="26">
        <v>135888</v>
      </c>
      <c r="K112" s="27">
        <v>403912.77</v>
      </c>
      <c r="L112" s="27">
        <v>1813706.33</v>
      </c>
      <c r="M112" s="27">
        <v>2217619.1</v>
      </c>
      <c r="N112" s="24" t="s">
        <v>3179</v>
      </c>
      <c r="O112" s="24" t="s">
        <v>3180</v>
      </c>
      <c r="P112" s="24" t="s">
        <v>3181</v>
      </c>
    </row>
    <row r="113" spans="1:16" s="23" customFormat="1">
      <c r="A113" s="24">
        <v>11</v>
      </c>
      <c r="B113" s="24" t="s">
        <v>3182</v>
      </c>
      <c r="C113" s="24" t="s">
        <v>3183</v>
      </c>
      <c r="D113" s="24" t="s">
        <v>233</v>
      </c>
      <c r="E113" s="24" t="s">
        <v>3166</v>
      </c>
      <c r="F113" s="25">
        <v>38201</v>
      </c>
      <c r="G113" s="25">
        <v>41852</v>
      </c>
      <c r="H113" s="24" t="s">
        <v>1194</v>
      </c>
      <c r="I113" s="24" t="s">
        <v>2768</v>
      </c>
      <c r="J113" s="26">
        <v>54180</v>
      </c>
      <c r="K113" s="27">
        <v>32055.31</v>
      </c>
      <c r="L113" s="27">
        <v>383629.6</v>
      </c>
      <c r="M113" s="27">
        <v>415684.91</v>
      </c>
      <c r="N113" s="24" t="s">
        <v>3184</v>
      </c>
      <c r="O113" s="24" t="s">
        <v>3185</v>
      </c>
      <c r="P113" s="24" t="s">
        <v>3186</v>
      </c>
    </row>
    <row r="114" spans="1:16" s="23" customFormat="1">
      <c r="A114" s="24">
        <v>11</v>
      </c>
      <c r="B114" s="24" t="s">
        <v>3187</v>
      </c>
      <c r="C114" s="24" t="s">
        <v>3148</v>
      </c>
      <c r="D114" s="24" t="s">
        <v>171</v>
      </c>
      <c r="E114" s="24" t="s">
        <v>3152</v>
      </c>
      <c r="F114" s="25">
        <v>34060</v>
      </c>
      <c r="G114" s="25">
        <v>41639</v>
      </c>
      <c r="H114" s="24" t="s">
        <v>1194</v>
      </c>
      <c r="I114" s="24" t="s">
        <v>2768</v>
      </c>
      <c r="J114" s="26">
        <v>285844</v>
      </c>
      <c r="K114" s="27">
        <v>1017635.75</v>
      </c>
      <c r="L114" s="27">
        <v>6167642.2999999998</v>
      </c>
      <c r="M114" s="27">
        <v>7185278.0499999998</v>
      </c>
      <c r="N114" s="24" t="s">
        <v>3188</v>
      </c>
      <c r="O114" s="24" t="s">
        <v>3189</v>
      </c>
      <c r="P114" s="24" t="s">
        <v>3155</v>
      </c>
    </row>
    <row r="115" spans="1:16" s="23" customFormat="1">
      <c r="A115" s="24">
        <v>11</v>
      </c>
      <c r="B115" s="24" t="s">
        <v>3190</v>
      </c>
      <c r="C115" s="24" t="s">
        <v>3191</v>
      </c>
      <c r="D115" s="24" t="s">
        <v>111</v>
      </c>
      <c r="E115" s="24" t="s">
        <v>3143</v>
      </c>
      <c r="F115" s="25">
        <v>39897</v>
      </c>
      <c r="G115" s="25">
        <v>41722</v>
      </c>
      <c r="H115" s="24" t="s">
        <v>1194</v>
      </c>
      <c r="I115" s="24" t="s">
        <v>2768</v>
      </c>
      <c r="J115" s="26">
        <v>53</v>
      </c>
      <c r="K115" s="27">
        <v>0</v>
      </c>
      <c r="L115" s="27">
        <v>16722</v>
      </c>
      <c r="M115" s="27">
        <v>16722</v>
      </c>
      <c r="N115" s="24" t="s">
        <v>2794</v>
      </c>
      <c r="O115" s="24" t="s">
        <v>3149</v>
      </c>
      <c r="P115" s="24" t="s">
        <v>3150</v>
      </c>
    </row>
    <row r="116" spans="1:16" s="23" customFormat="1">
      <c r="A116" s="24">
        <v>11</v>
      </c>
      <c r="B116" s="24" t="s">
        <v>3192</v>
      </c>
      <c r="C116" s="24" t="s">
        <v>3193</v>
      </c>
      <c r="D116" s="24" t="s">
        <v>171</v>
      </c>
      <c r="E116" s="24" t="s">
        <v>3143</v>
      </c>
      <c r="F116" s="25">
        <v>37977</v>
      </c>
      <c r="G116" s="25">
        <v>41629</v>
      </c>
      <c r="H116" s="24" t="s">
        <v>1194</v>
      </c>
      <c r="I116" s="24" t="s">
        <v>2768</v>
      </c>
      <c r="J116" s="26">
        <v>45601</v>
      </c>
      <c r="K116" s="27">
        <v>87159.24</v>
      </c>
      <c r="L116" s="27">
        <v>309174.78000000003</v>
      </c>
      <c r="M116" s="27">
        <v>396334.02</v>
      </c>
      <c r="N116" s="24" t="s">
        <v>3144</v>
      </c>
      <c r="O116" s="24" t="s">
        <v>3145</v>
      </c>
      <c r="P116" s="24" t="s">
        <v>3146</v>
      </c>
    </row>
    <row r="117" spans="1:16" s="23" customFormat="1">
      <c r="A117" s="24">
        <v>11</v>
      </c>
      <c r="B117" s="24" t="s">
        <v>3194</v>
      </c>
      <c r="C117" s="24" t="s">
        <v>3195</v>
      </c>
      <c r="D117" s="24" t="s">
        <v>233</v>
      </c>
      <c r="E117" s="24" t="s">
        <v>3196</v>
      </c>
      <c r="F117" s="25">
        <v>37377</v>
      </c>
      <c r="G117" s="25">
        <v>41759</v>
      </c>
      <c r="H117" s="24" t="s">
        <v>1194</v>
      </c>
      <c r="I117" s="24" t="s">
        <v>2768</v>
      </c>
      <c r="J117" s="26">
        <v>7878</v>
      </c>
      <c r="K117" s="27">
        <v>21267.88</v>
      </c>
      <c r="L117" s="27">
        <v>91542.36</v>
      </c>
      <c r="M117" s="27">
        <v>112810.24000000001</v>
      </c>
      <c r="N117" s="24" t="s">
        <v>3197</v>
      </c>
      <c r="O117" s="24" t="s">
        <v>3198</v>
      </c>
      <c r="P117" s="24" t="s">
        <v>3199</v>
      </c>
    </row>
    <row r="118" spans="1:16" s="23" customFormat="1">
      <c r="A118" s="24">
        <v>11</v>
      </c>
      <c r="B118" s="24" t="s">
        <v>3200</v>
      </c>
      <c r="C118" s="24" t="s">
        <v>3191</v>
      </c>
      <c r="D118" s="24" t="s">
        <v>111</v>
      </c>
      <c r="E118" s="24" t="s">
        <v>3166</v>
      </c>
      <c r="F118" s="25">
        <v>35309</v>
      </c>
      <c r="G118" s="25">
        <v>41882</v>
      </c>
      <c r="H118" s="24" t="s">
        <v>1194</v>
      </c>
      <c r="I118" s="24" t="s">
        <v>2768</v>
      </c>
      <c r="J118" s="26">
        <v>168158</v>
      </c>
      <c r="K118" s="27">
        <v>1142467.47</v>
      </c>
      <c r="L118" s="27">
        <v>7263519.7599999998</v>
      </c>
      <c r="M118" s="27">
        <v>8405987.2300000004</v>
      </c>
      <c r="N118" s="24" t="s">
        <v>3201</v>
      </c>
      <c r="O118" s="24" t="s">
        <v>3202</v>
      </c>
      <c r="P118" s="24" t="s">
        <v>3203</v>
      </c>
    </row>
    <row r="119" spans="1:16" s="23" customFormat="1">
      <c r="A119" s="24">
        <v>11</v>
      </c>
      <c r="B119" s="24" t="s">
        <v>3204</v>
      </c>
      <c r="C119" s="24" t="s">
        <v>3165</v>
      </c>
      <c r="D119" s="24" t="s">
        <v>233</v>
      </c>
      <c r="E119" s="24" t="s">
        <v>3143</v>
      </c>
      <c r="F119" s="25">
        <v>39722</v>
      </c>
      <c r="G119" s="25">
        <v>41896</v>
      </c>
      <c r="H119" s="24" t="s">
        <v>1194</v>
      </c>
      <c r="I119" s="24" t="s">
        <v>2974</v>
      </c>
      <c r="J119" s="26">
        <v>9824</v>
      </c>
      <c r="K119" s="27">
        <v>1828.42</v>
      </c>
      <c r="L119" s="27">
        <v>96054.65</v>
      </c>
      <c r="M119" s="27">
        <v>97883.07</v>
      </c>
      <c r="N119" s="24" t="s">
        <v>3205</v>
      </c>
      <c r="O119" s="24" t="s">
        <v>3206</v>
      </c>
      <c r="P119" s="24" t="s">
        <v>3207</v>
      </c>
    </row>
    <row r="120" spans="1:16" s="23" customFormat="1">
      <c r="A120" s="24">
        <v>11</v>
      </c>
      <c r="B120" s="24" t="s">
        <v>3208</v>
      </c>
      <c r="C120" s="24" t="s">
        <v>3209</v>
      </c>
      <c r="D120" s="24" t="s">
        <v>171</v>
      </c>
      <c r="E120" s="24" t="s">
        <v>3143</v>
      </c>
      <c r="F120" s="25">
        <v>34318</v>
      </c>
      <c r="G120" s="25">
        <v>41622</v>
      </c>
      <c r="H120" s="24" t="s">
        <v>1194</v>
      </c>
      <c r="I120" s="24" t="s">
        <v>2768</v>
      </c>
      <c r="J120" s="26">
        <v>347922</v>
      </c>
      <c r="K120" s="27">
        <v>0</v>
      </c>
      <c r="L120" s="27">
        <v>9756986.9000000004</v>
      </c>
      <c r="M120" s="27">
        <v>9756986.9000000004</v>
      </c>
      <c r="N120" s="24" t="s">
        <v>3210</v>
      </c>
      <c r="O120" s="24" t="s">
        <v>3035</v>
      </c>
      <c r="P120" s="24" t="s">
        <v>3211</v>
      </c>
    </row>
    <row r="121" spans="1:16" s="23" customFormat="1">
      <c r="A121" s="24">
        <v>11</v>
      </c>
      <c r="B121" s="24" t="s">
        <v>3212</v>
      </c>
      <c r="C121" s="24" t="s">
        <v>3165</v>
      </c>
      <c r="D121" s="24" t="s">
        <v>233</v>
      </c>
      <c r="E121" s="24" t="s">
        <v>3143</v>
      </c>
      <c r="F121" s="25">
        <v>38097</v>
      </c>
      <c r="G121" s="25">
        <v>41748</v>
      </c>
      <c r="H121" s="24" t="s">
        <v>1194</v>
      </c>
      <c r="I121" s="24" t="s">
        <v>2768</v>
      </c>
      <c r="J121" s="26">
        <v>401792</v>
      </c>
      <c r="K121" s="27">
        <v>3665956.13</v>
      </c>
      <c r="L121" s="27">
        <v>7182449.3700000001</v>
      </c>
      <c r="M121" s="27">
        <v>10848405.5</v>
      </c>
      <c r="N121" s="24" t="s">
        <v>3210</v>
      </c>
      <c r="O121" s="24" t="s">
        <v>3035</v>
      </c>
      <c r="P121" s="24" t="s">
        <v>3213</v>
      </c>
    </row>
  </sheetData>
  <autoFilter ref="A6:P121"/>
  <mergeCells count="4">
    <mergeCell ref="A1:B1"/>
    <mergeCell ref="B2:H2"/>
    <mergeCell ref="B3:C3"/>
    <mergeCell ref="B4:C4"/>
  </mergeCells>
  <pageMargins left="0.5" right="0.5" top="0.5" bottom="0.5" header="0.5" footer="0.5"/>
  <pageSetup paperSize="5" scale="53" orientation="landscape" r:id="rId1"/>
</worksheet>
</file>

<file path=xl/worksheets/sheet3.xml><?xml version="1.0" encoding="utf-8"?>
<worksheet xmlns="http://schemas.openxmlformats.org/spreadsheetml/2006/main" xmlns:r="http://schemas.openxmlformats.org/officeDocument/2006/relationships">
  <dimension ref="A1:B54"/>
  <sheetViews>
    <sheetView workbookViewId="0">
      <selection activeCell="B2" sqref="B2"/>
    </sheetView>
  </sheetViews>
  <sheetFormatPr defaultColWidth="17.140625" defaultRowHeight="12.75" customHeight="1"/>
  <cols>
    <col min="1" max="1" width="30.140625" style="29" customWidth="1"/>
    <col min="2" max="2" width="167" style="29" customWidth="1"/>
    <col min="3" max="6" width="8" style="29" customWidth="1"/>
    <col min="7" max="16384" width="17.140625" style="29"/>
  </cols>
  <sheetData>
    <row r="1" spans="1:2" ht="45" customHeight="1">
      <c r="A1" s="222" t="s">
        <v>3476</v>
      </c>
      <c r="B1" s="222"/>
    </row>
    <row r="2" spans="1:2" ht="12.75" customHeight="1">
      <c r="A2" s="191" t="s">
        <v>3477</v>
      </c>
      <c r="B2" s="179"/>
    </row>
    <row r="4" spans="1:2" ht="19.5" customHeight="1">
      <c r="A4" s="204" t="s">
        <v>3457</v>
      </c>
      <c r="B4" s="204"/>
    </row>
    <row r="5" spans="1:2">
      <c r="A5" s="205" t="s">
        <v>3214</v>
      </c>
      <c r="B5" s="220" t="s">
        <v>3215</v>
      </c>
    </row>
    <row r="6" spans="1:2" ht="38.25" customHeight="1">
      <c r="A6" s="210" t="s">
        <v>311</v>
      </c>
      <c r="B6" s="177" t="s">
        <v>3456</v>
      </c>
    </row>
    <row r="7" spans="1:2">
      <c r="A7" s="210"/>
      <c r="B7" s="219"/>
    </row>
    <row r="8" spans="1:2">
      <c r="A8" s="210"/>
      <c r="B8" s="215" t="s">
        <v>3216</v>
      </c>
    </row>
    <row r="9" spans="1:2" ht="25.5">
      <c r="A9" s="28" t="s">
        <v>3217</v>
      </c>
      <c r="B9" s="221" t="s">
        <v>3455</v>
      </c>
    </row>
    <row r="10" spans="1:2" ht="38.25" customHeight="1">
      <c r="A10" s="210" t="s">
        <v>3218</v>
      </c>
      <c r="B10" s="177" t="s">
        <v>3472</v>
      </c>
    </row>
    <row r="11" spans="1:2">
      <c r="A11" s="210"/>
      <c r="B11" s="219"/>
    </row>
    <row r="12" spans="1:2">
      <c r="A12" s="210"/>
      <c r="B12" s="215" t="s">
        <v>3219</v>
      </c>
    </row>
    <row r="13" spans="1:2" ht="12.75" customHeight="1">
      <c r="A13" s="210" t="s">
        <v>3220</v>
      </c>
      <c r="B13" s="212" t="s">
        <v>3454</v>
      </c>
    </row>
    <row r="14" spans="1:2" ht="51" customHeight="1">
      <c r="A14" s="210"/>
      <c r="B14" s="213" t="s">
        <v>3221</v>
      </c>
    </row>
    <row r="15" spans="1:2">
      <c r="A15" s="28">
        <v>36</v>
      </c>
      <c r="B15" s="217" t="s">
        <v>2681</v>
      </c>
    </row>
    <row r="16" spans="1:2">
      <c r="A16" s="210">
        <v>48</v>
      </c>
      <c r="B16" s="214" t="s">
        <v>3458</v>
      </c>
    </row>
    <row r="17" spans="1:2">
      <c r="A17" s="210"/>
      <c r="B17" s="215" t="s">
        <v>3222</v>
      </c>
    </row>
    <row r="18" spans="1:2" ht="38.25">
      <c r="A18" s="28" t="s">
        <v>3223</v>
      </c>
      <c r="B18" s="218" t="s">
        <v>3459</v>
      </c>
    </row>
    <row r="19" spans="1:2" ht="38.25">
      <c r="A19" s="210">
        <v>520</v>
      </c>
      <c r="B19" s="216" t="s">
        <v>3460</v>
      </c>
    </row>
    <row r="20" spans="1:2">
      <c r="A20" s="210"/>
      <c r="B20" s="215" t="s">
        <v>3224</v>
      </c>
    </row>
    <row r="21" spans="1:2">
      <c r="A21" s="28">
        <v>541</v>
      </c>
      <c r="B21" s="211" t="s">
        <v>2354</v>
      </c>
    </row>
    <row r="22" spans="1:2" ht="25.5">
      <c r="A22" s="28">
        <v>56</v>
      </c>
      <c r="B22" s="206" t="s">
        <v>3461</v>
      </c>
    </row>
    <row r="23" spans="1:2">
      <c r="A23" s="28" t="s">
        <v>3225</v>
      </c>
      <c r="B23" s="214" t="s">
        <v>3226</v>
      </c>
    </row>
    <row r="24" spans="1:2">
      <c r="A24" s="210">
        <v>599</v>
      </c>
      <c r="B24" s="214" t="s">
        <v>3462</v>
      </c>
    </row>
    <row r="25" spans="1:2">
      <c r="A25" s="210"/>
      <c r="B25" s="215" t="s">
        <v>3227</v>
      </c>
    </row>
    <row r="26" spans="1:2">
      <c r="A26" s="28" t="s">
        <v>3228</v>
      </c>
      <c r="B26" s="211" t="s">
        <v>3229</v>
      </c>
    </row>
    <row r="27" spans="1:2">
      <c r="A27" s="28" t="s">
        <v>3230</v>
      </c>
      <c r="B27" s="207" t="s">
        <v>3231</v>
      </c>
    </row>
    <row r="28" spans="1:2">
      <c r="A28" s="28" t="s">
        <v>3232</v>
      </c>
      <c r="B28" s="206" t="s">
        <v>3463</v>
      </c>
    </row>
    <row r="29" spans="1:2">
      <c r="A29" s="28" t="s">
        <v>3233</v>
      </c>
      <c r="B29" s="207" t="s">
        <v>3234</v>
      </c>
    </row>
    <row r="30" spans="1:2">
      <c r="A30" s="28" t="s">
        <v>3235</v>
      </c>
      <c r="B30" s="207" t="s">
        <v>3236</v>
      </c>
    </row>
    <row r="31" spans="1:2">
      <c r="A31" s="28" t="s">
        <v>3237</v>
      </c>
      <c r="B31" s="206" t="s">
        <v>3464</v>
      </c>
    </row>
    <row r="32" spans="1:2">
      <c r="A32" s="28" t="s">
        <v>3238</v>
      </c>
      <c r="B32" s="206" t="s">
        <v>3465</v>
      </c>
    </row>
    <row r="33" spans="1:2">
      <c r="A33" s="28" t="s">
        <v>3239</v>
      </c>
      <c r="B33" s="207" t="s">
        <v>3240</v>
      </c>
    </row>
    <row r="34" spans="1:2" ht="25.5">
      <c r="A34" s="28">
        <v>66</v>
      </c>
      <c r="B34" s="206" t="s">
        <v>3466</v>
      </c>
    </row>
    <row r="35" spans="1:2">
      <c r="A35" s="28" t="s">
        <v>3241</v>
      </c>
      <c r="B35" s="207" t="s">
        <v>3242</v>
      </c>
    </row>
    <row r="36" spans="1:2">
      <c r="A36" s="28">
        <v>67</v>
      </c>
      <c r="B36" s="207" t="s">
        <v>3243</v>
      </c>
    </row>
    <row r="37" spans="1:2">
      <c r="A37" s="28">
        <v>70</v>
      </c>
      <c r="B37" s="207" t="s">
        <v>3475</v>
      </c>
    </row>
    <row r="38" spans="1:2">
      <c r="A38" s="28">
        <v>71</v>
      </c>
      <c r="B38" s="207" t="s">
        <v>3244</v>
      </c>
    </row>
    <row r="39" spans="1:2">
      <c r="A39" s="28" t="s">
        <v>3245</v>
      </c>
      <c r="B39" s="207" t="s">
        <v>3246</v>
      </c>
    </row>
    <row r="40" spans="1:2">
      <c r="A40" s="28">
        <v>72</v>
      </c>
      <c r="B40" s="207" t="s">
        <v>3247</v>
      </c>
    </row>
    <row r="41" spans="1:2" ht="38.25">
      <c r="A41" s="28">
        <v>73</v>
      </c>
      <c r="B41" s="206" t="s">
        <v>3467</v>
      </c>
    </row>
    <row r="42" spans="1:2">
      <c r="A42" s="28">
        <v>736</v>
      </c>
      <c r="B42" s="207" t="s">
        <v>3474</v>
      </c>
    </row>
    <row r="43" spans="1:2">
      <c r="A43" s="209" t="s">
        <v>3248</v>
      </c>
      <c r="B43" s="208" t="s">
        <v>3469</v>
      </c>
    </row>
    <row r="44" spans="1:2">
      <c r="A44" s="28" t="s">
        <v>3249</v>
      </c>
      <c r="B44" s="207" t="s">
        <v>3250</v>
      </c>
    </row>
    <row r="45" spans="1:2" ht="38.25">
      <c r="A45" s="28">
        <v>75</v>
      </c>
      <c r="B45" s="206" t="s">
        <v>3468</v>
      </c>
    </row>
    <row r="46" spans="1:2">
      <c r="A46" s="28">
        <v>751</v>
      </c>
      <c r="B46" s="207" t="s">
        <v>3251</v>
      </c>
    </row>
    <row r="47" spans="1:2">
      <c r="A47" s="28">
        <v>76</v>
      </c>
      <c r="B47" s="207" t="s">
        <v>3252</v>
      </c>
    </row>
    <row r="48" spans="1:2" ht="38.25">
      <c r="A48" s="28">
        <v>78</v>
      </c>
      <c r="B48" s="206" t="s">
        <v>3470</v>
      </c>
    </row>
    <row r="49" spans="1:2">
      <c r="A49" s="28" t="s">
        <v>3253</v>
      </c>
      <c r="B49" s="206" t="s">
        <v>3471</v>
      </c>
    </row>
    <row r="50" spans="1:2">
      <c r="A50" s="28">
        <v>84</v>
      </c>
      <c r="B50" s="207" t="s">
        <v>2353</v>
      </c>
    </row>
    <row r="51" spans="1:2">
      <c r="A51" s="28">
        <v>871</v>
      </c>
      <c r="B51" s="207" t="s">
        <v>3254</v>
      </c>
    </row>
    <row r="52" spans="1:2">
      <c r="A52" s="28">
        <v>874</v>
      </c>
      <c r="B52" s="207" t="s">
        <v>3473</v>
      </c>
    </row>
    <row r="53" spans="1:2">
      <c r="A53" s="28" t="s">
        <v>3255</v>
      </c>
      <c r="B53" s="207" t="s">
        <v>3256</v>
      </c>
    </row>
    <row r="54" spans="1:2">
      <c r="A54" s="28">
        <v>899</v>
      </c>
      <c r="B54" s="207" t="s">
        <v>3257</v>
      </c>
    </row>
  </sheetData>
  <mergeCells count="10">
    <mergeCell ref="A1:B1"/>
    <mergeCell ref="A4:B4"/>
    <mergeCell ref="A19:A20"/>
    <mergeCell ref="A24:A25"/>
    <mergeCell ref="A6:A8"/>
    <mergeCell ref="B6:B7"/>
    <mergeCell ref="A10:A12"/>
    <mergeCell ref="B10:B11"/>
    <mergeCell ref="A13:A14"/>
    <mergeCell ref="A16:A17"/>
  </mergeCells>
  <hyperlinks>
    <hyperlink ref="A6" r:id="rId1" display="http://www.gsaelibrary.gsa.gov/ElibMain/scheduleSummary.do;jsessionid=B480E24EFA8A9841BB2554196227148F.prd2pweb?scheduleNumber=BPA"/>
    <hyperlink ref="B8" r:id="rId2" display="http://www.gsa.gov/bpas"/>
    <hyperlink ref="A9" r:id="rId3" display="http://www.gsaelibrary.gsa.gov/ElibMain/scheduleSummary.do;jsessionid=B480E24EFA8A9841BB2554196227148F.prd2pweb?scheduleNumber=00CORP"/>
    <hyperlink ref="A10" r:id="rId4" display="http://www.gsaelibrary.gsa.gov/ElibMain/scheduleSummary.do;jsessionid=B480E24EFA8A9841BB2554196227148F.prd2pweb?scheduleNumber=03FAC"/>
    <hyperlink ref="B12" r:id="rId5" location="3" display="https://www.gsaadvantage.gov/advantage/search/specialCategory.do?cat=ADV.SS&amp;group=3 - 3"/>
    <hyperlink ref="A13" r:id="rId6" display="http://www.gsaelibrary.gsa.gov/ElibMain/scheduleSummary.do;jsessionid=B480E24EFA8A9841BB2554196227148F.prd2pweb?scheduleNumber=23+V"/>
    <hyperlink ref="A15" r:id="rId7" display="http://www.gsaelibrary.gsa.gov/ElibMain/scheduleSummary.do;jsessionid=B480E24EFA8A9841BB2554196227148F.prd2pweb?scheduleNumber=36"/>
    <hyperlink ref="A16" r:id="rId8" display="http://www.gsaelibrary.gsa.gov/ElibMain/scheduleSummary.do;jsessionid=B480E24EFA8A9841BB2554196227148F.prd2pweb?scheduleNumber=48"/>
    <hyperlink ref="B17" r:id="rId9" location="1" display="https://www.gsaadvantage.gov/advantage/search/specialCategory.do?cat=ADV.SS&amp;group=1 - 1"/>
    <hyperlink ref="A18" r:id="rId10" display="http://www.gsaelibrary.gsa.gov/ElibMain/scheduleSummary.do;jsessionid=B480E24EFA8A9841BB2554196227148F.prd2pweb?scheduleNumber=51+V"/>
    <hyperlink ref="A19" r:id="rId11" display="http://www.gsaelibrary.gsa.gov/ElibMain/scheduleSummary.do;jsessionid=B480E24EFA8A9841BB2554196227148F.prd2pweb?scheduleNumber=520"/>
    <hyperlink ref="B20" r:id="rId12" location="0" display="https://www.gsaadvantage.gov/advantage/search/specialCategory.do?cat=ADV.SS&amp;group=0 - 0"/>
    <hyperlink ref="A21" r:id="rId13" display="http://www.gsaelibrary.gsa.gov/ElibMain/scheduleSummary.do;jsessionid=B480E24EFA8A9841BB2554196227148F.prd2pweb?scheduleNumber=541"/>
    <hyperlink ref="A22" r:id="rId14" display="http://www.gsaelibrary.gsa.gov/ElibMain/scheduleSummary.do;jsessionid=B480E24EFA8A9841BB2554196227148F.prd2pweb?scheduleNumber=56"/>
    <hyperlink ref="A23" r:id="rId15" display="http://www.gsaelibrary.gsa.gov/ElibMain/scheduleSummary.do;jsessionid=B480E24EFA8A9841BB2554196227148F.prd2pweb?scheduleNumber=58+I"/>
    <hyperlink ref="A24" r:id="rId16" display="http://www.gsaelibrary.gsa.gov/ElibMain/scheduleSummary.do;jsessionid=B480E24EFA8A9841BB2554196227148F.prd2pweb?scheduleNumber=599"/>
    <hyperlink ref="B25" r:id="rId17" location="2" display="https://www.gsaadvantage.gov/advantage/search/specialCategory.do?cat=ADV.SS&amp;group=2 - 2"/>
    <hyperlink ref="A26" r:id="rId18" display="http://www.gsaelibrary.gsa.gov/ElibMain/scheduleSummary.do;jsessionid=B480E24EFA8A9841BB2554196227148F.prd2pweb?scheduleNumber=621+I"/>
    <hyperlink ref="A27" r:id="rId19" display="http://www.gsaelibrary.gsa.gov/ElibMain/scheduleSummary.do;jsessionid=B480E24EFA8A9841BB2554196227148F.prd2pweb?scheduleNumber=621+II"/>
    <hyperlink ref="A28" r:id="rId20" display="http://www.gsaelibrary.gsa.gov/ElibMain/scheduleSummary.do;jsessionid=B480E24EFA8A9841BB2554196227148F.prd2pweb?scheduleNumber=65+I+B"/>
    <hyperlink ref="A29" r:id="rId21" display="http://www.gsaelibrary.gsa.gov/ElibMain/scheduleSummary.do;jsessionid=B480E24EFA8A9841BB2554196227148F.prd2pweb?scheduleNumber=65+II+A"/>
    <hyperlink ref="A30" r:id="rId22" display="http://www.gsaelibrary.gsa.gov/ElibMain/scheduleSummary.do;jsessionid=B480E24EFA8A9841BB2554196227148F.prd2pweb?scheduleNumber=65+II+C"/>
    <hyperlink ref="A31" r:id="rId23" display="http://www.gsaelibrary.gsa.gov/ElibMain/scheduleSummary.do;jsessionid=B480E24EFA8A9841BB2554196227148F.prd2pweb?scheduleNumber=65+II+F"/>
    <hyperlink ref="A32" r:id="rId24" display="http://www.gsaelibrary.gsa.gov/ElibMain/scheduleSummary.do;jsessionid=B480E24EFA8A9841BB2554196227148F.prd2pweb?scheduleNumber=65+V+A"/>
    <hyperlink ref="A33" r:id="rId25" display="http://www.gsaelibrary.gsa.gov/ElibMain/scheduleSummary.do;jsessionid=B480E24EFA8A9841BB2554196227148F.prd2pweb?scheduleNumber=65+VII"/>
    <hyperlink ref="A34" r:id="rId26" display="http://www.gsaelibrary.gsa.gov/ElibMain/scheduleSummary.do;jsessionid=B480E24EFA8A9841BB2554196227148F.prd2pweb?scheduleNumber=66"/>
    <hyperlink ref="A35" r:id="rId27" display="http://www.gsaelibrary.gsa.gov/ElibMain/scheduleSummary.do;jsessionid=B480E24EFA8A9841BB2554196227148F.prd2pweb?scheduleNumber=66+III"/>
    <hyperlink ref="A36" r:id="rId28" display="http://www.gsaelibrary.gsa.gov/ElibMain/scheduleSummary.do;jsessionid=B480E24EFA8A9841BB2554196227148F.prd2pweb?scheduleNumber=67"/>
    <hyperlink ref="A37" r:id="rId29" display="http://www.gsaelibrary.gsa.gov/ElibMain/scheduleSummary.do;jsessionid=B480E24EFA8A9841BB2554196227148F.prd2pweb?scheduleNumber=70"/>
    <hyperlink ref="A38" r:id="rId30" display="http://www.gsaelibrary.gsa.gov/ElibMain/scheduleSummary.do;jsessionid=B480E24EFA8A9841BB2554196227148F.prd2pweb?scheduleNumber=71"/>
    <hyperlink ref="A39" r:id="rId31" display="http://www.gsaelibrary.gsa.gov/ElibMain/scheduleSummary.do;jsessionid=B480E24EFA8A9841BB2554196227148F.prd2pweb?scheduleNumber=71+II+K"/>
    <hyperlink ref="A40" r:id="rId32" display="http://www.gsaelibrary.gsa.gov/ElibMain/scheduleSummary.do;jsessionid=B480E24EFA8A9841BB2554196227148F.prd2pweb?scheduleNumber=72"/>
    <hyperlink ref="A41" r:id="rId33" display="http://www.gsaelibrary.gsa.gov/ElibMain/scheduleSummary.do;jsessionid=B480E24EFA8A9841BB2554196227148F.prd2pweb?scheduleNumber=73"/>
    <hyperlink ref="A42" r:id="rId34" display="http://www.gsaelibrary.gsa.gov/ElibMain/scheduleSummary.do;jsessionid=B480E24EFA8A9841BB2554196227148F.prd2pweb?scheduleNumber=736"/>
    <hyperlink ref="A43" r:id="rId35"/>
    <hyperlink ref="A44" r:id="rId36" display="http://www.gsaelibrary.gsa.gov/ElibMain/scheduleSummary.do;jsessionid=B480E24EFA8A9841BB2554196227148F.prd2pweb?scheduleNumber=738+X"/>
    <hyperlink ref="A45" r:id="rId37" display="http://www.gsaelibrary.gsa.gov/ElibMain/scheduleSummary.do;jsessionid=B480E24EFA8A9841BB2554196227148F.prd2pweb?scheduleNumber=75"/>
    <hyperlink ref="A46" r:id="rId38" display="http://www.gsaelibrary.gsa.gov/ElibMain/scheduleSummary.do;jsessionid=B480E24EFA8A9841BB2554196227148F.prd2pweb?scheduleNumber=751"/>
    <hyperlink ref="A47" r:id="rId39" display="http://www.gsaelibrary.gsa.gov/ElibMain/scheduleSummary.do;jsessionid=B480E24EFA8A9841BB2554196227148F.prd2pweb?scheduleNumber=76"/>
    <hyperlink ref="A48" r:id="rId40" display="http://www.gsaelibrary.gsa.gov/ElibMain/scheduleSummary.do;jsessionid=B480E24EFA8A9841BB2554196227148F.prd2pweb?scheduleNumber=78"/>
    <hyperlink ref="A49" r:id="rId41" display="http://www.gsaelibrary.gsa.gov/ElibMain/scheduleSummary.do;jsessionid=B480E24EFA8A9841BB2554196227148F.prd2pweb?scheduleNumber=81+I+B"/>
    <hyperlink ref="A50" r:id="rId42" display="http://www.gsaelibrary.gsa.gov/ElibMain/scheduleSummary.do;jsessionid=B480E24EFA8A9841BB2554196227148F.prd2pweb?scheduleNumber=84"/>
    <hyperlink ref="A51" r:id="rId43" display="http://www.gsaelibrary.gsa.gov/ElibMain/scheduleSummary.do;jsessionid=B480E24EFA8A9841BB2554196227148F.prd2pweb?scheduleNumber=871"/>
    <hyperlink ref="A52" r:id="rId44" display="http://www.gsaelibrary.gsa.gov/ElibMain/scheduleSummary.do;jsessionid=B480E24EFA8A9841BB2554196227148F.prd2pweb?scheduleNumber=874"/>
    <hyperlink ref="A53" r:id="rId45" display="http://www.gsaelibrary.gsa.gov/ElibMain/scheduleSummary.do;jsessionid=B480E24EFA8A9841BB2554196227148F.prd2pweb?scheduleNumber=874+V"/>
    <hyperlink ref="A54" r:id="rId46" display="http://www.gsaelibrary.gsa.gov/ElibMain/scheduleSummary.do;jsessionid=B480E24EFA8A9841BB2554196227148F.prd2pweb?scheduleNumber=899"/>
    <hyperlink ref="A2" r:id="rId47"/>
  </hyperlinks>
  <pageMargins left="0.2" right="0.2" top="0.5" bottom="0.5" header="0.3" footer="0.3"/>
  <pageSetup scale="70" orientation="landscape" r:id="rId48"/>
</worksheet>
</file>

<file path=xl/worksheets/sheet4.xml><?xml version="1.0" encoding="utf-8"?>
<worksheet xmlns="http://schemas.openxmlformats.org/spreadsheetml/2006/main" xmlns:r="http://schemas.openxmlformats.org/officeDocument/2006/relationships">
  <dimension ref="A1:F78"/>
  <sheetViews>
    <sheetView showGridLines="0" workbookViewId="0">
      <selection activeCell="A24" sqref="A24"/>
    </sheetView>
  </sheetViews>
  <sheetFormatPr defaultColWidth="9.140625" defaultRowHeight="12.75" customHeight="1"/>
  <cols>
    <col min="1" max="1" width="225.85546875" customWidth="1"/>
    <col min="2" max="2" width="13.28515625" customWidth="1"/>
  </cols>
  <sheetData>
    <row r="1" spans="1:6" ht="18.75" customHeight="1">
      <c r="A1" s="1" t="s">
        <v>2682</v>
      </c>
      <c r="B1" s="7"/>
      <c r="C1" s="7"/>
      <c r="D1" s="7"/>
      <c r="E1" s="7"/>
      <c r="F1" s="7"/>
    </row>
    <row r="2" spans="1:6" ht="15" customHeight="1">
      <c r="A2" s="4" t="s">
        <v>2683</v>
      </c>
      <c r="B2" s="7"/>
      <c r="C2" s="7"/>
      <c r="D2" s="7"/>
      <c r="E2" s="7"/>
      <c r="F2" s="7"/>
    </row>
    <row r="3" spans="1:6" ht="15" customHeight="1">
      <c r="A3" s="4" t="s">
        <v>2683</v>
      </c>
      <c r="B3" s="7"/>
      <c r="C3" s="7"/>
      <c r="D3" s="7"/>
      <c r="E3" s="7"/>
      <c r="F3" s="7"/>
    </row>
    <row r="4" spans="1:6" ht="15" customHeight="1">
      <c r="A4" s="3" t="s">
        <v>2684</v>
      </c>
      <c r="B4" s="7"/>
      <c r="C4" s="7"/>
      <c r="D4" s="7"/>
      <c r="E4" s="7"/>
      <c r="F4" s="7"/>
    </row>
    <row r="5" spans="1:6" ht="15" customHeight="1">
      <c r="A5" s="4" t="s">
        <v>2685</v>
      </c>
      <c r="B5" s="7"/>
      <c r="C5" s="7"/>
      <c r="D5" s="7"/>
      <c r="E5" s="7"/>
      <c r="F5" s="7"/>
    </row>
    <row r="6" spans="1:6" ht="15" customHeight="1">
      <c r="A6" s="4" t="s">
        <v>2686</v>
      </c>
      <c r="B6" s="7"/>
      <c r="C6" s="7"/>
      <c r="D6" s="7"/>
      <c r="E6" s="7"/>
      <c r="F6" s="7"/>
    </row>
    <row r="7" spans="1:6" ht="15" customHeight="1">
      <c r="A7" s="4" t="s">
        <v>2687</v>
      </c>
      <c r="B7" s="7"/>
      <c r="C7" s="7"/>
      <c r="D7" s="7"/>
      <c r="E7" s="7"/>
      <c r="F7" s="7"/>
    </row>
    <row r="8" spans="1:6" ht="15" customHeight="1">
      <c r="A8" s="4" t="s">
        <v>2688</v>
      </c>
      <c r="B8" s="7"/>
      <c r="C8" s="7"/>
      <c r="D8" s="7"/>
      <c r="E8" s="7"/>
      <c r="F8" s="7"/>
    </row>
    <row r="9" spans="1:6" ht="15" customHeight="1">
      <c r="A9" s="4" t="s">
        <v>2689</v>
      </c>
      <c r="B9" s="7"/>
      <c r="C9" s="7"/>
      <c r="D9" s="7"/>
      <c r="E9" s="7"/>
      <c r="F9" s="7"/>
    </row>
    <row r="10" spans="1:6" ht="15" customHeight="1">
      <c r="A10" s="4" t="s">
        <v>2690</v>
      </c>
      <c r="B10" s="7"/>
      <c r="C10" s="7"/>
      <c r="D10" s="7"/>
      <c r="E10" s="7"/>
      <c r="F10" s="7"/>
    </row>
    <row r="11" spans="1:6">
      <c r="A11" s="6" t="str">
        <f>HYPERLINK("http://www.census.gov/eos/www/naics","Primary NAICS Code")</f>
        <v>Primary NAICS Code</v>
      </c>
      <c r="B11" s="7"/>
      <c r="C11" s="7"/>
      <c r="D11" s="7"/>
      <c r="E11" s="7"/>
      <c r="F11" s="7"/>
    </row>
    <row r="12" spans="1:6" ht="15" customHeight="1">
      <c r="A12" s="2" t="s">
        <v>2691</v>
      </c>
      <c r="B12" s="7"/>
      <c r="C12" s="7"/>
      <c r="D12" s="7"/>
      <c r="E12" s="7"/>
      <c r="F12" s="7"/>
    </row>
    <row r="13" spans="1:6" ht="15" customHeight="1">
      <c r="A13" s="2" t="s">
        <v>2692</v>
      </c>
      <c r="B13" s="7"/>
      <c r="C13" s="7"/>
      <c r="D13" s="7"/>
      <c r="E13" s="7"/>
      <c r="F13" s="7"/>
    </row>
    <row r="14" spans="1:6" ht="15" customHeight="1">
      <c r="A14" s="4" t="s">
        <v>2693</v>
      </c>
      <c r="B14" s="7"/>
      <c r="C14" s="7"/>
      <c r="D14" s="7"/>
      <c r="E14" s="7"/>
      <c r="F14" s="7"/>
    </row>
    <row r="15" spans="1:6" ht="15" customHeight="1">
      <c r="A15" s="4" t="s">
        <v>2694</v>
      </c>
      <c r="B15" s="7"/>
      <c r="C15" s="7"/>
      <c r="D15" s="7"/>
      <c r="E15" s="7"/>
      <c r="F15" s="7"/>
    </row>
    <row r="16" spans="1:6" ht="15" customHeight="1">
      <c r="A16" s="4" t="s">
        <v>2695</v>
      </c>
      <c r="B16" s="7"/>
      <c r="C16" s="7"/>
      <c r="D16" s="7"/>
      <c r="E16" s="7"/>
      <c r="F16" s="7"/>
    </row>
    <row r="17" spans="1:6" ht="15" customHeight="1">
      <c r="A17" s="4" t="s">
        <v>2696</v>
      </c>
      <c r="B17" s="7"/>
      <c r="C17" s="7"/>
      <c r="D17" s="7"/>
      <c r="E17" s="7"/>
      <c r="F17" s="7"/>
    </row>
    <row r="18" spans="1:6" ht="15" customHeight="1">
      <c r="A18" s="4" t="s">
        <v>2697</v>
      </c>
      <c r="B18" s="7"/>
      <c r="C18" s="7"/>
      <c r="D18" s="7"/>
      <c r="E18" s="7"/>
      <c r="F18" s="7"/>
    </row>
    <row r="19" spans="1:6" ht="15" customHeight="1">
      <c r="A19" s="4" t="s">
        <v>2698</v>
      </c>
      <c r="B19" s="7"/>
      <c r="C19" s="7"/>
      <c r="D19" s="7"/>
      <c r="E19" s="7"/>
      <c r="F19" s="7"/>
    </row>
    <row r="20" spans="1:6" ht="15" customHeight="1">
      <c r="A20" s="4" t="s">
        <v>2699</v>
      </c>
      <c r="B20" s="7"/>
      <c r="C20" s="7"/>
      <c r="D20" s="7"/>
      <c r="E20" s="7"/>
      <c r="F20" s="7"/>
    </row>
    <row r="21" spans="1:6" ht="15" customHeight="1">
      <c r="A21" s="4" t="s">
        <v>2700</v>
      </c>
      <c r="B21" s="7"/>
      <c r="C21" s="7"/>
      <c r="D21" s="7"/>
      <c r="E21" s="7"/>
      <c r="F21" s="7"/>
    </row>
    <row r="22" spans="1:6" ht="15" customHeight="1">
      <c r="A22" s="4" t="s">
        <v>2701</v>
      </c>
      <c r="B22" s="7"/>
      <c r="C22" s="7"/>
      <c r="D22" s="7"/>
      <c r="E22" s="7"/>
      <c r="F22" s="7"/>
    </row>
    <row r="23" spans="1:6" ht="15" customHeight="1">
      <c r="B23" s="7"/>
      <c r="C23" s="7"/>
      <c r="D23" s="7"/>
      <c r="E23" s="7"/>
      <c r="F23" s="7"/>
    </row>
    <row r="24" spans="1:6" ht="15" customHeight="1">
      <c r="A24" s="7"/>
      <c r="B24" s="7"/>
      <c r="C24" s="7"/>
      <c r="D24" s="7"/>
      <c r="E24" s="7"/>
      <c r="F24" s="7"/>
    </row>
    <row r="25" spans="1:6" ht="15" customHeight="1">
      <c r="A25" s="3" t="s">
        <v>2702</v>
      </c>
      <c r="B25" s="7"/>
      <c r="C25" s="7"/>
      <c r="D25" s="7"/>
      <c r="E25" s="7"/>
      <c r="F25" s="7"/>
    </row>
    <row r="26" spans="1:6" ht="15" customHeight="1">
      <c r="A26" s="4" t="s">
        <v>2703</v>
      </c>
      <c r="B26" s="7"/>
      <c r="C26" s="7"/>
      <c r="D26" s="7"/>
      <c r="E26" s="7"/>
      <c r="F26" s="7"/>
    </row>
    <row r="27" spans="1:6" ht="15" customHeight="1">
      <c r="A27" s="4" t="s">
        <v>2704</v>
      </c>
      <c r="B27" s="7"/>
      <c r="C27" s="7"/>
      <c r="D27" s="7"/>
      <c r="E27" s="7"/>
      <c r="F27" s="7"/>
    </row>
    <row r="28" spans="1:6" ht="15" customHeight="1">
      <c r="A28" s="4" t="s">
        <v>2705</v>
      </c>
      <c r="B28" s="7"/>
      <c r="C28" s="7"/>
      <c r="D28" s="7"/>
      <c r="E28" s="7"/>
      <c r="F28" s="7"/>
    </row>
    <row r="29" spans="1:6" ht="15" customHeight="1">
      <c r="A29" s="4" t="s">
        <v>2706</v>
      </c>
      <c r="B29" s="7"/>
      <c r="C29" s="7"/>
      <c r="D29" s="7"/>
      <c r="E29" s="7"/>
      <c r="F29" s="7"/>
    </row>
    <row r="30" spans="1:6" ht="15" customHeight="1">
      <c r="A30" s="4" t="s">
        <v>2707</v>
      </c>
      <c r="B30" s="7"/>
      <c r="C30" s="7"/>
      <c r="D30" s="7"/>
      <c r="E30" s="7"/>
      <c r="F30" s="7"/>
    </row>
    <row r="31" spans="1:6" ht="15" customHeight="1">
      <c r="A31" s="7"/>
      <c r="B31" s="7"/>
      <c r="C31" s="7"/>
      <c r="D31" s="7"/>
      <c r="E31" s="7"/>
      <c r="F31" s="7"/>
    </row>
    <row r="32" spans="1:6" ht="15" customHeight="1">
      <c r="A32" s="4" t="s">
        <v>2708</v>
      </c>
      <c r="B32" s="7"/>
      <c r="C32" s="7"/>
      <c r="D32" s="7"/>
      <c r="E32" s="7"/>
      <c r="F32" s="7"/>
    </row>
    <row r="33" spans="1:6" ht="15" customHeight="1">
      <c r="A33" s="2" t="s">
        <v>2709</v>
      </c>
      <c r="B33" s="7"/>
      <c r="C33" s="7"/>
      <c r="D33" s="7"/>
      <c r="E33" s="7"/>
      <c r="F33" s="7"/>
    </row>
    <row r="34" spans="1:6" ht="15" customHeight="1">
      <c r="A34" s="4" t="s">
        <v>2710</v>
      </c>
      <c r="B34" s="7"/>
      <c r="C34" s="7"/>
      <c r="D34" s="7"/>
      <c r="E34" s="7"/>
      <c r="F34" s="7"/>
    </row>
    <row r="35" spans="1:6" ht="15" customHeight="1">
      <c r="A35" s="4" t="s">
        <v>2711</v>
      </c>
      <c r="B35" s="7"/>
      <c r="C35" s="7"/>
      <c r="D35" s="7"/>
      <c r="E35" s="7"/>
      <c r="F35" s="7"/>
    </row>
    <row r="36" spans="1:6" ht="15" customHeight="1">
      <c r="A36" s="4" t="s">
        <v>2712</v>
      </c>
      <c r="B36" s="7"/>
      <c r="C36" s="7"/>
      <c r="D36" s="7"/>
      <c r="E36" s="7"/>
      <c r="F36" s="7"/>
    </row>
    <row r="37" spans="1:6" ht="15" customHeight="1">
      <c r="A37" s="4" t="s">
        <v>2713</v>
      </c>
      <c r="B37" s="7"/>
      <c r="C37" s="7"/>
      <c r="D37" s="7"/>
      <c r="E37" s="7"/>
      <c r="F37" s="7"/>
    </row>
    <row r="38" spans="1:6" ht="15" customHeight="1">
      <c r="A38" s="4" t="s">
        <v>2714</v>
      </c>
      <c r="B38" s="7"/>
      <c r="C38" s="7"/>
      <c r="D38" s="7"/>
      <c r="E38" s="7"/>
      <c r="F38" s="7"/>
    </row>
    <row r="39" spans="1:6" ht="15" customHeight="1">
      <c r="A39" s="4" t="s">
        <v>2715</v>
      </c>
      <c r="B39" s="7"/>
      <c r="C39" s="7"/>
      <c r="D39" s="7"/>
      <c r="E39" s="7"/>
      <c r="F39" s="7"/>
    </row>
    <row r="40" spans="1:6" ht="15" customHeight="1">
      <c r="A40" s="2" t="s">
        <v>2716</v>
      </c>
      <c r="B40" s="7"/>
      <c r="C40" s="7"/>
      <c r="D40" s="7"/>
      <c r="E40" s="7"/>
      <c r="F40" s="7"/>
    </row>
    <row r="41" spans="1:6" ht="15" customHeight="1">
      <c r="A41" s="4" t="s">
        <v>2717</v>
      </c>
      <c r="B41" s="7"/>
      <c r="C41" s="7"/>
      <c r="D41" s="7"/>
      <c r="E41" s="7"/>
      <c r="F41" s="7"/>
    </row>
    <row r="42" spans="1:6" ht="15" customHeight="1">
      <c r="A42" s="4" t="s">
        <v>2718</v>
      </c>
      <c r="B42" s="7"/>
      <c r="C42" s="7"/>
      <c r="D42" s="7"/>
      <c r="E42" s="7"/>
      <c r="F42" s="7"/>
    </row>
    <row r="43" spans="1:6" ht="15" customHeight="1">
      <c r="A43" s="2" t="s">
        <v>2719</v>
      </c>
      <c r="B43" s="7"/>
      <c r="C43" s="7"/>
      <c r="D43" s="7"/>
      <c r="E43" s="7"/>
      <c r="F43" s="7"/>
    </row>
    <row r="44" spans="1:6" ht="15" customHeight="1">
      <c r="A44" s="4" t="s">
        <v>2720</v>
      </c>
      <c r="B44" s="7"/>
      <c r="C44" s="7"/>
      <c r="D44" s="7"/>
      <c r="E44" s="7"/>
      <c r="F44" s="7"/>
    </row>
    <row r="45" spans="1:6" ht="15" customHeight="1">
      <c r="A45" s="7"/>
      <c r="B45" s="7"/>
      <c r="C45" s="7"/>
      <c r="D45" s="7"/>
      <c r="E45" s="7"/>
      <c r="F45" s="7"/>
    </row>
    <row r="46" spans="1:6" ht="15" customHeight="1">
      <c r="A46" s="7"/>
      <c r="B46" s="7"/>
      <c r="C46" s="7"/>
      <c r="D46" s="7"/>
      <c r="E46" s="7"/>
      <c r="F46" s="7"/>
    </row>
    <row r="47" spans="1:6" ht="15" customHeight="1">
      <c r="A47" s="3" t="s">
        <v>2721</v>
      </c>
      <c r="B47" s="7"/>
      <c r="C47" s="7"/>
      <c r="D47" s="7"/>
      <c r="E47" s="7"/>
      <c r="F47" s="7"/>
    </row>
    <row r="48" spans="1:6" ht="15" customHeight="1">
      <c r="A48" s="6" t="str">
        <f>HYPERLINK("http://www.sba.gov/8a"," 8a")</f>
        <v> 8a</v>
      </c>
      <c r="B48" s="7"/>
      <c r="C48" s="7"/>
      <c r="D48" s="7"/>
      <c r="E48" s="7"/>
      <c r="F48" s="7"/>
    </row>
    <row r="49" spans="1:6" ht="15" customHeight="1">
      <c r="A49" s="2" t="s">
        <v>2722</v>
      </c>
      <c r="B49" s="7"/>
      <c r="C49" s="7"/>
      <c r="D49" s="7"/>
      <c r="E49" s="7"/>
      <c r="F49" s="7"/>
    </row>
    <row r="50" spans="1:6">
      <c r="A50" s="6" t="str">
        <f>HYPERLINK("http://www.sba.gov/hubzone","HUBZone")</f>
        <v>HUBZone</v>
      </c>
      <c r="B50" s="7"/>
      <c r="C50" s="7"/>
      <c r="D50" s="7"/>
      <c r="E50" s="7"/>
      <c r="F50" s="7"/>
    </row>
    <row r="51" spans="1:6" ht="15" customHeight="1">
      <c r="A51" s="2" t="s">
        <v>2723</v>
      </c>
      <c r="B51" s="7"/>
      <c r="C51" s="7"/>
      <c r="D51" s="7"/>
      <c r="E51" s="7"/>
      <c r="F51" s="7"/>
    </row>
    <row r="52" spans="1:6" ht="15" customHeight="1">
      <c r="A52" s="2" t="s">
        <v>2724</v>
      </c>
      <c r="B52" s="7"/>
      <c r="C52" s="7"/>
      <c r="D52" s="7"/>
      <c r="E52" s="7"/>
      <c r="F52" s="7"/>
    </row>
    <row r="53" spans="1:6" ht="15" customHeight="1">
      <c r="A53" s="2" t="s">
        <v>2725</v>
      </c>
      <c r="B53" s="7"/>
      <c r="C53" s="7"/>
      <c r="D53" s="7"/>
      <c r="E53" s="7"/>
      <c r="F53" s="7"/>
    </row>
    <row r="54" spans="1:6">
      <c r="A54" s="6" t="str">
        <f>HYPERLINK("http://www.sba.gov/wosb","WOSB ")</f>
        <v xml:space="preserve">WOSB </v>
      </c>
      <c r="B54" s="7"/>
      <c r="C54" s="7"/>
      <c r="D54" s="7"/>
      <c r="E54" s="7"/>
      <c r="F54" s="7"/>
    </row>
    <row r="55" spans="1:6" ht="15" customHeight="1">
      <c r="A55" s="2" t="s">
        <v>2726</v>
      </c>
      <c r="B55" s="7"/>
      <c r="C55" s="7"/>
      <c r="D55" s="7"/>
      <c r="E55" s="7"/>
      <c r="F55" s="7"/>
    </row>
    <row r="56" spans="1:6" ht="15" customHeight="1">
      <c r="A56" s="2" t="s">
        <v>2727</v>
      </c>
      <c r="B56" s="7"/>
      <c r="C56" s="7"/>
      <c r="D56" s="7"/>
      <c r="E56" s="7"/>
      <c r="F56" s="7"/>
    </row>
    <row r="57" spans="1:6">
      <c r="A57" s="5" t="str">
        <f>HYPERLINK("http://www.sba.gov/content/service-disabled-veteran-owned-small-business-concerns-sdvosbc","SDVOSB ")</f>
        <v xml:space="preserve">SDVOSB </v>
      </c>
      <c r="B57" s="7"/>
      <c r="C57" s="7"/>
      <c r="D57" s="7"/>
      <c r="E57" s="7"/>
      <c r="F57" s="7"/>
    </row>
    <row r="58" spans="1:6" ht="15" customHeight="1">
      <c r="A58" s="2" t="s">
        <v>2728</v>
      </c>
      <c r="B58" s="7"/>
      <c r="C58" s="7"/>
      <c r="D58" s="7"/>
      <c r="E58" s="7"/>
      <c r="F58" s="7"/>
    </row>
    <row r="59" spans="1:6" ht="15" customHeight="1">
      <c r="A59" s="2" t="s">
        <v>2729</v>
      </c>
      <c r="B59" s="7"/>
      <c r="C59" s="7"/>
      <c r="D59" s="7"/>
      <c r="E59" s="7"/>
      <c r="F59" s="7"/>
    </row>
    <row r="60" spans="1:6" ht="15" customHeight="1">
      <c r="A60" s="2" t="s">
        <v>2730</v>
      </c>
      <c r="B60" s="7"/>
      <c r="C60" s="7"/>
      <c r="D60" s="7"/>
      <c r="E60" s="7"/>
      <c r="F60" s="7"/>
    </row>
    <row r="61" spans="1:6" ht="15" customHeight="1">
      <c r="A61" s="4" t="s">
        <v>2731</v>
      </c>
      <c r="B61" s="7"/>
      <c r="C61" s="7"/>
      <c r="D61" s="7"/>
      <c r="E61" s="7"/>
      <c r="F61" s="7"/>
    </row>
    <row r="62" spans="1:6" ht="15" customHeight="1">
      <c r="A62" s="2" t="s">
        <v>2732</v>
      </c>
      <c r="B62" s="7"/>
      <c r="C62" s="7"/>
      <c r="D62" s="7"/>
      <c r="E62" s="7"/>
      <c r="F62" s="7"/>
    </row>
    <row r="63" spans="1:6" ht="15" customHeight="1">
      <c r="A63" s="2" t="s">
        <v>2733</v>
      </c>
      <c r="B63" s="7"/>
      <c r="C63" s="7"/>
      <c r="D63" s="7"/>
      <c r="E63" s="7"/>
      <c r="F63" s="7"/>
    </row>
    <row r="64" spans="1:6" ht="15" customHeight="1">
      <c r="A64" s="4" t="s">
        <v>2734</v>
      </c>
      <c r="B64" s="7"/>
      <c r="C64" s="7"/>
      <c r="D64" s="7"/>
      <c r="E64" s="7"/>
      <c r="F64" s="7"/>
    </row>
    <row r="65" spans="1:6" ht="15" customHeight="1">
      <c r="A65" s="2" t="s">
        <v>2735</v>
      </c>
      <c r="B65" s="7"/>
      <c r="C65" s="7"/>
      <c r="D65" s="7"/>
      <c r="E65" s="7"/>
      <c r="F65" s="7"/>
    </row>
    <row r="66" spans="1:6" ht="15" customHeight="1">
      <c r="A66" s="4" t="s">
        <v>2736</v>
      </c>
      <c r="B66" s="7"/>
      <c r="C66" s="7"/>
      <c r="D66" s="7"/>
      <c r="E66" s="7"/>
      <c r="F66" s="7"/>
    </row>
    <row r="67" spans="1:6" ht="15" customHeight="1">
      <c r="A67" s="2" t="s">
        <v>2737</v>
      </c>
      <c r="B67" s="7"/>
      <c r="C67" s="7"/>
      <c r="D67" s="7"/>
      <c r="E67" s="7"/>
      <c r="F67" s="7"/>
    </row>
    <row r="68" spans="1:6" ht="15" customHeight="1">
      <c r="A68" s="2" t="s">
        <v>2738</v>
      </c>
      <c r="B68" s="7"/>
      <c r="C68" s="7"/>
      <c r="D68" s="7"/>
      <c r="E68" s="7"/>
      <c r="F68" s="7"/>
    </row>
    <row r="69" spans="1:6" ht="15" customHeight="1">
      <c r="A69" s="4" t="s">
        <v>2739</v>
      </c>
      <c r="B69" s="7"/>
      <c r="C69" s="7"/>
      <c r="D69" s="7"/>
      <c r="E69" s="7"/>
      <c r="F69" s="7"/>
    </row>
    <row r="70" spans="1:6" ht="15" customHeight="1">
      <c r="A70" s="2" t="s">
        <v>2740</v>
      </c>
      <c r="B70" s="7"/>
      <c r="C70" s="7"/>
      <c r="D70" s="7"/>
      <c r="E70" s="7"/>
      <c r="F70" s="7"/>
    </row>
    <row r="71" spans="1:6" ht="15" customHeight="1">
      <c r="A71" s="2" t="s">
        <v>2741</v>
      </c>
      <c r="B71" s="7"/>
      <c r="C71" s="7"/>
      <c r="D71" s="7"/>
      <c r="E71" s="7"/>
      <c r="F71" s="7"/>
    </row>
    <row r="72" spans="1:6" ht="15" customHeight="1">
      <c r="A72" s="2" t="s">
        <v>2742</v>
      </c>
      <c r="B72" s="7"/>
      <c r="C72" s="7"/>
      <c r="D72" s="7"/>
      <c r="E72" s="7"/>
      <c r="F72" s="7"/>
    </row>
    <row r="73" spans="1:6" ht="15" customHeight="1">
      <c r="A73" s="2" t="s">
        <v>2743</v>
      </c>
      <c r="B73" s="7"/>
      <c r="C73" s="7"/>
      <c r="D73" s="7"/>
      <c r="E73" s="7"/>
      <c r="F73" s="7"/>
    </row>
    <row r="74" spans="1:6" ht="15" customHeight="1">
      <c r="A74" s="2" t="s">
        <v>2744</v>
      </c>
      <c r="B74" s="7"/>
      <c r="C74" s="7"/>
      <c r="D74" s="7"/>
      <c r="E74" s="7"/>
      <c r="F74" s="7"/>
    </row>
    <row r="75" spans="1:6" ht="15" customHeight="1">
      <c r="A75" s="2" t="s">
        <v>3450</v>
      </c>
      <c r="B75" s="7"/>
      <c r="C75" s="7"/>
      <c r="D75" s="7"/>
      <c r="E75" s="7"/>
      <c r="F75" s="7"/>
    </row>
    <row r="76" spans="1:6" ht="15" customHeight="1">
      <c r="A76" s="2" t="s">
        <v>3451</v>
      </c>
      <c r="B76" s="7"/>
      <c r="C76" s="7"/>
      <c r="D76" s="7"/>
      <c r="E76" s="7"/>
      <c r="F76" s="7"/>
    </row>
    <row r="77" spans="1:6">
      <c r="A77" s="6" t="str">
        <f>HYPERLINK("http://www.gsa.gov/schedules","GSA Schedule")</f>
        <v>GSA Schedule</v>
      </c>
      <c r="B77" s="7"/>
      <c r="C77" s="7"/>
      <c r="D77" s="7"/>
      <c r="E77" s="7"/>
      <c r="F77" s="7"/>
    </row>
    <row r="78" spans="1:6" ht="15" customHeight="1">
      <c r="A78" s="2" t="s">
        <v>2745</v>
      </c>
      <c r="B78" s="7"/>
      <c r="C78" s="7"/>
      <c r="D78" s="7"/>
      <c r="E78" s="7"/>
      <c r="F7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GSA Forecast</vt:lpstr>
      <vt:lpstr>FY14 Leases</vt:lpstr>
      <vt:lpstr>GSA Schedules</vt:lpstr>
      <vt:lpstr>Forecast Legend</vt:lpstr>
      <vt:lpstr>NamedRange1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NadineMcCoy</dc:creator>
  <cp:lastModifiedBy>YolandaGJohnson</cp:lastModifiedBy>
  <cp:lastPrinted>2013-12-03T18:05:15Z</cp:lastPrinted>
  <dcterms:created xsi:type="dcterms:W3CDTF">2013-11-26T13:35:34Z</dcterms:created>
  <dcterms:modified xsi:type="dcterms:W3CDTF">2013-12-03T19:23:58Z</dcterms:modified>
</cp:coreProperties>
</file>