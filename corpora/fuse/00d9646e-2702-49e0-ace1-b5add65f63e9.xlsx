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60" windowWidth="19080" windowHeight="4992"/>
  </bookViews>
  <sheets>
    <sheet name="Total" sheetId="1" r:id="rId1"/>
    <sheet name="Income" sheetId="2" r:id="rId2"/>
    <sheet name="Sheet3" sheetId="3" r:id="rId3"/>
  </sheets>
  <externalReferences>
    <externalReference r:id="rId4"/>
    <externalReference r:id="rId5"/>
  </externalReferences>
  <calcPr calcId="125725"/>
</workbook>
</file>

<file path=xl/calcChain.xml><?xml version="1.0" encoding="utf-8"?>
<calcChain xmlns="http://schemas.openxmlformats.org/spreadsheetml/2006/main">
  <c r="G23" i="2"/>
  <c r="F23"/>
  <c r="H23" s="1"/>
  <c r="E23"/>
  <c r="D23"/>
  <c r="G22"/>
  <c r="F22"/>
  <c r="H22" s="1"/>
  <c r="E22"/>
  <c r="D22"/>
  <c r="G21"/>
  <c r="F21"/>
  <c r="H21" s="1"/>
  <c r="E21"/>
  <c r="D21"/>
  <c r="G20"/>
  <c r="F20"/>
  <c r="H20" s="1"/>
  <c r="E20"/>
  <c r="D20"/>
  <c r="H19"/>
  <c r="H18"/>
  <c r="G17"/>
  <c r="F17"/>
  <c r="H17" s="1"/>
  <c r="E17"/>
  <c r="D17"/>
  <c r="G16"/>
  <c r="F16"/>
  <c r="H16" s="1"/>
  <c r="E16"/>
  <c r="D16"/>
  <c r="G15"/>
  <c r="F15"/>
  <c r="H15" s="1"/>
  <c r="E15"/>
  <c r="D15"/>
  <c r="H14"/>
  <c r="H13"/>
  <c r="G12"/>
  <c r="F12"/>
  <c r="H12" s="1"/>
  <c r="E12"/>
  <c r="D12"/>
  <c r="G11"/>
  <c r="F11"/>
  <c r="H11" s="1"/>
  <c r="E11"/>
  <c r="D11"/>
  <c r="G10"/>
  <c r="F10"/>
  <c r="H10" s="1"/>
  <c r="E10"/>
  <c r="D10"/>
  <c r="G9"/>
  <c r="F9"/>
  <c r="H9" s="1"/>
  <c r="E9"/>
  <c r="D9"/>
  <c r="G8"/>
  <c r="F8"/>
  <c r="H8" s="1"/>
  <c r="E8"/>
  <c r="D8"/>
  <c r="G7"/>
  <c r="F7"/>
  <c r="H7" s="1"/>
  <c r="E7"/>
  <c r="D7"/>
  <c r="G6"/>
  <c r="F6"/>
  <c r="H6" s="1"/>
  <c r="E6"/>
  <c r="D6"/>
  <c r="G5"/>
  <c r="F5"/>
  <c r="H5" s="1"/>
  <c r="E5"/>
  <c r="D5"/>
  <c r="G4"/>
  <c r="G25" s="1"/>
  <c r="F4"/>
  <c r="F25" s="1"/>
  <c r="E4"/>
  <c r="E25" s="1"/>
  <c r="D4"/>
  <c r="D25" s="1"/>
  <c r="D1"/>
  <c r="E14" i="1"/>
  <c r="D14"/>
  <c r="F14" s="1"/>
  <c r="C14"/>
  <c r="B14"/>
  <c r="E13"/>
  <c r="D13"/>
  <c r="F13" s="1"/>
  <c r="C13"/>
  <c r="B13"/>
  <c r="E12"/>
  <c r="D12"/>
  <c r="F12" s="1"/>
  <c r="C12"/>
  <c r="B12"/>
  <c r="E11"/>
  <c r="D11"/>
  <c r="F11" s="1"/>
  <c r="C11"/>
  <c r="B11"/>
  <c r="E10"/>
  <c r="D10"/>
  <c r="F10" s="1"/>
  <c r="C10"/>
  <c r="B10"/>
  <c r="E9"/>
  <c r="D9"/>
  <c r="F9" s="1"/>
  <c r="C9"/>
  <c r="B9"/>
  <c r="E8"/>
  <c r="D8"/>
  <c r="F8" s="1"/>
  <c r="C8"/>
  <c r="B8"/>
  <c r="E7"/>
  <c r="D7"/>
  <c r="F7" s="1"/>
  <c r="C7"/>
  <c r="B7"/>
  <c r="E6"/>
  <c r="D6"/>
  <c r="F6" s="1"/>
  <c r="C6"/>
  <c r="B6"/>
  <c r="E5"/>
  <c r="E16" s="1"/>
  <c r="D5"/>
  <c r="D16" s="1"/>
  <c r="C5"/>
  <c r="C16" s="1"/>
  <c r="B5"/>
  <c r="B16" s="1"/>
  <c r="E3"/>
  <c r="E18" s="1"/>
  <c r="D3"/>
  <c r="D18" s="1"/>
  <c r="C3"/>
  <c r="C18" s="1"/>
  <c r="B3"/>
  <c r="B18" s="1"/>
  <c r="H25" i="2" l="1"/>
  <c r="H4"/>
  <c r="F18" i="1"/>
  <c r="F16"/>
  <c r="F3"/>
  <c r="F5"/>
</calcChain>
</file>

<file path=xl/sharedStrings.xml><?xml version="1.0" encoding="utf-8"?>
<sst xmlns="http://schemas.openxmlformats.org/spreadsheetml/2006/main" count="60" uniqueCount="54">
  <si>
    <t xml:space="preserve">St. Dunstan's Episcopal Church Budgeted Financial Statement by Mission Center October 2012   </t>
  </si>
  <si>
    <t>2012 Budget</t>
  </si>
  <si>
    <t>Actual for Period</t>
  </si>
  <si>
    <t>Actual YTD</t>
  </si>
  <si>
    <t>Var. Actual to Annual Budget Dollar</t>
  </si>
  <si>
    <t>Var. Actual to Annual Budget %</t>
  </si>
  <si>
    <t>Total Income</t>
  </si>
  <si>
    <t>Worship</t>
  </si>
  <si>
    <t>Evangelism</t>
  </si>
  <si>
    <t>Youth</t>
  </si>
  <si>
    <t>Adult Formation</t>
  </si>
  <si>
    <t>Children's Formation</t>
  </si>
  <si>
    <t>Community Life</t>
  </si>
  <si>
    <t>Pastoral Care</t>
  </si>
  <si>
    <t>Outreach</t>
  </si>
  <si>
    <t>Leadership &amp; Support</t>
  </si>
  <si>
    <t>Campus</t>
  </si>
  <si>
    <t>Total Expenses</t>
  </si>
  <si>
    <t>Income Over/(Under) Expenses</t>
  </si>
  <si>
    <t>Income</t>
  </si>
  <si>
    <t>Contribution Income</t>
  </si>
  <si>
    <t>101/4005</t>
  </si>
  <si>
    <t>Current Year Pledges</t>
  </si>
  <si>
    <t>101/4010</t>
  </si>
  <si>
    <t>Prior Year Pledges</t>
  </si>
  <si>
    <t>101/4015</t>
  </si>
  <si>
    <t>Unpledged members</t>
  </si>
  <si>
    <t>101/4020</t>
  </si>
  <si>
    <t>Open Plate (Cash)</t>
  </si>
  <si>
    <t>101/4025</t>
  </si>
  <si>
    <t>Visitor Donations</t>
  </si>
  <si>
    <t>101/4030</t>
  </si>
  <si>
    <t>Initial Offering</t>
  </si>
  <si>
    <t>101/4035</t>
  </si>
  <si>
    <t>Children's Liturgy</t>
  </si>
  <si>
    <t>101/4040</t>
  </si>
  <si>
    <t>Holiday Offerings</t>
  </si>
  <si>
    <t>101/4045</t>
  </si>
  <si>
    <t>Facility Use Donations</t>
  </si>
  <si>
    <t>Interest Income</t>
  </si>
  <si>
    <t>102/4005</t>
  </si>
  <si>
    <t>Interest Income - General Checking</t>
  </si>
  <si>
    <t>102/4010</t>
  </si>
  <si>
    <t>Interest Income - General Money Market</t>
  </si>
  <si>
    <t>102/4090</t>
  </si>
  <si>
    <t>Interest Income - Other</t>
  </si>
  <si>
    <t>Other Income</t>
  </si>
  <si>
    <t>199/4005</t>
  </si>
  <si>
    <t>199/4010</t>
  </si>
  <si>
    <t>Grants from Diocese</t>
  </si>
  <si>
    <t>199/4015</t>
  </si>
  <si>
    <t>Transfer from other Funds</t>
  </si>
  <si>
    <t>199/4020</t>
  </si>
  <si>
    <t>M4M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</si>
</sst>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  <xf numFmtId="10" fontId="1" fillId="0" borderId="0" xfId="0" applyNumberFormat="1" applyFont="1"/>
    <xf numFmtId="10" fontId="0" fillId="0" borderId="0" xfId="0" applyNumberFormat="1"/>
    <xf numFmtId="4" fontId="0" fillId="0" borderId="0" xfId="0" applyNumberFormat="1" applyFill="1" applyAlignment="1">
      <alignment horizontal="right"/>
    </xf>
    <xf numFmtId="0" fontId="2" fillId="0" borderId="0" xfId="0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wrapText="1"/>
    </xf>
    <xf numFmtId="10" fontId="1" fillId="0" borderId="1" xfId="0" applyNumberFormat="1" applyFont="1" applyBorder="1" applyAlignment="1">
      <alignment horizontal="center" wrapText="1"/>
    </xf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riggs/My%20Documents/Finance/2012%20October%20Budgeted%20Financial%20Statement%20by%20Mission%20Cen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riggs/My%20Documents/Shelby%20Financial%20Reports/Shelby%20Financial%20Statement%20Ex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"/>
      <sheetName val="Income"/>
      <sheetName val="Worship"/>
      <sheetName val="Adult Formation"/>
      <sheetName val="Evangelism"/>
      <sheetName val="Youth"/>
      <sheetName val="Children's Formation"/>
      <sheetName val="Community Life"/>
      <sheetName val="Pastoral Care"/>
      <sheetName val="Leadership &amp; Support"/>
      <sheetName val="Outreach"/>
      <sheetName val="Campus"/>
      <sheetName val="Combined Accounts"/>
    </sheetNames>
    <sheetDataSet>
      <sheetData sheetId="0">
        <row r="1">
          <cell r="B1" t="str">
            <v>2012 Budget</v>
          </cell>
        </row>
      </sheetData>
      <sheetData sheetId="1">
        <row r="25">
          <cell r="D25">
            <v>1227827</v>
          </cell>
          <cell r="E25">
            <v>92259.51999999999</v>
          </cell>
          <cell r="F25">
            <v>985535.24999999988</v>
          </cell>
          <cell r="G25">
            <v>-242291.75</v>
          </cell>
        </row>
      </sheetData>
      <sheetData sheetId="2">
        <row r="42">
          <cell r="D42">
            <v>135693.02669</v>
          </cell>
          <cell r="E42">
            <v>15217.022224</v>
          </cell>
          <cell r="F42">
            <v>127102.25724000001</v>
          </cell>
          <cell r="G42">
            <v>-8590.7694499999998</v>
          </cell>
        </row>
      </sheetData>
      <sheetData sheetId="3">
        <row r="14">
          <cell r="D14">
            <v>33498.660000000003</v>
          </cell>
          <cell r="E14">
            <v>2735.3</v>
          </cell>
          <cell r="F14">
            <v>24624.280000000002</v>
          </cell>
          <cell r="G14">
            <v>-8874.380000000001</v>
          </cell>
        </row>
      </sheetData>
      <sheetData sheetId="4">
        <row r="17">
          <cell r="D17">
            <v>78341.851689999996</v>
          </cell>
          <cell r="E17">
            <v>6848.3622239999995</v>
          </cell>
          <cell r="F17">
            <v>59545.827239999999</v>
          </cell>
          <cell r="G17">
            <v>-18796.024450000001</v>
          </cell>
        </row>
      </sheetData>
      <sheetData sheetId="5">
        <row r="35">
          <cell r="D35">
            <v>82512.649999999994</v>
          </cell>
          <cell r="E35">
            <v>3229.07</v>
          </cell>
          <cell r="F35">
            <v>61092.244999999995</v>
          </cell>
          <cell r="G35">
            <v>-21420.404999999999</v>
          </cell>
        </row>
      </sheetData>
      <sheetData sheetId="6">
        <row r="26">
          <cell r="D26">
            <v>77902.005000000005</v>
          </cell>
          <cell r="E26">
            <v>6025.0099999999993</v>
          </cell>
          <cell r="F26">
            <v>61191.880000000005</v>
          </cell>
          <cell r="G26">
            <v>-16710.125</v>
          </cell>
        </row>
      </sheetData>
      <sheetData sheetId="7">
        <row r="13">
          <cell r="D13">
            <v>37284.509125999997</v>
          </cell>
          <cell r="E13">
            <v>3528.0722809999997</v>
          </cell>
          <cell r="F13">
            <v>32053.529427000001</v>
          </cell>
          <cell r="G13">
            <v>-5230.9796989999995</v>
          </cell>
        </row>
      </sheetData>
      <sheetData sheetId="8">
        <row r="14">
          <cell r="D14">
            <v>20080.102500000001</v>
          </cell>
          <cell r="E14">
            <v>2681.8849999999998</v>
          </cell>
          <cell r="F14">
            <v>17682.3475</v>
          </cell>
          <cell r="G14">
            <v>-2397.7550000000001</v>
          </cell>
        </row>
      </sheetData>
      <sheetData sheetId="9">
        <row r="52">
          <cell r="D52">
            <v>350880.64849399996</v>
          </cell>
          <cell r="E52">
            <v>26231.138443</v>
          </cell>
          <cell r="F52">
            <v>285851.60781299998</v>
          </cell>
          <cell r="G52">
            <v>-65029.040680999991</v>
          </cell>
        </row>
      </sheetData>
      <sheetData sheetId="10">
        <row r="20">
          <cell r="D20">
            <v>198609.15650000001</v>
          </cell>
          <cell r="E20">
            <v>17270.989828000002</v>
          </cell>
          <cell r="F20">
            <v>159695.12578</v>
          </cell>
          <cell r="G20">
            <v>-38914.030720000002</v>
          </cell>
        </row>
      </sheetData>
      <sheetData sheetId="11">
        <row r="27">
          <cell r="D27">
            <v>241068.12</v>
          </cell>
          <cell r="E27">
            <v>25354.16</v>
          </cell>
          <cell r="F27">
            <v>203088.8</v>
          </cell>
          <cell r="G27">
            <v>-37979.32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. 000 General Opertaing"/>
      <sheetName val="Sheet2"/>
      <sheetName val="Sheet3"/>
    </sheetNames>
    <sheetDataSet>
      <sheetData sheetId="0">
        <row r="1">
          <cell r="C1"/>
          <cell r="D1"/>
          <cell r="E1"/>
          <cell r="F1"/>
          <cell r="G1"/>
        </row>
        <row r="2">
          <cell r="C2"/>
          <cell r="D2"/>
          <cell r="E2"/>
          <cell r="F2"/>
          <cell r="G2"/>
        </row>
        <row r="3">
          <cell r="C3"/>
          <cell r="D3"/>
          <cell r="E3"/>
          <cell r="F3"/>
          <cell r="G3"/>
        </row>
        <row r="5">
          <cell r="B5" t="str">
            <v>Acct # Description</v>
          </cell>
          <cell r="C5" t="str">
            <v>Budget Annual</v>
          </cell>
          <cell r="D5" t="str">
            <v>Actual for Period</v>
          </cell>
          <cell r="E5" t="str">
            <v>Actual YTD</v>
          </cell>
          <cell r="F5" t="str">
            <v>Var. Actual to Annual Budget Dollar</v>
          </cell>
          <cell r="G5" t="str">
            <v>Var. Actual to Annual Budget %</v>
          </cell>
        </row>
        <row r="7">
          <cell r="B7" t="str">
            <v>101 - Contribution Income</v>
          </cell>
        </row>
        <row r="8">
          <cell r="B8" t="str">
            <v>101/4005 Current Year Pledges</v>
          </cell>
          <cell r="C8">
            <v>1103677</v>
          </cell>
          <cell r="D8">
            <v>82466.759999999995</v>
          </cell>
          <cell r="E8">
            <v>876603.32</v>
          </cell>
          <cell r="F8">
            <v>-227073.68</v>
          </cell>
          <cell r="G8">
            <v>79.425700000000006</v>
          </cell>
        </row>
        <row r="9">
          <cell r="B9" t="str">
            <v>101/4010 Prior Year Pledges</v>
          </cell>
          <cell r="C9">
            <v>1500</v>
          </cell>
          <cell r="D9">
            <v>0</v>
          </cell>
          <cell r="E9">
            <v>-101</v>
          </cell>
          <cell r="F9">
            <v>-1601</v>
          </cell>
          <cell r="G9">
            <v>-6.7332999999999998</v>
          </cell>
        </row>
        <row r="10">
          <cell r="B10" t="str">
            <v>101/4015 Unpledged Members</v>
          </cell>
          <cell r="C10">
            <v>60000</v>
          </cell>
          <cell r="D10">
            <v>6707</v>
          </cell>
          <cell r="E10">
            <v>62522</v>
          </cell>
          <cell r="F10">
            <v>2522</v>
          </cell>
          <cell r="G10">
            <v>104.2033</v>
          </cell>
        </row>
        <row r="11">
          <cell r="B11" t="str">
            <v>101/4020 Open Plate (Cash)</v>
          </cell>
          <cell r="C11">
            <v>15000</v>
          </cell>
          <cell r="D11">
            <v>784.79</v>
          </cell>
          <cell r="E11">
            <v>10783</v>
          </cell>
          <cell r="F11">
            <v>-4217</v>
          </cell>
          <cell r="G11">
            <v>71.886700000000005</v>
          </cell>
        </row>
        <row r="12">
          <cell r="B12" t="str">
            <v>101/4025 Visitor Donations</v>
          </cell>
          <cell r="C12">
            <v>1000</v>
          </cell>
          <cell r="D12">
            <v>20</v>
          </cell>
          <cell r="E12">
            <v>595</v>
          </cell>
          <cell r="F12">
            <v>-405</v>
          </cell>
          <cell r="G12">
            <v>59.5</v>
          </cell>
        </row>
        <row r="13">
          <cell r="B13" t="str">
            <v>101/4030 Initial Offering</v>
          </cell>
          <cell r="C13">
            <v>350</v>
          </cell>
          <cell r="D13">
            <v>0</v>
          </cell>
          <cell r="E13">
            <v>316</v>
          </cell>
          <cell r="F13">
            <v>-34</v>
          </cell>
          <cell r="G13">
            <v>90.285700000000006</v>
          </cell>
        </row>
        <row r="14">
          <cell r="B14" t="str">
            <v>101/4035 Children's Liturgy</v>
          </cell>
          <cell r="C14">
            <v>300</v>
          </cell>
          <cell r="D14">
            <v>27.66</v>
          </cell>
          <cell r="E14">
            <v>275.51</v>
          </cell>
          <cell r="F14">
            <v>-24.49</v>
          </cell>
          <cell r="G14">
            <v>91.836699999999993</v>
          </cell>
        </row>
        <row r="15">
          <cell r="B15" t="str">
            <v>101/4040 Holiday Offerings</v>
          </cell>
          <cell r="C15">
            <v>30000</v>
          </cell>
          <cell r="D15">
            <v>0</v>
          </cell>
          <cell r="E15">
            <v>15016.08</v>
          </cell>
          <cell r="F15">
            <v>-14983.92</v>
          </cell>
          <cell r="G15">
            <v>50.053600000000003</v>
          </cell>
        </row>
        <row r="16">
          <cell r="B16" t="str">
            <v>101/4045 Facility Use Donations</v>
          </cell>
          <cell r="C16">
            <v>1000</v>
          </cell>
          <cell r="D16">
            <v>0</v>
          </cell>
          <cell r="E16">
            <v>465</v>
          </cell>
          <cell r="F16">
            <v>-535</v>
          </cell>
          <cell r="G16">
            <v>46.5</v>
          </cell>
        </row>
        <row r="17">
          <cell r="B17" t="str">
            <v>Total Contribution Income</v>
          </cell>
          <cell r="C17">
            <v>1212827</v>
          </cell>
          <cell r="D17">
            <v>90006.21</v>
          </cell>
          <cell r="E17">
            <v>966474.91</v>
          </cell>
          <cell r="F17">
            <v>-246352.09</v>
          </cell>
          <cell r="G17">
            <v>79.687799999999996</v>
          </cell>
        </row>
        <row r="20">
          <cell r="B20" t="str">
            <v>102 - Interest Income</v>
          </cell>
        </row>
        <row r="21">
          <cell r="B21" t="str">
            <v>102/4005 Interest Income - General Checking</v>
          </cell>
          <cell r="C21">
            <v>0</v>
          </cell>
          <cell r="D21">
            <v>1.31</v>
          </cell>
          <cell r="E21">
            <v>18.59</v>
          </cell>
          <cell r="F21">
            <v>18.59</v>
          </cell>
          <cell r="G21">
            <v>0</v>
          </cell>
        </row>
        <row r="22">
          <cell r="B22" t="str">
            <v>102/4010 Interest Income - General Money Market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102/4090 Interest Income - Other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Total Interest Income</v>
          </cell>
          <cell r="C24">
            <v>0</v>
          </cell>
          <cell r="D24">
            <v>1.31</v>
          </cell>
          <cell r="E24">
            <v>18.59</v>
          </cell>
          <cell r="F24">
            <v>18.59</v>
          </cell>
          <cell r="G24">
            <v>0</v>
          </cell>
        </row>
        <row r="27">
          <cell r="B27" t="str">
            <v>199 - Other Income</v>
          </cell>
        </row>
        <row r="28">
          <cell r="B28" t="str">
            <v>199/4005 Other Income</v>
          </cell>
          <cell r="C28">
            <v>15000</v>
          </cell>
          <cell r="D28">
            <v>2252</v>
          </cell>
          <cell r="E28">
            <v>19041.75</v>
          </cell>
          <cell r="F28">
            <v>4041.75</v>
          </cell>
          <cell r="G28">
            <v>126.94499999999999</v>
          </cell>
        </row>
        <row r="29">
          <cell r="B29" t="str">
            <v>199/4010 Grants from Diocese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199/4015 Transfer from other Funds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>199/4020 M4M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 t="str">
            <v>Total Other Income</v>
          </cell>
          <cell r="C32">
            <v>15000</v>
          </cell>
          <cell r="D32">
            <v>2252</v>
          </cell>
          <cell r="E32">
            <v>19041.75</v>
          </cell>
          <cell r="F32">
            <v>4041.75</v>
          </cell>
          <cell r="G32">
            <v>126.94499999999999</v>
          </cell>
        </row>
        <row r="34">
          <cell r="B34" t="str">
            <v>TOTAL INCOME</v>
          </cell>
          <cell r="C34">
            <v>1227827</v>
          </cell>
          <cell r="D34">
            <v>92259.520000000004</v>
          </cell>
          <cell r="E34">
            <v>985535.25</v>
          </cell>
          <cell r="F34">
            <v>-242291.75</v>
          </cell>
          <cell r="G34">
            <v>80.266599999999997</v>
          </cell>
        </row>
        <row r="37">
          <cell r="B37" t="str">
            <v>201 - Worship</v>
          </cell>
        </row>
        <row r="38">
          <cell r="B38" t="str">
            <v>201/5005 Services</v>
          </cell>
          <cell r="C38">
            <v>1686</v>
          </cell>
          <cell r="D38">
            <v>150.54</v>
          </cell>
          <cell r="E38">
            <v>995.85</v>
          </cell>
          <cell r="F38">
            <v>-690.15</v>
          </cell>
          <cell r="G38">
            <v>59.065800000000003</v>
          </cell>
        </row>
        <row r="39">
          <cell r="B39" t="str">
            <v>201/5010 Altar Supplies</v>
          </cell>
          <cell r="C39">
            <v>1412</v>
          </cell>
          <cell r="D39">
            <v>262</v>
          </cell>
          <cell r="E39">
            <v>832.68</v>
          </cell>
          <cell r="F39">
            <v>-579.32000000000005</v>
          </cell>
          <cell r="G39">
            <v>58.971699999999998</v>
          </cell>
        </row>
        <row r="40">
          <cell r="B40" t="str">
            <v>201/5015 Altar Miscellaneous</v>
          </cell>
          <cell r="C40">
            <v>865</v>
          </cell>
          <cell r="D40">
            <v>0</v>
          </cell>
          <cell r="E40">
            <v>120</v>
          </cell>
          <cell r="F40">
            <v>-745</v>
          </cell>
          <cell r="G40">
            <v>13.8728</v>
          </cell>
        </row>
        <row r="41">
          <cell r="B41" t="str">
            <v>201/5020 Acolytes</v>
          </cell>
          <cell r="C41">
            <v>400</v>
          </cell>
          <cell r="D41">
            <v>146.80000000000001</v>
          </cell>
          <cell r="E41">
            <v>428.42</v>
          </cell>
          <cell r="F41">
            <v>28.42</v>
          </cell>
          <cell r="G41">
            <v>107.105</v>
          </cell>
        </row>
        <row r="42">
          <cell r="B42" t="str">
            <v>201/5025 Children's Liturgy</v>
          </cell>
          <cell r="C42">
            <v>200</v>
          </cell>
          <cell r="D42">
            <v>15.98</v>
          </cell>
          <cell r="E42">
            <v>447.46</v>
          </cell>
          <cell r="F42">
            <v>247.46</v>
          </cell>
          <cell r="G42">
            <v>223.73</v>
          </cell>
        </row>
        <row r="43">
          <cell r="B43" t="str">
            <v>201/5030 Guest Minister</v>
          </cell>
          <cell r="C43">
            <v>1500</v>
          </cell>
          <cell r="D43">
            <v>0</v>
          </cell>
          <cell r="E43">
            <v>655.5</v>
          </cell>
          <cell r="F43">
            <v>-844.5</v>
          </cell>
          <cell r="G43">
            <v>43.7</v>
          </cell>
        </row>
        <row r="44">
          <cell r="B44" t="str">
            <v>201/5035 Verger Expense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B45" t="str">
            <v>201/5040 5:01 Service</v>
          </cell>
          <cell r="C45">
            <v>500</v>
          </cell>
          <cell r="D45">
            <v>0</v>
          </cell>
          <cell r="E45">
            <v>0</v>
          </cell>
          <cell r="F45">
            <v>-500</v>
          </cell>
          <cell r="G45">
            <v>0</v>
          </cell>
        </row>
        <row r="46">
          <cell r="B46" t="str">
            <v>201/5045 Funerals</v>
          </cell>
          <cell r="C46">
            <v>0</v>
          </cell>
          <cell r="D46">
            <v>695.21</v>
          </cell>
          <cell r="E46">
            <v>5121.43</v>
          </cell>
          <cell r="F46">
            <v>5121.43</v>
          </cell>
          <cell r="G46">
            <v>0</v>
          </cell>
        </row>
        <row r="47">
          <cell r="B47" t="str">
            <v>201/5050 Flowers</v>
          </cell>
          <cell r="C47">
            <v>2500</v>
          </cell>
          <cell r="D47">
            <v>405</v>
          </cell>
          <cell r="E47">
            <v>6097.2</v>
          </cell>
          <cell r="F47">
            <v>3597.2</v>
          </cell>
          <cell r="G47">
            <v>243.88800000000001</v>
          </cell>
        </row>
        <row r="48">
          <cell r="B48" t="str">
            <v>201/5055 Healing Prayer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 t="str">
            <v>201/5060 Weddings</v>
          </cell>
          <cell r="C49">
            <v>0</v>
          </cell>
          <cell r="D49">
            <v>1075</v>
          </cell>
          <cell r="E49">
            <v>2875</v>
          </cell>
          <cell r="F49">
            <v>2875</v>
          </cell>
          <cell r="G49">
            <v>0</v>
          </cell>
        </row>
        <row r="50">
          <cell r="B50" t="str">
            <v>Total Worship Expense</v>
          </cell>
          <cell r="C50">
            <v>9063</v>
          </cell>
          <cell r="D50">
            <v>2750.53</v>
          </cell>
          <cell r="E50">
            <v>17573.54</v>
          </cell>
          <cell r="F50">
            <v>8510.5400000000009</v>
          </cell>
          <cell r="G50">
            <v>193.9042</v>
          </cell>
        </row>
        <row r="53">
          <cell r="B53" t="str">
            <v>202 - Music</v>
          </cell>
        </row>
        <row r="54">
          <cell r="B54" t="str">
            <v>202/5005 Parish Choir</v>
          </cell>
          <cell r="C54">
            <v>1600</v>
          </cell>
          <cell r="D54">
            <v>224.09</v>
          </cell>
          <cell r="E54">
            <v>791.36</v>
          </cell>
          <cell r="F54">
            <v>-808.64</v>
          </cell>
          <cell r="G54">
            <v>49.46</v>
          </cell>
        </row>
        <row r="55">
          <cell r="B55" t="str">
            <v>202/5010 Bell Choirs</v>
          </cell>
          <cell r="C55">
            <v>300</v>
          </cell>
          <cell r="D55">
            <v>0</v>
          </cell>
          <cell r="E55">
            <v>0</v>
          </cell>
          <cell r="F55">
            <v>-300</v>
          </cell>
          <cell r="G55">
            <v>0</v>
          </cell>
        </row>
        <row r="56">
          <cell r="B56" t="str">
            <v>202/5015 Contemporary</v>
          </cell>
          <cell r="C56">
            <v>800</v>
          </cell>
          <cell r="D56">
            <v>1332.59</v>
          </cell>
          <cell r="E56">
            <v>5541.8</v>
          </cell>
          <cell r="F56">
            <v>4741.8</v>
          </cell>
          <cell r="G56">
            <v>692.72500000000002</v>
          </cell>
        </row>
        <row r="57">
          <cell r="B57" t="str">
            <v>202/5020 Children's Choirs</v>
          </cell>
          <cell r="C57">
            <v>800</v>
          </cell>
          <cell r="D57">
            <v>0</v>
          </cell>
          <cell r="E57">
            <v>271.58</v>
          </cell>
          <cell r="F57">
            <v>-528.41999999999996</v>
          </cell>
          <cell r="G57">
            <v>33.947499999999998</v>
          </cell>
        </row>
        <row r="58">
          <cell r="B58" t="str">
            <v>202/5025 Supplies</v>
          </cell>
          <cell r="C58">
            <v>1000</v>
          </cell>
          <cell r="D58">
            <v>0</v>
          </cell>
          <cell r="E58">
            <v>227.7</v>
          </cell>
          <cell r="F58">
            <v>-772.3</v>
          </cell>
          <cell r="G58">
            <v>22.77</v>
          </cell>
        </row>
        <row r="59">
          <cell r="B59" t="str">
            <v>202/5030 Resource and Reference Material</v>
          </cell>
          <cell r="C59">
            <v>1300</v>
          </cell>
          <cell r="D59">
            <v>0</v>
          </cell>
          <cell r="E59">
            <v>287.60000000000002</v>
          </cell>
          <cell r="F59">
            <v>-1012.4</v>
          </cell>
          <cell r="G59">
            <v>22.123100000000001</v>
          </cell>
        </row>
        <row r="60">
          <cell r="B60" t="str">
            <v>202/5035 Youth Choir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B61" t="str">
            <v>202/5040 Drama Camp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B62" t="str">
            <v>202/5045 Instrumentalists</v>
          </cell>
          <cell r="C62">
            <v>5000</v>
          </cell>
          <cell r="D62">
            <v>0</v>
          </cell>
          <cell r="E62">
            <v>2407.31</v>
          </cell>
          <cell r="F62">
            <v>-2592.69</v>
          </cell>
          <cell r="G62">
            <v>48.1462</v>
          </cell>
        </row>
        <row r="63">
          <cell r="B63" t="str">
            <v>202/5050 Substitute Organist</v>
          </cell>
          <cell r="C63">
            <v>1500</v>
          </cell>
          <cell r="D63">
            <v>0</v>
          </cell>
          <cell r="E63">
            <v>1250</v>
          </cell>
          <cell r="F63">
            <v>-250</v>
          </cell>
          <cell r="G63">
            <v>83.333299999999994</v>
          </cell>
        </row>
        <row r="64">
          <cell r="B64" t="str">
            <v>202/5080 Miscellaneous</v>
          </cell>
          <cell r="C64">
            <v>2000</v>
          </cell>
          <cell r="D64">
            <v>0</v>
          </cell>
          <cell r="E64">
            <v>275.83</v>
          </cell>
          <cell r="F64">
            <v>-1724.17</v>
          </cell>
          <cell r="G64">
            <v>13.791499999999999</v>
          </cell>
        </row>
        <row r="65">
          <cell r="B65" t="str">
            <v>202/5085 Contemporary Keyboardist</v>
          </cell>
          <cell r="C65">
            <v>0</v>
          </cell>
          <cell r="D65">
            <v>0</v>
          </cell>
          <cell r="E65">
            <v>775</v>
          </cell>
          <cell r="F65">
            <v>775</v>
          </cell>
          <cell r="G65">
            <v>0</v>
          </cell>
        </row>
        <row r="66">
          <cell r="B66" t="str">
            <v>202/5090 St. Cecilia Keyboardist</v>
          </cell>
          <cell r="C66">
            <v>1500</v>
          </cell>
          <cell r="D66">
            <v>100</v>
          </cell>
          <cell r="E66">
            <v>1225</v>
          </cell>
          <cell r="F66">
            <v>-275</v>
          </cell>
          <cell r="G66">
            <v>81.666700000000006</v>
          </cell>
        </row>
        <row r="67">
          <cell r="B67" t="str">
            <v>202/5095 Children's Choir Leaders Meeting</v>
          </cell>
          <cell r="C67">
            <v>200</v>
          </cell>
          <cell r="D67">
            <v>65.47</v>
          </cell>
          <cell r="E67">
            <v>196.59</v>
          </cell>
          <cell r="F67">
            <v>-3.41</v>
          </cell>
          <cell r="G67">
            <v>98.295000000000002</v>
          </cell>
        </row>
        <row r="68">
          <cell r="B68" t="str">
            <v>Total Music Expense</v>
          </cell>
          <cell r="C68">
            <v>16000</v>
          </cell>
          <cell r="D68">
            <v>1722.15</v>
          </cell>
          <cell r="E68">
            <v>13249.77</v>
          </cell>
          <cell r="F68">
            <v>-2750.23</v>
          </cell>
          <cell r="G68">
            <v>82.811099999999996</v>
          </cell>
        </row>
        <row r="70">
          <cell r="B70" t="str">
            <v>Total Administration Expense</v>
          </cell>
          <cell r="C70">
            <v>25063</v>
          </cell>
          <cell r="D70">
            <v>4472.68</v>
          </cell>
          <cell r="E70">
            <v>30823.31</v>
          </cell>
          <cell r="F70">
            <v>5760.31</v>
          </cell>
          <cell r="G70">
            <v>122.9833</v>
          </cell>
        </row>
        <row r="73">
          <cell r="B73" t="str">
            <v>231 - Youth Ministry</v>
          </cell>
        </row>
        <row r="74">
          <cell r="B74" t="str">
            <v>231/4005 Meal Income</v>
          </cell>
          <cell r="C74">
            <v>0</v>
          </cell>
          <cell r="D74">
            <v>120</v>
          </cell>
          <cell r="E74">
            <v>968.85</v>
          </cell>
          <cell r="F74">
            <v>968.85</v>
          </cell>
          <cell r="G74">
            <v>0</v>
          </cell>
        </row>
        <row r="75">
          <cell r="B75" t="str">
            <v>231/4010 Event Income</v>
          </cell>
          <cell r="C75">
            <v>0</v>
          </cell>
          <cell r="D75">
            <v>100</v>
          </cell>
          <cell r="E75">
            <v>3623.96</v>
          </cell>
          <cell r="F75">
            <v>3623.96</v>
          </cell>
          <cell r="G75">
            <v>0</v>
          </cell>
        </row>
        <row r="76">
          <cell r="B76" t="str">
            <v>231/4015 Retreat Income</v>
          </cell>
          <cell r="C76">
            <v>3000</v>
          </cell>
          <cell r="D76">
            <v>0</v>
          </cell>
          <cell r="E76">
            <v>2730</v>
          </cell>
          <cell r="F76">
            <v>-270</v>
          </cell>
          <cell r="G76">
            <v>91</v>
          </cell>
        </row>
        <row r="77">
          <cell r="B77" t="str">
            <v>231/5005 Meal Expenses</v>
          </cell>
          <cell r="C77">
            <v>14150</v>
          </cell>
          <cell r="D77">
            <v>309.42</v>
          </cell>
          <cell r="E77">
            <v>1565.75</v>
          </cell>
          <cell r="F77">
            <v>-12584.25</v>
          </cell>
          <cell r="G77">
            <v>11.0654</v>
          </cell>
        </row>
        <row r="78">
          <cell r="B78" t="str">
            <v>231/5010 Event Expenses</v>
          </cell>
          <cell r="C78">
            <v>0</v>
          </cell>
          <cell r="D78">
            <v>0</v>
          </cell>
          <cell r="E78">
            <v>4021.33</v>
          </cell>
          <cell r="F78">
            <v>4021.33</v>
          </cell>
          <cell r="G78">
            <v>0</v>
          </cell>
        </row>
        <row r="79">
          <cell r="B79" t="str">
            <v>231/5015 Retreat Jr High Spring Adult Scholarships</v>
          </cell>
          <cell r="C79">
            <v>0</v>
          </cell>
          <cell r="D79">
            <v>0</v>
          </cell>
          <cell r="E79">
            <v>158.85</v>
          </cell>
          <cell r="F79">
            <v>158.85</v>
          </cell>
          <cell r="G79">
            <v>0</v>
          </cell>
        </row>
        <row r="80">
          <cell r="B80" t="str">
            <v>231/5020 Retreat Jr High Spring Youth Scholarships</v>
          </cell>
          <cell r="C80">
            <v>0</v>
          </cell>
          <cell r="D80">
            <v>0</v>
          </cell>
          <cell r="E80">
            <v>2.87</v>
          </cell>
          <cell r="F80">
            <v>2.87</v>
          </cell>
          <cell r="G80">
            <v>0</v>
          </cell>
        </row>
        <row r="81">
          <cell r="B81" t="str">
            <v>231/5025 Retreat Jr Hight Spring Other Costs</v>
          </cell>
          <cell r="C81">
            <v>0</v>
          </cell>
          <cell r="D81">
            <v>0</v>
          </cell>
          <cell r="E81">
            <v>668.35</v>
          </cell>
          <cell r="F81">
            <v>668.35</v>
          </cell>
          <cell r="G81">
            <v>0</v>
          </cell>
        </row>
        <row r="82">
          <cell r="B82" t="str">
            <v>231/5030 Retreat Jr High Summer Adult Scholarships</v>
          </cell>
          <cell r="C82">
            <v>0</v>
          </cell>
          <cell r="D82">
            <v>0</v>
          </cell>
          <cell r="E82">
            <v>-650</v>
          </cell>
          <cell r="F82">
            <v>-650</v>
          </cell>
          <cell r="G82">
            <v>0</v>
          </cell>
        </row>
        <row r="83">
          <cell r="B83" t="str">
            <v>231/5035 Retreat Jr Hight Summer Youth Scholarships</v>
          </cell>
          <cell r="C83">
            <v>0</v>
          </cell>
          <cell r="D83">
            <v>0</v>
          </cell>
          <cell r="E83">
            <v>-345</v>
          </cell>
          <cell r="F83">
            <v>-345</v>
          </cell>
          <cell r="G83">
            <v>0</v>
          </cell>
        </row>
        <row r="84">
          <cell r="B84" t="str">
            <v>231/5040 Retreat Jr High Summer Other Costs</v>
          </cell>
          <cell r="C84">
            <v>0</v>
          </cell>
          <cell r="D84">
            <v>0</v>
          </cell>
          <cell r="E84">
            <v>2867.34</v>
          </cell>
          <cell r="F84">
            <v>2867.34</v>
          </cell>
          <cell r="G84">
            <v>0</v>
          </cell>
        </row>
        <row r="85">
          <cell r="B85" t="str">
            <v>231/5045 Retreat Jr High Fall Costs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B86" t="str">
            <v>231/5050 Retreat Sr High Spring Adult Scholarships</v>
          </cell>
          <cell r="C86">
            <v>0</v>
          </cell>
          <cell r="D86">
            <v>0</v>
          </cell>
          <cell r="E86">
            <v>300</v>
          </cell>
          <cell r="F86">
            <v>300</v>
          </cell>
          <cell r="G86">
            <v>0</v>
          </cell>
        </row>
        <row r="87">
          <cell r="B87" t="str">
            <v>231/5055 Retreat Sr High Spring Youth Scholarships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B88" t="str">
            <v>231/5060 Retreat Sr High Spring Other Costs</v>
          </cell>
          <cell r="C88">
            <v>0</v>
          </cell>
          <cell r="D88">
            <v>0</v>
          </cell>
          <cell r="E88">
            <v>3457.96</v>
          </cell>
          <cell r="F88">
            <v>3457.96</v>
          </cell>
          <cell r="G88">
            <v>0</v>
          </cell>
        </row>
        <row r="89">
          <cell r="B89" t="str">
            <v>231/5065 Retreat Sr High Summer Adult Scholarships</v>
          </cell>
          <cell r="C89">
            <v>0</v>
          </cell>
          <cell r="D89">
            <v>0</v>
          </cell>
          <cell r="E89">
            <v>-650</v>
          </cell>
          <cell r="F89">
            <v>-650</v>
          </cell>
          <cell r="G89">
            <v>0</v>
          </cell>
        </row>
        <row r="90">
          <cell r="B90" t="str">
            <v>231/5070 Retreat Sr High Summer Youth Scholarships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B91" t="str">
            <v>231/5075 Retreat Sr High Summer Other Costs</v>
          </cell>
          <cell r="C91">
            <v>0</v>
          </cell>
          <cell r="D91">
            <v>0</v>
          </cell>
          <cell r="E91">
            <v>225.13</v>
          </cell>
          <cell r="F91">
            <v>225.13</v>
          </cell>
          <cell r="G91">
            <v>0</v>
          </cell>
        </row>
        <row r="92">
          <cell r="B92" t="str">
            <v>231/5080 Retreat Sr High Fall Costs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B93" t="str">
            <v>231/5085 Parent &amp; Sponsor Gatherings</v>
          </cell>
          <cell r="C93">
            <v>0</v>
          </cell>
          <cell r="D93">
            <v>0</v>
          </cell>
          <cell r="E93">
            <v>291.56</v>
          </cell>
          <cell r="F93">
            <v>291.56</v>
          </cell>
          <cell r="G93">
            <v>0</v>
          </cell>
        </row>
        <row r="94">
          <cell r="B94" t="str">
            <v>231/5090 Youth Group</v>
          </cell>
          <cell r="C94">
            <v>0</v>
          </cell>
          <cell r="D94">
            <v>0</v>
          </cell>
          <cell r="E94">
            <v>597.21</v>
          </cell>
          <cell r="F94">
            <v>597.21</v>
          </cell>
          <cell r="G94">
            <v>0</v>
          </cell>
        </row>
        <row r="95">
          <cell r="B95" t="str">
            <v>231/5095 Sunday School</v>
          </cell>
          <cell r="C95">
            <v>0</v>
          </cell>
          <cell r="D95">
            <v>0</v>
          </cell>
          <cell r="E95">
            <v>166.21</v>
          </cell>
          <cell r="F95">
            <v>166.21</v>
          </cell>
          <cell r="G95">
            <v>0</v>
          </cell>
        </row>
        <row r="96">
          <cell r="B96" t="str">
            <v>231/5100 W@C &amp; Other Classes</v>
          </cell>
          <cell r="C96">
            <v>0</v>
          </cell>
          <cell r="D96">
            <v>0</v>
          </cell>
          <cell r="E96">
            <v>193.58</v>
          </cell>
          <cell r="F96">
            <v>193.58</v>
          </cell>
          <cell r="G96">
            <v>0</v>
          </cell>
        </row>
        <row r="97">
          <cell r="B97" t="str">
            <v>231/5105 Confirmation</v>
          </cell>
          <cell r="C97">
            <v>0</v>
          </cell>
          <cell r="D97">
            <v>0</v>
          </cell>
          <cell r="E97">
            <v>295.33999999999997</v>
          </cell>
          <cell r="F97">
            <v>295.33999999999997</v>
          </cell>
          <cell r="G97">
            <v>0</v>
          </cell>
        </row>
        <row r="98">
          <cell r="B98" t="str">
            <v>231/5110 Worship Team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B99" t="str">
            <v>Total Youth Ministry Expense</v>
          </cell>
          <cell r="C99">
            <v>11150</v>
          </cell>
          <cell r="D99">
            <v>89.42</v>
          </cell>
          <cell r="E99">
            <v>5843.67</v>
          </cell>
          <cell r="F99">
            <v>-5306.33</v>
          </cell>
          <cell r="G99">
            <v>52.409599999999998</v>
          </cell>
        </row>
        <row r="102">
          <cell r="B102" t="str">
            <v>232 - Education Programs</v>
          </cell>
        </row>
        <row r="103">
          <cell r="B103" t="str">
            <v>232/4015 VBS income</v>
          </cell>
          <cell r="C103">
            <v>0</v>
          </cell>
          <cell r="D103">
            <v>0</v>
          </cell>
          <cell r="E103">
            <v>2992.6</v>
          </cell>
          <cell r="F103">
            <v>2992.6</v>
          </cell>
          <cell r="G103">
            <v>0</v>
          </cell>
        </row>
        <row r="104">
          <cell r="B104" t="str">
            <v>232/5005 Exploration</v>
          </cell>
          <cell r="C104">
            <v>400</v>
          </cell>
          <cell r="D104">
            <v>0</v>
          </cell>
          <cell r="E104">
            <v>451.58</v>
          </cell>
          <cell r="F104">
            <v>51.58</v>
          </cell>
          <cell r="G104">
            <v>112.895</v>
          </cell>
        </row>
        <row r="105">
          <cell r="B105" t="str">
            <v>232/5010 Children's Formation</v>
          </cell>
          <cell r="C105">
            <v>1000</v>
          </cell>
          <cell r="D105">
            <v>22.07</v>
          </cell>
          <cell r="E105">
            <v>1099.8</v>
          </cell>
          <cell r="F105">
            <v>99.8</v>
          </cell>
          <cell r="G105">
            <v>109.98</v>
          </cell>
        </row>
        <row r="106">
          <cell r="B106" t="str">
            <v>232/5015 Vacation Bible School</v>
          </cell>
          <cell r="C106">
            <v>1200</v>
          </cell>
          <cell r="D106">
            <v>0</v>
          </cell>
          <cell r="E106">
            <v>3485.1</v>
          </cell>
          <cell r="F106">
            <v>2285.1</v>
          </cell>
          <cell r="G106">
            <v>290.42500000000001</v>
          </cell>
        </row>
        <row r="107">
          <cell r="B107" t="str">
            <v>232/5020 Guild of Christ Child</v>
          </cell>
          <cell r="C107">
            <v>100</v>
          </cell>
          <cell r="D107">
            <v>0</v>
          </cell>
          <cell r="E107">
            <v>0</v>
          </cell>
          <cell r="F107">
            <v>-100</v>
          </cell>
          <cell r="G107">
            <v>0</v>
          </cell>
        </row>
        <row r="108">
          <cell r="B108" t="str">
            <v>232/5025 Track Rack</v>
          </cell>
          <cell r="C108">
            <v>200</v>
          </cell>
          <cell r="D108">
            <v>-7</v>
          </cell>
          <cell r="E108">
            <v>159.19999999999999</v>
          </cell>
          <cell r="F108">
            <v>-40.799999999999997</v>
          </cell>
          <cell r="G108">
            <v>79.599999999999994</v>
          </cell>
        </row>
        <row r="109">
          <cell r="B109" t="str">
            <v>232/5030 Resources</v>
          </cell>
          <cell r="C109">
            <v>400</v>
          </cell>
          <cell r="D109">
            <v>127.49</v>
          </cell>
          <cell r="E109">
            <v>378.71</v>
          </cell>
          <cell r="F109">
            <v>-21.29</v>
          </cell>
          <cell r="G109">
            <v>94.677499999999995</v>
          </cell>
        </row>
        <row r="110">
          <cell r="B110" t="str">
            <v>232/5035 Special Events</v>
          </cell>
          <cell r="C110">
            <v>2500</v>
          </cell>
          <cell r="D110">
            <v>19.5</v>
          </cell>
          <cell r="E110">
            <v>2224.5500000000002</v>
          </cell>
          <cell r="F110">
            <v>-275.45</v>
          </cell>
          <cell r="G110">
            <v>88.981999999999999</v>
          </cell>
        </row>
        <row r="111">
          <cell r="B111" t="str">
            <v>232/5040 Rally Day</v>
          </cell>
          <cell r="C111">
            <v>3000</v>
          </cell>
          <cell r="D111">
            <v>988.51</v>
          </cell>
          <cell r="E111">
            <v>1827.94</v>
          </cell>
          <cell r="F111">
            <v>-1172.06</v>
          </cell>
          <cell r="G111">
            <v>60.9313</v>
          </cell>
        </row>
        <row r="112">
          <cell r="B112" t="str">
            <v>232/5045 Scholarship/Leadership Conference</v>
          </cell>
          <cell r="C112">
            <v>1000</v>
          </cell>
          <cell r="D112">
            <v>0</v>
          </cell>
          <cell r="E112">
            <v>-222</v>
          </cell>
          <cell r="F112">
            <v>-1222</v>
          </cell>
          <cell r="G112">
            <v>-22.2</v>
          </cell>
        </row>
        <row r="113">
          <cell r="B113" t="str">
            <v>232/5050 Teacher Training</v>
          </cell>
          <cell r="C113">
            <v>250</v>
          </cell>
          <cell r="D113">
            <v>0</v>
          </cell>
          <cell r="E113">
            <v>298</v>
          </cell>
          <cell r="F113">
            <v>48</v>
          </cell>
          <cell r="G113">
            <v>119.2</v>
          </cell>
        </row>
        <row r="114">
          <cell r="B114" t="str">
            <v>232/5055 Catechesis</v>
          </cell>
          <cell r="C114">
            <v>3840</v>
          </cell>
          <cell r="D114">
            <v>28.36</v>
          </cell>
          <cell r="E114">
            <v>768.36</v>
          </cell>
          <cell r="F114">
            <v>-3071.64</v>
          </cell>
          <cell r="G114">
            <v>20.009399999999999</v>
          </cell>
        </row>
        <row r="115">
          <cell r="B115" t="str">
            <v>232/5065 Alpha</v>
          </cell>
          <cell r="C115">
            <v>500</v>
          </cell>
          <cell r="D115">
            <v>0</v>
          </cell>
          <cell r="E115">
            <v>0</v>
          </cell>
          <cell r="F115">
            <v>-500</v>
          </cell>
          <cell r="G115">
            <v>0</v>
          </cell>
        </row>
        <row r="116">
          <cell r="B116" t="str">
            <v>232/5070 Welcome Bags</v>
          </cell>
          <cell r="C116">
            <v>1400</v>
          </cell>
          <cell r="D116">
            <v>0</v>
          </cell>
          <cell r="E116">
            <v>0</v>
          </cell>
          <cell r="F116">
            <v>-1400</v>
          </cell>
          <cell r="G116">
            <v>0</v>
          </cell>
        </row>
        <row r="117">
          <cell r="B117" t="str">
            <v>232/5075 Adult Formation</v>
          </cell>
          <cell r="C117">
            <v>2000</v>
          </cell>
          <cell r="D117">
            <v>0</v>
          </cell>
          <cell r="E117">
            <v>524.65</v>
          </cell>
          <cell r="F117">
            <v>-1475.35</v>
          </cell>
          <cell r="G117">
            <v>26.232500000000002</v>
          </cell>
        </row>
        <row r="118">
          <cell r="B118" t="str">
            <v>232/5080 Greeters/Ushers</v>
          </cell>
          <cell r="C118">
            <v>0</v>
          </cell>
          <cell r="D118">
            <v>0</v>
          </cell>
          <cell r="E118">
            <v>160</v>
          </cell>
          <cell r="F118">
            <v>160</v>
          </cell>
          <cell r="G118">
            <v>0</v>
          </cell>
        </row>
        <row r="119">
          <cell r="B119" t="str">
            <v>232/5085 Floyd Welcome Supplies</v>
          </cell>
          <cell r="C119">
            <v>350</v>
          </cell>
          <cell r="D119">
            <v>0</v>
          </cell>
          <cell r="E119">
            <v>0</v>
          </cell>
          <cell r="F119">
            <v>-350</v>
          </cell>
          <cell r="G119">
            <v>0</v>
          </cell>
        </row>
        <row r="120">
          <cell r="B120" t="str">
            <v>232/5090 Lent/Advent Books</v>
          </cell>
          <cell r="C120">
            <v>700</v>
          </cell>
          <cell r="D120">
            <v>0</v>
          </cell>
          <cell r="E120">
            <v>460</v>
          </cell>
          <cell r="F120">
            <v>-240</v>
          </cell>
          <cell r="G120">
            <v>65.714299999999994</v>
          </cell>
        </row>
        <row r="121">
          <cell r="B121" t="str">
            <v>232/5095 Sunday Reading Study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B122" t="str">
            <v>232/5100 Healing Conference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B123" t="str">
            <v>232/5105 Faith Alive</v>
          </cell>
          <cell r="C123">
            <v>0</v>
          </cell>
          <cell r="D123">
            <v>0</v>
          </cell>
          <cell r="E123">
            <v>39.94</v>
          </cell>
          <cell r="F123">
            <v>39.94</v>
          </cell>
          <cell r="G123">
            <v>0</v>
          </cell>
        </row>
        <row r="124">
          <cell r="B124" t="str">
            <v>232/5110 Grace</v>
          </cell>
          <cell r="C124">
            <v>100</v>
          </cell>
          <cell r="D124">
            <v>0</v>
          </cell>
          <cell r="E124">
            <v>38.5</v>
          </cell>
          <cell r="F124">
            <v>-61.5</v>
          </cell>
          <cell r="G124">
            <v>38.5</v>
          </cell>
        </row>
        <row r="125">
          <cell r="B125" t="str">
            <v>232/5115 Father/Child Retreat</v>
          </cell>
          <cell r="C125">
            <v>200</v>
          </cell>
          <cell r="D125">
            <v>0</v>
          </cell>
          <cell r="E125">
            <v>0</v>
          </cell>
          <cell r="F125">
            <v>-200</v>
          </cell>
          <cell r="G125">
            <v>0</v>
          </cell>
        </row>
        <row r="126">
          <cell r="B126" t="str">
            <v>232/5120 Family Ministry Advocate</v>
          </cell>
          <cell r="C126">
            <v>2400</v>
          </cell>
          <cell r="D126">
            <v>0</v>
          </cell>
          <cell r="E126">
            <v>0</v>
          </cell>
          <cell r="F126">
            <v>-2400</v>
          </cell>
          <cell r="G126">
            <v>0</v>
          </cell>
        </row>
        <row r="127">
          <cell r="B127" t="str">
            <v>232/5125 Baptism Receptions</v>
          </cell>
          <cell r="C127">
            <v>1000</v>
          </cell>
          <cell r="D127">
            <v>0</v>
          </cell>
          <cell r="E127">
            <v>365.55</v>
          </cell>
          <cell r="F127">
            <v>-634.45000000000005</v>
          </cell>
          <cell r="G127">
            <v>36.555</v>
          </cell>
        </row>
        <row r="128">
          <cell r="B128" t="str">
            <v>Total Education Programs Expense</v>
          </cell>
          <cell r="C128">
            <v>22540</v>
          </cell>
          <cell r="D128">
            <v>1178.93</v>
          </cell>
          <cell r="E128">
            <v>9067.2800000000007</v>
          </cell>
          <cell r="F128">
            <v>-13472.72</v>
          </cell>
          <cell r="G128">
            <v>40.227499999999999</v>
          </cell>
        </row>
        <row r="131">
          <cell r="B131" t="str">
            <v>250 - Pastoral Care/ Community Life</v>
          </cell>
        </row>
        <row r="132">
          <cell r="B132" t="str">
            <v>250/5005 Stephen Ministry</v>
          </cell>
          <cell r="C132">
            <v>1300</v>
          </cell>
          <cell r="D132">
            <v>0</v>
          </cell>
          <cell r="E132">
            <v>1257.73</v>
          </cell>
          <cell r="F132">
            <v>-42.27</v>
          </cell>
          <cell r="G132">
            <v>96.748500000000007</v>
          </cell>
        </row>
        <row r="133">
          <cell r="B133" t="str">
            <v>250/5010 Stewardship Awareness/Drive</v>
          </cell>
          <cell r="C133">
            <v>1500</v>
          </cell>
          <cell r="D133">
            <v>468.85</v>
          </cell>
          <cell r="E133">
            <v>520.33000000000004</v>
          </cell>
          <cell r="F133">
            <v>-979.67</v>
          </cell>
          <cell r="G133">
            <v>34.688699999999997</v>
          </cell>
        </row>
        <row r="134">
          <cell r="B134" t="str">
            <v>250/5015 Community Life</v>
          </cell>
          <cell r="C134">
            <v>8950</v>
          </cell>
          <cell r="D134">
            <v>461.74</v>
          </cell>
          <cell r="E134">
            <v>8988.93</v>
          </cell>
          <cell r="F134">
            <v>38.93</v>
          </cell>
          <cell r="G134">
            <v>100.435</v>
          </cell>
        </row>
        <row r="135">
          <cell r="B135" t="str">
            <v>250/5020 Pastoral Care Conference</v>
          </cell>
          <cell r="C135">
            <v>175</v>
          </cell>
          <cell r="D135">
            <v>68.27</v>
          </cell>
          <cell r="E135">
            <v>297.33</v>
          </cell>
          <cell r="F135">
            <v>122.33</v>
          </cell>
          <cell r="G135">
            <v>169.90289999999999</v>
          </cell>
        </row>
        <row r="136">
          <cell r="B136" t="str">
            <v>250/5025 20/30's Fellowship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B137" t="str">
            <v>250/5030 Walking the Mourner's Path</v>
          </cell>
          <cell r="C137">
            <v>0</v>
          </cell>
          <cell r="D137">
            <v>1070</v>
          </cell>
          <cell r="E137">
            <v>1082.99</v>
          </cell>
          <cell r="F137">
            <v>1082.99</v>
          </cell>
          <cell r="G137">
            <v>0</v>
          </cell>
        </row>
        <row r="138">
          <cell r="B138" t="str">
            <v>250/5035 Community of Hope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B139" t="str">
            <v>250/5040 Discovery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B140" t="str">
            <v>250/5045 Petal Pushers</v>
          </cell>
          <cell r="C140">
            <v>800</v>
          </cell>
          <cell r="D140">
            <v>14.59</v>
          </cell>
          <cell r="E140">
            <v>186.01</v>
          </cell>
          <cell r="F140">
            <v>-613.99</v>
          </cell>
          <cell r="G140">
            <v>23.251200000000001</v>
          </cell>
        </row>
        <row r="141">
          <cell r="B141" t="str">
            <v>250/5050 Eldercare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250/5055 Pastoral Supplies</v>
          </cell>
          <cell r="C142">
            <v>100</v>
          </cell>
          <cell r="D142">
            <v>0</v>
          </cell>
          <cell r="E142">
            <v>132.61000000000001</v>
          </cell>
          <cell r="F142">
            <v>32.61</v>
          </cell>
          <cell r="G142">
            <v>132.61000000000001</v>
          </cell>
        </row>
        <row r="143">
          <cell r="B143" t="str">
            <v>250/5060 MOMS</v>
          </cell>
          <cell r="C143">
            <v>500</v>
          </cell>
          <cell r="D143">
            <v>0</v>
          </cell>
          <cell r="E143">
            <v>0</v>
          </cell>
          <cell r="F143">
            <v>-500</v>
          </cell>
          <cell r="G143">
            <v>0</v>
          </cell>
        </row>
        <row r="144">
          <cell r="B144" t="str">
            <v>250/5065 Receptions</v>
          </cell>
          <cell r="C144">
            <v>1250</v>
          </cell>
          <cell r="D144">
            <v>-75</v>
          </cell>
          <cell r="E144">
            <v>530.01</v>
          </cell>
          <cell r="F144">
            <v>-719.99</v>
          </cell>
          <cell r="G144">
            <v>42.400799999999997</v>
          </cell>
        </row>
        <row r="145">
          <cell r="B145" t="str">
            <v>250/5070 Stephen Ministry Supplies</v>
          </cell>
          <cell r="C145">
            <v>150</v>
          </cell>
          <cell r="D145">
            <v>122.35</v>
          </cell>
          <cell r="E145">
            <v>122.35</v>
          </cell>
          <cell r="F145">
            <v>-27.65</v>
          </cell>
          <cell r="G145">
            <v>81.566699999999997</v>
          </cell>
        </row>
        <row r="146">
          <cell r="B146" t="str">
            <v>250/5075 DOK Spring Assembly</v>
          </cell>
          <cell r="C146">
            <v>550</v>
          </cell>
          <cell r="D146">
            <v>0</v>
          </cell>
          <cell r="E146">
            <v>550</v>
          </cell>
          <cell r="F146">
            <v>0</v>
          </cell>
          <cell r="G146">
            <v>100</v>
          </cell>
        </row>
        <row r="147">
          <cell r="B147" t="str">
            <v>Total Pastoral Care/Community Life Expense</v>
          </cell>
          <cell r="C147">
            <v>15275</v>
          </cell>
          <cell r="D147">
            <v>2130.8000000000002</v>
          </cell>
          <cell r="E147">
            <v>13668.29</v>
          </cell>
          <cell r="F147">
            <v>-1606.71</v>
          </cell>
          <cell r="G147">
            <v>89.481399999999994</v>
          </cell>
        </row>
        <row r="149">
          <cell r="B149" t="str">
            <v>Total In-Reach Expense</v>
          </cell>
          <cell r="C149">
            <v>48965</v>
          </cell>
          <cell r="D149">
            <v>3399.15</v>
          </cell>
          <cell r="E149">
            <v>28579.24</v>
          </cell>
          <cell r="F149">
            <v>-20385.759999999998</v>
          </cell>
          <cell r="G149">
            <v>58.366700000000002</v>
          </cell>
        </row>
        <row r="152">
          <cell r="B152" t="str">
            <v>261 - Out-Reach</v>
          </cell>
        </row>
        <row r="153">
          <cell r="B153" t="str">
            <v>261/5005 Diocesan Assessment</v>
          </cell>
          <cell r="C153">
            <v>153560</v>
          </cell>
          <cell r="D153">
            <v>12796.67</v>
          </cell>
          <cell r="E153">
            <v>127966.7</v>
          </cell>
          <cell r="F153">
            <v>-25593.3</v>
          </cell>
          <cell r="G153">
            <v>83.333399999999997</v>
          </cell>
        </row>
        <row r="154">
          <cell r="B154" t="str">
            <v>261/5010 Missionary - Diocese</v>
          </cell>
          <cell r="C154">
            <v>5000</v>
          </cell>
          <cell r="D154">
            <v>1000</v>
          </cell>
          <cell r="E154">
            <v>3000</v>
          </cell>
          <cell r="F154">
            <v>-2000</v>
          </cell>
          <cell r="G154">
            <v>60</v>
          </cell>
        </row>
        <row r="155">
          <cell r="B155" t="str">
            <v>261/5015 Missionary - National</v>
          </cell>
          <cell r="C155">
            <v>0</v>
          </cell>
          <cell r="D155">
            <v>0</v>
          </cell>
          <cell r="E155">
            <v>42</v>
          </cell>
          <cell r="F155">
            <v>42</v>
          </cell>
          <cell r="G155">
            <v>0</v>
          </cell>
        </row>
        <row r="156">
          <cell r="B156" t="str">
            <v>261/5020 Missionary - St. Dunstan's</v>
          </cell>
          <cell r="C156">
            <v>0</v>
          </cell>
          <cell r="D156">
            <v>0</v>
          </cell>
          <cell r="E156">
            <v>425.5</v>
          </cell>
          <cell r="F156">
            <v>425.5</v>
          </cell>
          <cell r="G156">
            <v>0</v>
          </cell>
        </row>
        <row r="157">
          <cell r="B157" t="str">
            <v>261/5025 Seminaries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B158" t="str">
            <v>261/5030 NAM</v>
          </cell>
          <cell r="C158">
            <v>1702</v>
          </cell>
          <cell r="D158">
            <v>0</v>
          </cell>
          <cell r="E158">
            <v>1276.5</v>
          </cell>
          <cell r="F158">
            <v>-425.5</v>
          </cell>
          <cell r="G158">
            <v>75</v>
          </cell>
        </row>
        <row r="159">
          <cell r="B159" t="str">
            <v>261/5035 ServeFest</v>
          </cell>
          <cell r="C159">
            <v>1000</v>
          </cell>
          <cell r="D159">
            <v>0</v>
          </cell>
          <cell r="E159">
            <v>0</v>
          </cell>
          <cell r="F159">
            <v>-1000</v>
          </cell>
          <cell r="G159">
            <v>0</v>
          </cell>
        </row>
        <row r="160">
          <cell r="B160" t="str">
            <v>261/5040 IHN</v>
          </cell>
          <cell r="C160">
            <v>2000</v>
          </cell>
          <cell r="D160">
            <v>0</v>
          </cell>
          <cell r="E160">
            <v>355.86</v>
          </cell>
          <cell r="F160">
            <v>-1644.14</v>
          </cell>
          <cell r="G160">
            <v>17.792999999999999</v>
          </cell>
        </row>
        <row r="161">
          <cell r="B161" t="str">
            <v>261/5045 Outreach Supplies</v>
          </cell>
          <cell r="C161">
            <v>500</v>
          </cell>
          <cell r="D161">
            <v>0</v>
          </cell>
          <cell r="E161">
            <v>0</v>
          </cell>
          <cell r="F161">
            <v>-500</v>
          </cell>
          <cell r="G161">
            <v>0</v>
          </cell>
        </row>
        <row r="162">
          <cell r="B162" t="str">
            <v>261/5050 NAM Offering</v>
          </cell>
          <cell r="C162">
            <v>3000</v>
          </cell>
          <cell r="D162">
            <v>600</v>
          </cell>
          <cell r="E162">
            <v>1800</v>
          </cell>
          <cell r="F162">
            <v>-1200</v>
          </cell>
          <cell r="G162">
            <v>60</v>
          </cell>
        </row>
        <row r="163">
          <cell r="B163" t="str">
            <v>261/5055 Operation Military Embrace</v>
          </cell>
          <cell r="C163">
            <v>1000</v>
          </cell>
          <cell r="D163">
            <v>0</v>
          </cell>
          <cell r="E163">
            <v>0</v>
          </cell>
          <cell r="F163">
            <v>-1000</v>
          </cell>
          <cell r="G163">
            <v>0</v>
          </cell>
        </row>
        <row r="164">
          <cell r="B164" t="str">
            <v>261/5060 Jubilee Projects</v>
          </cell>
          <cell r="C164">
            <v>1000</v>
          </cell>
          <cell r="D164">
            <v>33.07</v>
          </cell>
          <cell r="E164">
            <v>1033.07</v>
          </cell>
          <cell r="F164">
            <v>33.07</v>
          </cell>
          <cell r="G164">
            <v>103.307</v>
          </cell>
        </row>
        <row r="165">
          <cell r="B165" t="str">
            <v>261/5065 Lord of the Streets</v>
          </cell>
          <cell r="C165">
            <v>3000</v>
          </cell>
          <cell r="D165">
            <v>600</v>
          </cell>
          <cell r="E165">
            <v>1800</v>
          </cell>
          <cell r="F165">
            <v>-1200</v>
          </cell>
          <cell r="G165">
            <v>60</v>
          </cell>
        </row>
        <row r="166">
          <cell r="B166" t="str">
            <v>Total Out-Reach Expense</v>
          </cell>
          <cell r="C166">
            <v>171762</v>
          </cell>
          <cell r="D166">
            <v>15029.74</v>
          </cell>
          <cell r="E166">
            <v>137699.63</v>
          </cell>
          <cell r="F166">
            <v>-34062.370000000003</v>
          </cell>
          <cell r="G166">
            <v>80.168899999999994</v>
          </cell>
        </row>
        <row r="169">
          <cell r="B169" t="str">
            <v>299 - Mission - Other</v>
          </cell>
        </row>
        <row r="170">
          <cell r="B170" t="str">
            <v>299/5005 Council Delegates</v>
          </cell>
          <cell r="C170">
            <v>880</v>
          </cell>
          <cell r="D170">
            <v>0</v>
          </cell>
          <cell r="E170">
            <v>725</v>
          </cell>
          <cell r="F170">
            <v>-155</v>
          </cell>
          <cell r="G170">
            <v>82.386399999999995</v>
          </cell>
        </row>
        <row r="171">
          <cell r="B171" t="str">
            <v>TOTAL MISSION EXPENSE</v>
          </cell>
          <cell r="C171">
            <v>246670</v>
          </cell>
          <cell r="D171">
            <v>22901.57</v>
          </cell>
          <cell r="E171">
            <v>197827.18</v>
          </cell>
          <cell r="F171">
            <v>-48842.82</v>
          </cell>
          <cell r="G171">
            <v>80.199100000000001</v>
          </cell>
        </row>
        <row r="174">
          <cell r="B174" t="str">
            <v>301 - Office/Printing</v>
          </cell>
        </row>
        <row r="175">
          <cell r="B175" t="str">
            <v>301/5005 General Office Supplies</v>
          </cell>
          <cell r="C175">
            <v>6750</v>
          </cell>
          <cell r="D175">
            <v>508.8</v>
          </cell>
          <cell r="E175">
            <v>4576.26</v>
          </cell>
          <cell r="F175">
            <v>-2173.7399999999998</v>
          </cell>
          <cell r="G175">
            <v>67.796400000000006</v>
          </cell>
        </row>
        <row r="176">
          <cell r="B176" t="str">
            <v>301/5010 Postage</v>
          </cell>
          <cell r="C176">
            <v>8500</v>
          </cell>
          <cell r="D176">
            <v>812.85</v>
          </cell>
          <cell r="E176">
            <v>4258.62</v>
          </cell>
          <cell r="F176">
            <v>-4241.38</v>
          </cell>
          <cell r="G176">
            <v>50.101399999999998</v>
          </cell>
        </row>
        <row r="177">
          <cell r="B177" t="str">
            <v>301/5015 Telephone</v>
          </cell>
          <cell r="C177">
            <v>3800</v>
          </cell>
          <cell r="D177">
            <v>372.72</v>
          </cell>
          <cell r="E177">
            <v>3351.63</v>
          </cell>
          <cell r="F177">
            <v>-448.37</v>
          </cell>
          <cell r="G177">
            <v>88.200800000000001</v>
          </cell>
        </row>
        <row r="178">
          <cell r="B178" t="str">
            <v>301/5020 Printing</v>
          </cell>
          <cell r="C178">
            <v>12300</v>
          </cell>
          <cell r="D178">
            <v>3965.09</v>
          </cell>
          <cell r="E178">
            <v>8365.23</v>
          </cell>
          <cell r="F178">
            <v>-3934.77</v>
          </cell>
          <cell r="G178">
            <v>68.010000000000005</v>
          </cell>
        </row>
        <row r="179">
          <cell r="B179" t="str">
            <v>301/5025 Equipment Repair</v>
          </cell>
          <cell r="C179">
            <v>750</v>
          </cell>
          <cell r="D179">
            <v>0</v>
          </cell>
          <cell r="E179">
            <v>0</v>
          </cell>
          <cell r="F179">
            <v>-750</v>
          </cell>
          <cell r="G179">
            <v>0</v>
          </cell>
        </row>
        <row r="180">
          <cell r="B180" t="str">
            <v>301/5030 Copy Machine Expenses</v>
          </cell>
          <cell r="C180">
            <v>19750</v>
          </cell>
          <cell r="D180">
            <v>750</v>
          </cell>
          <cell r="E180">
            <v>10350.09</v>
          </cell>
          <cell r="F180">
            <v>-9399.91</v>
          </cell>
          <cell r="G180">
            <v>52.405500000000004</v>
          </cell>
        </row>
        <row r="181">
          <cell r="B181" t="str">
            <v>301/5035 Computer Expenses</v>
          </cell>
          <cell r="C181">
            <v>10800</v>
          </cell>
          <cell r="D181">
            <v>510.99</v>
          </cell>
          <cell r="E181">
            <v>10653.48</v>
          </cell>
          <cell r="F181">
            <v>-146.52000000000001</v>
          </cell>
          <cell r="G181">
            <v>98.643299999999996</v>
          </cell>
        </row>
        <row r="182">
          <cell r="B182" t="str">
            <v>301/5040 Equipment Leases</v>
          </cell>
          <cell r="C182">
            <v>7740</v>
          </cell>
          <cell r="D182">
            <v>140</v>
          </cell>
          <cell r="E182">
            <v>3957.96</v>
          </cell>
          <cell r="F182">
            <v>-3782.04</v>
          </cell>
          <cell r="G182">
            <v>51.136400000000002</v>
          </cell>
        </row>
        <row r="183">
          <cell r="B183" t="str">
            <v>301/5045 Web Site</v>
          </cell>
          <cell r="C183">
            <v>1000</v>
          </cell>
          <cell r="D183">
            <v>0</v>
          </cell>
          <cell r="E183">
            <v>99</v>
          </cell>
          <cell r="F183">
            <v>-901</v>
          </cell>
          <cell r="G183">
            <v>9.9</v>
          </cell>
        </row>
        <row r="184">
          <cell r="B184" t="str">
            <v>301/5050 Promotions</v>
          </cell>
          <cell r="C184">
            <v>1500</v>
          </cell>
          <cell r="D184">
            <v>0</v>
          </cell>
          <cell r="E184">
            <v>1084.8399999999999</v>
          </cell>
          <cell r="F184">
            <v>-415.16</v>
          </cell>
          <cell r="G184">
            <v>72.322699999999998</v>
          </cell>
        </row>
        <row r="185">
          <cell r="B185" t="str">
            <v>301/5055 Communications Equip/Training</v>
          </cell>
          <cell r="C185">
            <v>750</v>
          </cell>
          <cell r="D185">
            <v>125</v>
          </cell>
          <cell r="E185">
            <v>687.2</v>
          </cell>
          <cell r="F185">
            <v>-62.8</v>
          </cell>
          <cell r="G185">
            <v>91.6267</v>
          </cell>
        </row>
        <row r="186">
          <cell r="B186" t="str">
            <v>301/5080 Office - Miscellaneous</v>
          </cell>
          <cell r="C186">
            <v>750</v>
          </cell>
          <cell r="D186">
            <v>101.72</v>
          </cell>
          <cell r="E186">
            <v>701.66</v>
          </cell>
          <cell r="F186">
            <v>-48.34</v>
          </cell>
          <cell r="G186">
            <v>93.554699999999997</v>
          </cell>
        </row>
        <row r="187">
          <cell r="B187" t="str">
            <v>Total Office/Printing Expense</v>
          </cell>
          <cell r="C187">
            <v>74390</v>
          </cell>
          <cell r="D187">
            <v>7287.17</v>
          </cell>
          <cell r="E187">
            <v>48085.97</v>
          </cell>
          <cell r="F187">
            <v>-26304.03</v>
          </cell>
          <cell r="G187">
            <v>64.6404</v>
          </cell>
        </row>
        <row r="190">
          <cell r="B190" t="str">
            <v>302 - Grounds</v>
          </cell>
        </row>
        <row r="191">
          <cell r="B191" t="str">
            <v>302/5005 Trash</v>
          </cell>
          <cell r="C191">
            <v>1536</v>
          </cell>
          <cell r="D191">
            <v>143.88</v>
          </cell>
          <cell r="E191">
            <v>1399.77</v>
          </cell>
          <cell r="F191">
            <v>-136.22999999999999</v>
          </cell>
          <cell r="G191">
            <v>91.130899999999997</v>
          </cell>
        </row>
        <row r="192">
          <cell r="B192" t="str">
            <v>302/5010 Maintenance and Supplies</v>
          </cell>
          <cell r="C192">
            <v>7500</v>
          </cell>
          <cell r="D192">
            <v>124.8</v>
          </cell>
          <cell r="E192">
            <v>9764.66</v>
          </cell>
          <cell r="F192">
            <v>2264.66</v>
          </cell>
          <cell r="G192">
            <v>130.19550000000001</v>
          </cell>
        </row>
        <row r="193">
          <cell r="B193" t="str">
            <v>302/5090 Lawn Care</v>
          </cell>
          <cell r="C193">
            <v>24600</v>
          </cell>
          <cell r="D193">
            <v>3216.54</v>
          </cell>
          <cell r="E193">
            <v>19925.400000000001</v>
          </cell>
          <cell r="F193">
            <v>-4674.6000000000004</v>
          </cell>
          <cell r="G193">
            <v>80.997600000000006</v>
          </cell>
        </row>
        <row r="194">
          <cell r="B194" t="str">
            <v>Total Grounds Expense</v>
          </cell>
          <cell r="C194">
            <v>33636</v>
          </cell>
          <cell r="D194">
            <v>3485.22</v>
          </cell>
          <cell r="E194">
            <v>31089.83</v>
          </cell>
          <cell r="F194">
            <v>-2546.17</v>
          </cell>
          <cell r="G194">
            <v>92.430199999999999</v>
          </cell>
        </row>
        <row r="197">
          <cell r="B197" t="str">
            <v>303 - Buildings</v>
          </cell>
        </row>
        <row r="198">
          <cell r="B198" t="str">
            <v>303/5005 A/C Maintenance Agreement</v>
          </cell>
          <cell r="C198">
            <v>2600</v>
          </cell>
          <cell r="D198">
            <v>0</v>
          </cell>
          <cell r="E198">
            <v>1950</v>
          </cell>
          <cell r="F198">
            <v>-650</v>
          </cell>
          <cell r="G198">
            <v>75</v>
          </cell>
        </row>
        <row r="199">
          <cell r="B199" t="str">
            <v>303/5010 Kitchen</v>
          </cell>
          <cell r="C199">
            <v>3200</v>
          </cell>
          <cell r="D199">
            <v>439.53</v>
          </cell>
          <cell r="E199">
            <v>2586.88</v>
          </cell>
          <cell r="F199">
            <v>-613.12</v>
          </cell>
          <cell r="G199">
            <v>80.84</v>
          </cell>
        </row>
        <row r="200">
          <cell r="B200" t="str">
            <v>303/5015 Maintenance and Supplies</v>
          </cell>
          <cell r="C200">
            <v>29000</v>
          </cell>
          <cell r="D200">
            <v>3083.04</v>
          </cell>
          <cell r="E200">
            <v>25564.21</v>
          </cell>
          <cell r="F200">
            <v>-3435.79</v>
          </cell>
          <cell r="G200">
            <v>88.1524</v>
          </cell>
        </row>
        <row r="201">
          <cell r="B201" t="str">
            <v>303/5020 Electricity</v>
          </cell>
          <cell r="C201">
            <v>55648.35</v>
          </cell>
          <cell r="D201">
            <v>3763.11</v>
          </cell>
          <cell r="E201">
            <v>41066.379999999997</v>
          </cell>
          <cell r="F201">
            <v>-14581.97</v>
          </cell>
          <cell r="G201">
            <v>73.796199999999999</v>
          </cell>
        </row>
        <row r="202">
          <cell r="B202" t="str">
            <v>303/5025 Water</v>
          </cell>
          <cell r="C202">
            <v>5500</v>
          </cell>
          <cell r="D202">
            <v>76.28</v>
          </cell>
          <cell r="E202">
            <v>3977.55</v>
          </cell>
          <cell r="F202">
            <v>-1522.45</v>
          </cell>
          <cell r="G202">
            <v>72.319100000000006</v>
          </cell>
        </row>
        <row r="203">
          <cell r="B203" t="str">
            <v>Total Buildings Expense</v>
          </cell>
          <cell r="C203">
            <v>95948.35</v>
          </cell>
          <cell r="D203">
            <v>7361.96</v>
          </cell>
          <cell r="E203">
            <v>75145.02</v>
          </cell>
          <cell r="F203">
            <v>-20803.330000000002</v>
          </cell>
          <cell r="G203">
            <v>78.318200000000004</v>
          </cell>
        </row>
        <row r="206">
          <cell r="B206" t="str">
            <v>399 - Property - Other</v>
          </cell>
        </row>
        <row r="207">
          <cell r="B207" t="str">
            <v>399/5005 Insurance</v>
          </cell>
          <cell r="C207">
            <v>40709</v>
          </cell>
          <cell r="D207">
            <v>8913.25</v>
          </cell>
          <cell r="E207">
            <v>40959.07</v>
          </cell>
          <cell r="F207">
            <v>250.07</v>
          </cell>
          <cell r="G207">
            <v>100.6143</v>
          </cell>
        </row>
        <row r="208">
          <cell r="B208" t="str">
            <v>399/5010 Equipment</v>
          </cell>
          <cell r="C208">
            <v>4600</v>
          </cell>
          <cell r="D208">
            <v>0</v>
          </cell>
          <cell r="E208">
            <v>489.97</v>
          </cell>
          <cell r="F208">
            <v>-4110.03</v>
          </cell>
          <cell r="G208">
            <v>10.6515</v>
          </cell>
        </row>
        <row r="209">
          <cell r="B209" t="str">
            <v>399/5015 Major Expense Reserve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B210" t="str">
            <v>399/5020 Off-Site Storage Rental</v>
          </cell>
          <cell r="C210">
            <v>1500</v>
          </cell>
          <cell r="D210">
            <v>0</v>
          </cell>
          <cell r="E210">
            <v>1278</v>
          </cell>
          <cell r="F210">
            <v>-222</v>
          </cell>
          <cell r="G210">
            <v>85.2</v>
          </cell>
        </row>
        <row r="211">
          <cell r="B211" t="str">
            <v>399/5025 Columbarium</v>
          </cell>
          <cell r="C211">
            <v>130</v>
          </cell>
          <cell r="D211">
            <v>0</v>
          </cell>
          <cell r="E211">
            <v>40.25</v>
          </cell>
          <cell r="F211">
            <v>-89.75</v>
          </cell>
          <cell r="G211">
            <v>30.961500000000001</v>
          </cell>
        </row>
        <row r="212">
          <cell r="B212" t="str">
            <v>399/5080 Contingency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B213" t="str">
            <v>Total Other Property Expense</v>
          </cell>
          <cell r="C213">
            <v>46939</v>
          </cell>
          <cell r="D213">
            <v>8913.25</v>
          </cell>
          <cell r="E213">
            <v>42767.29</v>
          </cell>
          <cell r="F213">
            <v>-4171.71</v>
          </cell>
          <cell r="G213">
            <v>91.112499999999997</v>
          </cell>
        </row>
        <row r="215">
          <cell r="B215" t="str">
            <v>TOTAL PROPERTY EXPENSE</v>
          </cell>
          <cell r="C215">
            <v>250913.35</v>
          </cell>
          <cell r="D215">
            <v>27047.599999999999</v>
          </cell>
          <cell r="E215">
            <v>197088.11</v>
          </cell>
          <cell r="F215">
            <v>-53825.24</v>
          </cell>
          <cell r="G215">
            <v>78.548299999999998</v>
          </cell>
        </row>
        <row r="218">
          <cell r="B218" t="str">
            <v>401 - Rector</v>
          </cell>
        </row>
        <row r="219">
          <cell r="B219" t="str">
            <v>401/5005 Salary</v>
          </cell>
          <cell r="C219">
            <v>48487.15</v>
          </cell>
          <cell r="D219">
            <v>4040.6</v>
          </cell>
          <cell r="E219">
            <v>40405.949999999997</v>
          </cell>
          <cell r="F219">
            <v>-8081.2</v>
          </cell>
          <cell r="G219">
            <v>83.333299999999994</v>
          </cell>
        </row>
        <row r="220">
          <cell r="B220" t="str">
            <v>401/5010 SECA</v>
          </cell>
          <cell r="C220">
            <v>13891.68</v>
          </cell>
          <cell r="D220">
            <v>1157.6400000000001</v>
          </cell>
          <cell r="E220">
            <v>11576.4</v>
          </cell>
          <cell r="F220">
            <v>-2315.2800000000002</v>
          </cell>
          <cell r="G220">
            <v>83.333299999999994</v>
          </cell>
        </row>
        <row r="221">
          <cell r="B221" t="str">
            <v>401/5015 Pension</v>
          </cell>
          <cell r="C221">
            <v>18818.169999999998</v>
          </cell>
          <cell r="D221">
            <v>0</v>
          </cell>
          <cell r="E221">
            <v>14091.12</v>
          </cell>
          <cell r="F221">
            <v>-4727.05</v>
          </cell>
          <cell r="G221">
            <v>74.880399999999995</v>
          </cell>
        </row>
        <row r="222">
          <cell r="B222" t="str">
            <v>401/5020 Housing</v>
          </cell>
          <cell r="C222">
            <v>42000</v>
          </cell>
          <cell r="D222">
            <v>3500</v>
          </cell>
          <cell r="E222">
            <v>35000</v>
          </cell>
          <cell r="F222">
            <v>-7000</v>
          </cell>
          <cell r="G222">
            <v>83.333299999999994</v>
          </cell>
        </row>
        <row r="223">
          <cell r="B223" t="str">
            <v>401/5025 Dental</v>
          </cell>
          <cell r="C223">
            <v>2400</v>
          </cell>
          <cell r="D223">
            <v>200</v>
          </cell>
          <cell r="E223">
            <v>2000</v>
          </cell>
          <cell r="F223">
            <v>-400</v>
          </cell>
          <cell r="G223">
            <v>83.333299999999994</v>
          </cell>
        </row>
        <row r="224">
          <cell r="B224" t="str">
            <v>401/5030 Discretionary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B225" t="str">
            <v>401/5035 Professional Account</v>
          </cell>
          <cell r="C225">
            <v>9000</v>
          </cell>
          <cell r="D225">
            <v>492.39</v>
          </cell>
          <cell r="E225">
            <v>8116.54</v>
          </cell>
          <cell r="F225">
            <v>-883.46</v>
          </cell>
          <cell r="G225">
            <v>90.183800000000005</v>
          </cell>
        </row>
        <row r="226">
          <cell r="B226" t="str">
            <v>401/5040 Moving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B227" t="str">
            <v>Total Rector Expense</v>
          </cell>
          <cell r="C227">
            <v>134597</v>
          </cell>
          <cell r="D227">
            <v>9390.6299999999992</v>
          </cell>
          <cell r="E227">
            <v>111190.01</v>
          </cell>
          <cell r="F227">
            <v>-23406.99</v>
          </cell>
          <cell r="G227">
            <v>82.6096</v>
          </cell>
        </row>
        <row r="230">
          <cell r="B230" t="str">
            <v>402 - Associate Rector</v>
          </cell>
        </row>
        <row r="231">
          <cell r="B231" t="str">
            <v>402/5005 Salary</v>
          </cell>
          <cell r="C231">
            <v>59197.32</v>
          </cell>
          <cell r="D231">
            <v>3083.34</v>
          </cell>
          <cell r="E231">
            <v>26208.31</v>
          </cell>
          <cell r="F231">
            <v>-32989.01</v>
          </cell>
          <cell r="G231">
            <v>44.272799999999997</v>
          </cell>
        </row>
        <row r="232">
          <cell r="B232" t="str">
            <v>402/5010 SECA</v>
          </cell>
          <cell r="C232">
            <v>0</v>
          </cell>
          <cell r="D232">
            <v>701.26</v>
          </cell>
          <cell r="E232">
            <v>5960.59</v>
          </cell>
          <cell r="F232">
            <v>5960.59</v>
          </cell>
          <cell r="G232">
            <v>0</v>
          </cell>
        </row>
        <row r="233">
          <cell r="B233" t="str">
            <v>402/5015 Pension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B234" t="str">
            <v>402/5020 Housing</v>
          </cell>
          <cell r="C234">
            <v>0</v>
          </cell>
          <cell r="D234">
            <v>1500</v>
          </cell>
          <cell r="E234">
            <v>14200</v>
          </cell>
          <cell r="F234">
            <v>14200</v>
          </cell>
          <cell r="G234">
            <v>0</v>
          </cell>
        </row>
        <row r="235">
          <cell r="B235" t="str">
            <v>402/5025 Professional Account</v>
          </cell>
          <cell r="C235">
            <v>0</v>
          </cell>
          <cell r="D235">
            <v>200</v>
          </cell>
          <cell r="E235">
            <v>956.08</v>
          </cell>
          <cell r="F235">
            <v>956.08</v>
          </cell>
          <cell r="G235">
            <v>0</v>
          </cell>
        </row>
        <row r="236">
          <cell r="B236" t="str">
            <v>402/5030 Discretionary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B237" t="str">
            <v>402/5035 Dental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B238" t="str">
            <v>402/5040 Continuing Education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B239" t="str">
            <v>Total Associate Rector</v>
          </cell>
          <cell r="C239">
            <v>59197.32</v>
          </cell>
          <cell r="D239">
            <v>5484.6</v>
          </cell>
          <cell r="E239">
            <v>47324.98</v>
          </cell>
          <cell r="F239">
            <v>-11872.34</v>
          </cell>
          <cell r="G239">
            <v>79.944500000000005</v>
          </cell>
        </row>
        <row r="242">
          <cell r="B242" t="str">
            <v>403 - Minister to Families w/ Youth</v>
          </cell>
        </row>
        <row r="243">
          <cell r="B243" t="str">
            <v>403/5005 Salary</v>
          </cell>
          <cell r="C243">
            <v>46775.24</v>
          </cell>
          <cell r="D243">
            <v>1692</v>
          </cell>
          <cell r="E243">
            <v>36773.42</v>
          </cell>
          <cell r="F243">
            <v>-10001.82</v>
          </cell>
          <cell r="G243">
            <v>78.6173</v>
          </cell>
        </row>
        <row r="244">
          <cell r="B244" t="str">
            <v>403/5010 Social Security</v>
          </cell>
          <cell r="C244">
            <v>3578.31</v>
          </cell>
          <cell r="D244">
            <v>76.5</v>
          </cell>
          <cell r="E244">
            <v>2760.29</v>
          </cell>
          <cell r="F244">
            <v>-818.02</v>
          </cell>
          <cell r="G244">
            <v>77.139499999999998</v>
          </cell>
        </row>
        <row r="245">
          <cell r="B245" t="str">
            <v>403/5015 Pension</v>
          </cell>
          <cell r="C245">
            <v>4209.7700000000004</v>
          </cell>
          <cell r="D245">
            <v>0</v>
          </cell>
          <cell r="E245">
            <v>3157.38</v>
          </cell>
          <cell r="F245">
            <v>-1052.3900000000001</v>
          </cell>
          <cell r="G245">
            <v>75.001199999999997</v>
          </cell>
        </row>
        <row r="246">
          <cell r="B246" t="str">
            <v>403/5020 Housing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B247" t="str">
            <v>403/5025 Professional Account</v>
          </cell>
          <cell r="C247">
            <v>1500</v>
          </cell>
          <cell r="D247">
            <v>0</v>
          </cell>
          <cell r="E247">
            <v>588.97</v>
          </cell>
          <cell r="F247">
            <v>-911.03</v>
          </cell>
          <cell r="G247">
            <v>39.264699999999998</v>
          </cell>
        </row>
        <row r="248">
          <cell r="B248" t="str">
            <v>403/5030 Discretionary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B249" t="str">
            <v>403/5035 Business Account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B250" t="str">
            <v>403/5040 Continuing Education</v>
          </cell>
          <cell r="C250">
            <v>500</v>
          </cell>
          <cell r="D250">
            <v>0</v>
          </cell>
          <cell r="E250">
            <v>137.27000000000001</v>
          </cell>
          <cell r="F250">
            <v>-362.73</v>
          </cell>
          <cell r="G250">
            <v>27.454000000000001</v>
          </cell>
        </row>
        <row r="251">
          <cell r="B251" t="str">
            <v>403/5045 Medical Insurance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B252" t="str">
            <v>Total  Minister to Families w/ Youth</v>
          </cell>
          <cell r="C252">
            <v>56563.32</v>
          </cell>
          <cell r="D252">
            <v>1768.5</v>
          </cell>
          <cell r="E252">
            <v>43417.33</v>
          </cell>
          <cell r="F252">
            <v>-13145.99</v>
          </cell>
          <cell r="G252">
            <v>76.758799999999994</v>
          </cell>
        </row>
        <row r="255">
          <cell r="B255" t="str">
            <v>404 - Organist &amp; Choir Master</v>
          </cell>
        </row>
        <row r="256">
          <cell r="B256" t="str">
            <v>404/5005 Salary</v>
          </cell>
          <cell r="C256">
            <v>28603.200000000001</v>
          </cell>
          <cell r="D256">
            <v>3183.6</v>
          </cell>
          <cell r="E256">
            <v>25935.7</v>
          </cell>
          <cell r="F256">
            <v>-2667.5</v>
          </cell>
          <cell r="G256">
            <v>90.674099999999996</v>
          </cell>
        </row>
        <row r="257">
          <cell r="B257" t="str">
            <v>404/5010 Social Security</v>
          </cell>
          <cell r="C257">
            <v>2188.14</v>
          </cell>
          <cell r="D257">
            <v>281.8</v>
          </cell>
          <cell r="E257">
            <v>2399.06</v>
          </cell>
          <cell r="F257">
            <v>210.92</v>
          </cell>
          <cell r="G257">
            <v>109.6392</v>
          </cell>
        </row>
        <row r="258">
          <cell r="B258" t="str">
            <v>404/5015 Pension</v>
          </cell>
          <cell r="C258">
            <v>2574.29</v>
          </cell>
          <cell r="D258">
            <v>229.54</v>
          </cell>
          <cell r="E258">
            <v>2175.2399999999998</v>
          </cell>
          <cell r="F258">
            <v>-399.05</v>
          </cell>
          <cell r="G258">
            <v>84.498599999999996</v>
          </cell>
        </row>
        <row r="259">
          <cell r="B259" t="str">
            <v>404/5025 Business/Auto Expense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B260" t="str">
            <v>404/5040 Continuing Education</v>
          </cell>
          <cell r="C260">
            <v>500</v>
          </cell>
          <cell r="D260">
            <v>0</v>
          </cell>
          <cell r="E260">
            <v>0</v>
          </cell>
          <cell r="F260">
            <v>-500</v>
          </cell>
          <cell r="G260">
            <v>0</v>
          </cell>
        </row>
        <row r="261">
          <cell r="B261" t="str">
            <v>404/5045 Medical Insurance</v>
          </cell>
          <cell r="C261">
            <v>7904</v>
          </cell>
          <cell r="D261">
            <v>658.7</v>
          </cell>
          <cell r="E261">
            <v>6587</v>
          </cell>
          <cell r="F261">
            <v>-1317</v>
          </cell>
          <cell r="G261">
            <v>83.337599999999995</v>
          </cell>
        </row>
        <row r="262">
          <cell r="B262" t="str">
            <v>Total Organist &amp; Choir Master</v>
          </cell>
          <cell r="C262">
            <v>41769.629999999997</v>
          </cell>
          <cell r="D262">
            <v>4353.6400000000003</v>
          </cell>
          <cell r="E262">
            <v>37097</v>
          </cell>
          <cell r="F262">
            <v>-4672.63</v>
          </cell>
          <cell r="G262">
            <v>88.813299999999998</v>
          </cell>
        </row>
        <row r="265">
          <cell r="B265" t="str">
            <v>405 - Minister to Familes w/ Children</v>
          </cell>
        </row>
        <row r="266">
          <cell r="B266" t="str">
            <v>405/5005 Salary</v>
          </cell>
          <cell r="C266">
            <v>33330</v>
          </cell>
          <cell r="D266">
            <v>2777.5</v>
          </cell>
          <cell r="E266">
            <v>27775</v>
          </cell>
          <cell r="F266">
            <v>-5555</v>
          </cell>
          <cell r="G266">
            <v>83.333299999999994</v>
          </cell>
        </row>
        <row r="267">
          <cell r="B267" t="str">
            <v>405/5010 Social Security</v>
          </cell>
          <cell r="C267">
            <v>2549.75</v>
          </cell>
          <cell r="D267">
            <v>249.5</v>
          </cell>
          <cell r="E267">
            <v>2495</v>
          </cell>
          <cell r="F267">
            <v>-54.75</v>
          </cell>
          <cell r="G267">
            <v>97.852699999999999</v>
          </cell>
        </row>
        <row r="268">
          <cell r="B268" t="str">
            <v>405/5015 Pension</v>
          </cell>
          <cell r="C268">
            <v>2999.7</v>
          </cell>
          <cell r="D268">
            <v>249.98</v>
          </cell>
          <cell r="E268">
            <v>2499.8000000000002</v>
          </cell>
          <cell r="F268">
            <v>-499.9</v>
          </cell>
          <cell r="G268">
            <v>83.334999999999994</v>
          </cell>
        </row>
        <row r="269">
          <cell r="B269" t="str">
            <v>405/5025 Business/Auto Expense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B270" t="str">
            <v>405/5040 Continuing Education</v>
          </cell>
          <cell r="C270">
            <v>500</v>
          </cell>
          <cell r="D270">
            <v>0</v>
          </cell>
          <cell r="E270">
            <v>298</v>
          </cell>
          <cell r="F270">
            <v>-202</v>
          </cell>
          <cell r="G270">
            <v>59.6</v>
          </cell>
        </row>
        <row r="271">
          <cell r="B271" t="str">
            <v>405/5045 Medical Insurance</v>
          </cell>
          <cell r="C271">
            <v>4389</v>
          </cell>
          <cell r="D271">
            <v>487.7</v>
          </cell>
          <cell r="E271">
            <v>4877</v>
          </cell>
          <cell r="F271">
            <v>488</v>
          </cell>
          <cell r="G271">
            <v>111.1187</v>
          </cell>
        </row>
        <row r="272">
          <cell r="B272" t="str">
            <v>Total Minister to Families w/ Children</v>
          </cell>
          <cell r="C272">
            <v>43768.45</v>
          </cell>
          <cell r="D272">
            <v>3764.68</v>
          </cell>
          <cell r="E272">
            <v>37944.800000000003</v>
          </cell>
          <cell r="F272">
            <v>-5823.65</v>
          </cell>
          <cell r="G272">
            <v>86.694400000000002</v>
          </cell>
        </row>
        <row r="275">
          <cell r="B275" t="str">
            <v>406 - Rector's Admin &amp; Fellowship Coordinator</v>
          </cell>
        </row>
        <row r="276">
          <cell r="B276" t="str">
            <v>406/5005 Salary</v>
          </cell>
          <cell r="C276">
            <v>40713.5</v>
          </cell>
          <cell r="D276">
            <v>3392.8</v>
          </cell>
          <cell r="E276">
            <v>33927.9</v>
          </cell>
          <cell r="F276">
            <v>-6785.6</v>
          </cell>
          <cell r="G276">
            <v>83.333299999999994</v>
          </cell>
        </row>
        <row r="277">
          <cell r="B277" t="str">
            <v>406/5010 Social Security</v>
          </cell>
          <cell r="C277">
            <v>3518.5</v>
          </cell>
          <cell r="D277">
            <v>293.22000000000003</v>
          </cell>
          <cell r="E277">
            <v>2932.19</v>
          </cell>
          <cell r="F277">
            <v>-586.30999999999995</v>
          </cell>
          <cell r="G277">
            <v>83.336399999999998</v>
          </cell>
        </row>
        <row r="278">
          <cell r="B278" t="str">
            <v>406/5015 Pension</v>
          </cell>
          <cell r="C278">
            <v>3664.22</v>
          </cell>
          <cell r="D278">
            <v>305.55</v>
          </cell>
          <cell r="E278">
            <v>3054.1</v>
          </cell>
          <cell r="F278">
            <v>-610.12</v>
          </cell>
          <cell r="G278">
            <v>83.349299999999999</v>
          </cell>
        </row>
        <row r="279">
          <cell r="B279" t="str">
            <v>406/5025 Auto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B280" t="str">
            <v>406/5040 Continuing Education</v>
          </cell>
          <cell r="C280">
            <v>500</v>
          </cell>
          <cell r="D280">
            <v>0</v>
          </cell>
          <cell r="E280">
            <v>253</v>
          </cell>
          <cell r="F280">
            <v>-247</v>
          </cell>
          <cell r="G280">
            <v>50.6</v>
          </cell>
        </row>
        <row r="281">
          <cell r="B281" t="str">
            <v>406/5045 Medical Insurance</v>
          </cell>
          <cell r="C281">
            <v>5280</v>
          </cell>
          <cell r="D281">
            <v>440</v>
          </cell>
          <cell r="E281">
            <v>4400</v>
          </cell>
          <cell r="F281">
            <v>-880</v>
          </cell>
          <cell r="G281">
            <v>83.333299999999994</v>
          </cell>
        </row>
        <row r="282">
          <cell r="B282" t="str">
            <v>Total Rector's Admin &amp; Fellowship Coordinator</v>
          </cell>
          <cell r="C282">
            <v>53676.22</v>
          </cell>
          <cell r="D282">
            <v>4431.57</v>
          </cell>
          <cell r="E282">
            <v>44567.19</v>
          </cell>
          <cell r="F282">
            <v>-9109.0300000000007</v>
          </cell>
          <cell r="G282">
            <v>83.029700000000005</v>
          </cell>
        </row>
        <row r="285">
          <cell r="B285" t="str">
            <v>407 - Director of Adult Formation</v>
          </cell>
        </row>
        <row r="286">
          <cell r="B286" t="str">
            <v>407/5005 Salary</v>
          </cell>
          <cell r="C286">
            <v>25524.1</v>
          </cell>
          <cell r="D286">
            <v>2127</v>
          </cell>
          <cell r="E286">
            <v>21270.1</v>
          </cell>
          <cell r="F286">
            <v>-4254</v>
          </cell>
          <cell r="G286">
            <v>83.333399999999997</v>
          </cell>
        </row>
        <row r="287">
          <cell r="B287" t="str">
            <v>407/5010 Social Security</v>
          </cell>
          <cell r="C287">
            <v>7577.19</v>
          </cell>
          <cell r="D287">
            <v>631.44000000000005</v>
          </cell>
          <cell r="E287">
            <v>6314.31</v>
          </cell>
          <cell r="F287">
            <v>-1262.8800000000001</v>
          </cell>
          <cell r="G287">
            <v>83.333100000000002</v>
          </cell>
        </row>
        <row r="288">
          <cell r="B288" t="str">
            <v>407/5015 Pension</v>
          </cell>
          <cell r="C288">
            <v>5139.12</v>
          </cell>
          <cell r="D288">
            <v>428.26</v>
          </cell>
          <cell r="E288">
            <v>4282.6000000000004</v>
          </cell>
          <cell r="F288">
            <v>-856.52</v>
          </cell>
          <cell r="G288">
            <v>83.333299999999994</v>
          </cell>
        </row>
        <row r="289">
          <cell r="B289" t="str">
            <v>407/5020 Housing</v>
          </cell>
          <cell r="C289">
            <v>24000</v>
          </cell>
          <cell r="D289">
            <v>2000</v>
          </cell>
          <cell r="E289">
            <v>20000</v>
          </cell>
          <cell r="F289">
            <v>-4000</v>
          </cell>
          <cell r="G289">
            <v>83.333299999999994</v>
          </cell>
        </row>
        <row r="290">
          <cell r="B290" t="str">
            <v>407/5025 Professional Account</v>
          </cell>
          <cell r="C290">
            <v>2000</v>
          </cell>
          <cell r="D290">
            <v>0</v>
          </cell>
          <cell r="E290">
            <v>1963.75</v>
          </cell>
          <cell r="F290">
            <v>-36.25</v>
          </cell>
          <cell r="G290">
            <v>98.1875</v>
          </cell>
        </row>
        <row r="291">
          <cell r="B291" t="str">
            <v>407/5040 Continuing Education</v>
          </cell>
          <cell r="C291">
            <v>700</v>
          </cell>
          <cell r="D291">
            <v>0</v>
          </cell>
          <cell r="E291">
            <v>182.55</v>
          </cell>
          <cell r="F291">
            <v>-517.45000000000005</v>
          </cell>
          <cell r="G291">
            <v>26.078600000000002</v>
          </cell>
        </row>
        <row r="292">
          <cell r="B292" t="str">
            <v>407/5045 Medical Insurance</v>
          </cell>
          <cell r="C292">
            <v>5280</v>
          </cell>
          <cell r="D292">
            <v>440</v>
          </cell>
          <cell r="E292">
            <v>4400</v>
          </cell>
          <cell r="F292">
            <v>-880</v>
          </cell>
          <cell r="G292">
            <v>83.333299999999994</v>
          </cell>
        </row>
        <row r="293">
          <cell r="B293" t="str">
            <v>Total Director of Adult Formation</v>
          </cell>
          <cell r="C293">
            <v>70220.41</v>
          </cell>
          <cell r="D293">
            <v>5626.7</v>
          </cell>
          <cell r="E293">
            <v>58413.31</v>
          </cell>
          <cell r="F293">
            <v>-11807.1</v>
          </cell>
          <cell r="G293">
            <v>83.185699999999997</v>
          </cell>
        </row>
        <row r="296">
          <cell r="B296" t="str">
            <v>408 - Other Lay Salaries</v>
          </cell>
        </row>
        <row r="297">
          <cell r="B297" t="str">
            <v>408/4055 Babysitters Income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</row>
        <row r="298">
          <cell r="B298" t="str">
            <v>408/5005 Business Manager</v>
          </cell>
          <cell r="C298">
            <v>46234.559999999998</v>
          </cell>
          <cell r="D298">
            <v>3852.88</v>
          </cell>
          <cell r="E298">
            <v>38528.800000000003</v>
          </cell>
          <cell r="F298">
            <v>-7705.76</v>
          </cell>
          <cell r="G298">
            <v>83.333299999999994</v>
          </cell>
        </row>
        <row r="299">
          <cell r="B299" t="str">
            <v>408/5010 Membership Secretary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B300" t="str">
            <v>408/5015 Sexton</v>
          </cell>
          <cell r="C300">
            <v>39896.44</v>
          </cell>
          <cell r="D300">
            <v>3505.75</v>
          </cell>
          <cell r="E300">
            <v>33633.83</v>
          </cell>
          <cell r="F300">
            <v>-6262.61</v>
          </cell>
          <cell r="G300">
            <v>84.302800000000005</v>
          </cell>
        </row>
        <row r="301">
          <cell r="B301" t="str">
            <v>408/5020 Director of Communications</v>
          </cell>
          <cell r="C301">
            <v>30600</v>
          </cell>
          <cell r="D301">
            <v>2550</v>
          </cell>
          <cell r="E301">
            <v>25500</v>
          </cell>
          <cell r="F301">
            <v>-5100</v>
          </cell>
          <cell r="G301">
            <v>83.333299999999994</v>
          </cell>
        </row>
        <row r="302">
          <cell r="B302" t="str">
            <v>408/5025 Printer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B303" t="str">
            <v>408/5030 Assistant Sexton</v>
          </cell>
          <cell r="C303">
            <v>30527.23</v>
          </cell>
          <cell r="D303">
            <v>2618.5500000000002</v>
          </cell>
          <cell r="E303">
            <v>25004.36</v>
          </cell>
          <cell r="F303">
            <v>-5522.87</v>
          </cell>
          <cell r="G303">
            <v>81.9084</v>
          </cell>
        </row>
        <row r="304">
          <cell r="B304" t="str">
            <v>408/5035 Babysitters</v>
          </cell>
          <cell r="C304">
            <v>22576.9</v>
          </cell>
          <cell r="D304">
            <v>2511</v>
          </cell>
          <cell r="E304">
            <v>19708.349999999999</v>
          </cell>
          <cell r="F304">
            <v>-2868.55</v>
          </cell>
          <cell r="G304">
            <v>87.294300000000007</v>
          </cell>
        </row>
        <row r="305">
          <cell r="B305" t="str">
            <v>408/5040 Assisting Clergy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B306" t="str">
            <v>408/5045 Contemporary Choir Director</v>
          </cell>
          <cell r="C306">
            <v>30215.3</v>
          </cell>
          <cell r="D306">
            <v>2268.17</v>
          </cell>
          <cell r="E306">
            <v>26407.11</v>
          </cell>
          <cell r="F306">
            <v>-3808.19</v>
          </cell>
          <cell r="G306">
            <v>87.396500000000003</v>
          </cell>
        </row>
        <row r="307">
          <cell r="B307" t="str">
            <v>408/5050 Youth Ministry Administrative Coordinator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</row>
        <row r="308">
          <cell r="B308" t="str">
            <v>408/5100 Social Security - BM</v>
          </cell>
          <cell r="C308">
            <v>3536.94</v>
          </cell>
          <cell r="D308">
            <v>294.74</v>
          </cell>
          <cell r="E308">
            <v>2947.4</v>
          </cell>
          <cell r="F308">
            <v>-589.54</v>
          </cell>
          <cell r="G308">
            <v>83.331900000000005</v>
          </cell>
        </row>
        <row r="309">
          <cell r="B309" t="str">
            <v>408/5105 Social Security - MS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B310" t="str">
            <v>408/5110 Pension - BM</v>
          </cell>
          <cell r="C310">
            <v>4161.1099999999997</v>
          </cell>
          <cell r="D310">
            <v>346.76</v>
          </cell>
          <cell r="E310">
            <v>3467.6</v>
          </cell>
          <cell r="F310">
            <v>-693.51</v>
          </cell>
          <cell r="G310">
            <v>83.333500000000001</v>
          </cell>
        </row>
        <row r="311">
          <cell r="B311" t="str">
            <v>408/5115 Worker's Compensation</v>
          </cell>
          <cell r="C311">
            <v>5300</v>
          </cell>
          <cell r="D311">
            <v>-437</v>
          </cell>
          <cell r="E311">
            <v>5944</v>
          </cell>
          <cell r="F311">
            <v>644</v>
          </cell>
          <cell r="G311">
            <v>112.15089999999999</v>
          </cell>
        </row>
        <row r="312">
          <cell r="B312" t="str">
            <v>408/5120 Medical Insurance - BM</v>
          </cell>
          <cell r="C312">
            <v>7904.4</v>
          </cell>
          <cell r="D312">
            <v>658.7</v>
          </cell>
          <cell r="E312">
            <v>6587</v>
          </cell>
          <cell r="F312">
            <v>-1317.4</v>
          </cell>
          <cell r="G312">
            <v>83.333299999999994</v>
          </cell>
        </row>
        <row r="313">
          <cell r="B313" t="str">
            <v>408/5125 Social Security - Sexton</v>
          </cell>
          <cell r="C313">
            <v>3052.08</v>
          </cell>
          <cell r="D313">
            <v>268.20999999999998</v>
          </cell>
          <cell r="E313">
            <v>2572.9899999999998</v>
          </cell>
          <cell r="F313">
            <v>-479.09</v>
          </cell>
          <cell r="G313">
            <v>84.302800000000005</v>
          </cell>
        </row>
        <row r="314">
          <cell r="B314" t="str">
            <v>408/5130 Pension - Sexton</v>
          </cell>
          <cell r="C314">
            <v>2834.6</v>
          </cell>
          <cell r="D314">
            <v>236.22</v>
          </cell>
          <cell r="E314">
            <v>2362.1999999999998</v>
          </cell>
          <cell r="F314">
            <v>-472.4</v>
          </cell>
          <cell r="G314">
            <v>83.334500000000006</v>
          </cell>
        </row>
        <row r="315">
          <cell r="B315" t="str">
            <v>408/5135 Medical - Sexton</v>
          </cell>
          <cell r="C315">
            <v>7904.4</v>
          </cell>
          <cell r="D315">
            <v>658.7</v>
          </cell>
          <cell r="E315">
            <v>6587</v>
          </cell>
          <cell r="F315">
            <v>-1317.4</v>
          </cell>
          <cell r="G315">
            <v>83.333299999999994</v>
          </cell>
        </row>
        <row r="316">
          <cell r="B316" t="str">
            <v>408/5140 Social Security - Dir Communications</v>
          </cell>
          <cell r="C316">
            <v>2340.9</v>
          </cell>
          <cell r="D316">
            <v>195.08</v>
          </cell>
          <cell r="E316">
            <v>1950.8</v>
          </cell>
          <cell r="F316">
            <v>-390.1</v>
          </cell>
          <cell r="G316">
            <v>83.335499999999996</v>
          </cell>
        </row>
        <row r="317">
          <cell r="B317" t="str">
            <v>408/5145 Pension - Dir Communications</v>
          </cell>
          <cell r="C317">
            <v>2754</v>
          </cell>
          <cell r="D317">
            <v>229.5</v>
          </cell>
          <cell r="E317">
            <v>2295</v>
          </cell>
          <cell r="F317">
            <v>-459</v>
          </cell>
          <cell r="G317">
            <v>83.333299999999994</v>
          </cell>
        </row>
        <row r="318">
          <cell r="B318" t="str">
            <v>408/5150 Medical - Dir Communications</v>
          </cell>
          <cell r="C318">
            <v>7904.4</v>
          </cell>
          <cell r="D318">
            <v>658.7</v>
          </cell>
          <cell r="E318">
            <v>6587</v>
          </cell>
          <cell r="F318">
            <v>-1317.4</v>
          </cell>
          <cell r="G318">
            <v>83.333299999999994</v>
          </cell>
        </row>
        <row r="319">
          <cell r="B319" t="str">
            <v>408/5155 Social Security - Printer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B320" t="str">
            <v>408/5160 Social Security - Babysitter</v>
          </cell>
          <cell r="C320">
            <v>0</v>
          </cell>
          <cell r="D320">
            <v>192.12</v>
          </cell>
          <cell r="E320">
            <v>1501.27</v>
          </cell>
          <cell r="F320">
            <v>1501.27</v>
          </cell>
          <cell r="G320">
            <v>0</v>
          </cell>
        </row>
        <row r="321">
          <cell r="B321" t="str">
            <v>408/5165 Disability Ins - Short Term</v>
          </cell>
          <cell r="C321">
            <v>2400</v>
          </cell>
          <cell r="D321">
            <v>326.5</v>
          </cell>
          <cell r="E321">
            <v>2005</v>
          </cell>
          <cell r="F321">
            <v>-395</v>
          </cell>
          <cell r="G321">
            <v>83.541700000000006</v>
          </cell>
        </row>
        <row r="322">
          <cell r="B322" t="str">
            <v>408/5170 Disability Ins - Long Term</v>
          </cell>
          <cell r="C322">
            <v>3000</v>
          </cell>
          <cell r="D322">
            <v>644.53</v>
          </cell>
          <cell r="E322">
            <v>2861.86</v>
          </cell>
          <cell r="F322">
            <v>-138.13999999999999</v>
          </cell>
          <cell r="G322">
            <v>95.395300000000006</v>
          </cell>
        </row>
        <row r="323">
          <cell r="B323" t="str">
            <v>408/5175 Social Security Ast Sexton</v>
          </cell>
          <cell r="C323">
            <v>2335.33</v>
          </cell>
          <cell r="D323">
            <v>200.32</v>
          </cell>
          <cell r="E323">
            <v>1912.9</v>
          </cell>
          <cell r="F323">
            <v>-422.43</v>
          </cell>
          <cell r="G323">
            <v>81.911299999999997</v>
          </cell>
        </row>
        <row r="324">
          <cell r="B324" t="str">
            <v>408/5180 Pension Ast Sexton</v>
          </cell>
          <cell r="C324">
            <v>2662.04</v>
          </cell>
          <cell r="D324">
            <v>221.83</v>
          </cell>
          <cell r="E324">
            <v>2218.3000000000002</v>
          </cell>
          <cell r="F324">
            <v>-443.74</v>
          </cell>
          <cell r="G324">
            <v>83.330799999999996</v>
          </cell>
        </row>
        <row r="325">
          <cell r="B325" t="str">
            <v>408/5185 Medical Ast Sexton</v>
          </cell>
          <cell r="C325">
            <v>7904.4</v>
          </cell>
          <cell r="D325">
            <v>658.7</v>
          </cell>
          <cell r="E325">
            <v>6587</v>
          </cell>
          <cell r="F325">
            <v>-1317.4</v>
          </cell>
          <cell r="G325">
            <v>83.333299999999994</v>
          </cell>
        </row>
        <row r="326">
          <cell r="B326" t="str">
            <v>408/5190 Social Security Contemporary Choir Director</v>
          </cell>
          <cell r="C326">
            <v>0</v>
          </cell>
          <cell r="D326">
            <v>163.96</v>
          </cell>
          <cell r="E326">
            <v>1698.83</v>
          </cell>
          <cell r="F326">
            <v>1698.83</v>
          </cell>
          <cell r="G326">
            <v>0</v>
          </cell>
        </row>
        <row r="327">
          <cell r="B327" t="str">
            <v>408/5195 Social Security YM Administrative Coordinator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B328" t="str">
            <v>408/5200 Professional Expense YMAC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B329" t="str">
            <v>408/5205 Continuing Ed YMAC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B330" t="str">
            <v>408/5210 Continuing Ed - BM</v>
          </cell>
          <cell r="C330">
            <v>500</v>
          </cell>
          <cell r="D330">
            <v>0</v>
          </cell>
          <cell r="E330">
            <v>353</v>
          </cell>
          <cell r="F330">
            <v>-147</v>
          </cell>
          <cell r="G330">
            <v>70.599999999999994</v>
          </cell>
        </row>
        <row r="331">
          <cell r="B331" t="str">
            <v>Total Other Lay Personnel Expense</v>
          </cell>
          <cell r="C331">
            <v>266545.03000000003</v>
          </cell>
          <cell r="D331">
            <v>22823.919999999998</v>
          </cell>
          <cell r="E331">
            <v>229221.6</v>
          </cell>
          <cell r="F331">
            <v>-37323.43</v>
          </cell>
          <cell r="G331">
            <v>85.997299999999996</v>
          </cell>
        </row>
        <row r="333">
          <cell r="B333" t="str">
            <v>Total Salaries &amp; Benefits Expense</v>
          </cell>
          <cell r="C333">
            <v>726337.38</v>
          </cell>
          <cell r="D333">
            <v>57644.24</v>
          </cell>
          <cell r="E333">
            <v>609176.22</v>
          </cell>
          <cell r="F333">
            <v>-117161.16</v>
          </cell>
          <cell r="G333">
            <v>83.869600000000005</v>
          </cell>
        </row>
        <row r="336">
          <cell r="B336" t="str">
            <v>409 - Debt Service</v>
          </cell>
        </row>
        <row r="337">
          <cell r="B337" t="str">
            <v>409/5005 Debt Service Payments to Fund 301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Total Debt Service Expense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41">
          <cell r="B341" t="str">
            <v>410 - Vestry Expense</v>
          </cell>
        </row>
        <row r="342">
          <cell r="B342" t="str">
            <v>410/5005 Retreats/Seminars</v>
          </cell>
          <cell r="C342">
            <v>1500</v>
          </cell>
          <cell r="D342">
            <v>0</v>
          </cell>
          <cell r="E342">
            <v>854.72</v>
          </cell>
          <cell r="F342">
            <v>-645.28</v>
          </cell>
          <cell r="G342">
            <v>56.981299999999997</v>
          </cell>
        </row>
        <row r="343">
          <cell r="B343" t="str">
            <v>410/5015 Parish Search Expense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B344" t="str">
            <v>410/5020 Staff Development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</row>
        <row r="345">
          <cell r="B345" t="str">
            <v>410/5025 Vestry Supplies</v>
          </cell>
          <cell r="C345">
            <v>120</v>
          </cell>
          <cell r="D345">
            <v>0</v>
          </cell>
          <cell r="E345">
            <v>56.95</v>
          </cell>
          <cell r="F345">
            <v>-63.05</v>
          </cell>
          <cell r="G345">
            <v>47.458300000000001</v>
          </cell>
        </row>
        <row r="346">
          <cell r="B346" t="str">
            <v>410/5030 Vestry Lunch with Bishop</v>
          </cell>
          <cell r="C346">
            <v>200</v>
          </cell>
          <cell r="D346">
            <v>0</v>
          </cell>
          <cell r="E346">
            <v>285.3</v>
          </cell>
          <cell r="F346">
            <v>85.3</v>
          </cell>
          <cell r="G346">
            <v>142.65</v>
          </cell>
        </row>
        <row r="347">
          <cell r="B347" t="str">
            <v>410/5105 Miscellaneous</v>
          </cell>
          <cell r="C347">
            <v>750</v>
          </cell>
          <cell r="D347">
            <v>0</v>
          </cell>
          <cell r="E347">
            <v>304.36</v>
          </cell>
          <cell r="F347">
            <v>-445.64</v>
          </cell>
          <cell r="G347">
            <v>40.581299999999999</v>
          </cell>
        </row>
        <row r="348">
          <cell r="B348" t="str">
            <v>Total Vestry Expense</v>
          </cell>
          <cell r="C348">
            <v>2570</v>
          </cell>
          <cell r="D348">
            <v>0</v>
          </cell>
          <cell r="E348">
            <v>1501.33</v>
          </cell>
          <cell r="F348">
            <v>-1068.67</v>
          </cell>
          <cell r="G348">
            <v>58.417499999999997</v>
          </cell>
        </row>
        <row r="351">
          <cell r="B351" t="str">
            <v>499 - Operations and Finance - Other</v>
          </cell>
        </row>
        <row r="352">
          <cell r="B352" t="str">
            <v>499/5005 Supplies</v>
          </cell>
          <cell r="C352">
            <v>900</v>
          </cell>
          <cell r="D352">
            <v>123.98</v>
          </cell>
          <cell r="E352">
            <v>413.18</v>
          </cell>
          <cell r="F352">
            <v>-486.82</v>
          </cell>
          <cell r="G352">
            <v>45.908900000000003</v>
          </cell>
        </row>
        <row r="353">
          <cell r="B353" t="str">
            <v>499/5010 Bank Charges</v>
          </cell>
          <cell r="C353">
            <v>10800</v>
          </cell>
          <cell r="D353">
            <v>856</v>
          </cell>
          <cell r="E353">
            <v>11943.95</v>
          </cell>
          <cell r="F353">
            <v>1143.95</v>
          </cell>
          <cell r="G353">
            <v>110.5921</v>
          </cell>
        </row>
        <row r="354">
          <cell r="B354" t="str">
            <v>499/5015 Contribution Envelopes</v>
          </cell>
          <cell r="C354">
            <v>1680</v>
          </cell>
          <cell r="D354">
            <v>0</v>
          </cell>
          <cell r="E354">
            <v>864.41</v>
          </cell>
          <cell r="F354">
            <v>-815.59</v>
          </cell>
          <cell r="G354">
            <v>51.453000000000003</v>
          </cell>
        </row>
        <row r="355">
          <cell r="B355" t="str">
            <v>499/5020 Advertising Expense</v>
          </cell>
          <cell r="C355">
            <v>6000</v>
          </cell>
          <cell r="D355">
            <v>297</v>
          </cell>
          <cell r="E355">
            <v>3995.9</v>
          </cell>
          <cell r="F355">
            <v>-2004.1</v>
          </cell>
          <cell r="G355">
            <v>66.598299999999995</v>
          </cell>
        </row>
        <row r="356">
          <cell r="B356" t="str">
            <v>499/5025 Audit</v>
          </cell>
          <cell r="C356">
            <v>8500</v>
          </cell>
          <cell r="D356">
            <v>0</v>
          </cell>
          <cell r="E356">
            <v>7500</v>
          </cell>
          <cell r="F356">
            <v>-1000</v>
          </cell>
          <cell r="G356">
            <v>88.235299999999995</v>
          </cell>
        </row>
        <row r="357">
          <cell r="B357" t="str">
            <v>499/5080 Miscellaneous</v>
          </cell>
          <cell r="C357">
            <v>0</v>
          </cell>
          <cell r="D357">
            <v>114.62</v>
          </cell>
          <cell r="E357">
            <v>114.62</v>
          </cell>
          <cell r="F357">
            <v>114.62</v>
          </cell>
          <cell r="G357">
            <v>0</v>
          </cell>
        </row>
        <row r="358">
          <cell r="B358" t="str">
            <v>499/5085 Background Checks</v>
          </cell>
          <cell r="C358">
            <v>1500</v>
          </cell>
          <cell r="D358">
            <v>136</v>
          </cell>
          <cell r="E358">
            <v>1503</v>
          </cell>
          <cell r="F358">
            <v>3</v>
          </cell>
          <cell r="G358">
            <v>100.2</v>
          </cell>
        </row>
        <row r="359">
          <cell r="B359" t="str">
            <v>499/5090 Assets released from restrictions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B360" t="str">
            <v>Total Other Operations &amp; Finance Expense</v>
          </cell>
          <cell r="C360">
            <v>29380</v>
          </cell>
          <cell r="D360">
            <v>1527.6</v>
          </cell>
          <cell r="E360">
            <v>26335.06</v>
          </cell>
          <cell r="F360">
            <v>-3044.94</v>
          </cell>
          <cell r="G360">
            <v>89.635999999999996</v>
          </cell>
        </row>
        <row r="362">
          <cell r="B362" t="str">
            <v>TOTAL OPERATIONS &amp; FINANCE EXPENSE</v>
          </cell>
          <cell r="C362">
            <v>758287.38</v>
          </cell>
          <cell r="D362">
            <v>59171.839999999997</v>
          </cell>
          <cell r="E362">
            <v>637012.61</v>
          </cell>
          <cell r="F362">
            <v>-121274.77</v>
          </cell>
          <cell r="G362">
            <v>84.006799999999998</v>
          </cell>
        </row>
        <row r="364">
          <cell r="B364" t="str">
            <v>TOTAL EXPENSES</v>
          </cell>
          <cell r="C364">
            <v>1255870.73</v>
          </cell>
          <cell r="D364">
            <v>109121.01</v>
          </cell>
          <cell r="E364">
            <v>1031927.9</v>
          </cell>
          <cell r="F364">
            <v>-223942.83</v>
          </cell>
          <cell r="G364">
            <v>82.168300000000002</v>
          </cell>
        </row>
        <row r="366">
          <cell r="B366" t="str">
            <v>RECEIPTS OVER/UNDER EXPENSES</v>
          </cell>
          <cell r="C366">
            <v>-28043.73</v>
          </cell>
          <cell r="D366">
            <v>-16861.490000000002</v>
          </cell>
          <cell r="E366">
            <v>-46392.65</v>
          </cell>
          <cell r="F366">
            <v>-18348.919999999998</v>
          </cell>
          <cell r="G366">
            <v>165.4297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>
      <selection activeCell="K2" sqref="K2"/>
    </sheetView>
  </sheetViews>
  <sheetFormatPr defaultRowHeight="14.4"/>
  <cols>
    <col min="1" max="1" width="26.44140625" customWidth="1"/>
    <col min="2" max="2" width="12.88671875" customWidth="1"/>
    <col min="3" max="3" width="10.77734375" customWidth="1"/>
    <col min="4" max="4" width="13.21875" customWidth="1"/>
    <col min="5" max="5" width="12.77734375" style="17" customWidth="1"/>
    <col min="6" max="6" width="10.77734375" customWidth="1"/>
  </cols>
  <sheetData>
    <row r="1" spans="1:7" ht="73.2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</row>
    <row r="2" spans="1:7">
      <c r="B2" s="4"/>
      <c r="C2" s="5"/>
      <c r="D2" s="5"/>
      <c r="E2" s="14"/>
    </row>
    <row r="3" spans="1:7">
      <c r="A3" s="6" t="s">
        <v>6</v>
      </c>
      <c r="B3" s="7">
        <f>[1]Income!D25</f>
        <v>1227827</v>
      </c>
      <c r="C3" s="7">
        <f>[1]Income!E25</f>
        <v>92259.51999999999</v>
      </c>
      <c r="D3" s="7">
        <f>[1]Income!F25</f>
        <v>985535.24999999988</v>
      </c>
      <c r="E3" s="15">
        <f>[1]Income!G25</f>
        <v>-242291.75</v>
      </c>
      <c r="F3" s="8">
        <f t="shared" ref="F3:F18" si="0">IF(ISERROR(D3/B3),"",D3/B3)</f>
        <v>0.80266621437710672</v>
      </c>
      <c r="G3" s="6"/>
    </row>
    <row r="4" spans="1:7">
      <c r="B4" s="4"/>
      <c r="C4" s="5"/>
      <c r="D4" s="5"/>
      <c r="E4" s="14"/>
      <c r="F4" s="9"/>
    </row>
    <row r="5" spans="1:7">
      <c r="A5" t="s">
        <v>7</v>
      </c>
      <c r="B5" s="10">
        <f>[1]Worship!D42</f>
        <v>135693.02669</v>
      </c>
      <c r="C5" s="4">
        <f>[1]Worship!E42</f>
        <v>15217.022224</v>
      </c>
      <c r="D5" s="4">
        <f>[1]Worship!F42</f>
        <v>127102.25724000001</v>
      </c>
      <c r="E5" s="14">
        <f>[1]Worship!G42</f>
        <v>-8590.7694499999998</v>
      </c>
      <c r="F5" s="9">
        <f t="shared" si="0"/>
        <v>0.93668967625266264</v>
      </c>
    </row>
    <row r="6" spans="1:7">
      <c r="A6" t="s">
        <v>8</v>
      </c>
      <c r="B6" s="4">
        <f>[1]Evangelism!D17</f>
        <v>78341.851689999996</v>
      </c>
      <c r="C6" s="4">
        <f>[1]Evangelism!E17</f>
        <v>6848.3622239999995</v>
      </c>
      <c r="D6" s="4">
        <f>[1]Evangelism!F17</f>
        <v>59545.827239999999</v>
      </c>
      <c r="E6" s="14">
        <f>[1]Evangelism!G17</f>
        <v>-18796.024450000001</v>
      </c>
      <c r="F6" s="9">
        <f t="shared" si="0"/>
        <v>0.76007684214082438</v>
      </c>
    </row>
    <row r="7" spans="1:7">
      <c r="A7" t="s">
        <v>9</v>
      </c>
      <c r="B7" s="10">
        <f>[1]Youth!D35</f>
        <v>82512.649999999994</v>
      </c>
      <c r="C7" s="4">
        <f>[1]Youth!E35</f>
        <v>3229.07</v>
      </c>
      <c r="D7" s="4">
        <f>[1]Youth!F35</f>
        <v>61092.244999999995</v>
      </c>
      <c r="E7" s="14">
        <f>[1]Youth!G35</f>
        <v>-21420.404999999999</v>
      </c>
      <c r="F7" s="9">
        <f t="shared" si="0"/>
        <v>0.74039853283102652</v>
      </c>
    </row>
    <row r="8" spans="1:7">
      <c r="A8" t="s">
        <v>10</v>
      </c>
      <c r="B8" s="10">
        <f>'[1]Adult Formation'!D14</f>
        <v>33498.660000000003</v>
      </c>
      <c r="C8" s="4">
        <f>'[1]Adult Formation'!E14</f>
        <v>2735.3</v>
      </c>
      <c r="D8" s="4">
        <f>'[1]Adult Formation'!F14</f>
        <v>24624.280000000002</v>
      </c>
      <c r="E8" s="14">
        <f>'[1]Adult Formation'!G14</f>
        <v>-8874.380000000001</v>
      </c>
      <c r="F8" s="9">
        <f t="shared" si="0"/>
        <v>0.73508253762986342</v>
      </c>
    </row>
    <row r="9" spans="1:7">
      <c r="A9" t="s">
        <v>11</v>
      </c>
      <c r="B9" s="10">
        <f>'[1]Children''s Formation'!D26</f>
        <v>77902.005000000005</v>
      </c>
      <c r="C9" s="4">
        <f>'[1]Children''s Formation'!E26</f>
        <v>6025.0099999999993</v>
      </c>
      <c r="D9" s="4">
        <f>'[1]Children''s Formation'!F26</f>
        <v>61191.880000000005</v>
      </c>
      <c r="E9" s="14">
        <f>'[1]Children''s Formation'!G26</f>
        <v>-16710.125</v>
      </c>
      <c r="F9" s="9">
        <f t="shared" si="0"/>
        <v>0.7854981396178442</v>
      </c>
    </row>
    <row r="10" spans="1:7">
      <c r="A10" t="s">
        <v>12</v>
      </c>
      <c r="B10" s="10">
        <f>'[1]Community Life'!D13</f>
        <v>37284.509125999997</v>
      </c>
      <c r="C10" s="4">
        <f>'[1]Community Life'!E13</f>
        <v>3528.0722809999997</v>
      </c>
      <c r="D10" s="4">
        <f>'[1]Community Life'!F13</f>
        <v>32053.529427000001</v>
      </c>
      <c r="E10" s="14">
        <f>'[1]Community Life'!G13</f>
        <v>-5230.9796989999995</v>
      </c>
      <c r="F10" s="9">
        <f t="shared" si="0"/>
        <v>0.85970099052873883</v>
      </c>
    </row>
    <row r="11" spans="1:7">
      <c r="A11" t="s">
        <v>13</v>
      </c>
      <c r="B11" s="10">
        <f>'[1]Pastoral Care'!D14</f>
        <v>20080.102500000001</v>
      </c>
      <c r="C11" s="4">
        <f>'[1]Pastoral Care'!E14</f>
        <v>2681.8849999999998</v>
      </c>
      <c r="D11" s="4">
        <f>'[1]Pastoral Care'!F14</f>
        <v>17682.3475</v>
      </c>
      <c r="E11" s="14">
        <f>'[1]Pastoral Care'!G14</f>
        <v>-2397.7550000000001</v>
      </c>
      <c r="F11" s="9">
        <f t="shared" si="0"/>
        <v>0.88059049997379246</v>
      </c>
    </row>
    <row r="12" spans="1:7">
      <c r="A12" t="s">
        <v>14</v>
      </c>
      <c r="B12" s="10">
        <f>[1]Outreach!D20</f>
        <v>198609.15650000001</v>
      </c>
      <c r="C12" s="4">
        <f>[1]Outreach!E20</f>
        <v>17270.989828000002</v>
      </c>
      <c r="D12" s="4">
        <f>[1]Outreach!F20</f>
        <v>159695.12578</v>
      </c>
      <c r="E12" s="14">
        <f>[1]Outreach!G20</f>
        <v>-38914.030720000002</v>
      </c>
      <c r="F12" s="9">
        <f t="shared" si="0"/>
        <v>0.80406728770332392</v>
      </c>
    </row>
    <row r="13" spans="1:7">
      <c r="A13" t="s">
        <v>15</v>
      </c>
      <c r="B13" s="10">
        <f>'[1]Leadership &amp; Support'!D52</f>
        <v>350880.64849399996</v>
      </c>
      <c r="C13" s="4">
        <f>'[1]Leadership &amp; Support'!E52</f>
        <v>26231.138443</v>
      </c>
      <c r="D13" s="4">
        <f>'[1]Leadership &amp; Support'!F52</f>
        <v>285851.60781299998</v>
      </c>
      <c r="E13" s="14">
        <f>'[1]Leadership &amp; Support'!G52</f>
        <v>-65029.040680999991</v>
      </c>
      <c r="F13" s="9">
        <f t="shared" si="0"/>
        <v>0.81466905923678501</v>
      </c>
    </row>
    <row r="14" spans="1:7">
      <c r="A14" t="s">
        <v>16</v>
      </c>
      <c r="B14" s="10">
        <f>[1]Campus!D27</f>
        <v>241068.12</v>
      </c>
      <c r="C14" s="4">
        <f>[1]Campus!E27</f>
        <v>25354.16</v>
      </c>
      <c r="D14" s="4">
        <f>[1]Campus!F27</f>
        <v>203088.8</v>
      </c>
      <c r="E14" s="14">
        <f>[1]Campus!G27</f>
        <v>-37979.32</v>
      </c>
      <c r="F14" s="9">
        <f t="shared" si="0"/>
        <v>0.84245399184263769</v>
      </c>
    </row>
    <row r="15" spans="1:7">
      <c r="B15" s="4"/>
      <c r="C15" s="5"/>
      <c r="D15" s="5"/>
      <c r="E15" s="14"/>
      <c r="F15" s="9"/>
    </row>
    <row r="16" spans="1:7">
      <c r="A16" s="6" t="s">
        <v>17</v>
      </c>
      <c r="B16" s="7">
        <f>SUM(B5:B15)</f>
        <v>1255870.73</v>
      </c>
      <c r="C16" s="7">
        <f>SUM(C5:C15)</f>
        <v>109121.01000000001</v>
      </c>
      <c r="D16" s="7">
        <f>SUM(D5:D15)</f>
        <v>1031927.9000000001</v>
      </c>
      <c r="E16" s="15">
        <f>SUM(E5:E15)</f>
        <v>-223942.83000000002</v>
      </c>
      <c r="F16" s="8">
        <f t="shared" si="0"/>
        <v>0.82168321575581282</v>
      </c>
      <c r="G16" s="6"/>
    </row>
    <row r="17" spans="1:7">
      <c r="B17" s="4"/>
      <c r="C17" s="5"/>
      <c r="D17" s="5"/>
      <c r="E17" s="14"/>
      <c r="F17" s="9"/>
    </row>
    <row r="18" spans="1:7">
      <c r="A18" s="6" t="s">
        <v>18</v>
      </c>
      <c r="B18" s="7">
        <f>B3-B16</f>
        <v>-28043.729999999981</v>
      </c>
      <c r="C18" s="7">
        <f>C3-C16</f>
        <v>-16861.49000000002</v>
      </c>
      <c r="D18" s="7">
        <f>D3-D16</f>
        <v>-46392.650000000256</v>
      </c>
      <c r="E18" s="15">
        <f>E3-E16</f>
        <v>-18348.919999999984</v>
      </c>
      <c r="F18" s="8">
        <f t="shared" si="0"/>
        <v>1.6542967001893216</v>
      </c>
      <c r="G18" s="6"/>
    </row>
    <row r="19" spans="1:7">
      <c r="B19" s="4"/>
      <c r="C19" s="5"/>
      <c r="D19" s="5"/>
      <c r="E19" s="14"/>
    </row>
    <row r="20" spans="1:7">
      <c r="A20" s="11"/>
      <c r="B20" s="4"/>
      <c r="C20" s="5"/>
      <c r="D20" s="5"/>
      <c r="E20" s="14"/>
    </row>
    <row r="21" spans="1:7">
      <c r="A21" s="12"/>
      <c r="B21" s="13"/>
      <c r="C21" s="13"/>
      <c r="D21" s="13"/>
      <c r="E21" s="16"/>
      <c r="F21" s="13"/>
      <c r="G21" s="12"/>
    </row>
    <row r="22" spans="1:7">
      <c r="A22" s="11"/>
      <c r="B22" s="13"/>
      <c r="C22" s="13"/>
      <c r="D22" s="13"/>
      <c r="E22" s="16"/>
      <c r="F22" s="13"/>
    </row>
    <row r="23" spans="1:7">
      <c r="B23" s="13"/>
      <c r="C23" s="13"/>
      <c r="D23" s="13"/>
      <c r="E23" s="16"/>
      <c r="F23" s="13"/>
    </row>
    <row r="24" spans="1:7">
      <c r="B24" s="4"/>
      <c r="C24" s="5"/>
      <c r="D24" s="5"/>
      <c r="E24" s="14"/>
    </row>
    <row r="25" spans="1:7">
      <c r="B25" s="4"/>
      <c r="C25" s="5"/>
      <c r="D25" s="5"/>
      <c r="E2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K8" sqref="K8"/>
    </sheetView>
  </sheetViews>
  <sheetFormatPr defaultRowHeight="14.4"/>
  <cols>
    <col min="2" max="2" width="37.109375" customWidth="1"/>
    <col min="3" max="3" width="6.21875" customWidth="1"/>
    <col min="4" max="4" width="12.5546875" customWidth="1"/>
    <col min="5" max="5" width="10.77734375" customWidth="1"/>
    <col min="6" max="6" width="11.77734375" customWidth="1"/>
    <col min="7" max="7" width="13" customWidth="1"/>
  </cols>
  <sheetData>
    <row r="1" spans="1:9" ht="50.4" customHeight="1" thickBot="1">
      <c r="A1" s="1"/>
      <c r="B1" s="1" t="s">
        <v>19</v>
      </c>
      <c r="C1" s="18"/>
      <c r="D1" s="2" t="str">
        <f>[1]Totals!B1</f>
        <v>2012 Budget</v>
      </c>
      <c r="E1" s="2" t="s">
        <v>2</v>
      </c>
      <c r="F1" s="2" t="s">
        <v>3</v>
      </c>
      <c r="G1" s="2" t="s">
        <v>4</v>
      </c>
      <c r="H1" s="19" t="s">
        <v>5</v>
      </c>
      <c r="I1" s="1"/>
    </row>
    <row r="2" spans="1:9">
      <c r="C2" s="20"/>
      <c r="D2" s="4"/>
      <c r="E2" s="4"/>
      <c r="F2" s="5"/>
      <c r="G2" s="5"/>
      <c r="H2" s="9"/>
    </row>
    <row r="3" spans="1:9">
      <c r="B3" t="s">
        <v>20</v>
      </c>
      <c r="C3" s="20"/>
      <c r="D3" s="4"/>
      <c r="E3" s="4"/>
      <c r="F3" s="5"/>
      <c r="G3" s="5"/>
      <c r="H3" s="9"/>
    </row>
    <row r="4" spans="1:9">
      <c r="A4" t="s">
        <v>21</v>
      </c>
      <c r="B4" t="s">
        <v>22</v>
      </c>
      <c r="C4" s="20">
        <v>1</v>
      </c>
      <c r="D4" s="4">
        <f>VLOOKUP($A4 &amp; " " &amp; $B4,'[2]1. 000 General Opertaing'!$B$1:$G$400,2,FALSE)*$C4</f>
        <v>1103677</v>
      </c>
      <c r="E4" s="4">
        <f>VLOOKUP($A4 &amp; " " &amp; $B4,'[2]1. 000 General Opertaing'!$B$1:$G$400,3,FALSE)*$C4</f>
        <v>82466.759999999995</v>
      </c>
      <c r="F4" s="4">
        <f>VLOOKUP($A4 &amp; " " &amp; $B4,'[2]1. 000 General Opertaing'!$B$1:$G$400,4,FALSE)*$C4</f>
        <v>876603.32</v>
      </c>
      <c r="G4" s="4">
        <f>VLOOKUP($A4 &amp; " " &amp; $B4,'[2]1. 000 General Opertaing'!$B$1:$G$400,5,FALSE)*$C4</f>
        <v>-227073.68</v>
      </c>
      <c r="H4" s="9">
        <f t="shared" ref="H4:H23" si="0">IF(ISERROR(F4/D4),"",F4/D4)</f>
        <v>0.79425712414048666</v>
      </c>
    </row>
    <row r="5" spans="1:9">
      <c r="A5" t="s">
        <v>23</v>
      </c>
      <c r="B5" t="s">
        <v>24</v>
      </c>
      <c r="C5" s="20">
        <v>1</v>
      </c>
      <c r="D5" s="4">
        <f>VLOOKUP($A5 &amp; " " &amp; $B5,'[2]1. 000 General Opertaing'!$B$1:$G$400,2,FALSE)*$C5</f>
        <v>1500</v>
      </c>
      <c r="E5" s="4">
        <f>VLOOKUP($A5 &amp; " " &amp; $B5,'[2]1. 000 General Opertaing'!$B$1:$G$400,3,FALSE)*$C5</f>
        <v>0</v>
      </c>
      <c r="F5" s="4">
        <f>VLOOKUP($A5 &amp; " " &amp; $B5,'[2]1. 000 General Opertaing'!$B$1:$G$400,4,FALSE)*$C5</f>
        <v>-101</v>
      </c>
      <c r="G5" s="4">
        <f>VLOOKUP($A5 &amp; " " &amp; $B5,'[2]1. 000 General Opertaing'!$B$1:$G$400,5,FALSE)*$C5</f>
        <v>-1601</v>
      </c>
      <c r="H5" s="9">
        <f t="shared" si="0"/>
        <v>-6.7333333333333328E-2</v>
      </c>
    </row>
    <row r="6" spans="1:9">
      <c r="A6" t="s">
        <v>25</v>
      </c>
      <c r="B6" t="s">
        <v>26</v>
      </c>
      <c r="C6" s="20">
        <v>1</v>
      </c>
      <c r="D6" s="4">
        <f>VLOOKUP($A6 &amp; " " &amp; $B6,'[2]1. 000 General Opertaing'!$B$1:$G$400,2,FALSE)*$C6</f>
        <v>60000</v>
      </c>
      <c r="E6" s="4">
        <f>VLOOKUP($A6 &amp; " " &amp; $B6,'[2]1. 000 General Opertaing'!$B$1:$G$400,3,FALSE)*$C6</f>
        <v>6707</v>
      </c>
      <c r="F6" s="4">
        <f>VLOOKUP($A6 &amp; " " &amp; $B6,'[2]1. 000 General Opertaing'!$B$1:$G$400,4,FALSE)*$C6</f>
        <v>62522</v>
      </c>
      <c r="G6" s="4">
        <f>VLOOKUP($A6 &amp; " " &amp; $B6,'[2]1. 000 General Opertaing'!$B$1:$G$400,5,FALSE)*$C6</f>
        <v>2522</v>
      </c>
      <c r="H6" s="9">
        <f t="shared" si="0"/>
        <v>1.0420333333333334</v>
      </c>
    </row>
    <row r="7" spans="1:9">
      <c r="A7" t="s">
        <v>27</v>
      </c>
      <c r="B7" t="s">
        <v>28</v>
      </c>
      <c r="C7" s="20">
        <v>1</v>
      </c>
      <c r="D7" s="4">
        <f>VLOOKUP($A7 &amp; " " &amp; $B7,'[2]1. 000 General Opertaing'!$B$1:$G$400,2,FALSE)*$C7</f>
        <v>15000</v>
      </c>
      <c r="E7" s="4">
        <f>VLOOKUP($A7 &amp; " " &amp; $B7,'[2]1. 000 General Opertaing'!$B$1:$G$400,3,FALSE)*$C7</f>
        <v>784.79</v>
      </c>
      <c r="F7" s="4">
        <f>VLOOKUP($A7 &amp; " " &amp; $B7,'[2]1. 000 General Opertaing'!$B$1:$G$400,4,FALSE)*$C7</f>
        <v>10783</v>
      </c>
      <c r="G7" s="4">
        <f>VLOOKUP($A7 &amp; " " &amp; $B7,'[2]1. 000 General Opertaing'!$B$1:$G$400,5,FALSE)*$C7</f>
        <v>-4217</v>
      </c>
      <c r="H7" s="9">
        <f t="shared" si="0"/>
        <v>0.71886666666666665</v>
      </c>
    </row>
    <row r="8" spans="1:9">
      <c r="A8" t="s">
        <v>29</v>
      </c>
      <c r="B8" t="s">
        <v>30</v>
      </c>
      <c r="C8" s="20">
        <v>1</v>
      </c>
      <c r="D8" s="4">
        <f>VLOOKUP($A8 &amp; " " &amp; $B8,'[2]1. 000 General Opertaing'!$B$1:$G$400,2,FALSE)*$C8</f>
        <v>1000</v>
      </c>
      <c r="E8" s="4">
        <f>VLOOKUP($A8 &amp; " " &amp; $B8,'[2]1. 000 General Opertaing'!$B$1:$G$400,3,FALSE)*$C8</f>
        <v>20</v>
      </c>
      <c r="F8" s="4">
        <f>VLOOKUP($A8 &amp; " " &amp; $B8,'[2]1. 000 General Opertaing'!$B$1:$G$400,4,FALSE)*$C8</f>
        <v>595</v>
      </c>
      <c r="G8" s="4">
        <f>VLOOKUP($A8 &amp; " " &amp; $B8,'[2]1. 000 General Opertaing'!$B$1:$G$400,5,FALSE)*$C8</f>
        <v>-405</v>
      </c>
      <c r="H8" s="9">
        <f t="shared" si="0"/>
        <v>0.59499999999999997</v>
      </c>
    </row>
    <row r="9" spans="1:9">
      <c r="A9" t="s">
        <v>31</v>
      </c>
      <c r="B9" t="s">
        <v>32</v>
      </c>
      <c r="C9" s="20">
        <v>1</v>
      </c>
      <c r="D9" s="4">
        <f>VLOOKUP($A9 &amp; " " &amp; $B9,'[2]1. 000 General Opertaing'!$B$1:$G$400,2,FALSE)*$C9</f>
        <v>350</v>
      </c>
      <c r="E9" s="4">
        <f>VLOOKUP($A9 &amp; " " &amp; $B9,'[2]1. 000 General Opertaing'!$B$1:$G$400,3,FALSE)*$C9</f>
        <v>0</v>
      </c>
      <c r="F9" s="4">
        <f>VLOOKUP($A9 &amp; " " &amp; $B9,'[2]1. 000 General Opertaing'!$B$1:$G$400,4,FALSE)*$C9</f>
        <v>316</v>
      </c>
      <c r="G9" s="4">
        <f>VLOOKUP($A9 &amp; " " &amp; $B9,'[2]1. 000 General Opertaing'!$B$1:$G$400,5,FALSE)*$C9</f>
        <v>-34</v>
      </c>
      <c r="H9" s="9">
        <f t="shared" si="0"/>
        <v>0.9028571428571428</v>
      </c>
    </row>
    <row r="10" spans="1:9">
      <c r="A10" t="s">
        <v>33</v>
      </c>
      <c r="B10" t="s">
        <v>34</v>
      </c>
      <c r="C10" s="20">
        <v>1</v>
      </c>
      <c r="D10" s="4">
        <f>VLOOKUP($A10 &amp; " " &amp; $B10,'[2]1. 000 General Opertaing'!$B$1:$G$400,2,FALSE)*$C10</f>
        <v>300</v>
      </c>
      <c r="E10" s="4">
        <f>VLOOKUP($A10 &amp; " " &amp; $B10,'[2]1. 000 General Opertaing'!$B$1:$G$400,3,FALSE)*$C10</f>
        <v>27.66</v>
      </c>
      <c r="F10" s="4">
        <f>VLOOKUP($A10 &amp; " " &amp; $B10,'[2]1. 000 General Opertaing'!$B$1:$G$400,4,FALSE)*$C10</f>
        <v>275.51</v>
      </c>
      <c r="G10" s="4">
        <f>VLOOKUP($A10 &amp; " " &amp; $B10,'[2]1. 000 General Opertaing'!$B$1:$G$400,5,FALSE)*$C10</f>
        <v>-24.49</v>
      </c>
      <c r="H10" s="9">
        <f t="shared" si="0"/>
        <v>0.91836666666666666</v>
      </c>
    </row>
    <row r="11" spans="1:9">
      <c r="A11" t="s">
        <v>35</v>
      </c>
      <c r="B11" t="s">
        <v>36</v>
      </c>
      <c r="C11" s="20">
        <v>1</v>
      </c>
      <c r="D11" s="4">
        <f>VLOOKUP($A11 &amp; " " &amp; $B11,'[2]1. 000 General Opertaing'!$B$1:$G$400,2,FALSE)*$C11</f>
        <v>30000</v>
      </c>
      <c r="E11" s="4">
        <f>VLOOKUP($A11 &amp; " " &amp; $B11,'[2]1. 000 General Opertaing'!$B$1:$G$400,3,FALSE)*$C11</f>
        <v>0</v>
      </c>
      <c r="F11" s="4">
        <f>VLOOKUP($A11 &amp; " " &amp; $B11,'[2]1. 000 General Opertaing'!$B$1:$G$400,4,FALSE)*$C11</f>
        <v>15016.08</v>
      </c>
      <c r="G11" s="4">
        <f>VLOOKUP($A11 &amp; " " &amp; $B11,'[2]1. 000 General Opertaing'!$B$1:$G$400,5,FALSE)*$C11</f>
        <v>-14983.92</v>
      </c>
      <c r="H11" s="9">
        <f t="shared" si="0"/>
        <v>0.50053599999999998</v>
      </c>
    </row>
    <row r="12" spans="1:9">
      <c r="A12" t="s">
        <v>37</v>
      </c>
      <c r="B12" t="s">
        <v>38</v>
      </c>
      <c r="C12" s="20">
        <v>1</v>
      </c>
      <c r="D12" s="4">
        <f>VLOOKUP($A12 &amp; " " &amp; $B12,'[2]1. 000 General Opertaing'!$B$1:$G$400,2,FALSE)*$C12</f>
        <v>1000</v>
      </c>
      <c r="E12" s="4">
        <f>VLOOKUP($A12 &amp; " " &amp; $B12,'[2]1. 000 General Opertaing'!$B$1:$G$400,3,FALSE)*$C12</f>
        <v>0</v>
      </c>
      <c r="F12" s="4">
        <f>VLOOKUP($A12 &amp; " " &amp; $B12,'[2]1. 000 General Opertaing'!$B$1:$G$400,4,FALSE)*$C12</f>
        <v>465</v>
      </c>
      <c r="G12" s="4">
        <f>VLOOKUP($A12 &amp; " " &amp; $B12,'[2]1. 000 General Opertaing'!$B$1:$G$400,5,FALSE)*$C12</f>
        <v>-535</v>
      </c>
      <c r="H12" s="9">
        <f t="shared" si="0"/>
        <v>0.46500000000000002</v>
      </c>
    </row>
    <row r="13" spans="1:9">
      <c r="C13" s="20"/>
      <c r="D13" s="4"/>
      <c r="E13" s="4"/>
      <c r="F13" s="4"/>
      <c r="G13" s="4"/>
      <c r="H13" s="9" t="str">
        <f t="shared" si="0"/>
        <v/>
      </c>
    </row>
    <row r="14" spans="1:9">
      <c r="B14" t="s">
        <v>39</v>
      </c>
      <c r="C14" s="20"/>
      <c r="D14" s="4"/>
      <c r="E14" s="4"/>
      <c r="F14" s="4"/>
      <c r="G14" s="4"/>
      <c r="H14" s="9" t="str">
        <f t="shared" si="0"/>
        <v/>
      </c>
    </row>
    <row r="15" spans="1:9">
      <c r="A15" t="s">
        <v>40</v>
      </c>
      <c r="B15" t="s">
        <v>41</v>
      </c>
      <c r="C15" s="20">
        <v>1</v>
      </c>
      <c r="D15" s="4">
        <f>VLOOKUP($A15 &amp; " " &amp; $B15,'[2]1. 000 General Opertaing'!$B$1:$G$400,2,FALSE)*$C15</f>
        <v>0</v>
      </c>
      <c r="E15" s="4">
        <f>VLOOKUP($A15 &amp; " " &amp; $B15,'[2]1. 000 General Opertaing'!$B$1:$G$400,3,FALSE)*$C15</f>
        <v>1.31</v>
      </c>
      <c r="F15" s="4">
        <f>VLOOKUP($A15 &amp; " " &amp; $B15,'[2]1. 000 General Opertaing'!$B$1:$G$400,4,FALSE)*$C15</f>
        <v>18.59</v>
      </c>
      <c r="G15" s="4">
        <f>VLOOKUP($A15 &amp; " " &amp; $B15,'[2]1. 000 General Opertaing'!$B$1:$G$400,5,FALSE)*$C15</f>
        <v>18.59</v>
      </c>
      <c r="H15" s="9" t="str">
        <f t="shared" si="0"/>
        <v/>
      </c>
    </row>
    <row r="16" spans="1:9">
      <c r="A16" t="s">
        <v>42</v>
      </c>
      <c r="B16" t="s">
        <v>43</v>
      </c>
      <c r="C16" s="20">
        <v>1</v>
      </c>
      <c r="D16" s="4">
        <f>VLOOKUP($A16 &amp; " " &amp; $B16,'[2]1. 000 General Opertaing'!$B$1:$G$400,2,FALSE)*$C16</f>
        <v>0</v>
      </c>
      <c r="E16" s="4">
        <f>VLOOKUP($A16 &amp; " " &amp; $B16,'[2]1. 000 General Opertaing'!$B$1:$G$400,3,FALSE)*$C16</f>
        <v>0</v>
      </c>
      <c r="F16" s="4">
        <f>VLOOKUP($A16 &amp; " " &amp; $B16,'[2]1. 000 General Opertaing'!$B$1:$G$400,4,FALSE)*$C16</f>
        <v>0</v>
      </c>
      <c r="G16" s="4">
        <f>VLOOKUP($A16 &amp; " " &amp; $B16,'[2]1. 000 General Opertaing'!$B$1:$G$400,5,FALSE)*$C16</f>
        <v>0</v>
      </c>
      <c r="H16" s="9" t="str">
        <f t="shared" si="0"/>
        <v/>
      </c>
    </row>
    <row r="17" spans="1:9">
      <c r="A17" t="s">
        <v>44</v>
      </c>
      <c r="B17" t="s">
        <v>45</v>
      </c>
      <c r="C17" s="20">
        <v>1</v>
      </c>
      <c r="D17" s="4">
        <f>VLOOKUP($A17 &amp; " " &amp; $B17,'[2]1. 000 General Opertaing'!$B$1:$G$400,2,FALSE)*$C17</f>
        <v>0</v>
      </c>
      <c r="E17" s="4">
        <f>VLOOKUP($A17 &amp; " " &amp; $B17,'[2]1. 000 General Opertaing'!$B$1:$G$400,3,FALSE)*$C17</f>
        <v>0</v>
      </c>
      <c r="F17" s="4">
        <f>VLOOKUP($A17 &amp; " " &amp; $B17,'[2]1. 000 General Opertaing'!$B$1:$G$400,4,FALSE)*$C17</f>
        <v>0</v>
      </c>
      <c r="G17" s="4">
        <f>VLOOKUP($A17 &amp; " " &amp; $B17,'[2]1. 000 General Opertaing'!$B$1:$G$400,5,FALSE)*$C17</f>
        <v>0</v>
      </c>
      <c r="H17" s="9" t="str">
        <f t="shared" si="0"/>
        <v/>
      </c>
    </row>
    <row r="18" spans="1:9">
      <c r="C18" s="20"/>
      <c r="D18" s="4"/>
      <c r="E18" s="4"/>
      <c r="F18" s="4"/>
      <c r="G18" s="4"/>
      <c r="H18" s="9" t="str">
        <f t="shared" si="0"/>
        <v/>
      </c>
    </row>
    <row r="19" spans="1:9">
      <c r="B19" t="s">
        <v>46</v>
      </c>
      <c r="C19" s="20"/>
      <c r="D19" s="4"/>
      <c r="E19" s="4"/>
      <c r="F19" s="4"/>
      <c r="G19" s="4"/>
      <c r="H19" s="9" t="str">
        <f t="shared" si="0"/>
        <v/>
      </c>
    </row>
    <row r="20" spans="1:9">
      <c r="A20" t="s">
        <v>47</v>
      </c>
      <c r="B20" t="s">
        <v>46</v>
      </c>
      <c r="C20" s="20">
        <v>1</v>
      </c>
      <c r="D20" s="4">
        <f>VLOOKUP($A20 &amp; " " &amp; $B20,'[2]1. 000 General Opertaing'!$B$1:$G$400,2,FALSE)*$C20</f>
        <v>15000</v>
      </c>
      <c r="E20" s="4">
        <f>VLOOKUP($A20 &amp; " " &amp; $B20,'[2]1. 000 General Opertaing'!$B$1:$G$400,3,FALSE)*$C20</f>
        <v>2252</v>
      </c>
      <c r="F20" s="4">
        <f>VLOOKUP($A20 &amp; " " &amp; $B20,'[2]1. 000 General Opertaing'!$B$1:$G$400,4,FALSE)*$C20</f>
        <v>19041.75</v>
      </c>
      <c r="G20" s="4">
        <f>VLOOKUP($A20 &amp; " " &amp; $B20,'[2]1. 000 General Opertaing'!$B$1:$G$400,5,FALSE)*$C20</f>
        <v>4041.75</v>
      </c>
      <c r="H20" s="9">
        <f t="shared" si="0"/>
        <v>1.26945</v>
      </c>
    </row>
    <row r="21" spans="1:9">
      <c r="A21" t="s">
        <v>48</v>
      </c>
      <c r="B21" t="s">
        <v>49</v>
      </c>
      <c r="C21" s="20">
        <v>1</v>
      </c>
      <c r="D21" s="4">
        <f>VLOOKUP($A21 &amp; " " &amp; $B21,'[2]1. 000 General Opertaing'!$B$1:$G$400,2,FALSE)*$C21</f>
        <v>0</v>
      </c>
      <c r="E21" s="4">
        <f>VLOOKUP($A21 &amp; " " &amp; $B21,'[2]1. 000 General Opertaing'!$B$1:$G$400,3,FALSE)*$C21</f>
        <v>0</v>
      </c>
      <c r="F21" s="4">
        <f>VLOOKUP($A21 &amp; " " &amp; $B21,'[2]1. 000 General Opertaing'!$B$1:$G$400,4,FALSE)*$C21</f>
        <v>0</v>
      </c>
      <c r="G21" s="4">
        <f>VLOOKUP($A21 &amp; " " &amp; $B21,'[2]1. 000 General Opertaing'!$B$1:$G$400,5,FALSE)*$C21</f>
        <v>0</v>
      </c>
      <c r="H21" s="9" t="str">
        <f t="shared" si="0"/>
        <v/>
      </c>
    </row>
    <row r="22" spans="1:9">
      <c r="A22" t="s">
        <v>50</v>
      </c>
      <c r="B22" t="s">
        <v>51</v>
      </c>
      <c r="C22" s="20">
        <v>1</v>
      </c>
      <c r="D22" s="4">
        <f>VLOOKUP($A22 &amp; " " &amp; $B22,'[2]1. 000 General Opertaing'!$B$1:$G$400,2,FALSE)*$C22</f>
        <v>0</v>
      </c>
      <c r="E22" s="4">
        <f>VLOOKUP($A22 &amp; " " &amp; $B22,'[2]1. 000 General Opertaing'!$B$1:$G$400,3,FALSE)*$C22</f>
        <v>0</v>
      </c>
      <c r="F22" s="4">
        <f>VLOOKUP($A22 &amp; " " &amp; $B22,'[2]1. 000 General Opertaing'!$B$1:$G$400,4,FALSE)*$C22</f>
        <v>0</v>
      </c>
      <c r="G22" s="4">
        <f>VLOOKUP($A22 &amp; " " &amp; $B22,'[2]1. 000 General Opertaing'!$B$1:$G$400,5,FALSE)*$C22</f>
        <v>0</v>
      </c>
      <c r="H22" s="9" t="str">
        <f t="shared" si="0"/>
        <v/>
      </c>
    </row>
    <row r="23" spans="1:9">
      <c r="A23" t="s">
        <v>52</v>
      </c>
      <c r="B23" t="s">
        <v>53</v>
      </c>
      <c r="C23" s="20">
        <v>1</v>
      </c>
      <c r="D23" s="4">
        <f>VLOOKUP($A23 &amp; " " &amp; $B23,'[2]1. 000 General Opertaing'!$B$1:$G$400,2,FALSE)*$C23</f>
        <v>0</v>
      </c>
      <c r="E23" s="4">
        <f>VLOOKUP($A23 &amp; " " &amp; $B23,'[2]1. 000 General Opertaing'!$B$1:$G$400,3,FALSE)*$C23</f>
        <v>0</v>
      </c>
      <c r="F23" s="4">
        <f>VLOOKUP($A23 &amp; " " &amp; $B23,'[2]1. 000 General Opertaing'!$B$1:$G$400,4,FALSE)*$C23</f>
        <v>0</v>
      </c>
      <c r="G23" s="4">
        <f>VLOOKUP($A23 &amp; " " &amp; $B23,'[2]1. 000 General Opertaing'!$B$1:$G$400,5,FALSE)*$C23</f>
        <v>0</v>
      </c>
      <c r="H23" s="9" t="str">
        <f t="shared" si="0"/>
        <v/>
      </c>
    </row>
    <row r="24" spans="1:9">
      <c r="C24" s="20"/>
      <c r="D24" s="4"/>
      <c r="E24" s="4"/>
      <c r="F24" s="5"/>
      <c r="G24" s="5"/>
      <c r="H24" s="9"/>
    </row>
    <row r="25" spans="1:9">
      <c r="A25" s="6"/>
      <c r="B25" s="6" t="s">
        <v>6</v>
      </c>
      <c r="C25" s="21"/>
      <c r="D25" s="7">
        <f>SUM(D4:D22)</f>
        <v>1227827</v>
      </c>
      <c r="E25" s="7">
        <f>SUM(E4:E22)</f>
        <v>92259.51999999999</v>
      </c>
      <c r="F25" s="7">
        <f>SUM(F4:F22)</f>
        <v>985535.24999999988</v>
      </c>
      <c r="G25" s="7">
        <f>SUM(G4:G22)</f>
        <v>-242291.75</v>
      </c>
      <c r="H25" s="8">
        <f>IF(ISERROR(F25/D25),"",F25/D25)</f>
        <v>0.80266621437710672</v>
      </c>
      <c r="I25" s="6"/>
    </row>
    <row r="26" spans="1:9">
      <c r="C26" s="20"/>
      <c r="D26" s="4"/>
      <c r="E26" s="4"/>
      <c r="F26" s="5"/>
      <c r="G26" s="5"/>
      <c r="H26" s="9"/>
    </row>
    <row r="27" spans="1:9">
      <c r="C27" s="20"/>
      <c r="D27" s="4"/>
      <c r="E27" s="4"/>
      <c r="F27" s="5"/>
      <c r="G27" s="5"/>
      <c r="H27" s="9"/>
    </row>
    <row r="28" spans="1:9">
      <c r="C28" s="20"/>
      <c r="D28" s="4"/>
      <c r="E28" s="4"/>
      <c r="F28" s="5"/>
      <c r="G28" s="5"/>
      <c r="H2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Income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Riggs</dc:creator>
  <cp:lastModifiedBy>Laurie Riggs</cp:lastModifiedBy>
  <dcterms:created xsi:type="dcterms:W3CDTF">2012-11-30T20:57:54Z</dcterms:created>
  <dcterms:modified xsi:type="dcterms:W3CDTF">2012-11-30T21:32:37Z</dcterms:modified>
</cp:coreProperties>
</file>